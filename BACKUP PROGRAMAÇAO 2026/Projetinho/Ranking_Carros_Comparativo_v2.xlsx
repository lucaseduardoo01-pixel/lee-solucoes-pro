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ucas Ed\Downloads\"/>
    </mc:Choice>
  </mc:AlternateContent>
  <xr:revisionPtr revIDLastSave="0" documentId="13_ncr:1_{CF054AF3-DECD-43D2-8AED-DDA55F44487E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Capa" sheetId="1" r:id="rId1"/>
    <sheet name="Painel Geral" sheetId="2" r:id="rId2"/>
    <sheet name="Metodologia" sheetId="3" r:id="rId3"/>
    <sheet name="Base de Dados" sheetId="4" r:id="rId4"/>
    <sheet name="Comparativo por Faixa" sheetId="5" r:id="rId5"/>
    <sheet name="Ficha Individual" sheetId="6" r:id="rId6"/>
    <sheet name="Parecer Técnico" sheetId="7" r:id="rId7"/>
    <sheet name="Fontes e Nota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6" l="1"/>
  <c r="C15" i="6"/>
  <c r="C14" i="6"/>
  <c r="C10" i="6"/>
  <c r="C9" i="6"/>
  <c r="C8" i="6"/>
  <c r="C7" i="6"/>
  <c r="Q14" i="4"/>
  <c r="O14" i="4"/>
  <c r="N14" i="4"/>
  <c r="M14" i="4"/>
  <c r="P14" i="4" s="1"/>
  <c r="R14" i="4" s="1"/>
  <c r="Q13" i="4"/>
  <c r="P13" i="4"/>
  <c r="O13" i="4"/>
  <c r="N13" i="4"/>
  <c r="M13" i="4"/>
  <c r="Q12" i="4"/>
  <c r="O12" i="4"/>
  <c r="N12" i="4"/>
  <c r="M12" i="4"/>
  <c r="P12" i="4" s="1"/>
  <c r="Q11" i="4"/>
  <c r="O11" i="4"/>
  <c r="N11" i="4"/>
  <c r="P11" i="4" s="1"/>
  <c r="R11" i="4" s="1"/>
  <c r="M11" i="4"/>
  <c r="Q10" i="4"/>
  <c r="O10" i="4"/>
  <c r="N10" i="4"/>
  <c r="M10" i="4"/>
  <c r="P10" i="4" s="1"/>
  <c r="Q9" i="4"/>
  <c r="O9" i="4"/>
  <c r="N9" i="4"/>
  <c r="P9" i="4" s="1"/>
  <c r="M9" i="4"/>
  <c r="Q8" i="4"/>
  <c r="O8" i="4"/>
  <c r="P8" i="4" s="1"/>
  <c r="R8" i="4" s="1"/>
  <c r="N8" i="4"/>
  <c r="M8" i="4"/>
  <c r="Q7" i="4"/>
  <c r="O7" i="4"/>
  <c r="N7" i="4"/>
  <c r="M7" i="4"/>
  <c r="P7" i="4" s="1"/>
  <c r="Q6" i="4"/>
  <c r="P6" i="4"/>
  <c r="O6" i="4"/>
  <c r="N6" i="4"/>
  <c r="M6" i="4"/>
  <c r="Q5" i="4"/>
  <c r="O5" i="4"/>
  <c r="N5" i="4"/>
  <c r="M5" i="4"/>
  <c r="P5" i="4" s="1"/>
  <c r="F17" i="3"/>
  <c r="L14" i="2"/>
  <c r="L13" i="2"/>
  <c r="L12" i="2"/>
  <c r="L11" i="2"/>
  <c r="H6" i="2"/>
  <c r="B6" i="2"/>
  <c r="R9" i="4" l="1"/>
  <c r="R7" i="4"/>
  <c r="S8" i="4"/>
  <c r="R12" i="4"/>
  <c r="S12" i="4" s="1"/>
  <c r="R10" i="4"/>
  <c r="S10" i="4" s="1"/>
  <c r="F6" i="2"/>
  <c r="D6" i="2"/>
  <c r="R5" i="4"/>
  <c r="R6" i="4"/>
  <c r="S6" i="4" s="1"/>
  <c r="C11" i="6"/>
  <c r="R13" i="4"/>
  <c r="S13" i="4"/>
  <c r="C13" i="6"/>
  <c r="S7" i="4"/>
  <c r="S14" i="4"/>
  <c r="S9" i="4" l="1"/>
  <c r="E33" i="2"/>
  <c r="D33" i="2"/>
  <c r="C33" i="2"/>
  <c r="E32" i="2"/>
  <c r="D32" i="2"/>
  <c r="C32" i="2"/>
  <c r="D31" i="2"/>
  <c r="C31" i="2"/>
  <c r="S11" i="4"/>
  <c r="E31" i="2"/>
  <c r="C12" i="6"/>
  <c r="S5" i="4"/>
  <c r="D29" i="5" l="1"/>
  <c r="D24" i="5"/>
  <c r="D22" i="5"/>
  <c r="D17" i="5"/>
  <c r="D15" i="5"/>
  <c r="D10" i="5"/>
  <c r="D8" i="5"/>
  <c r="H7" i="5"/>
  <c r="F23" i="5"/>
  <c r="F16" i="5"/>
  <c r="F9" i="5"/>
  <c r="E28" i="5"/>
  <c r="E23" i="5"/>
  <c r="E21" i="5"/>
  <c r="E16" i="5"/>
  <c r="E14" i="5"/>
  <c r="E9" i="5"/>
  <c r="E7" i="5"/>
  <c r="D28" i="5"/>
  <c r="D23" i="5"/>
  <c r="D21" i="5"/>
  <c r="D16" i="5"/>
  <c r="D14" i="5"/>
  <c r="D9" i="5"/>
  <c r="D7" i="5"/>
  <c r="H30" i="5"/>
  <c r="H28" i="5"/>
  <c r="H23" i="5"/>
  <c r="H21" i="5"/>
  <c r="H16" i="5"/>
  <c r="H14" i="5"/>
  <c r="H9" i="5"/>
  <c r="F28" i="5"/>
  <c r="F21" i="5"/>
  <c r="F14" i="5"/>
  <c r="F7" i="5"/>
  <c r="C30" i="5"/>
  <c r="G28" i="5"/>
  <c r="E8" i="5"/>
  <c r="F22" i="5"/>
  <c r="C7" i="5"/>
  <c r="B6" i="7" s="1"/>
  <c r="F24" i="5"/>
  <c r="C9" i="5"/>
  <c r="E15" i="5"/>
  <c r="F29" i="5"/>
  <c r="C14" i="5"/>
  <c r="B13" i="7" s="1"/>
  <c r="G30" i="5"/>
  <c r="E10" i="5"/>
  <c r="C8" i="5"/>
  <c r="D30" i="5"/>
  <c r="F30" i="5"/>
  <c r="C15" i="5"/>
  <c r="E22" i="5"/>
  <c r="G8" i="5"/>
  <c r="H8" i="5"/>
  <c r="C21" i="5"/>
  <c r="B20" i="7" s="1"/>
  <c r="E24" i="5"/>
  <c r="H10" i="5"/>
  <c r="C22" i="5"/>
  <c r="H15" i="5"/>
  <c r="E30" i="5"/>
  <c r="C10" i="5"/>
  <c r="E17" i="5"/>
  <c r="F31" i="5"/>
  <c r="C16" i="5"/>
  <c r="C17" i="5"/>
  <c r="G10" i="5"/>
  <c r="C23" i="5"/>
  <c r="G7" i="5"/>
  <c r="E29" i="5"/>
  <c r="C28" i="5"/>
  <c r="G9" i="5"/>
  <c r="C24" i="5"/>
  <c r="E31" i="5"/>
  <c r="H17" i="5"/>
  <c r="G14" i="5"/>
  <c r="C29" i="5"/>
  <c r="F8" i="5"/>
  <c r="H22" i="5"/>
  <c r="H24" i="5"/>
  <c r="F15" i="5"/>
  <c r="H29" i="5"/>
  <c r="D31" i="5"/>
  <c r="F17" i="5"/>
  <c r="H31" i="5"/>
  <c r="G15" i="5"/>
  <c r="G17" i="5"/>
  <c r="C31" i="5"/>
  <c r="G24" i="5"/>
  <c r="G21" i="5"/>
  <c r="G29" i="5"/>
  <c r="G22" i="5"/>
  <c r="G16" i="5"/>
  <c r="F10" i="5"/>
  <c r="G23" i="5"/>
  <c r="G31" i="5"/>
</calcChain>
</file>

<file path=xl/sharedStrings.xml><?xml version="1.0" encoding="utf-8"?>
<sst xmlns="http://schemas.openxmlformats.org/spreadsheetml/2006/main" count="241" uniqueCount="151">
  <si>
    <t>PARECER TÉCNICO AUTOMOTIVO</t>
  </si>
  <si>
    <t>Qual carro comprar em cada orçamento</t>
  </si>
  <si>
    <t>Comparativo de 10 modelos · avaliação por manutenção, consumo e seguro · atualizado conforme a base de dados</t>
  </si>
  <si>
    <t>NAVEGAÇÃO</t>
  </si>
  <si>
    <t>📊  Painel Geral</t>
  </si>
  <si>
    <t>⚙️  Metodologia &amp; Score</t>
  </si>
  <si>
    <t>📋  Ranking Completo</t>
  </si>
  <si>
    <t>💰  Comparativo por Faixa</t>
  </si>
  <si>
    <t>🔎  Ficha Individual</t>
  </si>
  <si>
    <t>📝  Parecer Técnico — Se eu fosse comprar</t>
  </si>
  <si>
    <t>📚  Fontes e Notas</t>
  </si>
  <si>
    <t>Elaborado a partir de avaliação prática de modelos populares usados — uso pessoal.</t>
  </si>
  <si>
    <t>← Capa</t>
  </si>
  <si>
    <t>PAINEL GERAL</t>
  </si>
  <si>
    <t>Visão consolidada dos 10 modelos avaliados</t>
  </si>
  <si>
    <t>CARROS AVALIADOS</t>
  </si>
  <si>
    <t>SCORE MÉDIO</t>
  </si>
  <si>
    <t>MELHOR SCORE</t>
  </si>
  <si>
    <t>FAIXA MAIS BARATA</t>
  </si>
  <si>
    <t>modelos na base</t>
  </si>
  <si>
    <t>de 0 a 10</t>
  </si>
  <si>
    <t>topo do ranking</t>
  </si>
  <si>
    <t>menor preço mínimo</t>
  </si>
  <si>
    <t>SCORE FINAL POR MODELO</t>
  </si>
  <si>
    <t>MODELOS POR FAIXA DE ORÇAMENTO</t>
  </si>
  <si>
    <t>Faixa</t>
  </si>
  <si>
    <t>Qtde</t>
  </si>
  <si>
    <t>Até R$30 mil</t>
  </si>
  <si>
    <t>R$30–45 mil</t>
  </si>
  <si>
    <t>R$45–60 mil</t>
  </si>
  <si>
    <t>R$60 mil+</t>
  </si>
  <si>
    <t>TOP 3 DO RANKING GERAL</t>
  </si>
  <si>
    <t>Posição</t>
  </si>
  <si>
    <t>Modelo</t>
  </si>
  <si>
    <t>Faixa de preço</t>
  </si>
  <si>
    <t>Score</t>
  </si>
  <si>
    <t>METODOLOGIA DE PONTUAÇÃO (SCORE)</t>
  </si>
  <si>
    <t>Como as notas qualitativas viram uma nota final de 0 a 10 — pesos editáveis em azul.</t>
  </si>
  <si>
    <t>MANUTENÇÃO</t>
  </si>
  <si>
    <t>Nota</t>
  </si>
  <si>
    <t>CONSUMO</t>
  </si>
  <si>
    <t>Muito baixa</t>
  </si>
  <si>
    <t>Excelente</t>
  </si>
  <si>
    <t>Baixa</t>
  </si>
  <si>
    <t>Boa</t>
  </si>
  <si>
    <t>Média</t>
  </si>
  <si>
    <t>Alta</t>
  </si>
  <si>
    <t>Ruim</t>
  </si>
  <si>
    <t>Muito alta</t>
  </si>
  <si>
    <t>Muito ruim</t>
  </si>
  <si>
    <t>SEGURO (custo)</t>
  </si>
  <si>
    <t>PESO NO SCORE FINAL</t>
  </si>
  <si>
    <t>Baixo</t>
  </si>
  <si>
    <t>Manutenção</t>
  </si>
  <si>
    <t>Médio</t>
  </si>
  <si>
    <t>Consumo</t>
  </si>
  <si>
    <t>Alto</t>
  </si>
  <si>
    <t>Seguro</t>
  </si>
  <si>
    <t>Soma (deve ser 100%)</t>
  </si>
  <si>
    <t>Como funciona</t>
  </si>
  <si>
    <t>Cada carro recebe uma nota de 1 a 5 em Manutenção, Consumo e Seguro, de acordo com as tabelas ao lado. O Score Final (0 a 10) é a média ponderada dessas três notas, usando os pesos definidos aqui. Preço não entra no score — ele é usado apenas para agrupar os carros por faixa de orçamento na aba 'Comparativo por Faixa'. Mude os pesos em azul para refletir o que é mais importante pra você: aumentar o peso de Consumo, por exemplo, favorece carros mais econômicos no ranking.</t>
  </si>
  <si>
    <t>RANKING COMPLETO — BASE DE DADOS</t>
  </si>
  <si>
    <t>Tabela mestre. Use as setas de filtro no cabeçalho para filtrar por faixa, manutenção, consumo etc.</t>
  </si>
  <si>
    <t>Rank Manual</t>
  </si>
  <si>
    <t>Preço mín (R$mil)</t>
  </si>
  <si>
    <t>Preço máx (R$mil)</t>
  </si>
  <si>
    <t>Pontos fortes</t>
  </si>
  <si>
    <t>Pontos fracos</t>
  </si>
  <si>
    <t>Recomendação</t>
  </si>
  <si>
    <t>Nota Manut.</t>
  </si>
  <si>
    <t>Nota Consumo</t>
  </si>
  <si>
    <t>Nota Seguro</t>
  </si>
  <si>
    <t>Score Final (0-10)</t>
  </si>
  <si>
    <t>Faixa Orçamento</t>
  </si>
  <si>
    <t>Posição no Score</t>
  </si>
  <si>
    <t>Posição na Faixa</t>
  </si>
  <si>
    <t>HB20 1.6 Manual 2017</t>
  </si>
  <si>
    <t>Confiável, revenda, desempenho</t>
  </si>
  <si>
    <t>Preço maior que populares</t>
  </si>
  <si>
    <t>Melhor custo-benefício</t>
  </si>
  <si>
    <t>Onix LTZ 1.4 AT 2018</t>
  </si>
  <si>
    <t>R$50–65 mil</t>
  </si>
  <si>
    <t>Automático, peças fáceis</t>
  </si>
  <si>
    <t>Exigir manutenção do câmbio</t>
  </si>
  <si>
    <t>Melhor automático</t>
  </si>
  <si>
    <t>Hyundai i30</t>
  </si>
  <si>
    <t>Conforto, motor 2.0, acabamento</t>
  </si>
  <si>
    <t>Consome mais</t>
  </si>
  <si>
    <t>Carro dos sonhos</t>
  </si>
  <si>
    <t>Fiat Argo 1.3</t>
  </si>
  <si>
    <t>R$55–70 mil</t>
  </si>
  <si>
    <t>Motor Firefly, moderno</t>
  </si>
  <si>
    <t>Preço</t>
  </si>
  <si>
    <t>Ótimo diário</t>
  </si>
  <si>
    <t>Nissan Tiida 1.8</t>
  </si>
  <si>
    <t>Muito completo</t>
  </si>
  <si>
    <t>Revenda menor</t>
  </si>
  <si>
    <t>Excelente custo-benefício</t>
  </si>
  <si>
    <t>Kia Cerato 2010</t>
  </si>
  <si>
    <t>R$35–45 mil</t>
  </si>
  <si>
    <t>Bonito e confortável</t>
  </si>
  <si>
    <t>Peças acabamento</t>
  </si>
  <si>
    <t>Boa opção</t>
  </si>
  <si>
    <t>Honda Fit 2008/09</t>
  </si>
  <si>
    <t>Durabilidade</t>
  </si>
  <si>
    <t>Visual</t>
  </si>
  <si>
    <t>Muito racional</t>
  </si>
  <si>
    <t>Uno Firefly</t>
  </si>
  <si>
    <t>Economia</t>
  </si>
  <si>
    <t>Acabamento simples</t>
  </si>
  <si>
    <t>Cidade</t>
  </si>
  <si>
    <t>Corsa Max</t>
  </si>
  <si>
    <t>Peças baratas</t>
  </si>
  <si>
    <t>Projeto antigo</t>
  </si>
  <si>
    <t>Primeiro carro barato</t>
  </si>
  <si>
    <t>Palio Fire/Classic</t>
  </si>
  <si>
    <t>Baixíssimo custo</t>
  </si>
  <si>
    <t>Conforto</t>
  </si>
  <si>
    <t>Última opção</t>
  </si>
  <si>
    <t>COMPARATIVO POR FAIXA DE ORÇAMENTO</t>
  </si>
  <si>
    <t>Modelos agrupados por orçamento, ordenados do melhor para o pior score dentro de cada faixa.</t>
  </si>
  <si>
    <t xml:space="preserve">  Até R$30 mil</t>
  </si>
  <si>
    <t>Pos.</t>
  </si>
  <si>
    <t xml:space="preserve">  R$30–45 mil</t>
  </si>
  <si>
    <t xml:space="preserve">  R$45–60 mil</t>
  </si>
  <si>
    <t xml:space="preserve">  R$60 mil+</t>
  </si>
  <si>
    <t>FICHA INDIVIDUAL DO VEÍCULO</t>
  </si>
  <si>
    <t>Selecione um modelo na lista para ver a ficha completa.</t>
  </si>
  <si>
    <t>Escolha o modelo:</t>
  </si>
  <si>
    <t>Posição no ranking geral</t>
  </si>
  <si>
    <t>Faixa de orçamento</t>
  </si>
  <si>
    <t>SE EU FOSSE COMPRAR — PARECER POR FAIXA DE ORÇAMENTO</t>
  </si>
  <si>
    <t>O nome e o score abaixo são puxados automaticamente do ranking — atualizam se você editar a base ou os pesos.</t>
  </si>
  <si>
    <t>Nessa faixa o critério manda é confiabilidade mecânica com o menor risco possível de dor de cabeça — não dá pra esperar conforto ou acabamento. Corsa Max e Palio Fire/Classic dominam por peças baratas e manutenção muito baixa, mas são projetos antigos: revisão pré-compra rigorosa (suspensão, câmbio, motor) é obrigatória. Serve como primeiro carro ou carro de uso leve, não para quem roda muito por dia.</t>
  </si>
  <si>
    <t>Essa é a faixa com melhor equilíbrio da lista. Honda Fit e Uno Firefly empatam no score mais alto do levantamento inteiro — durabilidade muito alta, consumo excelente e seguro barato. Se o critério é racionalidade pura (gastar pouco e rodar tranquilo), a escolha está aqui, não na faixa de cima.</t>
  </si>
  <si>
    <t>HB20, Onix e Argo aparecem tecnicamente empatados nessa faixa — a escolha entre eles vira uma questão de preferência pessoal (câmbio automático pesa a favor do Onix, revenda pesa a favor do HB20). O Hyundai i30 fica de fora do topo do score porque consome mais e tem seguro mais caro — ele entra aqui pelo desejo, não pelo custo-benefício, e isso precisa estar claro antes de decidir.</t>
  </si>
  <si>
    <t xml:space="preserve">  Conclusão geral</t>
  </si>
  <si>
    <t>Olhando os três blocos, o salto de qualidade real está entre 'Até R$30 mil' e 'R$30–45 mil' — com pouco mais de investimento, sobe muito o nível de confiabilidade (Honda Fit e Uno Firefly). Já o salto de 'R$30–45 mil' para 'R$45–60 mil' entrega mais conforto e categoria, mas não necessariamente mais confiabilidade — é uma troca de racionalidade por desejo, o que é uma decisão válida, desde que consciente.</t>
  </si>
  <si>
    <t>FONTES E NOTAS METODOLÓGICAS</t>
  </si>
  <si>
    <t>Origem dos dados</t>
  </si>
  <si>
    <t>Avaliação qualitativa (Manutenção, Consumo, Seguro, Pontos fortes/fracos e Recomendação) fornecida diretamente pelo usuário, com base em experiência prática e pesquisa própria sobre os modelos — não são dados de uma tabela oficial FIPE ou de seguradora.</t>
  </si>
  <si>
    <t>Faixas de preço</t>
  </si>
  <si>
    <t>Extraídas do texto original de cada carro (ex.: 'R$45–60 mil') e convertidas em valores numéricos mínimo e máximo para permitir o agrupamento automático por faixa de orçamento.</t>
  </si>
  <si>
    <t>Cálculo do Score Final</t>
  </si>
  <si>
    <t>Nota ponderada (0 a 10) combinando Manutenção, Consumo e Seguro conforme tabelas de conversão e pesos definidos na aba 'Metodologia'. Esses pesos são uma escolha subjetiva (editável) e não uma fórmula de mercado — mudar os pesos muda o ranking.</t>
  </si>
  <si>
    <t>Preço não entra no score</t>
  </si>
  <si>
    <t>O preço é usado apenas para agrupar os carros nas faixas de orçamento, não para pontuar 'custo-benefício' dentro do score — isso evita distorcer a nota de confiabilidade com o valor do carro.</t>
  </si>
  <si>
    <t>Limitação importante</t>
  </si>
  <si>
    <t>Esta planilha reflete uma curadoria pessoal, não um levantamento estatístico de mercado. Antes de qualquer compra, uma vistoria mecânica presencial no carro específico é obrigatória — o modelo pode ter nota alta e a unidade individual estar com problema.</t>
  </si>
  <si>
    <t>Atualização</t>
  </si>
  <si>
    <t>Para adicionar um carro novo, insira uma linha na tabela da aba 'Base de Dados' (dentro do intervalo da tabela 'TabelaCarros') preenchendo as colunas B a L — as colunas de nota e score se calculam sozinhas.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</si>
</sst>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charset val="1"/>
    </font>
    <font>
      <b/>
      <sz val="13"/>
      <color rgb="FF0E7490"/>
      <name val="Arial"/>
      <charset val="1"/>
    </font>
    <font>
      <b/>
      <sz val="26"/>
      <color rgb="FFFFFFFF"/>
      <name val="Arial"/>
      <charset val="1"/>
    </font>
    <font>
      <sz val="10"/>
      <color rgb="FFFFFFFF"/>
      <name val="Arial"/>
      <charset val="1"/>
    </font>
    <font>
      <b/>
      <sz val="10"/>
      <color rgb="FF64748B"/>
      <name val="Arial"/>
      <charset val="1"/>
    </font>
    <font>
      <b/>
      <sz val="11"/>
      <color rgb="FFFFFFFF"/>
      <name val="Arial"/>
      <charset val="1"/>
    </font>
    <font>
      <i/>
      <sz val="9"/>
      <color rgb="FF64748B"/>
      <name val="Arial"/>
      <charset val="1"/>
    </font>
    <font>
      <b/>
      <sz val="9"/>
      <color rgb="FF2563EB"/>
      <name val="Arial"/>
      <charset val="1"/>
    </font>
    <font>
      <b/>
      <sz val="18"/>
      <color rgb="FF0F2545"/>
      <name val="Arial"/>
      <charset val="1"/>
    </font>
    <font>
      <sz val="10"/>
      <color rgb="FF64748B"/>
      <name val="Arial"/>
      <charset val="1"/>
    </font>
    <font>
      <b/>
      <sz val="9"/>
      <color rgb="FF64748B"/>
      <name val="Arial"/>
      <charset val="1"/>
    </font>
    <font>
      <b/>
      <sz val="20"/>
      <color rgb="FF0F2545"/>
      <name val="Arial"/>
      <charset val="1"/>
    </font>
    <font>
      <b/>
      <sz val="13"/>
      <color rgb="FF0F2545"/>
      <name val="Arial"/>
      <charset val="1"/>
    </font>
    <font>
      <sz val="9"/>
      <color rgb="FF64748B"/>
      <name val="Arial"/>
      <charset val="1"/>
    </font>
    <font>
      <b/>
      <sz val="11"/>
      <color rgb="FF0F2545"/>
      <name val="Arial"/>
      <charset val="1"/>
    </font>
    <font>
      <b/>
      <sz val="9"/>
      <color rgb="FFFFFFFF"/>
      <name val="Arial"/>
      <charset val="1"/>
    </font>
    <font>
      <sz val="10"/>
      <color rgb="FF1B2430"/>
      <name val="Arial"/>
      <charset val="1"/>
    </font>
    <font>
      <b/>
      <sz val="16"/>
      <color rgb="FF0F2545"/>
      <name val="Arial"/>
      <charset val="1"/>
    </font>
    <font>
      <b/>
      <sz val="10"/>
      <color rgb="FF1D4ED8"/>
      <name val="Arial"/>
      <charset val="1"/>
    </font>
    <font>
      <b/>
      <sz val="9"/>
      <color rgb="FF1B2430"/>
      <name val="Arial"/>
      <charset val="1"/>
    </font>
    <font>
      <b/>
      <sz val="15"/>
      <color rgb="FF0F2545"/>
      <name val="Arial"/>
      <charset val="1"/>
    </font>
    <font>
      <sz val="9.5"/>
      <color rgb="FF1B2430"/>
      <name val="Arial"/>
      <charset val="1"/>
    </font>
    <font>
      <b/>
      <sz val="9"/>
      <color rgb="FF0F2545"/>
      <name val="Arial"/>
      <charset val="1"/>
    </font>
    <font>
      <b/>
      <sz val="11"/>
      <color rgb="FF1D4ED8"/>
      <name val="Arial"/>
      <charset val="1"/>
    </font>
    <font>
      <b/>
      <sz val="10"/>
      <color rgb="FF0F2545"/>
      <name val="Arial"/>
      <charset val="1"/>
    </font>
    <font>
      <b/>
      <sz val="12"/>
      <color rgb="FFFFFFFF"/>
      <name val="Arial"/>
      <charset val="1"/>
    </font>
    <font>
      <b/>
      <sz val="10"/>
      <color rgb="FF15803D"/>
      <name val="Arial"/>
      <charset val="1"/>
    </font>
    <font>
      <sz val="10.5"/>
      <color rgb="FF1B2430"/>
      <name val="Arial"/>
      <charset val="1"/>
    </font>
    <font>
      <b/>
      <sz val="11"/>
      <color rgb="FF2563EB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0F2545"/>
        <bgColor rgb="FF1B2430"/>
      </patternFill>
    </fill>
    <fill>
      <patternFill patternType="solid">
        <fgColor rgb="FF2563EB"/>
        <bgColor rgb="FF1D4ED8"/>
      </patternFill>
    </fill>
    <fill>
      <patternFill patternType="solid">
        <fgColor rgb="FF64748B"/>
        <bgColor rgb="FF878787"/>
      </patternFill>
    </fill>
    <fill>
      <patternFill patternType="solid">
        <fgColor rgb="FF0E7490"/>
        <bgColor rgb="FF008080"/>
      </patternFill>
    </fill>
    <fill>
      <patternFill patternType="solid">
        <fgColor rgb="FF15803D"/>
        <bgColor rgb="FF008080"/>
      </patternFill>
    </fill>
    <fill>
      <patternFill patternType="solid">
        <fgColor rgb="FFFFFFFF"/>
        <bgColor rgb="FFF9F9F9"/>
      </patternFill>
    </fill>
    <fill>
      <patternFill patternType="solid">
        <fgColor rgb="FFEEF2F7"/>
        <bgColor rgb="FFF5F7FA"/>
      </patternFill>
    </fill>
    <fill>
      <patternFill patternType="solid">
        <fgColor rgb="FFF5F7FA"/>
        <bgColor rgb="FFF9F9F9"/>
      </patternFill>
    </fill>
    <fill>
      <patternFill patternType="solid">
        <fgColor rgb="FFECFDF5"/>
        <bgColor rgb="FFF5F7FA"/>
      </patternFill>
    </fill>
  </fills>
  <borders count="9">
    <border>
      <left/>
      <right/>
      <top/>
      <bottom/>
      <diagonal/>
    </border>
    <border>
      <left style="thin">
        <color rgb="FFD8DEE7"/>
      </left>
      <right style="thin">
        <color rgb="FFD8DEE7"/>
      </right>
      <top style="medium">
        <color rgb="FF2563EB"/>
      </top>
      <bottom/>
      <diagonal/>
    </border>
    <border>
      <left style="thin">
        <color rgb="FFD8DEE7"/>
      </left>
      <right style="thin">
        <color rgb="FFD8DEE7"/>
      </right>
      <top style="medium">
        <color rgb="FF15803D"/>
      </top>
      <bottom/>
      <diagonal/>
    </border>
    <border>
      <left style="thin">
        <color rgb="FFD8DEE7"/>
      </left>
      <right style="thin">
        <color rgb="FFD8DEE7"/>
      </right>
      <top style="medium">
        <color rgb="FF0E7490"/>
      </top>
      <bottom/>
      <diagonal/>
    </border>
    <border>
      <left style="thin">
        <color rgb="FFD8DEE7"/>
      </left>
      <right style="thin">
        <color rgb="FFD8DEE7"/>
      </right>
      <top/>
      <bottom/>
      <diagonal/>
    </border>
    <border>
      <left style="thin">
        <color rgb="FFD8DEE7"/>
      </left>
      <right style="thin">
        <color rgb="FFD8DEE7"/>
      </right>
      <top/>
      <bottom style="thin">
        <color rgb="FFD8DEE7"/>
      </bottom>
      <diagonal/>
    </border>
    <border>
      <left style="thin">
        <color rgb="FF0F2545"/>
      </left>
      <right style="thin">
        <color rgb="FF0F2545"/>
      </right>
      <top style="thin">
        <color rgb="FF0F2545"/>
      </top>
      <bottom style="thin">
        <color rgb="FF0F2545"/>
      </bottom>
      <diagonal/>
    </border>
    <border>
      <left style="thin">
        <color rgb="FFD8DEE7"/>
      </left>
      <right style="thin">
        <color rgb="FFD8DEE7"/>
      </right>
      <top style="thin">
        <color rgb="FFD8DEE7"/>
      </top>
      <bottom style="thin">
        <color rgb="FFD8DEE7"/>
      </bottom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0" fillId="7" borderId="1" xfId="0" applyFont="1" applyFill="1" applyBorder="1" applyAlignment="1">
      <alignment horizontal="left" vertical="top" wrapText="1" indent="1"/>
    </xf>
    <xf numFmtId="0" fontId="9" fillId="0" borderId="0" xfId="0" applyFont="1"/>
    <xf numFmtId="0" fontId="8" fillId="0" borderId="0" xfId="0" applyFont="1"/>
    <xf numFmtId="0" fontId="6" fillId="0" borderId="0" xfId="0" applyFont="1" applyAlignment="1">
      <alignment horizontal="center"/>
    </xf>
    <xf numFmtId="0" fontId="5" fillId="6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0" borderId="0" xfId="0" applyFont="1"/>
    <xf numFmtId="0" fontId="14" fillId="0" borderId="0" xfId="0" applyFont="1"/>
    <xf numFmtId="0" fontId="15" fillId="2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8" borderId="7" xfId="0" applyFont="1" applyFill="1" applyBorder="1" applyAlignment="1">
      <alignment horizontal="center" vertical="center" wrapText="1"/>
    </xf>
    <xf numFmtId="0" fontId="17" fillId="0" borderId="0" xfId="0" applyFont="1"/>
    <xf numFmtId="0" fontId="5" fillId="2" borderId="0" xfId="0" applyFont="1" applyFill="1" applyAlignment="1">
      <alignment horizontal="center" vertical="center" wrapText="1"/>
    </xf>
    <xf numFmtId="0" fontId="16" fillId="7" borderId="7" xfId="0" applyFont="1" applyFill="1" applyBorder="1"/>
    <xf numFmtId="0" fontId="18" fillId="8" borderId="7" xfId="0" applyFont="1" applyFill="1" applyBorder="1" applyAlignment="1">
      <alignment horizontal="center" vertical="center" wrapText="1"/>
    </xf>
    <xf numFmtId="9" fontId="18" fillId="8" borderId="7" xfId="0" applyNumberFormat="1" applyFont="1" applyFill="1" applyBorder="1" applyAlignment="1">
      <alignment horizontal="center" vertical="center" wrapText="1"/>
    </xf>
    <xf numFmtId="0" fontId="6" fillId="0" borderId="0" xfId="0" applyFont="1"/>
    <xf numFmtId="9" fontId="19" fillId="0" borderId="0" xfId="0" applyNumberFormat="1" applyFont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2" fillId="8" borderId="7" xfId="0" applyFont="1" applyFill="1" applyBorder="1" applyAlignment="1">
      <alignment horizontal="center" vertical="center" wrapText="1"/>
    </xf>
    <xf numFmtId="0" fontId="21" fillId="7" borderId="7" xfId="0" applyFont="1" applyFill="1" applyBorder="1" applyAlignment="1">
      <alignment horizontal="center" vertical="center" wrapText="1"/>
    </xf>
    <xf numFmtId="0" fontId="21" fillId="7" borderId="7" xfId="0" applyFont="1" applyFill="1" applyBorder="1" applyAlignment="1">
      <alignment horizontal="left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left" vertical="center" wrapText="1"/>
    </xf>
    <xf numFmtId="0" fontId="4" fillId="0" borderId="0" xfId="0" applyFont="1"/>
    <xf numFmtId="0" fontId="23" fillId="8" borderId="8" xfId="0" applyFont="1" applyFill="1" applyBorder="1" applyAlignment="1">
      <alignment horizontal="left" vertical="center" wrapText="1"/>
    </xf>
    <xf numFmtId="0" fontId="4" fillId="9" borderId="7" xfId="0" applyFont="1" applyFill="1" applyBorder="1" applyAlignment="1">
      <alignment horizontal="left" vertical="center" indent="1"/>
    </xf>
    <xf numFmtId="0" fontId="16" fillId="0" borderId="7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0" fontId="25" fillId="2" borderId="0" xfId="0" applyFont="1" applyFill="1" applyAlignment="1">
      <alignment horizontal="left" vertical="center"/>
    </xf>
    <xf numFmtId="0" fontId="26" fillId="10" borderId="0" xfId="0" applyFont="1" applyFill="1"/>
    <xf numFmtId="0" fontId="25" fillId="6" borderId="0" xfId="0" applyFont="1" applyFill="1"/>
    <xf numFmtId="0" fontId="28" fillId="0" borderId="0" xfId="0" applyFont="1"/>
    <xf numFmtId="0" fontId="10" fillId="7" borderId="2" xfId="0" applyFont="1" applyFill="1" applyBorder="1" applyAlignment="1">
      <alignment horizontal="left" vertical="top" wrapText="1" indent="1"/>
    </xf>
    <xf numFmtId="0" fontId="10" fillId="7" borderId="3" xfId="0" applyFont="1" applyFill="1" applyBorder="1" applyAlignment="1">
      <alignment horizontal="left" vertical="top" wrapText="1" indent="1"/>
    </xf>
    <xf numFmtId="0" fontId="11" fillId="7" borderId="4" xfId="0" applyFont="1" applyFill="1" applyBorder="1" applyAlignment="1">
      <alignment horizontal="left" vertical="center" indent="1"/>
    </xf>
    <xf numFmtId="0" fontId="12" fillId="7" borderId="4" xfId="0" applyFont="1" applyFill="1" applyBorder="1" applyAlignment="1">
      <alignment horizontal="left" vertical="center" indent="1"/>
    </xf>
    <xf numFmtId="0" fontId="13" fillId="7" borderId="5" xfId="0" applyFont="1" applyFill="1" applyBorder="1" applyAlignment="1">
      <alignment horizontal="left" indent="1"/>
    </xf>
    <xf numFmtId="0" fontId="14" fillId="0" borderId="0" xfId="0" applyFont="1"/>
    <xf numFmtId="0" fontId="17" fillId="0" borderId="0" xfId="0" applyFont="1"/>
    <xf numFmtId="0" fontId="5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left" vertical="top" wrapText="1"/>
    </xf>
    <xf numFmtId="0" fontId="20" fillId="0" borderId="0" xfId="0" applyFont="1"/>
    <xf numFmtId="0" fontId="6" fillId="0" borderId="0" xfId="0" applyFont="1"/>
    <xf numFmtId="0" fontId="5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27" fillId="0" borderId="0" xfId="0" applyFont="1" applyAlignment="1">
      <alignment horizontal="left" vertical="top" wrapText="1"/>
    </xf>
  </cellXfs>
  <cellStyles count="1">
    <cellStyle name="Normal" xfId="0" builtinId="0"/>
  </cellStyles>
  <dxfs count="2">
    <dxf>
      <font>
        <b/>
        <color rgb="FF15803D"/>
      </font>
      <fill>
        <patternFill>
          <bgColor rgb="FFDCFCE7"/>
        </patternFill>
      </fill>
    </dxf>
    <dxf>
      <font>
        <b/>
        <color rgb="FFB91C1C"/>
      </font>
      <fill>
        <patternFill>
          <bgColor rgb="FFFDE2E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E7490"/>
      <rgbColor rgb="FFD9D9D9"/>
      <rgbColor rgb="FF878787"/>
      <rgbColor rgb="FF9999FF"/>
      <rgbColor rgb="FF993366"/>
      <rgbColor rgb="FFF9F9F9"/>
      <rgbColor rgb="FFDCFCE7"/>
      <rgbColor rgb="FF660066"/>
      <rgbColor rgb="FFFF8080"/>
      <rgbColor rgb="FF1D4ED8"/>
      <rgbColor rgb="FFD8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FDF5"/>
      <rgbColor rgb="FFEEF2F7"/>
      <rgbColor rgb="FFF5F7FA"/>
      <rgbColor rgb="FF99CCFF"/>
      <rgbColor rgb="FFFF99CC"/>
      <rgbColor rgb="FFCC99FF"/>
      <rgbColor rgb="FFFDE2E1"/>
      <rgbColor rgb="FF2563EB"/>
      <rgbColor rgb="FF33CCCC"/>
      <rgbColor rgb="FF99CC00"/>
      <rgbColor rgb="FFFFCC00"/>
      <rgbColor rgb="FFFF9900"/>
      <rgbColor rgb="FFFF6600"/>
      <rgbColor rgb="FF64748B"/>
      <rgbColor rgb="FF969696"/>
      <rgbColor rgb="FF0F2545"/>
      <rgbColor rgb="FF339966"/>
      <rgbColor rgb="FF003300"/>
      <rgbColor rgb="FF333300"/>
      <rgbColor rgb="FFB91C1C"/>
      <rgbColor rgb="FF993366"/>
      <rgbColor rgb="FF333399"/>
      <rgbColor rgb="FF1B24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'Base de Dados'!$P$4</c:f>
              <c:strCache>
                <c:ptCount val="1"/>
                <c:pt idx="0">
                  <c:v>Score Final (0-10)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'Base de Dados'!$C$5:$C$14</c:f>
              <c:strCache>
                <c:ptCount val="10"/>
                <c:pt idx="0">
                  <c:v>HB20 1.6 Manual 2017</c:v>
                </c:pt>
                <c:pt idx="1">
                  <c:v>Onix LTZ 1.4 AT 2018</c:v>
                </c:pt>
                <c:pt idx="2">
                  <c:v>Hyundai i30</c:v>
                </c:pt>
                <c:pt idx="3">
                  <c:v>Fiat Argo 1.3</c:v>
                </c:pt>
                <c:pt idx="4">
                  <c:v>Nissan Tiida 1.8</c:v>
                </c:pt>
                <c:pt idx="5">
                  <c:v>Kia Cerato 2010</c:v>
                </c:pt>
                <c:pt idx="6">
                  <c:v>Honda Fit 2008/09</c:v>
                </c:pt>
                <c:pt idx="7">
                  <c:v>Uno Firefly</c:v>
                </c:pt>
                <c:pt idx="8">
                  <c:v>Corsa Max</c:v>
                </c:pt>
                <c:pt idx="9">
                  <c:v>Palio Fire/Classic</c:v>
                </c:pt>
              </c:strCache>
            </c:strRef>
          </c:cat>
          <c:val>
            <c:numRef>
              <c:f>'Base de Dados'!$P$5:$P$14</c:f>
              <c:numCache>
                <c:formatCode>General</c:formatCode>
                <c:ptCount val="10"/>
                <c:pt idx="0">
                  <c:v>7.5</c:v>
                </c:pt>
                <c:pt idx="1">
                  <c:v>7.5</c:v>
                </c:pt>
                <c:pt idx="2">
                  <c:v>5</c:v>
                </c:pt>
                <c:pt idx="3">
                  <c:v>7.5</c:v>
                </c:pt>
                <c:pt idx="4">
                  <c:v>6.8</c:v>
                </c:pt>
                <c:pt idx="5">
                  <c:v>6</c:v>
                </c:pt>
                <c:pt idx="6">
                  <c:v>10</c:v>
                </c:pt>
                <c:pt idx="7">
                  <c:v>10</c:v>
                </c:pt>
                <c:pt idx="8">
                  <c:v>9.3000000000000007</c:v>
                </c:pt>
                <c:pt idx="9">
                  <c:v>9.3000000000000007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7-474A-8EAB-144C4D004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9389602"/>
        <c:axId val="12141195"/>
      </c:barChart>
      <c:catAx>
        <c:axId val="5938960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2141195"/>
        <c:crosses val="autoZero"/>
        <c:auto val="1"/>
        <c:lblAlgn val="ctr"/>
        <c:lblOffset val="100"/>
        <c:noMultiLvlLbl val="0"/>
      </c:catAx>
      <c:valAx>
        <c:axId val="1214119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93896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'Painel Geral'!$L$10</c:f>
              <c:strCache>
                <c:ptCount val="1"/>
                <c:pt idx="0">
                  <c:v>Qtde</c:v>
                </c:pt>
              </c:strCache>
            </c:strRef>
          </c:tx>
          <c:spPr>
            <a:solidFill>
              <a:srgbClr val="0E74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'Painel Geral'!$K$11:$K$13</c:f>
              <c:strCache>
                <c:ptCount val="3"/>
                <c:pt idx="0">
                  <c:v>Até R$30 mil</c:v>
                </c:pt>
                <c:pt idx="1">
                  <c:v>R$30–45 mil</c:v>
                </c:pt>
                <c:pt idx="2">
                  <c:v>R$45–60 mil</c:v>
                </c:pt>
              </c:strCache>
            </c:strRef>
          </c:cat>
          <c:val>
            <c:numRef>
              <c:f>'Painel Geral'!$L$11:$L$13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F-4540-83DC-AA30763D8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85889603"/>
        <c:axId val="88628027"/>
      </c:barChart>
      <c:catAx>
        <c:axId val="858896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8628027"/>
        <c:crosses val="autoZero"/>
        <c:auto val="1"/>
        <c:lblAlgn val="ctr"/>
        <c:lblOffset val="100"/>
        <c:noMultiLvlLbl val="0"/>
      </c:catAx>
      <c:valAx>
        <c:axId val="886280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58896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7</xdr:col>
      <xdr:colOff>324720</xdr:colOff>
      <xdr:row>23</xdr:row>
      <xdr:rowOff>87840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0</xdr:rowOff>
    </xdr:from>
    <xdr:to>
      <xdr:col>10</xdr:col>
      <xdr:colOff>724680</xdr:colOff>
      <xdr:row>23</xdr:row>
      <xdr:rowOff>87840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arros" displayName="TabelaCarros" ref="B4:S14" totalsRowShown="0">
  <autoFilter ref="B4:S14" xr:uid="{00000000-0009-0000-0100-000001000000}"/>
  <tableColumns count="18">
    <tableColumn id="1" xr3:uid="{00000000-0010-0000-0000-000001000000}" name="Rank Manual"/>
    <tableColumn id="2" xr3:uid="{00000000-0010-0000-0000-000002000000}" name="Modelo"/>
    <tableColumn id="3" xr3:uid="{00000000-0010-0000-0000-000003000000}" name="Preço mín (R$mil)"/>
    <tableColumn id="4" xr3:uid="{00000000-0010-0000-0000-000004000000}" name="Preço máx (R$mil)"/>
    <tableColumn id="5" xr3:uid="{00000000-0010-0000-0000-000005000000}" name="Faixa de preço"/>
    <tableColumn id="6" xr3:uid="{00000000-0010-0000-0000-000006000000}" name="Manutenção"/>
    <tableColumn id="7" xr3:uid="{00000000-0010-0000-0000-000007000000}" name="Consumo"/>
    <tableColumn id="8" xr3:uid="{00000000-0010-0000-0000-000008000000}" name="Seguro"/>
    <tableColumn id="9" xr3:uid="{00000000-0010-0000-0000-000009000000}" name="Pontos fortes"/>
    <tableColumn id="10" xr3:uid="{00000000-0010-0000-0000-00000A000000}" name="Pontos fracos"/>
    <tableColumn id="11" xr3:uid="{00000000-0010-0000-0000-00000B000000}" name="Recomendação"/>
    <tableColumn id="12" xr3:uid="{00000000-0010-0000-0000-00000C000000}" name="Nota Manut."/>
    <tableColumn id="13" xr3:uid="{00000000-0010-0000-0000-00000D000000}" name="Nota Consumo"/>
    <tableColumn id="14" xr3:uid="{00000000-0010-0000-0000-00000E000000}" name="Nota Seguro"/>
    <tableColumn id="15" xr3:uid="{00000000-0010-0000-0000-00000F000000}" name="Score Final (0-10)"/>
    <tableColumn id="16" xr3:uid="{00000000-0010-0000-0000-000010000000}" name="Faixa Orçamento"/>
    <tableColumn id="17" xr3:uid="{00000000-0010-0000-0000-000011000000}" name="Posição no Score"/>
    <tableColumn id="18" xr3:uid="{00000000-0010-0000-0000-000012000000}" name="Posição na Faix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Ranking_Carros_v2.xlsx" TargetMode="External"/><Relationship Id="rId7" Type="http://schemas.openxmlformats.org/officeDocument/2006/relationships/hyperlink" Target="Ranking_Carros_v2.xlsx" TargetMode="External"/><Relationship Id="rId2" Type="http://schemas.openxmlformats.org/officeDocument/2006/relationships/hyperlink" Target="Ranking_Carros_v2.xlsx" TargetMode="External"/><Relationship Id="rId1" Type="http://schemas.openxmlformats.org/officeDocument/2006/relationships/hyperlink" Target="Ranking_Carros_v2.xlsx" TargetMode="External"/><Relationship Id="rId6" Type="http://schemas.openxmlformats.org/officeDocument/2006/relationships/hyperlink" Target="Ranking_Carros_v2.xlsx" TargetMode="External"/><Relationship Id="rId5" Type="http://schemas.openxmlformats.org/officeDocument/2006/relationships/hyperlink" Target="Ranking_Carros_v2.xlsx" TargetMode="External"/><Relationship Id="rId4" Type="http://schemas.openxmlformats.org/officeDocument/2006/relationships/hyperlink" Target="Ranking_Carros_v2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Ranking_Carros_v2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Ranking_Carros_v2.xlsx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Ranking_Carros_v2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Ranking_Carros_v2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Ranking_Carros_v2.xlsx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Ranking_Carros_v2.xlsx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Ranking_Carros_v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2"/>
  <sheetViews>
    <sheetView showGridLines="0" tabSelected="1" zoomScaleNormal="100" workbookViewId="0">
      <selection activeCell="O10" sqref="O10"/>
    </sheetView>
  </sheetViews>
  <sheetFormatPr defaultColWidth="8.6640625" defaultRowHeight="14.4" x14ac:dyDescent="0.3"/>
  <cols>
    <col min="1" max="1" width="3" customWidth="1"/>
    <col min="2" max="8" width="16" customWidth="1"/>
    <col min="9" max="9" width="3" customWidth="1"/>
  </cols>
  <sheetData>
    <row r="2" spans="2:8" ht="16.8" x14ac:dyDescent="0.3">
      <c r="B2" s="12" t="s">
        <v>0</v>
      </c>
      <c r="C2" s="12"/>
      <c r="D2" s="12"/>
      <c r="E2" s="12"/>
      <c r="F2" s="12"/>
      <c r="G2" s="12"/>
      <c r="H2" s="12"/>
    </row>
    <row r="3" spans="2:8" x14ac:dyDescent="0.3">
      <c r="B3" s="11" t="s">
        <v>1</v>
      </c>
      <c r="C3" s="11"/>
      <c r="D3" s="11"/>
      <c r="E3" s="11"/>
      <c r="F3" s="11"/>
      <c r="G3" s="11"/>
      <c r="H3" s="11"/>
    </row>
    <row r="4" spans="2:8" x14ac:dyDescent="0.3">
      <c r="B4" s="11"/>
      <c r="C4" s="11"/>
      <c r="D4" s="11"/>
      <c r="E4" s="11"/>
      <c r="F4" s="11"/>
      <c r="G4" s="11"/>
      <c r="H4" s="11"/>
    </row>
    <row r="5" spans="2:8" x14ac:dyDescent="0.3">
      <c r="B5" s="11"/>
      <c r="C5" s="11"/>
      <c r="D5" s="11"/>
      <c r="E5" s="11"/>
      <c r="F5" s="11"/>
      <c r="G5" s="11"/>
      <c r="H5" s="11"/>
    </row>
    <row r="6" spans="2:8" ht="21.75" customHeight="1" x14ac:dyDescent="0.3">
      <c r="B6" s="10" t="s">
        <v>2</v>
      </c>
      <c r="C6" s="10"/>
      <c r="D6" s="10"/>
      <c r="E6" s="10"/>
      <c r="F6" s="10"/>
      <c r="G6" s="10"/>
      <c r="H6" s="10"/>
    </row>
    <row r="8" spans="2:8" x14ac:dyDescent="0.3">
      <c r="B8" s="9" t="s">
        <v>3</v>
      </c>
      <c r="C8" s="9"/>
      <c r="D8" s="9"/>
      <c r="E8" s="9"/>
      <c r="F8" s="9"/>
      <c r="G8" s="9"/>
      <c r="H8" s="9"/>
    </row>
    <row r="10" spans="2:8" ht="15" customHeight="1" x14ac:dyDescent="0.3">
      <c r="B10" s="8" t="s">
        <v>4</v>
      </c>
      <c r="C10" s="8"/>
      <c r="D10" s="8"/>
      <c r="E10" s="8"/>
      <c r="F10" s="8"/>
      <c r="G10" s="8"/>
      <c r="H10" s="8"/>
    </row>
    <row r="11" spans="2:8" x14ac:dyDescent="0.3">
      <c r="B11" s="8"/>
      <c r="C11" s="8"/>
      <c r="D11" s="8"/>
      <c r="E11" s="8"/>
      <c r="F11" s="8"/>
      <c r="G11" s="8"/>
      <c r="H11" s="8"/>
    </row>
    <row r="13" spans="2:8" ht="15" customHeight="1" x14ac:dyDescent="0.3">
      <c r="B13" s="7" t="s">
        <v>5</v>
      </c>
      <c r="C13" s="7"/>
      <c r="D13" s="7"/>
      <c r="E13" s="7"/>
      <c r="F13" s="7"/>
      <c r="G13" s="7"/>
      <c r="H13" s="7"/>
    </row>
    <row r="14" spans="2:8" x14ac:dyDescent="0.3">
      <c r="B14" s="7"/>
      <c r="C14" s="7"/>
      <c r="D14" s="7"/>
      <c r="E14" s="7"/>
      <c r="F14" s="7"/>
      <c r="G14" s="7"/>
      <c r="H14" s="7"/>
    </row>
    <row r="16" spans="2:8" ht="15" customHeight="1" x14ac:dyDescent="0.3">
      <c r="B16" s="8" t="s">
        <v>6</v>
      </c>
      <c r="C16" s="8"/>
      <c r="D16" s="8"/>
      <c r="E16" s="8"/>
      <c r="F16" s="8"/>
      <c r="G16" s="8"/>
      <c r="H16" s="8"/>
    </row>
    <row r="17" spans="2:8" x14ac:dyDescent="0.3">
      <c r="B17" s="8"/>
      <c r="C17" s="8"/>
      <c r="D17" s="8"/>
      <c r="E17" s="8"/>
      <c r="F17" s="8"/>
      <c r="G17" s="8"/>
      <c r="H17" s="8"/>
    </row>
    <row r="19" spans="2:8" ht="15" customHeight="1" x14ac:dyDescent="0.3">
      <c r="B19" s="6" t="s">
        <v>7</v>
      </c>
      <c r="C19" s="6"/>
      <c r="D19" s="6"/>
      <c r="E19" s="6"/>
      <c r="F19" s="6"/>
      <c r="G19" s="6"/>
      <c r="H19" s="6"/>
    </row>
    <row r="20" spans="2:8" x14ac:dyDescent="0.3">
      <c r="B20" s="6"/>
      <c r="C20" s="6"/>
      <c r="D20" s="6"/>
      <c r="E20" s="6"/>
      <c r="F20" s="6"/>
      <c r="G20" s="6"/>
      <c r="H20" s="6"/>
    </row>
    <row r="22" spans="2:8" ht="15" customHeight="1" x14ac:dyDescent="0.3">
      <c r="B22" s="8" t="s">
        <v>8</v>
      </c>
      <c r="C22" s="8"/>
      <c r="D22" s="8"/>
      <c r="E22" s="8"/>
      <c r="F22" s="8"/>
      <c r="G22" s="8"/>
      <c r="H22" s="8"/>
    </row>
    <row r="23" spans="2:8" x14ac:dyDescent="0.3">
      <c r="B23" s="8"/>
      <c r="C23" s="8"/>
      <c r="D23" s="8"/>
      <c r="E23" s="8"/>
      <c r="F23" s="8"/>
      <c r="G23" s="8"/>
      <c r="H23" s="8"/>
    </row>
    <row r="25" spans="2:8" ht="15" customHeight="1" x14ac:dyDescent="0.3">
      <c r="B25" s="5" t="s">
        <v>9</v>
      </c>
      <c r="C25" s="5"/>
      <c r="D25" s="5"/>
      <c r="E25" s="5"/>
      <c r="F25" s="5"/>
      <c r="G25" s="5"/>
      <c r="H25" s="5"/>
    </row>
    <row r="26" spans="2:8" x14ac:dyDescent="0.3">
      <c r="B26" s="5"/>
      <c r="C26" s="5"/>
      <c r="D26" s="5"/>
      <c r="E26" s="5"/>
      <c r="F26" s="5"/>
      <c r="G26" s="5"/>
      <c r="H26" s="5"/>
    </row>
    <row r="28" spans="2:8" ht="15" customHeight="1" x14ac:dyDescent="0.3">
      <c r="B28" s="7" t="s">
        <v>10</v>
      </c>
      <c r="C28" s="7"/>
      <c r="D28" s="7"/>
      <c r="E28" s="7"/>
      <c r="F28" s="7"/>
      <c r="G28" s="7"/>
      <c r="H28" s="7"/>
    </row>
    <row r="29" spans="2:8" x14ac:dyDescent="0.3">
      <c r="B29" s="7"/>
      <c r="C29" s="7"/>
      <c r="D29" s="7"/>
      <c r="E29" s="7"/>
      <c r="F29" s="7"/>
      <c r="G29" s="7"/>
      <c r="H29" s="7"/>
    </row>
    <row r="32" spans="2:8" x14ac:dyDescent="0.3">
      <c r="B32" s="4" t="s">
        <v>11</v>
      </c>
      <c r="C32" s="4"/>
      <c r="D32" s="4"/>
      <c r="E32" s="4"/>
      <c r="F32" s="4"/>
      <c r="G32" s="4"/>
      <c r="H32" s="4"/>
    </row>
  </sheetData>
  <mergeCells count="12">
    <mergeCell ref="B28:H29"/>
    <mergeCell ref="B32:H32"/>
    <mergeCell ref="B13:H14"/>
    <mergeCell ref="B16:H17"/>
    <mergeCell ref="B19:H20"/>
    <mergeCell ref="B22:H23"/>
    <mergeCell ref="B25:H26"/>
    <mergeCell ref="B2:H2"/>
    <mergeCell ref="B3:H5"/>
    <mergeCell ref="B6:H6"/>
    <mergeCell ref="B8:H8"/>
    <mergeCell ref="B10:H11"/>
  </mergeCells>
  <hyperlinks>
    <hyperlink ref="B10" r:id="rId1" location="'Painel%20Geral'!A1" xr:uid="{00000000-0004-0000-0000-000000000000}"/>
    <hyperlink ref="B13" r:id="rId2" location="'Metodologia'!A1" xr:uid="{00000000-0004-0000-0000-000001000000}"/>
    <hyperlink ref="B16" r:id="rId3" location="'Base%20de%20Dados'!A1" xr:uid="{00000000-0004-0000-0000-000002000000}"/>
    <hyperlink ref="B19" r:id="rId4" location="'Comparativo%20por%20Faixa'!A1" xr:uid="{00000000-0004-0000-0000-000003000000}"/>
    <hyperlink ref="B22" r:id="rId5" location="'Ficha%20Individual'!A1" xr:uid="{00000000-0004-0000-0000-000004000000}"/>
    <hyperlink ref="B25" r:id="rId6" location="'Parecer%20Técnico'!A1" xr:uid="{00000000-0004-0000-0000-000005000000}"/>
    <hyperlink ref="B28" r:id="rId7" location="'Fontes%20e%20Notas'!A1" xr:uid="{00000000-0004-0000-0000-000006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9"/>
  <sheetViews>
    <sheetView showGridLines="0" zoomScaleNormal="100" workbookViewId="0">
      <selection activeCell="O6" sqref="O6"/>
    </sheetView>
  </sheetViews>
  <sheetFormatPr defaultColWidth="8.6640625" defaultRowHeight="14.4" x14ac:dyDescent="0.3"/>
  <cols>
    <col min="1" max="1" width="3" customWidth="1"/>
    <col min="2" max="9" width="12" customWidth="1"/>
    <col min="10" max="10" width="3" customWidth="1"/>
    <col min="11" max="11" width="14" customWidth="1"/>
    <col min="12" max="12" width="8" customWidth="1"/>
  </cols>
  <sheetData>
    <row r="1" spans="1:12" ht="18" customHeight="1" x14ac:dyDescent="0.3">
      <c r="A1" s="13" t="s">
        <v>12</v>
      </c>
    </row>
    <row r="2" spans="1:12" ht="18" customHeight="1" x14ac:dyDescent="0.4">
      <c r="B2" s="3" t="s">
        <v>13</v>
      </c>
      <c r="C2" s="3"/>
      <c r="D2" s="3"/>
      <c r="E2" s="3"/>
      <c r="F2" s="3"/>
      <c r="G2" s="3"/>
      <c r="H2" s="3"/>
      <c r="I2" s="3"/>
    </row>
    <row r="3" spans="1:12" ht="18" customHeight="1" x14ac:dyDescent="0.3">
      <c r="B3" s="2" t="s">
        <v>14</v>
      </c>
      <c r="C3" s="2"/>
      <c r="D3" s="2"/>
      <c r="E3" s="2"/>
      <c r="F3" s="2"/>
      <c r="G3" s="2"/>
      <c r="H3" s="2"/>
      <c r="I3" s="2"/>
    </row>
    <row r="4" spans="1:12" ht="18" customHeight="1" x14ac:dyDescent="0.3"/>
    <row r="5" spans="1:12" ht="15.75" customHeight="1" x14ac:dyDescent="0.3">
      <c r="B5" s="1" t="s">
        <v>15</v>
      </c>
      <c r="C5" s="1"/>
      <c r="D5" s="1" t="s">
        <v>16</v>
      </c>
      <c r="E5" s="1"/>
      <c r="F5" s="42" t="s">
        <v>17</v>
      </c>
      <c r="G5" s="42"/>
      <c r="H5" s="43" t="s">
        <v>18</v>
      </c>
      <c r="I5" s="43"/>
    </row>
    <row r="6" spans="1:12" ht="18" customHeight="1" x14ac:dyDescent="0.3">
      <c r="B6" s="44">
        <f>COUNTA('Base de Dados'!C5:C14)</f>
        <v>10</v>
      </c>
      <c r="C6" s="44"/>
      <c r="D6" s="44">
        <f>ROUND(AVERAGE('Base de Dados'!P5:P14),1)</f>
        <v>7.9</v>
      </c>
      <c r="E6" s="44"/>
      <c r="F6" s="45" t="str">
        <f>INDEX('Base de Dados'!C5:C14,MATCH(MAX('Base de Dados'!P5:P14),'Base de Dados'!P5:P14,0))</f>
        <v>Honda Fit 2008/09</v>
      </c>
      <c r="G6" s="45"/>
      <c r="H6" s="45" t="str">
        <f>INDEX('Base de Dados'!F5:F14,MATCH(MIN('Base de Dados'!D5:D14),'Base de Dados'!D5:D14,0))</f>
        <v>Até R$30 mil</v>
      </c>
      <c r="I6" s="45"/>
    </row>
    <row r="7" spans="1:12" ht="15.75" customHeight="1" x14ac:dyDescent="0.3">
      <c r="B7" s="46" t="s">
        <v>19</v>
      </c>
      <c r="C7" s="46"/>
      <c r="D7" s="46" t="s">
        <v>20</v>
      </c>
      <c r="E7" s="46"/>
      <c r="F7" s="46" t="s">
        <v>21</v>
      </c>
      <c r="G7" s="46"/>
      <c r="H7" s="46" t="s">
        <v>22</v>
      </c>
      <c r="I7" s="46"/>
    </row>
    <row r="8" spans="1:12" ht="18" customHeight="1" x14ac:dyDescent="0.3"/>
    <row r="9" spans="1:12" ht="18" customHeight="1" x14ac:dyDescent="0.3"/>
    <row r="10" spans="1:12" ht="18" customHeight="1" x14ac:dyDescent="0.3">
      <c r="B10" s="47" t="s">
        <v>23</v>
      </c>
      <c r="C10" s="47"/>
      <c r="D10" s="47"/>
      <c r="E10" s="47"/>
      <c r="F10" s="47" t="s">
        <v>24</v>
      </c>
      <c r="G10" s="47"/>
      <c r="H10" s="47"/>
      <c r="I10" s="47"/>
      <c r="K10" t="s">
        <v>25</v>
      </c>
      <c r="L10" t="s">
        <v>26</v>
      </c>
    </row>
    <row r="11" spans="1:12" ht="18" customHeight="1" x14ac:dyDescent="0.3">
      <c r="K11" t="s">
        <v>27</v>
      </c>
      <c r="L11">
        <f>COUNTIF('Base de Dados'!Q5:Q14,K11)</f>
        <v>2</v>
      </c>
    </row>
    <row r="12" spans="1:12" ht="18" customHeight="1" x14ac:dyDescent="0.3">
      <c r="K12" t="s">
        <v>28</v>
      </c>
      <c r="L12">
        <f>COUNTIF('Base de Dados'!Q5:Q14,K12)</f>
        <v>4</v>
      </c>
    </row>
    <row r="13" spans="1:12" ht="18" customHeight="1" x14ac:dyDescent="0.3">
      <c r="K13" t="s">
        <v>29</v>
      </c>
      <c r="L13">
        <f>COUNTIF('Base de Dados'!Q5:Q14,K13)</f>
        <v>4</v>
      </c>
    </row>
    <row r="14" spans="1:12" ht="18" customHeight="1" x14ac:dyDescent="0.3">
      <c r="K14" t="s">
        <v>30</v>
      </c>
      <c r="L14">
        <f>COUNTIF('Base de Dados'!Q5:Q14,K14)</f>
        <v>0</v>
      </c>
    </row>
    <row r="15" spans="1:12" ht="18" customHeight="1" x14ac:dyDescent="0.3"/>
    <row r="16" spans="1:12" ht="18" customHeight="1" x14ac:dyDescent="0.3"/>
    <row r="17" spans="2:9" ht="18" customHeight="1" x14ac:dyDescent="0.3"/>
    <row r="18" spans="2:9" ht="18" customHeight="1" x14ac:dyDescent="0.3"/>
    <row r="19" spans="2:9" ht="18" customHeight="1" x14ac:dyDescent="0.3"/>
    <row r="20" spans="2:9" ht="18" customHeight="1" x14ac:dyDescent="0.3"/>
    <row r="21" spans="2:9" ht="18" customHeight="1" x14ac:dyDescent="0.3"/>
    <row r="22" spans="2:9" ht="18" customHeight="1" x14ac:dyDescent="0.3"/>
    <row r="23" spans="2:9" ht="18" customHeight="1" x14ac:dyDescent="0.3"/>
    <row r="24" spans="2:9" ht="18" customHeight="1" x14ac:dyDescent="0.3"/>
    <row r="25" spans="2:9" ht="18" customHeight="1" x14ac:dyDescent="0.3"/>
    <row r="26" spans="2:9" ht="18" customHeight="1" x14ac:dyDescent="0.3"/>
    <row r="27" spans="2:9" ht="18" customHeight="1" x14ac:dyDescent="0.3"/>
    <row r="28" spans="2:9" ht="18" customHeight="1" x14ac:dyDescent="0.3"/>
    <row r="29" spans="2:9" ht="18" customHeight="1" x14ac:dyDescent="0.3">
      <c r="B29" s="47" t="s">
        <v>31</v>
      </c>
      <c r="C29" s="47"/>
      <c r="D29" s="47"/>
      <c r="E29" s="47"/>
      <c r="F29" s="47"/>
      <c r="G29" s="47"/>
      <c r="H29" s="47"/>
      <c r="I29" s="47"/>
    </row>
    <row r="30" spans="2:9" ht="18" customHeight="1" x14ac:dyDescent="0.3">
      <c r="B30" s="15" t="s">
        <v>32</v>
      </c>
      <c r="C30" s="15" t="s">
        <v>33</v>
      </c>
      <c r="D30" s="15" t="s">
        <v>34</v>
      </c>
      <c r="E30" s="15" t="s">
        <v>35</v>
      </c>
    </row>
    <row r="31" spans="2:9" ht="18" customHeight="1" x14ac:dyDescent="0.3">
      <c r="B31" s="16">
        <v>1</v>
      </c>
      <c r="C31" s="16" t="str">
        <f>INDEX('Base de Dados'!C5:C14,MATCH(1,'Base de Dados'!R5:R14,0))</f>
        <v>Honda Fit 2008/09</v>
      </c>
      <c r="D31" s="16" t="str">
        <f>INDEX('Base de Dados'!F5:F14,MATCH(1,'Base de Dados'!R5:R14,0))</f>
        <v>R$35–45 mil</v>
      </c>
      <c r="E31" s="16">
        <f>INDEX('Base de Dados'!P5:P14,MATCH(1,'Base de Dados'!R5:R14,0))</f>
        <v>10</v>
      </c>
    </row>
    <row r="32" spans="2:9" ht="18" customHeight="1" x14ac:dyDescent="0.3">
      <c r="B32" s="17">
        <v>2</v>
      </c>
      <c r="C32" s="17" t="str">
        <f>INDEX('Base de Dados'!C5:C14,MATCH(2,'Base de Dados'!R5:R14,0))</f>
        <v>Uno Firefly</v>
      </c>
      <c r="D32" s="17" t="str">
        <f>INDEX('Base de Dados'!F5:F14,MATCH(2,'Base de Dados'!R5:R14,0))</f>
        <v>R$35–45 mil</v>
      </c>
      <c r="E32" s="17">
        <f>INDEX('Base de Dados'!P5:P14,MATCH(2,'Base de Dados'!R5:R14,0))</f>
        <v>10</v>
      </c>
    </row>
    <row r="33" spans="2:5" ht="18" customHeight="1" x14ac:dyDescent="0.3">
      <c r="B33" s="16">
        <v>3</v>
      </c>
      <c r="C33" s="16" t="str">
        <f>INDEX('Base de Dados'!C5:C14,MATCH(3,'Base de Dados'!R5:R14,0))</f>
        <v>Corsa Max</v>
      </c>
      <c r="D33" s="16" t="str">
        <f>INDEX('Base de Dados'!F5:F14,MATCH(3,'Base de Dados'!R5:R14,0))</f>
        <v>Até R$30 mil</v>
      </c>
      <c r="E33" s="16">
        <f>INDEX('Base de Dados'!P5:P14,MATCH(3,'Base de Dados'!R5:R14,0))</f>
        <v>9.3000000000000007</v>
      </c>
    </row>
    <row r="34" spans="2:5" ht="18" customHeight="1" x14ac:dyDescent="0.3"/>
    <row r="35" spans="2:5" ht="18" customHeight="1" x14ac:dyDescent="0.3"/>
    <row r="36" spans="2:5" ht="18" customHeight="1" x14ac:dyDescent="0.3"/>
    <row r="37" spans="2:5" ht="18" customHeight="1" x14ac:dyDescent="0.3"/>
    <row r="38" spans="2:5" ht="18" customHeight="1" x14ac:dyDescent="0.3"/>
    <row r="39" spans="2:5" ht="18" customHeight="1" x14ac:dyDescent="0.3"/>
  </sheetData>
  <mergeCells count="17">
    <mergeCell ref="B10:E10"/>
    <mergeCell ref="F10:I10"/>
    <mergeCell ref="B29:I29"/>
    <mergeCell ref="B6:C6"/>
    <mergeCell ref="D6:E6"/>
    <mergeCell ref="F6:G6"/>
    <mergeCell ref="H6:I6"/>
    <mergeCell ref="B7:C7"/>
    <mergeCell ref="D7:E7"/>
    <mergeCell ref="F7:G7"/>
    <mergeCell ref="H7:I7"/>
    <mergeCell ref="B2:I2"/>
    <mergeCell ref="B3:I3"/>
    <mergeCell ref="B5:C5"/>
    <mergeCell ref="D5:E5"/>
    <mergeCell ref="F5:G5"/>
    <mergeCell ref="H5:I5"/>
  </mergeCells>
  <hyperlinks>
    <hyperlink ref="A1" r:id="rId1" location="'Capa'!A1" xr:uid="{00000000-0004-0000-01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2" customWidth="1"/>
    <col min="3" max="3" width="12" customWidth="1"/>
    <col min="4" max="4" width="3" customWidth="1"/>
    <col min="5" max="5" width="22" customWidth="1"/>
    <col min="6" max="6" width="12" customWidth="1"/>
    <col min="7" max="7" width="3" customWidth="1"/>
    <col min="8" max="8" width="40" customWidth="1"/>
    <col min="9" max="9" width="3" customWidth="1"/>
  </cols>
  <sheetData>
    <row r="1" spans="1:8" x14ac:dyDescent="0.3">
      <c r="A1" s="13" t="s">
        <v>12</v>
      </c>
    </row>
    <row r="2" spans="1:8" ht="21" x14ac:dyDescent="0.4">
      <c r="B2" s="48" t="s">
        <v>36</v>
      </c>
      <c r="C2" s="48"/>
      <c r="D2" s="48"/>
      <c r="E2" s="48"/>
      <c r="F2" s="48"/>
      <c r="G2" s="48"/>
      <c r="H2" s="48"/>
    </row>
    <row r="3" spans="1:8" x14ac:dyDescent="0.3">
      <c r="B3" s="2" t="s">
        <v>37</v>
      </c>
      <c r="C3" s="2"/>
      <c r="D3" s="2"/>
      <c r="E3" s="2"/>
      <c r="F3" s="2"/>
      <c r="G3" s="2"/>
      <c r="H3" s="2"/>
    </row>
    <row r="5" spans="1:8" x14ac:dyDescent="0.3">
      <c r="B5" s="19" t="s">
        <v>38</v>
      </c>
      <c r="C5" s="19" t="s">
        <v>39</v>
      </c>
      <c r="E5" s="19" t="s">
        <v>40</v>
      </c>
      <c r="F5" s="19" t="s">
        <v>39</v>
      </c>
    </row>
    <row r="6" spans="1:8" x14ac:dyDescent="0.3">
      <c r="B6" s="20" t="s">
        <v>41</v>
      </c>
      <c r="C6" s="21">
        <v>5</v>
      </c>
      <c r="E6" s="20" t="s">
        <v>42</v>
      </c>
      <c r="F6" s="21">
        <v>5</v>
      </c>
    </row>
    <row r="7" spans="1:8" x14ac:dyDescent="0.3">
      <c r="B7" s="20" t="s">
        <v>43</v>
      </c>
      <c r="C7" s="21">
        <v>4</v>
      </c>
      <c r="E7" s="20" t="s">
        <v>44</v>
      </c>
      <c r="F7" s="21">
        <v>4</v>
      </c>
    </row>
    <row r="8" spans="1:8" x14ac:dyDescent="0.3">
      <c r="B8" s="20" t="s">
        <v>45</v>
      </c>
      <c r="C8" s="21">
        <v>3</v>
      </c>
      <c r="E8" s="20" t="s">
        <v>45</v>
      </c>
      <c r="F8" s="21">
        <v>3</v>
      </c>
    </row>
    <row r="9" spans="1:8" x14ac:dyDescent="0.3">
      <c r="B9" s="20" t="s">
        <v>46</v>
      </c>
      <c r="C9" s="21">
        <v>2</v>
      </c>
      <c r="E9" s="20" t="s">
        <v>47</v>
      </c>
      <c r="F9" s="21">
        <v>2</v>
      </c>
    </row>
    <row r="10" spans="1:8" x14ac:dyDescent="0.3">
      <c r="B10" s="20" t="s">
        <v>48</v>
      </c>
      <c r="C10" s="21">
        <v>1</v>
      </c>
      <c r="E10" s="20" t="s">
        <v>49</v>
      </c>
      <c r="F10" s="21">
        <v>1</v>
      </c>
    </row>
    <row r="13" spans="1:8" ht="15" customHeight="1" x14ac:dyDescent="0.3">
      <c r="B13" s="19" t="s">
        <v>50</v>
      </c>
      <c r="C13" s="19" t="s">
        <v>39</v>
      </c>
      <c r="E13" s="49" t="s">
        <v>51</v>
      </c>
      <c r="F13" s="49"/>
    </row>
    <row r="14" spans="1:8" x14ac:dyDescent="0.3">
      <c r="B14" s="20" t="s">
        <v>52</v>
      </c>
      <c r="C14" s="21">
        <v>5</v>
      </c>
      <c r="E14" s="20" t="s">
        <v>53</v>
      </c>
      <c r="F14" s="22">
        <v>0.4</v>
      </c>
    </row>
    <row r="15" spans="1:8" x14ac:dyDescent="0.3">
      <c r="B15" s="20" t="s">
        <v>54</v>
      </c>
      <c r="C15" s="21">
        <v>3</v>
      </c>
      <c r="E15" s="20" t="s">
        <v>55</v>
      </c>
      <c r="F15" s="22">
        <v>0.35</v>
      </c>
    </row>
    <row r="16" spans="1:8" x14ac:dyDescent="0.3">
      <c r="B16" s="20" t="s">
        <v>56</v>
      </c>
      <c r="C16" s="21">
        <v>1</v>
      </c>
      <c r="E16" s="20" t="s">
        <v>57</v>
      </c>
      <c r="F16" s="22">
        <v>0.25</v>
      </c>
    </row>
    <row r="17" spans="2:8" x14ac:dyDescent="0.3">
      <c r="E17" s="23" t="s">
        <v>58</v>
      </c>
      <c r="F17" s="24">
        <f>F14+F15+F16</f>
        <v>1</v>
      </c>
    </row>
    <row r="19" spans="2:8" x14ac:dyDescent="0.3">
      <c r="B19" s="14" t="s">
        <v>59</v>
      </c>
    </row>
    <row r="20" spans="2:8" ht="15" customHeight="1" x14ac:dyDescent="0.3">
      <c r="B20" s="50" t="s">
        <v>60</v>
      </c>
      <c r="C20" s="50"/>
      <c r="D20" s="50"/>
      <c r="E20" s="50"/>
      <c r="F20" s="50"/>
      <c r="G20" s="50"/>
      <c r="H20" s="50"/>
    </row>
    <row r="21" spans="2:8" x14ac:dyDescent="0.3">
      <c r="B21" s="50"/>
      <c r="C21" s="50"/>
      <c r="D21" s="50"/>
      <c r="E21" s="50"/>
      <c r="F21" s="50"/>
      <c r="G21" s="50"/>
      <c r="H21" s="50"/>
    </row>
    <row r="22" spans="2:8" x14ac:dyDescent="0.3">
      <c r="B22" s="50"/>
      <c r="C22" s="50"/>
      <c r="D22" s="50"/>
      <c r="E22" s="50"/>
      <c r="F22" s="50"/>
      <c r="G22" s="50"/>
      <c r="H22" s="50"/>
    </row>
    <row r="23" spans="2:8" x14ac:dyDescent="0.3">
      <c r="B23" s="50"/>
      <c r="C23" s="50"/>
      <c r="D23" s="50"/>
      <c r="E23" s="50"/>
      <c r="F23" s="50"/>
      <c r="G23" s="50"/>
      <c r="H23" s="50"/>
    </row>
    <row r="24" spans="2:8" x14ac:dyDescent="0.3">
      <c r="B24" s="50"/>
      <c r="C24" s="50"/>
      <c r="D24" s="50"/>
      <c r="E24" s="50"/>
      <c r="F24" s="50"/>
      <c r="G24" s="50"/>
      <c r="H24" s="50"/>
    </row>
    <row r="25" spans="2:8" x14ac:dyDescent="0.3">
      <c r="B25" s="50"/>
      <c r="C25" s="50"/>
      <c r="D25" s="50"/>
      <c r="E25" s="50"/>
      <c r="F25" s="50"/>
      <c r="G25" s="50"/>
      <c r="H25" s="50"/>
    </row>
  </sheetData>
  <mergeCells count="4">
    <mergeCell ref="B2:H2"/>
    <mergeCell ref="B3:H3"/>
    <mergeCell ref="E13:F13"/>
    <mergeCell ref="B20:H25"/>
  </mergeCells>
  <conditionalFormatting sqref="F17">
    <cfRule type="expression" dxfId="1" priority="2">
      <formula>F17&lt;&gt;1</formula>
    </cfRule>
    <cfRule type="expression" dxfId="0" priority="3">
      <formula>F17=1</formula>
    </cfRule>
  </conditionalFormatting>
  <hyperlinks>
    <hyperlink ref="A1" r:id="rId1" location="'Capa'!A1" xr:uid="{00000000-0004-0000-0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4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4" customWidth="1"/>
    <col min="2" max="2" width="24" customWidth="1"/>
    <col min="3" max="4" width="11" customWidth="1"/>
    <col min="5" max="5" width="14" customWidth="1"/>
    <col min="6" max="7" width="12" customWidth="1"/>
    <col min="8" max="8" width="10" customWidth="1"/>
    <col min="9" max="9" width="28" customWidth="1"/>
    <col min="10" max="10" width="26" customWidth="1"/>
    <col min="11" max="11" width="20" customWidth="1"/>
    <col min="12" max="14" width="9" customWidth="1"/>
    <col min="15" max="15" width="10" customWidth="1"/>
    <col min="16" max="16" width="15" customWidth="1"/>
    <col min="17" max="17" width="8" customWidth="1"/>
    <col min="18" max="19" width="10" customWidth="1"/>
  </cols>
  <sheetData>
    <row r="1" spans="1:19" ht="24" customHeight="1" x14ac:dyDescent="0.35">
      <c r="A1" s="13" t="s">
        <v>12</v>
      </c>
      <c r="B1" s="51" t="s">
        <v>61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9" x14ac:dyDescent="0.3">
      <c r="B2" s="52" t="s">
        <v>62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4" spans="1:19" ht="31.5" customHeight="1" x14ac:dyDescent="0.3">
      <c r="B4" s="25" t="s">
        <v>63</v>
      </c>
      <c r="C4" s="25" t="s">
        <v>33</v>
      </c>
      <c r="D4" s="25" t="s">
        <v>64</v>
      </c>
      <c r="E4" s="25" t="s">
        <v>65</v>
      </c>
      <c r="F4" s="25" t="s">
        <v>34</v>
      </c>
      <c r="G4" s="25" t="s">
        <v>53</v>
      </c>
      <c r="H4" s="25" t="s">
        <v>55</v>
      </c>
      <c r="I4" s="25" t="s">
        <v>57</v>
      </c>
      <c r="J4" s="25" t="s">
        <v>66</v>
      </c>
      <c r="K4" s="25" t="s">
        <v>67</v>
      </c>
      <c r="L4" s="25" t="s">
        <v>68</v>
      </c>
      <c r="M4" s="25" t="s">
        <v>69</v>
      </c>
      <c r="N4" s="25" t="s">
        <v>70</v>
      </c>
      <c r="O4" s="25" t="s">
        <v>71</v>
      </c>
      <c r="P4" s="25" t="s">
        <v>72</v>
      </c>
      <c r="Q4" s="25" t="s">
        <v>73</v>
      </c>
      <c r="R4" s="25" t="s">
        <v>74</v>
      </c>
      <c r="S4" s="25" t="s">
        <v>75</v>
      </c>
    </row>
    <row r="5" spans="1:19" ht="36" x14ac:dyDescent="0.3">
      <c r="B5" s="26">
        <v>1</v>
      </c>
      <c r="C5" s="26" t="s">
        <v>76</v>
      </c>
      <c r="D5" s="26">
        <v>45</v>
      </c>
      <c r="E5" s="26">
        <v>60</v>
      </c>
      <c r="F5" s="26" t="s">
        <v>29</v>
      </c>
      <c r="G5" s="26" t="s">
        <v>43</v>
      </c>
      <c r="H5" s="26" t="s">
        <v>44</v>
      </c>
      <c r="I5" s="26" t="s">
        <v>54</v>
      </c>
      <c r="J5" s="27" t="s">
        <v>77</v>
      </c>
      <c r="K5" s="27" t="s">
        <v>78</v>
      </c>
      <c r="L5" s="27" t="s">
        <v>79</v>
      </c>
      <c r="M5" s="26">
        <f>IFERROR(INDEX(Metodologia!$C$6:$C$10,MATCH(G5,Metodologia!$B$6:$B$10,0)),0)</f>
        <v>4</v>
      </c>
      <c r="N5" s="26">
        <f>IFERROR(INDEX(Metodologia!$F$6:$F$10,MATCH(H5,Metodologia!$E$6:$E$10,0)),0)</f>
        <v>4</v>
      </c>
      <c r="O5" s="26">
        <f>IFERROR(INDEX(Metodologia!$C$14:$C$16,MATCH(I5,Metodologia!$B$14:$B$16,0)),0)</f>
        <v>3</v>
      </c>
      <c r="P5" s="26">
        <f>ROUND((M5*Metodologia!$F$14+N5*Metodologia!$F$15+O5*Metodologia!$F$16)*2,1)</f>
        <v>7.5</v>
      </c>
      <c r="Q5" s="26" t="str">
        <f t="shared" ref="Q5:Q14" si="0">IF(D5&lt;30,"Até R$30 mil",IF(D5&lt;45,"R$30–45 mil",IF(D5&lt;60,"R$45–60 mil","R$60 mil+")))</f>
        <v>R$45–60 mil</v>
      </c>
      <c r="R5" s="26">
        <f>RANK(P5,$P$5:$P$14,0)+COUNTIF($P$5:P5,P5)-1</f>
        <v>5</v>
      </c>
      <c r="S5" s="26">
        <f t="shared" ref="S5:S14" si="1">SUMPRODUCT((Q$5:Q$14=Q5)*(R$5:R$14&lt;R5))+1</f>
        <v>1</v>
      </c>
    </row>
    <row r="6" spans="1:19" ht="36" x14ac:dyDescent="0.3">
      <c r="B6" s="26">
        <v>2</v>
      </c>
      <c r="C6" s="26" t="s">
        <v>80</v>
      </c>
      <c r="D6" s="26">
        <v>50</v>
      </c>
      <c r="E6" s="26">
        <v>65</v>
      </c>
      <c r="F6" s="26" t="s">
        <v>81</v>
      </c>
      <c r="G6" s="26" t="s">
        <v>43</v>
      </c>
      <c r="H6" s="26" t="s">
        <v>44</v>
      </c>
      <c r="I6" s="26" t="s">
        <v>54</v>
      </c>
      <c r="J6" s="27" t="s">
        <v>82</v>
      </c>
      <c r="K6" s="27" t="s">
        <v>83</v>
      </c>
      <c r="L6" s="27" t="s">
        <v>84</v>
      </c>
      <c r="M6" s="26">
        <f>IFERROR(INDEX(Metodologia!$C$6:$C$10,MATCH(G6,Metodologia!$B$6:$B$10,0)),0)</f>
        <v>4</v>
      </c>
      <c r="N6" s="26">
        <f>IFERROR(INDEX(Metodologia!$F$6:$F$10,MATCH(H6,Metodologia!$E$6:$E$10,0)),0)</f>
        <v>4</v>
      </c>
      <c r="O6" s="26">
        <f>IFERROR(INDEX(Metodologia!$C$14:$C$16,MATCH(I6,Metodologia!$B$14:$B$16,0)),0)</f>
        <v>3</v>
      </c>
      <c r="P6" s="26">
        <f>ROUND((M6*Metodologia!$F$14+N6*Metodologia!$F$15+O6*Metodologia!$F$16)*2,1)</f>
        <v>7.5</v>
      </c>
      <c r="Q6" s="26" t="str">
        <f t="shared" si="0"/>
        <v>R$45–60 mil</v>
      </c>
      <c r="R6" s="26">
        <f>RANK(P6,$P$5:$P$14,0)+COUNTIF($P$5:P6,P6)-1</f>
        <v>6</v>
      </c>
      <c r="S6" s="26">
        <f t="shared" si="1"/>
        <v>2</v>
      </c>
    </row>
    <row r="7" spans="1:19" ht="36" x14ac:dyDescent="0.3">
      <c r="B7" s="26">
        <v>3</v>
      </c>
      <c r="C7" s="26" t="s">
        <v>85</v>
      </c>
      <c r="D7" s="26">
        <v>45</v>
      </c>
      <c r="E7" s="26">
        <v>60</v>
      </c>
      <c r="F7" s="26" t="s">
        <v>29</v>
      </c>
      <c r="G7" s="26" t="s">
        <v>45</v>
      </c>
      <c r="H7" s="26" t="s">
        <v>45</v>
      </c>
      <c r="I7" s="26" t="s">
        <v>56</v>
      </c>
      <c r="J7" s="27" t="s">
        <v>86</v>
      </c>
      <c r="K7" s="27" t="s">
        <v>87</v>
      </c>
      <c r="L7" s="27" t="s">
        <v>88</v>
      </c>
      <c r="M7" s="26">
        <f>IFERROR(INDEX(Metodologia!$C$6:$C$10,MATCH(G7,Metodologia!$B$6:$B$10,0)),0)</f>
        <v>3</v>
      </c>
      <c r="N7" s="26">
        <f>IFERROR(INDEX(Metodologia!$F$6:$F$10,MATCH(H7,Metodologia!$E$6:$E$10,0)),0)</f>
        <v>3</v>
      </c>
      <c r="O7" s="26">
        <f>IFERROR(INDEX(Metodologia!$C$14:$C$16,MATCH(I7,Metodologia!$B$14:$B$16,0)),0)</f>
        <v>1</v>
      </c>
      <c r="P7" s="26">
        <f>ROUND((M7*Metodologia!$F$14+N7*Metodologia!$F$15+O7*Metodologia!$F$16)*2,1)</f>
        <v>5</v>
      </c>
      <c r="Q7" s="26" t="str">
        <f t="shared" si="0"/>
        <v>R$45–60 mil</v>
      </c>
      <c r="R7" s="26">
        <f>RANK(P7,$P$5:$P$14,0)+COUNTIF($P$5:P7,P7)-1</f>
        <v>10</v>
      </c>
      <c r="S7" s="26">
        <f t="shared" si="1"/>
        <v>4</v>
      </c>
    </row>
    <row r="8" spans="1:19" ht="24" x14ac:dyDescent="0.3">
      <c r="B8" s="26">
        <v>4</v>
      </c>
      <c r="C8" s="26" t="s">
        <v>89</v>
      </c>
      <c r="D8" s="26">
        <v>55</v>
      </c>
      <c r="E8" s="26">
        <v>70</v>
      </c>
      <c r="F8" s="26" t="s">
        <v>90</v>
      </c>
      <c r="G8" s="26" t="s">
        <v>43</v>
      </c>
      <c r="H8" s="26" t="s">
        <v>44</v>
      </c>
      <c r="I8" s="26" t="s">
        <v>54</v>
      </c>
      <c r="J8" s="27" t="s">
        <v>91</v>
      </c>
      <c r="K8" s="27" t="s">
        <v>92</v>
      </c>
      <c r="L8" s="27" t="s">
        <v>93</v>
      </c>
      <c r="M8" s="26">
        <f>IFERROR(INDEX(Metodologia!$C$6:$C$10,MATCH(G8,Metodologia!$B$6:$B$10,0)),0)</f>
        <v>4</v>
      </c>
      <c r="N8" s="26">
        <f>IFERROR(INDEX(Metodologia!$F$6:$F$10,MATCH(H8,Metodologia!$E$6:$E$10,0)),0)</f>
        <v>4</v>
      </c>
      <c r="O8" s="26">
        <f>IFERROR(INDEX(Metodologia!$C$14:$C$16,MATCH(I8,Metodologia!$B$14:$B$16,0)),0)</f>
        <v>3</v>
      </c>
      <c r="P8" s="26">
        <f>ROUND((M8*Metodologia!$F$14+N8*Metodologia!$F$15+O8*Metodologia!$F$16)*2,1)</f>
        <v>7.5</v>
      </c>
      <c r="Q8" s="26" t="str">
        <f t="shared" si="0"/>
        <v>R$45–60 mil</v>
      </c>
      <c r="R8" s="26">
        <f>RANK(P8,$P$5:$P$14,0)+COUNTIF($P$5:P8,P8)-1</f>
        <v>7</v>
      </c>
      <c r="S8" s="26">
        <f t="shared" si="1"/>
        <v>3</v>
      </c>
    </row>
    <row r="9" spans="1:19" ht="36" x14ac:dyDescent="0.3">
      <c r="B9" s="26">
        <v>5</v>
      </c>
      <c r="C9" s="26" t="s">
        <v>94</v>
      </c>
      <c r="D9" s="26">
        <v>30</v>
      </c>
      <c r="E9" s="26">
        <v>45</v>
      </c>
      <c r="F9" s="26" t="s">
        <v>28</v>
      </c>
      <c r="G9" s="26" t="s">
        <v>43</v>
      </c>
      <c r="H9" s="26" t="s">
        <v>45</v>
      </c>
      <c r="I9" s="26" t="s">
        <v>54</v>
      </c>
      <c r="J9" s="27" t="s">
        <v>95</v>
      </c>
      <c r="K9" s="27" t="s">
        <v>96</v>
      </c>
      <c r="L9" s="27" t="s">
        <v>97</v>
      </c>
      <c r="M9" s="26">
        <f>IFERROR(INDEX(Metodologia!$C$6:$C$10,MATCH(G9,Metodologia!$B$6:$B$10,0)),0)</f>
        <v>4</v>
      </c>
      <c r="N9" s="26">
        <f>IFERROR(INDEX(Metodologia!$F$6:$F$10,MATCH(H9,Metodologia!$E$6:$E$10,0)),0)</f>
        <v>3</v>
      </c>
      <c r="O9" s="26">
        <f>IFERROR(INDEX(Metodologia!$C$14:$C$16,MATCH(I9,Metodologia!$B$14:$B$16,0)),0)</f>
        <v>3</v>
      </c>
      <c r="P9" s="26">
        <f>ROUND((M9*Metodologia!$F$14+N9*Metodologia!$F$15+O9*Metodologia!$F$16)*2,1)</f>
        <v>6.8</v>
      </c>
      <c r="Q9" s="26" t="str">
        <f t="shared" si="0"/>
        <v>R$30–45 mil</v>
      </c>
      <c r="R9" s="26">
        <f>RANK(P9,$P$5:$P$14,0)+COUNTIF($P$5:P9,P9)-1</f>
        <v>8</v>
      </c>
      <c r="S9" s="26">
        <f t="shared" si="1"/>
        <v>3</v>
      </c>
    </row>
    <row r="10" spans="1:19" ht="24" x14ac:dyDescent="0.3">
      <c r="B10" s="26">
        <v>6</v>
      </c>
      <c r="C10" s="26" t="s">
        <v>98</v>
      </c>
      <c r="D10" s="26">
        <v>35</v>
      </c>
      <c r="E10" s="26">
        <v>45</v>
      </c>
      <c r="F10" s="26" t="s">
        <v>99</v>
      </c>
      <c r="G10" s="26" t="s">
        <v>45</v>
      </c>
      <c r="H10" s="26" t="s">
        <v>45</v>
      </c>
      <c r="I10" s="26" t="s">
        <v>54</v>
      </c>
      <c r="J10" s="27" t="s">
        <v>100</v>
      </c>
      <c r="K10" s="27" t="s">
        <v>101</v>
      </c>
      <c r="L10" s="27" t="s">
        <v>102</v>
      </c>
      <c r="M10" s="26">
        <f>IFERROR(INDEX(Metodologia!$C$6:$C$10,MATCH(G10,Metodologia!$B$6:$B$10,0)),0)</f>
        <v>3</v>
      </c>
      <c r="N10" s="26">
        <f>IFERROR(INDEX(Metodologia!$F$6:$F$10,MATCH(H10,Metodologia!$E$6:$E$10,0)),0)</f>
        <v>3</v>
      </c>
      <c r="O10" s="26">
        <f>IFERROR(INDEX(Metodologia!$C$14:$C$16,MATCH(I10,Metodologia!$B$14:$B$16,0)),0)</f>
        <v>3</v>
      </c>
      <c r="P10" s="26">
        <f>ROUND((M10*Metodologia!$F$14+N10*Metodologia!$F$15+O10*Metodologia!$F$16)*2,1)</f>
        <v>6</v>
      </c>
      <c r="Q10" s="26" t="str">
        <f t="shared" si="0"/>
        <v>R$30–45 mil</v>
      </c>
      <c r="R10" s="26">
        <f>RANK(P10,$P$5:$P$14,0)+COUNTIF($P$5:P10,P10)-1</f>
        <v>9</v>
      </c>
      <c r="S10" s="26">
        <f t="shared" si="1"/>
        <v>4</v>
      </c>
    </row>
    <row r="11" spans="1:19" ht="24" x14ac:dyDescent="0.3">
      <c r="B11" s="26">
        <v>7</v>
      </c>
      <c r="C11" s="26" t="s">
        <v>103</v>
      </c>
      <c r="D11" s="26">
        <v>35</v>
      </c>
      <c r="E11" s="26">
        <v>45</v>
      </c>
      <c r="F11" s="26" t="s">
        <v>99</v>
      </c>
      <c r="G11" s="26" t="s">
        <v>41</v>
      </c>
      <c r="H11" s="26" t="s">
        <v>42</v>
      </c>
      <c r="I11" s="26" t="s">
        <v>52</v>
      </c>
      <c r="J11" s="27" t="s">
        <v>104</v>
      </c>
      <c r="K11" s="27" t="s">
        <v>105</v>
      </c>
      <c r="L11" s="27" t="s">
        <v>106</v>
      </c>
      <c r="M11" s="26">
        <f>IFERROR(INDEX(Metodologia!$C$6:$C$10,MATCH(G11,Metodologia!$B$6:$B$10,0)),0)</f>
        <v>5</v>
      </c>
      <c r="N11" s="26">
        <f>IFERROR(INDEX(Metodologia!$F$6:$F$10,MATCH(H11,Metodologia!$E$6:$E$10,0)),0)</f>
        <v>5</v>
      </c>
      <c r="O11" s="26">
        <f>IFERROR(INDEX(Metodologia!$C$14:$C$16,MATCH(I11,Metodologia!$B$14:$B$16,0)),0)</f>
        <v>5</v>
      </c>
      <c r="P11" s="26">
        <f>ROUND((M11*Metodologia!$F$14+N11*Metodologia!$F$15+O11*Metodologia!$F$16)*2,1)</f>
        <v>10</v>
      </c>
      <c r="Q11" s="26" t="str">
        <f t="shared" si="0"/>
        <v>R$30–45 mil</v>
      </c>
      <c r="R11" s="26">
        <f>RANK(P11,$P$5:$P$14,0)+COUNTIF($P$5:P11,P11)-1</f>
        <v>1</v>
      </c>
      <c r="S11" s="26">
        <f t="shared" si="1"/>
        <v>1</v>
      </c>
    </row>
    <row r="12" spans="1:19" ht="24" x14ac:dyDescent="0.3">
      <c r="B12" s="26">
        <v>8</v>
      </c>
      <c r="C12" s="26" t="s">
        <v>107</v>
      </c>
      <c r="D12" s="26">
        <v>35</v>
      </c>
      <c r="E12" s="26">
        <v>45</v>
      </c>
      <c r="F12" s="26" t="s">
        <v>99</v>
      </c>
      <c r="G12" s="26" t="s">
        <v>41</v>
      </c>
      <c r="H12" s="26" t="s">
        <v>42</v>
      </c>
      <c r="I12" s="26" t="s">
        <v>52</v>
      </c>
      <c r="J12" s="27" t="s">
        <v>108</v>
      </c>
      <c r="K12" s="27" t="s">
        <v>109</v>
      </c>
      <c r="L12" s="27" t="s">
        <v>110</v>
      </c>
      <c r="M12" s="26">
        <f>IFERROR(INDEX(Metodologia!$C$6:$C$10,MATCH(G12,Metodologia!$B$6:$B$10,0)),0)</f>
        <v>5</v>
      </c>
      <c r="N12" s="26">
        <f>IFERROR(INDEX(Metodologia!$F$6:$F$10,MATCH(H12,Metodologia!$E$6:$E$10,0)),0)</f>
        <v>5</v>
      </c>
      <c r="O12" s="26">
        <f>IFERROR(INDEX(Metodologia!$C$14:$C$16,MATCH(I12,Metodologia!$B$14:$B$16,0)),0)</f>
        <v>5</v>
      </c>
      <c r="P12" s="26">
        <f>ROUND((M12*Metodologia!$F$14+N12*Metodologia!$F$15+O12*Metodologia!$F$16)*2,1)</f>
        <v>10</v>
      </c>
      <c r="Q12" s="26" t="str">
        <f t="shared" si="0"/>
        <v>R$30–45 mil</v>
      </c>
      <c r="R12" s="26">
        <f>RANK(P12,$P$5:$P$14,0)+COUNTIF($P$5:P12,P12)-1</f>
        <v>2</v>
      </c>
      <c r="S12" s="26">
        <f t="shared" si="1"/>
        <v>2</v>
      </c>
    </row>
    <row r="13" spans="1:19" ht="36" x14ac:dyDescent="0.3">
      <c r="B13" s="26">
        <v>9</v>
      </c>
      <c r="C13" s="26" t="s">
        <v>111</v>
      </c>
      <c r="D13" s="26">
        <v>0</v>
      </c>
      <c r="E13" s="26">
        <v>30</v>
      </c>
      <c r="F13" s="26" t="s">
        <v>27</v>
      </c>
      <c r="G13" s="26" t="s">
        <v>41</v>
      </c>
      <c r="H13" s="26" t="s">
        <v>44</v>
      </c>
      <c r="I13" s="26" t="s">
        <v>52</v>
      </c>
      <c r="J13" s="27" t="s">
        <v>112</v>
      </c>
      <c r="K13" s="27" t="s">
        <v>113</v>
      </c>
      <c r="L13" s="27" t="s">
        <v>114</v>
      </c>
      <c r="M13" s="26">
        <f>IFERROR(INDEX(Metodologia!$C$6:$C$10,MATCH(G13,Metodologia!$B$6:$B$10,0)),0)</f>
        <v>5</v>
      </c>
      <c r="N13" s="26">
        <f>IFERROR(INDEX(Metodologia!$F$6:$F$10,MATCH(H13,Metodologia!$E$6:$E$10,0)),0)</f>
        <v>4</v>
      </c>
      <c r="O13" s="26">
        <f>IFERROR(INDEX(Metodologia!$C$14:$C$16,MATCH(I13,Metodologia!$B$14:$B$16,0)),0)</f>
        <v>5</v>
      </c>
      <c r="P13" s="26">
        <f>ROUND((M13*Metodologia!$F$14+N13*Metodologia!$F$15+O13*Metodologia!$F$16)*2,1)</f>
        <v>9.3000000000000007</v>
      </c>
      <c r="Q13" s="26" t="str">
        <f t="shared" si="0"/>
        <v>Até R$30 mil</v>
      </c>
      <c r="R13" s="26">
        <f>RANK(P13,$P$5:$P$14,0)+COUNTIF($P$5:P13,P13)-1</f>
        <v>3</v>
      </c>
      <c r="S13" s="26">
        <f t="shared" si="1"/>
        <v>1</v>
      </c>
    </row>
    <row r="14" spans="1:19" ht="24" x14ac:dyDescent="0.3">
      <c r="B14" s="26">
        <v>10</v>
      </c>
      <c r="C14" s="26" t="s">
        <v>115</v>
      </c>
      <c r="D14" s="26">
        <v>0</v>
      </c>
      <c r="E14" s="26">
        <v>30</v>
      </c>
      <c r="F14" s="26" t="s">
        <v>27</v>
      </c>
      <c r="G14" s="26" t="s">
        <v>41</v>
      </c>
      <c r="H14" s="26" t="s">
        <v>44</v>
      </c>
      <c r="I14" s="26" t="s">
        <v>52</v>
      </c>
      <c r="J14" s="27" t="s">
        <v>116</v>
      </c>
      <c r="K14" s="27" t="s">
        <v>117</v>
      </c>
      <c r="L14" s="27" t="s">
        <v>118</v>
      </c>
      <c r="M14" s="26">
        <f>IFERROR(INDEX(Metodologia!$C$6:$C$10,MATCH(G14,Metodologia!$B$6:$B$10,0)),0)</f>
        <v>5</v>
      </c>
      <c r="N14" s="26">
        <f>IFERROR(INDEX(Metodologia!$F$6:$F$10,MATCH(H14,Metodologia!$E$6:$E$10,0)),0)</f>
        <v>4</v>
      </c>
      <c r="O14" s="26">
        <f>IFERROR(INDEX(Metodologia!$C$14:$C$16,MATCH(I14,Metodologia!$B$14:$B$16,0)),0)</f>
        <v>5</v>
      </c>
      <c r="P14" s="26">
        <f>ROUND((M14*Metodologia!$F$14+N14*Metodologia!$F$15+O14*Metodologia!$F$16)*2,1)</f>
        <v>9.3000000000000007</v>
      </c>
      <c r="Q14" s="26" t="str">
        <f t="shared" si="0"/>
        <v>Até R$30 mil</v>
      </c>
      <c r="R14" s="26">
        <f>RANK(P14,$P$5:$P$14,0)+COUNTIF($P$5:P14,P14)-1</f>
        <v>4</v>
      </c>
      <c r="S14" s="26">
        <f t="shared" si="1"/>
        <v>2</v>
      </c>
    </row>
  </sheetData>
  <mergeCells count="2">
    <mergeCell ref="B1:Q1"/>
    <mergeCell ref="B2:Q2"/>
  </mergeCells>
  <conditionalFormatting sqref="P5:P14">
    <cfRule type="colorScale" priority="2">
      <colorScale>
        <cfvo type="min"/>
        <cfvo type="max"/>
        <color rgb="FFFDE2E1"/>
        <color rgb="FFDCFCE7"/>
      </colorScale>
    </cfRule>
  </conditionalFormatting>
  <hyperlinks>
    <hyperlink ref="A1" r:id="rId1" location="'Capa'!A1" xr:uid="{00000000-0004-0000-0300-000000000000}"/>
  </hyperlinks>
  <pageMargins left="0.75" right="0.75" top="1" bottom="1" header="0.511811023622047" footer="0.511811023622047"/>
  <pageSetup paperSize="9" orientation="portrait" horizontalDpi="300" verticalDpi="30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showGridLines="0" topLeftCell="A21" zoomScaleNormal="100" workbookViewId="0"/>
  </sheetViews>
  <sheetFormatPr defaultColWidth="8.6640625" defaultRowHeight="14.4" x14ac:dyDescent="0.3"/>
  <cols>
    <col min="1" max="1" width="3" customWidth="1"/>
    <col min="2" max="2" width="22" customWidth="1"/>
    <col min="3" max="5" width="11" customWidth="1"/>
    <col min="6" max="6" width="30" customWidth="1"/>
    <col min="7" max="7" width="34" customWidth="1"/>
    <col min="8" max="8" width="3" customWidth="1"/>
  </cols>
  <sheetData>
    <row r="1" spans="1:8" x14ac:dyDescent="0.3">
      <c r="A1" s="13" t="s">
        <v>12</v>
      </c>
    </row>
    <row r="2" spans="1:8" ht="21" x14ac:dyDescent="0.4">
      <c r="B2" s="48" t="s">
        <v>119</v>
      </c>
      <c r="C2" s="48"/>
      <c r="D2" s="48"/>
      <c r="E2" s="48"/>
      <c r="F2" s="48"/>
      <c r="G2" s="48"/>
    </row>
    <row r="3" spans="1:8" x14ac:dyDescent="0.3">
      <c r="B3" s="2" t="s">
        <v>120</v>
      </c>
      <c r="C3" s="2"/>
      <c r="D3" s="2"/>
      <c r="E3" s="2"/>
      <c r="F3" s="2"/>
      <c r="G3" s="2"/>
    </row>
    <row r="5" spans="1:8" ht="21.75" customHeight="1" x14ac:dyDescent="0.3">
      <c r="B5" s="53" t="s">
        <v>121</v>
      </c>
      <c r="C5" s="53"/>
      <c r="D5" s="53"/>
      <c r="E5" s="53"/>
      <c r="F5" s="53"/>
      <c r="G5" s="53"/>
      <c r="H5" s="53"/>
    </row>
    <row r="6" spans="1:8" ht="84" x14ac:dyDescent="0.3">
      <c r="B6" s="28" t="s">
        <v>122</v>
      </c>
      <c r="C6" s="28" t="s">
        <v>33</v>
      </c>
      <c r="D6" s="28" t="s">
        <v>53</v>
      </c>
      <c r="E6" s="28" t="s">
        <v>55</v>
      </c>
      <c r="F6" s="28" t="s">
        <v>57</v>
      </c>
      <c r="G6" s="28" t="s">
        <v>35</v>
      </c>
      <c r="H6" s="28" t="s">
        <v>68</v>
      </c>
    </row>
    <row r="7" spans="1:8" ht="120" x14ac:dyDescent="0.3">
      <c r="B7" s="29">
        <v>1</v>
      </c>
      <c r="C7" s="29" t="str">
        <f>IFERROR(INDEX('Base de Dados'!$C$5:$C$14,(SUMPRODUCT(('Base de Dados'!$Q$5:$Q$14=TRIM($B$5))*('Base de Dados'!$S$5:$S$14=1)*ROW('Base de Dados'!$Q$5:$Q$14)))-4),"—")</f>
        <v>Corsa Max</v>
      </c>
      <c r="D7" s="29" t="str">
        <f>IFERROR(INDEX('Base de Dados'!$G$5:$G$14,(SUMPRODUCT(('Base de Dados'!$Q$5:$Q$14=TRIM($B$5))*('Base de Dados'!$S$5:$S$14=1)*ROW('Base de Dados'!$Q$5:$Q$14)))-4),"")</f>
        <v>Muito baixa</v>
      </c>
      <c r="E7" s="29" t="str">
        <f>IFERROR(INDEX('Base de Dados'!$H$5:$H$14,(SUMPRODUCT(('Base de Dados'!$Q$5:$Q$14=TRIM($B$5))*('Base de Dados'!$S$5:$S$14=1)*ROW('Base de Dados'!$Q$5:$Q$14)))-4),"")</f>
        <v>Boa</v>
      </c>
      <c r="F7" s="29" t="str">
        <f>IFERROR(INDEX('Base de Dados'!$I$5:$I$14,(SUMPRODUCT(('Base de Dados'!$Q$5:$Q$14=TRIM($B$5))*('Base de Dados'!$S$5:$S$14=1)*ROW('Base de Dados'!$Q$5:$Q$14)))-4),"")</f>
        <v>Baixo</v>
      </c>
      <c r="G7" s="29">
        <f>IFERROR(INDEX('Base de Dados'!$P$5:$P$14,(SUMPRODUCT(('Base de Dados'!$Q$5:$Q$14=TRIM($B$5))*('Base de Dados'!$S$5:$S$14=1)*ROW('Base de Dados'!$Q$5:$Q$14)))-4),"")</f>
        <v>9.3000000000000007</v>
      </c>
      <c r="H7" s="30" t="str">
        <f>IFERROR(INDEX('Base de Dados'!$L$5:$L$14,(SUMPRODUCT(('Base de Dados'!$Q$5:$Q$14=TRIM($B$5))*('Base de Dados'!$S$5:$S$14=1)*ROW('Base de Dados'!$Q$5:$Q$14)))-4),"")</f>
        <v>Primeiro carro barato</v>
      </c>
    </row>
    <row r="8" spans="1:8" ht="72" x14ac:dyDescent="0.3">
      <c r="B8" s="31">
        <v>2</v>
      </c>
      <c r="C8" s="31" t="str">
        <f>IFERROR(INDEX('Base de Dados'!$C$5:$C$14,(SUMPRODUCT(('Base de Dados'!$Q$5:$Q$14=TRIM($B$5))*('Base de Dados'!$S$5:$S$14=2)*ROW('Base de Dados'!$Q$5:$Q$14)))-4),"—")</f>
        <v>Palio Fire/Classic</v>
      </c>
      <c r="D8" s="31" t="str">
        <f>IFERROR(INDEX('Base de Dados'!$G$5:$G$14,(SUMPRODUCT(('Base de Dados'!$Q$5:$Q$14=TRIM($B$5))*('Base de Dados'!$S$5:$S$14=2)*ROW('Base de Dados'!$Q$5:$Q$14)))-4),"")</f>
        <v>Muito baixa</v>
      </c>
      <c r="E8" s="31" t="str">
        <f>IFERROR(INDEX('Base de Dados'!$H$5:$H$14,(SUMPRODUCT(('Base de Dados'!$Q$5:$Q$14=TRIM($B$5))*('Base de Dados'!$S$5:$S$14=2)*ROW('Base de Dados'!$Q$5:$Q$14)))-4),"")</f>
        <v>Boa</v>
      </c>
      <c r="F8" s="31" t="str">
        <f>IFERROR(INDEX('Base de Dados'!$I$5:$I$14,(SUMPRODUCT(('Base de Dados'!$Q$5:$Q$14=TRIM($B$5))*('Base de Dados'!$S$5:$S$14=2)*ROW('Base de Dados'!$Q$5:$Q$14)))-4),"")</f>
        <v>Baixo</v>
      </c>
      <c r="G8" s="31">
        <f>IFERROR(INDEX('Base de Dados'!$P$5:$P$14,(SUMPRODUCT(('Base de Dados'!$Q$5:$Q$14=TRIM($B$5))*('Base de Dados'!$S$5:$S$14=2)*ROW('Base de Dados'!$Q$5:$Q$14)))-4),"")</f>
        <v>9.3000000000000007</v>
      </c>
      <c r="H8" s="32" t="str">
        <f>IFERROR(INDEX('Base de Dados'!$L$5:$L$14,(SUMPRODUCT(('Base de Dados'!$Q$5:$Q$14=TRIM($B$5))*('Base de Dados'!$S$5:$S$14=2)*ROW('Base de Dados'!$Q$5:$Q$14)))-4),"")</f>
        <v>Última opção</v>
      </c>
    </row>
    <row r="9" spans="1:8" x14ac:dyDescent="0.3">
      <c r="B9" s="29">
        <v>3</v>
      </c>
      <c r="C9" s="29" t="str">
        <f>IFERROR(INDEX('Base de Dados'!$C$5:$C$14,(SUMPRODUCT(('Base de Dados'!$Q$5:$Q$14=TRIM($B$5))*('Base de Dados'!$S$5:$S$14=3)*ROW('Base de Dados'!$Q$5:$Q$14)))-4),"—")</f>
        <v>—</v>
      </c>
      <c r="D9" s="29" t="str">
        <f>IFERROR(INDEX('Base de Dados'!$G$5:$G$14,(SUMPRODUCT(('Base de Dados'!$Q$5:$Q$14=TRIM($B$5))*('Base de Dados'!$S$5:$S$14=3)*ROW('Base de Dados'!$Q$5:$Q$14)))-4),"")</f>
        <v/>
      </c>
      <c r="E9" s="29" t="str">
        <f>IFERROR(INDEX('Base de Dados'!$H$5:$H$14,(SUMPRODUCT(('Base de Dados'!$Q$5:$Q$14=TRIM($B$5))*('Base de Dados'!$S$5:$S$14=3)*ROW('Base de Dados'!$Q$5:$Q$14)))-4),"")</f>
        <v/>
      </c>
      <c r="F9" s="29" t="str">
        <f>IFERROR(INDEX('Base de Dados'!$I$5:$I$14,(SUMPRODUCT(('Base de Dados'!$Q$5:$Q$14=TRIM($B$5))*('Base de Dados'!$S$5:$S$14=3)*ROW('Base de Dados'!$Q$5:$Q$14)))-4),"")</f>
        <v/>
      </c>
      <c r="G9" s="29" t="str">
        <f>IFERROR(INDEX('Base de Dados'!$P$5:$P$14,(SUMPRODUCT(('Base de Dados'!$Q$5:$Q$14=TRIM($B$5))*('Base de Dados'!$S$5:$S$14=3)*ROW('Base de Dados'!$Q$5:$Q$14)))-4),"")</f>
        <v/>
      </c>
      <c r="H9" s="30" t="str">
        <f>IFERROR(INDEX('Base de Dados'!$L$5:$L$14,(SUMPRODUCT(('Base de Dados'!$Q$5:$Q$14=TRIM($B$5))*('Base de Dados'!$S$5:$S$14=3)*ROW('Base de Dados'!$Q$5:$Q$14)))-4),"")</f>
        <v/>
      </c>
    </row>
    <row r="10" spans="1:8" x14ac:dyDescent="0.3">
      <c r="B10" s="31">
        <v>4</v>
      </c>
      <c r="C10" s="31" t="str">
        <f>IFERROR(INDEX('Base de Dados'!$C$5:$C$14,(SUMPRODUCT(('Base de Dados'!$Q$5:$Q$14=TRIM($B$5))*('Base de Dados'!$S$5:$S$14=4)*ROW('Base de Dados'!$Q$5:$Q$14)))-4),"—")</f>
        <v>—</v>
      </c>
      <c r="D10" s="31" t="str">
        <f>IFERROR(INDEX('Base de Dados'!$G$5:$G$14,(SUMPRODUCT(('Base de Dados'!$Q$5:$Q$14=TRIM($B$5))*('Base de Dados'!$S$5:$S$14=4)*ROW('Base de Dados'!$Q$5:$Q$14)))-4),"")</f>
        <v/>
      </c>
      <c r="E10" s="31" t="str">
        <f>IFERROR(INDEX('Base de Dados'!$H$5:$H$14,(SUMPRODUCT(('Base de Dados'!$Q$5:$Q$14=TRIM($B$5))*('Base de Dados'!$S$5:$S$14=4)*ROW('Base de Dados'!$Q$5:$Q$14)))-4),"")</f>
        <v/>
      </c>
      <c r="F10" s="31" t="str">
        <f>IFERROR(INDEX('Base de Dados'!$I$5:$I$14,(SUMPRODUCT(('Base de Dados'!$Q$5:$Q$14=TRIM($B$5))*('Base de Dados'!$S$5:$S$14=4)*ROW('Base de Dados'!$Q$5:$Q$14)))-4),"")</f>
        <v/>
      </c>
      <c r="G10" s="31" t="str">
        <f>IFERROR(INDEX('Base de Dados'!$P$5:$P$14,(SUMPRODUCT(('Base de Dados'!$Q$5:$Q$14=TRIM($B$5))*('Base de Dados'!$S$5:$S$14=4)*ROW('Base de Dados'!$Q$5:$Q$14)))-4),"")</f>
        <v/>
      </c>
      <c r="H10" s="32" t="str">
        <f>IFERROR(INDEX('Base de Dados'!$L$5:$L$14,(SUMPRODUCT(('Base de Dados'!$Q$5:$Q$14=TRIM($B$5))*('Base de Dados'!$S$5:$S$14=4)*ROW('Base de Dados'!$Q$5:$Q$14)))-4),"")</f>
        <v/>
      </c>
    </row>
    <row r="12" spans="1:8" ht="21.75" customHeight="1" x14ac:dyDescent="0.3">
      <c r="B12" s="54" t="s">
        <v>123</v>
      </c>
      <c r="C12" s="54"/>
      <c r="D12" s="54"/>
      <c r="E12" s="54"/>
      <c r="F12" s="54"/>
      <c r="G12" s="54"/>
      <c r="H12" s="54"/>
    </row>
    <row r="13" spans="1:8" ht="84" x14ac:dyDescent="0.3">
      <c r="B13" s="28" t="s">
        <v>122</v>
      </c>
      <c r="C13" s="28" t="s">
        <v>33</v>
      </c>
      <c r="D13" s="28" t="s">
        <v>53</v>
      </c>
      <c r="E13" s="28" t="s">
        <v>55</v>
      </c>
      <c r="F13" s="28" t="s">
        <v>57</v>
      </c>
      <c r="G13" s="28" t="s">
        <v>35</v>
      </c>
      <c r="H13" s="28" t="s">
        <v>68</v>
      </c>
    </row>
    <row r="14" spans="1:8" ht="84" x14ac:dyDescent="0.3">
      <c r="B14" s="29">
        <v>1</v>
      </c>
      <c r="C14" s="29" t="str">
        <f>IFERROR(INDEX('Base de Dados'!$C$5:$C$14,(SUMPRODUCT(('Base de Dados'!$Q$5:$Q$14=TRIM($B$12))*('Base de Dados'!$S$5:$S$14=1)*ROW('Base de Dados'!$Q$5:$Q$14)))-4),"—")</f>
        <v>Honda Fit 2008/09</v>
      </c>
      <c r="D14" s="29" t="str">
        <f>IFERROR(INDEX('Base de Dados'!$G$5:$G$14,(SUMPRODUCT(('Base de Dados'!$Q$5:$Q$14=TRIM($B$12))*('Base de Dados'!$S$5:$S$14=1)*ROW('Base de Dados'!$Q$5:$Q$14)))-4),"")</f>
        <v>Muito baixa</v>
      </c>
      <c r="E14" s="29" t="str">
        <f>IFERROR(INDEX('Base de Dados'!$H$5:$H$14,(SUMPRODUCT(('Base de Dados'!$Q$5:$Q$14=TRIM($B$12))*('Base de Dados'!$S$5:$S$14=1)*ROW('Base de Dados'!$Q$5:$Q$14)))-4),"")</f>
        <v>Excelente</v>
      </c>
      <c r="F14" s="29" t="str">
        <f>IFERROR(INDEX('Base de Dados'!$I$5:$I$14,(SUMPRODUCT(('Base de Dados'!$Q$5:$Q$14=TRIM($B$12))*('Base de Dados'!$S$5:$S$14=1)*ROW('Base de Dados'!$Q$5:$Q$14)))-4),"")</f>
        <v>Baixo</v>
      </c>
      <c r="G14" s="29">
        <f>IFERROR(INDEX('Base de Dados'!$P$5:$P$14,(SUMPRODUCT(('Base de Dados'!$Q$5:$Q$14=TRIM($B$12))*('Base de Dados'!$S$5:$S$14=1)*ROW('Base de Dados'!$Q$5:$Q$14)))-4),"")</f>
        <v>10</v>
      </c>
      <c r="H14" s="30" t="str">
        <f>IFERROR(INDEX('Base de Dados'!$L$5:$L$14,(SUMPRODUCT(('Base de Dados'!$Q$5:$Q$14=TRIM($B$12))*('Base de Dados'!$S$5:$S$14=1)*ROW('Base de Dados'!$Q$5:$Q$14)))-4),"")</f>
        <v>Muito racional</v>
      </c>
    </row>
    <row r="15" spans="1:8" ht="36" x14ac:dyDescent="0.3">
      <c r="B15" s="31">
        <v>2</v>
      </c>
      <c r="C15" s="31" t="str">
        <f>IFERROR(INDEX('Base de Dados'!$C$5:$C$14,(SUMPRODUCT(('Base de Dados'!$Q$5:$Q$14=TRIM($B$12))*('Base de Dados'!$S$5:$S$14=2)*ROW('Base de Dados'!$Q$5:$Q$14)))-4),"—")</f>
        <v>Uno Firefly</v>
      </c>
      <c r="D15" s="31" t="str">
        <f>IFERROR(INDEX('Base de Dados'!$G$5:$G$14,(SUMPRODUCT(('Base de Dados'!$Q$5:$Q$14=TRIM($B$12))*('Base de Dados'!$S$5:$S$14=2)*ROW('Base de Dados'!$Q$5:$Q$14)))-4),"")</f>
        <v>Muito baixa</v>
      </c>
      <c r="E15" s="31" t="str">
        <f>IFERROR(INDEX('Base de Dados'!$H$5:$H$14,(SUMPRODUCT(('Base de Dados'!$Q$5:$Q$14=TRIM($B$12))*('Base de Dados'!$S$5:$S$14=2)*ROW('Base de Dados'!$Q$5:$Q$14)))-4),"")</f>
        <v>Excelente</v>
      </c>
      <c r="F15" s="31" t="str">
        <f>IFERROR(INDEX('Base de Dados'!$I$5:$I$14,(SUMPRODUCT(('Base de Dados'!$Q$5:$Q$14=TRIM($B$12))*('Base de Dados'!$S$5:$S$14=2)*ROW('Base de Dados'!$Q$5:$Q$14)))-4),"")</f>
        <v>Baixo</v>
      </c>
      <c r="G15" s="31">
        <f>IFERROR(INDEX('Base de Dados'!$P$5:$P$14,(SUMPRODUCT(('Base de Dados'!$Q$5:$Q$14=TRIM($B$12))*('Base de Dados'!$S$5:$S$14=2)*ROW('Base de Dados'!$Q$5:$Q$14)))-4),"")</f>
        <v>10</v>
      </c>
      <c r="H15" s="32" t="str">
        <f>IFERROR(INDEX('Base de Dados'!$L$5:$L$14,(SUMPRODUCT(('Base de Dados'!$Q$5:$Q$14=TRIM($B$12))*('Base de Dados'!$S$5:$S$14=2)*ROW('Base de Dados'!$Q$5:$Q$14)))-4),"")</f>
        <v>Cidade</v>
      </c>
    </row>
    <row r="16" spans="1:8" ht="144" x14ac:dyDescent="0.3">
      <c r="B16" s="29">
        <v>3</v>
      </c>
      <c r="C16" s="29" t="str">
        <f>IFERROR(INDEX('Base de Dados'!$C$5:$C$14,(SUMPRODUCT(('Base de Dados'!$Q$5:$Q$14=TRIM($B$12))*('Base de Dados'!$S$5:$S$14=3)*ROW('Base de Dados'!$Q$5:$Q$14)))-4),"—")</f>
        <v>Nissan Tiida 1.8</v>
      </c>
      <c r="D16" s="29" t="str">
        <f>IFERROR(INDEX('Base de Dados'!$G$5:$G$14,(SUMPRODUCT(('Base de Dados'!$Q$5:$Q$14=TRIM($B$12))*('Base de Dados'!$S$5:$S$14=3)*ROW('Base de Dados'!$Q$5:$Q$14)))-4),"")</f>
        <v>Baixa</v>
      </c>
      <c r="E16" s="29" t="str">
        <f>IFERROR(INDEX('Base de Dados'!$H$5:$H$14,(SUMPRODUCT(('Base de Dados'!$Q$5:$Q$14=TRIM($B$12))*('Base de Dados'!$S$5:$S$14=3)*ROW('Base de Dados'!$Q$5:$Q$14)))-4),"")</f>
        <v>Média</v>
      </c>
      <c r="F16" s="29" t="str">
        <f>IFERROR(INDEX('Base de Dados'!$I$5:$I$14,(SUMPRODUCT(('Base de Dados'!$Q$5:$Q$14=TRIM($B$12))*('Base de Dados'!$S$5:$S$14=3)*ROW('Base de Dados'!$Q$5:$Q$14)))-4),"")</f>
        <v>Médio</v>
      </c>
      <c r="G16" s="29">
        <f>IFERROR(INDEX('Base de Dados'!$P$5:$P$14,(SUMPRODUCT(('Base de Dados'!$Q$5:$Q$14=TRIM($B$12))*('Base de Dados'!$S$5:$S$14=3)*ROW('Base de Dados'!$Q$5:$Q$14)))-4),"")</f>
        <v>6.8</v>
      </c>
      <c r="H16" s="30" t="str">
        <f>IFERROR(INDEX('Base de Dados'!$L$5:$L$14,(SUMPRODUCT(('Base de Dados'!$Q$5:$Q$14=TRIM($B$12))*('Base de Dados'!$S$5:$S$14=3)*ROW('Base de Dados'!$Q$5:$Q$14)))-4),"")</f>
        <v>Excelente custo-benefício</v>
      </c>
    </row>
    <row r="17" spans="2:8" ht="72" x14ac:dyDescent="0.3">
      <c r="B17" s="31">
        <v>4</v>
      </c>
      <c r="C17" s="31" t="str">
        <f>IFERROR(INDEX('Base de Dados'!$C$5:$C$14,(SUMPRODUCT(('Base de Dados'!$Q$5:$Q$14=TRIM($B$12))*('Base de Dados'!$S$5:$S$14=4)*ROW('Base de Dados'!$Q$5:$Q$14)))-4),"—")</f>
        <v>Kia Cerato 2010</v>
      </c>
      <c r="D17" s="31" t="str">
        <f>IFERROR(INDEX('Base de Dados'!$G$5:$G$14,(SUMPRODUCT(('Base de Dados'!$Q$5:$Q$14=TRIM($B$12))*('Base de Dados'!$S$5:$S$14=4)*ROW('Base de Dados'!$Q$5:$Q$14)))-4),"")</f>
        <v>Média</v>
      </c>
      <c r="E17" s="31" t="str">
        <f>IFERROR(INDEX('Base de Dados'!$H$5:$H$14,(SUMPRODUCT(('Base de Dados'!$Q$5:$Q$14=TRIM($B$12))*('Base de Dados'!$S$5:$S$14=4)*ROW('Base de Dados'!$Q$5:$Q$14)))-4),"")</f>
        <v>Média</v>
      </c>
      <c r="F17" s="31" t="str">
        <f>IFERROR(INDEX('Base de Dados'!$I$5:$I$14,(SUMPRODUCT(('Base de Dados'!$Q$5:$Q$14=TRIM($B$12))*('Base de Dados'!$S$5:$S$14=4)*ROW('Base de Dados'!$Q$5:$Q$14)))-4),"")</f>
        <v>Médio</v>
      </c>
      <c r="G17" s="31">
        <f>IFERROR(INDEX('Base de Dados'!$P$5:$P$14,(SUMPRODUCT(('Base de Dados'!$Q$5:$Q$14=TRIM($B$12))*('Base de Dados'!$S$5:$S$14=4)*ROW('Base de Dados'!$Q$5:$Q$14)))-4),"")</f>
        <v>6</v>
      </c>
      <c r="H17" s="32" t="str">
        <f>IFERROR(INDEX('Base de Dados'!$L$5:$L$14,(SUMPRODUCT(('Base de Dados'!$Q$5:$Q$14=TRIM($B$12))*('Base de Dados'!$S$5:$S$14=4)*ROW('Base de Dados'!$Q$5:$Q$14)))-4),"")</f>
        <v>Boa opção</v>
      </c>
    </row>
    <row r="19" spans="2:8" ht="21.75" customHeight="1" x14ac:dyDescent="0.3">
      <c r="B19" s="55" t="s">
        <v>124</v>
      </c>
      <c r="C19" s="55"/>
      <c r="D19" s="55"/>
      <c r="E19" s="55"/>
      <c r="F19" s="55"/>
      <c r="G19" s="55"/>
      <c r="H19" s="55"/>
    </row>
    <row r="20" spans="2:8" ht="84" x14ac:dyDescent="0.3">
      <c r="B20" s="28" t="s">
        <v>122</v>
      </c>
      <c r="C20" s="28" t="s">
        <v>33</v>
      </c>
      <c r="D20" s="28" t="s">
        <v>53</v>
      </c>
      <c r="E20" s="28" t="s">
        <v>55</v>
      </c>
      <c r="F20" s="28" t="s">
        <v>57</v>
      </c>
      <c r="G20" s="28" t="s">
        <v>35</v>
      </c>
      <c r="H20" s="28" t="s">
        <v>68</v>
      </c>
    </row>
    <row r="21" spans="2:8" ht="132" x14ac:dyDescent="0.3">
      <c r="B21" s="29">
        <v>1</v>
      </c>
      <c r="C21" s="29" t="str">
        <f>IFERROR(INDEX('Base de Dados'!$C$5:$C$14,(SUMPRODUCT(('Base de Dados'!$Q$5:$Q$14=TRIM($B$19))*('Base de Dados'!$S$5:$S$14=1)*ROW('Base de Dados'!$Q$5:$Q$14)))-4),"—")</f>
        <v>HB20 1.6 Manual 2017</v>
      </c>
      <c r="D21" s="29" t="str">
        <f>IFERROR(INDEX('Base de Dados'!$G$5:$G$14,(SUMPRODUCT(('Base de Dados'!$Q$5:$Q$14=TRIM($B$19))*('Base de Dados'!$S$5:$S$14=1)*ROW('Base de Dados'!$Q$5:$Q$14)))-4),"")</f>
        <v>Baixa</v>
      </c>
      <c r="E21" s="29" t="str">
        <f>IFERROR(INDEX('Base de Dados'!$H$5:$H$14,(SUMPRODUCT(('Base de Dados'!$Q$5:$Q$14=TRIM($B$19))*('Base de Dados'!$S$5:$S$14=1)*ROW('Base de Dados'!$Q$5:$Q$14)))-4),"")</f>
        <v>Boa</v>
      </c>
      <c r="F21" s="29" t="str">
        <f>IFERROR(INDEX('Base de Dados'!$I$5:$I$14,(SUMPRODUCT(('Base de Dados'!$Q$5:$Q$14=TRIM($B$19))*('Base de Dados'!$S$5:$S$14=1)*ROW('Base de Dados'!$Q$5:$Q$14)))-4),"")</f>
        <v>Médio</v>
      </c>
      <c r="G21" s="29">
        <f>IFERROR(INDEX('Base de Dados'!$P$5:$P$14,(SUMPRODUCT(('Base de Dados'!$Q$5:$Q$14=TRIM($B$19))*('Base de Dados'!$S$5:$S$14=1)*ROW('Base de Dados'!$Q$5:$Q$14)))-4),"")</f>
        <v>7.5</v>
      </c>
      <c r="H21" s="30" t="str">
        <f>IFERROR(INDEX('Base de Dados'!$L$5:$L$14,(SUMPRODUCT(('Base de Dados'!$Q$5:$Q$14=TRIM($B$19))*('Base de Dados'!$S$5:$S$14=1)*ROW('Base de Dados'!$Q$5:$Q$14)))-4),"")</f>
        <v>Melhor custo-benefício</v>
      </c>
    </row>
    <row r="22" spans="2:8" ht="108" x14ac:dyDescent="0.3">
      <c r="B22" s="31">
        <v>2</v>
      </c>
      <c r="C22" s="31" t="str">
        <f>IFERROR(INDEX('Base de Dados'!$C$5:$C$14,(SUMPRODUCT(('Base de Dados'!$Q$5:$Q$14=TRIM($B$19))*('Base de Dados'!$S$5:$S$14=2)*ROW('Base de Dados'!$Q$5:$Q$14)))-4),"—")</f>
        <v>Onix LTZ 1.4 AT 2018</v>
      </c>
      <c r="D22" s="31" t="str">
        <f>IFERROR(INDEX('Base de Dados'!$G$5:$G$14,(SUMPRODUCT(('Base de Dados'!$Q$5:$Q$14=TRIM($B$19))*('Base de Dados'!$S$5:$S$14=2)*ROW('Base de Dados'!$Q$5:$Q$14)))-4),"")</f>
        <v>Baixa</v>
      </c>
      <c r="E22" s="31" t="str">
        <f>IFERROR(INDEX('Base de Dados'!$H$5:$H$14,(SUMPRODUCT(('Base de Dados'!$Q$5:$Q$14=TRIM($B$19))*('Base de Dados'!$S$5:$S$14=2)*ROW('Base de Dados'!$Q$5:$Q$14)))-4),"")</f>
        <v>Boa</v>
      </c>
      <c r="F22" s="31" t="str">
        <f>IFERROR(INDEX('Base de Dados'!$I$5:$I$14,(SUMPRODUCT(('Base de Dados'!$Q$5:$Q$14=TRIM($B$19))*('Base de Dados'!$S$5:$S$14=2)*ROW('Base de Dados'!$Q$5:$Q$14)))-4),"")</f>
        <v>Médio</v>
      </c>
      <c r="G22" s="31">
        <f>IFERROR(INDEX('Base de Dados'!$P$5:$P$14,(SUMPRODUCT(('Base de Dados'!$Q$5:$Q$14=TRIM($B$19))*('Base de Dados'!$S$5:$S$14=2)*ROW('Base de Dados'!$Q$5:$Q$14)))-4),"")</f>
        <v>7.5</v>
      </c>
      <c r="H22" s="32" t="str">
        <f>IFERROR(INDEX('Base de Dados'!$L$5:$L$14,(SUMPRODUCT(('Base de Dados'!$Q$5:$Q$14=TRIM($B$19))*('Base de Dados'!$S$5:$S$14=2)*ROW('Base de Dados'!$Q$5:$Q$14)))-4),"")</f>
        <v>Melhor automático</v>
      </c>
    </row>
    <row r="23" spans="2:8" ht="72" x14ac:dyDescent="0.3">
      <c r="B23" s="29">
        <v>3</v>
      </c>
      <c r="C23" s="29" t="str">
        <f>IFERROR(INDEX('Base de Dados'!$C$5:$C$14,(SUMPRODUCT(('Base de Dados'!$Q$5:$Q$14=TRIM($B$19))*('Base de Dados'!$S$5:$S$14=3)*ROW('Base de Dados'!$Q$5:$Q$14)))-4),"—")</f>
        <v>Fiat Argo 1.3</v>
      </c>
      <c r="D23" s="29" t="str">
        <f>IFERROR(INDEX('Base de Dados'!$G$5:$G$14,(SUMPRODUCT(('Base de Dados'!$Q$5:$Q$14=TRIM($B$19))*('Base de Dados'!$S$5:$S$14=3)*ROW('Base de Dados'!$Q$5:$Q$14)))-4),"")</f>
        <v>Baixa</v>
      </c>
      <c r="E23" s="29" t="str">
        <f>IFERROR(INDEX('Base de Dados'!$H$5:$H$14,(SUMPRODUCT(('Base de Dados'!$Q$5:$Q$14=TRIM($B$19))*('Base de Dados'!$S$5:$S$14=3)*ROW('Base de Dados'!$Q$5:$Q$14)))-4),"")</f>
        <v>Boa</v>
      </c>
      <c r="F23" s="29" t="str">
        <f>IFERROR(INDEX('Base de Dados'!$I$5:$I$14,(SUMPRODUCT(('Base de Dados'!$Q$5:$Q$14=TRIM($B$19))*('Base de Dados'!$S$5:$S$14=3)*ROW('Base de Dados'!$Q$5:$Q$14)))-4),"")</f>
        <v>Médio</v>
      </c>
      <c r="G23" s="29">
        <f>IFERROR(INDEX('Base de Dados'!$P$5:$P$14,(SUMPRODUCT(('Base de Dados'!$Q$5:$Q$14=TRIM($B$19))*('Base de Dados'!$S$5:$S$14=3)*ROW('Base de Dados'!$Q$5:$Q$14)))-4),"")</f>
        <v>7.5</v>
      </c>
      <c r="H23" s="30" t="str">
        <f>IFERROR(INDEX('Base de Dados'!$L$5:$L$14,(SUMPRODUCT(('Base de Dados'!$Q$5:$Q$14=TRIM($B$19))*('Base de Dados'!$S$5:$S$14=3)*ROW('Base de Dados'!$Q$5:$Q$14)))-4),"")</f>
        <v>Ótimo diário</v>
      </c>
    </row>
    <row r="24" spans="2:8" ht="96" x14ac:dyDescent="0.3">
      <c r="B24" s="31">
        <v>4</v>
      </c>
      <c r="C24" s="31" t="str">
        <f>IFERROR(INDEX('Base de Dados'!$C$5:$C$14,(SUMPRODUCT(('Base de Dados'!$Q$5:$Q$14=TRIM($B$19))*('Base de Dados'!$S$5:$S$14=4)*ROW('Base de Dados'!$Q$5:$Q$14)))-4),"—")</f>
        <v>Hyundai i30</v>
      </c>
      <c r="D24" s="31" t="str">
        <f>IFERROR(INDEX('Base de Dados'!$G$5:$G$14,(SUMPRODUCT(('Base de Dados'!$Q$5:$Q$14=TRIM($B$19))*('Base de Dados'!$S$5:$S$14=4)*ROW('Base de Dados'!$Q$5:$Q$14)))-4),"")</f>
        <v>Média</v>
      </c>
      <c r="E24" s="31" t="str">
        <f>IFERROR(INDEX('Base de Dados'!$H$5:$H$14,(SUMPRODUCT(('Base de Dados'!$Q$5:$Q$14=TRIM($B$19))*('Base de Dados'!$S$5:$S$14=4)*ROW('Base de Dados'!$Q$5:$Q$14)))-4),"")</f>
        <v>Média</v>
      </c>
      <c r="F24" s="31" t="str">
        <f>IFERROR(INDEX('Base de Dados'!$I$5:$I$14,(SUMPRODUCT(('Base de Dados'!$Q$5:$Q$14=TRIM($B$19))*('Base de Dados'!$S$5:$S$14=4)*ROW('Base de Dados'!$Q$5:$Q$14)))-4),"")</f>
        <v>Alto</v>
      </c>
      <c r="G24" s="31">
        <f>IFERROR(INDEX('Base de Dados'!$P$5:$P$14,(SUMPRODUCT(('Base de Dados'!$Q$5:$Q$14=TRIM($B$19))*('Base de Dados'!$S$5:$S$14=4)*ROW('Base de Dados'!$Q$5:$Q$14)))-4),"")</f>
        <v>5</v>
      </c>
      <c r="H24" s="32" t="str">
        <f>IFERROR(INDEX('Base de Dados'!$L$5:$L$14,(SUMPRODUCT(('Base de Dados'!$Q$5:$Q$14=TRIM($B$19))*('Base de Dados'!$S$5:$S$14=4)*ROW('Base de Dados'!$Q$5:$Q$14)))-4),"")</f>
        <v>Carro dos sonhos</v>
      </c>
    </row>
    <row r="26" spans="2:8" ht="21.75" customHeight="1" x14ac:dyDescent="0.3">
      <c r="B26" s="56" t="s">
        <v>125</v>
      </c>
      <c r="C26" s="56"/>
      <c r="D26" s="56"/>
      <c r="E26" s="56"/>
      <c r="F26" s="56"/>
      <c r="G26" s="56"/>
      <c r="H26" s="56"/>
    </row>
    <row r="27" spans="2:8" ht="84" x14ac:dyDescent="0.3">
      <c r="B27" s="28" t="s">
        <v>122</v>
      </c>
      <c r="C27" s="28" t="s">
        <v>33</v>
      </c>
      <c r="D27" s="28" t="s">
        <v>53</v>
      </c>
      <c r="E27" s="28" t="s">
        <v>55</v>
      </c>
      <c r="F27" s="28" t="s">
        <v>57</v>
      </c>
      <c r="G27" s="28" t="s">
        <v>35</v>
      </c>
      <c r="H27" s="28" t="s">
        <v>68</v>
      </c>
    </row>
    <row r="28" spans="2:8" x14ac:dyDescent="0.3">
      <c r="B28" s="29">
        <v>1</v>
      </c>
      <c r="C28" s="29" t="str">
        <f>IFERROR(INDEX('Base de Dados'!$C$5:$C$14,(SUMPRODUCT(('Base de Dados'!$Q$5:$Q$14=TRIM($B$26))*('Base de Dados'!$S$5:$S$14=1)*ROW('Base de Dados'!$Q$5:$Q$14)))-4),"—")</f>
        <v>—</v>
      </c>
      <c r="D28" s="29" t="str">
        <f>IFERROR(INDEX('Base de Dados'!$G$5:$G$14,(SUMPRODUCT(('Base de Dados'!$Q$5:$Q$14=TRIM($B$26))*('Base de Dados'!$S$5:$S$14=1)*ROW('Base de Dados'!$Q$5:$Q$14)))-4),"")</f>
        <v/>
      </c>
      <c r="E28" s="29" t="str">
        <f>IFERROR(INDEX('Base de Dados'!$H$5:$H$14,(SUMPRODUCT(('Base de Dados'!$Q$5:$Q$14=TRIM($B$26))*('Base de Dados'!$S$5:$S$14=1)*ROW('Base de Dados'!$Q$5:$Q$14)))-4),"")</f>
        <v/>
      </c>
      <c r="F28" s="29" t="str">
        <f>IFERROR(INDEX('Base de Dados'!$I$5:$I$14,(SUMPRODUCT(('Base de Dados'!$Q$5:$Q$14=TRIM($B$26))*('Base de Dados'!$S$5:$S$14=1)*ROW('Base de Dados'!$Q$5:$Q$14)))-4),"")</f>
        <v/>
      </c>
      <c r="G28" s="29" t="str">
        <f>IFERROR(INDEX('Base de Dados'!$P$5:$P$14,(SUMPRODUCT(('Base de Dados'!$Q$5:$Q$14=TRIM($B$26))*('Base de Dados'!$S$5:$S$14=1)*ROW('Base de Dados'!$Q$5:$Q$14)))-4),"")</f>
        <v/>
      </c>
      <c r="H28" s="30" t="str">
        <f>IFERROR(INDEX('Base de Dados'!$L$5:$L$14,(SUMPRODUCT(('Base de Dados'!$Q$5:$Q$14=TRIM($B$26))*('Base de Dados'!$S$5:$S$14=1)*ROW('Base de Dados'!$Q$5:$Q$14)))-4),"")</f>
        <v/>
      </c>
    </row>
    <row r="29" spans="2:8" x14ac:dyDescent="0.3">
      <c r="B29" s="31">
        <v>2</v>
      </c>
      <c r="C29" s="31" t="str">
        <f>IFERROR(INDEX('Base de Dados'!$C$5:$C$14,(SUMPRODUCT(('Base de Dados'!$Q$5:$Q$14=TRIM($B$26))*('Base de Dados'!$S$5:$S$14=2)*ROW('Base de Dados'!$Q$5:$Q$14)))-4),"—")</f>
        <v>—</v>
      </c>
      <c r="D29" s="31" t="str">
        <f>IFERROR(INDEX('Base de Dados'!$G$5:$G$14,(SUMPRODUCT(('Base de Dados'!$Q$5:$Q$14=TRIM($B$26))*('Base de Dados'!$S$5:$S$14=2)*ROW('Base de Dados'!$Q$5:$Q$14)))-4),"")</f>
        <v/>
      </c>
      <c r="E29" s="31" t="str">
        <f>IFERROR(INDEX('Base de Dados'!$H$5:$H$14,(SUMPRODUCT(('Base de Dados'!$Q$5:$Q$14=TRIM($B$26))*('Base de Dados'!$S$5:$S$14=2)*ROW('Base de Dados'!$Q$5:$Q$14)))-4),"")</f>
        <v/>
      </c>
      <c r="F29" s="31" t="str">
        <f>IFERROR(INDEX('Base de Dados'!$I$5:$I$14,(SUMPRODUCT(('Base de Dados'!$Q$5:$Q$14=TRIM($B$26))*('Base de Dados'!$S$5:$S$14=2)*ROW('Base de Dados'!$Q$5:$Q$14)))-4),"")</f>
        <v/>
      </c>
      <c r="G29" s="31" t="str">
        <f>IFERROR(INDEX('Base de Dados'!$P$5:$P$14,(SUMPRODUCT(('Base de Dados'!$Q$5:$Q$14=TRIM($B$26))*('Base de Dados'!$S$5:$S$14=2)*ROW('Base de Dados'!$Q$5:$Q$14)))-4),"")</f>
        <v/>
      </c>
      <c r="H29" s="32" t="str">
        <f>IFERROR(INDEX('Base de Dados'!$L$5:$L$14,(SUMPRODUCT(('Base de Dados'!$Q$5:$Q$14=TRIM($B$26))*('Base de Dados'!$S$5:$S$14=2)*ROW('Base de Dados'!$Q$5:$Q$14)))-4),"")</f>
        <v/>
      </c>
    </row>
    <row r="30" spans="2:8" x14ac:dyDescent="0.3">
      <c r="B30" s="29">
        <v>3</v>
      </c>
      <c r="C30" s="29" t="str">
        <f>IFERROR(INDEX('Base de Dados'!$C$5:$C$14,(SUMPRODUCT(('Base de Dados'!$Q$5:$Q$14=TRIM($B$26))*('Base de Dados'!$S$5:$S$14=3)*ROW('Base de Dados'!$Q$5:$Q$14)))-4),"—")</f>
        <v>—</v>
      </c>
      <c r="D30" s="29" t="str">
        <f>IFERROR(INDEX('Base de Dados'!$G$5:$G$14,(SUMPRODUCT(('Base de Dados'!$Q$5:$Q$14=TRIM($B$26))*('Base de Dados'!$S$5:$S$14=3)*ROW('Base de Dados'!$Q$5:$Q$14)))-4),"")</f>
        <v/>
      </c>
      <c r="E30" s="29" t="str">
        <f>IFERROR(INDEX('Base de Dados'!$H$5:$H$14,(SUMPRODUCT(('Base de Dados'!$Q$5:$Q$14=TRIM($B$26))*('Base de Dados'!$S$5:$S$14=3)*ROW('Base de Dados'!$Q$5:$Q$14)))-4),"")</f>
        <v/>
      </c>
      <c r="F30" s="29" t="str">
        <f>IFERROR(INDEX('Base de Dados'!$I$5:$I$14,(SUMPRODUCT(('Base de Dados'!$Q$5:$Q$14=TRIM($B$26))*('Base de Dados'!$S$5:$S$14=3)*ROW('Base de Dados'!$Q$5:$Q$14)))-4),"")</f>
        <v/>
      </c>
      <c r="G30" s="29" t="str">
        <f>IFERROR(INDEX('Base de Dados'!$P$5:$P$14,(SUMPRODUCT(('Base de Dados'!$Q$5:$Q$14=TRIM($B$26))*('Base de Dados'!$S$5:$S$14=3)*ROW('Base de Dados'!$Q$5:$Q$14)))-4),"")</f>
        <v/>
      </c>
      <c r="H30" s="30" t="str">
        <f>IFERROR(INDEX('Base de Dados'!$L$5:$L$14,(SUMPRODUCT(('Base de Dados'!$Q$5:$Q$14=TRIM($B$26))*('Base de Dados'!$S$5:$S$14=3)*ROW('Base de Dados'!$Q$5:$Q$14)))-4),"")</f>
        <v/>
      </c>
    </row>
    <row r="31" spans="2:8" x14ac:dyDescent="0.3">
      <c r="B31" s="31">
        <v>4</v>
      </c>
      <c r="C31" s="31" t="str">
        <f>IFERROR(INDEX('Base de Dados'!$C$5:$C$14,(SUMPRODUCT(('Base de Dados'!$Q$5:$Q$14=TRIM($B$26))*('Base de Dados'!$S$5:$S$14=4)*ROW('Base de Dados'!$Q$5:$Q$14)))-4),"—")</f>
        <v>—</v>
      </c>
      <c r="D31" s="31" t="str">
        <f>IFERROR(INDEX('Base de Dados'!$G$5:$G$14,(SUMPRODUCT(('Base de Dados'!$Q$5:$Q$14=TRIM($B$26))*('Base de Dados'!$S$5:$S$14=4)*ROW('Base de Dados'!$Q$5:$Q$14)))-4),"")</f>
        <v/>
      </c>
      <c r="E31" s="31" t="str">
        <f>IFERROR(INDEX('Base de Dados'!$H$5:$H$14,(SUMPRODUCT(('Base de Dados'!$Q$5:$Q$14=TRIM($B$26))*('Base de Dados'!$S$5:$S$14=4)*ROW('Base de Dados'!$Q$5:$Q$14)))-4),"")</f>
        <v/>
      </c>
      <c r="F31" s="31" t="str">
        <f>IFERROR(INDEX('Base de Dados'!$I$5:$I$14,(SUMPRODUCT(('Base de Dados'!$Q$5:$Q$14=TRIM($B$26))*('Base de Dados'!$S$5:$S$14=4)*ROW('Base de Dados'!$Q$5:$Q$14)))-4),"")</f>
        <v/>
      </c>
      <c r="G31" s="31" t="str">
        <f>IFERROR(INDEX('Base de Dados'!$P$5:$P$14,(SUMPRODUCT(('Base de Dados'!$Q$5:$Q$14=TRIM($B$26))*('Base de Dados'!$S$5:$S$14=4)*ROW('Base de Dados'!$Q$5:$Q$14)))-4),"")</f>
        <v/>
      </c>
      <c r="H31" s="32" t="str">
        <f>IFERROR(INDEX('Base de Dados'!$L$5:$L$14,(SUMPRODUCT(('Base de Dados'!$Q$5:$Q$14=TRIM($B$26))*('Base de Dados'!$S$5:$S$14=4)*ROW('Base de Dados'!$Q$5:$Q$14)))-4),"")</f>
        <v/>
      </c>
    </row>
  </sheetData>
  <mergeCells count="6">
    <mergeCell ref="B26:H26"/>
    <mergeCell ref="B2:G2"/>
    <mergeCell ref="B3:G3"/>
    <mergeCell ref="B5:H5"/>
    <mergeCell ref="B12:H12"/>
    <mergeCell ref="B19:H19"/>
  </mergeCells>
  <hyperlinks>
    <hyperlink ref="A1" r:id="rId1" location="'Capa'!A1" xr:uid="{00000000-0004-0000-0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showGridLines="0" zoomScaleNormal="100" workbookViewId="0">
      <selection activeCell="C5" sqref="C5"/>
    </sheetView>
  </sheetViews>
  <sheetFormatPr defaultColWidth="8.6640625" defaultRowHeight="14.4" x14ac:dyDescent="0.3"/>
  <cols>
    <col min="1" max="1" width="3" customWidth="1"/>
    <col min="2" max="2" width="28.88671875" customWidth="1"/>
    <col min="3" max="3" width="46" customWidth="1"/>
    <col min="4" max="5" width="3" customWidth="1"/>
  </cols>
  <sheetData>
    <row r="1" spans="1:3" x14ac:dyDescent="0.3">
      <c r="A1" s="13" t="s">
        <v>12</v>
      </c>
    </row>
    <row r="2" spans="1:3" ht="21" x14ac:dyDescent="0.4">
      <c r="B2" s="48" t="s">
        <v>126</v>
      </c>
      <c r="C2" s="48"/>
    </row>
    <row r="3" spans="1:3" x14ac:dyDescent="0.3">
      <c r="B3" s="2" t="s">
        <v>127</v>
      </c>
      <c r="C3" s="2"/>
    </row>
    <row r="5" spans="1:3" x14ac:dyDescent="0.3">
      <c r="B5" s="33" t="s">
        <v>128</v>
      </c>
      <c r="C5" s="34" t="s">
        <v>85</v>
      </c>
    </row>
    <row r="7" spans="1:3" ht="19.5" customHeight="1" x14ac:dyDescent="0.3">
      <c r="B7" s="35" t="s">
        <v>34</v>
      </c>
      <c r="C7" s="36" t="str">
        <f>INDEX('Base de Dados'!$F$5:$F$14,MATCH($C$5,'Base de Dados'!$C$5:$C$14,0))</f>
        <v>R$45–60 mil</v>
      </c>
    </row>
    <row r="8" spans="1:3" ht="19.5" customHeight="1" x14ac:dyDescent="0.3">
      <c r="B8" s="35" t="s">
        <v>53</v>
      </c>
      <c r="C8" s="36" t="str">
        <f>INDEX('Base de Dados'!$G$5:$G$14,MATCH($C$5,'Base de Dados'!$C$5:$C$14,0))</f>
        <v>Média</v>
      </c>
    </row>
    <row r="9" spans="1:3" ht="19.5" customHeight="1" x14ac:dyDescent="0.3">
      <c r="B9" s="35" t="s">
        <v>55</v>
      </c>
      <c r="C9" s="36" t="str">
        <f>INDEX('Base de Dados'!$H$5:$H$14,MATCH($C$5,'Base de Dados'!$C$5:$C$14,0))</f>
        <v>Média</v>
      </c>
    </row>
    <row r="10" spans="1:3" ht="19.5" customHeight="1" x14ac:dyDescent="0.3">
      <c r="B10" s="35" t="s">
        <v>57</v>
      </c>
      <c r="C10" s="36" t="str">
        <f>INDEX('Base de Dados'!$I$5:$I$14,MATCH($C$5,'Base de Dados'!$C$5:$C$14,0))</f>
        <v>Alto</v>
      </c>
    </row>
    <row r="11" spans="1:3" ht="19.5" customHeight="1" x14ac:dyDescent="0.3">
      <c r="B11" s="35" t="s">
        <v>72</v>
      </c>
      <c r="C11" s="37">
        <f>INDEX('Base de Dados'!$P$5:$P$14,MATCH($C$5,'Base de Dados'!$C$5:$C$14,0))</f>
        <v>5</v>
      </c>
    </row>
    <row r="12" spans="1:3" ht="19.5" customHeight="1" x14ac:dyDescent="0.3">
      <c r="B12" s="35" t="s">
        <v>129</v>
      </c>
      <c r="C12" s="36">
        <f>INDEX('Base de Dados'!$R$5:$R$14,MATCH($C$5,'Base de Dados'!$C$5:$C$14,0))</f>
        <v>10</v>
      </c>
    </row>
    <row r="13" spans="1:3" ht="19.5" customHeight="1" x14ac:dyDescent="0.3">
      <c r="B13" s="35" t="s">
        <v>130</v>
      </c>
      <c r="C13" s="36" t="str">
        <f>INDEX('Base de Dados'!$Q$5:$Q$14,MATCH($C$5,'Base de Dados'!$C$5:$C$14,0))</f>
        <v>R$45–60 mil</v>
      </c>
    </row>
    <row r="14" spans="1:3" ht="25.5" customHeight="1" x14ac:dyDescent="0.3">
      <c r="B14" s="35" t="s">
        <v>66</v>
      </c>
      <c r="C14" s="36" t="str">
        <f>INDEX('Base de Dados'!$J$5:$J$14,MATCH($C$5,'Base de Dados'!$C$5:$C$14,0))</f>
        <v>Conforto, motor 2.0, acabamento</v>
      </c>
    </row>
    <row r="15" spans="1:3" ht="25.5" customHeight="1" x14ac:dyDescent="0.3">
      <c r="B15" s="35" t="s">
        <v>67</v>
      </c>
      <c r="C15" s="36" t="str">
        <f>INDEX('Base de Dados'!$K$5:$K$14,MATCH($C$5,'Base de Dados'!$C$5:$C$14,0))</f>
        <v>Consome mais</v>
      </c>
    </row>
    <row r="16" spans="1:3" ht="19.5" customHeight="1" x14ac:dyDescent="0.3">
      <c r="B16" s="35" t="s">
        <v>68</v>
      </c>
      <c r="C16" s="36" t="str">
        <f>INDEX('Base de Dados'!$L$5:$L$14,MATCH($C$5,'Base de Dados'!$C$5:$C$14,0))</f>
        <v>Carro dos sonhos</v>
      </c>
    </row>
  </sheetData>
  <mergeCells count="2">
    <mergeCell ref="B2:C2"/>
    <mergeCell ref="B3:C3"/>
  </mergeCells>
  <hyperlinks>
    <hyperlink ref="A1" r:id="rId1" location="'Capa'!A1" xr:uid="{00000000-0004-0000-0500-000000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'Base de Dados'!$C$5:$C$14</xm:f>
          </x14:formula1>
          <x14:formula2>
            <xm:f>0</xm:f>
          </x14:formula2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0"/>
  <sheetViews>
    <sheetView showGridLines="0" topLeftCell="A10" zoomScaleNormal="100" workbookViewId="0">
      <selection activeCell="N12" sqref="N12"/>
    </sheetView>
  </sheetViews>
  <sheetFormatPr defaultColWidth="8.6640625" defaultRowHeight="14.4" x14ac:dyDescent="0.3"/>
  <cols>
    <col min="1" max="1" width="3" customWidth="1"/>
    <col min="2" max="2" width="90" customWidth="1"/>
    <col min="3" max="3" width="3" customWidth="1"/>
  </cols>
  <sheetData>
    <row r="1" spans="1:2" x14ac:dyDescent="0.3">
      <c r="A1" s="13" t="s">
        <v>12</v>
      </c>
    </row>
    <row r="2" spans="1:2" ht="24" customHeight="1" x14ac:dyDescent="0.4">
      <c r="B2" s="18" t="s">
        <v>131</v>
      </c>
    </row>
    <row r="3" spans="1:2" ht="13.5" customHeight="1" x14ac:dyDescent="0.3">
      <c r="B3" s="23" t="s">
        <v>132</v>
      </c>
    </row>
    <row r="5" spans="1:2" ht="25.5" customHeight="1" x14ac:dyDescent="0.3">
      <c r="B5" s="38" t="s">
        <v>121</v>
      </c>
    </row>
    <row r="6" spans="1:2" ht="18" customHeight="1" x14ac:dyDescent="0.3">
      <c r="B6" s="39" t="str">
        <f>"  Recomendação automática do ranking: "&amp;'Comparativo por Faixa'!C7</f>
        <v xml:space="preserve">  Recomendação automática do ranking: Corsa Max</v>
      </c>
    </row>
    <row r="7" spans="1:2" ht="19.5" customHeight="1" x14ac:dyDescent="0.3">
      <c r="B7" s="57" t="s">
        <v>133</v>
      </c>
    </row>
    <row r="8" spans="1:2" x14ac:dyDescent="0.3">
      <c r="B8" s="57"/>
    </row>
    <row r="9" spans="1:2" x14ac:dyDescent="0.3">
      <c r="B9" s="57"/>
    </row>
    <row r="10" spans="1:2" ht="31.2" customHeight="1" x14ac:dyDescent="0.3">
      <c r="B10" s="57"/>
    </row>
    <row r="12" spans="1:2" ht="25.5" customHeight="1" x14ac:dyDescent="0.3">
      <c r="B12" s="38" t="s">
        <v>123</v>
      </c>
    </row>
    <row r="13" spans="1:2" ht="18" customHeight="1" x14ac:dyDescent="0.3">
      <c r="B13" s="39" t="str">
        <f>"  Recomendação automática do ranking: "&amp;'Comparativo por Faixa'!C14</f>
        <v xml:space="preserve">  Recomendação automática do ranking: Honda Fit 2008/09</v>
      </c>
    </row>
    <row r="14" spans="1:2" ht="19.5" customHeight="1" x14ac:dyDescent="0.3">
      <c r="B14" s="57" t="s">
        <v>134</v>
      </c>
    </row>
    <row r="15" spans="1:2" x14ac:dyDescent="0.3">
      <c r="B15" s="57"/>
    </row>
    <row r="16" spans="1:2" x14ac:dyDescent="0.3">
      <c r="B16" s="57"/>
    </row>
    <row r="17" spans="2:2" x14ac:dyDescent="0.3">
      <c r="B17" s="57"/>
    </row>
    <row r="19" spans="2:2" ht="25.5" customHeight="1" x14ac:dyDescent="0.3">
      <c r="B19" s="38" t="s">
        <v>124</v>
      </c>
    </row>
    <row r="20" spans="2:2" ht="18" customHeight="1" x14ac:dyDescent="0.3">
      <c r="B20" s="39" t="str">
        <f>"  Recomendação automática do ranking: "&amp;'Comparativo por Faixa'!C21</f>
        <v xml:space="preserve">  Recomendação automática do ranking: HB20 1.6 Manual 2017</v>
      </c>
    </row>
    <row r="21" spans="2:2" ht="19.5" customHeight="1" x14ac:dyDescent="0.3">
      <c r="B21" s="57" t="s">
        <v>135</v>
      </c>
    </row>
    <row r="22" spans="2:2" x14ac:dyDescent="0.3">
      <c r="B22" s="57"/>
    </row>
    <row r="23" spans="2:2" x14ac:dyDescent="0.3">
      <c r="B23" s="57"/>
    </row>
    <row r="24" spans="2:2" x14ac:dyDescent="0.3">
      <c r="B24" s="57"/>
    </row>
    <row r="26" spans="2:2" ht="24" customHeight="1" x14ac:dyDescent="0.3">
      <c r="B26" s="40" t="s">
        <v>136</v>
      </c>
    </row>
    <row r="27" spans="2:2" ht="15" customHeight="1" x14ac:dyDescent="0.3">
      <c r="B27" s="57" t="s">
        <v>137</v>
      </c>
    </row>
    <row r="28" spans="2:2" x14ac:dyDescent="0.3">
      <c r="B28" s="57"/>
    </row>
    <row r="29" spans="2:2" x14ac:dyDescent="0.3">
      <c r="B29" s="57"/>
    </row>
    <row r="30" spans="2:2" x14ac:dyDescent="0.3">
      <c r="B30" s="57"/>
    </row>
  </sheetData>
  <mergeCells count="4">
    <mergeCell ref="B7:B10"/>
    <mergeCell ref="B14:B17"/>
    <mergeCell ref="B21:B24"/>
    <mergeCell ref="B27:B30"/>
  </mergeCells>
  <hyperlinks>
    <hyperlink ref="A1" r:id="rId1" location="'Capa'!A1" xr:uid="{00000000-0004-0000-0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6"/>
  <sheetViews>
    <sheetView showGridLines="0" topLeftCell="A9" zoomScaleNormal="100" workbookViewId="0"/>
  </sheetViews>
  <sheetFormatPr defaultColWidth="8.6640625" defaultRowHeight="14.4" x14ac:dyDescent="0.3"/>
  <cols>
    <col min="1" max="1" width="3" customWidth="1"/>
    <col min="2" max="2" width="90" customWidth="1"/>
    <col min="3" max="3" width="3" customWidth="1"/>
  </cols>
  <sheetData>
    <row r="1" spans="1:2" x14ac:dyDescent="0.3">
      <c r="A1" s="13" t="s">
        <v>12</v>
      </c>
    </row>
    <row r="2" spans="1:2" ht="24" customHeight="1" x14ac:dyDescent="0.4">
      <c r="B2" s="18" t="s">
        <v>138</v>
      </c>
    </row>
    <row r="4" spans="1:2" ht="18" customHeight="1" x14ac:dyDescent="0.3">
      <c r="B4" s="41" t="s">
        <v>139</v>
      </c>
    </row>
    <row r="5" spans="1:2" ht="18" customHeight="1" x14ac:dyDescent="0.3">
      <c r="B5" s="50" t="s">
        <v>140</v>
      </c>
    </row>
    <row r="6" spans="1:2" ht="34.200000000000003" customHeight="1" x14ac:dyDescent="0.3">
      <c r="B6" s="50"/>
    </row>
    <row r="8" spans="1:2" ht="18" customHeight="1" x14ac:dyDescent="0.3">
      <c r="B8" s="41" t="s">
        <v>141</v>
      </c>
    </row>
    <row r="9" spans="1:2" ht="18" customHeight="1" x14ac:dyDescent="0.3">
      <c r="B9" s="50" t="s">
        <v>142</v>
      </c>
    </row>
    <row r="10" spans="1:2" x14ac:dyDescent="0.3">
      <c r="B10" s="50"/>
    </row>
    <row r="12" spans="1:2" ht="18" customHeight="1" x14ac:dyDescent="0.3">
      <c r="B12" s="41" t="s">
        <v>143</v>
      </c>
    </row>
    <row r="13" spans="1:2" ht="18" customHeight="1" x14ac:dyDescent="0.3">
      <c r="B13" s="50" t="s">
        <v>144</v>
      </c>
    </row>
    <row r="14" spans="1:2" ht="25.8" customHeight="1" x14ac:dyDescent="0.3">
      <c r="B14" s="50"/>
    </row>
    <row r="16" spans="1:2" ht="18" customHeight="1" x14ac:dyDescent="0.3">
      <c r="B16" s="41" t="s">
        <v>145</v>
      </c>
    </row>
    <row r="17" spans="2:2" ht="18" customHeight="1" x14ac:dyDescent="0.3">
      <c r="B17" s="50" t="s">
        <v>146</v>
      </c>
    </row>
    <row r="18" spans="2:2" x14ac:dyDescent="0.3">
      <c r="B18" s="50"/>
    </row>
    <row r="20" spans="2:2" ht="18" customHeight="1" x14ac:dyDescent="0.3">
      <c r="B20" s="41" t="s">
        <v>147</v>
      </c>
    </row>
    <row r="21" spans="2:2" ht="18" customHeight="1" x14ac:dyDescent="0.3">
      <c r="B21" s="50" t="s">
        <v>148</v>
      </c>
    </row>
    <row r="22" spans="2:2" ht="28.8" customHeight="1" x14ac:dyDescent="0.3">
      <c r="B22" s="50"/>
    </row>
    <row r="24" spans="2:2" ht="18" customHeight="1" x14ac:dyDescent="0.3">
      <c r="B24" s="41" t="s">
        <v>149</v>
      </c>
    </row>
    <row r="25" spans="2:2" ht="18" customHeight="1" x14ac:dyDescent="0.3">
      <c r="B25" s="50" t="s">
        <v>150</v>
      </c>
    </row>
    <row r="26" spans="2:2" x14ac:dyDescent="0.3">
      <c r="B26" s="50"/>
    </row>
  </sheetData>
  <mergeCells count="6">
    <mergeCell ref="B25:B26"/>
    <mergeCell ref="B5:B6"/>
    <mergeCell ref="B9:B10"/>
    <mergeCell ref="B13:B14"/>
    <mergeCell ref="B17:B18"/>
    <mergeCell ref="B21:B22"/>
  </mergeCells>
  <hyperlinks>
    <hyperlink ref="A1" r:id="rId1" location="'Capa'!A1" xr:uid="{00000000-0004-0000-0700-000000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Capa</vt:lpstr>
      <vt:lpstr>Painel Geral</vt:lpstr>
      <vt:lpstr>Metodologia</vt:lpstr>
      <vt:lpstr>Base de Dados</vt:lpstr>
      <vt:lpstr>Comparativo por Faixa</vt:lpstr>
      <vt:lpstr>Ficha Individual</vt:lpstr>
      <vt:lpstr>Parecer Técnico</vt:lpstr>
      <vt:lpstr>Fontes e 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 - AIDU Smart Choice</cp:lastModifiedBy>
  <cp:revision>1</cp:revision>
  <dcterms:created xsi:type="dcterms:W3CDTF">2026-07-25T14:04:07Z</dcterms:created>
  <dcterms:modified xsi:type="dcterms:W3CDTF">2026-07-25T14:09:16Z</dcterms:modified>
  <dc:language>en-US</dc:language>
</cp:coreProperties>
</file>