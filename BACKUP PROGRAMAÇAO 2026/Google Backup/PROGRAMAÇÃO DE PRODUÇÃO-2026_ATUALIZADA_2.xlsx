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drawings/drawing15.xml" ContentType="application/vnd.openxmlformats-officedocument.drawing+xml"/>
  <Override PartName="/xl/charts/chart13.xml" ContentType="application/vnd.openxmlformats-officedocument.drawingml.chart+xml"/>
  <Override PartName="/xl/tables/table1.xml" ContentType="application/vnd.openxmlformats-officedocument.spreadsheetml.table+xml"/>
  <Override PartName="/xl/drawings/drawing16.xml" ContentType="application/vnd.openxmlformats-officedocument.drawing+xml"/>
  <Override PartName="/xl/charts/chart14.xml" ContentType="application/vnd.openxmlformats-officedocument.drawingml.chart+xml"/>
  <Override PartName="/xl/drawings/drawing17.xml" ContentType="application/vnd.openxmlformats-officedocument.drawing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ucas Ed\Downloads\"/>
    </mc:Choice>
  </mc:AlternateContent>
  <xr:revisionPtr revIDLastSave="0" documentId="8_{B5B6375B-F367-4701-9E2F-0CC2A9B8BE2D}" xr6:coauthVersionLast="47" xr6:coauthVersionMax="47" xr10:uidLastSave="{00000000-0000-0000-0000-000000000000}"/>
  <bookViews>
    <workbookView xWindow="-108" yWindow="-108" windowWidth="23256" windowHeight="13896" tabRatio="621" firstSheet="1" activeTab="6" xr2:uid="{00000000-000D-0000-FFFF-FFFF00000000}"/>
  </bookViews>
  <sheets>
    <sheet name="INSTRUÇÕES " sheetId="49" r:id="rId1"/>
    <sheet name="CAPA " sheetId="50" r:id="rId2"/>
    <sheet name="RANKING " sheetId="51" r:id="rId3"/>
    <sheet name="JANEIRO" sheetId="4" r:id="rId4"/>
    <sheet name="SEMANA JANEIRO" sheetId="5" r:id="rId5"/>
    <sheet name="GRAFICO JANEIRO" sheetId="6" r:id="rId6"/>
    <sheet name="FEVEREIRO" sheetId="7" r:id="rId7"/>
    <sheet name="SEMANA FEVEREIRO" sheetId="8" r:id="rId8"/>
    <sheet name="GRAFICO FEVEREIRO" sheetId="9" r:id="rId9"/>
    <sheet name="MARÇO" sheetId="10" r:id="rId10"/>
    <sheet name="SEMANA MARÇO" sheetId="11" r:id="rId11"/>
    <sheet name="GRAFICO MARÇO" sheetId="12" r:id="rId12"/>
    <sheet name="ABRIL" sheetId="13" r:id="rId13"/>
    <sheet name="SEMANA ABRIL" sheetId="14" r:id="rId14"/>
    <sheet name="GRAFICO ABRIL" sheetId="15" r:id="rId15"/>
    <sheet name="MAIO" sheetId="16" r:id="rId16"/>
    <sheet name="SEMANA MAIO" sheetId="17" r:id="rId17"/>
    <sheet name="GRAFICO MAIO" sheetId="18" r:id="rId18"/>
    <sheet name="JUNHO" sheetId="19" r:id="rId19"/>
    <sheet name="SEMANA JUNHO" sheetId="20" r:id="rId20"/>
    <sheet name="GRAFICO JUNHO" sheetId="21" r:id="rId21"/>
    <sheet name="JULHO" sheetId="22" r:id="rId22"/>
    <sheet name="SEMANA JULHO" sheetId="23" r:id="rId23"/>
    <sheet name="GRAFICO JULHO" sheetId="24" r:id="rId24"/>
    <sheet name="AGOSTO" sheetId="25" r:id="rId25"/>
    <sheet name="SEMANA AGOSTO" sheetId="26" r:id="rId26"/>
    <sheet name="GRAFICO AGOSTO" sheetId="27" r:id="rId27"/>
    <sheet name="SETEMBRO" sheetId="28" r:id="rId28"/>
    <sheet name="SEMANA SETEMBRO" sheetId="29" r:id="rId29"/>
    <sheet name="GRAFICO SETEMBRO" sheetId="30" r:id="rId30"/>
    <sheet name="OUTUBRO" sheetId="31" r:id="rId31"/>
    <sheet name="SEMANA OUTUBRO" sheetId="32" r:id="rId32"/>
    <sheet name="GRAFICO OUTUBRO" sheetId="33" r:id="rId33"/>
    <sheet name="NOVEMBRO" sheetId="34" r:id="rId34"/>
    <sheet name="SEMANA NOVEMBRO" sheetId="35" r:id="rId35"/>
    <sheet name="GRAFICO NOVEMBRO" sheetId="36" r:id="rId36"/>
    <sheet name="DEZEMBRO" sheetId="37" r:id="rId37"/>
    <sheet name="SEMANA DEZEMBRO" sheetId="38" r:id="rId38"/>
    <sheet name="GRAFICO DEZEMBRO" sheetId="39" r:id="rId39"/>
    <sheet name="Sheet" sheetId="40" state="hidden" r:id="rId40"/>
    <sheet name="GÁS" sheetId="41" r:id="rId41"/>
    <sheet name="CONFIG" sheetId="42" r:id="rId42"/>
    <sheet name="BASE_DADOS" sheetId="43" r:id="rId43"/>
    <sheet name="RESUMO_MENSAL" sheetId="44" r:id="rId44"/>
    <sheet name="CONFIG_PALLETS" sheetId="45" r:id="rId45"/>
    <sheet name="CONFIG_LISTAS" sheetId="46" state="hidden" r:id="rId46"/>
    <sheet name="DASHBOARD_EXEC" sheetId="47" state="hidden" r:id="rId47"/>
    <sheet name="DASHBOARD " sheetId="52" r:id="rId48"/>
  </sheets>
  <definedNames>
    <definedName name="EMB_600" localSheetId="1">CONFIG_LISTAS!$D$2</definedName>
    <definedName name="EMB_600" localSheetId="47">CONFIG_LISTAS!$D$2</definedName>
    <definedName name="EMB_600" localSheetId="0">CONFIG_LISTAS!$D$2</definedName>
    <definedName name="EMB_600" localSheetId="2">CONFIG_LISTAS!$D$2</definedName>
    <definedName name="EMB_600">CONFIG_LISTAS!$D$2</definedName>
    <definedName name="EMB_COCO" localSheetId="1">CONFIG_LISTAS!$C$2:$C$3</definedName>
    <definedName name="EMB_COCO" localSheetId="47">CONFIG_LISTAS!$C$2:$C$3</definedName>
    <definedName name="EMB_COCO" localSheetId="0">CONFIG_LISTAS!$C$2:$C$3</definedName>
    <definedName name="EMB_COCO" localSheetId="2">CONFIG_LISTAS!$C$2:$C$3</definedName>
    <definedName name="EMB_COCO">CONFIG_LISTAS!$C$2:$C$3</definedName>
    <definedName name="EMB_CORANTE" localSheetId="1">CONFIG_LISTAS!$B$2</definedName>
    <definedName name="EMB_CORANTE" localSheetId="47">CONFIG_LISTAS!$B$2</definedName>
    <definedName name="EMB_CORANTE" localSheetId="0">CONFIG_LISTAS!$B$2</definedName>
    <definedName name="EMB_CORANTE" localSheetId="2">CONFIG_LISTAS!$B$2</definedName>
    <definedName name="EMB_CORANTE">CONFIG_LISTAS!$B$2</definedName>
    <definedName name="EMB_TODAS" localSheetId="1">CONFIG_LISTAS!$A$2:$A$9</definedName>
    <definedName name="EMB_TODAS" localSheetId="47">CONFIG_LISTAS!$A$2:$A$9</definedName>
    <definedName name="EMB_TODAS" localSheetId="0">CONFIG_LISTAS!$A$2:$A$9</definedName>
    <definedName name="EMB_TODAS" localSheetId="2">CONFIG_LISTAS!$A$2:$A$9</definedName>
    <definedName name="EMB_TODAS">CONFIG_LISTAS!$A$2:$A$9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1" i="20" l="1"/>
  <c r="F61" i="20"/>
  <c r="G61" i="20" s="1"/>
  <c r="I90" i="20" l="1"/>
  <c r="F90" i="20"/>
  <c r="G90" i="20" s="1"/>
  <c r="I70" i="20"/>
  <c r="F70" i="20"/>
  <c r="G70" i="20" s="1"/>
  <c r="I62" i="20"/>
  <c r="F62" i="20"/>
  <c r="G62" i="20" s="1"/>
  <c r="O110" i="41" l="1"/>
  <c r="O109" i="41"/>
  <c r="E39" i="51"/>
  <c r="D39" i="51"/>
  <c r="C39" i="51"/>
  <c r="E38" i="51"/>
  <c r="D38" i="51"/>
  <c r="C38" i="51"/>
  <c r="E37" i="51"/>
  <c r="D37" i="51"/>
  <c r="C37" i="51"/>
  <c r="E36" i="51"/>
  <c r="D36" i="51"/>
  <c r="C36" i="51"/>
  <c r="E35" i="51"/>
  <c r="D35" i="51"/>
  <c r="C35" i="51"/>
  <c r="E34" i="51"/>
  <c r="D34" i="51"/>
  <c r="C34" i="51"/>
  <c r="D33" i="51"/>
  <c r="C33" i="51"/>
  <c r="E32" i="51"/>
  <c r="C32" i="51"/>
  <c r="D31" i="51"/>
  <c r="C31" i="51"/>
  <c r="D30" i="51"/>
  <c r="C30" i="51"/>
  <c r="D29" i="51"/>
  <c r="C29" i="51"/>
  <c r="C27" i="51"/>
  <c r="C13" i="51"/>
  <c r="C12" i="51"/>
  <c r="C15" i="51"/>
  <c r="C11" i="51"/>
  <c r="C10" i="51"/>
  <c r="C14" i="51"/>
  <c r="G244" i="43"/>
  <c r="F244" i="43"/>
  <c r="E244" i="43"/>
  <c r="D244" i="43"/>
  <c r="D249" i="43"/>
  <c r="D248" i="43"/>
  <c r="F247" i="43"/>
  <c r="D247" i="43"/>
  <c r="H57" i="20"/>
  <c r="I52" i="20"/>
  <c r="F52" i="20"/>
  <c r="D28" i="20"/>
  <c r="D52" i="20" s="1"/>
  <c r="O108" i="41"/>
  <c r="I91" i="20"/>
  <c r="G52" i="20" l="1"/>
  <c r="F37" i="51"/>
  <c r="G37" i="51" s="1"/>
  <c r="F35" i="51"/>
  <c r="G35" i="51" s="1"/>
  <c r="F38" i="51"/>
  <c r="G38" i="51" s="1"/>
  <c r="F36" i="51"/>
  <c r="G36" i="51" s="1"/>
  <c r="F34" i="51"/>
  <c r="G34" i="51" s="1"/>
  <c r="F39" i="51"/>
  <c r="G39" i="51" s="1"/>
  <c r="F91" i="20"/>
  <c r="G91" i="20" s="1"/>
  <c r="F88" i="20"/>
  <c r="G88" i="20" s="1"/>
  <c r="I88" i="20"/>
  <c r="F89" i="20"/>
  <c r="G89" i="20" s="1"/>
  <c r="I89" i="20"/>
  <c r="D12" i="20" l="1"/>
  <c r="O107" i="41"/>
  <c r="D20" i="20" l="1"/>
  <c r="F249" i="43" s="1"/>
  <c r="F248" i="43"/>
  <c r="O106" i="41"/>
  <c r="O105" i="41" l="1"/>
  <c r="F219" i="17" l="1"/>
  <c r="G219" i="17" s="1"/>
  <c r="I219" i="17"/>
  <c r="F220" i="17"/>
  <c r="G220" i="17" s="1"/>
  <c r="I220" i="17"/>
  <c r="D210" i="17" l="1"/>
  <c r="F243" i="43" l="1"/>
  <c r="D243" i="43"/>
  <c r="F242" i="43"/>
  <c r="D242" i="43"/>
  <c r="D241" i="43"/>
  <c r="F240" i="43"/>
  <c r="D240" i="43"/>
  <c r="D239" i="43"/>
  <c r="F238" i="43"/>
  <c r="D238" i="43"/>
  <c r="D237" i="43"/>
  <c r="F236" i="43"/>
  <c r="D236" i="43"/>
  <c r="O104" i="41"/>
  <c r="I109" i="20" l="1"/>
  <c r="F109" i="20"/>
  <c r="G109" i="20" s="1"/>
  <c r="I108" i="20"/>
  <c r="F108" i="20"/>
  <c r="G108" i="20" s="1"/>
  <c r="F111" i="20"/>
  <c r="G111" i="20" s="1"/>
  <c r="I111" i="20"/>
  <c r="D202" i="17"/>
  <c r="O103" i="41" l="1"/>
  <c r="O96" i="41"/>
  <c r="O95" i="41"/>
  <c r="O94" i="41"/>
  <c r="O93" i="41"/>
  <c r="O102" i="41" l="1"/>
  <c r="I194" i="17"/>
  <c r="F194" i="17"/>
  <c r="G194" i="17" s="1"/>
  <c r="D183" i="17" l="1"/>
  <c r="F241" i="43" s="1"/>
  <c r="O101" i="41" l="1"/>
  <c r="H190" i="17"/>
  <c r="H180" i="17"/>
  <c r="I186" i="17"/>
  <c r="I187" i="17"/>
  <c r="F187" i="17"/>
  <c r="G187" i="17" s="1"/>
  <c r="F186" i="17"/>
  <c r="G186" i="17" s="1"/>
  <c r="I185" i="17"/>
  <c r="E243" i="43" s="1"/>
  <c r="F185" i="17"/>
  <c r="G185" i="17" s="1"/>
  <c r="G243" i="43" s="1"/>
  <c r="I184" i="17"/>
  <c r="E242" i="43" s="1"/>
  <c r="F184" i="17"/>
  <c r="G184" i="17" s="1"/>
  <c r="G242" i="43" s="1"/>
  <c r="I176" i="17"/>
  <c r="F176" i="17"/>
  <c r="G176" i="17" s="1"/>
  <c r="D175" i="17"/>
  <c r="F239" i="43" s="1"/>
  <c r="O100" i="41"/>
  <c r="O99" i="41"/>
  <c r="W9" i="18" l="1"/>
  <c r="I177" i="17"/>
  <c r="E240" i="43" s="1"/>
  <c r="F177" i="17"/>
  <c r="G177" i="17" s="1"/>
  <c r="G240" i="43" s="1"/>
  <c r="D158" i="17"/>
  <c r="F237" i="43" s="1"/>
  <c r="O98" i="41" l="1"/>
  <c r="F145" i="17"/>
  <c r="G145" i="17" s="1"/>
  <c r="I145" i="17"/>
  <c r="O97" i="41"/>
  <c r="D150" i="17"/>
  <c r="D155" i="17" s="1"/>
  <c r="J155" i="17" s="1"/>
  <c r="D142" i="17"/>
  <c r="D147" i="17" s="1"/>
  <c r="J147" i="17" s="1"/>
  <c r="A10" i="52"/>
  <c r="A11" i="52"/>
  <c r="A12" i="52"/>
  <c r="A13" i="52"/>
  <c r="A14" i="52"/>
  <c r="A15" i="52"/>
  <c r="A16" i="52"/>
  <c r="A17" i="52"/>
  <c r="A18" i="52"/>
  <c r="A19" i="52"/>
  <c r="A20" i="52"/>
  <c r="A21" i="52"/>
  <c r="A32" i="52"/>
  <c r="A33" i="52"/>
  <c r="A34" i="52"/>
  <c r="A35" i="52"/>
  <c r="A36" i="52"/>
  <c r="A37" i="52"/>
  <c r="A38" i="52"/>
  <c r="A39" i="52"/>
  <c r="A40" i="52"/>
  <c r="A41" i="52"/>
  <c r="A42" i="52"/>
  <c r="A43" i="52"/>
  <c r="B6" i="50"/>
  <c r="D6" i="50"/>
  <c r="F6" i="50"/>
  <c r="G6" i="50"/>
  <c r="J15" i="44"/>
  <c r="B43" i="52" s="1"/>
  <c r="J14" i="44"/>
  <c r="B42" i="52" s="1"/>
  <c r="J13" i="44"/>
  <c r="B41" i="52" s="1"/>
  <c r="J12" i="44"/>
  <c r="B40" i="52" s="1"/>
  <c r="J11" i="44"/>
  <c r="B39" i="52" s="1"/>
  <c r="J10" i="44"/>
  <c r="B38" i="52" s="1"/>
  <c r="J9" i="44"/>
  <c r="B37" i="52" s="1"/>
  <c r="B2" i="44"/>
  <c r="F235" i="43"/>
  <c r="D235" i="43"/>
  <c r="F234" i="43"/>
  <c r="D234" i="43"/>
  <c r="F233" i="43"/>
  <c r="D233" i="43"/>
  <c r="F232" i="43"/>
  <c r="D232" i="43"/>
  <c r="F231" i="43"/>
  <c r="D231" i="43"/>
  <c r="F230" i="43"/>
  <c r="D230" i="43"/>
  <c r="F229" i="43"/>
  <c r="D229" i="43"/>
  <c r="F228" i="43"/>
  <c r="D228" i="43"/>
  <c r="D227" i="43"/>
  <c r="F226" i="43"/>
  <c r="D226" i="43"/>
  <c r="D225" i="43"/>
  <c r="F224" i="43"/>
  <c r="D224" i="43"/>
  <c r="D223" i="43"/>
  <c r="F222" i="43"/>
  <c r="D222" i="43"/>
  <c r="D221" i="43"/>
  <c r="F220" i="43"/>
  <c r="D220" i="43"/>
  <c r="D219" i="43"/>
  <c r="F218" i="43"/>
  <c r="D218" i="43"/>
  <c r="F217" i="43"/>
  <c r="D217" i="43"/>
  <c r="F216" i="43"/>
  <c r="D216" i="43"/>
  <c r="D215" i="43"/>
  <c r="D214" i="43"/>
  <c r="F213" i="43"/>
  <c r="D213" i="43"/>
  <c r="F212" i="43"/>
  <c r="D212" i="43"/>
  <c r="F211" i="43"/>
  <c r="D211" i="43"/>
  <c r="F210" i="43"/>
  <c r="D210" i="43"/>
  <c r="D209" i="43"/>
  <c r="D208" i="43"/>
  <c r="F207" i="43"/>
  <c r="D207" i="43"/>
  <c r="F206" i="43"/>
  <c r="D206" i="43"/>
  <c r="F205" i="43"/>
  <c r="D205" i="43"/>
  <c r="F204" i="43"/>
  <c r="D204" i="43"/>
  <c r="F203" i="43"/>
  <c r="D203" i="43"/>
  <c r="F202" i="43"/>
  <c r="D202" i="43"/>
  <c r="F201" i="43"/>
  <c r="D201" i="43"/>
  <c r="D200" i="43"/>
  <c r="F199" i="43"/>
  <c r="D199" i="43"/>
  <c r="F198" i="43"/>
  <c r="D198" i="43"/>
  <c r="F197" i="43"/>
  <c r="D197" i="43"/>
  <c r="F196" i="43"/>
  <c r="D196" i="43"/>
  <c r="F195" i="43"/>
  <c r="D195" i="43"/>
  <c r="D194" i="43"/>
  <c r="F193" i="43"/>
  <c r="D193" i="43"/>
  <c r="F192" i="43"/>
  <c r="D192" i="43"/>
  <c r="F191" i="43"/>
  <c r="D191" i="43"/>
  <c r="F190" i="43"/>
  <c r="D190" i="43"/>
  <c r="D189" i="43"/>
  <c r="F186" i="43"/>
  <c r="D186" i="43"/>
  <c r="D185" i="43"/>
  <c r="D184" i="43"/>
  <c r="F183" i="43"/>
  <c r="D183" i="43"/>
  <c r="F182" i="43"/>
  <c r="D182" i="43"/>
  <c r="F181" i="43"/>
  <c r="D181" i="43"/>
  <c r="D180" i="43"/>
  <c r="F179" i="43"/>
  <c r="D179" i="43"/>
  <c r="F178" i="43"/>
  <c r="D178" i="43"/>
  <c r="F177" i="43"/>
  <c r="D177" i="43"/>
  <c r="D176" i="43"/>
  <c r="F174" i="43"/>
  <c r="D174" i="43"/>
  <c r="F173" i="43"/>
  <c r="D173" i="43"/>
  <c r="F172" i="43"/>
  <c r="D172" i="43"/>
  <c r="D171" i="43"/>
  <c r="F170" i="43"/>
  <c r="D170" i="43"/>
  <c r="F169" i="43"/>
  <c r="D169" i="43"/>
  <c r="F168" i="43"/>
  <c r="D168" i="43"/>
  <c r="F167" i="43"/>
  <c r="D167" i="43"/>
  <c r="F166" i="43"/>
  <c r="D166" i="43"/>
  <c r="D165" i="43"/>
  <c r="F164" i="43"/>
  <c r="D164" i="43"/>
  <c r="F163" i="43"/>
  <c r="D163" i="43"/>
  <c r="F162" i="43"/>
  <c r="D162" i="43"/>
  <c r="F161" i="43"/>
  <c r="D161" i="43"/>
  <c r="D160" i="43"/>
  <c r="F159" i="43"/>
  <c r="D159" i="43"/>
  <c r="D158" i="43"/>
  <c r="D157" i="43"/>
  <c r="F156" i="43"/>
  <c r="D156" i="43"/>
  <c r="F155" i="43"/>
  <c r="D155" i="43"/>
  <c r="F154" i="43"/>
  <c r="D154" i="43"/>
  <c r="F153" i="43"/>
  <c r="D153" i="43"/>
  <c r="F152" i="43"/>
  <c r="D152" i="43"/>
  <c r="F151" i="43"/>
  <c r="D151" i="43"/>
  <c r="F150" i="43"/>
  <c r="D150" i="43"/>
  <c r="F149" i="43"/>
  <c r="D149" i="43"/>
  <c r="F148" i="43"/>
  <c r="D148" i="43"/>
  <c r="F147" i="43"/>
  <c r="D147" i="43"/>
  <c r="F146" i="43"/>
  <c r="D146" i="43"/>
  <c r="F145" i="43"/>
  <c r="D145" i="43"/>
  <c r="F144" i="43"/>
  <c r="D144" i="43"/>
  <c r="F143" i="43"/>
  <c r="D143" i="43"/>
  <c r="F142" i="43"/>
  <c r="D142" i="43"/>
  <c r="F141" i="43"/>
  <c r="D141" i="43"/>
  <c r="F140" i="43"/>
  <c r="D140" i="43"/>
  <c r="F139" i="43"/>
  <c r="D139" i="43"/>
  <c r="F138" i="43"/>
  <c r="D138" i="43"/>
  <c r="F137" i="43"/>
  <c r="D137" i="43"/>
  <c r="F136" i="43"/>
  <c r="D136" i="43"/>
  <c r="F135" i="43"/>
  <c r="D135" i="43"/>
  <c r="F134" i="43"/>
  <c r="D134" i="43"/>
  <c r="F133" i="43"/>
  <c r="D133" i="43"/>
  <c r="F130" i="43"/>
  <c r="D130" i="43"/>
  <c r="F129" i="43"/>
  <c r="D129" i="43"/>
  <c r="F128" i="43"/>
  <c r="D128" i="43"/>
  <c r="F127" i="43"/>
  <c r="D127" i="43"/>
  <c r="F126" i="43"/>
  <c r="D126" i="43"/>
  <c r="F125" i="43"/>
  <c r="D125" i="43"/>
  <c r="D124" i="43"/>
  <c r="F123" i="43"/>
  <c r="D123" i="43"/>
  <c r="D122" i="43"/>
  <c r="D121" i="43"/>
  <c r="F120" i="43"/>
  <c r="D120" i="43"/>
  <c r="D119" i="43"/>
  <c r="D118" i="43"/>
  <c r="F117" i="43"/>
  <c r="D117" i="43"/>
  <c r="D116" i="43"/>
  <c r="D115" i="43"/>
  <c r="F114" i="43"/>
  <c r="D114" i="43"/>
  <c r="F113" i="43"/>
  <c r="D113" i="43"/>
  <c r="F112" i="43"/>
  <c r="D112" i="43"/>
  <c r="F111" i="43"/>
  <c r="D111" i="43"/>
  <c r="F110" i="43"/>
  <c r="D110" i="43"/>
  <c r="F109" i="43"/>
  <c r="D109" i="43"/>
  <c r="F108" i="43"/>
  <c r="D108" i="43"/>
  <c r="F107" i="43"/>
  <c r="D107" i="43"/>
  <c r="F106" i="43"/>
  <c r="D106" i="43"/>
  <c r="F105" i="43"/>
  <c r="D105" i="43"/>
  <c r="F104" i="43"/>
  <c r="D104" i="43"/>
  <c r="F103" i="43"/>
  <c r="D103" i="43"/>
  <c r="F102" i="43"/>
  <c r="D102" i="43"/>
  <c r="D101" i="43"/>
  <c r="F100" i="43"/>
  <c r="D100" i="43"/>
  <c r="F99" i="43"/>
  <c r="D99" i="43"/>
  <c r="D98" i="43"/>
  <c r="F97" i="43"/>
  <c r="D97" i="43"/>
  <c r="D96" i="43"/>
  <c r="F95" i="43"/>
  <c r="D95" i="43"/>
  <c r="D94" i="43"/>
  <c r="F91" i="43"/>
  <c r="D91" i="43"/>
  <c r="F90" i="43"/>
  <c r="D90" i="43"/>
  <c r="F89" i="43"/>
  <c r="D89" i="43"/>
  <c r="F88" i="43"/>
  <c r="D88" i="43"/>
  <c r="F87" i="43"/>
  <c r="D87" i="43"/>
  <c r="F86" i="43"/>
  <c r="D86" i="43"/>
  <c r="F85" i="43"/>
  <c r="D85" i="43"/>
  <c r="F84" i="43"/>
  <c r="D84" i="43"/>
  <c r="F83" i="43"/>
  <c r="D83" i="43"/>
  <c r="F82" i="43"/>
  <c r="D82" i="43"/>
  <c r="F81" i="43"/>
  <c r="D81" i="43"/>
  <c r="F80" i="43"/>
  <c r="D80" i="43"/>
  <c r="D79" i="43"/>
  <c r="F78" i="43"/>
  <c r="D78" i="43"/>
  <c r="F77" i="43"/>
  <c r="D77" i="43"/>
  <c r="D76" i="43"/>
  <c r="F75" i="43"/>
  <c r="D75" i="43"/>
  <c r="F74" i="43"/>
  <c r="D74" i="43"/>
  <c r="D73" i="43"/>
  <c r="F72" i="43"/>
  <c r="D72" i="43"/>
  <c r="F71" i="43"/>
  <c r="D71" i="43"/>
  <c r="F70" i="43"/>
  <c r="D70" i="43"/>
  <c r="D69" i="43"/>
  <c r="F68" i="43"/>
  <c r="D68" i="43"/>
  <c r="F67" i="43"/>
  <c r="D67" i="43"/>
  <c r="D66" i="43"/>
  <c r="F65" i="43"/>
  <c r="D65" i="43"/>
  <c r="F64" i="43"/>
  <c r="D64" i="43"/>
  <c r="F63" i="43"/>
  <c r="D63" i="43"/>
  <c r="D62" i="43"/>
  <c r="D61" i="43"/>
  <c r="F60" i="43"/>
  <c r="D60" i="43"/>
  <c r="D59" i="43"/>
  <c r="D58" i="43"/>
  <c r="F57" i="43"/>
  <c r="D57" i="43"/>
  <c r="F56" i="43"/>
  <c r="D56" i="43"/>
  <c r="F55" i="43"/>
  <c r="D55" i="43"/>
  <c r="F54" i="43"/>
  <c r="D54" i="43"/>
  <c r="F53" i="43"/>
  <c r="D53" i="43"/>
  <c r="F52" i="43"/>
  <c r="D52" i="43"/>
  <c r="D51" i="43"/>
  <c r="F50" i="43"/>
  <c r="D50" i="43"/>
  <c r="D49" i="43"/>
  <c r="D48" i="43"/>
  <c r="F47" i="43"/>
  <c r="D47" i="43"/>
  <c r="D46" i="43"/>
  <c r="F43" i="43"/>
  <c r="D43" i="43"/>
  <c r="D42" i="43"/>
  <c r="F41" i="43"/>
  <c r="D41" i="43"/>
  <c r="F40" i="43"/>
  <c r="D40" i="43"/>
  <c r="F39" i="43"/>
  <c r="D39" i="43"/>
  <c r="D38" i="43"/>
  <c r="F37" i="43"/>
  <c r="D37" i="43"/>
  <c r="F36" i="43"/>
  <c r="D36" i="43"/>
  <c r="F35" i="43"/>
  <c r="D35" i="43"/>
  <c r="F34" i="43"/>
  <c r="D34" i="43"/>
  <c r="F33" i="43"/>
  <c r="D33" i="43"/>
  <c r="F32" i="43"/>
  <c r="D32" i="43"/>
  <c r="F31" i="43"/>
  <c r="D31" i="43"/>
  <c r="F30" i="43"/>
  <c r="D30" i="43"/>
  <c r="D29" i="43"/>
  <c r="F28" i="43"/>
  <c r="D28" i="43"/>
  <c r="F27" i="43"/>
  <c r="D27" i="43"/>
  <c r="D26" i="43"/>
  <c r="F25" i="43"/>
  <c r="D25" i="43"/>
  <c r="F24" i="43"/>
  <c r="D24" i="43"/>
  <c r="F23" i="43"/>
  <c r="D23" i="43"/>
  <c r="F22" i="43"/>
  <c r="D22" i="43"/>
  <c r="D21" i="43"/>
  <c r="F20" i="43"/>
  <c r="D20" i="43"/>
  <c r="F19" i="43"/>
  <c r="D19" i="43"/>
  <c r="D18" i="43"/>
  <c r="F17" i="43"/>
  <c r="D17" i="43"/>
  <c r="D16" i="43"/>
  <c r="F15" i="43"/>
  <c r="D15" i="43"/>
  <c r="F14" i="43"/>
  <c r="D14" i="43"/>
  <c r="D13" i="43"/>
  <c r="F12" i="43"/>
  <c r="D12" i="43"/>
  <c r="D11" i="43"/>
  <c r="D10" i="43"/>
  <c r="F9" i="43"/>
  <c r="D9" i="43"/>
  <c r="D8" i="43"/>
  <c r="D7" i="43"/>
  <c r="F6" i="43"/>
  <c r="D6" i="43"/>
  <c r="D5" i="43"/>
  <c r="D4" i="43"/>
  <c r="F3" i="43"/>
  <c r="D3" i="43"/>
  <c r="F2" i="43"/>
  <c r="D2" i="43"/>
  <c r="O92" i="41"/>
  <c r="O91" i="41"/>
  <c r="O90" i="41"/>
  <c r="O89" i="41"/>
  <c r="O88" i="41"/>
  <c r="O87" i="41"/>
  <c r="O84" i="41"/>
  <c r="O83" i="41"/>
  <c r="O81" i="41"/>
  <c r="O80" i="41"/>
  <c r="O77" i="41"/>
  <c r="O76" i="41"/>
  <c r="O75" i="41"/>
  <c r="O74" i="41"/>
  <c r="O73" i="41"/>
  <c r="O72" i="41"/>
  <c r="O71" i="41"/>
  <c r="O68" i="41"/>
  <c r="O67" i="41"/>
  <c r="O66" i="41"/>
  <c r="O64" i="41"/>
  <c r="O63" i="41"/>
  <c r="O58" i="41"/>
  <c r="O57" i="41"/>
  <c r="O55" i="41"/>
  <c r="O53" i="41"/>
  <c r="O52" i="41"/>
  <c r="O51" i="41"/>
  <c r="O50" i="41"/>
  <c r="O49" i="41"/>
  <c r="O48" i="41"/>
  <c r="O46" i="41"/>
  <c r="O44" i="41"/>
  <c r="O43" i="41"/>
  <c r="O42" i="41"/>
  <c r="O41" i="41"/>
  <c r="O40" i="41"/>
  <c r="O39" i="41"/>
  <c r="O34" i="41"/>
  <c r="O31" i="41"/>
  <c r="O29" i="41"/>
  <c r="O28" i="41"/>
  <c r="O27" i="41"/>
  <c r="O25" i="41"/>
  <c r="O24" i="41"/>
  <c r="O23" i="41"/>
  <c r="O22" i="41"/>
  <c r="O21" i="41"/>
  <c r="O19" i="41"/>
  <c r="O18" i="41"/>
  <c r="O17" i="41"/>
  <c r="O13" i="41"/>
  <c r="O11" i="41"/>
  <c r="O10" i="41"/>
  <c r="O9" i="41"/>
  <c r="O8" i="41"/>
  <c r="O7" i="41"/>
  <c r="O6" i="41"/>
  <c r="O4" i="41"/>
  <c r="F143" i="40"/>
  <c r="G138" i="40"/>
  <c r="F130" i="40"/>
  <c r="F128" i="40"/>
  <c r="G122" i="40"/>
  <c r="G120" i="40"/>
  <c r="I106" i="40"/>
  <c r="N101" i="40"/>
  <c r="O93" i="40"/>
  <c r="F90" i="40"/>
  <c r="F87" i="40"/>
  <c r="G82" i="40"/>
  <c r="G79" i="40"/>
  <c r="R71" i="40"/>
  <c r="F71" i="40"/>
  <c r="R68" i="40"/>
  <c r="F68" i="40"/>
  <c r="G63" i="40"/>
  <c r="G60" i="40"/>
  <c r="F50" i="40"/>
  <c r="G45" i="40"/>
  <c r="S37" i="40"/>
  <c r="G36" i="40"/>
  <c r="S34" i="40"/>
  <c r="G33" i="40"/>
  <c r="G25" i="40"/>
  <c r="H25" i="40" s="1"/>
  <c r="G24" i="40"/>
  <c r="H24" i="40" s="1"/>
  <c r="G23" i="40"/>
  <c r="H23" i="40" s="1"/>
  <c r="G22" i="40"/>
  <c r="H22" i="40" s="1"/>
  <c r="G21" i="40"/>
  <c r="H21" i="40" s="1"/>
  <c r="G20" i="40"/>
  <c r="H20" i="40" s="1"/>
  <c r="G19" i="40"/>
  <c r="H19" i="40" s="1"/>
  <c r="G18" i="40"/>
  <c r="H18" i="40" s="1"/>
  <c r="G17" i="40"/>
  <c r="H17" i="40" s="1"/>
  <c r="G16" i="40"/>
  <c r="G9" i="40"/>
  <c r="G6" i="40"/>
  <c r="D35" i="39"/>
  <c r="D34" i="39"/>
  <c r="D33" i="39"/>
  <c r="D32" i="39"/>
  <c r="D31" i="39"/>
  <c r="Y30" i="39"/>
  <c r="X30" i="39"/>
  <c r="B30" i="39"/>
  <c r="D29" i="39"/>
  <c r="Y29" i="39" s="1"/>
  <c r="D28" i="39"/>
  <c r="Y28" i="39" s="1"/>
  <c r="D27" i="39"/>
  <c r="Y27" i="39" s="1"/>
  <c r="D26" i="39"/>
  <c r="Y26" i="39" s="1"/>
  <c r="D25" i="39"/>
  <c r="Y25" i="39" s="1"/>
  <c r="D24" i="39"/>
  <c r="Y24" i="39" s="1"/>
  <c r="D23" i="39"/>
  <c r="Y23" i="39" s="1"/>
  <c r="D22" i="39"/>
  <c r="Y22" i="39" s="1"/>
  <c r="D21" i="39"/>
  <c r="Y21" i="39" s="1"/>
  <c r="D20" i="39"/>
  <c r="Y20" i="39" s="1"/>
  <c r="D19" i="39"/>
  <c r="Y19" i="39" s="1"/>
  <c r="D18" i="39"/>
  <c r="Y18" i="39" s="1"/>
  <c r="D17" i="39"/>
  <c r="Y17" i="39" s="1"/>
  <c r="D16" i="39"/>
  <c r="Y16" i="39" s="1"/>
  <c r="D15" i="39"/>
  <c r="Y15" i="39" s="1"/>
  <c r="D14" i="39"/>
  <c r="Y14" i="39" s="1"/>
  <c r="D13" i="39"/>
  <c r="Y13" i="39" s="1"/>
  <c r="D12" i="39"/>
  <c r="Y12" i="39" s="1"/>
  <c r="D11" i="39"/>
  <c r="Y11" i="39" s="1"/>
  <c r="D10" i="39"/>
  <c r="Y10" i="39" s="1"/>
  <c r="D9" i="39"/>
  <c r="B9" i="39" s="1"/>
  <c r="F4" i="39"/>
  <c r="F15" i="44" s="1"/>
  <c r="G21" i="52" s="1"/>
  <c r="H217" i="38"/>
  <c r="L217" i="38" s="1"/>
  <c r="D217" i="38"/>
  <c r="J217" i="38" s="1"/>
  <c r="I216" i="38"/>
  <c r="F216" i="38"/>
  <c r="G216" i="38" s="1"/>
  <c r="I215" i="38"/>
  <c r="F215" i="38"/>
  <c r="G215" i="38" s="1"/>
  <c r="I214" i="38"/>
  <c r="F214" i="38"/>
  <c r="G214" i="38" s="1"/>
  <c r="I213" i="38"/>
  <c r="F213" i="38"/>
  <c r="G213" i="38" s="1"/>
  <c r="I212" i="38"/>
  <c r="F212" i="38"/>
  <c r="G212" i="38" s="1"/>
  <c r="H209" i="38"/>
  <c r="L209" i="38" s="1"/>
  <c r="D209" i="38"/>
  <c r="J209" i="38" s="1"/>
  <c r="I208" i="38"/>
  <c r="F208" i="38"/>
  <c r="G208" i="38" s="1"/>
  <c r="I207" i="38"/>
  <c r="F207" i="38"/>
  <c r="G207" i="38" s="1"/>
  <c r="I206" i="38"/>
  <c r="F206" i="38"/>
  <c r="G206" i="38" s="1"/>
  <c r="I205" i="38"/>
  <c r="F205" i="38"/>
  <c r="G205" i="38" s="1"/>
  <c r="I204" i="38"/>
  <c r="F204" i="38"/>
  <c r="G204" i="38" s="1"/>
  <c r="H201" i="38"/>
  <c r="L201" i="38" s="1"/>
  <c r="D201" i="38"/>
  <c r="J201" i="38" s="1"/>
  <c r="I200" i="38"/>
  <c r="F200" i="38"/>
  <c r="G200" i="38" s="1"/>
  <c r="I199" i="38"/>
  <c r="F199" i="38"/>
  <c r="G199" i="38" s="1"/>
  <c r="I198" i="38"/>
  <c r="F198" i="38"/>
  <c r="G198" i="38" s="1"/>
  <c r="I197" i="38"/>
  <c r="F197" i="38"/>
  <c r="G197" i="38" s="1"/>
  <c r="I196" i="38"/>
  <c r="F196" i="38"/>
  <c r="G196" i="38" s="1"/>
  <c r="H193" i="38"/>
  <c r="L193" i="38" s="1"/>
  <c r="D193" i="38"/>
  <c r="J193" i="38" s="1"/>
  <c r="I192" i="38"/>
  <c r="F192" i="38"/>
  <c r="G192" i="38" s="1"/>
  <c r="I191" i="38"/>
  <c r="F191" i="38"/>
  <c r="G191" i="38" s="1"/>
  <c r="I190" i="38"/>
  <c r="F190" i="38"/>
  <c r="G190" i="38" s="1"/>
  <c r="I189" i="38"/>
  <c r="F189" i="38"/>
  <c r="G189" i="38" s="1"/>
  <c r="I188" i="38"/>
  <c r="F188" i="38"/>
  <c r="G188" i="38" s="1"/>
  <c r="H185" i="38"/>
  <c r="L185" i="38" s="1"/>
  <c r="D185" i="38"/>
  <c r="J185" i="38" s="1"/>
  <c r="I184" i="38"/>
  <c r="F184" i="38"/>
  <c r="G184" i="38" s="1"/>
  <c r="I183" i="38"/>
  <c r="F183" i="38"/>
  <c r="G183" i="38" s="1"/>
  <c r="I182" i="38"/>
  <c r="F182" i="38"/>
  <c r="G182" i="38" s="1"/>
  <c r="I181" i="38"/>
  <c r="F181" i="38"/>
  <c r="G181" i="38" s="1"/>
  <c r="I180" i="38"/>
  <c r="F180" i="38"/>
  <c r="G180" i="38" s="1"/>
  <c r="H177" i="38"/>
  <c r="L177" i="38" s="1"/>
  <c r="D177" i="38"/>
  <c r="J177" i="38" s="1"/>
  <c r="I176" i="38"/>
  <c r="F176" i="38"/>
  <c r="G176" i="38" s="1"/>
  <c r="I175" i="38"/>
  <c r="F175" i="38"/>
  <c r="G175" i="38" s="1"/>
  <c r="I174" i="38"/>
  <c r="F174" i="38"/>
  <c r="G174" i="38" s="1"/>
  <c r="I173" i="38"/>
  <c r="F173" i="38"/>
  <c r="G173" i="38" s="1"/>
  <c r="I172" i="38"/>
  <c r="F172" i="38"/>
  <c r="G172" i="38" s="1"/>
  <c r="H169" i="38"/>
  <c r="L169" i="38" s="1"/>
  <c r="D169" i="38"/>
  <c r="J169" i="38" s="1"/>
  <c r="I168" i="38"/>
  <c r="F168" i="38"/>
  <c r="G168" i="38" s="1"/>
  <c r="I167" i="38"/>
  <c r="F167" i="38"/>
  <c r="G167" i="38" s="1"/>
  <c r="I166" i="38"/>
  <c r="F166" i="38"/>
  <c r="G166" i="38" s="1"/>
  <c r="I165" i="38"/>
  <c r="F165" i="38"/>
  <c r="G165" i="38" s="1"/>
  <c r="I164" i="38"/>
  <c r="F164" i="38"/>
  <c r="G164" i="38" s="1"/>
  <c r="H161" i="38"/>
  <c r="L161" i="38" s="1"/>
  <c r="D161" i="38"/>
  <c r="J161" i="38" s="1"/>
  <c r="I160" i="38"/>
  <c r="F160" i="38"/>
  <c r="G160" i="38" s="1"/>
  <c r="I159" i="38"/>
  <c r="F159" i="38"/>
  <c r="G159" i="38" s="1"/>
  <c r="I158" i="38"/>
  <c r="F158" i="38"/>
  <c r="G158" i="38" s="1"/>
  <c r="I157" i="38"/>
  <c r="F157" i="38"/>
  <c r="G157" i="38" s="1"/>
  <c r="I156" i="38"/>
  <c r="F156" i="38"/>
  <c r="G156" i="38" s="1"/>
  <c r="H153" i="38"/>
  <c r="L153" i="38" s="1"/>
  <c r="D153" i="38"/>
  <c r="J153" i="38" s="1"/>
  <c r="I152" i="38"/>
  <c r="F152" i="38"/>
  <c r="G152" i="38" s="1"/>
  <c r="I151" i="38"/>
  <c r="F151" i="38"/>
  <c r="G151" i="38" s="1"/>
  <c r="I150" i="38"/>
  <c r="F150" i="38"/>
  <c r="G150" i="38" s="1"/>
  <c r="I149" i="38"/>
  <c r="F149" i="38"/>
  <c r="G149" i="38" s="1"/>
  <c r="I148" i="38"/>
  <c r="F148" i="38"/>
  <c r="G148" i="38" s="1"/>
  <c r="H145" i="38"/>
  <c r="L145" i="38" s="1"/>
  <c r="D145" i="38"/>
  <c r="J145" i="38" s="1"/>
  <c r="I144" i="38"/>
  <c r="F144" i="38"/>
  <c r="G144" i="38" s="1"/>
  <c r="I143" i="38"/>
  <c r="F143" i="38"/>
  <c r="G143" i="38" s="1"/>
  <c r="I142" i="38"/>
  <c r="F142" i="38"/>
  <c r="G142" i="38" s="1"/>
  <c r="I141" i="38"/>
  <c r="F141" i="38"/>
  <c r="G141" i="38" s="1"/>
  <c r="I140" i="38"/>
  <c r="F140" i="38"/>
  <c r="G140" i="38" s="1"/>
  <c r="H137" i="38"/>
  <c r="L137" i="38" s="1"/>
  <c r="D137" i="38"/>
  <c r="J137" i="38" s="1"/>
  <c r="I136" i="38"/>
  <c r="F136" i="38"/>
  <c r="G136" i="38" s="1"/>
  <c r="I135" i="38"/>
  <c r="F135" i="38"/>
  <c r="G135" i="38" s="1"/>
  <c r="I134" i="38"/>
  <c r="F134" i="38"/>
  <c r="G134" i="38" s="1"/>
  <c r="I133" i="38"/>
  <c r="F133" i="38"/>
  <c r="G133" i="38" s="1"/>
  <c r="I132" i="38"/>
  <c r="F132" i="38"/>
  <c r="G132" i="38" s="1"/>
  <c r="H129" i="38"/>
  <c r="L129" i="38" s="1"/>
  <c r="D129" i="38"/>
  <c r="J129" i="38" s="1"/>
  <c r="I128" i="38"/>
  <c r="F128" i="38"/>
  <c r="G128" i="38" s="1"/>
  <c r="I127" i="38"/>
  <c r="F127" i="38"/>
  <c r="G127" i="38" s="1"/>
  <c r="I126" i="38"/>
  <c r="F126" i="38"/>
  <c r="G126" i="38" s="1"/>
  <c r="I125" i="38"/>
  <c r="F125" i="38"/>
  <c r="G125" i="38" s="1"/>
  <c r="I124" i="38"/>
  <c r="F124" i="38"/>
  <c r="G124" i="38" s="1"/>
  <c r="H121" i="38"/>
  <c r="L121" i="38" s="1"/>
  <c r="D121" i="38"/>
  <c r="J121" i="38" s="1"/>
  <c r="I120" i="38"/>
  <c r="F120" i="38"/>
  <c r="G120" i="38" s="1"/>
  <c r="I119" i="38"/>
  <c r="F119" i="38"/>
  <c r="G119" i="38" s="1"/>
  <c r="I118" i="38"/>
  <c r="F118" i="38"/>
  <c r="G118" i="38" s="1"/>
  <c r="I117" i="38"/>
  <c r="F117" i="38"/>
  <c r="G117" i="38" s="1"/>
  <c r="I116" i="38"/>
  <c r="F116" i="38"/>
  <c r="G116" i="38" s="1"/>
  <c r="H113" i="38"/>
  <c r="L113" i="38" s="1"/>
  <c r="D113" i="38"/>
  <c r="J113" i="38" s="1"/>
  <c r="I112" i="38"/>
  <c r="F112" i="38"/>
  <c r="G112" i="38" s="1"/>
  <c r="I111" i="38"/>
  <c r="F111" i="38"/>
  <c r="G111" i="38" s="1"/>
  <c r="I110" i="38"/>
  <c r="F110" i="38"/>
  <c r="G110" i="38" s="1"/>
  <c r="I109" i="38"/>
  <c r="F109" i="38"/>
  <c r="G109" i="38" s="1"/>
  <c r="I108" i="38"/>
  <c r="F108" i="38"/>
  <c r="G108" i="38" s="1"/>
  <c r="H105" i="38"/>
  <c r="L105" i="38" s="1"/>
  <c r="D105" i="38"/>
  <c r="J105" i="38" s="1"/>
  <c r="I104" i="38"/>
  <c r="F104" i="38"/>
  <c r="G104" i="38" s="1"/>
  <c r="I103" i="38"/>
  <c r="F103" i="38"/>
  <c r="G103" i="38" s="1"/>
  <c r="I102" i="38"/>
  <c r="F102" i="38"/>
  <c r="G102" i="38" s="1"/>
  <c r="I101" i="38"/>
  <c r="F101" i="38"/>
  <c r="G101" i="38" s="1"/>
  <c r="I100" i="38"/>
  <c r="F100" i="38"/>
  <c r="G100" i="38" s="1"/>
  <c r="H97" i="38"/>
  <c r="L97" i="38" s="1"/>
  <c r="D97" i="38"/>
  <c r="J97" i="38" s="1"/>
  <c r="I96" i="38"/>
  <c r="F96" i="38"/>
  <c r="G96" i="38" s="1"/>
  <c r="I95" i="38"/>
  <c r="F95" i="38"/>
  <c r="G95" i="38" s="1"/>
  <c r="I94" i="38"/>
  <c r="F94" i="38"/>
  <c r="G94" i="38" s="1"/>
  <c r="I93" i="38"/>
  <c r="F93" i="38"/>
  <c r="G93" i="38" s="1"/>
  <c r="I92" i="38"/>
  <c r="F92" i="38"/>
  <c r="G92" i="38" s="1"/>
  <c r="H89" i="38"/>
  <c r="L89" i="38" s="1"/>
  <c r="D89" i="38"/>
  <c r="J89" i="38" s="1"/>
  <c r="I88" i="38"/>
  <c r="F88" i="38"/>
  <c r="G88" i="38" s="1"/>
  <c r="I87" i="38"/>
  <c r="F87" i="38"/>
  <c r="G87" i="38" s="1"/>
  <c r="I86" i="38"/>
  <c r="F86" i="38"/>
  <c r="G86" i="38" s="1"/>
  <c r="I85" i="38"/>
  <c r="F85" i="38"/>
  <c r="G85" i="38" s="1"/>
  <c r="I84" i="38"/>
  <c r="F84" i="38"/>
  <c r="G84" i="38" s="1"/>
  <c r="H81" i="38"/>
  <c r="L81" i="38" s="1"/>
  <c r="D81" i="38"/>
  <c r="J81" i="38" s="1"/>
  <c r="I80" i="38"/>
  <c r="F80" i="38"/>
  <c r="G80" i="38" s="1"/>
  <c r="I79" i="38"/>
  <c r="F79" i="38"/>
  <c r="G79" i="38" s="1"/>
  <c r="I78" i="38"/>
  <c r="F78" i="38"/>
  <c r="G78" i="38" s="1"/>
  <c r="I77" i="38"/>
  <c r="F77" i="38"/>
  <c r="G77" i="38" s="1"/>
  <c r="I76" i="38"/>
  <c r="F76" i="38"/>
  <c r="G76" i="38" s="1"/>
  <c r="H73" i="38"/>
  <c r="L73" i="38" s="1"/>
  <c r="D73" i="38"/>
  <c r="J73" i="38" s="1"/>
  <c r="I72" i="38"/>
  <c r="F72" i="38"/>
  <c r="G72" i="38" s="1"/>
  <c r="I71" i="38"/>
  <c r="F71" i="38"/>
  <c r="G71" i="38" s="1"/>
  <c r="I70" i="38"/>
  <c r="F70" i="38"/>
  <c r="G70" i="38" s="1"/>
  <c r="I69" i="38"/>
  <c r="F69" i="38"/>
  <c r="G69" i="38" s="1"/>
  <c r="I68" i="38"/>
  <c r="F68" i="38"/>
  <c r="G68" i="38" s="1"/>
  <c r="H65" i="38"/>
  <c r="L65" i="38" s="1"/>
  <c r="D65" i="38"/>
  <c r="J65" i="38" s="1"/>
  <c r="I64" i="38"/>
  <c r="F64" i="38"/>
  <c r="G64" i="38" s="1"/>
  <c r="I63" i="38"/>
  <c r="F63" i="38"/>
  <c r="G63" i="38" s="1"/>
  <c r="I62" i="38"/>
  <c r="F62" i="38"/>
  <c r="G62" i="38" s="1"/>
  <c r="I61" i="38"/>
  <c r="F61" i="38"/>
  <c r="G61" i="38" s="1"/>
  <c r="I60" i="38"/>
  <c r="F60" i="38"/>
  <c r="G60" i="38" s="1"/>
  <c r="H57" i="38"/>
  <c r="L57" i="38" s="1"/>
  <c r="D57" i="38"/>
  <c r="J57" i="38" s="1"/>
  <c r="I56" i="38"/>
  <c r="F56" i="38"/>
  <c r="G56" i="38" s="1"/>
  <c r="I55" i="38"/>
  <c r="F55" i="38"/>
  <c r="G55" i="38" s="1"/>
  <c r="I54" i="38"/>
  <c r="F54" i="38"/>
  <c r="G54" i="38" s="1"/>
  <c r="I53" i="38"/>
  <c r="F53" i="38"/>
  <c r="G53" i="38" s="1"/>
  <c r="I52" i="38"/>
  <c r="F52" i="38"/>
  <c r="G52" i="38" s="1"/>
  <c r="H49" i="38"/>
  <c r="L49" i="38" s="1"/>
  <c r="D49" i="38"/>
  <c r="J49" i="38" s="1"/>
  <c r="I48" i="38"/>
  <c r="F48" i="38"/>
  <c r="G48" i="38" s="1"/>
  <c r="I47" i="38"/>
  <c r="F47" i="38"/>
  <c r="G47" i="38" s="1"/>
  <c r="I46" i="38"/>
  <c r="F46" i="38"/>
  <c r="G46" i="38" s="1"/>
  <c r="I45" i="38"/>
  <c r="F45" i="38"/>
  <c r="G45" i="38" s="1"/>
  <c r="I44" i="38"/>
  <c r="F44" i="38"/>
  <c r="G44" i="38" s="1"/>
  <c r="H41" i="38"/>
  <c r="L41" i="38" s="1"/>
  <c r="D41" i="38"/>
  <c r="J41" i="38" s="1"/>
  <c r="I40" i="38"/>
  <c r="F40" i="38"/>
  <c r="G40" i="38" s="1"/>
  <c r="I39" i="38"/>
  <c r="F39" i="38"/>
  <c r="G39" i="38" s="1"/>
  <c r="I38" i="38"/>
  <c r="F38" i="38"/>
  <c r="G38" i="38" s="1"/>
  <c r="I37" i="38"/>
  <c r="F37" i="38"/>
  <c r="G37" i="38" s="1"/>
  <c r="I36" i="38"/>
  <c r="F36" i="38"/>
  <c r="G36" i="38" s="1"/>
  <c r="H33" i="38"/>
  <c r="L33" i="38" s="1"/>
  <c r="D33" i="38"/>
  <c r="J33" i="38" s="1"/>
  <c r="I32" i="38"/>
  <c r="F32" i="38"/>
  <c r="G32" i="38" s="1"/>
  <c r="I31" i="38"/>
  <c r="F31" i="38"/>
  <c r="G31" i="38" s="1"/>
  <c r="I30" i="38"/>
  <c r="F30" i="38"/>
  <c r="G30" i="38" s="1"/>
  <c r="I29" i="38"/>
  <c r="F29" i="38"/>
  <c r="G29" i="38" s="1"/>
  <c r="I28" i="38"/>
  <c r="F28" i="38"/>
  <c r="G28" i="38" s="1"/>
  <c r="H25" i="38"/>
  <c r="L25" i="38" s="1"/>
  <c r="D25" i="38"/>
  <c r="J25" i="38" s="1"/>
  <c r="I24" i="38"/>
  <c r="F24" i="38"/>
  <c r="G24" i="38" s="1"/>
  <c r="I23" i="38"/>
  <c r="F23" i="38"/>
  <c r="G23" i="38" s="1"/>
  <c r="I22" i="38"/>
  <c r="F22" i="38"/>
  <c r="G22" i="38" s="1"/>
  <c r="I21" i="38"/>
  <c r="F21" i="38"/>
  <c r="G21" i="38" s="1"/>
  <c r="I20" i="38"/>
  <c r="F20" i="38"/>
  <c r="G20" i="38" s="1"/>
  <c r="H17" i="38"/>
  <c r="L17" i="38" s="1"/>
  <c r="D17" i="38"/>
  <c r="J17" i="38" s="1"/>
  <c r="I16" i="38"/>
  <c r="F16" i="38"/>
  <c r="G16" i="38" s="1"/>
  <c r="I15" i="38"/>
  <c r="F15" i="38"/>
  <c r="G15" i="38" s="1"/>
  <c r="I14" i="38"/>
  <c r="F14" i="38"/>
  <c r="G14" i="38" s="1"/>
  <c r="I13" i="38"/>
  <c r="F13" i="38"/>
  <c r="G13" i="38" s="1"/>
  <c r="I12" i="38"/>
  <c r="F12" i="38"/>
  <c r="G12" i="38" s="1"/>
  <c r="H9" i="38"/>
  <c r="L9" i="38" s="1"/>
  <c r="D9" i="38"/>
  <c r="J9" i="38" s="1"/>
  <c r="I8" i="38"/>
  <c r="F8" i="38"/>
  <c r="G8" i="38" s="1"/>
  <c r="I7" i="38"/>
  <c r="F7" i="38"/>
  <c r="G7" i="38" s="1"/>
  <c r="I6" i="38"/>
  <c r="F6" i="38"/>
  <c r="G6" i="38" s="1"/>
  <c r="I5" i="38"/>
  <c r="F5" i="38"/>
  <c r="G5" i="38" s="1"/>
  <c r="I4" i="38"/>
  <c r="F4" i="38"/>
  <c r="G4" i="38" s="1"/>
  <c r="D33" i="36"/>
  <c r="D32" i="36"/>
  <c r="D31" i="36"/>
  <c r="D30" i="36"/>
  <c r="D29" i="36"/>
  <c r="Y29" i="36" s="1"/>
  <c r="D28" i="36"/>
  <c r="Y28" i="36" s="1"/>
  <c r="D27" i="36"/>
  <c r="D26" i="36"/>
  <c r="Y26" i="36" s="1"/>
  <c r="Y25" i="36"/>
  <c r="X25" i="36"/>
  <c r="B25" i="36"/>
  <c r="D24" i="36"/>
  <c r="Y24" i="36" s="1"/>
  <c r="D23" i="36"/>
  <c r="Y23" i="36" s="1"/>
  <c r="D22" i="36"/>
  <c r="Y22" i="36" s="1"/>
  <c r="D21" i="36"/>
  <c r="Y21" i="36" s="1"/>
  <c r="D20" i="36"/>
  <c r="Y20" i="36" s="1"/>
  <c r="D19" i="36"/>
  <c r="Y19" i="36" s="1"/>
  <c r="D18" i="36"/>
  <c r="Y18" i="36" s="1"/>
  <c r="D17" i="36"/>
  <c r="Y17" i="36" s="1"/>
  <c r="D16" i="36"/>
  <c r="Y16" i="36" s="1"/>
  <c r="D15" i="36"/>
  <c r="Y15" i="36" s="1"/>
  <c r="D14" i="36"/>
  <c r="Y14" i="36" s="1"/>
  <c r="D13" i="36"/>
  <c r="Y13" i="36" s="1"/>
  <c r="D12" i="36"/>
  <c r="Y12" i="36" s="1"/>
  <c r="D11" i="36"/>
  <c r="Y11" i="36" s="1"/>
  <c r="D10" i="36"/>
  <c r="B10" i="36" s="1"/>
  <c r="Y9" i="36"/>
  <c r="X9" i="36"/>
  <c r="B9" i="36"/>
  <c r="F4" i="36"/>
  <c r="F14" i="44" s="1"/>
  <c r="G20" i="52" s="1"/>
  <c r="H201" i="35"/>
  <c r="L201" i="35" s="1"/>
  <c r="D201" i="35"/>
  <c r="J201" i="35" s="1"/>
  <c r="I200" i="35"/>
  <c r="F200" i="35"/>
  <c r="G200" i="35" s="1"/>
  <c r="I199" i="35"/>
  <c r="F199" i="35"/>
  <c r="G199" i="35" s="1"/>
  <c r="I198" i="35"/>
  <c r="F198" i="35"/>
  <c r="G198" i="35" s="1"/>
  <c r="I197" i="35"/>
  <c r="F197" i="35"/>
  <c r="G197" i="35" s="1"/>
  <c r="I196" i="35"/>
  <c r="F196" i="35"/>
  <c r="G196" i="35" s="1"/>
  <c r="H193" i="35"/>
  <c r="L193" i="35" s="1"/>
  <c r="D193" i="35"/>
  <c r="J193" i="35" s="1"/>
  <c r="I192" i="35"/>
  <c r="F192" i="35"/>
  <c r="G192" i="35" s="1"/>
  <c r="I191" i="35"/>
  <c r="F191" i="35"/>
  <c r="G191" i="35" s="1"/>
  <c r="I190" i="35"/>
  <c r="F190" i="35"/>
  <c r="G190" i="35" s="1"/>
  <c r="I189" i="35"/>
  <c r="F189" i="35"/>
  <c r="G189" i="35" s="1"/>
  <c r="I188" i="35"/>
  <c r="F188" i="35"/>
  <c r="G188" i="35" s="1"/>
  <c r="H185" i="35"/>
  <c r="L185" i="35" s="1"/>
  <c r="D185" i="35"/>
  <c r="J185" i="35" s="1"/>
  <c r="I184" i="35"/>
  <c r="F184" i="35"/>
  <c r="G184" i="35" s="1"/>
  <c r="I183" i="35"/>
  <c r="F183" i="35"/>
  <c r="G183" i="35" s="1"/>
  <c r="I182" i="35"/>
  <c r="F182" i="35"/>
  <c r="G182" i="35" s="1"/>
  <c r="I181" i="35"/>
  <c r="F181" i="35"/>
  <c r="G181" i="35" s="1"/>
  <c r="I180" i="35"/>
  <c r="F180" i="35"/>
  <c r="G180" i="35" s="1"/>
  <c r="H177" i="35"/>
  <c r="L177" i="35" s="1"/>
  <c r="D177" i="35"/>
  <c r="J177" i="35" s="1"/>
  <c r="I176" i="35"/>
  <c r="F176" i="35"/>
  <c r="G176" i="35" s="1"/>
  <c r="I175" i="35"/>
  <c r="F175" i="35"/>
  <c r="G175" i="35" s="1"/>
  <c r="I174" i="35"/>
  <c r="F174" i="35"/>
  <c r="G174" i="35" s="1"/>
  <c r="I173" i="35"/>
  <c r="F173" i="35"/>
  <c r="G173" i="35" s="1"/>
  <c r="I172" i="35"/>
  <c r="F172" i="35"/>
  <c r="G172" i="35" s="1"/>
  <c r="H169" i="35"/>
  <c r="L169" i="35" s="1"/>
  <c r="D169" i="35"/>
  <c r="J169" i="35" s="1"/>
  <c r="I168" i="35"/>
  <c r="F168" i="35"/>
  <c r="G168" i="35" s="1"/>
  <c r="I167" i="35"/>
  <c r="F167" i="35"/>
  <c r="G167" i="35" s="1"/>
  <c r="I166" i="35"/>
  <c r="F166" i="35"/>
  <c r="G166" i="35" s="1"/>
  <c r="I165" i="35"/>
  <c r="F165" i="35"/>
  <c r="G165" i="35" s="1"/>
  <c r="I164" i="35"/>
  <c r="F164" i="35"/>
  <c r="G164" i="35" s="1"/>
  <c r="H161" i="35"/>
  <c r="L161" i="35" s="1"/>
  <c r="D161" i="35"/>
  <c r="J161" i="35" s="1"/>
  <c r="I160" i="35"/>
  <c r="F160" i="35"/>
  <c r="G160" i="35" s="1"/>
  <c r="I159" i="35"/>
  <c r="F159" i="35"/>
  <c r="G159" i="35" s="1"/>
  <c r="I158" i="35"/>
  <c r="F158" i="35"/>
  <c r="G158" i="35" s="1"/>
  <c r="I157" i="35"/>
  <c r="F157" i="35"/>
  <c r="G157" i="35" s="1"/>
  <c r="I156" i="35"/>
  <c r="F156" i="35"/>
  <c r="G156" i="35" s="1"/>
  <c r="H153" i="35"/>
  <c r="L153" i="35" s="1"/>
  <c r="D153" i="35"/>
  <c r="J153" i="35" s="1"/>
  <c r="I152" i="35"/>
  <c r="F152" i="35"/>
  <c r="G152" i="35" s="1"/>
  <c r="I151" i="35"/>
  <c r="F151" i="35"/>
  <c r="G151" i="35" s="1"/>
  <c r="I150" i="35"/>
  <c r="F150" i="35"/>
  <c r="G150" i="35" s="1"/>
  <c r="I149" i="35"/>
  <c r="F149" i="35"/>
  <c r="G149" i="35" s="1"/>
  <c r="I148" i="35"/>
  <c r="F148" i="35"/>
  <c r="G148" i="35" s="1"/>
  <c r="H145" i="35"/>
  <c r="L145" i="35" s="1"/>
  <c r="D145" i="35"/>
  <c r="J145" i="35" s="1"/>
  <c r="I144" i="35"/>
  <c r="F144" i="35"/>
  <c r="G144" i="35" s="1"/>
  <c r="I143" i="35"/>
  <c r="F143" i="35"/>
  <c r="G143" i="35" s="1"/>
  <c r="I142" i="35"/>
  <c r="F142" i="35"/>
  <c r="G142" i="35" s="1"/>
  <c r="I141" i="35"/>
  <c r="F141" i="35"/>
  <c r="G141" i="35" s="1"/>
  <c r="I140" i="35"/>
  <c r="F140" i="35"/>
  <c r="G140" i="35" s="1"/>
  <c r="H137" i="35"/>
  <c r="L137" i="35" s="1"/>
  <c r="D137" i="35"/>
  <c r="J137" i="35" s="1"/>
  <c r="I136" i="35"/>
  <c r="F136" i="35"/>
  <c r="G136" i="35" s="1"/>
  <c r="I135" i="35"/>
  <c r="F135" i="35"/>
  <c r="G135" i="35" s="1"/>
  <c r="I134" i="35"/>
  <c r="F134" i="35"/>
  <c r="G134" i="35" s="1"/>
  <c r="I133" i="35"/>
  <c r="F133" i="35"/>
  <c r="G133" i="35" s="1"/>
  <c r="I132" i="35"/>
  <c r="F132" i="35"/>
  <c r="G132" i="35" s="1"/>
  <c r="H129" i="35"/>
  <c r="L129" i="35" s="1"/>
  <c r="D129" i="35"/>
  <c r="J129" i="35" s="1"/>
  <c r="I128" i="35"/>
  <c r="F128" i="35"/>
  <c r="G128" i="35" s="1"/>
  <c r="I127" i="35"/>
  <c r="F127" i="35"/>
  <c r="G127" i="35" s="1"/>
  <c r="I126" i="35"/>
  <c r="F126" i="35"/>
  <c r="G126" i="35" s="1"/>
  <c r="I125" i="35"/>
  <c r="F125" i="35"/>
  <c r="G125" i="35" s="1"/>
  <c r="I124" i="35"/>
  <c r="F124" i="35"/>
  <c r="G124" i="35" s="1"/>
  <c r="H121" i="35"/>
  <c r="L121" i="35" s="1"/>
  <c r="D121" i="35"/>
  <c r="J121" i="35" s="1"/>
  <c r="I120" i="35"/>
  <c r="F120" i="35"/>
  <c r="G120" i="35" s="1"/>
  <c r="I119" i="35"/>
  <c r="F119" i="35"/>
  <c r="G119" i="35" s="1"/>
  <c r="I118" i="35"/>
  <c r="F118" i="35"/>
  <c r="G118" i="35" s="1"/>
  <c r="I117" i="35"/>
  <c r="F117" i="35"/>
  <c r="G117" i="35" s="1"/>
  <c r="I116" i="35"/>
  <c r="F116" i="35"/>
  <c r="G116" i="35" s="1"/>
  <c r="H113" i="35"/>
  <c r="L113" i="35" s="1"/>
  <c r="D113" i="35"/>
  <c r="J113" i="35" s="1"/>
  <c r="I112" i="35"/>
  <c r="F112" i="35"/>
  <c r="G112" i="35" s="1"/>
  <c r="I111" i="35"/>
  <c r="F111" i="35"/>
  <c r="G111" i="35" s="1"/>
  <c r="I110" i="35"/>
  <c r="F110" i="35"/>
  <c r="G110" i="35" s="1"/>
  <c r="I109" i="35"/>
  <c r="F109" i="35"/>
  <c r="G109" i="35" s="1"/>
  <c r="I108" i="35"/>
  <c r="F108" i="35"/>
  <c r="G108" i="35" s="1"/>
  <c r="H105" i="35"/>
  <c r="L105" i="35" s="1"/>
  <c r="D105" i="35"/>
  <c r="J105" i="35" s="1"/>
  <c r="I104" i="35"/>
  <c r="F104" i="35"/>
  <c r="G104" i="35" s="1"/>
  <c r="I103" i="35"/>
  <c r="F103" i="35"/>
  <c r="G103" i="35" s="1"/>
  <c r="I102" i="35"/>
  <c r="F102" i="35"/>
  <c r="G102" i="35" s="1"/>
  <c r="I101" i="35"/>
  <c r="F101" i="35"/>
  <c r="G101" i="35" s="1"/>
  <c r="I100" i="35"/>
  <c r="F100" i="35"/>
  <c r="G100" i="35" s="1"/>
  <c r="H97" i="35"/>
  <c r="L97" i="35" s="1"/>
  <c r="D97" i="35"/>
  <c r="J97" i="35" s="1"/>
  <c r="I96" i="35"/>
  <c r="F96" i="35"/>
  <c r="G96" i="35" s="1"/>
  <c r="I95" i="35"/>
  <c r="F95" i="35"/>
  <c r="G95" i="35" s="1"/>
  <c r="I94" i="35"/>
  <c r="F94" i="35"/>
  <c r="G94" i="35" s="1"/>
  <c r="I93" i="35"/>
  <c r="F93" i="35"/>
  <c r="G93" i="35" s="1"/>
  <c r="I92" i="35"/>
  <c r="F92" i="35"/>
  <c r="G92" i="35" s="1"/>
  <c r="H89" i="35"/>
  <c r="L89" i="35" s="1"/>
  <c r="D89" i="35"/>
  <c r="J89" i="35" s="1"/>
  <c r="I88" i="35"/>
  <c r="F88" i="35"/>
  <c r="G88" i="35" s="1"/>
  <c r="I87" i="35"/>
  <c r="F87" i="35"/>
  <c r="G87" i="35" s="1"/>
  <c r="I86" i="35"/>
  <c r="F86" i="35"/>
  <c r="G86" i="35" s="1"/>
  <c r="I85" i="35"/>
  <c r="F85" i="35"/>
  <c r="G85" i="35" s="1"/>
  <c r="I84" i="35"/>
  <c r="F84" i="35"/>
  <c r="G84" i="35" s="1"/>
  <c r="H81" i="35"/>
  <c r="L81" i="35" s="1"/>
  <c r="D81" i="35"/>
  <c r="J81" i="35" s="1"/>
  <c r="I80" i="35"/>
  <c r="F80" i="35"/>
  <c r="G80" i="35" s="1"/>
  <c r="I79" i="35"/>
  <c r="F79" i="35"/>
  <c r="G79" i="35" s="1"/>
  <c r="I78" i="35"/>
  <c r="F78" i="35"/>
  <c r="G78" i="35" s="1"/>
  <c r="I77" i="35"/>
  <c r="F77" i="35"/>
  <c r="G77" i="35" s="1"/>
  <c r="I76" i="35"/>
  <c r="F76" i="35"/>
  <c r="G76" i="35" s="1"/>
  <c r="H73" i="35"/>
  <c r="L73" i="35" s="1"/>
  <c r="D73" i="35"/>
  <c r="J73" i="35" s="1"/>
  <c r="I72" i="35"/>
  <c r="F72" i="35"/>
  <c r="G72" i="35" s="1"/>
  <c r="I71" i="35"/>
  <c r="F71" i="35"/>
  <c r="G71" i="35" s="1"/>
  <c r="I70" i="35"/>
  <c r="F70" i="35"/>
  <c r="G70" i="35" s="1"/>
  <c r="I69" i="35"/>
  <c r="F69" i="35"/>
  <c r="G69" i="35" s="1"/>
  <c r="I68" i="35"/>
  <c r="F68" i="35"/>
  <c r="G68" i="35" s="1"/>
  <c r="H65" i="35"/>
  <c r="L65" i="35" s="1"/>
  <c r="D65" i="35"/>
  <c r="J65" i="35" s="1"/>
  <c r="I64" i="35"/>
  <c r="F64" i="35"/>
  <c r="G64" i="35" s="1"/>
  <c r="I63" i="35"/>
  <c r="F63" i="35"/>
  <c r="G63" i="35" s="1"/>
  <c r="I62" i="35"/>
  <c r="F62" i="35"/>
  <c r="G62" i="35" s="1"/>
  <c r="I61" i="35"/>
  <c r="F61" i="35"/>
  <c r="G61" i="35" s="1"/>
  <c r="I60" i="35"/>
  <c r="F60" i="35"/>
  <c r="G60" i="35" s="1"/>
  <c r="H57" i="35"/>
  <c r="L57" i="35" s="1"/>
  <c r="D57" i="35"/>
  <c r="J57" i="35" s="1"/>
  <c r="I56" i="35"/>
  <c r="F56" i="35"/>
  <c r="G56" i="35" s="1"/>
  <c r="I55" i="35"/>
  <c r="F55" i="35"/>
  <c r="G55" i="35" s="1"/>
  <c r="I54" i="35"/>
  <c r="F54" i="35"/>
  <c r="G54" i="35" s="1"/>
  <c r="I53" i="35"/>
  <c r="F53" i="35"/>
  <c r="G53" i="35" s="1"/>
  <c r="I52" i="35"/>
  <c r="F52" i="35"/>
  <c r="G52" i="35" s="1"/>
  <c r="H49" i="35"/>
  <c r="L49" i="35" s="1"/>
  <c r="D49" i="35"/>
  <c r="J49" i="35" s="1"/>
  <c r="I48" i="35"/>
  <c r="F48" i="35"/>
  <c r="G48" i="35" s="1"/>
  <c r="I47" i="35"/>
  <c r="F47" i="35"/>
  <c r="G47" i="35" s="1"/>
  <c r="I46" i="35"/>
  <c r="F46" i="35"/>
  <c r="G46" i="35" s="1"/>
  <c r="I45" i="35"/>
  <c r="F45" i="35"/>
  <c r="G45" i="35" s="1"/>
  <c r="I44" i="35"/>
  <c r="F44" i="35"/>
  <c r="G44" i="35" s="1"/>
  <c r="H41" i="35"/>
  <c r="L41" i="35" s="1"/>
  <c r="D41" i="35"/>
  <c r="J41" i="35" s="1"/>
  <c r="I40" i="35"/>
  <c r="F40" i="35"/>
  <c r="G40" i="35" s="1"/>
  <c r="I39" i="35"/>
  <c r="F39" i="35"/>
  <c r="G39" i="35" s="1"/>
  <c r="I38" i="35"/>
  <c r="F38" i="35"/>
  <c r="G38" i="35" s="1"/>
  <c r="I37" i="35"/>
  <c r="F37" i="35"/>
  <c r="G37" i="35" s="1"/>
  <c r="I36" i="35"/>
  <c r="F36" i="35"/>
  <c r="G36" i="35" s="1"/>
  <c r="H33" i="35"/>
  <c r="L33" i="35" s="1"/>
  <c r="D33" i="35"/>
  <c r="J33" i="35" s="1"/>
  <c r="I32" i="35"/>
  <c r="F32" i="35"/>
  <c r="G32" i="35" s="1"/>
  <c r="I31" i="35"/>
  <c r="F31" i="35"/>
  <c r="G31" i="35" s="1"/>
  <c r="I30" i="35"/>
  <c r="F30" i="35"/>
  <c r="G30" i="35" s="1"/>
  <c r="I29" i="35"/>
  <c r="F29" i="35"/>
  <c r="G29" i="35" s="1"/>
  <c r="I28" i="35"/>
  <c r="F28" i="35"/>
  <c r="G28" i="35" s="1"/>
  <c r="H25" i="35"/>
  <c r="L25" i="35" s="1"/>
  <c r="D25" i="35"/>
  <c r="J25" i="35" s="1"/>
  <c r="I24" i="35"/>
  <c r="F24" i="35"/>
  <c r="G24" i="35" s="1"/>
  <c r="I23" i="35"/>
  <c r="F23" i="35"/>
  <c r="G23" i="35" s="1"/>
  <c r="I22" i="35"/>
  <c r="F22" i="35"/>
  <c r="G22" i="35" s="1"/>
  <c r="I21" i="35"/>
  <c r="F21" i="35"/>
  <c r="G21" i="35" s="1"/>
  <c r="I20" i="35"/>
  <c r="F20" i="35"/>
  <c r="G20" i="35" s="1"/>
  <c r="H17" i="35"/>
  <c r="L17" i="35" s="1"/>
  <c r="D17" i="35"/>
  <c r="J17" i="35" s="1"/>
  <c r="I16" i="35"/>
  <c r="F16" i="35"/>
  <c r="G16" i="35" s="1"/>
  <c r="I15" i="35"/>
  <c r="F15" i="35"/>
  <c r="G15" i="35" s="1"/>
  <c r="I14" i="35"/>
  <c r="F14" i="35"/>
  <c r="G14" i="35" s="1"/>
  <c r="I13" i="35"/>
  <c r="F13" i="35"/>
  <c r="G13" i="35" s="1"/>
  <c r="I12" i="35"/>
  <c r="F12" i="35"/>
  <c r="G12" i="35" s="1"/>
  <c r="H9" i="35"/>
  <c r="L9" i="35" s="1"/>
  <c r="D9" i="35"/>
  <c r="J9" i="35" s="1"/>
  <c r="I8" i="35"/>
  <c r="F8" i="35"/>
  <c r="G8" i="35" s="1"/>
  <c r="I7" i="35"/>
  <c r="F7" i="35"/>
  <c r="G7" i="35" s="1"/>
  <c r="I6" i="35"/>
  <c r="F6" i="35"/>
  <c r="G6" i="35" s="1"/>
  <c r="I5" i="35"/>
  <c r="F5" i="35"/>
  <c r="G5" i="35" s="1"/>
  <c r="I4" i="35"/>
  <c r="F4" i="35"/>
  <c r="G4" i="35" s="1"/>
  <c r="D35" i="33"/>
  <c r="D34" i="33"/>
  <c r="D33" i="33"/>
  <c r="D32" i="33"/>
  <c r="D31" i="33"/>
  <c r="D30" i="33"/>
  <c r="Y30" i="33" s="1"/>
  <c r="D29" i="33"/>
  <c r="Y29" i="33" s="1"/>
  <c r="D28" i="33"/>
  <c r="Y28" i="33" s="1"/>
  <c r="D27" i="33"/>
  <c r="Y27" i="33" s="1"/>
  <c r="D26" i="33"/>
  <c r="Y26" i="33" s="1"/>
  <c r="D25" i="33"/>
  <c r="Y25" i="33" s="1"/>
  <c r="D24" i="33"/>
  <c r="Y24" i="33" s="1"/>
  <c r="D23" i="33"/>
  <c r="Y23" i="33" s="1"/>
  <c r="D22" i="33"/>
  <c r="Y22" i="33" s="1"/>
  <c r="D21" i="33"/>
  <c r="Y21" i="33" s="1"/>
  <c r="D20" i="33"/>
  <c r="Y20" i="33" s="1"/>
  <c r="D19" i="33"/>
  <c r="Y19" i="33" s="1"/>
  <c r="Y18" i="33"/>
  <c r="X18" i="33"/>
  <c r="B18" i="33"/>
  <c r="D17" i="33"/>
  <c r="Y17" i="33" s="1"/>
  <c r="D16" i="33"/>
  <c r="Y16" i="33" s="1"/>
  <c r="D15" i="33"/>
  <c r="Y15" i="33" s="1"/>
  <c r="D14" i="33"/>
  <c r="Y14" i="33" s="1"/>
  <c r="D13" i="33"/>
  <c r="Y13" i="33" s="1"/>
  <c r="D12" i="33"/>
  <c r="Y12" i="33" s="1"/>
  <c r="D11" i="33"/>
  <c r="Y11" i="33" s="1"/>
  <c r="D10" i="33"/>
  <c r="Y10" i="33" s="1"/>
  <c r="D9" i="33"/>
  <c r="B9" i="33" s="1"/>
  <c r="F4" i="33"/>
  <c r="F13" i="44" s="1"/>
  <c r="G19" i="52" s="1"/>
  <c r="I215" i="32"/>
  <c r="F215" i="32"/>
  <c r="G215" i="32" s="1"/>
  <c r="I214" i="32"/>
  <c r="F214" i="32"/>
  <c r="G214" i="32" s="1"/>
  <c r="I213" i="32"/>
  <c r="F213" i="32"/>
  <c r="G213" i="32" s="1"/>
  <c r="I212" i="32"/>
  <c r="F212" i="32"/>
  <c r="G212" i="32" s="1"/>
  <c r="I211" i="32"/>
  <c r="F211" i="32"/>
  <c r="G211" i="32" s="1"/>
  <c r="H209" i="32"/>
  <c r="D209" i="32"/>
  <c r="I208" i="32"/>
  <c r="F208" i="32"/>
  <c r="G208" i="32" s="1"/>
  <c r="I207" i="32"/>
  <c r="F207" i="32"/>
  <c r="G207" i="32" s="1"/>
  <c r="I206" i="32"/>
  <c r="F206" i="32"/>
  <c r="G206" i="32" s="1"/>
  <c r="I205" i="32"/>
  <c r="F205" i="32"/>
  <c r="G205" i="32" s="1"/>
  <c r="I204" i="32"/>
  <c r="F204" i="32"/>
  <c r="G204" i="32" s="1"/>
  <c r="H201" i="32"/>
  <c r="L201" i="32" s="1"/>
  <c r="D201" i="32"/>
  <c r="J201" i="32" s="1"/>
  <c r="I200" i="32"/>
  <c r="F200" i="32"/>
  <c r="G200" i="32" s="1"/>
  <c r="I199" i="32"/>
  <c r="F199" i="32"/>
  <c r="G199" i="32" s="1"/>
  <c r="I198" i="32"/>
  <c r="F198" i="32"/>
  <c r="G198" i="32" s="1"/>
  <c r="I197" i="32"/>
  <c r="F197" i="32"/>
  <c r="G197" i="32" s="1"/>
  <c r="I196" i="32"/>
  <c r="F196" i="32"/>
  <c r="G196" i="32" s="1"/>
  <c r="H193" i="32"/>
  <c r="L193" i="32" s="1"/>
  <c r="D193" i="32"/>
  <c r="J193" i="32" s="1"/>
  <c r="I192" i="32"/>
  <c r="F192" i="32"/>
  <c r="G192" i="32" s="1"/>
  <c r="I191" i="32"/>
  <c r="F191" i="32"/>
  <c r="G191" i="32" s="1"/>
  <c r="I190" i="32"/>
  <c r="F190" i="32"/>
  <c r="G190" i="32" s="1"/>
  <c r="I189" i="32"/>
  <c r="F189" i="32"/>
  <c r="G189" i="32" s="1"/>
  <c r="I188" i="32"/>
  <c r="F188" i="32"/>
  <c r="G188" i="32" s="1"/>
  <c r="H185" i="32"/>
  <c r="L185" i="32" s="1"/>
  <c r="D185" i="32"/>
  <c r="J185" i="32" s="1"/>
  <c r="I184" i="32"/>
  <c r="F184" i="32"/>
  <c r="G184" i="32" s="1"/>
  <c r="I183" i="32"/>
  <c r="F183" i="32"/>
  <c r="G183" i="32" s="1"/>
  <c r="I182" i="32"/>
  <c r="F182" i="32"/>
  <c r="G182" i="32" s="1"/>
  <c r="I181" i="32"/>
  <c r="F181" i="32"/>
  <c r="G181" i="32" s="1"/>
  <c r="I180" i="32"/>
  <c r="F180" i="32"/>
  <c r="G180" i="32" s="1"/>
  <c r="H177" i="32"/>
  <c r="L177" i="32" s="1"/>
  <c r="D177" i="32"/>
  <c r="J177" i="32" s="1"/>
  <c r="I176" i="32"/>
  <c r="F176" i="32"/>
  <c r="G176" i="32" s="1"/>
  <c r="I175" i="32"/>
  <c r="F175" i="32"/>
  <c r="G175" i="32" s="1"/>
  <c r="I174" i="32"/>
  <c r="F174" i="32"/>
  <c r="G174" i="32" s="1"/>
  <c r="I173" i="32"/>
  <c r="F173" i="32"/>
  <c r="G173" i="32" s="1"/>
  <c r="I172" i="32"/>
  <c r="F172" i="32"/>
  <c r="G172" i="32" s="1"/>
  <c r="H169" i="32"/>
  <c r="L169" i="32" s="1"/>
  <c r="D169" i="32"/>
  <c r="J169" i="32" s="1"/>
  <c r="I168" i="32"/>
  <c r="F168" i="32"/>
  <c r="G168" i="32" s="1"/>
  <c r="I167" i="32"/>
  <c r="F167" i="32"/>
  <c r="G167" i="32" s="1"/>
  <c r="I166" i="32"/>
  <c r="F166" i="32"/>
  <c r="G166" i="32" s="1"/>
  <c r="I165" i="32"/>
  <c r="F165" i="32"/>
  <c r="G165" i="32" s="1"/>
  <c r="I164" i="32"/>
  <c r="F164" i="32"/>
  <c r="G164" i="32" s="1"/>
  <c r="H161" i="32"/>
  <c r="L161" i="32" s="1"/>
  <c r="D161" i="32"/>
  <c r="J161" i="32" s="1"/>
  <c r="I160" i="32"/>
  <c r="F160" i="32"/>
  <c r="G160" i="32" s="1"/>
  <c r="I159" i="32"/>
  <c r="F159" i="32"/>
  <c r="G159" i="32" s="1"/>
  <c r="I158" i="32"/>
  <c r="F158" i="32"/>
  <c r="G158" i="32" s="1"/>
  <c r="I157" i="32"/>
  <c r="F157" i="32"/>
  <c r="G157" i="32" s="1"/>
  <c r="I156" i="32"/>
  <c r="F156" i="32"/>
  <c r="G156" i="32" s="1"/>
  <c r="H153" i="32"/>
  <c r="L153" i="32" s="1"/>
  <c r="D153" i="32"/>
  <c r="J153" i="32" s="1"/>
  <c r="I152" i="32"/>
  <c r="F152" i="32"/>
  <c r="G152" i="32" s="1"/>
  <c r="I151" i="32"/>
  <c r="F151" i="32"/>
  <c r="G151" i="32" s="1"/>
  <c r="I150" i="32"/>
  <c r="F150" i="32"/>
  <c r="G150" i="32" s="1"/>
  <c r="I149" i="32"/>
  <c r="F149" i="32"/>
  <c r="G149" i="32" s="1"/>
  <c r="I148" i="32"/>
  <c r="F148" i="32"/>
  <c r="G148" i="32" s="1"/>
  <c r="H145" i="32"/>
  <c r="L145" i="32" s="1"/>
  <c r="D145" i="32"/>
  <c r="J145" i="32" s="1"/>
  <c r="I144" i="32"/>
  <c r="F144" i="32"/>
  <c r="G144" i="32" s="1"/>
  <c r="I143" i="32"/>
  <c r="F143" i="32"/>
  <c r="G143" i="32" s="1"/>
  <c r="I142" i="32"/>
  <c r="F142" i="32"/>
  <c r="G142" i="32" s="1"/>
  <c r="I141" i="32"/>
  <c r="F141" i="32"/>
  <c r="G141" i="32" s="1"/>
  <c r="I140" i="32"/>
  <c r="F140" i="32"/>
  <c r="G140" i="32" s="1"/>
  <c r="H137" i="32"/>
  <c r="L137" i="32" s="1"/>
  <c r="D137" i="32"/>
  <c r="J137" i="32" s="1"/>
  <c r="I136" i="32"/>
  <c r="F136" i="32"/>
  <c r="G136" i="32" s="1"/>
  <c r="I135" i="32"/>
  <c r="F135" i="32"/>
  <c r="G135" i="32" s="1"/>
  <c r="I134" i="32"/>
  <c r="F134" i="32"/>
  <c r="G134" i="32" s="1"/>
  <c r="I133" i="32"/>
  <c r="F133" i="32"/>
  <c r="G133" i="32" s="1"/>
  <c r="I132" i="32"/>
  <c r="F132" i="32"/>
  <c r="G132" i="32" s="1"/>
  <c r="H129" i="32"/>
  <c r="L129" i="32" s="1"/>
  <c r="D129" i="32"/>
  <c r="J129" i="32" s="1"/>
  <c r="I128" i="32"/>
  <c r="F128" i="32"/>
  <c r="G128" i="32" s="1"/>
  <c r="I127" i="32"/>
  <c r="F127" i="32"/>
  <c r="G127" i="32" s="1"/>
  <c r="I126" i="32"/>
  <c r="F126" i="32"/>
  <c r="G126" i="32" s="1"/>
  <c r="I125" i="32"/>
  <c r="F125" i="32"/>
  <c r="G125" i="32" s="1"/>
  <c r="I124" i="32"/>
  <c r="F124" i="32"/>
  <c r="G124" i="32" s="1"/>
  <c r="H121" i="32"/>
  <c r="L121" i="32" s="1"/>
  <c r="D121" i="32"/>
  <c r="J121" i="32" s="1"/>
  <c r="I120" i="32"/>
  <c r="F120" i="32"/>
  <c r="G120" i="32" s="1"/>
  <c r="I119" i="32"/>
  <c r="F119" i="32"/>
  <c r="G119" i="32" s="1"/>
  <c r="I118" i="32"/>
  <c r="F118" i="32"/>
  <c r="G118" i="32" s="1"/>
  <c r="I117" i="32"/>
  <c r="F117" i="32"/>
  <c r="G117" i="32" s="1"/>
  <c r="I116" i="32"/>
  <c r="F116" i="32"/>
  <c r="G116" i="32" s="1"/>
  <c r="H113" i="32"/>
  <c r="L113" i="32" s="1"/>
  <c r="D113" i="32"/>
  <c r="J113" i="32" s="1"/>
  <c r="I112" i="32"/>
  <c r="F112" i="32"/>
  <c r="G112" i="32" s="1"/>
  <c r="I111" i="32"/>
  <c r="F111" i="32"/>
  <c r="G111" i="32" s="1"/>
  <c r="I110" i="32"/>
  <c r="F110" i="32"/>
  <c r="G110" i="32" s="1"/>
  <c r="I109" i="32"/>
  <c r="F109" i="32"/>
  <c r="G109" i="32" s="1"/>
  <c r="I108" i="32"/>
  <c r="F108" i="32"/>
  <c r="G108" i="32" s="1"/>
  <c r="H105" i="32"/>
  <c r="L105" i="32" s="1"/>
  <c r="D105" i="32"/>
  <c r="J105" i="32" s="1"/>
  <c r="I104" i="32"/>
  <c r="F104" i="32"/>
  <c r="G104" i="32" s="1"/>
  <c r="I103" i="32"/>
  <c r="F103" i="32"/>
  <c r="G103" i="32" s="1"/>
  <c r="I102" i="32"/>
  <c r="F102" i="32"/>
  <c r="G102" i="32" s="1"/>
  <c r="I101" i="32"/>
  <c r="F101" i="32"/>
  <c r="G101" i="32" s="1"/>
  <c r="I100" i="32"/>
  <c r="F100" i="32"/>
  <c r="G100" i="32" s="1"/>
  <c r="H97" i="32"/>
  <c r="L97" i="32" s="1"/>
  <c r="D97" i="32"/>
  <c r="J97" i="32" s="1"/>
  <c r="I96" i="32"/>
  <c r="F96" i="32"/>
  <c r="G96" i="32" s="1"/>
  <c r="I95" i="32"/>
  <c r="F95" i="32"/>
  <c r="G95" i="32" s="1"/>
  <c r="I94" i="32"/>
  <c r="F94" i="32"/>
  <c r="G94" i="32" s="1"/>
  <c r="I93" i="32"/>
  <c r="F93" i="32"/>
  <c r="G93" i="32" s="1"/>
  <c r="I92" i="32"/>
  <c r="F92" i="32"/>
  <c r="G92" i="32" s="1"/>
  <c r="H89" i="32"/>
  <c r="L89" i="32" s="1"/>
  <c r="D89" i="32"/>
  <c r="J89" i="32" s="1"/>
  <c r="I88" i="32"/>
  <c r="F88" i="32"/>
  <c r="G88" i="32" s="1"/>
  <c r="I87" i="32"/>
  <c r="F87" i="32"/>
  <c r="G87" i="32" s="1"/>
  <c r="I86" i="32"/>
  <c r="F86" i="32"/>
  <c r="G86" i="32" s="1"/>
  <c r="I85" i="32"/>
  <c r="F85" i="32"/>
  <c r="G85" i="32" s="1"/>
  <c r="I84" i="32"/>
  <c r="F84" i="32"/>
  <c r="G84" i="32" s="1"/>
  <c r="H81" i="32"/>
  <c r="L81" i="32" s="1"/>
  <c r="D81" i="32"/>
  <c r="J81" i="32" s="1"/>
  <c r="I80" i="32"/>
  <c r="F80" i="32"/>
  <c r="G80" i="32" s="1"/>
  <c r="I79" i="32"/>
  <c r="F79" i="32"/>
  <c r="G79" i="32" s="1"/>
  <c r="I78" i="32"/>
  <c r="F78" i="32"/>
  <c r="G78" i="32" s="1"/>
  <c r="I77" i="32"/>
  <c r="F77" i="32"/>
  <c r="G77" i="32" s="1"/>
  <c r="I76" i="32"/>
  <c r="F76" i="32"/>
  <c r="G76" i="32" s="1"/>
  <c r="H73" i="32"/>
  <c r="L73" i="32" s="1"/>
  <c r="D73" i="32"/>
  <c r="J73" i="32" s="1"/>
  <c r="I72" i="32"/>
  <c r="F72" i="32"/>
  <c r="G72" i="32" s="1"/>
  <c r="I71" i="32"/>
  <c r="F71" i="32"/>
  <c r="G71" i="32" s="1"/>
  <c r="I70" i="32"/>
  <c r="F70" i="32"/>
  <c r="G70" i="32" s="1"/>
  <c r="I69" i="32"/>
  <c r="F69" i="32"/>
  <c r="G69" i="32" s="1"/>
  <c r="I68" i="32"/>
  <c r="F68" i="32"/>
  <c r="G68" i="32" s="1"/>
  <c r="H65" i="32"/>
  <c r="L65" i="32" s="1"/>
  <c r="D65" i="32"/>
  <c r="J65" i="32" s="1"/>
  <c r="I64" i="32"/>
  <c r="F64" i="32"/>
  <c r="G64" i="32" s="1"/>
  <c r="I63" i="32"/>
  <c r="F63" i="32"/>
  <c r="G63" i="32" s="1"/>
  <c r="I62" i="32"/>
  <c r="F62" i="32"/>
  <c r="G62" i="32" s="1"/>
  <c r="I61" i="32"/>
  <c r="F61" i="32"/>
  <c r="G61" i="32" s="1"/>
  <c r="I60" i="32"/>
  <c r="F60" i="32"/>
  <c r="G60" i="32" s="1"/>
  <c r="H57" i="32"/>
  <c r="L57" i="32" s="1"/>
  <c r="D57" i="32"/>
  <c r="J57" i="32" s="1"/>
  <c r="I56" i="32"/>
  <c r="F56" i="32"/>
  <c r="G56" i="32" s="1"/>
  <c r="I55" i="32"/>
  <c r="F55" i="32"/>
  <c r="G55" i="32" s="1"/>
  <c r="I54" i="32"/>
  <c r="F54" i="32"/>
  <c r="G54" i="32" s="1"/>
  <c r="I53" i="32"/>
  <c r="F53" i="32"/>
  <c r="G53" i="32" s="1"/>
  <c r="I52" i="32"/>
  <c r="F52" i="32"/>
  <c r="G52" i="32" s="1"/>
  <c r="H49" i="32"/>
  <c r="L49" i="32" s="1"/>
  <c r="D49" i="32"/>
  <c r="J49" i="32" s="1"/>
  <c r="I48" i="32"/>
  <c r="F48" i="32"/>
  <c r="G48" i="32" s="1"/>
  <c r="I47" i="32"/>
  <c r="F47" i="32"/>
  <c r="G47" i="32" s="1"/>
  <c r="I46" i="32"/>
  <c r="F46" i="32"/>
  <c r="G46" i="32" s="1"/>
  <c r="I45" i="32"/>
  <c r="F45" i="32"/>
  <c r="G45" i="32" s="1"/>
  <c r="I44" i="32"/>
  <c r="F44" i="32"/>
  <c r="G44" i="32" s="1"/>
  <c r="H41" i="32"/>
  <c r="L41" i="32" s="1"/>
  <c r="D41" i="32"/>
  <c r="J41" i="32" s="1"/>
  <c r="I40" i="32"/>
  <c r="F40" i="32"/>
  <c r="G40" i="32" s="1"/>
  <c r="I39" i="32"/>
  <c r="F39" i="32"/>
  <c r="G39" i="32" s="1"/>
  <c r="I38" i="32"/>
  <c r="F38" i="32"/>
  <c r="G38" i="32" s="1"/>
  <c r="I37" i="32"/>
  <c r="F37" i="32"/>
  <c r="G37" i="32" s="1"/>
  <c r="I36" i="32"/>
  <c r="F36" i="32"/>
  <c r="G36" i="32" s="1"/>
  <c r="H33" i="32"/>
  <c r="L33" i="32" s="1"/>
  <c r="D33" i="32"/>
  <c r="J33" i="32" s="1"/>
  <c r="I32" i="32"/>
  <c r="F32" i="32"/>
  <c r="G32" i="32" s="1"/>
  <c r="I31" i="32"/>
  <c r="F31" i="32"/>
  <c r="G31" i="32" s="1"/>
  <c r="I30" i="32"/>
  <c r="F30" i="32"/>
  <c r="G30" i="32" s="1"/>
  <c r="I29" i="32"/>
  <c r="F29" i="32"/>
  <c r="G29" i="32" s="1"/>
  <c r="I28" i="32"/>
  <c r="F28" i="32"/>
  <c r="G28" i="32" s="1"/>
  <c r="H25" i="32"/>
  <c r="L25" i="32" s="1"/>
  <c r="D25" i="32"/>
  <c r="J25" i="32" s="1"/>
  <c r="I24" i="32"/>
  <c r="F24" i="32"/>
  <c r="G24" i="32" s="1"/>
  <c r="I23" i="32"/>
  <c r="F23" i="32"/>
  <c r="G23" i="32" s="1"/>
  <c r="I22" i="32"/>
  <c r="F22" i="32"/>
  <c r="G22" i="32" s="1"/>
  <c r="I21" i="32"/>
  <c r="F21" i="32"/>
  <c r="G21" i="32" s="1"/>
  <c r="I20" i="32"/>
  <c r="F20" i="32"/>
  <c r="G20" i="32" s="1"/>
  <c r="H17" i="32"/>
  <c r="L17" i="32" s="1"/>
  <c r="D17" i="32"/>
  <c r="J17" i="32" s="1"/>
  <c r="I16" i="32"/>
  <c r="F16" i="32"/>
  <c r="G16" i="32" s="1"/>
  <c r="I15" i="32"/>
  <c r="F15" i="32"/>
  <c r="G15" i="32" s="1"/>
  <c r="I14" i="32"/>
  <c r="F14" i="32"/>
  <c r="G14" i="32" s="1"/>
  <c r="I13" i="32"/>
  <c r="F13" i="32"/>
  <c r="G13" i="32" s="1"/>
  <c r="I12" i="32"/>
  <c r="F12" i="32"/>
  <c r="G12" i="32" s="1"/>
  <c r="H9" i="32"/>
  <c r="L9" i="32" s="1"/>
  <c r="D9" i="32"/>
  <c r="J9" i="32" s="1"/>
  <c r="I8" i="32"/>
  <c r="F8" i="32"/>
  <c r="G8" i="32" s="1"/>
  <c r="I7" i="32"/>
  <c r="F7" i="32"/>
  <c r="G7" i="32" s="1"/>
  <c r="I6" i="32"/>
  <c r="F6" i="32"/>
  <c r="G6" i="32" s="1"/>
  <c r="I5" i="32"/>
  <c r="F5" i="32"/>
  <c r="G5" i="32" s="1"/>
  <c r="I4" i="32"/>
  <c r="F4" i="32"/>
  <c r="G4" i="32" s="1"/>
  <c r="D34" i="30"/>
  <c r="D33" i="30"/>
  <c r="D32" i="30"/>
  <c r="D31" i="30"/>
  <c r="D30" i="30"/>
  <c r="Y30" i="30" s="1"/>
  <c r="D29" i="30"/>
  <c r="Y29" i="30" s="1"/>
  <c r="D28" i="30"/>
  <c r="Y28" i="30" s="1"/>
  <c r="D27" i="30"/>
  <c r="Y27" i="30" s="1"/>
  <c r="D26" i="30"/>
  <c r="Y26" i="30" s="1"/>
  <c r="D25" i="30"/>
  <c r="Y25" i="30" s="1"/>
  <c r="D24" i="30"/>
  <c r="Y24" i="30" s="1"/>
  <c r="D23" i="30"/>
  <c r="Y23" i="30" s="1"/>
  <c r="D22" i="30"/>
  <c r="Y22" i="30" s="1"/>
  <c r="D21" i="30"/>
  <c r="Y21" i="30" s="1"/>
  <c r="D20" i="30"/>
  <c r="Y20" i="30" s="1"/>
  <c r="D19" i="30"/>
  <c r="Y19" i="30" s="1"/>
  <c r="D18" i="30"/>
  <c r="Y18" i="30" s="1"/>
  <c r="D17" i="30"/>
  <c r="Y17" i="30" s="1"/>
  <c r="D16" i="30"/>
  <c r="Y16" i="30" s="1"/>
  <c r="D15" i="30"/>
  <c r="Y15" i="30" s="1"/>
  <c r="Y14" i="30"/>
  <c r="X14" i="30"/>
  <c r="B14" i="30"/>
  <c r="D13" i="30"/>
  <c r="Y13" i="30" s="1"/>
  <c r="D12" i="30"/>
  <c r="Y12" i="30" s="1"/>
  <c r="D11" i="30"/>
  <c r="Y11" i="30" s="1"/>
  <c r="D10" i="30"/>
  <c r="Y10" i="30" s="1"/>
  <c r="D9" i="30"/>
  <c r="B9" i="30" s="1"/>
  <c r="F4" i="30"/>
  <c r="F12" i="44" s="1"/>
  <c r="G18" i="52" s="1"/>
  <c r="H209" i="29"/>
  <c r="L209" i="29" s="1"/>
  <c r="D209" i="29"/>
  <c r="J209" i="29" s="1"/>
  <c r="I208" i="29"/>
  <c r="F208" i="29"/>
  <c r="G208" i="29" s="1"/>
  <c r="I207" i="29"/>
  <c r="F207" i="29"/>
  <c r="G207" i="29" s="1"/>
  <c r="I206" i="29"/>
  <c r="F206" i="29"/>
  <c r="G206" i="29" s="1"/>
  <c r="I205" i="29"/>
  <c r="F205" i="29"/>
  <c r="G205" i="29" s="1"/>
  <c r="I204" i="29"/>
  <c r="F204" i="29"/>
  <c r="G204" i="29" s="1"/>
  <c r="H201" i="29"/>
  <c r="L201" i="29" s="1"/>
  <c r="D201" i="29"/>
  <c r="J201" i="29" s="1"/>
  <c r="I200" i="29"/>
  <c r="F200" i="29"/>
  <c r="G200" i="29" s="1"/>
  <c r="I199" i="29"/>
  <c r="F199" i="29"/>
  <c r="G199" i="29" s="1"/>
  <c r="I198" i="29"/>
  <c r="F198" i="29"/>
  <c r="G198" i="29" s="1"/>
  <c r="I197" i="29"/>
  <c r="F197" i="29"/>
  <c r="G197" i="29" s="1"/>
  <c r="I196" i="29"/>
  <c r="F196" i="29"/>
  <c r="G196" i="29" s="1"/>
  <c r="H193" i="29"/>
  <c r="L193" i="29" s="1"/>
  <c r="D193" i="29"/>
  <c r="J193" i="29" s="1"/>
  <c r="I192" i="29"/>
  <c r="F192" i="29"/>
  <c r="G192" i="29" s="1"/>
  <c r="I191" i="29"/>
  <c r="F191" i="29"/>
  <c r="G191" i="29" s="1"/>
  <c r="I190" i="29"/>
  <c r="F190" i="29"/>
  <c r="G190" i="29" s="1"/>
  <c r="I189" i="29"/>
  <c r="F189" i="29"/>
  <c r="G189" i="29" s="1"/>
  <c r="I188" i="29"/>
  <c r="F188" i="29"/>
  <c r="G188" i="29" s="1"/>
  <c r="H185" i="29"/>
  <c r="L185" i="29" s="1"/>
  <c r="D185" i="29"/>
  <c r="J185" i="29" s="1"/>
  <c r="I184" i="29"/>
  <c r="F184" i="29"/>
  <c r="G184" i="29" s="1"/>
  <c r="I183" i="29"/>
  <c r="F183" i="29"/>
  <c r="G183" i="29" s="1"/>
  <c r="I182" i="29"/>
  <c r="F182" i="29"/>
  <c r="G182" i="29" s="1"/>
  <c r="I181" i="29"/>
  <c r="F181" i="29"/>
  <c r="G181" i="29" s="1"/>
  <c r="I180" i="29"/>
  <c r="F180" i="29"/>
  <c r="G180" i="29" s="1"/>
  <c r="H177" i="29"/>
  <c r="L177" i="29" s="1"/>
  <c r="D177" i="29"/>
  <c r="J177" i="29" s="1"/>
  <c r="I176" i="29"/>
  <c r="F176" i="29"/>
  <c r="G176" i="29" s="1"/>
  <c r="I175" i="29"/>
  <c r="F175" i="29"/>
  <c r="G175" i="29" s="1"/>
  <c r="I174" i="29"/>
  <c r="F174" i="29"/>
  <c r="G174" i="29" s="1"/>
  <c r="I173" i="29"/>
  <c r="F173" i="29"/>
  <c r="G173" i="29" s="1"/>
  <c r="I172" i="29"/>
  <c r="F172" i="29"/>
  <c r="G172" i="29" s="1"/>
  <c r="H169" i="29"/>
  <c r="L169" i="29" s="1"/>
  <c r="D169" i="29"/>
  <c r="J169" i="29" s="1"/>
  <c r="I168" i="29"/>
  <c r="F168" i="29"/>
  <c r="G168" i="29" s="1"/>
  <c r="I167" i="29"/>
  <c r="F167" i="29"/>
  <c r="G167" i="29" s="1"/>
  <c r="I166" i="29"/>
  <c r="F166" i="29"/>
  <c r="G166" i="29" s="1"/>
  <c r="I165" i="29"/>
  <c r="F165" i="29"/>
  <c r="G165" i="29" s="1"/>
  <c r="I164" i="29"/>
  <c r="F164" i="29"/>
  <c r="G164" i="29" s="1"/>
  <c r="H161" i="29"/>
  <c r="L161" i="29" s="1"/>
  <c r="D161" i="29"/>
  <c r="J161" i="29" s="1"/>
  <c r="I160" i="29"/>
  <c r="F160" i="29"/>
  <c r="G160" i="29" s="1"/>
  <c r="I159" i="29"/>
  <c r="F159" i="29"/>
  <c r="G159" i="29" s="1"/>
  <c r="I158" i="29"/>
  <c r="F158" i="29"/>
  <c r="G158" i="29" s="1"/>
  <c r="I157" i="29"/>
  <c r="F157" i="29"/>
  <c r="G157" i="29" s="1"/>
  <c r="I156" i="29"/>
  <c r="F156" i="29"/>
  <c r="G156" i="29" s="1"/>
  <c r="H153" i="29"/>
  <c r="L153" i="29" s="1"/>
  <c r="D153" i="29"/>
  <c r="J153" i="29" s="1"/>
  <c r="I152" i="29"/>
  <c r="F152" i="29"/>
  <c r="G152" i="29" s="1"/>
  <c r="I151" i="29"/>
  <c r="F151" i="29"/>
  <c r="G151" i="29" s="1"/>
  <c r="I150" i="29"/>
  <c r="F150" i="29"/>
  <c r="G150" i="29" s="1"/>
  <c r="I149" i="29"/>
  <c r="F149" i="29"/>
  <c r="G149" i="29" s="1"/>
  <c r="I148" i="29"/>
  <c r="F148" i="29"/>
  <c r="G148" i="29" s="1"/>
  <c r="H145" i="29"/>
  <c r="L145" i="29" s="1"/>
  <c r="D145" i="29"/>
  <c r="J145" i="29" s="1"/>
  <c r="I144" i="29"/>
  <c r="F144" i="29"/>
  <c r="G144" i="29" s="1"/>
  <c r="I143" i="29"/>
  <c r="F143" i="29"/>
  <c r="G143" i="29" s="1"/>
  <c r="I142" i="29"/>
  <c r="F142" i="29"/>
  <c r="G142" i="29" s="1"/>
  <c r="I141" i="29"/>
  <c r="F141" i="29"/>
  <c r="G141" i="29" s="1"/>
  <c r="I140" i="29"/>
  <c r="F140" i="29"/>
  <c r="G140" i="29" s="1"/>
  <c r="H137" i="29"/>
  <c r="L137" i="29" s="1"/>
  <c r="D137" i="29"/>
  <c r="J137" i="29" s="1"/>
  <c r="I136" i="29"/>
  <c r="F136" i="29"/>
  <c r="G136" i="29" s="1"/>
  <c r="I135" i="29"/>
  <c r="F135" i="29"/>
  <c r="G135" i="29" s="1"/>
  <c r="I134" i="29"/>
  <c r="F134" i="29"/>
  <c r="G134" i="29" s="1"/>
  <c r="I133" i="29"/>
  <c r="F133" i="29"/>
  <c r="G133" i="29" s="1"/>
  <c r="I132" i="29"/>
  <c r="F132" i="29"/>
  <c r="G132" i="29" s="1"/>
  <c r="H129" i="29"/>
  <c r="L129" i="29" s="1"/>
  <c r="D129" i="29"/>
  <c r="J129" i="29" s="1"/>
  <c r="I128" i="29"/>
  <c r="F128" i="29"/>
  <c r="G128" i="29" s="1"/>
  <c r="I127" i="29"/>
  <c r="F127" i="29"/>
  <c r="G127" i="29" s="1"/>
  <c r="I126" i="29"/>
  <c r="F126" i="29"/>
  <c r="G126" i="29" s="1"/>
  <c r="I125" i="29"/>
  <c r="F125" i="29"/>
  <c r="G125" i="29" s="1"/>
  <c r="I124" i="29"/>
  <c r="F124" i="29"/>
  <c r="G124" i="29" s="1"/>
  <c r="H121" i="29"/>
  <c r="L121" i="29" s="1"/>
  <c r="D121" i="29"/>
  <c r="J121" i="29" s="1"/>
  <c r="I120" i="29"/>
  <c r="F120" i="29"/>
  <c r="G120" i="29" s="1"/>
  <c r="I119" i="29"/>
  <c r="F119" i="29"/>
  <c r="G119" i="29" s="1"/>
  <c r="I118" i="29"/>
  <c r="F118" i="29"/>
  <c r="G118" i="29" s="1"/>
  <c r="I117" i="29"/>
  <c r="F117" i="29"/>
  <c r="G117" i="29" s="1"/>
  <c r="I116" i="29"/>
  <c r="F116" i="29"/>
  <c r="G116" i="29" s="1"/>
  <c r="H113" i="29"/>
  <c r="L113" i="29" s="1"/>
  <c r="D113" i="29"/>
  <c r="J113" i="29" s="1"/>
  <c r="I112" i="29"/>
  <c r="F112" i="29"/>
  <c r="G112" i="29" s="1"/>
  <c r="I111" i="29"/>
  <c r="F111" i="29"/>
  <c r="G111" i="29" s="1"/>
  <c r="I110" i="29"/>
  <c r="F110" i="29"/>
  <c r="G110" i="29" s="1"/>
  <c r="I109" i="29"/>
  <c r="F109" i="29"/>
  <c r="G109" i="29" s="1"/>
  <c r="I108" i="29"/>
  <c r="F108" i="29"/>
  <c r="G108" i="29" s="1"/>
  <c r="H105" i="29"/>
  <c r="L105" i="29" s="1"/>
  <c r="D105" i="29"/>
  <c r="J105" i="29" s="1"/>
  <c r="I104" i="29"/>
  <c r="F104" i="29"/>
  <c r="G104" i="29" s="1"/>
  <c r="I103" i="29"/>
  <c r="F103" i="29"/>
  <c r="G103" i="29" s="1"/>
  <c r="I102" i="29"/>
  <c r="F102" i="29"/>
  <c r="G102" i="29" s="1"/>
  <c r="I101" i="29"/>
  <c r="F101" i="29"/>
  <c r="G101" i="29" s="1"/>
  <c r="I100" i="29"/>
  <c r="F100" i="29"/>
  <c r="G100" i="29" s="1"/>
  <c r="H97" i="29"/>
  <c r="L97" i="29" s="1"/>
  <c r="D97" i="29"/>
  <c r="J97" i="29" s="1"/>
  <c r="I96" i="29"/>
  <c r="F96" i="29"/>
  <c r="G96" i="29" s="1"/>
  <c r="I95" i="29"/>
  <c r="F95" i="29"/>
  <c r="G95" i="29" s="1"/>
  <c r="I94" i="29"/>
  <c r="F94" i="29"/>
  <c r="G94" i="29" s="1"/>
  <c r="I93" i="29"/>
  <c r="F93" i="29"/>
  <c r="G93" i="29" s="1"/>
  <c r="I92" i="29"/>
  <c r="F92" i="29"/>
  <c r="G92" i="29" s="1"/>
  <c r="H89" i="29"/>
  <c r="L89" i="29" s="1"/>
  <c r="D89" i="29"/>
  <c r="J89" i="29" s="1"/>
  <c r="I88" i="29"/>
  <c r="F88" i="29"/>
  <c r="G88" i="29" s="1"/>
  <c r="I87" i="29"/>
  <c r="F87" i="29"/>
  <c r="G87" i="29" s="1"/>
  <c r="I86" i="29"/>
  <c r="F86" i="29"/>
  <c r="G86" i="29" s="1"/>
  <c r="I85" i="29"/>
  <c r="F85" i="29"/>
  <c r="G85" i="29" s="1"/>
  <c r="I84" i="29"/>
  <c r="F84" i="29"/>
  <c r="G84" i="29" s="1"/>
  <c r="H81" i="29"/>
  <c r="L81" i="29" s="1"/>
  <c r="D81" i="29"/>
  <c r="J81" i="29" s="1"/>
  <c r="I80" i="29"/>
  <c r="F80" i="29"/>
  <c r="G80" i="29" s="1"/>
  <c r="I79" i="29"/>
  <c r="F79" i="29"/>
  <c r="G79" i="29" s="1"/>
  <c r="I78" i="29"/>
  <c r="F78" i="29"/>
  <c r="G78" i="29" s="1"/>
  <c r="I77" i="29"/>
  <c r="F77" i="29"/>
  <c r="G77" i="29" s="1"/>
  <c r="I76" i="29"/>
  <c r="F76" i="29"/>
  <c r="G76" i="29" s="1"/>
  <c r="H73" i="29"/>
  <c r="L73" i="29" s="1"/>
  <c r="D73" i="29"/>
  <c r="J73" i="29" s="1"/>
  <c r="I72" i="29"/>
  <c r="F72" i="29"/>
  <c r="G72" i="29" s="1"/>
  <c r="I71" i="29"/>
  <c r="F71" i="29"/>
  <c r="G71" i="29" s="1"/>
  <c r="I70" i="29"/>
  <c r="F70" i="29"/>
  <c r="G70" i="29" s="1"/>
  <c r="I69" i="29"/>
  <c r="F69" i="29"/>
  <c r="G69" i="29" s="1"/>
  <c r="I68" i="29"/>
  <c r="F68" i="29"/>
  <c r="G68" i="29" s="1"/>
  <c r="H65" i="29"/>
  <c r="L65" i="29" s="1"/>
  <c r="D65" i="29"/>
  <c r="J65" i="29" s="1"/>
  <c r="I64" i="29"/>
  <c r="F64" i="29"/>
  <c r="G64" i="29" s="1"/>
  <c r="I63" i="29"/>
  <c r="F63" i="29"/>
  <c r="G63" i="29" s="1"/>
  <c r="I62" i="29"/>
  <c r="F62" i="29"/>
  <c r="G62" i="29" s="1"/>
  <c r="I61" i="29"/>
  <c r="F61" i="29"/>
  <c r="G61" i="29" s="1"/>
  <c r="I60" i="29"/>
  <c r="F60" i="29"/>
  <c r="G60" i="29" s="1"/>
  <c r="H57" i="29"/>
  <c r="L57" i="29" s="1"/>
  <c r="D57" i="29"/>
  <c r="J57" i="29" s="1"/>
  <c r="I56" i="29"/>
  <c r="F56" i="29"/>
  <c r="G56" i="29" s="1"/>
  <c r="I55" i="29"/>
  <c r="F55" i="29"/>
  <c r="G55" i="29" s="1"/>
  <c r="I54" i="29"/>
  <c r="F54" i="29"/>
  <c r="G54" i="29" s="1"/>
  <c r="I53" i="29"/>
  <c r="F53" i="29"/>
  <c r="G53" i="29" s="1"/>
  <c r="I52" i="29"/>
  <c r="F52" i="29"/>
  <c r="G52" i="29" s="1"/>
  <c r="H49" i="29"/>
  <c r="L49" i="29" s="1"/>
  <c r="D49" i="29"/>
  <c r="J49" i="29" s="1"/>
  <c r="I48" i="29"/>
  <c r="F48" i="29"/>
  <c r="G48" i="29" s="1"/>
  <c r="I47" i="29"/>
  <c r="F47" i="29"/>
  <c r="G47" i="29" s="1"/>
  <c r="I46" i="29"/>
  <c r="F46" i="29"/>
  <c r="G46" i="29" s="1"/>
  <c r="I45" i="29"/>
  <c r="F45" i="29"/>
  <c r="G45" i="29" s="1"/>
  <c r="I44" i="29"/>
  <c r="F44" i="29"/>
  <c r="G44" i="29" s="1"/>
  <c r="H41" i="29"/>
  <c r="L41" i="29" s="1"/>
  <c r="D41" i="29"/>
  <c r="J41" i="29" s="1"/>
  <c r="I40" i="29"/>
  <c r="F40" i="29"/>
  <c r="G40" i="29" s="1"/>
  <c r="I39" i="29"/>
  <c r="F39" i="29"/>
  <c r="G39" i="29" s="1"/>
  <c r="I38" i="29"/>
  <c r="F38" i="29"/>
  <c r="G38" i="29" s="1"/>
  <c r="I37" i="29"/>
  <c r="F37" i="29"/>
  <c r="G37" i="29" s="1"/>
  <c r="I36" i="29"/>
  <c r="F36" i="29"/>
  <c r="G36" i="29" s="1"/>
  <c r="H33" i="29"/>
  <c r="L33" i="29" s="1"/>
  <c r="D33" i="29"/>
  <c r="J33" i="29" s="1"/>
  <c r="I32" i="29"/>
  <c r="F32" i="29"/>
  <c r="G32" i="29" s="1"/>
  <c r="I31" i="29"/>
  <c r="F31" i="29"/>
  <c r="G31" i="29" s="1"/>
  <c r="I30" i="29"/>
  <c r="F30" i="29"/>
  <c r="G30" i="29" s="1"/>
  <c r="I29" i="29"/>
  <c r="F29" i="29"/>
  <c r="G29" i="29" s="1"/>
  <c r="I28" i="29"/>
  <c r="F28" i="29"/>
  <c r="G28" i="29" s="1"/>
  <c r="H25" i="29"/>
  <c r="L25" i="29" s="1"/>
  <c r="D25" i="29"/>
  <c r="J25" i="29" s="1"/>
  <c r="I24" i="29"/>
  <c r="F24" i="29"/>
  <c r="G24" i="29" s="1"/>
  <c r="I23" i="29"/>
  <c r="F23" i="29"/>
  <c r="G23" i="29" s="1"/>
  <c r="I22" i="29"/>
  <c r="F22" i="29"/>
  <c r="G22" i="29" s="1"/>
  <c r="I21" i="29"/>
  <c r="F21" i="29"/>
  <c r="G21" i="29" s="1"/>
  <c r="I20" i="29"/>
  <c r="F20" i="29"/>
  <c r="G20" i="29" s="1"/>
  <c r="H17" i="29"/>
  <c r="L17" i="29" s="1"/>
  <c r="D17" i="29"/>
  <c r="J17" i="29" s="1"/>
  <c r="I16" i="29"/>
  <c r="F16" i="29"/>
  <c r="G16" i="29" s="1"/>
  <c r="I15" i="29"/>
  <c r="F15" i="29"/>
  <c r="G15" i="29" s="1"/>
  <c r="I14" i="29"/>
  <c r="F14" i="29"/>
  <c r="G14" i="29" s="1"/>
  <c r="I13" i="29"/>
  <c r="F13" i="29"/>
  <c r="G13" i="29" s="1"/>
  <c r="I12" i="29"/>
  <c r="F12" i="29"/>
  <c r="G12" i="29" s="1"/>
  <c r="H9" i="29"/>
  <c r="L9" i="29" s="1"/>
  <c r="D9" i="29"/>
  <c r="J9" i="29" s="1"/>
  <c r="I8" i="29"/>
  <c r="F8" i="29"/>
  <c r="G8" i="29" s="1"/>
  <c r="I7" i="29"/>
  <c r="F7" i="29"/>
  <c r="G7" i="29" s="1"/>
  <c r="I6" i="29"/>
  <c r="F6" i="29"/>
  <c r="G6" i="29" s="1"/>
  <c r="I5" i="29"/>
  <c r="F5" i="29"/>
  <c r="G5" i="29" s="1"/>
  <c r="I4" i="29"/>
  <c r="F4" i="29"/>
  <c r="G4" i="29" s="1"/>
  <c r="D34" i="27"/>
  <c r="D33" i="27"/>
  <c r="D32" i="27"/>
  <c r="D31" i="27"/>
  <c r="D30" i="27"/>
  <c r="D29" i="27"/>
  <c r="Y29" i="27" s="1"/>
  <c r="D28" i="27"/>
  <c r="Y28" i="27" s="1"/>
  <c r="D27" i="27"/>
  <c r="Y27" i="27" s="1"/>
  <c r="D26" i="27"/>
  <c r="Y26" i="27" s="1"/>
  <c r="D25" i="27"/>
  <c r="Y25" i="27" s="1"/>
  <c r="D24" i="27"/>
  <c r="Y24" i="27" s="1"/>
  <c r="D23" i="27"/>
  <c r="Y23" i="27" s="1"/>
  <c r="D22" i="27"/>
  <c r="Y22" i="27" s="1"/>
  <c r="D21" i="27"/>
  <c r="Y21" i="27" s="1"/>
  <c r="D20" i="27"/>
  <c r="Y20" i="27" s="1"/>
  <c r="D19" i="27"/>
  <c r="Y19" i="27" s="1"/>
  <c r="D18" i="27"/>
  <c r="Y18" i="27" s="1"/>
  <c r="D17" i="27"/>
  <c r="Y17" i="27" s="1"/>
  <c r="D16" i="27"/>
  <c r="Y16" i="27" s="1"/>
  <c r="D15" i="27"/>
  <c r="Y15" i="27" s="1"/>
  <c r="D14" i="27"/>
  <c r="Y14" i="27" s="1"/>
  <c r="D13" i="27"/>
  <c r="Y13" i="27" s="1"/>
  <c r="D12" i="27"/>
  <c r="Y12" i="27" s="1"/>
  <c r="D11" i="27"/>
  <c r="Y11" i="27" s="1"/>
  <c r="D10" i="27"/>
  <c r="Y10" i="27" s="1"/>
  <c r="D9" i="27"/>
  <c r="B9" i="27" s="1"/>
  <c r="F4" i="27"/>
  <c r="F11" i="44" s="1"/>
  <c r="G17" i="52" s="1"/>
  <c r="H209" i="26"/>
  <c r="L209" i="26" s="1"/>
  <c r="D209" i="26"/>
  <c r="J209" i="26" s="1"/>
  <c r="I208" i="26"/>
  <c r="F208" i="26"/>
  <c r="G208" i="26" s="1"/>
  <c r="I207" i="26"/>
  <c r="F207" i="26"/>
  <c r="G207" i="26" s="1"/>
  <c r="I206" i="26"/>
  <c r="F206" i="26"/>
  <c r="G206" i="26" s="1"/>
  <c r="I205" i="26"/>
  <c r="F205" i="26"/>
  <c r="G205" i="26" s="1"/>
  <c r="I204" i="26"/>
  <c r="F204" i="26"/>
  <c r="G204" i="26" s="1"/>
  <c r="H201" i="26"/>
  <c r="L201" i="26" s="1"/>
  <c r="D201" i="26"/>
  <c r="J201" i="26" s="1"/>
  <c r="I200" i="26"/>
  <c r="F200" i="26"/>
  <c r="G200" i="26" s="1"/>
  <c r="I199" i="26"/>
  <c r="F199" i="26"/>
  <c r="G199" i="26" s="1"/>
  <c r="I198" i="26"/>
  <c r="F198" i="26"/>
  <c r="G198" i="26" s="1"/>
  <c r="I197" i="26"/>
  <c r="F197" i="26"/>
  <c r="G197" i="26" s="1"/>
  <c r="I196" i="26"/>
  <c r="F196" i="26"/>
  <c r="G196" i="26" s="1"/>
  <c r="H193" i="26"/>
  <c r="L193" i="26" s="1"/>
  <c r="D193" i="26"/>
  <c r="J193" i="26" s="1"/>
  <c r="I192" i="26"/>
  <c r="F192" i="26"/>
  <c r="G192" i="26" s="1"/>
  <c r="I191" i="26"/>
  <c r="F191" i="26"/>
  <c r="G191" i="26" s="1"/>
  <c r="I190" i="26"/>
  <c r="F190" i="26"/>
  <c r="G190" i="26" s="1"/>
  <c r="I189" i="26"/>
  <c r="F189" i="26"/>
  <c r="G189" i="26" s="1"/>
  <c r="I188" i="26"/>
  <c r="F188" i="26"/>
  <c r="G188" i="26" s="1"/>
  <c r="H185" i="26"/>
  <c r="L185" i="26" s="1"/>
  <c r="D185" i="26"/>
  <c r="J185" i="26" s="1"/>
  <c r="I184" i="26"/>
  <c r="F184" i="26"/>
  <c r="G184" i="26" s="1"/>
  <c r="I183" i="26"/>
  <c r="F183" i="26"/>
  <c r="G183" i="26" s="1"/>
  <c r="I182" i="26"/>
  <c r="F182" i="26"/>
  <c r="G182" i="26" s="1"/>
  <c r="I181" i="26"/>
  <c r="F181" i="26"/>
  <c r="G181" i="26" s="1"/>
  <c r="I180" i="26"/>
  <c r="F180" i="26"/>
  <c r="G180" i="26" s="1"/>
  <c r="H177" i="26"/>
  <c r="L177" i="26" s="1"/>
  <c r="D177" i="26"/>
  <c r="J177" i="26" s="1"/>
  <c r="I176" i="26"/>
  <c r="F176" i="26"/>
  <c r="G176" i="26" s="1"/>
  <c r="I175" i="26"/>
  <c r="F175" i="26"/>
  <c r="G175" i="26" s="1"/>
  <c r="I174" i="26"/>
  <c r="F174" i="26"/>
  <c r="G174" i="26" s="1"/>
  <c r="I173" i="26"/>
  <c r="F173" i="26"/>
  <c r="G173" i="26" s="1"/>
  <c r="I172" i="26"/>
  <c r="F172" i="26"/>
  <c r="G172" i="26" s="1"/>
  <c r="H169" i="26"/>
  <c r="L169" i="26" s="1"/>
  <c r="D169" i="26"/>
  <c r="J169" i="26" s="1"/>
  <c r="I168" i="26"/>
  <c r="F168" i="26"/>
  <c r="G168" i="26" s="1"/>
  <c r="I167" i="26"/>
  <c r="F167" i="26"/>
  <c r="G167" i="26" s="1"/>
  <c r="I166" i="26"/>
  <c r="F166" i="26"/>
  <c r="G166" i="26" s="1"/>
  <c r="I165" i="26"/>
  <c r="F165" i="26"/>
  <c r="G165" i="26" s="1"/>
  <c r="I164" i="26"/>
  <c r="F164" i="26"/>
  <c r="G164" i="26" s="1"/>
  <c r="H161" i="26"/>
  <c r="L161" i="26" s="1"/>
  <c r="D161" i="26"/>
  <c r="J161" i="26" s="1"/>
  <c r="I160" i="26"/>
  <c r="F160" i="26"/>
  <c r="G160" i="26" s="1"/>
  <c r="I159" i="26"/>
  <c r="F159" i="26"/>
  <c r="G159" i="26" s="1"/>
  <c r="I158" i="26"/>
  <c r="F158" i="26"/>
  <c r="G158" i="26" s="1"/>
  <c r="I157" i="26"/>
  <c r="F157" i="26"/>
  <c r="G157" i="26" s="1"/>
  <c r="I156" i="26"/>
  <c r="F156" i="26"/>
  <c r="G156" i="26" s="1"/>
  <c r="H153" i="26"/>
  <c r="L153" i="26" s="1"/>
  <c r="D153" i="26"/>
  <c r="J153" i="26" s="1"/>
  <c r="I152" i="26"/>
  <c r="F152" i="26"/>
  <c r="G152" i="26" s="1"/>
  <c r="I151" i="26"/>
  <c r="F151" i="26"/>
  <c r="G151" i="26" s="1"/>
  <c r="I150" i="26"/>
  <c r="F150" i="26"/>
  <c r="G150" i="26" s="1"/>
  <c r="I149" i="26"/>
  <c r="F149" i="26"/>
  <c r="G149" i="26" s="1"/>
  <c r="I148" i="26"/>
  <c r="F148" i="26"/>
  <c r="G148" i="26" s="1"/>
  <c r="H145" i="26"/>
  <c r="L145" i="26" s="1"/>
  <c r="D145" i="26"/>
  <c r="J145" i="26" s="1"/>
  <c r="I144" i="26"/>
  <c r="F144" i="26"/>
  <c r="G144" i="26" s="1"/>
  <c r="I143" i="26"/>
  <c r="F143" i="26"/>
  <c r="G143" i="26" s="1"/>
  <c r="I142" i="26"/>
  <c r="F142" i="26"/>
  <c r="G142" i="26" s="1"/>
  <c r="I141" i="26"/>
  <c r="F141" i="26"/>
  <c r="G141" i="26" s="1"/>
  <c r="I140" i="26"/>
  <c r="F140" i="26"/>
  <c r="G140" i="26" s="1"/>
  <c r="H137" i="26"/>
  <c r="L137" i="26" s="1"/>
  <c r="D137" i="26"/>
  <c r="J137" i="26" s="1"/>
  <c r="I136" i="26"/>
  <c r="F136" i="26"/>
  <c r="G136" i="26" s="1"/>
  <c r="I135" i="26"/>
  <c r="F135" i="26"/>
  <c r="G135" i="26" s="1"/>
  <c r="I134" i="26"/>
  <c r="F134" i="26"/>
  <c r="G134" i="26" s="1"/>
  <c r="I133" i="26"/>
  <c r="F133" i="26"/>
  <c r="G133" i="26" s="1"/>
  <c r="I132" i="26"/>
  <c r="F132" i="26"/>
  <c r="G132" i="26" s="1"/>
  <c r="H129" i="26"/>
  <c r="L129" i="26" s="1"/>
  <c r="D129" i="26"/>
  <c r="J129" i="26" s="1"/>
  <c r="I128" i="26"/>
  <c r="F128" i="26"/>
  <c r="G128" i="26" s="1"/>
  <c r="I127" i="26"/>
  <c r="F127" i="26"/>
  <c r="G127" i="26" s="1"/>
  <c r="I126" i="26"/>
  <c r="F126" i="26"/>
  <c r="G126" i="26" s="1"/>
  <c r="I125" i="26"/>
  <c r="F125" i="26"/>
  <c r="G125" i="26" s="1"/>
  <c r="I124" i="26"/>
  <c r="F124" i="26"/>
  <c r="G124" i="26" s="1"/>
  <c r="H121" i="26"/>
  <c r="L121" i="26" s="1"/>
  <c r="D121" i="26"/>
  <c r="J121" i="26" s="1"/>
  <c r="I120" i="26"/>
  <c r="F120" i="26"/>
  <c r="G120" i="26" s="1"/>
  <c r="I119" i="26"/>
  <c r="F119" i="26"/>
  <c r="G119" i="26" s="1"/>
  <c r="I118" i="26"/>
  <c r="F118" i="26"/>
  <c r="G118" i="26" s="1"/>
  <c r="I117" i="26"/>
  <c r="F117" i="26"/>
  <c r="G117" i="26" s="1"/>
  <c r="I116" i="26"/>
  <c r="F116" i="26"/>
  <c r="G116" i="26" s="1"/>
  <c r="H113" i="26"/>
  <c r="L113" i="26" s="1"/>
  <c r="D113" i="26"/>
  <c r="J113" i="26" s="1"/>
  <c r="I112" i="26"/>
  <c r="F112" i="26"/>
  <c r="G112" i="26" s="1"/>
  <c r="I111" i="26"/>
  <c r="F111" i="26"/>
  <c r="G111" i="26" s="1"/>
  <c r="I110" i="26"/>
  <c r="F110" i="26"/>
  <c r="G110" i="26" s="1"/>
  <c r="I109" i="26"/>
  <c r="F109" i="26"/>
  <c r="G109" i="26" s="1"/>
  <c r="I108" i="26"/>
  <c r="F108" i="26"/>
  <c r="G108" i="26" s="1"/>
  <c r="H105" i="26"/>
  <c r="L105" i="26" s="1"/>
  <c r="D105" i="26"/>
  <c r="J105" i="26" s="1"/>
  <c r="I104" i="26"/>
  <c r="F104" i="26"/>
  <c r="G104" i="26" s="1"/>
  <c r="I103" i="26"/>
  <c r="F103" i="26"/>
  <c r="G103" i="26" s="1"/>
  <c r="I102" i="26"/>
  <c r="F102" i="26"/>
  <c r="G102" i="26" s="1"/>
  <c r="I101" i="26"/>
  <c r="F101" i="26"/>
  <c r="G101" i="26" s="1"/>
  <c r="I100" i="26"/>
  <c r="F100" i="26"/>
  <c r="G100" i="26" s="1"/>
  <c r="H97" i="26"/>
  <c r="L97" i="26" s="1"/>
  <c r="D97" i="26"/>
  <c r="J97" i="26" s="1"/>
  <c r="I96" i="26"/>
  <c r="F96" i="26"/>
  <c r="G96" i="26" s="1"/>
  <c r="I95" i="26"/>
  <c r="F95" i="26"/>
  <c r="G95" i="26" s="1"/>
  <c r="I94" i="26"/>
  <c r="F94" i="26"/>
  <c r="G94" i="26" s="1"/>
  <c r="I93" i="26"/>
  <c r="F93" i="26"/>
  <c r="G93" i="26" s="1"/>
  <c r="I92" i="26"/>
  <c r="F92" i="26"/>
  <c r="G92" i="26" s="1"/>
  <c r="H89" i="26"/>
  <c r="L89" i="26" s="1"/>
  <c r="D89" i="26"/>
  <c r="J89" i="26" s="1"/>
  <c r="I88" i="26"/>
  <c r="F88" i="26"/>
  <c r="G88" i="26" s="1"/>
  <c r="I87" i="26"/>
  <c r="F87" i="26"/>
  <c r="G87" i="26" s="1"/>
  <c r="I86" i="26"/>
  <c r="F86" i="26"/>
  <c r="G86" i="26" s="1"/>
  <c r="I85" i="26"/>
  <c r="F85" i="26"/>
  <c r="G85" i="26" s="1"/>
  <c r="I84" i="26"/>
  <c r="F84" i="26"/>
  <c r="G84" i="26" s="1"/>
  <c r="H81" i="26"/>
  <c r="L81" i="26" s="1"/>
  <c r="D81" i="26"/>
  <c r="J81" i="26" s="1"/>
  <c r="I80" i="26"/>
  <c r="F80" i="26"/>
  <c r="G80" i="26" s="1"/>
  <c r="I79" i="26"/>
  <c r="F79" i="26"/>
  <c r="G79" i="26" s="1"/>
  <c r="I78" i="26"/>
  <c r="F78" i="26"/>
  <c r="G78" i="26" s="1"/>
  <c r="I77" i="26"/>
  <c r="F77" i="26"/>
  <c r="G77" i="26" s="1"/>
  <c r="I76" i="26"/>
  <c r="F76" i="26"/>
  <c r="G76" i="26" s="1"/>
  <c r="H73" i="26"/>
  <c r="L73" i="26" s="1"/>
  <c r="D73" i="26"/>
  <c r="J73" i="26" s="1"/>
  <c r="I72" i="26"/>
  <c r="F72" i="26"/>
  <c r="G72" i="26" s="1"/>
  <c r="I71" i="26"/>
  <c r="F71" i="26"/>
  <c r="G71" i="26" s="1"/>
  <c r="I70" i="26"/>
  <c r="F70" i="26"/>
  <c r="G70" i="26" s="1"/>
  <c r="I69" i="26"/>
  <c r="F69" i="26"/>
  <c r="G69" i="26" s="1"/>
  <c r="I68" i="26"/>
  <c r="F68" i="26"/>
  <c r="G68" i="26" s="1"/>
  <c r="H65" i="26"/>
  <c r="L65" i="26" s="1"/>
  <c r="D65" i="26"/>
  <c r="J65" i="26" s="1"/>
  <c r="I64" i="26"/>
  <c r="F64" i="26"/>
  <c r="G64" i="26" s="1"/>
  <c r="I63" i="26"/>
  <c r="F63" i="26"/>
  <c r="G63" i="26" s="1"/>
  <c r="I62" i="26"/>
  <c r="F62" i="26"/>
  <c r="G62" i="26" s="1"/>
  <c r="I61" i="26"/>
  <c r="F61" i="26"/>
  <c r="G61" i="26" s="1"/>
  <c r="I60" i="26"/>
  <c r="F60" i="26"/>
  <c r="G60" i="26" s="1"/>
  <c r="H57" i="26"/>
  <c r="L57" i="26" s="1"/>
  <c r="D57" i="26"/>
  <c r="J57" i="26" s="1"/>
  <c r="I56" i="26"/>
  <c r="F56" i="26"/>
  <c r="G56" i="26" s="1"/>
  <c r="I55" i="26"/>
  <c r="F55" i="26"/>
  <c r="G55" i="26" s="1"/>
  <c r="I54" i="26"/>
  <c r="F54" i="26"/>
  <c r="G54" i="26" s="1"/>
  <c r="I53" i="26"/>
  <c r="F53" i="26"/>
  <c r="G53" i="26" s="1"/>
  <c r="I52" i="26"/>
  <c r="F52" i="26"/>
  <c r="G52" i="26" s="1"/>
  <c r="H49" i="26"/>
  <c r="L49" i="26" s="1"/>
  <c r="D49" i="26"/>
  <c r="J49" i="26" s="1"/>
  <c r="I48" i="26"/>
  <c r="F48" i="26"/>
  <c r="G48" i="26" s="1"/>
  <c r="I47" i="26"/>
  <c r="F47" i="26"/>
  <c r="G47" i="26" s="1"/>
  <c r="I46" i="26"/>
  <c r="F46" i="26"/>
  <c r="G46" i="26" s="1"/>
  <c r="I45" i="26"/>
  <c r="F45" i="26"/>
  <c r="G45" i="26" s="1"/>
  <c r="I44" i="26"/>
  <c r="F44" i="26"/>
  <c r="G44" i="26" s="1"/>
  <c r="H41" i="26"/>
  <c r="L41" i="26" s="1"/>
  <c r="D41" i="26"/>
  <c r="J41" i="26" s="1"/>
  <c r="I40" i="26"/>
  <c r="F40" i="26"/>
  <c r="G40" i="26" s="1"/>
  <c r="I39" i="26"/>
  <c r="F39" i="26"/>
  <c r="G39" i="26" s="1"/>
  <c r="I38" i="26"/>
  <c r="F38" i="26"/>
  <c r="G38" i="26" s="1"/>
  <c r="I37" i="26"/>
  <c r="F37" i="26"/>
  <c r="G37" i="26" s="1"/>
  <c r="I36" i="26"/>
  <c r="F36" i="26"/>
  <c r="G36" i="26" s="1"/>
  <c r="H33" i="26"/>
  <c r="L33" i="26" s="1"/>
  <c r="D33" i="26"/>
  <c r="J33" i="26" s="1"/>
  <c r="I32" i="26"/>
  <c r="F32" i="26"/>
  <c r="G32" i="26" s="1"/>
  <c r="I31" i="26"/>
  <c r="F31" i="26"/>
  <c r="G31" i="26" s="1"/>
  <c r="I30" i="26"/>
  <c r="F30" i="26"/>
  <c r="G30" i="26" s="1"/>
  <c r="I29" i="26"/>
  <c r="F29" i="26"/>
  <c r="G29" i="26" s="1"/>
  <c r="I28" i="26"/>
  <c r="F28" i="26"/>
  <c r="G28" i="26" s="1"/>
  <c r="H25" i="26"/>
  <c r="L25" i="26" s="1"/>
  <c r="D25" i="26"/>
  <c r="J25" i="26" s="1"/>
  <c r="I24" i="26"/>
  <c r="F24" i="26"/>
  <c r="G24" i="26" s="1"/>
  <c r="I23" i="26"/>
  <c r="F23" i="26"/>
  <c r="G23" i="26" s="1"/>
  <c r="I22" i="26"/>
  <c r="F22" i="26"/>
  <c r="G22" i="26" s="1"/>
  <c r="I21" i="26"/>
  <c r="F21" i="26"/>
  <c r="G21" i="26" s="1"/>
  <c r="I20" i="26"/>
  <c r="F20" i="26"/>
  <c r="G20" i="26" s="1"/>
  <c r="H17" i="26"/>
  <c r="L17" i="26" s="1"/>
  <c r="D17" i="26"/>
  <c r="J17" i="26" s="1"/>
  <c r="I16" i="26"/>
  <c r="F16" i="26"/>
  <c r="G16" i="26" s="1"/>
  <c r="I15" i="26"/>
  <c r="F15" i="26"/>
  <c r="G15" i="26" s="1"/>
  <c r="I14" i="26"/>
  <c r="F14" i="26"/>
  <c r="G14" i="26" s="1"/>
  <c r="I13" i="26"/>
  <c r="F13" i="26"/>
  <c r="G13" i="26" s="1"/>
  <c r="I12" i="26"/>
  <c r="F12" i="26"/>
  <c r="G12" i="26" s="1"/>
  <c r="H9" i="26"/>
  <c r="L9" i="26" s="1"/>
  <c r="D9" i="26"/>
  <c r="J9" i="26" s="1"/>
  <c r="I8" i="26"/>
  <c r="F8" i="26"/>
  <c r="G8" i="26" s="1"/>
  <c r="I7" i="26"/>
  <c r="F7" i="26"/>
  <c r="G7" i="26" s="1"/>
  <c r="I6" i="26"/>
  <c r="F6" i="26"/>
  <c r="G6" i="26" s="1"/>
  <c r="I5" i="26"/>
  <c r="F5" i="26"/>
  <c r="G5" i="26" s="1"/>
  <c r="I4" i="26"/>
  <c r="F4" i="26"/>
  <c r="G4" i="26" s="1"/>
  <c r="D35" i="24"/>
  <c r="D34" i="24"/>
  <c r="D33" i="24"/>
  <c r="D32" i="24"/>
  <c r="D31" i="24"/>
  <c r="Y31" i="24" s="1"/>
  <c r="D30" i="24"/>
  <c r="D29" i="24"/>
  <c r="Y29" i="24" s="1"/>
  <c r="D28" i="24"/>
  <c r="Y28" i="24" s="1"/>
  <c r="D27" i="24"/>
  <c r="Y27" i="24" s="1"/>
  <c r="D26" i="24"/>
  <c r="Y26" i="24" s="1"/>
  <c r="D25" i="24"/>
  <c r="Y25" i="24" s="1"/>
  <c r="D24" i="24"/>
  <c r="Y24" i="24" s="1"/>
  <c r="D23" i="24"/>
  <c r="Y23" i="24" s="1"/>
  <c r="D22" i="24"/>
  <c r="Y22" i="24" s="1"/>
  <c r="D21" i="24"/>
  <c r="Y21" i="24" s="1"/>
  <c r="D20" i="24"/>
  <c r="Y20" i="24" s="1"/>
  <c r="D19" i="24"/>
  <c r="Y19" i="24" s="1"/>
  <c r="D18" i="24"/>
  <c r="Y18" i="24" s="1"/>
  <c r="D17" i="24"/>
  <c r="Y17" i="24" s="1"/>
  <c r="D16" i="24"/>
  <c r="Y16" i="24" s="1"/>
  <c r="D15" i="24"/>
  <c r="Y15" i="24" s="1"/>
  <c r="D14" i="24"/>
  <c r="Y14" i="24" s="1"/>
  <c r="D13" i="24"/>
  <c r="Y13" i="24" s="1"/>
  <c r="D12" i="24"/>
  <c r="Y12" i="24" s="1"/>
  <c r="D11" i="24"/>
  <c r="Y11" i="24" s="1"/>
  <c r="D10" i="24"/>
  <c r="Y10" i="24" s="1"/>
  <c r="D9" i="24"/>
  <c r="B9" i="24" s="1"/>
  <c r="F4" i="24"/>
  <c r="F10" i="44" s="1"/>
  <c r="G16" i="52" s="1"/>
  <c r="H217" i="23"/>
  <c r="L217" i="23" s="1"/>
  <c r="D217" i="23"/>
  <c r="J217" i="23" s="1"/>
  <c r="I216" i="23"/>
  <c r="F216" i="23"/>
  <c r="G216" i="23" s="1"/>
  <c r="I215" i="23"/>
  <c r="F215" i="23"/>
  <c r="G215" i="23" s="1"/>
  <c r="I214" i="23"/>
  <c r="F214" i="23"/>
  <c r="G214" i="23" s="1"/>
  <c r="I213" i="23"/>
  <c r="F213" i="23"/>
  <c r="G213" i="23" s="1"/>
  <c r="I212" i="23"/>
  <c r="F212" i="23"/>
  <c r="G212" i="23" s="1"/>
  <c r="H209" i="23"/>
  <c r="L209" i="23" s="1"/>
  <c r="D209" i="23"/>
  <c r="J209" i="23" s="1"/>
  <c r="I208" i="23"/>
  <c r="F208" i="23"/>
  <c r="G208" i="23" s="1"/>
  <c r="I207" i="23"/>
  <c r="F207" i="23"/>
  <c r="G207" i="23" s="1"/>
  <c r="I206" i="23"/>
  <c r="F206" i="23"/>
  <c r="G206" i="23" s="1"/>
  <c r="I205" i="23"/>
  <c r="F205" i="23"/>
  <c r="G205" i="23" s="1"/>
  <c r="I204" i="23"/>
  <c r="F204" i="23"/>
  <c r="G204" i="23" s="1"/>
  <c r="H201" i="23"/>
  <c r="L201" i="23" s="1"/>
  <c r="D201" i="23"/>
  <c r="J201" i="23" s="1"/>
  <c r="I200" i="23"/>
  <c r="F200" i="23"/>
  <c r="G200" i="23" s="1"/>
  <c r="I199" i="23"/>
  <c r="F199" i="23"/>
  <c r="G199" i="23" s="1"/>
  <c r="I198" i="23"/>
  <c r="F198" i="23"/>
  <c r="G198" i="23" s="1"/>
  <c r="I197" i="23"/>
  <c r="F197" i="23"/>
  <c r="G197" i="23" s="1"/>
  <c r="I196" i="23"/>
  <c r="F196" i="23"/>
  <c r="G196" i="23" s="1"/>
  <c r="H193" i="23"/>
  <c r="L193" i="23" s="1"/>
  <c r="D193" i="23"/>
  <c r="J193" i="23" s="1"/>
  <c r="I192" i="23"/>
  <c r="F192" i="23"/>
  <c r="G192" i="23" s="1"/>
  <c r="I191" i="23"/>
  <c r="F191" i="23"/>
  <c r="G191" i="23" s="1"/>
  <c r="I190" i="23"/>
  <c r="F190" i="23"/>
  <c r="G190" i="23" s="1"/>
  <c r="I189" i="23"/>
  <c r="F189" i="23"/>
  <c r="G189" i="23" s="1"/>
  <c r="I188" i="23"/>
  <c r="F188" i="23"/>
  <c r="G188" i="23" s="1"/>
  <c r="H185" i="23"/>
  <c r="L185" i="23" s="1"/>
  <c r="D185" i="23"/>
  <c r="J185" i="23" s="1"/>
  <c r="I184" i="23"/>
  <c r="F184" i="23"/>
  <c r="G184" i="23" s="1"/>
  <c r="I183" i="23"/>
  <c r="F183" i="23"/>
  <c r="G183" i="23" s="1"/>
  <c r="I182" i="23"/>
  <c r="F182" i="23"/>
  <c r="G182" i="23" s="1"/>
  <c r="I181" i="23"/>
  <c r="F181" i="23"/>
  <c r="G181" i="23" s="1"/>
  <c r="I180" i="23"/>
  <c r="F180" i="23"/>
  <c r="G180" i="23" s="1"/>
  <c r="H177" i="23"/>
  <c r="L177" i="23" s="1"/>
  <c r="D177" i="23"/>
  <c r="J177" i="23" s="1"/>
  <c r="I176" i="23"/>
  <c r="F176" i="23"/>
  <c r="G176" i="23" s="1"/>
  <c r="I175" i="23"/>
  <c r="F175" i="23"/>
  <c r="G175" i="23" s="1"/>
  <c r="I174" i="23"/>
  <c r="F174" i="23"/>
  <c r="G174" i="23" s="1"/>
  <c r="I173" i="23"/>
  <c r="F173" i="23"/>
  <c r="G173" i="23" s="1"/>
  <c r="I172" i="23"/>
  <c r="F172" i="23"/>
  <c r="G172" i="23" s="1"/>
  <c r="H169" i="23"/>
  <c r="L169" i="23" s="1"/>
  <c r="D169" i="23"/>
  <c r="J169" i="23" s="1"/>
  <c r="I168" i="23"/>
  <c r="F168" i="23"/>
  <c r="G168" i="23" s="1"/>
  <c r="I167" i="23"/>
  <c r="F167" i="23"/>
  <c r="G167" i="23" s="1"/>
  <c r="I166" i="23"/>
  <c r="F166" i="23"/>
  <c r="G166" i="23" s="1"/>
  <c r="I165" i="23"/>
  <c r="F165" i="23"/>
  <c r="G165" i="23" s="1"/>
  <c r="I164" i="23"/>
  <c r="F164" i="23"/>
  <c r="G164" i="23" s="1"/>
  <c r="H161" i="23"/>
  <c r="L161" i="23" s="1"/>
  <c r="D161" i="23"/>
  <c r="J161" i="23" s="1"/>
  <c r="I160" i="23"/>
  <c r="F160" i="23"/>
  <c r="G160" i="23" s="1"/>
  <c r="I159" i="23"/>
  <c r="F159" i="23"/>
  <c r="G159" i="23" s="1"/>
  <c r="I158" i="23"/>
  <c r="F158" i="23"/>
  <c r="G158" i="23" s="1"/>
  <c r="I157" i="23"/>
  <c r="F157" i="23"/>
  <c r="G157" i="23" s="1"/>
  <c r="I156" i="23"/>
  <c r="F156" i="23"/>
  <c r="G156" i="23" s="1"/>
  <c r="H153" i="23"/>
  <c r="L153" i="23" s="1"/>
  <c r="D153" i="23"/>
  <c r="J153" i="23" s="1"/>
  <c r="I152" i="23"/>
  <c r="F152" i="23"/>
  <c r="G152" i="23" s="1"/>
  <c r="I151" i="23"/>
  <c r="F151" i="23"/>
  <c r="G151" i="23" s="1"/>
  <c r="I150" i="23"/>
  <c r="F150" i="23"/>
  <c r="G150" i="23" s="1"/>
  <c r="I149" i="23"/>
  <c r="F149" i="23"/>
  <c r="G149" i="23" s="1"/>
  <c r="I148" i="23"/>
  <c r="F148" i="23"/>
  <c r="G148" i="23" s="1"/>
  <c r="H145" i="23"/>
  <c r="L145" i="23" s="1"/>
  <c r="D145" i="23"/>
  <c r="J145" i="23" s="1"/>
  <c r="I144" i="23"/>
  <c r="F144" i="23"/>
  <c r="G144" i="23" s="1"/>
  <c r="I143" i="23"/>
  <c r="F143" i="23"/>
  <c r="G143" i="23" s="1"/>
  <c r="I142" i="23"/>
  <c r="F142" i="23"/>
  <c r="G142" i="23" s="1"/>
  <c r="I141" i="23"/>
  <c r="F141" i="23"/>
  <c r="G141" i="23" s="1"/>
  <c r="I140" i="23"/>
  <c r="F140" i="23"/>
  <c r="G140" i="23" s="1"/>
  <c r="H137" i="23"/>
  <c r="L137" i="23" s="1"/>
  <c r="D137" i="23"/>
  <c r="J137" i="23" s="1"/>
  <c r="I136" i="23"/>
  <c r="F136" i="23"/>
  <c r="G136" i="23" s="1"/>
  <c r="I135" i="23"/>
  <c r="F135" i="23"/>
  <c r="G135" i="23" s="1"/>
  <c r="I134" i="23"/>
  <c r="F134" i="23"/>
  <c r="G134" i="23" s="1"/>
  <c r="I133" i="23"/>
  <c r="F133" i="23"/>
  <c r="G133" i="23" s="1"/>
  <c r="I132" i="23"/>
  <c r="F132" i="23"/>
  <c r="G132" i="23" s="1"/>
  <c r="H129" i="23"/>
  <c r="L129" i="23" s="1"/>
  <c r="D129" i="23"/>
  <c r="J129" i="23" s="1"/>
  <c r="I128" i="23"/>
  <c r="F128" i="23"/>
  <c r="G128" i="23" s="1"/>
  <c r="I127" i="23"/>
  <c r="F127" i="23"/>
  <c r="G127" i="23" s="1"/>
  <c r="I126" i="23"/>
  <c r="F126" i="23"/>
  <c r="G126" i="23" s="1"/>
  <c r="I125" i="23"/>
  <c r="F125" i="23"/>
  <c r="G125" i="23" s="1"/>
  <c r="I124" i="23"/>
  <c r="F124" i="23"/>
  <c r="G124" i="23" s="1"/>
  <c r="H121" i="23"/>
  <c r="L121" i="23" s="1"/>
  <c r="D121" i="23"/>
  <c r="J121" i="23" s="1"/>
  <c r="I120" i="23"/>
  <c r="F120" i="23"/>
  <c r="G120" i="23" s="1"/>
  <c r="I119" i="23"/>
  <c r="F119" i="23"/>
  <c r="G119" i="23" s="1"/>
  <c r="I118" i="23"/>
  <c r="F118" i="23"/>
  <c r="G118" i="23" s="1"/>
  <c r="I117" i="23"/>
  <c r="F117" i="23"/>
  <c r="G117" i="23" s="1"/>
  <c r="I116" i="23"/>
  <c r="F116" i="23"/>
  <c r="G116" i="23" s="1"/>
  <c r="H113" i="23"/>
  <c r="L113" i="23" s="1"/>
  <c r="D113" i="23"/>
  <c r="J113" i="23" s="1"/>
  <c r="I112" i="23"/>
  <c r="F112" i="23"/>
  <c r="G112" i="23" s="1"/>
  <c r="I111" i="23"/>
  <c r="F111" i="23"/>
  <c r="G111" i="23" s="1"/>
  <c r="I110" i="23"/>
  <c r="F110" i="23"/>
  <c r="G110" i="23" s="1"/>
  <c r="I109" i="23"/>
  <c r="F109" i="23"/>
  <c r="G109" i="23" s="1"/>
  <c r="I108" i="23"/>
  <c r="F108" i="23"/>
  <c r="G108" i="23" s="1"/>
  <c r="H105" i="23"/>
  <c r="L105" i="23" s="1"/>
  <c r="D105" i="23"/>
  <c r="J105" i="23" s="1"/>
  <c r="I104" i="23"/>
  <c r="F104" i="23"/>
  <c r="G104" i="23" s="1"/>
  <c r="I103" i="23"/>
  <c r="F103" i="23"/>
  <c r="G103" i="23" s="1"/>
  <c r="I102" i="23"/>
  <c r="F102" i="23"/>
  <c r="G102" i="23" s="1"/>
  <c r="I101" i="23"/>
  <c r="F101" i="23"/>
  <c r="G101" i="23" s="1"/>
  <c r="I100" i="23"/>
  <c r="F100" i="23"/>
  <c r="G100" i="23" s="1"/>
  <c r="H97" i="23"/>
  <c r="L97" i="23" s="1"/>
  <c r="D97" i="23"/>
  <c r="J97" i="23" s="1"/>
  <c r="I96" i="23"/>
  <c r="F96" i="23"/>
  <c r="G96" i="23" s="1"/>
  <c r="I95" i="23"/>
  <c r="F95" i="23"/>
  <c r="G95" i="23" s="1"/>
  <c r="I94" i="23"/>
  <c r="F94" i="23"/>
  <c r="G94" i="23" s="1"/>
  <c r="I93" i="23"/>
  <c r="F93" i="23"/>
  <c r="G93" i="23" s="1"/>
  <c r="I92" i="23"/>
  <c r="F92" i="23"/>
  <c r="G92" i="23" s="1"/>
  <c r="H89" i="23"/>
  <c r="L89" i="23" s="1"/>
  <c r="D89" i="23"/>
  <c r="J89" i="23" s="1"/>
  <c r="I88" i="23"/>
  <c r="F88" i="23"/>
  <c r="G88" i="23" s="1"/>
  <c r="I87" i="23"/>
  <c r="F87" i="23"/>
  <c r="G87" i="23" s="1"/>
  <c r="I86" i="23"/>
  <c r="F86" i="23"/>
  <c r="G86" i="23" s="1"/>
  <c r="I85" i="23"/>
  <c r="F85" i="23"/>
  <c r="G85" i="23" s="1"/>
  <c r="I84" i="23"/>
  <c r="F84" i="23"/>
  <c r="G84" i="23" s="1"/>
  <c r="H81" i="23"/>
  <c r="L81" i="23" s="1"/>
  <c r="D81" i="23"/>
  <c r="J81" i="23" s="1"/>
  <c r="I80" i="23"/>
  <c r="F80" i="23"/>
  <c r="G80" i="23" s="1"/>
  <c r="I79" i="23"/>
  <c r="F79" i="23"/>
  <c r="G79" i="23" s="1"/>
  <c r="I78" i="23"/>
  <c r="F78" i="23"/>
  <c r="G78" i="23" s="1"/>
  <c r="I77" i="23"/>
  <c r="F77" i="23"/>
  <c r="G77" i="23" s="1"/>
  <c r="I76" i="23"/>
  <c r="F76" i="23"/>
  <c r="G76" i="23" s="1"/>
  <c r="H73" i="23"/>
  <c r="L73" i="23" s="1"/>
  <c r="D73" i="23"/>
  <c r="J73" i="23" s="1"/>
  <c r="I72" i="23"/>
  <c r="F72" i="23"/>
  <c r="G72" i="23" s="1"/>
  <c r="I71" i="23"/>
  <c r="F71" i="23"/>
  <c r="G71" i="23" s="1"/>
  <c r="I70" i="23"/>
  <c r="F70" i="23"/>
  <c r="G70" i="23" s="1"/>
  <c r="I69" i="23"/>
  <c r="F69" i="23"/>
  <c r="G69" i="23" s="1"/>
  <c r="I68" i="23"/>
  <c r="F68" i="23"/>
  <c r="G68" i="23" s="1"/>
  <c r="H65" i="23"/>
  <c r="L65" i="23" s="1"/>
  <c r="D65" i="23"/>
  <c r="J65" i="23" s="1"/>
  <c r="I64" i="23"/>
  <c r="F64" i="23"/>
  <c r="G64" i="23" s="1"/>
  <c r="I63" i="23"/>
  <c r="F63" i="23"/>
  <c r="G63" i="23" s="1"/>
  <c r="I62" i="23"/>
  <c r="F62" i="23"/>
  <c r="G62" i="23" s="1"/>
  <c r="I61" i="23"/>
  <c r="F61" i="23"/>
  <c r="G61" i="23" s="1"/>
  <c r="I60" i="23"/>
  <c r="F60" i="23"/>
  <c r="G60" i="23" s="1"/>
  <c r="H57" i="23"/>
  <c r="L57" i="23" s="1"/>
  <c r="D57" i="23"/>
  <c r="J57" i="23" s="1"/>
  <c r="I56" i="23"/>
  <c r="F56" i="23"/>
  <c r="G56" i="23" s="1"/>
  <c r="I55" i="23"/>
  <c r="F55" i="23"/>
  <c r="G55" i="23" s="1"/>
  <c r="I54" i="23"/>
  <c r="F54" i="23"/>
  <c r="G54" i="23" s="1"/>
  <c r="I53" i="23"/>
  <c r="F53" i="23"/>
  <c r="G53" i="23" s="1"/>
  <c r="I52" i="23"/>
  <c r="F52" i="23"/>
  <c r="G52" i="23" s="1"/>
  <c r="H49" i="23"/>
  <c r="L49" i="23" s="1"/>
  <c r="D49" i="23"/>
  <c r="J49" i="23" s="1"/>
  <c r="I48" i="23"/>
  <c r="F48" i="23"/>
  <c r="G48" i="23" s="1"/>
  <c r="I47" i="23"/>
  <c r="F47" i="23"/>
  <c r="G47" i="23" s="1"/>
  <c r="I46" i="23"/>
  <c r="F46" i="23"/>
  <c r="G46" i="23" s="1"/>
  <c r="I45" i="23"/>
  <c r="F45" i="23"/>
  <c r="G45" i="23" s="1"/>
  <c r="I44" i="23"/>
  <c r="F44" i="23"/>
  <c r="G44" i="23" s="1"/>
  <c r="H41" i="23"/>
  <c r="L41" i="23" s="1"/>
  <c r="D41" i="23"/>
  <c r="J41" i="23" s="1"/>
  <c r="I40" i="23"/>
  <c r="F40" i="23"/>
  <c r="G40" i="23" s="1"/>
  <c r="I39" i="23"/>
  <c r="F39" i="23"/>
  <c r="G39" i="23" s="1"/>
  <c r="I38" i="23"/>
  <c r="F38" i="23"/>
  <c r="G38" i="23" s="1"/>
  <c r="I37" i="23"/>
  <c r="F37" i="23"/>
  <c r="G37" i="23" s="1"/>
  <c r="I36" i="23"/>
  <c r="F36" i="23"/>
  <c r="G36" i="23" s="1"/>
  <c r="H33" i="23"/>
  <c r="L33" i="23" s="1"/>
  <c r="D33" i="23"/>
  <c r="J33" i="23" s="1"/>
  <c r="I32" i="23"/>
  <c r="F32" i="23"/>
  <c r="G32" i="23" s="1"/>
  <c r="I31" i="23"/>
  <c r="F31" i="23"/>
  <c r="G31" i="23" s="1"/>
  <c r="I30" i="23"/>
  <c r="F30" i="23"/>
  <c r="G30" i="23" s="1"/>
  <c r="I29" i="23"/>
  <c r="F29" i="23"/>
  <c r="G29" i="23" s="1"/>
  <c r="I28" i="23"/>
  <c r="F28" i="23"/>
  <c r="G28" i="23" s="1"/>
  <c r="H25" i="23"/>
  <c r="L25" i="23" s="1"/>
  <c r="D25" i="23"/>
  <c r="J25" i="23" s="1"/>
  <c r="I24" i="23"/>
  <c r="F24" i="23"/>
  <c r="G24" i="23" s="1"/>
  <c r="I23" i="23"/>
  <c r="F23" i="23"/>
  <c r="G23" i="23" s="1"/>
  <c r="I22" i="23"/>
  <c r="F22" i="23"/>
  <c r="G22" i="23" s="1"/>
  <c r="I21" i="23"/>
  <c r="F21" i="23"/>
  <c r="G21" i="23" s="1"/>
  <c r="I20" i="23"/>
  <c r="F20" i="23"/>
  <c r="G20" i="23" s="1"/>
  <c r="H17" i="23"/>
  <c r="L17" i="23" s="1"/>
  <c r="D17" i="23"/>
  <c r="J17" i="23" s="1"/>
  <c r="I16" i="23"/>
  <c r="F16" i="23"/>
  <c r="G16" i="23" s="1"/>
  <c r="I15" i="23"/>
  <c r="F15" i="23"/>
  <c r="G15" i="23" s="1"/>
  <c r="I14" i="23"/>
  <c r="F14" i="23"/>
  <c r="G14" i="23" s="1"/>
  <c r="I13" i="23"/>
  <c r="F13" i="23"/>
  <c r="G13" i="23" s="1"/>
  <c r="I12" i="23"/>
  <c r="F12" i="23"/>
  <c r="G12" i="23" s="1"/>
  <c r="H9" i="23"/>
  <c r="L9" i="23" s="1"/>
  <c r="D9" i="23"/>
  <c r="J9" i="23" s="1"/>
  <c r="I8" i="23"/>
  <c r="F8" i="23"/>
  <c r="G8" i="23" s="1"/>
  <c r="I7" i="23"/>
  <c r="F7" i="23"/>
  <c r="G7" i="23" s="1"/>
  <c r="I6" i="23"/>
  <c r="F6" i="23"/>
  <c r="G6" i="23" s="1"/>
  <c r="I5" i="23"/>
  <c r="F5" i="23"/>
  <c r="G5" i="23" s="1"/>
  <c r="I4" i="23"/>
  <c r="F4" i="23"/>
  <c r="G4" i="23" s="1"/>
  <c r="D34" i="21"/>
  <c r="D33" i="21"/>
  <c r="D32" i="21"/>
  <c r="D31" i="21"/>
  <c r="D30" i="21"/>
  <c r="Y30" i="21" s="1"/>
  <c r="D29" i="21"/>
  <c r="Y29" i="21" s="1"/>
  <c r="D28" i="21"/>
  <c r="Y28" i="21" s="1"/>
  <c r="D27" i="21"/>
  <c r="Y27" i="21" s="1"/>
  <c r="D26" i="21"/>
  <c r="Y26" i="21" s="1"/>
  <c r="D25" i="21"/>
  <c r="Y25" i="21" s="1"/>
  <c r="D24" i="21"/>
  <c r="Y24" i="21" s="1"/>
  <c r="D23" i="21"/>
  <c r="Y23" i="21" s="1"/>
  <c r="D22" i="21"/>
  <c r="Y22" i="21" s="1"/>
  <c r="D21" i="21"/>
  <c r="Y21" i="21" s="1"/>
  <c r="D20" i="21"/>
  <c r="Y20" i="21" s="1"/>
  <c r="D19" i="21"/>
  <c r="Y19" i="21" s="1"/>
  <c r="D18" i="21"/>
  <c r="Y18" i="21" s="1"/>
  <c r="D17" i="21"/>
  <c r="Y17" i="21" s="1"/>
  <c r="D16" i="21"/>
  <c r="Y16" i="21" s="1"/>
  <c r="D15" i="21"/>
  <c r="Y15" i="21" s="1"/>
  <c r="Y14" i="21"/>
  <c r="Y13" i="21"/>
  <c r="D12" i="21"/>
  <c r="Y12" i="21" s="1"/>
  <c r="D11" i="21"/>
  <c r="Y11" i="21" s="1"/>
  <c r="D10" i="21"/>
  <c r="Y10" i="21" s="1"/>
  <c r="D9" i="21"/>
  <c r="B9" i="21" s="1"/>
  <c r="H217" i="20"/>
  <c r="L217" i="20" s="1"/>
  <c r="D217" i="20"/>
  <c r="J217" i="20" s="1"/>
  <c r="I216" i="20"/>
  <c r="F216" i="20"/>
  <c r="G216" i="20" s="1"/>
  <c r="I215" i="20"/>
  <c r="F215" i="20"/>
  <c r="G215" i="20" s="1"/>
  <c r="I214" i="20"/>
  <c r="F214" i="20"/>
  <c r="G214" i="20" s="1"/>
  <c r="I213" i="20"/>
  <c r="F213" i="20"/>
  <c r="G213" i="20" s="1"/>
  <c r="I212" i="20"/>
  <c r="F212" i="20"/>
  <c r="G212" i="20" s="1"/>
  <c r="H209" i="20"/>
  <c r="L209" i="20" s="1"/>
  <c r="D209" i="20"/>
  <c r="J209" i="20" s="1"/>
  <c r="I208" i="20"/>
  <c r="F208" i="20"/>
  <c r="G208" i="20" s="1"/>
  <c r="I207" i="20"/>
  <c r="F207" i="20"/>
  <c r="G207" i="20" s="1"/>
  <c r="I206" i="20"/>
  <c r="F206" i="20"/>
  <c r="G206" i="20" s="1"/>
  <c r="I205" i="20"/>
  <c r="F205" i="20"/>
  <c r="G205" i="20" s="1"/>
  <c r="I204" i="20"/>
  <c r="F204" i="20"/>
  <c r="G204" i="20" s="1"/>
  <c r="H201" i="20"/>
  <c r="L201" i="20" s="1"/>
  <c r="D201" i="20"/>
  <c r="J201" i="20" s="1"/>
  <c r="I200" i="20"/>
  <c r="F200" i="20"/>
  <c r="G200" i="20" s="1"/>
  <c r="I199" i="20"/>
  <c r="F199" i="20"/>
  <c r="G199" i="20" s="1"/>
  <c r="I198" i="20"/>
  <c r="F198" i="20"/>
  <c r="G198" i="20" s="1"/>
  <c r="I197" i="20"/>
  <c r="F197" i="20"/>
  <c r="G197" i="20" s="1"/>
  <c r="I196" i="20"/>
  <c r="F196" i="20"/>
  <c r="G196" i="20" s="1"/>
  <c r="H193" i="20"/>
  <c r="L193" i="20" s="1"/>
  <c r="D193" i="20"/>
  <c r="J193" i="20" s="1"/>
  <c r="I192" i="20"/>
  <c r="F192" i="20"/>
  <c r="G192" i="20" s="1"/>
  <c r="I191" i="20"/>
  <c r="F191" i="20"/>
  <c r="G191" i="20" s="1"/>
  <c r="I190" i="20"/>
  <c r="F190" i="20"/>
  <c r="G190" i="20" s="1"/>
  <c r="I189" i="20"/>
  <c r="F189" i="20"/>
  <c r="G189" i="20" s="1"/>
  <c r="I188" i="20"/>
  <c r="F188" i="20"/>
  <c r="G188" i="20" s="1"/>
  <c r="H185" i="20"/>
  <c r="L185" i="20" s="1"/>
  <c r="D185" i="20"/>
  <c r="J185" i="20" s="1"/>
  <c r="I184" i="20"/>
  <c r="F184" i="20"/>
  <c r="G184" i="20" s="1"/>
  <c r="I183" i="20"/>
  <c r="F183" i="20"/>
  <c r="G183" i="20" s="1"/>
  <c r="I182" i="20"/>
  <c r="F182" i="20"/>
  <c r="G182" i="20" s="1"/>
  <c r="I181" i="20"/>
  <c r="F181" i="20"/>
  <c r="G181" i="20" s="1"/>
  <c r="I180" i="20"/>
  <c r="F180" i="20"/>
  <c r="G180" i="20" s="1"/>
  <c r="H177" i="20"/>
  <c r="L177" i="20" s="1"/>
  <c r="D177" i="20"/>
  <c r="J177" i="20" s="1"/>
  <c r="I176" i="20"/>
  <c r="F176" i="20"/>
  <c r="G176" i="20" s="1"/>
  <c r="I175" i="20"/>
  <c r="F175" i="20"/>
  <c r="G175" i="20" s="1"/>
  <c r="I174" i="20"/>
  <c r="F174" i="20"/>
  <c r="G174" i="20" s="1"/>
  <c r="I173" i="20"/>
  <c r="F173" i="20"/>
  <c r="G173" i="20" s="1"/>
  <c r="I172" i="20"/>
  <c r="F172" i="20"/>
  <c r="G172" i="20" s="1"/>
  <c r="H169" i="20"/>
  <c r="L169" i="20" s="1"/>
  <c r="D169" i="20"/>
  <c r="J169" i="20" s="1"/>
  <c r="I168" i="20"/>
  <c r="F168" i="20"/>
  <c r="G168" i="20" s="1"/>
  <c r="I167" i="20"/>
  <c r="F167" i="20"/>
  <c r="G167" i="20" s="1"/>
  <c r="I166" i="20"/>
  <c r="F166" i="20"/>
  <c r="G166" i="20" s="1"/>
  <c r="I165" i="20"/>
  <c r="F165" i="20"/>
  <c r="G165" i="20" s="1"/>
  <c r="I164" i="20"/>
  <c r="F164" i="20"/>
  <c r="G164" i="20" s="1"/>
  <c r="H161" i="20"/>
  <c r="L161" i="20" s="1"/>
  <c r="D161" i="20"/>
  <c r="J161" i="20" s="1"/>
  <c r="I160" i="20"/>
  <c r="F160" i="20"/>
  <c r="G160" i="20" s="1"/>
  <c r="I159" i="20"/>
  <c r="F159" i="20"/>
  <c r="G159" i="20" s="1"/>
  <c r="I158" i="20"/>
  <c r="F158" i="20"/>
  <c r="G158" i="20" s="1"/>
  <c r="I157" i="20"/>
  <c r="F157" i="20"/>
  <c r="G157" i="20" s="1"/>
  <c r="I156" i="20"/>
  <c r="F156" i="20"/>
  <c r="G156" i="20" s="1"/>
  <c r="H153" i="20"/>
  <c r="L153" i="20" s="1"/>
  <c r="D153" i="20"/>
  <c r="J153" i="20" s="1"/>
  <c r="I152" i="20"/>
  <c r="F152" i="20"/>
  <c r="G152" i="20" s="1"/>
  <c r="I151" i="20"/>
  <c r="F151" i="20"/>
  <c r="G151" i="20" s="1"/>
  <c r="I150" i="20"/>
  <c r="F150" i="20"/>
  <c r="G150" i="20" s="1"/>
  <c r="I149" i="20"/>
  <c r="F149" i="20"/>
  <c r="G149" i="20" s="1"/>
  <c r="I148" i="20"/>
  <c r="F148" i="20"/>
  <c r="G148" i="20" s="1"/>
  <c r="H145" i="20"/>
  <c r="L145" i="20" s="1"/>
  <c r="D145" i="20"/>
  <c r="J145" i="20" s="1"/>
  <c r="I144" i="20"/>
  <c r="F144" i="20"/>
  <c r="G144" i="20" s="1"/>
  <c r="I143" i="20"/>
  <c r="F143" i="20"/>
  <c r="G143" i="20" s="1"/>
  <c r="I142" i="20"/>
  <c r="F142" i="20"/>
  <c r="G142" i="20" s="1"/>
  <c r="I141" i="20"/>
  <c r="F141" i="20"/>
  <c r="G141" i="20" s="1"/>
  <c r="I140" i="20"/>
  <c r="F140" i="20"/>
  <c r="G140" i="20" s="1"/>
  <c r="H137" i="20"/>
  <c r="L137" i="20" s="1"/>
  <c r="D137" i="20"/>
  <c r="J137" i="20" s="1"/>
  <c r="I136" i="20"/>
  <c r="F136" i="20"/>
  <c r="G136" i="20" s="1"/>
  <c r="I135" i="20"/>
  <c r="F135" i="20"/>
  <c r="G135" i="20" s="1"/>
  <c r="I134" i="20"/>
  <c r="F134" i="20"/>
  <c r="G134" i="20" s="1"/>
  <c r="I133" i="20"/>
  <c r="F133" i="20"/>
  <c r="G133" i="20" s="1"/>
  <c r="I132" i="20"/>
  <c r="F132" i="20"/>
  <c r="G132" i="20" s="1"/>
  <c r="H129" i="20"/>
  <c r="L129" i="20" s="1"/>
  <c r="D129" i="20"/>
  <c r="J129" i="20" s="1"/>
  <c r="I128" i="20"/>
  <c r="F128" i="20"/>
  <c r="G128" i="20" s="1"/>
  <c r="I127" i="20"/>
  <c r="F127" i="20"/>
  <c r="G127" i="20" s="1"/>
  <c r="I126" i="20"/>
  <c r="F126" i="20"/>
  <c r="G126" i="20" s="1"/>
  <c r="I125" i="20"/>
  <c r="F125" i="20"/>
  <c r="G125" i="20" s="1"/>
  <c r="I124" i="20"/>
  <c r="F124" i="20"/>
  <c r="G124" i="20" s="1"/>
  <c r="H121" i="20"/>
  <c r="L121" i="20" s="1"/>
  <c r="D121" i="20"/>
  <c r="J121" i="20" s="1"/>
  <c r="I120" i="20"/>
  <c r="F120" i="20"/>
  <c r="G120" i="20" s="1"/>
  <c r="I119" i="20"/>
  <c r="F119" i="20"/>
  <c r="G119" i="20" s="1"/>
  <c r="I118" i="20"/>
  <c r="F118" i="20"/>
  <c r="G118" i="20" s="1"/>
  <c r="I117" i="20"/>
  <c r="F117" i="20"/>
  <c r="G117" i="20" s="1"/>
  <c r="I116" i="20"/>
  <c r="F116" i="20"/>
  <c r="G116" i="20" s="1"/>
  <c r="H113" i="20"/>
  <c r="L113" i="20" s="1"/>
  <c r="D113" i="20"/>
  <c r="J113" i="20" s="1"/>
  <c r="I112" i="20"/>
  <c r="F112" i="20"/>
  <c r="G112" i="20" s="1"/>
  <c r="I110" i="20"/>
  <c r="F110" i="20"/>
  <c r="G110" i="20" s="1"/>
  <c r="I107" i="20"/>
  <c r="F107" i="20"/>
  <c r="G107" i="20" s="1"/>
  <c r="I106" i="20"/>
  <c r="F106" i="20"/>
  <c r="G106" i="20" s="1"/>
  <c r="H103" i="20"/>
  <c r="L103" i="20" s="1"/>
  <c r="D103" i="20"/>
  <c r="J103" i="20" s="1"/>
  <c r="I102" i="20"/>
  <c r="F102" i="20"/>
  <c r="G102" i="20" s="1"/>
  <c r="I101" i="20"/>
  <c r="F101" i="20"/>
  <c r="G101" i="20" s="1"/>
  <c r="I100" i="20"/>
  <c r="F100" i="20"/>
  <c r="G100" i="20" s="1"/>
  <c r="I99" i="20"/>
  <c r="F99" i="20"/>
  <c r="G99" i="20" s="1"/>
  <c r="I98" i="20"/>
  <c r="F98" i="20"/>
  <c r="G98" i="20" s="1"/>
  <c r="H95" i="20"/>
  <c r="L95" i="20" s="1"/>
  <c r="D95" i="20"/>
  <c r="J95" i="20" s="1"/>
  <c r="I94" i="20"/>
  <c r="F94" i="20"/>
  <c r="G94" i="20" s="1"/>
  <c r="I93" i="20"/>
  <c r="F93" i="20"/>
  <c r="G93" i="20" s="1"/>
  <c r="I92" i="20"/>
  <c r="F92" i="20"/>
  <c r="G92" i="20" s="1"/>
  <c r="I87" i="20"/>
  <c r="F87" i="20"/>
  <c r="G87" i="20" s="1"/>
  <c r="I86" i="20"/>
  <c r="F86" i="20"/>
  <c r="G86" i="20" s="1"/>
  <c r="H83" i="20"/>
  <c r="L83" i="20" s="1"/>
  <c r="D83" i="20"/>
  <c r="J83" i="20" s="1"/>
  <c r="I82" i="20"/>
  <c r="F82" i="20"/>
  <c r="G82" i="20" s="1"/>
  <c r="I81" i="20"/>
  <c r="F81" i="20"/>
  <c r="G81" i="20" s="1"/>
  <c r="I80" i="20"/>
  <c r="F80" i="20"/>
  <c r="G80" i="20" s="1"/>
  <c r="I79" i="20"/>
  <c r="F79" i="20"/>
  <c r="G79" i="20" s="1"/>
  <c r="I78" i="20"/>
  <c r="F78" i="20"/>
  <c r="G78" i="20" s="1"/>
  <c r="H75" i="20"/>
  <c r="L75" i="20" s="1"/>
  <c r="D75" i="20"/>
  <c r="J75" i="20" s="1"/>
  <c r="I74" i="20"/>
  <c r="F74" i="20"/>
  <c r="G74" i="20" s="1"/>
  <c r="I73" i="20"/>
  <c r="F73" i="20"/>
  <c r="G73" i="20" s="1"/>
  <c r="I72" i="20"/>
  <c r="F72" i="20"/>
  <c r="G72" i="20" s="1"/>
  <c r="I71" i="20"/>
  <c r="F71" i="20"/>
  <c r="G71" i="20" s="1"/>
  <c r="I69" i="20"/>
  <c r="F69" i="20"/>
  <c r="G69" i="20" s="1"/>
  <c r="H66" i="20"/>
  <c r="L66" i="20" s="1"/>
  <c r="D66" i="20"/>
  <c r="J66" i="20" s="1"/>
  <c r="I65" i="20"/>
  <c r="F65" i="20"/>
  <c r="G65" i="20" s="1"/>
  <c r="I64" i="20"/>
  <c r="F64" i="20"/>
  <c r="G64" i="20" s="1"/>
  <c r="I63" i="20"/>
  <c r="F63" i="20"/>
  <c r="G63" i="20" s="1"/>
  <c r="I60" i="20"/>
  <c r="F60" i="20"/>
  <c r="G60" i="20" s="1"/>
  <c r="L57" i="20"/>
  <c r="D57" i="20"/>
  <c r="J57" i="20" s="1"/>
  <c r="I56" i="20"/>
  <c r="F56" i="20"/>
  <c r="G56" i="20" s="1"/>
  <c r="I55" i="20"/>
  <c r="F55" i="20"/>
  <c r="G55" i="20" s="1"/>
  <c r="I54" i="20"/>
  <c r="F54" i="20"/>
  <c r="G54" i="20" s="1"/>
  <c r="E27" i="51"/>
  <c r="I53" i="20"/>
  <c r="F53" i="20"/>
  <c r="G53" i="20" s="1"/>
  <c r="H49" i="20"/>
  <c r="L49" i="20" s="1"/>
  <c r="D49" i="20"/>
  <c r="J49" i="20" s="1"/>
  <c r="I48" i="20"/>
  <c r="F48" i="20"/>
  <c r="G48" i="20" s="1"/>
  <c r="I47" i="20"/>
  <c r="F47" i="20"/>
  <c r="G47" i="20" s="1"/>
  <c r="I46" i="20"/>
  <c r="F46" i="20"/>
  <c r="G46" i="20" s="1"/>
  <c r="I45" i="20"/>
  <c r="F45" i="20"/>
  <c r="G45" i="20" s="1"/>
  <c r="I44" i="20"/>
  <c r="F44" i="20"/>
  <c r="G44" i="20" s="1"/>
  <c r="H41" i="20"/>
  <c r="L41" i="20" s="1"/>
  <c r="D41" i="20"/>
  <c r="J41" i="20" s="1"/>
  <c r="I40" i="20"/>
  <c r="F40" i="20"/>
  <c r="G40" i="20" s="1"/>
  <c r="I39" i="20"/>
  <c r="F39" i="20"/>
  <c r="G39" i="20" s="1"/>
  <c r="I38" i="20"/>
  <c r="F38" i="20"/>
  <c r="G38" i="20" s="1"/>
  <c r="I37" i="20"/>
  <c r="F37" i="20"/>
  <c r="G37" i="20" s="1"/>
  <c r="I36" i="20"/>
  <c r="F36" i="20"/>
  <c r="G36" i="20" s="1"/>
  <c r="H33" i="20"/>
  <c r="L33" i="20" s="1"/>
  <c r="D33" i="20"/>
  <c r="J33" i="20" s="1"/>
  <c r="I32" i="20"/>
  <c r="F32" i="20"/>
  <c r="G32" i="20" s="1"/>
  <c r="I31" i="20"/>
  <c r="F31" i="20"/>
  <c r="G31" i="20" s="1"/>
  <c r="I30" i="20"/>
  <c r="F30" i="20"/>
  <c r="G30" i="20" s="1"/>
  <c r="I29" i="20"/>
  <c r="F29" i="20"/>
  <c r="G29" i="20" s="1"/>
  <c r="I28" i="20"/>
  <c r="F28" i="20"/>
  <c r="G28" i="20" s="1"/>
  <c r="H25" i="20"/>
  <c r="L25" i="20" s="1"/>
  <c r="D25" i="20"/>
  <c r="J25" i="20" s="1"/>
  <c r="I24" i="20"/>
  <c r="F24" i="20"/>
  <c r="G24" i="20" s="1"/>
  <c r="I23" i="20"/>
  <c r="F23" i="20"/>
  <c r="G23" i="20" s="1"/>
  <c r="I22" i="20"/>
  <c r="F22" i="20"/>
  <c r="G22" i="20" s="1"/>
  <c r="I21" i="20"/>
  <c r="F21" i="20"/>
  <c r="G21" i="20" s="1"/>
  <c r="I20" i="20"/>
  <c r="E249" i="43" s="1"/>
  <c r="F20" i="20"/>
  <c r="G20" i="20" s="1"/>
  <c r="G249" i="43" s="1"/>
  <c r="H17" i="20"/>
  <c r="L17" i="20" s="1"/>
  <c r="D17" i="20"/>
  <c r="J17" i="20" s="1"/>
  <c r="I16" i="20"/>
  <c r="F16" i="20"/>
  <c r="G16" i="20" s="1"/>
  <c r="I15" i="20"/>
  <c r="F15" i="20"/>
  <c r="G15" i="20" s="1"/>
  <c r="I14" i="20"/>
  <c r="F14" i="20"/>
  <c r="G14" i="20" s="1"/>
  <c r="I13" i="20"/>
  <c r="F13" i="20"/>
  <c r="G13" i="20" s="1"/>
  <c r="I12" i="20"/>
  <c r="E248" i="43" s="1"/>
  <c r="F12" i="20"/>
  <c r="G12" i="20" s="1"/>
  <c r="G248" i="43" s="1"/>
  <c r="H9" i="20"/>
  <c r="L9" i="20" s="1"/>
  <c r="D9" i="20"/>
  <c r="J9" i="20" s="1"/>
  <c r="I8" i="20"/>
  <c r="F8" i="20"/>
  <c r="G8" i="20" s="1"/>
  <c r="I7" i="20"/>
  <c r="F7" i="20"/>
  <c r="G7" i="20" s="1"/>
  <c r="I6" i="20"/>
  <c r="F6" i="20"/>
  <c r="G6" i="20" s="1"/>
  <c r="I5" i="20"/>
  <c r="F5" i="20"/>
  <c r="G5" i="20" s="1"/>
  <c r="I4" i="20"/>
  <c r="E247" i="43" s="1"/>
  <c r="F4" i="20"/>
  <c r="G4" i="20" s="1"/>
  <c r="G247" i="43" s="1"/>
  <c r="D34" i="18"/>
  <c r="D33" i="18"/>
  <c r="D32" i="18"/>
  <c r="D31" i="18"/>
  <c r="D30" i="18"/>
  <c r="D29" i="18"/>
  <c r="Y30" i="18" s="1"/>
  <c r="D28" i="18"/>
  <c r="Y29" i="18" s="1"/>
  <c r="D27" i="18"/>
  <c r="Y28" i="18" s="1"/>
  <c r="D26" i="18"/>
  <c r="Y27" i="18" s="1"/>
  <c r="D25" i="18"/>
  <c r="Y26" i="18" s="1"/>
  <c r="D24" i="18"/>
  <c r="Y25" i="18" s="1"/>
  <c r="D23" i="18"/>
  <c r="Y24" i="18" s="1"/>
  <c r="D22" i="18"/>
  <c r="Y23" i="18" s="1"/>
  <c r="D21" i="18"/>
  <c r="Y22" i="18" s="1"/>
  <c r="D20" i="18"/>
  <c r="Y21" i="18" s="1"/>
  <c r="D19" i="18"/>
  <c r="Y20" i="18" s="1"/>
  <c r="D18" i="18"/>
  <c r="Y19" i="18" s="1"/>
  <c r="D17" i="18"/>
  <c r="Y18" i="18" s="1"/>
  <c r="D16" i="18"/>
  <c r="Y17" i="18" s="1"/>
  <c r="D15" i="18"/>
  <c r="Y16" i="18" s="1"/>
  <c r="D14" i="18"/>
  <c r="Y15" i="18" s="1"/>
  <c r="D13" i="18"/>
  <c r="Y14" i="18" s="1"/>
  <c r="D12" i="18"/>
  <c r="Y13" i="18" s="1"/>
  <c r="D11" i="18"/>
  <c r="Y12" i="18" s="1"/>
  <c r="D10" i="18"/>
  <c r="Y11" i="18" s="1"/>
  <c r="Y9" i="18"/>
  <c r="X9" i="18"/>
  <c r="D9" i="18"/>
  <c r="B9" i="18" s="1"/>
  <c r="H225" i="17"/>
  <c r="L225" i="17" s="1"/>
  <c r="D225" i="17"/>
  <c r="J225" i="17" s="1"/>
  <c r="I224" i="17"/>
  <c r="F224" i="17"/>
  <c r="G224" i="17" s="1"/>
  <c r="I223" i="17"/>
  <c r="F223" i="17"/>
  <c r="G223" i="17" s="1"/>
  <c r="I222" i="17"/>
  <c r="F222" i="17"/>
  <c r="G222" i="17" s="1"/>
  <c r="I221" i="17"/>
  <c r="F221" i="17"/>
  <c r="G221" i="17" s="1"/>
  <c r="I218" i="17"/>
  <c r="F218" i="17"/>
  <c r="G218" i="17" s="1"/>
  <c r="H215" i="17"/>
  <c r="L215" i="17" s="1"/>
  <c r="D215" i="17"/>
  <c r="J215" i="17" s="1"/>
  <c r="I214" i="17"/>
  <c r="F214" i="17"/>
  <c r="G214" i="17" s="1"/>
  <c r="I213" i="17"/>
  <c r="F213" i="17"/>
  <c r="G213" i="17" s="1"/>
  <c r="I212" i="17"/>
  <c r="F212" i="17"/>
  <c r="G212" i="17" s="1"/>
  <c r="I211" i="17"/>
  <c r="F211" i="17"/>
  <c r="G211" i="17" s="1"/>
  <c r="I210" i="17"/>
  <c r="F210" i="17"/>
  <c r="G210" i="17" s="1"/>
  <c r="H207" i="17"/>
  <c r="L207" i="17" s="1"/>
  <c r="D207" i="17"/>
  <c r="J207" i="17" s="1"/>
  <c r="I206" i="17"/>
  <c r="F206" i="17"/>
  <c r="G206" i="17" s="1"/>
  <c r="I205" i="17"/>
  <c r="F205" i="17"/>
  <c r="G205" i="17" s="1"/>
  <c r="I204" i="17"/>
  <c r="F204" i="17"/>
  <c r="G204" i="17" s="1"/>
  <c r="I203" i="17"/>
  <c r="F203" i="17"/>
  <c r="G203" i="17" s="1"/>
  <c r="I202" i="17"/>
  <c r="F202" i="17"/>
  <c r="G202" i="17" s="1"/>
  <c r="H199" i="17"/>
  <c r="L199" i="17" s="1"/>
  <c r="D199" i="17"/>
  <c r="J199" i="17" s="1"/>
  <c r="I198" i="17"/>
  <c r="F198" i="17"/>
  <c r="G198" i="17" s="1"/>
  <c r="I197" i="17"/>
  <c r="F197" i="17"/>
  <c r="G197" i="17" s="1"/>
  <c r="I196" i="17"/>
  <c r="F196" i="17"/>
  <c r="G196" i="17" s="1"/>
  <c r="I195" i="17"/>
  <c r="F195" i="17"/>
  <c r="G195" i="17" s="1"/>
  <c r="I193" i="17"/>
  <c r="F193" i="17"/>
  <c r="G193" i="17" s="1"/>
  <c r="L190" i="17"/>
  <c r="D190" i="17"/>
  <c r="J190" i="17" s="1"/>
  <c r="I189" i="17"/>
  <c r="F189" i="17"/>
  <c r="G189" i="17" s="1"/>
  <c r="I188" i="17"/>
  <c r="F188" i="17"/>
  <c r="G188" i="17" s="1"/>
  <c r="I183" i="17"/>
  <c r="E241" i="43" s="1"/>
  <c r="F183" i="17"/>
  <c r="G183" i="17" s="1"/>
  <c r="G241" i="43" s="1"/>
  <c r="L180" i="17"/>
  <c r="D180" i="17"/>
  <c r="J180" i="17" s="1"/>
  <c r="I179" i="17"/>
  <c r="F179" i="17"/>
  <c r="G179" i="17" s="1"/>
  <c r="I178" i="17"/>
  <c r="F178" i="17"/>
  <c r="G178" i="17" s="1"/>
  <c r="I175" i="17"/>
  <c r="E239" i="43" s="1"/>
  <c r="F175" i="17"/>
  <c r="G175" i="17" s="1"/>
  <c r="G239" i="43" s="1"/>
  <c r="H172" i="17"/>
  <c r="L172" i="17" s="1"/>
  <c r="D172" i="17"/>
  <c r="J172" i="17" s="1"/>
  <c r="I171" i="17"/>
  <c r="F171" i="17"/>
  <c r="G171" i="17" s="1"/>
  <c r="I170" i="17"/>
  <c r="F170" i="17"/>
  <c r="G170" i="17" s="1"/>
  <c r="I169" i="17"/>
  <c r="F169" i="17"/>
  <c r="G169" i="17" s="1"/>
  <c r="I168" i="17"/>
  <c r="F168" i="17"/>
  <c r="G168" i="17" s="1"/>
  <c r="I167" i="17"/>
  <c r="E238" i="43" s="1"/>
  <c r="F167" i="17"/>
  <c r="G167" i="17" s="1"/>
  <c r="G238" i="43" s="1"/>
  <c r="H164" i="17"/>
  <c r="L164" i="17" s="1"/>
  <c r="D164" i="17"/>
  <c r="J164" i="17" s="1"/>
  <c r="I163" i="17"/>
  <c r="F163" i="17"/>
  <c r="G163" i="17" s="1"/>
  <c r="I162" i="17"/>
  <c r="F162" i="17"/>
  <c r="G162" i="17" s="1"/>
  <c r="I161" i="17"/>
  <c r="F161" i="17"/>
  <c r="G161" i="17" s="1"/>
  <c r="I160" i="17"/>
  <c r="F160" i="17"/>
  <c r="G160" i="17" s="1"/>
  <c r="I159" i="17"/>
  <c r="F159" i="17"/>
  <c r="G159" i="17" s="1"/>
  <c r="I158" i="17"/>
  <c r="E237" i="43" s="1"/>
  <c r="F158" i="17"/>
  <c r="G158" i="17" s="1"/>
  <c r="G237" i="43" s="1"/>
  <c r="H155" i="17"/>
  <c r="L155" i="17" s="1"/>
  <c r="I154" i="17"/>
  <c r="F154" i="17"/>
  <c r="G154" i="17" s="1"/>
  <c r="I153" i="17"/>
  <c r="F153" i="17"/>
  <c r="G153" i="17" s="1"/>
  <c r="I152" i="17"/>
  <c r="F152" i="17"/>
  <c r="G152" i="17" s="1"/>
  <c r="I151" i="17"/>
  <c r="F151" i="17"/>
  <c r="I150" i="17"/>
  <c r="F150" i="17"/>
  <c r="H147" i="17"/>
  <c r="L147" i="17" s="1"/>
  <c r="I146" i="17"/>
  <c r="F146" i="17"/>
  <c r="G146" i="17" s="1"/>
  <c r="I144" i="17"/>
  <c r="F144" i="17"/>
  <c r="G144" i="17" s="1"/>
  <c r="I143" i="17"/>
  <c r="E235" i="43" s="1"/>
  <c r="F143" i="17"/>
  <c r="G143" i="17" s="1"/>
  <c r="G235" i="43" s="1"/>
  <c r="I142" i="17"/>
  <c r="F142" i="17"/>
  <c r="H139" i="17"/>
  <c r="L139" i="17" s="1"/>
  <c r="D139" i="17"/>
  <c r="J139" i="17" s="1"/>
  <c r="I138" i="17"/>
  <c r="F138" i="17"/>
  <c r="G138" i="17" s="1"/>
  <c r="I137" i="17"/>
  <c r="F137" i="17"/>
  <c r="G137" i="17" s="1"/>
  <c r="I136" i="17"/>
  <c r="E234" i="43" s="1"/>
  <c r="F136" i="17"/>
  <c r="G136" i="17" s="1"/>
  <c r="G234" i="43" s="1"/>
  <c r="I135" i="17"/>
  <c r="F135" i="17"/>
  <c r="G135" i="17" s="1"/>
  <c r="G233" i="43" s="1"/>
  <c r="I134" i="17"/>
  <c r="F134" i="17"/>
  <c r="G134" i="17" s="1"/>
  <c r="H131" i="17"/>
  <c r="L131" i="17" s="1"/>
  <c r="D131" i="17"/>
  <c r="J131" i="17" s="1"/>
  <c r="I130" i="17"/>
  <c r="F130" i="17"/>
  <c r="G130" i="17" s="1"/>
  <c r="I129" i="17"/>
  <c r="F129" i="17"/>
  <c r="G129" i="17" s="1"/>
  <c r="I128" i="17"/>
  <c r="F128" i="17"/>
  <c r="G128" i="17" s="1"/>
  <c r="I127" i="17"/>
  <c r="E231" i="43" s="1"/>
  <c r="F127" i="17"/>
  <c r="G127" i="17" s="1"/>
  <c r="I126" i="17"/>
  <c r="E230" i="43" s="1"/>
  <c r="F126" i="17"/>
  <c r="G126" i="17" s="1"/>
  <c r="G230" i="43" s="1"/>
  <c r="I125" i="17"/>
  <c r="E229" i="43" s="1"/>
  <c r="F125" i="17"/>
  <c r="G125" i="17" s="1"/>
  <c r="G229" i="43" s="1"/>
  <c r="I124" i="17"/>
  <c r="E228" i="43" s="1"/>
  <c r="F124" i="17"/>
  <c r="G124" i="17" s="1"/>
  <c r="G228" i="43" s="1"/>
  <c r="H121" i="17"/>
  <c r="L121" i="17" s="1"/>
  <c r="I120" i="17"/>
  <c r="F120" i="17"/>
  <c r="G120" i="17" s="1"/>
  <c r="I119" i="17"/>
  <c r="F119" i="17"/>
  <c r="G119" i="17" s="1"/>
  <c r="I118" i="17"/>
  <c r="F118" i="17"/>
  <c r="G118" i="17" s="1"/>
  <c r="I117" i="17"/>
  <c r="F117" i="17"/>
  <c r="D117" i="17"/>
  <c r="F227" i="43" s="1"/>
  <c r="H114" i="17"/>
  <c r="L114" i="17" s="1"/>
  <c r="I113" i="17"/>
  <c r="F113" i="17"/>
  <c r="G113" i="17" s="1"/>
  <c r="I112" i="17"/>
  <c r="F112" i="17"/>
  <c r="G112" i="17" s="1"/>
  <c r="I111" i="17"/>
  <c r="F111" i="17"/>
  <c r="G111" i="17" s="1"/>
  <c r="I110" i="17"/>
  <c r="E226" i="43" s="1"/>
  <c r="F110" i="17"/>
  <c r="G110" i="17" s="1"/>
  <c r="G226" i="43" s="1"/>
  <c r="I109" i="17"/>
  <c r="E225" i="43" s="1"/>
  <c r="F109" i="17"/>
  <c r="D109" i="17"/>
  <c r="F225" i="43" s="1"/>
  <c r="H106" i="17"/>
  <c r="L106" i="17" s="1"/>
  <c r="I105" i="17"/>
  <c r="F105" i="17"/>
  <c r="G105" i="17" s="1"/>
  <c r="I104" i="17"/>
  <c r="F104" i="17"/>
  <c r="G104" i="17" s="1"/>
  <c r="I103" i="17"/>
  <c r="F103" i="17"/>
  <c r="G103" i="17" s="1"/>
  <c r="I102" i="17"/>
  <c r="E224" i="43" s="1"/>
  <c r="F102" i="17"/>
  <c r="G102" i="17" s="1"/>
  <c r="G224" i="43" s="1"/>
  <c r="I101" i="17"/>
  <c r="F101" i="17"/>
  <c r="D101" i="17"/>
  <c r="F223" i="43" s="1"/>
  <c r="H98" i="17"/>
  <c r="L98" i="17" s="1"/>
  <c r="I97" i="17"/>
  <c r="F97" i="17"/>
  <c r="G97" i="17" s="1"/>
  <c r="I96" i="17"/>
  <c r="F96" i="17"/>
  <c r="G96" i="17" s="1"/>
  <c r="I95" i="17"/>
  <c r="F95" i="17"/>
  <c r="G95" i="17" s="1"/>
  <c r="I94" i="17"/>
  <c r="E222" i="43" s="1"/>
  <c r="F94" i="17"/>
  <c r="G94" i="17" s="1"/>
  <c r="G222" i="43" s="1"/>
  <c r="I93" i="17"/>
  <c r="F93" i="17"/>
  <c r="D93" i="17"/>
  <c r="F221" i="43" s="1"/>
  <c r="H90" i="17"/>
  <c r="L90" i="17" s="1"/>
  <c r="I89" i="17"/>
  <c r="F89" i="17"/>
  <c r="G89" i="17" s="1"/>
  <c r="I88" i="17"/>
  <c r="F88" i="17"/>
  <c r="G88" i="17" s="1"/>
  <c r="I87" i="17"/>
  <c r="F87" i="17"/>
  <c r="G87" i="17" s="1"/>
  <c r="I86" i="17"/>
  <c r="E220" i="43" s="1"/>
  <c r="F86" i="17"/>
  <c r="G86" i="17" s="1"/>
  <c r="G220" i="43" s="1"/>
  <c r="I85" i="17"/>
  <c r="F85" i="17"/>
  <c r="D85" i="17"/>
  <c r="F219" i="43" s="1"/>
  <c r="H82" i="17"/>
  <c r="L82" i="17" s="1"/>
  <c r="D82" i="17"/>
  <c r="J82" i="17" s="1"/>
  <c r="I81" i="17"/>
  <c r="F81" i="17"/>
  <c r="G81" i="17" s="1"/>
  <c r="I80" i="17"/>
  <c r="F80" i="17"/>
  <c r="G80" i="17" s="1"/>
  <c r="I79" i="17"/>
  <c r="F79" i="17"/>
  <c r="G79" i="17" s="1"/>
  <c r="I78" i="17"/>
  <c r="F78" i="17"/>
  <c r="G78" i="17" s="1"/>
  <c r="I77" i="17"/>
  <c r="E218" i="43" s="1"/>
  <c r="F77" i="17"/>
  <c r="G77" i="17" s="1"/>
  <c r="G218" i="43" s="1"/>
  <c r="I76" i="17"/>
  <c r="F76" i="17"/>
  <c r="G76" i="17" s="1"/>
  <c r="H73" i="17"/>
  <c r="L73" i="17" s="1"/>
  <c r="I72" i="17"/>
  <c r="F72" i="17"/>
  <c r="G72" i="17" s="1"/>
  <c r="I71" i="17"/>
  <c r="F71" i="17"/>
  <c r="G71" i="17" s="1"/>
  <c r="I70" i="17"/>
  <c r="F70" i="17"/>
  <c r="G70" i="17" s="1"/>
  <c r="I69" i="17"/>
  <c r="E216" i="43" s="1"/>
  <c r="F69" i="17"/>
  <c r="G69" i="17" s="1"/>
  <c r="G216" i="43" s="1"/>
  <c r="I68" i="17"/>
  <c r="F68" i="17"/>
  <c r="H65" i="17"/>
  <c r="L65" i="17" s="1"/>
  <c r="I64" i="17"/>
  <c r="F64" i="17"/>
  <c r="G64" i="17" s="1"/>
  <c r="I63" i="17"/>
  <c r="F63" i="17"/>
  <c r="G63" i="17" s="1"/>
  <c r="I62" i="17"/>
  <c r="F62" i="17"/>
  <c r="G62" i="17" s="1"/>
  <c r="I61" i="17"/>
  <c r="F61" i="17"/>
  <c r="G61" i="17" s="1"/>
  <c r="I60" i="17"/>
  <c r="F60" i="17"/>
  <c r="D60" i="17"/>
  <c r="H57" i="17"/>
  <c r="L57" i="17" s="1"/>
  <c r="I56" i="17"/>
  <c r="F56" i="17"/>
  <c r="G56" i="17" s="1"/>
  <c r="I55" i="17"/>
  <c r="E213" i="43" s="1"/>
  <c r="F55" i="17"/>
  <c r="G55" i="17" s="1"/>
  <c r="G213" i="43" s="1"/>
  <c r="I54" i="17"/>
  <c r="E212" i="43" s="1"/>
  <c r="F54" i="17"/>
  <c r="G54" i="17" s="1"/>
  <c r="G212" i="43" s="1"/>
  <c r="I53" i="17"/>
  <c r="E211" i="43" s="1"/>
  <c r="F53" i="17"/>
  <c r="G53" i="17" s="1"/>
  <c r="G211" i="43" s="1"/>
  <c r="I52" i="17"/>
  <c r="E210" i="43" s="1"/>
  <c r="F52" i="17"/>
  <c r="G52" i="17" s="1"/>
  <c r="G210" i="43" s="1"/>
  <c r="I51" i="17"/>
  <c r="E209" i="43" s="1"/>
  <c r="F51" i="17"/>
  <c r="D51" i="17"/>
  <c r="I50" i="17"/>
  <c r="F50" i="17"/>
  <c r="D50" i="17"/>
  <c r="H47" i="17"/>
  <c r="L47" i="17" s="1"/>
  <c r="D47" i="17"/>
  <c r="J47" i="17" s="1"/>
  <c r="I46" i="17"/>
  <c r="F46" i="17"/>
  <c r="G46" i="17" s="1"/>
  <c r="I45" i="17"/>
  <c r="E207" i="43" s="1"/>
  <c r="F45" i="17"/>
  <c r="G45" i="17" s="1"/>
  <c r="G207" i="43" s="1"/>
  <c r="I44" i="17"/>
  <c r="E206" i="43" s="1"/>
  <c r="F44" i="17"/>
  <c r="G44" i="17" s="1"/>
  <c r="G206" i="43" s="1"/>
  <c r="I43" i="17"/>
  <c r="E205" i="43" s="1"/>
  <c r="F43" i="17"/>
  <c r="G43" i="17" s="1"/>
  <c r="G205" i="43" s="1"/>
  <c r="I42" i="17"/>
  <c r="E204" i="43" s="1"/>
  <c r="F42" i="17"/>
  <c r="G42" i="17" s="1"/>
  <c r="G204" i="43" s="1"/>
  <c r="I41" i="17"/>
  <c r="E203" i="43" s="1"/>
  <c r="F41" i="17"/>
  <c r="G41" i="17" s="1"/>
  <c r="G203" i="43" s="1"/>
  <c r="I40" i="17"/>
  <c r="F40" i="17"/>
  <c r="G40" i="17" s="1"/>
  <c r="I39" i="17"/>
  <c r="E201" i="43" s="1"/>
  <c r="F39" i="17"/>
  <c r="G39" i="17" s="1"/>
  <c r="G201" i="43" s="1"/>
  <c r="I38" i="17"/>
  <c r="E200" i="43" s="1"/>
  <c r="F38" i="17"/>
  <c r="D38" i="17"/>
  <c r="H35" i="17"/>
  <c r="L35" i="17" s="1"/>
  <c r="D35" i="17"/>
  <c r="J35" i="17" s="1"/>
  <c r="I34" i="17"/>
  <c r="F34" i="17"/>
  <c r="G34" i="17" s="1"/>
  <c r="I33" i="17"/>
  <c r="E199" i="43" s="1"/>
  <c r="F33" i="17"/>
  <c r="G33" i="17" s="1"/>
  <c r="G199" i="43" s="1"/>
  <c r="I32" i="17"/>
  <c r="E198" i="43" s="1"/>
  <c r="F32" i="17"/>
  <c r="G32" i="17" s="1"/>
  <c r="G198" i="43" s="1"/>
  <c r="I31" i="17"/>
  <c r="E197" i="43" s="1"/>
  <c r="F31" i="17"/>
  <c r="G31" i="17" s="1"/>
  <c r="G197" i="43" s="1"/>
  <c r="I30" i="17"/>
  <c r="E196" i="43" s="1"/>
  <c r="F30" i="17"/>
  <c r="G30" i="17" s="1"/>
  <c r="G196" i="43" s="1"/>
  <c r="I29" i="17"/>
  <c r="F29" i="17"/>
  <c r="G29" i="17" s="1"/>
  <c r="H26" i="17"/>
  <c r="L26" i="17" s="1"/>
  <c r="I25" i="17"/>
  <c r="F25" i="17"/>
  <c r="G25" i="17" s="1"/>
  <c r="I24" i="17"/>
  <c r="F24" i="17"/>
  <c r="G24" i="17" s="1"/>
  <c r="I23" i="17"/>
  <c r="F23" i="17"/>
  <c r="G23" i="17" s="1"/>
  <c r="I22" i="17"/>
  <c r="F22" i="17"/>
  <c r="G22" i="17" s="1"/>
  <c r="I21" i="17"/>
  <c r="F21" i="17"/>
  <c r="D21" i="17"/>
  <c r="H18" i="17"/>
  <c r="L18" i="17" s="1"/>
  <c r="D18" i="17"/>
  <c r="J18" i="17" s="1"/>
  <c r="I17" i="17"/>
  <c r="F17" i="17"/>
  <c r="G17" i="17" s="1"/>
  <c r="I16" i="17"/>
  <c r="F16" i="17"/>
  <c r="G16" i="17" s="1"/>
  <c r="I15" i="17"/>
  <c r="F15" i="17"/>
  <c r="G15" i="17" s="1"/>
  <c r="I14" i="17"/>
  <c r="E193" i="43" s="1"/>
  <c r="F14" i="17"/>
  <c r="G14" i="17" s="1"/>
  <c r="G193" i="43" s="1"/>
  <c r="I13" i="17"/>
  <c r="F13" i="17"/>
  <c r="G13" i="17" s="1"/>
  <c r="H10" i="17"/>
  <c r="L10" i="17" s="1"/>
  <c r="I9" i="17"/>
  <c r="F9" i="17"/>
  <c r="G9" i="17" s="1"/>
  <c r="I8" i="17"/>
  <c r="F8" i="17"/>
  <c r="G8" i="17" s="1"/>
  <c r="I7" i="17"/>
  <c r="F7" i="17"/>
  <c r="G7" i="17" s="1"/>
  <c r="I6" i="17"/>
  <c r="E191" i="43" s="1"/>
  <c r="F6" i="17"/>
  <c r="G6" i="17" s="1"/>
  <c r="G191" i="43" s="1"/>
  <c r="I5" i="17"/>
  <c r="E190" i="43" s="1"/>
  <c r="F5" i="17"/>
  <c r="G5" i="17" s="1"/>
  <c r="G190" i="43" s="1"/>
  <c r="I4" i="17"/>
  <c r="F4" i="17"/>
  <c r="D4" i="17"/>
  <c r="E32" i="15"/>
  <c r="Z32" i="15" s="1"/>
  <c r="E31" i="15"/>
  <c r="Z31" i="15" s="1"/>
  <c r="E30" i="15"/>
  <c r="Z30" i="15" s="1"/>
  <c r="E29" i="15"/>
  <c r="Z29" i="15" s="1"/>
  <c r="E28" i="15"/>
  <c r="E27" i="15"/>
  <c r="Z27" i="15" s="1"/>
  <c r="E26" i="15"/>
  <c r="Z26" i="15" s="1"/>
  <c r="E25" i="15"/>
  <c r="Z25" i="15" s="1"/>
  <c r="E24" i="15"/>
  <c r="Z24" i="15" s="1"/>
  <c r="E23" i="15"/>
  <c r="Z23" i="15" s="1"/>
  <c r="E22" i="15"/>
  <c r="Z22" i="15" s="1"/>
  <c r="E21" i="15"/>
  <c r="Z21" i="15" s="1"/>
  <c r="E20" i="15"/>
  <c r="Z20" i="15" s="1"/>
  <c r="E19" i="15"/>
  <c r="Z19" i="15" s="1"/>
  <c r="E18" i="15"/>
  <c r="Z18" i="15" s="1"/>
  <c r="E17" i="15"/>
  <c r="Z17" i="15" s="1"/>
  <c r="E16" i="15"/>
  <c r="Z16" i="15" s="1"/>
  <c r="E15" i="15"/>
  <c r="Z15" i="15" s="1"/>
  <c r="E14" i="15"/>
  <c r="Z14" i="15" s="1"/>
  <c r="E13" i="15"/>
  <c r="Z13" i="15" s="1"/>
  <c r="E12" i="15"/>
  <c r="Z12" i="15" s="1"/>
  <c r="Z11" i="15"/>
  <c r="Y11" i="15"/>
  <c r="B11" i="15"/>
  <c r="E10" i="15"/>
  <c r="Z10" i="15" s="1"/>
  <c r="E9" i="15"/>
  <c r="B9" i="15" s="1"/>
  <c r="H205" i="14"/>
  <c r="L205" i="14" s="1"/>
  <c r="I204" i="14"/>
  <c r="F204" i="14"/>
  <c r="G204" i="14" s="1"/>
  <c r="I203" i="14"/>
  <c r="F203" i="14"/>
  <c r="G203" i="14" s="1"/>
  <c r="I202" i="14"/>
  <c r="F202" i="14"/>
  <c r="G202" i="14" s="1"/>
  <c r="I201" i="14"/>
  <c r="E186" i="43" s="1"/>
  <c r="F201" i="14"/>
  <c r="G201" i="14" s="1"/>
  <c r="G186" i="43" s="1"/>
  <c r="I200" i="14"/>
  <c r="E185" i="43" s="1"/>
  <c r="F200" i="14"/>
  <c r="H197" i="14"/>
  <c r="L197" i="14" s="1"/>
  <c r="I196" i="14"/>
  <c r="F196" i="14"/>
  <c r="G196" i="14" s="1"/>
  <c r="I195" i="14"/>
  <c r="F195" i="14"/>
  <c r="G195" i="14" s="1"/>
  <c r="I194" i="14"/>
  <c r="F194" i="14"/>
  <c r="G194" i="14" s="1"/>
  <c r="I193" i="14"/>
  <c r="F193" i="14"/>
  <c r="G193" i="14" s="1"/>
  <c r="I192" i="14"/>
  <c r="F192" i="14"/>
  <c r="D192" i="14"/>
  <c r="F184" i="43" s="1"/>
  <c r="H189" i="14"/>
  <c r="L189" i="14" s="1"/>
  <c r="D189" i="14"/>
  <c r="J189" i="14" s="1"/>
  <c r="I188" i="14"/>
  <c r="F188" i="14"/>
  <c r="G188" i="14" s="1"/>
  <c r="I187" i="14"/>
  <c r="F187" i="14"/>
  <c r="G187" i="14" s="1"/>
  <c r="I186" i="14"/>
  <c r="E183" i="43" s="1"/>
  <c r="F186" i="14"/>
  <c r="G186" i="14" s="1"/>
  <c r="G183" i="43" s="1"/>
  <c r="I185" i="14"/>
  <c r="E182" i="43" s="1"/>
  <c r="F185" i="14"/>
  <c r="G185" i="14" s="1"/>
  <c r="G182" i="43" s="1"/>
  <c r="I184" i="14"/>
  <c r="F184" i="14"/>
  <c r="G184" i="14" s="1"/>
  <c r="H181" i="14"/>
  <c r="L181" i="14" s="1"/>
  <c r="D181" i="14"/>
  <c r="J181" i="14" s="1"/>
  <c r="I180" i="14"/>
  <c r="F180" i="14"/>
  <c r="G180" i="14" s="1"/>
  <c r="I179" i="14"/>
  <c r="F179" i="14"/>
  <c r="G179" i="14" s="1"/>
  <c r="I178" i="14"/>
  <c r="F178" i="14"/>
  <c r="G178" i="14" s="1"/>
  <c r="I177" i="14"/>
  <c r="F177" i="14"/>
  <c r="G177" i="14" s="1"/>
  <c r="I176" i="14"/>
  <c r="F176" i="14"/>
  <c r="G176" i="14" s="1"/>
  <c r="H173" i="14"/>
  <c r="L173" i="14" s="1"/>
  <c r="I172" i="14"/>
  <c r="F172" i="14"/>
  <c r="G172" i="14" s="1"/>
  <c r="I171" i="14"/>
  <c r="F171" i="14"/>
  <c r="G171" i="14" s="1"/>
  <c r="I170" i="14"/>
  <c r="F170" i="14"/>
  <c r="G170" i="14" s="1"/>
  <c r="I169" i="14"/>
  <c r="F169" i="14"/>
  <c r="G169" i="14" s="1"/>
  <c r="I168" i="14"/>
  <c r="F168" i="14"/>
  <c r="D168" i="14"/>
  <c r="H165" i="14"/>
  <c r="L165" i="14" s="1"/>
  <c r="D165" i="14"/>
  <c r="J165" i="14" s="1"/>
  <c r="I164" i="14"/>
  <c r="F164" i="14"/>
  <c r="G164" i="14" s="1"/>
  <c r="I163" i="14"/>
  <c r="F163" i="14"/>
  <c r="G163" i="14" s="1"/>
  <c r="I162" i="14"/>
  <c r="F162" i="14"/>
  <c r="G162" i="14" s="1"/>
  <c r="I161" i="14"/>
  <c r="E179" i="43" s="1"/>
  <c r="F161" i="14"/>
  <c r="G161" i="14" s="1"/>
  <c r="G179" i="43" s="1"/>
  <c r="I160" i="14"/>
  <c r="F160" i="14"/>
  <c r="G160" i="14" s="1"/>
  <c r="H157" i="14"/>
  <c r="L157" i="14" s="1"/>
  <c r="I156" i="14"/>
  <c r="F156" i="14"/>
  <c r="G156" i="14" s="1"/>
  <c r="I155" i="14"/>
  <c r="F155" i="14"/>
  <c r="G155" i="14" s="1"/>
  <c r="I154" i="14"/>
  <c r="F154" i="14"/>
  <c r="G154" i="14" s="1"/>
  <c r="I153" i="14"/>
  <c r="F153" i="14"/>
  <c r="G153" i="14" s="1"/>
  <c r="I152" i="14"/>
  <c r="E177" i="43" s="1"/>
  <c r="F152" i="14"/>
  <c r="G152" i="14" s="1"/>
  <c r="G177" i="43" s="1"/>
  <c r="I151" i="14"/>
  <c r="F151" i="14"/>
  <c r="I147" i="14"/>
  <c r="F147" i="14"/>
  <c r="G147" i="14" s="1"/>
  <c r="I146" i="14"/>
  <c r="F146" i="14"/>
  <c r="G146" i="14" s="1"/>
  <c r="I145" i="14"/>
  <c r="F145" i="14"/>
  <c r="G145" i="14" s="1"/>
  <c r="I144" i="14"/>
  <c r="F144" i="14"/>
  <c r="G144" i="14" s="1"/>
  <c r="H143" i="14"/>
  <c r="I143" i="14" s="1"/>
  <c r="F143" i="14"/>
  <c r="D143" i="14"/>
  <c r="H140" i="14"/>
  <c r="L140" i="14" s="1"/>
  <c r="D140" i="14"/>
  <c r="J140" i="14" s="1"/>
  <c r="I139" i="14"/>
  <c r="F139" i="14"/>
  <c r="G139" i="14" s="1"/>
  <c r="I138" i="14"/>
  <c r="F138" i="14"/>
  <c r="G138" i="14" s="1"/>
  <c r="I137" i="14"/>
  <c r="F137" i="14"/>
  <c r="G137" i="14" s="1"/>
  <c r="I136" i="14"/>
  <c r="E174" i="43" s="1"/>
  <c r="F136" i="14"/>
  <c r="G136" i="14" s="1"/>
  <c r="G174" i="43" s="1"/>
  <c r="I135" i="14"/>
  <c r="F135" i="14"/>
  <c r="G135" i="14" s="1"/>
  <c r="H132" i="14"/>
  <c r="L132" i="14" s="1"/>
  <c r="I131" i="14"/>
  <c r="F131" i="14"/>
  <c r="G131" i="14" s="1"/>
  <c r="I130" i="14"/>
  <c r="F130" i="14"/>
  <c r="G130" i="14" s="1"/>
  <c r="I129" i="14"/>
  <c r="F129" i="14"/>
  <c r="I128" i="14"/>
  <c r="E172" i="43" s="1"/>
  <c r="F128" i="14"/>
  <c r="G128" i="14" s="1"/>
  <c r="G172" i="43" s="1"/>
  <c r="I127" i="14"/>
  <c r="F127" i="14"/>
  <c r="D127" i="14"/>
  <c r="H124" i="14"/>
  <c r="L124" i="14" s="1"/>
  <c r="D124" i="14"/>
  <c r="J124" i="14" s="1"/>
  <c r="I123" i="14"/>
  <c r="F123" i="14"/>
  <c r="G123" i="14" s="1"/>
  <c r="I122" i="14"/>
  <c r="F122" i="14"/>
  <c r="G122" i="14" s="1"/>
  <c r="I121" i="14"/>
  <c r="F121" i="14"/>
  <c r="G121" i="14" s="1"/>
  <c r="I120" i="14"/>
  <c r="E170" i="43" s="1"/>
  <c r="F120" i="14"/>
  <c r="G120" i="14" s="1"/>
  <c r="G170" i="43" s="1"/>
  <c r="I119" i="14"/>
  <c r="F119" i="14"/>
  <c r="G119" i="14" s="1"/>
  <c r="H116" i="14"/>
  <c r="L116" i="14" s="1"/>
  <c r="D116" i="14"/>
  <c r="J116" i="14" s="1"/>
  <c r="I115" i="14"/>
  <c r="F115" i="14"/>
  <c r="G115" i="14" s="1"/>
  <c r="I114" i="14"/>
  <c r="F114" i="14"/>
  <c r="G114" i="14" s="1"/>
  <c r="I113" i="14"/>
  <c r="F113" i="14"/>
  <c r="G113" i="14" s="1"/>
  <c r="I112" i="14"/>
  <c r="E168" i="43" s="1"/>
  <c r="F112" i="14"/>
  <c r="G112" i="14" s="1"/>
  <c r="I111" i="14"/>
  <c r="F111" i="14"/>
  <c r="H108" i="14"/>
  <c r="L108" i="14" s="1"/>
  <c r="I107" i="14"/>
  <c r="F107" i="14"/>
  <c r="G107" i="14" s="1"/>
  <c r="I106" i="14"/>
  <c r="F106" i="14"/>
  <c r="G106" i="14" s="1"/>
  <c r="I105" i="14"/>
  <c r="E167" i="43" s="1"/>
  <c r="F105" i="14"/>
  <c r="G105" i="14" s="1"/>
  <c r="G167" i="43" s="1"/>
  <c r="I104" i="14"/>
  <c r="E166" i="43" s="1"/>
  <c r="F104" i="14"/>
  <c r="G104" i="14" s="1"/>
  <c r="G166" i="43" s="1"/>
  <c r="I103" i="14"/>
  <c r="F103" i="14"/>
  <c r="D103" i="14"/>
  <c r="H100" i="14"/>
  <c r="L100" i="14" s="1"/>
  <c r="D100" i="14"/>
  <c r="J100" i="14" s="1"/>
  <c r="I99" i="14"/>
  <c r="F99" i="14"/>
  <c r="G99" i="14" s="1"/>
  <c r="I98" i="14"/>
  <c r="F98" i="14"/>
  <c r="G98" i="14" s="1"/>
  <c r="I97" i="14"/>
  <c r="F97" i="14"/>
  <c r="G97" i="14" s="1"/>
  <c r="I96" i="14"/>
  <c r="E164" i="43" s="1"/>
  <c r="F96" i="14"/>
  <c r="G96" i="14" s="1"/>
  <c r="G164" i="43" s="1"/>
  <c r="I95" i="14"/>
  <c r="F95" i="14"/>
  <c r="G95" i="14" s="1"/>
  <c r="H92" i="14"/>
  <c r="L92" i="14" s="1"/>
  <c r="D92" i="14"/>
  <c r="J92" i="14" s="1"/>
  <c r="I91" i="14"/>
  <c r="F91" i="14"/>
  <c r="G91" i="14" s="1"/>
  <c r="I90" i="14"/>
  <c r="F90" i="14"/>
  <c r="G90" i="14" s="1"/>
  <c r="I89" i="14"/>
  <c r="F89" i="14"/>
  <c r="G89" i="14" s="1"/>
  <c r="I88" i="14"/>
  <c r="E162" i="43" s="1"/>
  <c r="F88" i="14"/>
  <c r="G88" i="14" s="1"/>
  <c r="G162" i="43" s="1"/>
  <c r="I87" i="14"/>
  <c r="G87" i="14"/>
  <c r="H84" i="14"/>
  <c r="L84" i="14" s="1"/>
  <c r="I83" i="14"/>
  <c r="F83" i="14"/>
  <c r="G83" i="14" s="1"/>
  <c r="I82" i="14"/>
  <c r="F82" i="14"/>
  <c r="G82" i="14" s="1"/>
  <c r="I81" i="14"/>
  <c r="F81" i="14"/>
  <c r="G81" i="14" s="1"/>
  <c r="I80" i="14"/>
  <c r="F80" i="14"/>
  <c r="G80" i="14" s="1"/>
  <c r="I79" i="14"/>
  <c r="D79" i="14"/>
  <c r="H76" i="14"/>
  <c r="L76" i="14" s="1"/>
  <c r="D76" i="14"/>
  <c r="J76" i="14" s="1"/>
  <c r="I75" i="14"/>
  <c r="F75" i="14"/>
  <c r="G75" i="14" s="1"/>
  <c r="I74" i="14"/>
  <c r="F74" i="14"/>
  <c r="G74" i="14" s="1"/>
  <c r="I73" i="14"/>
  <c r="F73" i="14"/>
  <c r="G73" i="14" s="1"/>
  <c r="I72" i="14"/>
  <c r="F72" i="14"/>
  <c r="G72" i="14" s="1"/>
  <c r="I71" i="14"/>
  <c r="G71" i="14"/>
  <c r="H68" i="14"/>
  <c r="L68" i="14" s="1"/>
  <c r="I67" i="14"/>
  <c r="F67" i="14"/>
  <c r="G67" i="14" s="1"/>
  <c r="I66" i="14"/>
  <c r="F66" i="14"/>
  <c r="G66" i="14" s="1"/>
  <c r="I65" i="14"/>
  <c r="F65" i="14"/>
  <c r="G65" i="14" s="1"/>
  <c r="I63" i="14"/>
  <c r="F63" i="14"/>
  <c r="H60" i="14"/>
  <c r="L60" i="14" s="1"/>
  <c r="I59" i="14"/>
  <c r="F59" i="14"/>
  <c r="G59" i="14" s="1"/>
  <c r="I58" i="14"/>
  <c r="F58" i="14"/>
  <c r="G58" i="14" s="1"/>
  <c r="I57" i="14"/>
  <c r="F57" i="14"/>
  <c r="G57" i="14" s="1"/>
  <c r="I56" i="14"/>
  <c r="F56" i="14"/>
  <c r="G56" i="14" s="1"/>
  <c r="I55" i="14"/>
  <c r="F55" i="14"/>
  <c r="D55" i="14"/>
  <c r="H52" i="14"/>
  <c r="L52" i="14" s="1"/>
  <c r="D52" i="14"/>
  <c r="J52" i="14" s="1"/>
  <c r="I51" i="14"/>
  <c r="F51" i="14"/>
  <c r="G51" i="14" s="1"/>
  <c r="I50" i="14"/>
  <c r="E156" i="43" s="1"/>
  <c r="F50" i="14"/>
  <c r="G50" i="14" s="1"/>
  <c r="G156" i="43" s="1"/>
  <c r="I49" i="14"/>
  <c r="E155" i="43" s="1"/>
  <c r="F49" i="14"/>
  <c r="G49" i="14" s="1"/>
  <c r="G155" i="43" s="1"/>
  <c r="I48" i="14"/>
  <c r="E154" i="43" s="1"/>
  <c r="F48" i="14"/>
  <c r="G48" i="14" s="1"/>
  <c r="G154" i="43" s="1"/>
  <c r="I47" i="14"/>
  <c r="E153" i="43" s="1"/>
  <c r="F47" i="14"/>
  <c r="G47" i="14" s="1"/>
  <c r="G153" i="43" s="1"/>
  <c r="I46" i="14"/>
  <c r="E152" i="43" s="1"/>
  <c r="F46" i="14"/>
  <c r="G46" i="14" s="1"/>
  <c r="G152" i="43" s="1"/>
  <c r="I45" i="14"/>
  <c r="F45" i="14"/>
  <c r="G45" i="14" s="1"/>
  <c r="H42" i="14"/>
  <c r="L42" i="14" s="1"/>
  <c r="D42" i="14"/>
  <c r="J42" i="14" s="1"/>
  <c r="F41" i="14"/>
  <c r="G41" i="14" s="1"/>
  <c r="I40" i="14"/>
  <c r="E150" i="43" s="1"/>
  <c r="F40" i="14"/>
  <c r="G40" i="14" s="1"/>
  <c r="G150" i="43" s="1"/>
  <c r="I39" i="14"/>
  <c r="E149" i="43" s="1"/>
  <c r="F39" i="14"/>
  <c r="G39" i="14" s="1"/>
  <c r="G149" i="43" s="1"/>
  <c r="I38" i="14"/>
  <c r="E148" i="43" s="1"/>
  <c r="F38" i="14"/>
  <c r="G38" i="14" s="1"/>
  <c r="G148" i="43" s="1"/>
  <c r="I37" i="14"/>
  <c r="E147" i="43" s="1"/>
  <c r="F37" i="14"/>
  <c r="G37" i="14" s="1"/>
  <c r="G147" i="43" s="1"/>
  <c r="I36" i="14"/>
  <c r="E146" i="43" s="1"/>
  <c r="F36" i="14"/>
  <c r="G36" i="14" s="1"/>
  <c r="G146" i="43" s="1"/>
  <c r="I35" i="14"/>
  <c r="F35" i="14"/>
  <c r="G35" i="14" s="1"/>
  <c r="I34" i="14"/>
  <c r="E144" i="43" s="1"/>
  <c r="F34" i="14"/>
  <c r="G34" i="14" s="1"/>
  <c r="G144" i="43" s="1"/>
  <c r="I33" i="14"/>
  <c r="E143" i="43" s="1"/>
  <c r="F33" i="14"/>
  <c r="G33" i="14" s="1"/>
  <c r="G143" i="43" s="1"/>
  <c r="H30" i="14"/>
  <c r="L30" i="14" s="1"/>
  <c r="D30" i="14"/>
  <c r="J30" i="14" s="1"/>
  <c r="I29" i="14"/>
  <c r="F29" i="14"/>
  <c r="G29" i="14" s="1"/>
  <c r="I28" i="14"/>
  <c r="F28" i="14"/>
  <c r="G28" i="14" s="1"/>
  <c r="I27" i="14"/>
  <c r="F27" i="14"/>
  <c r="G27" i="14" s="1"/>
  <c r="I26" i="14"/>
  <c r="E142" i="43" s="1"/>
  <c r="F26" i="14"/>
  <c r="G26" i="14" s="1"/>
  <c r="G142" i="43" s="1"/>
  <c r="I25" i="14"/>
  <c r="F25" i="14"/>
  <c r="G25" i="14" s="1"/>
  <c r="H22" i="14"/>
  <c r="L22" i="14" s="1"/>
  <c r="D22" i="14"/>
  <c r="J22" i="14" s="1"/>
  <c r="I21" i="14"/>
  <c r="F21" i="14"/>
  <c r="G21" i="14" s="1"/>
  <c r="I20" i="14"/>
  <c r="F20" i="14"/>
  <c r="G20" i="14" s="1"/>
  <c r="I19" i="14"/>
  <c r="F19" i="14"/>
  <c r="G19" i="14" s="1"/>
  <c r="I18" i="14"/>
  <c r="E141" i="43" s="1"/>
  <c r="F18" i="14"/>
  <c r="G18" i="14" s="1"/>
  <c r="G141" i="43" s="1"/>
  <c r="I17" i="14"/>
  <c r="F17" i="14"/>
  <c r="G17" i="14" s="1"/>
  <c r="H14" i="14"/>
  <c r="L14" i="14" s="1"/>
  <c r="D14" i="14"/>
  <c r="J14" i="14" s="1"/>
  <c r="I13" i="14"/>
  <c r="G13" i="14"/>
  <c r="I12" i="14"/>
  <c r="G12" i="14"/>
  <c r="I11" i="14"/>
  <c r="F11" i="14"/>
  <c r="G11" i="14" s="1"/>
  <c r="I10" i="14"/>
  <c r="E139" i="43" s="1"/>
  <c r="F10" i="14"/>
  <c r="G10" i="14" s="1"/>
  <c r="G139" i="43" s="1"/>
  <c r="I9" i="14"/>
  <c r="E138" i="43" s="1"/>
  <c r="F9" i="14"/>
  <c r="G9" i="14" s="1"/>
  <c r="G138" i="43" s="1"/>
  <c r="I8" i="14"/>
  <c r="E137" i="43" s="1"/>
  <c r="F8" i="14"/>
  <c r="G8" i="14" s="1"/>
  <c r="G137" i="43" s="1"/>
  <c r="I7" i="14"/>
  <c r="F7" i="14"/>
  <c r="G7" i="14" s="1"/>
  <c r="I6" i="14"/>
  <c r="E135" i="43" s="1"/>
  <c r="F6" i="14"/>
  <c r="G6" i="14" s="1"/>
  <c r="G135" i="43" s="1"/>
  <c r="I5" i="14"/>
  <c r="E134" i="43" s="1"/>
  <c r="F5" i="14"/>
  <c r="G5" i="14" s="1"/>
  <c r="G134" i="43" s="1"/>
  <c r="I4" i="14"/>
  <c r="E133" i="43" s="1"/>
  <c r="F4" i="14"/>
  <c r="G4" i="14" s="1"/>
  <c r="G133" i="43" s="1"/>
  <c r="D30" i="12"/>
  <c r="Y30" i="12" s="1"/>
  <c r="D29" i="12"/>
  <c r="Y29" i="12" s="1"/>
  <c r="D28" i="12"/>
  <c r="Y28" i="12" s="1"/>
  <c r="D27" i="12"/>
  <c r="Y27" i="12" s="1"/>
  <c r="D26" i="12"/>
  <c r="Y26" i="12" s="1"/>
  <c r="D25" i="12"/>
  <c r="Y25" i="12" s="1"/>
  <c r="D24" i="12"/>
  <c r="Y24" i="12" s="1"/>
  <c r="D23" i="12"/>
  <c r="Y23" i="12" s="1"/>
  <c r="D22" i="12"/>
  <c r="Y22" i="12" s="1"/>
  <c r="D21" i="12"/>
  <c r="Y21" i="12" s="1"/>
  <c r="D20" i="12"/>
  <c r="Y20" i="12" s="1"/>
  <c r="D19" i="12"/>
  <c r="Y19" i="12" s="1"/>
  <c r="D18" i="12"/>
  <c r="Y18" i="12" s="1"/>
  <c r="D17" i="12"/>
  <c r="Y17" i="12" s="1"/>
  <c r="D16" i="12"/>
  <c r="Y16" i="12" s="1"/>
  <c r="D15" i="12"/>
  <c r="Y15" i="12" s="1"/>
  <c r="D14" i="12"/>
  <c r="Y14" i="12" s="1"/>
  <c r="D13" i="12"/>
  <c r="Y13" i="12" s="1"/>
  <c r="D12" i="12"/>
  <c r="Y12" i="12" s="1"/>
  <c r="D11" i="12"/>
  <c r="Y11" i="12" s="1"/>
  <c r="D10" i="12"/>
  <c r="Y10" i="12" s="1"/>
  <c r="D9" i="12"/>
  <c r="Y9" i="12" s="1"/>
  <c r="D4" i="12"/>
  <c r="C6" i="44" s="1"/>
  <c r="C12" i="52" s="1"/>
  <c r="L199" i="11"/>
  <c r="J199" i="11"/>
  <c r="H199" i="11"/>
  <c r="D199" i="11"/>
  <c r="I198" i="11"/>
  <c r="G198" i="11"/>
  <c r="I197" i="11"/>
  <c r="G197" i="11"/>
  <c r="I196" i="11"/>
  <c r="F196" i="11"/>
  <c r="G196" i="11" s="1"/>
  <c r="I195" i="11"/>
  <c r="F195" i="11"/>
  <c r="G195" i="11" s="1"/>
  <c r="I194" i="11"/>
  <c r="F194" i="11"/>
  <c r="G194" i="11" s="1"/>
  <c r="I193" i="11"/>
  <c r="F193" i="11"/>
  <c r="G193" i="11" s="1"/>
  <c r="L190" i="11"/>
  <c r="J190" i="11"/>
  <c r="H190" i="11"/>
  <c r="D190" i="11"/>
  <c r="I189" i="11"/>
  <c r="F189" i="11"/>
  <c r="G189" i="11" s="1"/>
  <c r="I188" i="11"/>
  <c r="F188" i="11"/>
  <c r="G188" i="11" s="1"/>
  <c r="I187" i="11"/>
  <c r="F187" i="11"/>
  <c r="G187" i="11" s="1"/>
  <c r="I186" i="11"/>
  <c r="F186" i="11"/>
  <c r="G186" i="11" s="1"/>
  <c r="I185" i="11"/>
  <c r="F185" i="11"/>
  <c r="G185" i="11" s="1"/>
  <c r="I184" i="11"/>
  <c r="F184" i="11"/>
  <c r="G184" i="11" s="1"/>
  <c r="L181" i="11"/>
  <c r="J181" i="11"/>
  <c r="H181" i="11"/>
  <c r="D181" i="11"/>
  <c r="I180" i="11"/>
  <c r="F180" i="11"/>
  <c r="G180" i="11" s="1"/>
  <c r="I179" i="11"/>
  <c r="F179" i="11"/>
  <c r="G179" i="11" s="1"/>
  <c r="I178" i="11"/>
  <c r="F178" i="11"/>
  <c r="G178" i="11" s="1"/>
  <c r="I177" i="11"/>
  <c r="F177" i="11"/>
  <c r="G177" i="11" s="1"/>
  <c r="I176" i="11"/>
  <c r="F176" i="11"/>
  <c r="G176" i="11" s="1"/>
  <c r="I175" i="11"/>
  <c r="F175" i="11"/>
  <c r="G175" i="11" s="1"/>
  <c r="L172" i="11"/>
  <c r="J172" i="11"/>
  <c r="H172" i="11"/>
  <c r="D172" i="11"/>
  <c r="I171" i="11"/>
  <c r="F171" i="11"/>
  <c r="G171" i="11" s="1"/>
  <c r="I170" i="11"/>
  <c r="F170" i="11"/>
  <c r="G170" i="11" s="1"/>
  <c r="I169" i="11"/>
  <c r="F169" i="11"/>
  <c r="G169" i="11" s="1"/>
  <c r="I168" i="11"/>
  <c r="F168" i="11"/>
  <c r="G168" i="11" s="1"/>
  <c r="I167" i="11"/>
  <c r="F167" i="11"/>
  <c r="G167" i="11" s="1"/>
  <c r="I166" i="11"/>
  <c r="F166" i="11"/>
  <c r="G166" i="11" s="1"/>
  <c r="L163" i="11"/>
  <c r="J163" i="11"/>
  <c r="H163" i="11"/>
  <c r="D163" i="11"/>
  <c r="I162" i="11"/>
  <c r="F162" i="11"/>
  <c r="G162" i="11" s="1"/>
  <c r="I161" i="11"/>
  <c r="F161" i="11"/>
  <c r="G161" i="11" s="1"/>
  <c r="I160" i="11"/>
  <c r="F160" i="11"/>
  <c r="G160" i="11" s="1"/>
  <c r="I159" i="11"/>
  <c r="F159" i="11"/>
  <c r="G159" i="11" s="1"/>
  <c r="I158" i="11"/>
  <c r="F158" i="11"/>
  <c r="G158" i="11" s="1"/>
  <c r="I157" i="11"/>
  <c r="F157" i="11"/>
  <c r="G157" i="11" s="1"/>
  <c r="L154" i="11"/>
  <c r="J154" i="11"/>
  <c r="H154" i="11"/>
  <c r="D154" i="11"/>
  <c r="I153" i="11"/>
  <c r="F153" i="11"/>
  <c r="G153" i="11" s="1"/>
  <c r="I152" i="11"/>
  <c r="F152" i="11"/>
  <c r="G152" i="11" s="1"/>
  <c r="I151" i="11"/>
  <c r="F151" i="11"/>
  <c r="G151" i="11" s="1"/>
  <c r="I150" i="11"/>
  <c r="F150" i="11"/>
  <c r="G150" i="11" s="1"/>
  <c r="I149" i="11"/>
  <c r="F149" i="11"/>
  <c r="G149" i="11" s="1"/>
  <c r="I148" i="11"/>
  <c r="F148" i="11"/>
  <c r="G148" i="11" s="1"/>
  <c r="L145" i="11"/>
  <c r="J145" i="11"/>
  <c r="H145" i="11"/>
  <c r="D145" i="11"/>
  <c r="I144" i="11"/>
  <c r="F144" i="11"/>
  <c r="G144" i="11" s="1"/>
  <c r="I143" i="11"/>
  <c r="F143" i="11"/>
  <c r="G143" i="11" s="1"/>
  <c r="I142" i="11"/>
  <c r="F142" i="11"/>
  <c r="G142" i="11" s="1"/>
  <c r="I141" i="11"/>
  <c r="F141" i="11"/>
  <c r="G141" i="11" s="1"/>
  <c r="I140" i="11"/>
  <c r="E130" i="43" s="1"/>
  <c r="F140" i="11"/>
  <c r="G140" i="11" s="1"/>
  <c r="G130" i="43" s="1"/>
  <c r="I139" i="11"/>
  <c r="F139" i="11"/>
  <c r="G139" i="11" s="1"/>
  <c r="L136" i="11"/>
  <c r="J136" i="11"/>
  <c r="H136" i="11"/>
  <c r="D136" i="11"/>
  <c r="I135" i="11"/>
  <c r="F135" i="11"/>
  <c r="G135" i="11" s="1"/>
  <c r="I134" i="11"/>
  <c r="F134" i="11"/>
  <c r="G134" i="11" s="1"/>
  <c r="I133" i="11"/>
  <c r="F133" i="11"/>
  <c r="G133" i="11" s="1"/>
  <c r="I132" i="11"/>
  <c r="F132" i="11"/>
  <c r="G132" i="11" s="1"/>
  <c r="I131" i="11"/>
  <c r="F131" i="11"/>
  <c r="G131" i="11" s="1"/>
  <c r="I130" i="11"/>
  <c r="F130" i="11"/>
  <c r="G130" i="11" s="1"/>
  <c r="L127" i="11"/>
  <c r="H127" i="11"/>
  <c r="I126" i="11"/>
  <c r="F126" i="11"/>
  <c r="G126" i="11" s="1"/>
  <c r="I125" i="11"/>
  <c r="F125" i="11"/>
  <c r="G125" i="11" s="1"/>
  <c r="I124" i="11"/>
  <c r="F124" i="11"/>
  <c r="G124" i="11" s="1"/>
  <c r="G127" i="43" s="1"/>
  <c r="I123" i="11"/>
  <c r="E126" i="43" s="1"/>
  <c r="F123" i="11"/>
  <c r="G123" i="11" s="1"/>
  <c r="G126" i="43" s="1"/>
  <c r="I122" i="11"/>
  <c r="E125" i="43" s="1"/>
  <c r="F122" i="11"/>
  <c r="G122" i="11" s="1"/>
  <c r="G125" i="43" s="1"/>
  <c r="I121" i="11"/>
  <c r="F121" i="11"/>
  <c r="D121" i="11"/>
  <c r="L118" i="11"/>
  <c r="H118" i="11"/>
  <c r="I117" i="11"/>
  <c r="F117" i="11"/>
  <c r="G117" i="11" s="1"/>
  <c r="I116" i="11"/>
  <c r="F116" i="11"/>
  <c r="G116" i="11" s="1"/>
  <c r="I115" i="11"/>
  <c r="F115" i="11"/>
  <c r="G115" i="11" s="1"/>
  <c r="I114" i="11"/>
  <c r="F114" i="11"/>
  <c r="G114" i="11" s="1"/>
  <c r="I113" i="11"/>
  <c r="F113" i="11"/>
  <c r="G113" i="11" s="1"/>
  <c r="G123" i="43" s="1"/>
  <c r="I112" i="11"/>
  <c r="F112" i="11"/>
  <c r="D112" i="11"/>
  <c r="L109" i="11"/>
  <c r="H109" i="11"/>
  <c r="I108" i="11"/>
  <c r="F108" i="11"/>
  <c r="G108" i="11" s="1"/>
  <c r="I107" i="11"/>
  <c r="F107" i="11"/>
  <c r="G107" i="11" s="1"/>
  <c r="I106" i="11"/>
  <c r="F106" i="11"/>
  <c r="G106" i="11" s="1"/>
  <c r="I105" i="11"/>
  <c r="F105" i="11"/>
  <c r="G105" i="11" s="1"/>
  <c r="I104" i="11"/>
  <c r="F104" i="11"/>
  <c r="G104" i="11" s="1"/>
  <c r="I103" i="11"/>
  <c r="F103" i="11"/>
  <c r="D103" i="11"/>
  <c r="L100" i="11"/>
  <c r="H100" i="11"/>
  <c r="I99" i="11"/>
  <c r="F99" i="11"/>
  <c r="G99" i="11" s="1"/>
  <c r="I98" i="11"/>
  <c r="F98" i="11"/>
  <c r="G98" i="11" s="1"/>
  <c r="I97" i="11"/>
  <c r="F97" i="11"/>
  <c r="G97" i="11" s="1"/>
  <c r="I96" i="11"/>
  <c r="F96" i="11"/>
  <c r="G96" i="11" s="1"/>
  <c r="I95" i="11"/>
  <c r="E120" i="43" s="1"/>
  <c r="F95" i="11"/>
  <c r="G95" i="11" s="1"/>
  <c r="G120" i="43" s="1"/>
  <c r="I94" i="11"/>
  <c r="F94" i="11"/>
  <c r="D94" i="11"/>
  <c r="L91" i="11"/>
  <c r="H91" i="11"/>
  <c r="I90" i="11"/>
  <c r="F90" i="11"/>
  <c r="G90" i="11" s="1"/>
  <c r="I89" i="11"/>
  <c r="F89" i="11"/>
  <c r="G89" i="11" s="1"/>
  <c r="I88" i="11"/>
  <c r="F88" i="11"/>
  <c r="G88" i="11" s="1"/>
  <c r="I87" i="11"/>
  <c r="F87" i="11"/>
  <c r="G87" i="11" s="1"/>
  <c r="I86" i="11"/>
  <c r="F86" i="11"/>
  <c r="G86" i="11" s="1"/>
  <c r="I85" i="11"/>
  <c r="F85" i="11"/>
  <c r="D85" i="11"/>
  <c r="L82" i="11"/>
  <c r="H82" i="11"/>
  <c r="I81" i="11"/>
  <c r="F81" i="11"/>
  <c r="G81" i="11" s="1"/>
  <c r="I80" i="11"/>
  <c r="F80" i="11"/>
  <c r="G80" i="11" s="1"/>
  <c r="I79" i="11"/>
  <c r="F79" i="11"/>
  <c r="G79" i="11" s="1"/>
  <c r="I78" i="11"/>
  <c r="F78" i="11"/>
  <c r="G78" i="11" s="1"/>
  <c r="I77" i="11"/>
  <c r="E117" i="43" s="1"/>
  <c r="F77" i="11"/>
  <c r="G77" i="11" s="1"/>
  <c r="G117" i="43" s="1"/>
  <c r="I76" i="11"/>
  <c r="F76" i="11"/>
  <c r="L73" i="11"/>
  <c r="H73" i="11"/>
  <c r="I72" i="11"/>
  <c r="F72" i="11"/>
  <c r="G72" i="11" s="1"/>
  <c r="I71" i="11"/>
  <c r="F71" i="11"/>
  <c r="G71" i="11" s="1"/>
  <c r="I70" i="11"/>
  <c r="F70" i="11"/>
  <c r="G70" i="11" s="1"/>
  <c r="I69" i="11"/>
  <c r="F69" i="11"/>
  <c r="G69" i="11" s="1"/>
  <c r="I68" i="11"/>
  <c r="F68" i="11"/>
  <c r="G68" i="11" s="1"/>
  <c r="I67" i="11"/>
  <c r="F67" i="11"/>
  <c r="D67" i="11"/>
  <c r="L64" i="11"/>
  <c r="J64" i="11"/>
  <c r="H64" i="11"/>
  <c r="D64" i="11"/>
  <c r="I63" i="11"/>
  <c r="F63" i="11"/>
  <c r="G63" i="11" s="1"/>
  <c r="I62" i="11"/>
  <c r="F62" i="11"/>
  <c r="G62" i="11" s="1"/>
  <c r="I61" i="11"/>
  <c r="F61" i="11"/>
  <c r="G61" i="11" s="1"/>
  <c r="G114" i="43" s="1"/>
  <c r="I60" i="11"/>
  <c r="E113" i="43" s="1"/>
  <c r="F60" i="11"/>
  <c r="G60" i="11" s="1"/>
  <c r="G113" i="43" s="1"/>
  <c r="I59" i="11"/>
  <c r="E112" i="43" s="1"/>
  <c r="F59" i="11"/>
  <c r="G59" i="11" s="1"/>
  <c r="G112" i="43" s="1"/>
  <c r="I58" i="11"/>
  <c r="F58" i="11"/>
  <c r="G58" i="11" s="1"/>
  <c r="L55" i="11"/>
  <c r="J55" i="11"/>
  <c r="H55" i="11"/>
  <c r="D55" i="11"/>
  <c r="I54" i="11"/>
  <c r="F54" i="11"/>
  <c r="G54" i="11" s="1"/>
  <c r="I53" i="11"/>
  <c r="F53" i="11"/>
  <c r="G53" i="11" s="1"/>
  <c r="I52" i="11"/>
  <c r="F52" i="11"/>
  <c r="G52" i="11" s="1"/>
  <c r="I51" i="11"/>
  <c r="F51" i="11"/>
  <c r="G51" i="11" s="1"/>
  <c r="I50" i="11"/>
  <c r="F50" i="11"/>
  <c r="G50" i="11" s="1"/>
  <c r="I49" i="11"/>
  <c r="F49" i="11"/>
  <c r="G49" i="11" s="1"/>
  <c r="L46" i="11"/>
  <c r="N40" i="11" s="1"/>
  <c r="J46" i="11"/>
  <c r="H46" i="11"/>
  <c r="D46" i="11"/>
  <c r="I45" i="11"/>
  <c r="F45" i="11"/>
  <c r="G45" i="11" s="1"/>
  <c r="I44" i="11"/>
  <c r="F44" i="11"/>
  <c r="G44" i="11" s="1"/>
  <c r="I43" i="11"/>
  <c r="F43" i="11"/>
  <c r="G43" i="11" s="1"/>
  <c r="G109" i="43" s="1"/>
  <c r="I42" i="11"/>
  <c r="E108" i="43" s="1"/>
  <c r="F42" i="11"/>
  <c r="G42" i="11" s="1"/>
  <c r="G108" i="43" s="1"/>
  <c r="I41" i="11"/>
  <c r="E107" i="43" s="1"/>
  <c r="F41" i="11"/>
  <c r="G41" i="11" s="1"/>
  <c r="G107" i="43" s="1"/>
  <c r="I40" i="11"/>
  <c r="F40" i="11"/>
  <c r="G40" i="11" s="1"/>
  <c r="L37" i="11"/>
  <c r="H37" i="11"/>
  <c r="I36" i="11"/>
  <c r="F36" i="11"/>
  <c r="G36" i="11" s="1"/>
  <c r="I35" i="11"/>
  <c r="E105" i="43" s="1"/>
  <c r="F35" i="11"/>
  <c r="G35" i="11" s="1"/>
  <c r="G105" i="43" s="1"/>
  <c r="I34" i="11"/>
  <c r="E104" i="43" s="1"/>
  <c r="F34" i="11"/>
  <c r="G34" i="11" s="1"/>
  <c r="G104" i="43" s="1"/>
  <c r="I33" i="11"/>
  <c r="E103" i="43" s="1"/>
  <c r="F33" i="11"/>
  <c r="G33" i="11" s="1"/>
  <c r="G103" i="43" s="1"/>
  <c r="I32" i="11"/>
  <c r="E102" i="43" s="1"/>
  <c r="F32" i="11"/>
  <c r="G32" i="11" s="1"/>
  <c r="G102" i="43" s="1"/>
  <c r="I31" i="11"/>
  <c r="F31" i="11"/>
  <c r="D31" i="11"/>
  <c r="L28" i="11"/>
  <c r="H28" i="11"/>
  <c r="I27" i="11"/>
  <c r="F27" i="11"/>
  <c r="G27" i="11" s="1"/>
  <c r="I26" i="11"/>
  <c r="F26" i="11"/>
  <c r="G26" i="11" s="1"/>
  <c r="I25" i="11"/>
  <c r="F25" i="11"/>
  <c r="G25" i="11" s="1"/>
  <c r="I24" i="11"/>
  <c r="E100" i="43" s="1"/>
  <c r="F24" i="11"/>
  <c r="G24" i="11" s="1"/>
  <c r="G100" i="43" s="1"/>
  <c r="I23" i="11"/>
  <c r="E99" i="43" s="1"/>
  <c r="F23" i="11"/>
  <c r="G23" i="11" s="1"/>
  <c r="G99" i="43" s="1"/>
  <c r="I22" i="11"/>
  <c r="F22" i="11"/>
  <c r="D22" i="11"/>
  <c r="L19" i="11"/>
  <c r="H19" i="11"/>
  <c r="I18" i="11"/>
  <c r="F18" i="11"/>
  <c r="G18" i="11" s="1"/>
  <c r="I17" i="11"/>
  <c r="F17" i="11"/>
  <c r="G17" i="11" s="1"/>
  <c r="I16" i="11"/>
  <c r="F16" i="11"/>
  <c r="G16" i="11" s="1"/>
  <c r="I15" i="11"/>
  <c r="F15" i="11"/>
  <c r="G15" i="11" s="1"/>
  <c r="I14" i="11"/>
  <c r="E97" i="43" s="1"/>
  <c r="F14" i="11"/>
  <c r="G14" i="11" s="1"/>
  <c r="G97" i="43" s="1"/>
  <c r="I13" i="11"/>
  <c r="F13" i="11"/>
  <c r="D13" i="11"/>
  <c r="L10" i="11"/>
  <c r="H10" i="11"/>
  <c r="I9" i="11"/>
  <c r="F9" i="11"/>
  <c r="G9" i="11" s="1"/>
  <c r="I8" i="11"/>
  <c r="F8" i="11"/>
  <c r="G8" i="11" s="1"/>
  <c r="I7" i="11"/>
  <c r="F7" i="11"/>
  <c r="G7" i="11" s="1"/>
  <c r="I6" i="11"/>
  <c r="F6" i="11"/>
  <c r="G6" i="11" s="1"/>
  <c r="I5" i="11"/>
  <c r="F5" i="11"/>
  <c r="G5" i="11" s="1"/>
  <c r="G95" i="43" s="1"/>
  <c r="I4" i="11"/>
  <c r="F4" i="11"/>
  <c r="D28" i="9"/>
  <c r="Y28" i="9" s="1"/>
  <c r="D27" i="9"/>
  <c r="Y27" i="9" s="1"/>
  <c r="D26" i="9"/>
  <c r="Y26" i="9" s="1"/>
  <c r="D25" i="9"/>
  <c r="Y25" i="9" s="1"/>
  <c r="D24" i="9"/>
  <c r="Y24" i="9" s="1"/>
  <c r="D23" i="9"/>
  <c r="Y23" i="9" s="1"/>
  <c r="D22" i="9"/>
  <c r="Y22" i="9" s="1"/>
  <c r="D21" i="9"/>
  <c r="Y21" i="9" s="1"/>
  <c r="X20" i="9"/>
  <c r="D20" i="9"/>
  <c r="X19" i="9"/>
  <c r="D19" i="9"/>
  <c r="D18" i="9"/>
  <c r="Y18" i="9" s="1"/>
  <c r="D17" i="9"/>
  <c r="Y17" i="9" s="1"/>
  <c r="D16" i="9"/>
  <c r="Y16" i="9" s="1"/>
  <c r="D15" i="9"/>
  <c r="Y15" i="9" s="1"/>
  <c r="D14" i="9"/>
  <c r="Y14" i="9" s="1"/>
  <c r="D13" i="9"/>
  <c r="Y13" i="9" s="1"/>
  <c r="D12" i="9"/>
  <c r="Y12" i="9" s="1"/>
  <c r="D11" i="9"/>
  <c r="Y11" i="9" s="1"/>
  <c r="D10" i="9"/>
  <c r="Y10" i="9" s="1"/>
  <c r="D9" i="9"/>
  <c r="Y9" i="9" s="1"/>
  <c r="D4" i="9"/>
  <c r="C5" i="44" s="1"/>
  <c r="C11" i="52" s="1"/>
  <c r="N199" i="8"/>
  <c r="L199" i="8"/>
  <c r="J199" i="8"/>
  <c r="I198" i="8"/>
  <c r="N198" i="8" s="1"/>
  <c r="H198" i="8"/>
  <c r="G198" i="8"/>
  <c r="D198" i="8"/>
  <c r="N197" i="8"/>
  <c r="L197" i="8"/>
  <c r="J197" i="8"/>
  <c r="N196" i="8"/>
  <c r="L196" i="8"/>
  <c r="J196" i="8"/>
  <c r="N195" i="8"/>
  <c r="L195" i="8"/>
  <c r="J195" i="8"/>
  <c r="N194" i="8"/>
  <c r="L194" i="8"/>
  <c r="J194" i="8"/>
  <c r="N193" i="8"/>
  <c r="L193" i="8"/>
  <c r="J193" i="8"/>
  <c r="N192" i="8"/>
  <c r="L192" i="8"/>
  <c r="J192" i="8"/>
  <c r="N191" i="8"/>
  <c r="L191" i="8"/>
  <c r="J191" i="8"/>
  <c r="N190" i="8"/>
  <c r="L190" i="8"/>
  <c r="J190" i="8"/>
  <c r="N189" i="8"/>
  <c r="L189" i="8"/>
  <c r="J189" i="8"/>
  <c r="N188" i="8"/>
  <c r="L188" i="8"/>
  <c r="J188" i="8"/>
  <c r="N187" i="8"/>
  <c r="L187" i="8"/>
  <c r="J187" i="8"/>
  <c r="N186" i="8"/>
  <c r="L186" i="8"/>
  <c r="J186" i="8"/>
  <c r="N185" i="8"/>
  <c r="L185" i="8"/>
  <c r="J185" i="8"/>
  <c r="N184" i="8"/>
  <c r="L184" i="8"/>
  <c r="J184" i="8"/>
  <c r="N183" i="8"/>
  <c r="L183" i="8"/>
  <c r="J183" i="8"/>
  <c r="N182" i="8"/>
  <c r="L182" i="8"/>
  <c r="J182" i="8"/>
  <c r="N181" i="8"/>
  <c r="L181" i="8"/>
  <c r="J181" i="8"/>
  <c r="N180" i="8"/>
  <c r="L180" i="8"/>
  <c r="J180" i="8"/>
  <c r="N179" i="8"/>
  <c r="L179" i="8"/>
  <c r="J179" i="8"/>
  <c r="L178" i="8"/>
  <c r="J178" i="8"/>
  <c r="I178" i="8"/>
  <c r="N178" i="8" s="1"/>
  <c r="F178" i="8"/>
  <c r="G178" i="8" s="1"/>
  <c r="L177" i="8"/>
  <c r="J177" i="8"/>
  <c r="I177" i="8"/>
  <c r="N177" i="8" s="1"/>
  <c r="F177" i="8"/>
  <c r="G177" i="8" s="1"/>
  <c r="L176" i="8"/>
  <c r="J176" i="8"/>
  <c r="I176" i="8"/>
  <c r="N176" i="8" s="1"/>
  <c r="F176" i="8"/>
  <c r="G176" i="8" s="1"/>
  <c r="N175" i="8"/>
  <c r="L175" i="8"/>
  <c r="J175" i="8"/>
  <c r="N174" i="8"/>
  <c r="L174" i="8"/>
  <c r="J174" i="8"/>
  <c r="N173" i="8"/>
  <c r="L173" i="8"/>
  <c r="J173" i="8"/>
  <c r="N172" i="8"/>
  <c r="L172" i="8"/>
  <c r="J172" i="8"/>
  <c r="N171" i="8"/>
  <c r="L171" i="8"/>
  <c r="J171" i="8"/>
  <c r="L170" i="8"/>
  <c r="J170" i="8"/>
  <c r="I170" i="8"/>
  <c r="N170" i="8" s="1"/>
  <c r="F170" i="8"/>
  <c r="G170" i="8" s="1"/>
  <c r="L169" i="8"/>
  <c r="J169" i="8"/>
  <c r="I169" i="8"/>
  <c r="N169" i="8" s="1"/>
  <c r="F169" i="8"/>
  <c r="G169" i="8" s="1"/>
  <c r="L168" i="8"/>
  <c r="J168" i="8"/>
  <c r="I168" i="8"/>
  <c r="N168" i="8" s="1"/>
  <c r="F168" i="8"/>
  <c r="G168" i="8" s="1"/>
  <c r="N167" i="8"/>
  <c r="L167" i="8"/>
  <c r="J167" i="8"/>
  <c r="N166" i="8"/>
  <c r="L166" i="8"/>
  <c r="J166" i="8"/>
  <c r="N165" i="8"/>
  <c r="L165" i="8"/>
  <c r="J165" i="8"/>
  <c r="L164" i="8"/>
  <c r="J164" i="8"/>
  <c r="H164" i="8"/>
  <c r="L198" i="8" s="1"/>
  <c r="D164" i="8"/>
  <c r="J198" i="8" s="1"/>
  <c r="N163" i="8"/>
  <c r="L163" i="8"/>
  <c r="J163" i="8"/>
  <c r="L162" i="8"/>
  <c r="J162" i="8"/>
  <c r="I162" i="8"/>
  <c r="N162" i="8" s="1"/>
  <c r="F162" i="8"/>
  <c r="G162" i="8" s="1"/>
  <c r="L161" i="8"/>
  <c r="J161" i="8"/>
  <c r="I161" i="8"/>
  <c r="F161" i="8"/>
  <c r="G161" i="8" s="1"/>
  <c r="G91" i="43" s="1"/>
  <c r="L160" i="8"/>
  <c r="D4" i="11" s="1"/>
  <c r="J160" i="8"/>
  <c r="I160" i="8"/>
  <c r="F160" i="8"/>
  <c r="G160" i="8" s="1"/>
  <c r="N159" i="8"/>
  <c r="L159" i="8"/>
  <c r="J159" i="8"/>
  <c r="N157" i="8"/>
  <c r="L157" i="8"/>
  <c r="J157" i="8"/>
  <c r="L156" i="8"/>
  <c r="J156" i="8"/>
  <c r="H156" i="8"/>
  <c r="D156" i="8"/>
  <c r="N155" i="8"/>
  <c r="L155" i="8"/>
  <c r="J155" i="8"/>
  <c r="L154" i="8"/>
  <c r="J154" i="8"/>
  <c r="I154" i="8"/>
  <c r="N154" i="8" s="1"/>
  <c r="F154" i="8"/>
  <c r="G154" i="8" s="1"/>
  <c r="L153" i="8"/>
  <c r="J153" i="8"/>
  <c r="I153" i="8"/>
  <c r="N153" i="8" s="1"/>
  <c r="F153" i="8"/>
  <c r="G153" i="8" s="1"/>
  <c r="L152" i="8"/>
  <c r="J152" i="8"/>
  <c r="I152" i="8"/>
  <c r="F152" i="8"/>
  <c r="G152" i="8" s="1"/>
  <c r="G89" i="43" s="1"/>
  <c r="L151" i="8"/>
  <c r="J151" i="8"/>
  <c r="I151" i="8"/>
  <c r="F151" i="8"/>
  <c r="G151" i="8" s="1"/>
  <c r="N150" i="8"/>
  <c r="L150" i="8"/>
  <c r="J150" i="8"/>
  <c r="N148" i="8"/>
  <c r="L148" i="8"/>
  <c r="J148" i="8"/>
  <c r="L147" i="8"/>
  <c r="J147" i="8"/>
  <c r="H147" i="8"/>
  <c r="D147" i="8"/>
  <c r="N146" i="8"/>
  <c r="L146" i="8"/>
  <c r="J146" i="8"/>
  <c r="L145" i="8"/>
  <c r="J145" i="8"/>
  <c r="I145" i="8"/>
  <c r="N145" i="8" s="1"/>
  <c r="F145" i="8"/>
  <c r="G145" i="8" s="1"/>
  <c r="L144" i="8"/>
  <c r="J144" i="8"/>
  <c r="I144" i="8"/>
  <c r="F144" i="8"/>
  <c r="G144" i="8" s="1"/>
  <c r="G87" i="43" s="1"/>
  <c r="L143" i="8"/>
  <c r="J143" i="8"/>
  <c r="I143" i="8"/>
  <c r="F143" i="8"/>
  <c r="G143" i="8" s="1"/>
  <c r="G86" i="43" s="1"/>
  <c r="L142" i="8"/>
  <c r="J142" i="8"/>
  <c r="I142" i="8"/>
  <c r="F142" i="8"/>
  <c r="G142" i="8" s="1"/>
  <c r="G85" i="43" s="1"/>
  <c r="L141" i="8"/>
  <c r="J141" i="8"/>
  <c r="I141" i="8"/>
  <c r="F141" i="8"/>
  <c r="G141" i="8" s="1"/>
  <c r="G84" i="43" s="1"/>
  <c r="L140" i="8"/>
  <c r="J140" i="8"/>
  <c r="I140" i="8"/>
  <c r="F140" i="8"/>
  <c r="G140" i="8" s="1"/>
  <c r="L139" i="8"/>
  <c r="J139" i="8"/>
  <c r="I139" i="8"/>
  <c r="F139" i="8"/>
  <c r="G139" i="8" s="1"/>
  <c r="N138" i="8"/>
  <c r="L138" i="8"/>
  <c r="J138" i="8"/>
  <c r="N136" i="8"/>
  <c r="L136" i="8"/>
  <c r="J136" i="8"/>
  <c r="L135" i="8"/>
  <c r="H135" i="8"/>
  <c r="N134" i="8"/>
  <c r="L134" i="8"/>
  <c r="J134" i="8"/>
  <c r="L133" i="8"/>
  <c r="J133" i="8"/>
  <c r="I133" i="8"/>
  <c r="N133" i="8" s="1"/>
  <c r="F133" i="8"/>
  <c r="G133" i="8" s="1"/>
  <c r="L132" i="8"/>
  <c r="J132" i="8"/>
  <c r="I132" i="8"/>
  <c r="F132" i="8"/>
  <c r="G132" i="8" s="1"/>
  <c r="G81" i="43" s="1"/>
  <c r="L131" i="8"/>
  <c r="J131" i="8"/>
  <c r="I131" i="8"/>
  <c r="F131" i="8"/>
  <c r="G131" i="8" s="1"/>
  <c r="G80" i="43" s="1"/>
  <c r="L130" i="8"/>
  <c r="I130" i="8"/>
  <c r="F130" i="8"/>
  <c r="N129" i="8"/>
  <c r="L129" i="8"/>
  <c r="J129" i="8"/>
  <c r="N127" i="8"/>
  <c r="L127" i="8"/>
  <c r="J127" i="8"/>
  <c r="L126" i="8"/>
  <c r="H126" i="8"/>
  <c r="N125" i="8"/>
  <c r="L125" i="8"/>
  <c r="J125" i="8"/>
  <c r="L124" i="8"/>
  <c r="D130" i="8" s="1"/>
  <c r="J124" i="8"/>
  <c r="I124" i="8"/>
  <c r="F124" i="8"/>
  <c r="G124" i="8" s="1"/>
  <c r="G78" i="43" s="1"/>
  <c r="L123" i="8"/>
  <c r="J123" i="8"/>
  <c r="I123" i="8"/>
  <c r="F123" i="8"/>
  <c r="G123" i="8" s="1"/>
  <c r="G77" i="43" s="1"/>
  <c r="L122" i="8"/>
  <c r="I122" i="8"/>
  <c r="F122" i="8"/>
  <c r="N121" i="8"/>
  <c r="L121" i="8"/>
  <c r="J121" i="8"/>
  <c r="N119" i="8"/>
  <c r="L119" i="8"/>
  <c r="J119" i="8"/>
  <c r="L118" i="8"/>
  <c r="H118" i="8"/>
  <c r="N117" i="8"/>
  <c r="L117" i="8"/>
  <c r="J117" i="8"/>
  <c r="L116" i="8"/>
  <c r="J116" i="8"/>
  <c r="I116" i="8"/>
  <c r="N116" i="8" s="1"/>
  <c r="F116" i="8"/>
  <c r="G116" i="8" s="1"/>
  <c r="L115" i="8"/>
  <c r="D122" i="8" s="1"/>
  <c r="J115" i="8"/>
  <c r="I115" i="8"/>
  <c r="F115" i="8"/>
  <c r="G115" i="8" s="1"/>
  <c r="G75" i="43" s="1"/>
  <c r="L114" i="8"/>
  <c r="J114" i="8"/>
  <c r="I114" i="8"/>
  <c r="F114" i="8"/>
  <c r="G114" i="8" s="1"/>
  <c r="G74" i="43" s="1"/>
  <c r="L113" i="8"/>
  <c r="I113" i="8"/>
  <c r="F113" i="8"/>
  <c r="N112" i="8"/>
  <c r="L112" i="8"/>
  <c r="J112" i="8"/>
  <c r="N110" i="8"/>
  <c r="L110" i="8"/>
  <c r="J110" i="8"/>
  <c r="L109" i="8"/>
  <c r="H109" i="8"/>
  <c r="N108" i="8"/>
  <c r="L108" i="8"/>
  <c r="J108" i="8"/>
  <c r="L107" i="8"/>
  <c r="J107" i="8"/>
  <c r="I107" i="8"/>
  <c r="N107" i="8" s="1"/>
  <c r="F107" i="8"/>
  <c r="G107" i="8" s="1"/>
  <c r="L106" i="8"/>
  <c r="D113" i="8" s="1"/>
  <c r="J106" i="8"/>
  <c r="I106" i="8"/>
  <c r="F106" i="8"/>
  <c r="G106" i="8" s="1"/>
  <c r="G72" i="43" s="1"/>
  <c r="L105" i="8"/>
  <c r="J105" i="8"/>
  <c r="I105" i="8"/>
  <c r="F105" i="8"/>
  <c r="G105" i="8" s="1"/>
  <c r="G71" i="43" s="1"/>
  <c r="L104" i="8"/>
  <c r="J104" i="8"/>
  <c r="I104" i="8"/>
  <c r="F104" i="8"/>
  <c r="G104" i="8" s="1"/>
  <c r="G70" i="43" s="1"/>
  <c r="L103" i="8"/>
  <c r="I103" i="8"/>
  <c r="F103" i="8"/>
  <c r="N102" i="8"/>
  <c r="L102" i="8"/>
  <c r="J102" i="8"/>
  <c r="N100" i="8"/>
  <c r="L100" i="8"/>
  <c r="J100" i="8"/>
  <c r="L99" i="8"/>
  <c r="H99" i="8"/>
  <c r="N98" i="8"/>
  <c r="L98" i="8"/>
  <c r="J98" i="8"/>
  <c r="L97" i="8"/>
  <c r="J97" i="8"/>
  <c r="I97" i="8"/>
  <c r="N97" i="8" s="1"/>
  <c r="F97" i="8"/>
  <c r="G97" i="8" s="1"/>
  <c r="L96" i="8"/>
  <c r="J96" i="8"/>
  <c r="I96" i="8"/>
  <c r="N96" i="8" s="1"/>
  <c r="F96" i="8"/>
  <c r="G96" i="8" s="1"/>
  <c r="L95" i="8"/>
  <c r="D103" i="8" s="1"/>
  <c r="J95" i="8"/>
  <c r="I95" i="8"/>
  <c r="F95" i="8"/>
  <c r="G95" i="8" s="1"/>
  <c r="G68" i="43" s="1"/>
  <c r="L94" i="8"/>
  <c r="J94" i="8"/>
  <c r="I94" i="8"/>
  <c r="F94" i="8"/>
  <c r="G94" i="8" s="1"/>
  <c r="G67" i="43" s="1"/>
  <c r="L93" i="8"/>
  <c r="I93" i="8"/>
  <c r="F93" i="8"/>
  <c r="N92" i="8"/>
  <c r="L92" i="8"/>
  <c r="J92" i="8"/>
  <c r="N90" i="8"/>
  <c r="L90" i="8"/>
  <c r="J90" i="8"/>
  <c r="L89" i="8"/>
  <c r="H89" i="8"/>
  <c r="D89" i="8"/>
  <c r="N88" i="8"/>
  <c r="L88" i="8"/>
  <c r="J88" i="8"/>
  <c r="L87" i="8"/>
  <c r="J87" i="8"/>
  <c r="I87" i="8"/>
  <c r="N87" i="8" s="1"/>
  <c r="F87" i="8"/>
  <c r="G87" i="8" s="1"/>
  <c r="L86" i="8"/>
  <c r="J86" i="8"/>
  <c r="I86" i="8"/>
  <c r="N86" i="8" s="1"/>
  <c r="F86" i="8"/>
  <c r="G86" i="8" s="1"/>
  <c r="L85" i="8"/>
  <c r="J85" i="8"/>
  <c r="I85" i="8"/>
  <c r="N85" i="8" s="1"/>
  <c r="F85" i="8"/>
  <c r="G85" i="8" s="1"/>
  <c r="L84" i="8"/>
  <c r="D93" i="8" s="1"/>
  <c r="J84" i="8"/>
  <c r="I84" i="8"/>
  <c r="F84" i="8"/>
  <c r="G84" i="8" s="1"/>
  <c r="G65" i="43" s="1"/>
  <c r="L83" i="8"/>
  <c r="J83" i="8"/>
  <c r="I83" i="8"/>
  <c r="F83" i="8"/>
  <c r="G83" i="8" s="1"/>
  <c r="G64" i="43" s="1"/>
  <c r="L82" i="8"/>
  <c r="J82" i="8"/>
  <c r="I82" i="8"/>
  <c r="F82" i="8"/>
  <c r="G82" i="8" s="1"/>
  <c r="L81" i="8"/>
  <c r="I81" i="8"/>
  <c r="F81" i="8"/>
  <c r="N80" i="8"/>
  <c r="L80" i="8"/>
  <c r="J80" i="8"/>
  <c r="N78" i="8"/>
  <c r="L78" i="8"/>
  <c r="J78" i="8"/>
  <c r="L77" i="8"/>
  <c r="H77" i="8"/>
  <c r="N76" i="8"/>
  <c r="L76" i="8"/>
  <c r="J76" i="8"/>
  <c r="L75" i="8"/>
  <c r="J75" i="8"/>
  <c r="I75" i="8"/>
  <c r="N75" i="8" s="1"/>
  <c r="F75" i="8"/>
  <c r="G75" i="8" s="1"/>
  <c r="L74" i="8"/>
  <c r="J74" i="8"/>
  <c r="I74" i="8"/>
  <c r="N74" i="8" s="1"/>
  <c r="F74" i="8"/>
  <c r="G74" i="8" s="1"/>
  <c r="L73" i="8"/>
  <c r="I73" i="8"/>
  <c r="F73" i="8"/>
  <c r="N72" i="8"/>
  <c r="L72" i="8"/>
  <c r="J72" i="8"/>
  <c r="N70" i="8"/>
  <c r="L70" i="8"/>
  <c r="J70" i="8"/>
  <c r="L69" i="8"/>
  <c r="H69" i="8"/>
  <c r="N68" i="8"/>
  <c r="L68" i="8"/>
  <c r="J68" i="8"/>
  <c r="L67" i="8"/>
  <c r="J67" i="8"/>
  <c r="I67" i="8"/>
  <c r="N67" i="8" s="1"/>
  <c r="F67" i="8"/>
  <c r="G67" i="8" s="1"/>
  <c r="L66" i="8"/>
  <c r="D73" i="8" s="1"/>
  <c r="J66" i="8"/>
  <c r="I66" i="8"/>
  <c r="F66" i="8"/>
  <c r="G66" i="8" s="1"/>
  <c r="G60" i="43" s="1"/>
  <c r="L65" i="8"/>
  <c r="I65" i="8"/>
  <c r="F65" i="8"/>
  <c r="N64" i="8"/>
  <c r="L64" i="8"/>
  <c r="J64" i="8"/>
  <c r="N62" i="8"/>
  <c r="L62" i="8"/>
  <c r="J62" i="8"/>
  <c r="L61" i="8"/>
  <c r="H61" i="8"/>
  <c r="N60" i="8"/>
  <c r="L60" i="8"/>
  <c r="J60" i="8"/>
  <c r="L59" i="8"/>
  <c r="J59" i="8"/>
  <c r="I59" i="8"/>
  <c r="N59" i="8" s="1"/>
  <c r="F59" i="8"/>
  <c r="G59" i="8" s="1"/>
  <c r="L58" i="8"/>
  <c r="J58" i="8"/>
  <c r="I58" i="8"/>
  <c r="N58" i="8" s="1"/>
  <c r="F58" i="8"/>
  <c r="G58" i="8" s="1"/>
  <c r="L57" i="8"/>
  <c r="I57" i="8"/>
  <c r="F57" i="8"/>
  <c r="N56" i="8"/>
  <c r="L56" i="8"/>
  <c r="J56" i="8"/>
  <c r="N54" i="8"/>
  <c r="L54" i="8"/>
  <c r="J54" i="8"/>
  <c r="L53" i="8"/>
  <c r="J53" i="8"/>
  <c r="H53" i="8"/>
  <c r="D53" i="8"/>
  <c r="N52" i="8"/>
  <c r="L52" i="8"/>
  <c r="J52" i="8"/>
  <c r="L51" i="8"/>
  <c r="J51" i="8"/>
  <c r="I51" i="8"/>
  <c r="N51" i="8" s="1"/>
  <c r="F51" i="8"/>
  <c r="G51" i="8" s="1"/>
  <c r="L50" i="8"/>
  <c r="D57" i="8" s="1"/>
  <c r="J50" i="8"/>
  <c r="I50" i="8"/>
  <c r="F50" i="8"/>
  <c r="G50" i="8" s="1"/>
  <c r="G57" i="43" s="1"/>
  <c r="L49" i="8"/>
  <c r="J49" i="8"/>
  <c r="I49" i="8"/>
  <c r="F49" i="8"/>
  <c r="G49" i="8" s="1"/>
  <c r="G56" i="43" s="1"/>
  <c r="L48" i="8"/>
  <c r="J48" i="8"/>
  <c r="I48" i="8"/>
  <c r="F48" i="8"/>
  <c r="G48" i="8" s="1"/>
  <c r="N47" i="8"/>
  <c r="L47" i="8"/>
  <c r="J47" i="8"/>
  <c r="N45" i="8"/>
  <c r="L45" i="8"/>
  <c r="J45" i="8"/>
  <c r="L44" i="8"/>
  <c r="J44" i="8"/>
  <c r="H44" i="8"/>
  <c r="D44" i="8"/>
  <c r="N43" i="8"/>
  <c r="L43" i="8"/>
  <c r="J43" i="8"/>
  <c r="L42" i="8"/>
  <c r="J42" i="8"/>
  <c r="I42" i="8"/>
  <c r="N42" i="8" s="1"/>
  <c r="F42" i="8"/>
  <c r="G42" i="8" s="1"/>
  <c r="L41" i="8"/>
  <c r="J41" i="8"/>
  <c r="I41" i="8"/>
  <c r="N41" i="8" s="1"/>
  <c r="F41" i="8"/>
  <c r="G41" i="8" s="1"/>
  <c r="L40" i="8"/>
  <c r="J40" i="8"/>
  <c r="I40" i="8"/>
  <c r="N40" i="8" s="1"/>
  <c r="F40" i="8"/>
  <c r="G40" i="8" s="1"/>
  <c r="L39" i="8"/>
  <c r="J39" i="8"/>
  <c r="I39" i="8"/>
  <c r="F39" i="8"/>
  <c r="G39" i="8" s="1"/>
  <c r="N38" i="8"/>
  <c r="L38" i="8"/>
  <c r="J38" i="8"/>
  <c r="N36" i="8"/>
  <c r="L36" i="8"/>
  <c r="J36" i="8"/>
  <c r="L35" i="8"/>
  <c r="H35" i="8"/>
  <c r="N34" i="8"/>
  <c r="L34" i="8"/>
  <c r="J34" i="8"/>
  <c r="L33" i="8"/>
  <c r="J33" i="8"/>
  <c r="I33" i="8"/>
  <c r="N33" i="8" s="1"/>
  <c r="F33" i="8"/>
  <c r="G33" i="8" s="1"/>
  <c r="L32" i="8"/>
  <c r="J32" i="8"/>
  <c r="I32" i="8"/>
  <c r="F32" i="8"/>
  <c r="G32" i="8" s="1"/>
  <c r="G54" i="43" s="1"/>
  <c r="L31" i="8"/>
  <c r="J31" i="8"/>
  <c r="I31" i="8"/>
  <c r="F31" i="8"/>
  <c r="G31" i="8" s="1"/>
  <c r="G53" i="43" s="1"/>
  <c r="L30" i="8"/>
  <c r="J30" i="8"/>
  <c r="I30" i="8"/>
  <c r="F30" i="8"/>
  <c r="G30" i="8" s="1"/>
  <c r="G52" i="43" s="1"/>
  <c r="L29" i="8"/>
  <c r="I29" i="8"/>
  <c r="F29" i="8"/>
  <c r="N28" i="8"/>
  <c r="L28" i="8"/>
  <c r="J28" i="8"/>
  <c r="N26" i="8"/>
  <c r="L26" i="8"/>
  <c r="J26" i="8"/>
  <c r="L25" i="8"/>
  <c r="H25" i="8"/>
  <c r="N24" i="8"/>
  <c r="L24" i="8"/>
  <c r="J24" i="8"/>
  <c r="L23" i="8"/>
  <c r="J23" i="8"/>
  <c r="I23" i="8"/>
  <c r="N23" i="8" s="1"/>
  <c r="F23" i="8"/>
  <c r="G23" i="8" s="1"/>
  <c r="L22" i="8"/>
  <c r="D29" i="8" s="1"/>
  <c r="J22" i="8"/>
  <c r="I22" i="8"/>
  <c r="F22" i="8"/>
  <c r="G22" i="8" s="1"/>
  <c r="G50" i="43" s="1"/>
  <c r="L21" i="8"/>
  <c r="I21" i="8"/>
  <c r="F21" i="8"/>
  <c r="N20" i="8"/>
  <c r="L20" i="8"/>
  <c r="J20" i="8"/>
  <c r="N18" i="8"/>
  <c r="L18" i="8"/>
  <c r="J18" i="8"/>
  <c r="L17" i="8"/>
  <c r="H17" i="8"/>
  <c r="N16" i="8"/>
  <c r="L16" i="8"/>
  <c r="J16" i="8"/>
  <c r="L15" i="8"/>
  <c r="J15" i="8"/>
  <c r="I15" i="8"/>
  <c r="N15" i="8" s="1"/>
  <c r="F15" i="8"/>
  <c r="G15" i="8" s="1"/>
  <c r="L14" i="8"/>
  <c r="J14" i="8"/>
  <c r="I14" i="8"/>
  <c r="N14" i="8" s="1"/>
  <c r="F14" i="8"/>
  <c r="G14" i="8" s="1"/>
  <c r="L13" i="8"/>
  <c r="I13" i="8"/>
  <c r="F13" i="8"/>
  <c r="N12" i="8"/>
  <c r="L12" i="8"/>
  <c r="J12" i="8"/>
  <c r="N10" i="8"/>
  <c r="L10" i="8"/>
  <c r="J10" i="8"/>
  <c r="L9" i="8"/>
  <c r="H9" i="8"/>
  <c r="N8" i="8"/>
  <c r="L8" i="8"/>
  <c r="J8" i="8"/>
  <c r="L7" i="8"/>
  <c r="J7" i="8"/>
  <c r="I7" i="8"/>
  <c r="N7" i="8" s="1"/>
  <c r="F7" i="8"/>
  <c r="G7" i="8" s="1"/>
  <c r="L6" i="8"/>
  <c r="D13" i="8" s="1"/>
  <c r="J6" i="8"/>
  <c r="I6" i="8"/>
  <c r="F6" i="8"/>
  <c r="G6" i="8" s="1"/>
  <c r="G47" i="43" s="1"/>
  <c r="L5" i="8"/>
  <c r="I5" i="8"/>
  <c r="F5" i="8"/>
  <c r="N4" i="8"/>
  <c r="L4" i="8"/>
  <c r="D30" i="6"/>
  <c r="Y30" i="6" s="1"/>
  <c r="D29" i="6"/>
  <c r="Y29" i="6" s="1"/>
  <c r="D28" i="6"/>
  <c r="Y28" i="6" s="1"/>
  <c r="D27" i="6"/>
  <c r="Y27" i="6" s="1"/>
  <c r="D26" i="6"/>
  <c r="Y26" i="6" s="1"/>
  <c r="X25" i="6"/>
  <c r="D25" i="6"/>
  <c r="D24" i="6"/>
  <c r="Y24" i="6" s="1"/>
  <c r="X23" i="6"/>
  <c r="D23" i="6"/>
  <c r="D22" i="6"/>
  <c r="Y22" i="6" s="1"/>
  <c r="D21" i="6"/>
  <c r="Y21" i="6" s="1"/>
  <c r="D20" i="6"/>
  <c r="Y20" i="6" s="1"/>
  <c r="D19" i="6"/>
  <c r="Y19" i="6" s="1"/>
  <c r="D18" i="6"/>
  <c r="Y18" i="6" s="1"/>
  <c r="D17" i="6"/>
  <c r="Y17" i="6" s="1"/>
  <c r="D16" i="6"/>
  <c r="Y16" i="6" s="1"/>
  <c r="D15" i="6"/>
  <c r="Y15" i="6" s="1"/>
  <c r="D14" i="6"/>
  <c r="Y14" i="6" s="1"/>
  <c r="D13" i="6"/>
  <c r="Y13" i="6" s="1"/>
  <c r="D12" i="6"/>
  <c r="Y12" i="6" s="1"/>
  <c r="D11" i="6"/>
  <c r="Y11" i="6" s="1"/>
  <c r="X10" i="6"/>
  <c r="D10" i="6"/>
  <c r="Y9" i="6"/>
  <c r="X9" i="6"/>
  <c r="D9" i="6"/>
  <c r="E9" i="6" s="1"/>
  <c r="D4" i="6"/>
  <c r="C4" i="44" s="1"/>
  <c r="C10" i="52" s="1"/>
  <c r="N199" i="5"/>
  <c r="L199" i="5"/>
  <c r="J199" i="5"/>
  <c r="L198" i="5"/>
  <c r="I198" i="5"/>
  <c r="N198" i="5" s="1"/>
  <c r="H198" i="5"/>
  <c r="G198" i="5"/>
  <c r="D198" i="5"/>
  <c r="N197" i="5"/>
  <c r="L197" i="5"/>
  <c r="J197" i="5"/>
  <c r="N196" i="5"/>
  <c r="L196" i="5"/>
  <c r="J196" i="5"/>
  <c r="N195" i="5"/>
  <c r="L195" i="5"/>
  <c r="J195" i="5"/>
  <c r="N194" i="5"/>
  <c r="L194" i="5"/>
  <c r="J194" i="5"/>
  <c r="N193" i="5"/>
  <c r="L193" i="5"/>
  <c r="J193" i="5"/>
  <c r="N192" i="5"/>
  <c r="L192" i="5"/>
  <c r="J192" i="5"/>
  <c r="N191" i="5"/>
  <c r="L191" i="5"/>
  <c r="J191" i="5"/>
  <c r="N190" i="5"/>
  <c r="L190" i="5"/>
  <c r="J190" i="5"/>
  <c r="N189" i="5"/>
  <c r="L189" i="5"/>
  <c r="J189" i="5"/>
  <c r="N188" i="5"/>
  <c r="L188" i="5"/>
  <c r="J188" i="5"/>
  <c r="N187" i="5"/>
  <c r="L187" i="5"/>
  <c r="J187" i="5"/>
  <c r="N186" i="5"/>
  <c r="L186" i="5"/>
  <c r="J186" i="5"/>
  <c r="N185" i="5"/>
  <c r="L185" i="5"/>
  <c r="J185" i="5"/>
  <c r="N184" i="5"/>
  <c r="L184" i="5"/>
  <c r="J184" i="5"/>
  <c r="N183" i="5"/>
  <c r="L183" i="5"/>
  <c r="J183" i="5"/>
  <c r="N182" i="5"/>
  <c r="L182" i="5"/>
  <c r="J182" i="5"/>
  <c r="N181" i="5"/>
  <c r="L181" i="5"/>
  <c r="J181" i="5"/>
  <c r="N180" i="5"/>
  <c r="L180" i="5"/>
  <c r="J180" i="5"/>
  <c r="N179" i="5"/>
  <c r="L179" i="5"/>
  <c r="J179" i="5"/>
  <c r="N178" i="5"/>
  <c r="L178" i="5"/>
  <c r="J178" i="5"/>
  <c r="N177" i="5"/>
  <c r="L177" i="5"/>
  <c r="J177" i="5"/>
  <c r="L176" i="5"/>
  <c r="J176" i="5"/>
  <c r="I176" i="5"/>
  <c r="N176" i="5" s="1"/>
  <c r="F176" i="5"/>
  <c r="G176" i="5" s="1"/>
  <c r="L175" i="5"/>
  <c r="J175" i="5"/>
  <c r="I175" i="5"/>
  <c r="N175" i="5" s="1"/>
  <c r="F175" i="5"/>
  <c r="G175" i="5" s="1"/>
  <c r="L174" i="5"/>
  <c r="D5" i="8" s="1"/>
  <c r="J174" i="5"/>
  <c r="I174" i="5"/>
  <c r="F174" i="5"/>
  <c r="G174" i="5" s="1"/>
  <c r="G43" i="43" s="1"/>
  <c r="L173" i="5"/>
  <c r="I173" i="5"/>
  <c r="F173" i="5"/>
  <c r="N172" i="5"/>
  <c r="L172" i="5"/>
  <c r="J172" i="5"/>
  <c r="N170" i="5"/>
  <c r="L170" i="5"/>
  <c r="J170" i="5"/>
  <c r="L169" i="5"/>
  <c r="J169" i="5"/>
  <c r="H169" i="5"/>
  <c r="D169" i="5"/>
  <c r="L168" i="5"/>
  <c r="J168" i="5"/>
  <c r="I168" i="5"/>
  <c r="N168" i="5" s="1"/>
  <c r="F168" i="5"/>
  <c r="G168" i="5" s="1"/>
  <c r="L167" i="5"/>
  <c r="D173" i="5" s="1"/>
  <c r="J167" i="5"/>
  <c r="I167" i="5"/>
  <c r="F167" i="5"/>
  <c r="G167" i="5" s="1"/>
  <c r="G41" i="43" s="1"/>
  <c r="L166" i="5"/>
  <c r="J166" i="5"/>
  <c r="I166" i="5"/>
  <c r="F166" i="5"/>
  <c r="G166" i="5" s="1"/>
  <c r="G40" i="43" s="1"/>
  <c r="L165" i="5"/>
  <c r="J165" i="5"/>
  <c r="I165" i="5"/>
  <c r="F165" i="5"/>
  <c r="G165" i="5" s="1"/>
  <c r="G39" i="43" s="1"/>
  <c r="L164" i="5"/>
  <c r="J164" i="5"/>
  <c r="I164" i="5"/>
  <c r="F164" i="5"/>
  <c r="G164" i="5" s="1"/>
  <c r="N162" i="5"/>
  <c r="L162" i="5"/>
  <c r="J162" i="5"/>
  <c r="L161" i="5"/>
  <c r="J161" i="5"/>
  <c r="H161" i="5"/>
  <c r="D161" i="5"/>
  <c r="N160" i="5"/>
  <c r="L160" i="5"/>
  <c r="J160" i="5"/>
  <c r="L159" i="5"/>
  <c r="J159" i="5"/>
  <c r="I159" i="5"/>
  <c r="N159" i="5" s="1"/>
  <c r="F159" i="5"/>
  <c r="G159" i="5" s="1"/>
  <c r="L158" i="5"/>
  <c r="J158" i="5"/>
  <c r="I158" i="5"/>
  <c r="N158" i="5" s="1"/>
  <c r="F158" i="5"/>
  <c r="G158" i="5" s="1"/>
  <c r="L157" i="5"/>
  <c r="J157" i="5"/>
  <c r="I157" i="5"/>
  <c r="N157" i="5" s="1"/>
  <c r="F157" i="5"/>
  <c r="G157" i="5" s="1"/>
  <c r="L156" i="5"/>
  <c r="J156" i="5"/>
  <c r="I156" i="5"/>
  <c r="N156" i="5" s="1"/>
  <c r="F156" i="5"/>
  <c r="G156" i="5" s="1"/>
  <c r="L155" i="5"/>
  <c r="J155" i="5"/>
  <c r="I155" i="5"/>
  <c r="N155" i="5" s="1"/>
  <c r="F155" i="5"/>
  <c r="G155" i="5" s="1"/>
  <c r="L154" i="5"/>
  <c r="J154" i="5"/>
  <c r="I154" i="5"/>
  <c r="F154" i="5"/>
  <c r="G154" i="5" s="1"/>
  <c r="N153" i="5"/>
  <c r="L153" i="5"/>
  <c r="J153" i="5"/>
  <c r="N151" i="5"/>
  <c r="L151" i="5"/>
  <c r="J151" i="5"/>
  <c r="L150" i="5"/>
  <c r="H150" i="5"/>
  <c r="N149" i="5"/>
  <c r="L149" i="5"/>
  <c r="J149" i="5"/>
  <c r="L148" i="5"/>
  <c r="J148" i="5"/>
  <c r="I148" i="5"/>
  <c r="N148" i="5" s="1"/>
  <c r="F148" i="5"/>
  <c r="G148" i="5" s="1"/>
  <c r="L147" i="5"/>
  <c r="J147" i="5"/>
  <c r="I147" i="5"/>
  <c r="N147" i="5" s="1"/>
  <c r="F147" i="5"/>
  <c r="G147" i="5" s="1"/>
  <c r="L146" i="5"/>
  <c r="I146" i="5"/>
  <c r="F146" i="5"/>
  <c r="N145" i="5"/>
  <c r="L145" i="5"/>
  <c r="J145" i="5"/>
  <c r="N143" i="5"/>
  <c r="L143" i="5"/>
  <c r="J143" i="5"/>
  <c r="L142" i="5"/>
  <c r="J142" i="5"/>
  <c r="H142" i="5"/>
  <c r="D142" i="5"/>
  <c r="N141" i="5"/>
  <c r="L141" i="5"/>
  <c r="J141" i="5"/>
  <c r="L140" i="5"/>
  <c r="J140" i="5"/>
  <c r="I140" i="5"/>
  <c r="N140" i="5" s="1"/>
  <c r="F140" i="5"/>
  <c r="G140" i="5" s="1"/>
  <c r="L139" i="5"/>
  <c r="D146" i="5" s="1"/>
  <c r="J139" i="5"/>
  <c r="I139" i="5"/>
  <c r="F139" i="5"/>
  <c r="G139" i="5" s="1"/>
  <c r="G37" i="43" s="1"/>
  <c r="L138" i="5"/>
  <c r="J138" i="5"/>
  <c r="I138" i="5"/>
  <c r="F138" i="5"/>
  <c r="G138" i="5" s="1"/>
  <c r="G36" i="43" s="1"/>
  <c r="L137" i="5"/>
  <c r="J137" i="5"/>
  <c r="I137" i="5"/>
  <c r="F137" i="5"/>
  <c r="G137" i="5" s="1"/>
  <c r="G35" i="43" s="1"/>
  <c r="L136" i="5"/>
  <c r="J136" i="5"/>
  <c r="I136" i="5"/>
  <c r="F136" i="5"/>
  <c r="G136" i="5" s="1"/>
  <c r="N135" i="5"/>
  <c r="L135" i="5"/>
  <c r="J135" i="5"/>
  <c r="N133" i="5"/>
  <c r="L133" i="5"/>
  <c r="J133" i="5"/>
  <c r="L132" i="5"/>
  <c r="H132" i="5"/>
  <c r="D132" i="5"/>
  <c r="N131" i="5"/>
  <c r="L131" i="5"/>
  <c r="J131" i="5"/>
  <c r="L130" i="5"/>
  <c r="J130" i="5"/>
  <c r="I130" i="5"/>
  <c r="N130" i="5" s="1"/>
  <c r="F130" i="5"/>
  <c r="G130" i="5" s="1"/>
  <c r="L129" i="5"/>
  <c r="J129" i="5"/>
  <c r="I129" i="5"/>
  <c r="F129" i="5"/>
  <c r="G129" i="5" s="1"/>
  <c r="G34" i="43" s="1"/>
  <c r="L128" i="5"/>
  <c r="J128" i="5"/>
  <c r="I128" i="5"/>
  <c r="F128" i="5"/>
  <c r="G128" i="5" s="1"/>
  <c r="G33" i="43" s="1"/>
  <c r="L127" i="5"/>
  <c r="J127" i="5"/>
  <c r="I127" i="5"/>
  <c r="F127" i="5"/>
  <c r="G127" i="5" s="1"/>
  <c r="G32" i="43" s="1"/>
  <c r="L126" i="5"/>
  <c r="J126" i="5"/>
  <c r="I126" i="5"/>
  <c r="F126" i="5"/>
  <c r="G126" i="5" s="1"/>
  <c r="G31" i="43" s="1"/>
  <c r="L125" i="5"/>
  <c r="J125" i="5"/>
  <c r="I125" i="5"/>
  <c r="F125" i="5"/>
  <c r="G125" i="5" s="1"/>
  <c r="L124" i="5"/>
  <c r="I124" i="5"/>
  <c r="F124" i="5"/>
  <c r="N123" i="5"/>
  <c r="L123" i="5"/>
  <c r="J123" i="5"/>
  <c r="N121" i="5"/>
  <c r="L121" i="5"/>
  <c r="J121" i="5"/>
  <c r="L120" i="5"/>
  <c r="H120" i="5"/>
  <c r="N119" i="5"/>
  <c r="L119" i="5"/>
  <c r="J119" i="5"/>
  <c r="L118" i="5"/>
  <c r="J118" i="5"/>
  <c r="I118" i="5"/>
  <c r="F118" i="5"/>
  <c r="G118" i="5" s="1"/>
  <c r="L117" i="5"/>
  <c r="J117" i="5"/>
  <c r="I117" i="5"/>
  <c r="N117" i="5" s="1"/>
  <c r="F117" i="5"/>
  <c r="G117" i="5" s="1"/>
  <c r="L116" i="5"/>
  <c r="D124" i="5" s="1"/>
  <c r="J116" i="5"/>
  <c r="I116" i="5"/>
  <c r="F116" i="5"/>
  <c r="G116" i="5" s="1"/>
  <c r="G28" i="43" s="1"/>
  <c r="L115" i="5"/>
  <c r="J115" i="5"/>
  <c r="I115" i="5"/>
  <c r="F115" i="5"/>
  <c r="G115" i="5" s="1"/>
  <c r="G27" i="43" s="1"/>
  <c r="L114" i="5"/>
  <c r="I114" i="5"/>
  <c r="F114" i="5"/>
  <c r="N113" i="5"/>
  <c r="L113" i="5"/>
  <c r="J113" i="5"/>
  <c r="N111" i="5"/>
  <c r="L111" i="5"/>
  <c r="J111" i="5"/>
  <c r="L110" i="5"/>
  <c r="J110" i="5"/>
  <c r="H110" i="5"/>
  <c r="D110" i="5"/>
  <c r="N109" i="5"/>
  <c r="L109" i="5"/>
  <c r="J109" i="5"/>
  <c r="L108" i="5"/>
  <c r="J108" i="5"/>
  <c r="I108" i="5"/>
  <c r="N108" i="5" s="1"/>
  <c r="F108" i="5"/>
  <c r="G108" i="5" s="1"/>
  <c r="L107" i="5"/>
  <c r="D114" i="5" s="1"/>
  <c r="J107" i="5"/>
  <c r="I107" i="5"/>
  <c r="F107" i="5"/>
  <c r="G107" i="5" s="1"/>
  <c r="G25" i="43" s="1"/>
  <c r="L106" i="5"/>
  <c r="J106" i="5"/>
  <c r="I106" i="5"/>
  <c r="F106" i="5"/>
  <c r="G106" i="5" s="1"/>
  <c r="N105" i="5"/>
  <c r="L105" i="5"/>
  <c r="J105" i="5"/>
  <c r="N103" i="5"/>
  <c r="L103" i="5"/>
  <c r="J103" i="5"/>
  <c r="L102" i="5"/>
  <c r="H102" i="5"/>
  <c r="N101" i="5"/>
  <c r="L101" i="5"/>
  <c r="J101" i="5"/>
  <c r="L100" i="5"/>
  <c r="J100" i="5"/>
  <c r="I100" i="5"/>
  <c r="N100" i="5" s="1"/>
  <c r="F100" i="5"/>
  <c r="G100" i="5" s="1"/>
  <c r="L99" i="5"/>
  <c r="J99" i="5"/>
  <c r="I99" i="5"/>
  <c r="N99" i="5" s="1"/>
  <c r="F99" i="5"/>
  <c r="G99" i="5" s="1"/>
  <c r="L98" i="5"/>
  <c r="J98" i="5"/>
  <c r="I98" i="5"/>
  <c r="F98" i="5"/>
  <c r="G98" i="5" s="1"/>
  <c r="G23" i="43" s="1"/>
  <c r="L97" i="5"/>
  <c r="J97" i="5"/>
  <c r="I97" i="5"/>
  <c r="F97" i="5"/>
  <c r="G97" i="5" s="1"/>
  <c r="G22" i="43" s="1"/>
  <c r="L96" i="5"/>
  <c r="I96" i="5"/>
  <c r="F96" i="5"/>
  <c r="N95" i="5"/>
  <c r="L95" i="5"/>
  <c r="J95" i="5"/>
  <c r="N93" i="5"/>
  <c r="L93" i="5"/>
  <c r="J93" i="5"/>
  <c r="L92" i="5"/>
  <c r="H92" i="5"/>
  <c r="N91" i="5"/>
  <c r="L91" i="5"/>
  <c r="J91" i="5"/>
  <c r="L90" i="5"/>
  <c r="J90" i="5"/>
  <c r="I90" i="5"/>
  <c r="N90" i="5" s="1"/>
  <c r="F90" i="5"/>
  <c r="G90" i="5" s="1"/>
  <c r="L89" i="5"/>
  <c r="J89" i="5"/>
  <c r="I89" i="5"/>
  <c r="N89" i="5" s="1"/>
  <c r="F89" i="5"/>
  <c r="G89" i="5" s="1"/>
  <c r="L88" i="5"/>
  <c r="D96" i="5" s="1"/>
  <c r="J88" i="5"/>
  <c r="I88" i="5"/>
  <c r="F88" i="5"/>
  <c r="G88" i="5" s="1"/>
  <c r="G20" i="43" s="1"/>
  <c r="L87" i="5"/>
  <c r="J87" i="5"/>
  <c r="I87" i="5"/>
  <c r="F87" i="5"/>
  <c r="G87" i="5" s="1"/>
  <c r="G19" i="43" s="1"/>
  <c r="L86" i="5"/>
  <c r="I86" i="5"/>
  <c r="F86" i="5"/>
  <c r="N85" i="5"/>
  <c r="L85" i="5"/>
  <c r="J85" i="5"/>
  <c r="N83" i="5"/>
  <c r="L83" i="5"/>
  <c r="J83" i="5"/>
  <c r="L82" i="5"/>
  <c r="H82" i="5"/>
  <c r="N81" i="5"/>
  <c r="L81" i="5"/>
  <c r="J81" i="5"/>
  <c r="L80" i="5"/>
  <c r="J80" i="5"/>
  <c r="I80" i="5"/>
  <c r="N80" i="5" s="1"/>
  <c r="F80" i="5"/>
  <c r="G80" i="5" s="1"/>
  <c r="L79" i="5"/>
  <c r="D86" i="5" s="1"/>
  <c r="J79" i="5"/>
  <c r="I79" i="5"/>
  <c r="F79" i="5"/>
  <c r="G79" i="5" s="1"/>
  <c r="G17" i="43" s="1"/>
  <c r="L78" i="5"/>
  <c r="I78" i="5"/>
  <c r="F78" i="5"/>
  <c r="N77" i="5"/>
  <c r="L77" i="5"/>
  <c r="J77" i="5"/>
  <c r="N75" i="5"/>
  <c r="L75" i="5"/>
  <c r="J75" i="5"/>
  <c r="L74" i="5"/>
  <c r="J74" i="5"/>
  <c r="H74" i="5"/>
  <c r="D74" i="5"/>
  <c r="N73" i="5"/>
  <c r="L73" i="5"/>
  <c r="J73" i="5"/>
  <c r="L72" i="5"/>
  <c r="J72" i="5"/>
  <c r="I72" i="5"/>
  <c r="N72" i="5" s="1"/>
  <c r="F72" i="5"/>
  <c r="G72" i="5" s="1"/>
  <c r="L71" i="5"/>
  <c r="J71" i="5"/>
  <c r="I71" i="5"/>
  <c r="N71" i="5" s="1"/>
  <c r="F71" i="5"/>
  <c r="G71" i="5" s="1"/>
  <c r="L70" i="5"/>
  <c r="D78" i="5" s="1"/>
  <c r="J70" i="5"/>
  <c r="I70" i="5"/>
  <c r="F70" i="5"/>
  <c r="G70" i="5" s="1"/>
  <c r="G15" i="43" s="1"/>
  <c r="L69" i="5"/>
  <c r="J69" i="5"/>
  <c r="I69" i="5"/>
  <c r="F69" i="5"/>
  <c r="G69" i="5" s="1"/>
  <c r="N68" i="5"/>
  <c r="L68" i="5"/>
  <c r="J68" i="5"/>
  <c r="N66" i="5"/>
  <c r="L66" i="5"/>
  <c r="J66" i="5"/>
  <c r="L65" i="5"/>
  <c r="H65" i="5"/>
  <c r="N64" i="5"/>
  <c r="L64" i="5"/>
  <c r="J64" i="5"/>
  <c r="L63" i="5"/>
  <c r="J63" i="5"/>
  <c r="I63" i="5"/>
  <c r="N63" i="5" s="1"/>
  <c r="F63" i="5"/>
  <c r="G63" i="5" s="1"/>
  <c r="L62" i="5"/>
  <c r="J62" i="5"/>
  <c r="I62" i="5"/>
  <c r="N62" i="5" s="1"/>
  <c r="F62" i="5"/>
  <c r="G62" i="5" s="1"/>
  <c r="L61" i="5"/>
  <c r="I61" i="5"/>
  <c r="F61" i="5"/>
  <c r="N60" i="5"/>
  <c r="L60" i="5"/>
  <c r="J60" i="5"/>
  <c r="N58" i="5"/>
  <c r="L58" i="5"/>
  <c r="J58" i="5"/>
  <c r="L57" i="5"/>
  <c r="H57" i="5"/>
  <c r="N56" i="5"/>
  <c r="L56" i="5"/>
  <c r="J56" i="5"/>
  <c r="L55" i="5"/>
  <c r="D61" i="5" s="1"/>
  <c r="J55" i="5"/>
  <c r="I55" i="5"/>
  <c r="F55" i="5"/>
  <c r="G55" i="5" s="1"/>
  <c r="G12" i="43" s="1"/>
  <c r="L54" i="5"/>
  <c r="J54" i="5"/>
  <c r="I54" i="5"/>
  <c r="N54" i="5" s="1"/>
  <c r="F54" i="5"/>
  <c r="G54" i="5" s="1"/>
  <c r="L53" i="5"/>
  <c r="I53" i="5"/>
  <c r="F53" i="5"/>
  <c r="N52" i="5"/>
  <c r="L52" i="5"/>
  <c r="J52" i="5"/>
  <c r="N50" i="5"/>
  <c r="L50" i="5"/>
  <c r="J50" i="5"/>
  <c r="L49" i="5"/>
  <c r="H49" i="5"/>
  <c r="N48" i="5"/>
  <c r="L48" i="5"/>
  <c r="J48" i="5"/>
  <c r="L47" i="5"/>
  <c r="J47" i="5"/>
  <c r="I47" i="5"/>
  <c r="N47" i="5" s="1"/>
  <c r="F47" i="5"/>
  <c r="G47" i="5" s="1"/>
  <c r="L46" i="5"/>
  <c r="J46" i="5"/>
  <c r="I46" i="5"/>
  <c r="N46" i="5" s="1"/>
  <c r="F46" i="5"/>
  <c r="G46" i="5" s="1"/>
  <c r="L45" i="5"/>
  <c r="I45" i="5"/>
  <c r="F45" i="5"/>
  <c r="N44" i="5"/>
  <c r="L44" i="5"/>
  <c r="J44" i="5"/>
  <c r="N42" i="5"/>
  <c r="L42" i="5"/>
  <c r="J42" i="5"/>
  <c r="L41" i="5"/>
  <c r="H41" i="5"/>
  <c r="N40" i="5"/>
  <c r="L40" i="5"/>
  <c r="J40" i="5"/>
  <c r="L39" i="5"/>
  <c r="J39" i="5"/>
  <c r="I39" i="5"/>
  <c r="N39" i="5" s="1"/>
  <c r="F39" i="5"/>
  <c r="G39" i="5" s="1"/>
  <c r="L38" i="5"/>
  <c r="J38" i="5"/>
  <c r="I38" i="5"/>
  <c r="N38" i="5" s="1"/>
  <c r="F38" i="5"/>
  <c r="G38" i="5" s="1"/>
  <c r="L37" i="5"/>
  <c r="D45" i="5" s="1"/>
  <c r="J37" i="5"/>
  <c r="I37" i="5"/>
  <c r="F37" i="5"/>
  <c r="G37" i="5" s="1"/>
  <c r="G9" i="43" s="1"/>
  <c r="L36" i="5"/>
  <c r="I36" i="5"/>
  <c r="F36" i="5"/>
  <c r="N35" i="5"/>
  <c r="L35" i="5"/>
  <c r="J35" i="5"/>
  <c r="N33" i="5"/>
  <c r="L33" i="5"/>
  <c r="J33" i="5"/>
  <c r="L32" i="5"/>
  <c r="H32" i="5"/>
  <c r="N31" i="5"/>
  <c r="L31" i="5"/>
  <c r="J31" i="5"/>
  <c r="L30" i="5"/>
  <c r="J30" i="5"/>
  <c r="I30" i="5"/>
  <c r="N30" i="5" s="1"/>
  <c r="F30" i="5"/>
  <c r="G30" i="5" s="1"/>
  <c r="L29" i="5"/>
  <c r="J29" i="5"/>
  <c r="I29" i="5"/>
  <c r="N29" i="5" s="1"/>
  <c r="F29" i="5"/>
  <c r="G29" i="5" s="1"/>
  <c r="L28" i="5"/>
  <c r="I28" i="5"/>
  <c r="F28" i="5"/>
  <c r="N27" i="5"/>
  <c r="L27" i="5"/>
  <c r="J27" i="5"/>
  <c r="N25" i="5"/>
  <c r="L25" i="5"/>
  <c r="J25" i="5"/>
  <c r="L24" i="5"/>
  <c r="H24" i="5"/>
  <c r="N23" i="5"/>
  <c r="L23" i="5"/>
  <c r="J23" i="5"/>
  <c r="L22" i="5"/>
  <c r="J22" i="5"/>
  <c r="I22" i="5"/>
  <c r="N22" i="5" s="1"/>
  <c r="F22" i="5"/>
  <c r="G22" i="5" s="1"/>
  <c r="L21" i="5"/>
  <c r="D28" i="5" s="1"/>
  <c r="J21" i="5"/>
  <c r="I21" i="5"/>
  <c r="F21" i="5"/>
  <c r="G21" i="5" s="1"/>
  <c r="G6" i="43" s="1"/>
  <c r="L20" i="5"/>
  <c r="I20" i="5"/>
  <c r="F20" i="5"/>
  <c r="N19" i="5"/>
  <c r="L19" i="5"/>
  <c r="J19" i="5"/>
  <c r="N17" i="5"/>
  <c r="L17" i="5"/>
  <c r="J17" i="5"/>
  <c r="L16" i="5"/>
  <c r="N15" i="5"/>
  <c r="L15" i="5"/>
  <c r="J15" i="5"/>
  <c r="L14" i="5"/>
  <c r="J14" i="5"/>
  <c r="I14" i="5"/>
  <c r="N14" i="5" s="1"/>
  <c r="F14" i="5"/>
  <c r="G14" i="5" s="1"/>
  <c r="L13" i="5"/>
  <c r="I13" i="5"/>
  <c r="F13" i="5"/>
  <c r="N12" i="5"/>
  <c r="L12" i="5"/>
  <c r="J12" i="5"/>
  <c r="N10" i="5"/>
  <c r="L10" i="5"/>
  <c r="J10" i="5"/>
  <c r="L9" i="5"/>
  <c r="J9" i="5"/>
  <c r="H9" i="5"/>
  <c r="H16" i="5" s="1"/>
  <c r="D9" i="5"/>
  <c r="N8" i="5"/>
  <c r="L8" i="5"/>
  <c r="J8" i="5"/>
  <c r="L7" i="5"/>
  <c r="J7" i="5"/>
  <c r="I7" i="5"/>
  <c r="N7" i="5" s="1"/>
  <c r="F7" i="5"/>
  <c r="G7" i="5" s="1"/>
  <c r="L6" i="5"/>
  <c r="D13" i="5" s="1"/>
  <c r="J6" i="5"/>
  <c r="I6" i="5"/>
  <c r="F6" i="5"/>
  <c r="G6" i="5" s="1"/>
  <c r="G3" i="43" s="1"/>
  <c r="L5" i="5"/>
  <c r="J5" i="5"/>
  <c r="I5" i="5"/>
  <c r="F5" i="5"/>
  <c r="G5" i="5" s="1"/>
  <c r="N4" i="5"/>
  <c r="L4" i="5"/>
  <c r="C9" i="51" l="1"/>
  <c r="E33" i="51"/>
  <c r="F33" i="51" s="1"/>
  <c r="G33" i="51" s="1"/>
  <c r="D32" i="51"/>
  <c r="F32" i="51" s="1"/>
  <c r="G32" i="51" s="1"/>
  <c r="C8" i="51"/>
  <c r="E31" i="51"/>
  <c r="F31" i="51" s="1"/>
  <c r="G31" i="51" s="1"/>
  <c r="D27" i="51"/>
  <c r="F27" i="51" s="1"/>
  <c r="G27" i="51" s="1"/>
  <c r="E30" i="51"/>
  <c r="E29" i="51"/>
  <c r="C7" i="51"/>
  <c r="E236" i="43"/>
  <c r="E233" i="43"/>
  <c r="C17" i="51"/>
  <c r="C6" i="51"/>
  <c r="I190" i="17"/>
  <c r="M190" i="17" s="1"/>
  <c r="C30" i="18" s="1"/>
  <c r="E30" i="18" s="1"/>
  <c r="I180" i="17"/>
  <c r="M180" i="17" s="1"/>
  <c r="C29" i="18" s="1"/>
  <c r="I73" i="29"/>
  <c r="M73" i="29" s="1"/>
  <c r="C17" i="30" s="1"/>
  <c r="E17" i="30" s="1"/>
  <c r="I201" i="29"/>
  <c r="M201" i="29" s="1"/>
  <c r="C33" i="30" s="1"/>
  <c r="E33" i="30" s="1"/>
  <c r="I25" i="38"/>
  <c r="M25" i="38" s="1"/>
  <c r="C11" i="39" s="1"/>
  <c r="X11" i="39" s="1"/>
  <c r="I153" i="38"/>
  <c r="M153" i="38" s="1"/>
  <c r="C27" i="39" s="1"/>
  <c r="E27" i="39" s="1"/>
  <c r="I17" i="38"/>
  <c r="M17" i="38" s="1"/>
  <c r="C10" i="39" s="1"/>
  <c r="E10" i="39" s="1"/>
  <c r="I49" i="38"/>
  <c r="M49" i="38" s="1"/>
  <c r="C14" i="39" s="1"/>
  <c r="E14" i="39" s="1"/>
  <c r="G201" i="35"/>
  <c r="K201" i="35" s="1"/>
  <c r="I147" i="17"/>
  <c r="M147" i="17" s="1"/>
  <c r="C25" i="18" s="1"/>
  <c r="I17" i="35"/>
  <c r="M17" i="35" s="1"/>
  <c r="C10" i="36" s="1"/>
  <c r="E10" i="36" s="1"/>
  <c r="I33" i="35"/>
  <c r="M33" i="35" s="1"/>
  <c r="C12" i="36" s="1"/>
  <c r="X12" i="36" s="1"/>
  <c r="I57" i="35"/>
  <c r="M57" i="35" s="1"/>
  <c r="C15" i="36" s="1"/>
  <c r="X15" i="36" s="1"/>
  <c r="I81" i="35"/>
  <c r="M81" i="35" s="1"/>
  <c r="C18" i="36" s="1"/>
  <c r="E18" i="36" s="1"/>
  <c r="I89" i="35"/>
  <c r="M89" i="35" s="1"/>
  <c r="C19" i="36" s="1"/>
  <c r="E19" i="36" s="1"/>
  <c r="I105" i="35"/>
  <c r="M105" i="35" s="1"/>
  <c r="C21" i="36" s="1"/>
  <c r="E21" i="36" s="1"/>
  <c r="I113" i="35"/>
  <c r="M113" i="35" s="1"/>
  <c r="C22" i="36" s="1"/>
  <c r="E22" i="36" s="1"/>
  <c r="I121" i="35"/>
  <c r="M121" i="35" s="1"/>
  <c r="C23" i="36" s="1"/>
  <c r="E23" i="36" s="1"/>
  <c r="G17" i="38"/>
  <c r="K17" i="38" s="1"/>
  <c r="G41" i="38"/>
  <c r="K41" i="38" s="1"/>
  <c r="G73" i="38"/>
  <c r="K73" i="38" s="1"/>
  <c r="G97" i="38"/>
  <c r="K97" i="38" s="1"/>
  <c r="G105" i="38"/>
  <c r="K105" i="38" s="1"/>
  <c r="G113" i="38"/>
  <c r="K113" i="38" s="1"/>
  <c r="G121" i="38"/>
  <c r="K121" i="38" s="1"/>
  <c r="G129" i="38"/>
  <c r="K129" i="38" s="1"/>
  <c r="G137" i="38"/>
  <c r="K137" i="38" s="1"/>
  <c r="G161" i="38"/>
  <c r="K161" i="38" s="1"/>
  <c r="I25" i="32"/>
  <c r="M25" i="32" s="1"/>
  <c r="C11" i="33" s="1"/>
  <c r="E11" i="33" s="1"/>
  <c r="I41" i="32"/>
  <c r="M41" i="32" s="1"/>
  <c r="C13" i="33" s="1"/>
  <c r="E13" i="33" s="1"/>
  <c r="I49" i="32"/>
  <c r="M49" i="32" s="1"/>
  <c r="C14" i="33" s="1"/>
  <c r="E14" i="33" s="1"/>
  <c r="I89" i="32"/>
  <c r="M89" i="32" s="1"/>
  <c r="C19" i="33" s="1"/>
  <c r="E19" i="33" s="1"/>
  <c r="I97" i="32"/>
  <c r="M97" i="32" s="1"/>
  <c r="C20" i="33" s="1"/>
  <c r="E20" i="33" s="1"/>
  <c r="I105" i="32"/>
  <c r="M105" i="32" s="1"/>
  <c r="C21" i="33" s="1"/>
  <c r="X21" i="33" s="1"/>
  <c r="I193" i="32"/>
  <c r="M193" i="32" s="1"/>
  <c r="C32" i="33" s="1"/>
  <c r="E32" i="33" s="1"/>
  <c r="I57" i="38"/>
  <c r="M57" i="38" s="1"/>
  <c r="C15" i="39" s="1"/>
  <c r="E15" i="39" s="1"/>
  <c r="I65" i="38"/>
  <c r="M65" i="38" s="1"/>
  <c r="C16" i="39" s="1"/>
  <c r="X16" i="39" s="1"/>
  <c r="I73" i="38"/>
  <c r="M73" i="38" s="1"/>
  <c r="C17" i="39" s="1"/>
  <c r="E17" i="39" s="1"/>
  <c r="I81" i="38"/>
  <c r="M81" i="38" s="1"/>
  <c r="C18" i="39" s="1"/>
  <c r="E18" i="39" s="1"/>
  <c r="I97" i="38"/>
  <c r="M97" i="38" s="1"/>
  <c r="C20" i="39" s="1"/>
  <c r="E20" i="39" s="1"/>
  <c r="I113" i="38"/>
  <c r="M113" i="38" s="1"/>
  <c r="C22" i="39" s="1"/>
  <c r="E22" i="39" s="1"/>
  <c r="I121" i="38"/>
  <c r="M121" i="38" s="1"/>
  <c r="C23" i="39" s="1"/>
  <c r="X23" i="39" s="1"/>
  <c r="I129" i="38"/>
  <c r="M129" i="38" s="1"/>
  <c r="C24" i="39" s="1"/>
  <c r="X24" i="39" s="1"/>
  <c r="I145" i="38"/>
  <c r="M145" i="38" s="1"/>
  <c r="C26" i="39" s="1"/>
  <c r="X26" i="39" s="1"/>
  <c r="I169" i="38"/>
  <c r="M169" i="38" s="1"/>
  <c r="C29" i="39" s="1"/>
  <c r="E29" i="39" s="1"/>
  <c r="I177" i="38"/>
  <c r="M177" i="38" s="1"/>
  <c r="C30" i="39" s="1"/>
  <c r="E30" i="39" s="1"/>
  <c r="I193" i="38"/>
  <c r="M193" i="38" s="1"/>
  <c r="C32" i="39" s="1"/>
  <c r="E32" i="39" s="1"/>
  <c r="I155" i="17"/>
  <c r="M155" i="17" s="1"/>
  <c r="C26" i="18" s="1"/>
  <c r="G129" i="35"/>
  <c r="K129" i="35" s="1"/>
  <c r="I129" i="35"/>
  <c r="M129" i="35" s="1"/>
  <c r="C24" i="36" s="1"/>
  <c r="E24" i="36" s="1"/>
  <c r="I65" i="29"/>
  <c r="M65" i="29" s="1"/>
  <c r="C16" i="30" s="1"/>
  <c r="X16" i="30" s="1"/>
  <c r="D4" i="33"/>
  <c r="C13" i="44" s="1"/>
  <c r="C19" i="52" s="1"/>
  <c r="I41" i="38"/>
  <c r="M41" i="38" s="1"/>
  <c r="C13" i="39" s="1"/>
  <c r="G177" i="38"/>
  <c r="K177" i="38" s="1"/>
  <c r="I81" i="32"/>
  <c r="M81" i="32" s="1"/>
  <c r="C18" i="33" s="1"/>
  <c r="E18" i="33" s="1"/>
  <c r="G81" i="32"/>
  <c r="K81" i="32" s="1"/>
  <c r="I209" i="29"/>
  <c r="M209" i="29" s="1"/>
  <c r="C34" i="30" s="1"/>
  <c r="E34" i="30" s="1"/>
  <c r="I193" i="26"/>
  <c r="M193" i="26" s="1"/>
  <c r="C32" i="27" s="1"/>
  <c r="E32" i="27" s="1"/>
  <c r="J7" i="44"/>
  <c r="J8" i="44"/>
  <c r="I193" i="23"/>
  <c r="M193" i="23" s="1"/>
  <c r="C32" i="24" s="1"/>
  <c r="E32" i="24" s="1"/>
  <c r="J5" i="44"/>
  <c r="I9" i="38"/>
  <c r="M9" i="38" s="1"/>
  <c r="C9" i="39" s="1"/>
  <c r="Q54" i="41"/>
  <c r="J6" i="44"/>
  <c r="G89" i="32"/>
  <c r="K89" i="32" s="1"/>
  <c r="G73" i="29"/>
  <c r="K73" i="29" s="1"/>
  <c r="G105" i="32"/>
  <c r="K105" i="32" s="1"/>
  <c r="I129" i="26"/>
  <c r="M129" i="26" s="1"/>
  <c r="C24" i="27" s="1"/>
  <c r="G150" i="17"/>
  <c r="I193" i="29"/>
  <c r="M193" i="29" s="1"/>
  <c r="C32" i="30" s="1"/>
  <c r="E32" i="30" s="1"/>
  <c r="G151" i="17"/>
  <c r="G236" i="43" s="1"/>
  <c r="G97" i="32"/>
  <c r="K97" i="32" s="1"/>
  <c r="G9" i="32"/>
  <c r="K9" i="32" s="1"/>
  <c r="G121" i="35"/>
  <c r="K121" i="35" s="1"/>
  <c r="I57" i="32"/>
  <c r="M57" i="32" s="1"/>
  <c r="C15" i="33" s="1"/>
  <c r="G33" i="32"/>
  <c r="K33" i="32" s="1"/>
  <c r="I89" i="26"/>
  <c r="M89" i="26" s="1"/>
  <c r="C19" i="27" s="1"/>
  <c r="I41" i="29"/>
  <c r="M41" i="29" s="1"/>
  <c r="C13" i="30" s="1"/>
  <c r="I73" i="32"/>
  <c r="M73" i="32" s="1"/>
  <c r="C17" i="33" s="1"/>
  <c r="I33" i="29"/>
  <c r="M33" i="29" s="1"/>
  <c r="C12" i="30" s="1"/>
  <c r="G145" i="38"/>
  <c r="K145" i="38" s="1"/>
  <c r="G49" i="38"/>
  <c r="K49" i="38" s="1"/>
  <c r="I153" i="35"/>
  <c r="M153" i="35" s="1"/>
  <c r="C27" i="36" s="1"/>
  <c r="I145" i="29"/>
  <c r="M145" i="29" s="1"/>
  <c r="C26" i="30" s="1"/>
  <c r="I25" i="35"/>
  <c r="M25" i="35" s="1"/>
  <c r="C11" i="36" s="1"/>
  <c r="I25" i="26"/>
  <c r="M25" i="26" s="1"/>
  <c r="C11" i="27" s="1"/>
  <c r="Q42" i="41"/>
  <c r="I66" i="20"/>
  <c r="M66" i="20" s="1"/>
  <c r="C16" i="21" s="1"/>
  <c r="I137" i="23"/>
  <c r="M137" i="23" s="1"/>
  <c r="C25" i="24" s="1"/>
  <c r="I65" i="32"/>
  <c r="M65" i="32" s="1"/>
  <c r="C16" i="33" s="1"/>
  <c r="I9" i="32"/>
  <c r="M9" i="32" s="1"/>
  <c r="C9" i="33" s="1"/>
  <c r="G57" i="32"/>
  <c r="K57" i="32" s="1"/>
  <c r="I57" i="29"/>
  <c r="M57" i="29" s="1"/>
  <c r="C15" i="30" s="1"/>
  <c r="Y27" i="36"/>
  <c r="D4" i="36"/>
  <c r="C14" i="44" s="1"/>
  <c r="C20" i="52" s="1"/>
  <c r="I185" i="26"/>
  <c r="M185" i="26" s="1"/>
  <c r="C31" i="27" s="1"/>
  <c r="E31" i="27" s="1"/>
  <c r="I49" i="35"/>
  <c r="M49" i="35" s="1"/>
  <c r="C14" i="36" s="1"/>
  <c r="I41" i="35"/>
  <c r="M41" i="35" s="1"/>
  <c r="C13" i="36" s="1"/>
  <c r="G41" i="32"/>
  <c r="K41" i="32" s="1"/>
  <c r="I169" i="26"/>
  <c r="M169" i="26" s="1"/>
  <c r="C29" i="27" s="1"/>
  <c r="I177" i="29"/>
  <c r="M177" i="29" s="1"/>
  <c r="C30" i="30" s="1"/>
  <c r="I137" i="26"/>
  <c r="M137" i="26" s="1"/>
  <c r="C25" i="27" s="1"/>
  <c r="I185" i="23"/>
  <c r="M185" i="23" s="1"/>
  <c r="C31" i="24" s="1"/>
  <c r="I129" i="20"/>
  <c r="M129" i="20" s="1"/>
  <c r="C23" i="21" s="1"/>
  <c r="I49" i="29"/>
  <c r="M49" i="29" s="1"/>
  <c r="C14" i="30" s="1"/>
  <c r="E14" i="30" s="1"/>
  <c r="I169" i="35"/>
  <c r="M169" i="35" s="1"/>
  <c r="C29" i="36" s="1"/>
  <c r="G142" i="17"/>
  <c r="G147" i="17" s="1"/>
  <c r="K147" i="17" s="1"/>
  <c r="I172" i="17"/>
  <c r="M172" i="17" s="1"/>
  <c r="C28" i="18" s="1"/>
  <c r="I193" i="20"/>
  <c r="M193" i="20" s="1"/>
  <c r="C31" i="21" s="1"/>
  <c r="E31" i="21" s="1"/>
  <c r="I161" i="20"/>
  <c r="M161" i="20" s="1"/>
  <c r="C27" i="21" s="1"/>
  <c r="I116" i="14"/>
  <c r="M116" i="14" s="1"/>
  <c r="J4" i="44"/>
  <c r="I33" i="23"/>
  <c r="M33" i="23" s="1"/>
  <c r="C12" i="24" s="1"/>
  <c r="I185" i="20"/>
  <c r="M185" i="20" s="1"/>
  <c r="C30" i="21" s="1"/>
  <c r="I95" i="20"/>
  <c r="M95" i="20" s="1"/>
  <c r="C19" i="21" s="1"/>
  <c r="I185" i="32"/>
  <c r="M185" i="32" s="1"/>
  <c r="C31" i="33" s="1"/>
  <c r="E31" i="33" s="1"/>
  <c r="G153" i="38"/>
  <c r="K153" i="38" s="1"/>
  <c r="I9" i="29"/>
  <c r="M9" i="29" s="1"/>
  <c r="C9" i="30" s="1"/>
  <c r="I81" i="26"/>
  <c r="M81" i="26" s="1"/>
  <c r="C18" i="27" s="1"/>
  <c r="G41" i="26"/>
  <c r="K41" i="26" s="1"/>
  <c r="Y30" i="24"/>
  <c r="D4" i="24"/>
  <c r="C10" i="44" s="1"/>
  <c r="C16" i="52" s="1"/>
  <c r="G137" i="35"/>
  <c r="K137" i="35" s="1"/>
  <c r="G33" i="29"/>
  <c r="K33" i="29" s="1"/>
  <c r="I33" i="32"/>
  <c r="M33" i="32" s="1"/>
  <c r="C12" i="33" s="1"/>
  <c r="D4" i="30"/>
  <c r="C12" i="44" s="1"/>
  <c r="C18" i="52" s="1"/>
  <c r="I65" i="35"/>
  <c r="M65" i="35" s="1"/>
  <c r="C16" i="36" s="1"/>
  <c r="I73" i="26"/>
  <c r="M73" i="26" s="1"/>
  <c r="C17" i="27" s="1"/>
  <c r="G137" i="26"/>
  <c r="K137" i="26" s="1"/>
  <c r="G25" i="26"/>
  <c r="K25" i="26" s="1"/>
  <c r="I209" i="38"/>
  <c r="M209" i="38" s="1"/>
  <c r="C34" i="39" s="1"/>
  <c r="E34" i="39" s="1"/>
  <c r="D4" i="27"/>
  <c r="C11" i="44" s="1"/>
  <c r="C17" i="52" s="1"/>
  <c r="I217" i="20"/>
  <c r="M217" i="20" s="1"/>
  <c r="C34" i="21" s="1"/>
  <c r="E34" i="21" s="1"/>
  <c r="I129" i="32"/>
  <c r="M129" i="32" s="1"/>
  <c r="C24" i="33" s="1"/>
  <c r="I83" i="20"/>
  <c r="M83" i="20" s="1"/>
  <c r="C18" i="21" s="1"/>
  <c r="I25" i="29"/>
  <c r="M25" i="29" s="1"/>
  <c r="C11" i="30" s="1"/>
  <c r="I201" i="38"/>
  <c r="M201" i="38" s="1"/>
  <c r="C33" i="39" s="1"/>
  <c r="E33" i="39" s="1"/>
  <c r="G89" i="35"/>
  <c r="K89" i="35" s="1"/>
  <c r="I17" i="26"/>
  <c r="M17" i="26" s="1"/>
  <c r="C10" i="27" s="1"/>
  <c r="G81" i="35"/>
  <c r="K81" i="35" s="1"/>
  <c r="G41" i="35"/>
  <c r="K41" i="35" s="1"/>
  <c r="I177" i="26"/>
  <c r="M177" i="26" s="1"/>
  <c r="C30" i="27" s="1"/>
  <c r="E30" i="27" s="1"/>
  <c r="I177" i="23"/>
  <c r="M177" i="23" s="1"/>
  <c r="C30" i="24" s="1"/>
  <c r="I169" i="20"/>
  <c r="M169" i="20" s="1"/>
  <c r="C28" i="21" s="1"/>
  <c r="I161" i="23"/>
  <c r="M161" i="23" s="1"/>
  <c r="C28" i="24" s="1"/>
  <c r="G105" i="35"/>
  <c r="K105" i="35" s="1"/>
  <c r="G97" i="35"/>
  <c r="K97" i="35" s="1"/>
  <c r="I9" i="23"/>
  <c r="M9" i="23" s="1"/>
  <c r="C9" i="24" s="1"/>
  <c r="I145" i="20"/>
  <c r="M145" i="20" s="1"/>
  <c r="C25" i="21" s="1"/>
  <c r="I185" i="35"/>
  <c r="M185" i="35" s="1"/>
  <c r="C31" i="36" s="1"/>
  <c r="E31" i="36" s="1"/>
  <c r="I97" i="35"/>
  <c r="M97" i="35" s="1"/>
  <c r="C20" i="36" s="1"/>
  <c r="I73" i="35"/>
  <c r="M73" i="35" s="1"/>
  <c r="C17" i="36" s="1"/>
  <c r="G25" i="35"/>
  <c r="K25" i="35" s="1"/>
  <c r="G17" i="29"/>
  <c r="K17" i="29" s="1"/>
  <c r="G185" i="26"/>
  <c r="K185" i="26" s="1"/>
  <c r="G9" i="26"/>
  <c r="K9" i="26" s="1"/>
  <c r="I201" i="23"/>
  <c r="M201" i="23" s="1"/>
  <c r="C33" i="24" s="1"/>
  <c r="E33" i="24" s="1"/>
  <c r="G201" i="32"/>
  <c r="K201" i="32" s="1"/>
  <c r="I9" i="26"/>
  <c r="M9" i="26" s="1"/>
  <c r="C9" i="27" s="1"/>
  <c r="G129" i="23"/>
  <c r="K129" i="23" s="1"/>
  <c r="G65" i="32"/>
  <c r="K65" i="32" s="1"/>
  <c r="G49" i="32"/>
  <c r="K49" i="32" s="1"/>
  <c r="G17" i="32"/>
  <c r="K17" i="32" s="1"/>
  <c r="G65" i="29"/>
  <c r="K65" i="29" s="1"/>
  <c r="I153" i="32"/>
  <c r="M153" i="32" s="1"/>
  <c r="C27" i="33" s="1"/>
  <c r="I207" i="17"/>
  <c r="M207" i="17" s="1"/>
  <c r="C32" i="18" s="1"/>
  <c r="E32" i="18" s="1"/>
  <c r="G65" i="35"/>
  <c r="K65" i="35" s="1"/>
  <c r="G17" i="35"/>
  <c r="K17" i="35" s="1"/>
  <c r="G9" i="35"/>
  <c r="K9" i="35" s="1"/>
  <c r="I209" i="20"/>
  <c r="M209" i="20" s="1"/>
  <c r="C33" i="21" s="1"/>
  <c r="E33" i="21" s="1"/>
  <c r="I103" i="20"/>
  <c r="M103" i="20" s="1"/>
  <c r="C20" i="21" s="1"/>
  <c r="G161" i="23"/>
  <c r="K161" i="23" s="1"/>
  <c r="I169" i="23"/>
  <c r="M169" i="23" s="1"/>
  <c r="C29" i="24" s="1"/>
  <c r="I177" i="20"/>
  <c r="M177" i="20" s="1"/>
  <c r="C29" i="21" s="1"/>
  <c r="G169" i="20"/>
  <c r="K169" i="20" s="1"/>
  <c r="G185" i="23"/>
  <c r="K185" i="23" s="1"/>
  <c r="G209" i="26"/>
  <c r="K209" i="26" s="1"/>
  <c r="G33" i="26"/>
  <c r="K33" i="26" s="1"/>
  <c r="I121" i="20"/>
  <c r="M121" i="20" s="1"/>
  <c r="C22" i="21" s="1"/>
  <c r="G73" i="32"/>
  <c r="K73" i="32" s="1"/>
  <c r="I17" i="32"/>
  <c r="M17" i="32" s="1"/>
  <c r="C10" i="33" s="1"/>
  <c r="I161" i="29"/>
  <c r="M161" i="29" s="1"/>
  <c r="C28" i="30" s="1"/>
  <c r="I209" i="26"/>
  <c r="M209" i="26" s="1"/>
  <c r="C34" i="27" s="1"/>
  <c r="E34" i="27" s="1"/>
  <c r="G201" i="26"/>
  <c r="K201" i="26" s="1"/>
  <c r="I113" i="29"/>
  <c r="M113" i="29" s="1"/>
  <c r="C22" i="30" s="1"/>
  <c r="G41" i="29"/>
  <c r="K41" i="29" s="1"/>
  <c r="I17" i="29"/>
  <c r="M17" i="29" s="1"/>
  <c r="C10" i="30" s="1"/>
  <c r="G193" i="29"/>
  <c r="K193" i="29" s="1"/>
  <c r="G153" i="29"/>
  <c r="K153" i="29" s="1"/>
  <c r="G137" i="23"/>
  <c r="K137" i="23" s="1"/>
  <c r="I153" i="20"/>
  <c r="M153" i="20" s="1"/>
  <c r="C26" i="21" s="1"/>
  <c r="I129" i="23"/>
  <c r="M129" i="23" s="1"/>
  <c r="C24" i="24" s="1"/>
  <c r="I161" i="26"/>
  <c r="M161" i="26" s="1"/>
  <c r="C28" i="27" s="1"/>
  <c r="I57" i="20"/>
  <c r="M57" i="20" s="1"/>
  <c r="C15" i="21" s="1"/>
  <c r="E123" i="43"/>
  <c r="E127" i="43"/>
  <c r="G57" i="29"/>
  <c r="K57" i="29" s="1"/>
  <c r="E95" i="43"/>
  <c r="E114" i="43"/>
  <c r="I177" i="35"/>
  <c r="M177" i="35" s="1"/>
  <c r="C30" i="36" s="1"/>
  <c r="E30" i="36" s="1"/>
  <c r="E109" i="43"/>
  <c r="I209" i="23"/>
  <c r="M209" i="23" s="1"/>
  <c r="C34" i="24" s="1"/>
  <c r="E34" i="24" s="1"/>
  <c r="G17" i="26"/>
  <c r="K17" i="26" s="1"/>
  <c r="G73" i="26"/>
  <c r="K73" i="26" s="1"/>
  <c r="G177" i="35"/>
  <c r="K177" i="35" s="1"/>
  <c r="I81" i="23"/>
  <c r="M81" i="23" s="1"/>
  <c r="C18" i="24" s="1"/>
  <c r="G193" i="23"/>
  <c r="K193" i="23" s="1"/>
  <c r="I113" i="20"/>
  <c r="M113" i="20" s="1"/>
  <c r="C21" i="21" s="1"/>
  <c r="I201" i="32"/>
  <c r="M201" i="32" s="1"/>
  <c r="C33" i="33" s="1"/>
  <c r="E33" i="33" s="1"/>
  <c r="G9" i="23"/>
  <c r="K9" i="23" s="1"/>
  <c r="G217" i="20"/>
  <c r="K217" i="20" s="1"/>
  <c r="G145" i="20"/>
  <c r="K145" i="20" s="1"/>
  <c r="O172" i="8"/>
  <c r="G217" i="38"/>
  <c r="K217" i="38" s="1"/>
  <c r="G161" i="32"/>
  <c r="K161" i="32" s="1"/>
  <c r="I145" i="32"/>
  <c r="M145" i="32" s="1"/>
  <c r="C26" i="33" s="1"/>
  <c r="I153" i="23"/>
  <c r="M153" i="23" s="1"/>
  <c r="C27" i="24" s="1"/>
  <c r="I30" i="14"/>
  <c r="M30" i="14" s="1"/>
  <c r="D11" i="15" s="1"/>
  <c r="F11" i="15" s="1"/>
  <c r="I153" i="26"/>
  <c r="M153" i="26" s="1"/>
  <c r="C27" i="27" s="1"/>
  <c r="G153" i="23"/>
  <c r="K153" i="23" s="1"/>
  <c r="I201" i="20"/>
  <c r="M201" i="20" s="1"/>
  <c r="C32" i="21" s="1"/>
  <c r="E32" i="21" s="1"/>
  <c r="G137" i="20"/>
  <c r="K137" i="20" s="1"/>
  <c r="G201" i="20"/>
  <c r="K201" i="20" s="1"/>
  <c r="G57" i="38"/>
  <c r="K57" i="38" s="1"/>
  <c r="I209" i="32"/>
  <c r="G185" i="32"/>
  <c r="K185" i="32" s="1"/>
  <c r="G153" i="32"/>
  <c r="K153" i="32" s="1"/>
  <c r="I199" i="17"/>
  <c r="M199" i="17" s="1"/>
  <c r="C31" i="18" s="1"/>
  <c r="E31" i="18" s="1"/>
  <c r="G153" i="20"/>
  <c r="K153" i="20" s="1"/>
  <c r="G95" i="20"/>
  <c r="K95" i="20" s="1"/>
  <c r="G201" i="23"/>
  <c r="K201" i="23" s="1"/>
  <c r="I153" i="29"/>
  <c r="M153" i="29" s="1"/>
  <c r="C27" i="30" s="1"/>
  <c r="I161" i="32"/>
  <c r="M161" i="32" s="1"/>
  <c r="C28" i="33" s="1"/>
  <c r="G49" i="29"/>
  <c r="K49" i="29" s="1"/>
  <c r="I201" i="26"/>
  <c r="M201" i="26" s="1"/>
  <c r="C33" i="27" s="1"/>
  <c r="E33" i="27" s="1"/>
  <c r="G145" i="26"/>
  <c r="K145" i="26" s="1"/>
  <c r="G161" i="26"/>
  <c r="K161" i="26" s="1"/>
  <c r="I105" i="26"/>
  <c r="M105" i="26" s="1"/>
  <c r="C21" i="27" s="1"/>
  <c r="G161" i="29"/>
  <c r="K161" i="29" s="1"/>
  <c r="G33" i="35"/>
  <c r="K33" i="35" s="1"/>
  <c r="G161" i="20"/>
  <c r="K161" i="20" s="1"/>
  <c r="G121" i="20"/>
  <c r="K121" i="20" s="1"/>
  <c r="I17" i="23"/>
  <c r="M17" i="23" s="1"/>
  <c r="C10" i="24" s="1"/>
  <c r="I215" i="17"/>
  <c r="M215" i="17" s="1"/>
  <c r="C33" i="18" s="1"/>
  <c r="E33" i="18" s="1"/>
  <c r="I201" i="35"/>
  <c r="M201" i="35" s="1"/>
  <c r="C33" i="36" s="1"/>
  <c r="E33" i="36" s="1"/>
  <c r="I185" i="29"/>
  <c r="M185" i="29" s="1"/>
  <c r="C31" i="30" s="1"/>
  <c r="E31" i="30" s="1"/>
  <c r="I121" i="29"/>
  <c r="M121" i="29" s="1"/>
  <c r="C23" i="30" s="1"/>
  <c r="I97" i="29"/>
  <c r="M97" i="29" s="1"/>
  <c r="C20" i="30" s="1"/>
  <c r="G145" i="23"/>
  <c r="K145" i="23" s="1"/>
  <c r="G169" i="23"/>
  <c r="K169" i="23" s="1"/>
  <c r="I217" i="23"/>
  <c r="M217" i="23" s="1"/>
  <c r="C35" i="24" s="1"/>
  <c r="E35" i="24" s="1"/>
  <c r="G209" i="23"/>
  <c r="K209" i="23" s="1"/>
  <c r="G121" i="23"/>
  <c r="K121" i="23" s="1"/>
  <c r="I97" i="23"/>
  <c r="M97" i="23" s="1"/>
  <c r="C20" i="24" s="1"/>
  <c r="I65" i="23"/>
  <c r="M65" i="23" s="1"/>
  <c r="C16" i="24" s="1"/>
  <c r="G66" i="20"/>
  <c r="K66" i="20" s="1"/>
  <c r="G57" i="20"/>
  <c r="K57" i="20" s="1"/>
  <c r="I33" i="20"/>
  <c r="M33" i="20" s="1"/>
  <c r="C12" i="21" s="1"/>
  <c r="G17" i="20"/>
  <c r="K17" i="20" s="1"/>
  <c r="G215" i="17"/>
  <c r="K215" i="17" s="1"/>
  <c r="I121" i="23"/>
  <c r="M121" i="23" s="1"/>
  <c r="C23" i="24" s="1"/>
  <c r="G113" i="23"/>
  <c r="K113" i="23" s="1"/>
  <c r="I75" i="20"/>
  <c r="M75" i="20" s="1"/>
  <c r="C17" i="21" s="1"/>
  <c r="G113" i="29"/>
  <c r="K113" i="29" s="1"/>
  <c r="G177" i="26"/>
  <c r="K177" i="26" s="1"/>
  <c r="G121" i="26"/>
  <c r="K121" i="26" s="1"/>
  <c r="I113" i="23"/>
  <c r="M113" i="23" s="1"/>
  <c r="C22" i="24" s="1"/>
  <c r="G97" i="23"/>
  <c r="K97" i="23" s="1"/>
  <c r="I49" i="20"/>
  <c r="M49" i="20" s="1"/>
  <c r="C14" i="21" s="1"/>
  <c r="I121" i="26"/>
  <c r="M121" i="26" s="1"/>
  <c r="C23" i="27" s="1"/>
  <c r="G81" i="23"/>
  <c r="K81" i="23" s="1"/>
  <c r="G25" i="32"/>
  <c r="K25" i="32" s="1"/>
  <c r="G193" i="32"/>
  <c r="K193" i="32" s="1"/>
  <c r="G177" i="32"/>
  <c r="K177" i="32" s="1"/>
  <c r="G145" i="29"/>
  <c r="K145" i="29" s="1"/>
  <c r="G57" i="35"/>
  <c r="K57" i="35" s="1"/>
  <c r="D4" i="21"/>
  <c r="C9" i="44" s="1"/>
  <c r="C15" i="52" s="1"/>
  <c r="G113" i="35"/>
  <c r="K113" i="35" s="1"/>
  <c r="I41" i="26"/>
  <c r="M41" i="26" s="1"/>
  <c r="C13" i="27" s="1"/>
  <c r="I164" i="17"/>
  <c r="M164" i="17" s="1"/>
  <c r="C27" i="18" s="1"/>
  <c r="G25" i="23"/>
  <c r="K25" i="23" s="1"/>
  <c r="G113" i="26"/>
  <c r="K113" i="26" s="1"/>
  <c r="I113" i="26"/>
  <c r="M113" i="26" s="1"/>
  <c r="C22" i="27" s="1"/>
  <c r="I57" i="23"/>
  <c r="M57" i="23" s="1"/>
  <c r="C15" i="24" s="1"/>
  <c r="I49" i="23"/>
  <c r="M49" i="23" s="1"/>
  <c r="C14" i="24" s="1"/>
  <c r="I25" i="23"/>
  <c r="M25" i="23" s="1"/>
  <c r="C11" i="24" s="1"/>
  <c r="G121" i="29"/>
  <c r="K121" i="29" s="1"/>
  <c r="I49" i="26"/>
  <c r="M49" i="26" s="1"/>
  <c r="C14" i="27" s="1"/>
  <c r="G49" i="26"/>
  <c r="K49" i="26" s="1"/>
  <c r="I81" i="29"/>
  <c r="M81" i="29" s="1"/>
  <c r="C18" i="30" s="1"/>
  <c r="G81" i="29"/>
  <c r="K81" i="29" s="1"/>
  <c r="I137" i="35"/>
  <c r="M137" i="35" s="1"/>
  <c r="C25" i="36" s="1"/>
  <c r="E25" i="36" s="1"/>
  <c r="I113" i="32"/>
  <c r="M113" i="32" s="1"/>
  <c r="C22" i="33" s="1"/>
  <c r="G113" i="32"/>
  <c r="K113" i="32" s="1"/>
  <c r="G89" i="38"/>
  <c r="K89" i="38" s="1"/>
  <c r="G25" i="38"/>
  <c r="K25" i="38" s="1"/>
  <c r="G209" i="38"/>
  <c r="K209" i="38" s="1"/>
  <c r="G81" i="38"/>
  <c r="K81" i="38" s="1"/>
  <c r="G9" i="38"/>
  <c r="K9" i="38" s="1"/>
  <c r="G164" i="17"/>
  <c r="K164" i="17" s="1"/>
  <c r="G33" i="38"/>
  <c r="K33" i="38" s="1"/>
  <c r="G185" i="35"/>
  <c r="K185" i="35" s="1"/>
  <c r="I161" i="38"/>
  <c r="M161" i="38" s="1"/>
  <c r="C28" i="39" s="1"/>
  <c r="I105" i="38"/>
  <c r="M105" i="38" s="1"/>
  <c r="C21" i="39" s="1"/>
  <c r="G65" i="38"/>
  <c r="K65" i="38" s="1"/>
  <c r="I217" i="38"/>
  <c r="M217" i="38" s="1"/>
  <c r="C35" i="39" s="1"/>
  <c r="E35" i="39" s="1"/>
  <c r="G169" i="38"/>
  <c r="K169" i="38" s="1"/>
  <c r="I137" i="38"/>
  <c r="M137" i="38" s="1"/>
  <c r="C25" i="39" s="1"/>
  <c r="I33" i="38"/>
  <c r="M33" i="38" s="1"/>
  <c r="C12" i="39" s="1"/>
  <c r="I177" i="32"/>
  <c r="M177" i="32" s="1"/>
  <c r="C30" i="33" s="1"/>
  <c r="D4" i="18"/>
  <c r="C8" i="44" s="1"/>
  <c r="C14" i="52" s="1"/>
  <c r="I137" i="20"/>
  <c r="M137" i="20" s="1"/>
  <c r="C24" i="21" s="1"/>
  <c r="I105" i="23"/>
  <c r="M105" i="23" s="1"/>
  <c r="C21" i="24" s="1"/>
  <c r="G33" i="23"/>
  <c r="K33" i="23" s="1"/>
  <c r="G193" i="20"/>
  <c r="K193" i="20" s="1"/>
  <c r="I57" i="26"/>
  <c r="M57" i="26" s="1"/>
  <c r="C15" i="27" s="1"/>
  <c r="G57" i="26"/>
  <c r="K57" i="26" s="1"/>
  <c r="G145" i="32"/>
  <c r="K145" i="32" s="1"/>
  <c r="G185" i="29"/>
  <c r="K185" i="29" s="1"/>
  <c r="G169" i="29"/>
  <c r="K169" i="29" s="1"/>
  <c r="G153" i="26"/>
  <c r="K153" i="26" s="1"/>
  <c r="G65" i="23"/>
  <c r="K65" i="23" s="1"/>
  <c r="G177" i="29"/>
  <c r="K177" i="29" s="1"/>
  <c r="G129" i="29"/>
  <c r="K129" i="29" s="1"/>
  <c r="G89" i="23"/>
  <c r="K89" i="23" s="1"/>
  <c r="G193" i="26"/>
  <c r="K193" i="26" s="1"/>
  <c r="G209" i="20"/>
  <c r="K209" i="20" s="1"/>
  <c r="G113" i="20"/>
  <c r="K113" i="20" s="1"/>
  <c r="G49" i="20"/>
  <c r="K49" i="20" s="1"/>
  <c r="G49" i="35"/>
  <c r="K49" i="35" s="1"/>
  <c r="G97" i="29"/>
  <c r="K97" i="29" s="1"/>
  <c r="G25" i="29"/>
  <c r="K25" i="29" s="1"/>
  <c r="G103" i="20"/>
  <c r="K103" i="20" s="1"/>
  <c r="G83" i="20"/>
  <c r="K83" i="20" s="1"/>
  <c r="G33" i="20"/>
  <c r="K33" i="20" s="1"/>
  <c r="G17" i="23"/>
  <c r="K17" i="23" s="1"/>
  <c r="G89" i="26"/>
  <c r="K89" i="26" s="1"/>
  <c r="I89" i="29"/>
  <c r="M89" i="29" s="1"/>
  <c r="C19" i="30" s="1"/>
  <c r="G89" i="29"/>
  <c r="K89" i="29" s="1"/>
  <c r="I17" i="20"/>
  <c r="M17" i="20" s="1"/>
  <c r="C10" i="21" s="1"/>
  <c r="I9" i="20"/>
  <c r="M9" i="20" s="1"/>
  <c r="C9" i="21" s="1"/>
  <c r="G9" i="20"/>
  <c r="K9" i="20" s="1"/>
  <c r="I185" i="38"/>
  <c r="M185" i="38" s="1"/>
  <c r="C31" i="39" s="1"/>
  <c r="G185" i="38"/>
  <c r="K185" i="38" s="1"/>
  <c r="I145" i="35"/>
  <c r="M145" i="35" s="1"/>
  <c r="C26" i="36" s="1"/>
  <c r="G145" i="35"/>
  <c r="K145" i="35" s="1"/>
  <c r="I121" i="32"/>
  <c r="M121" i="32" s="1"/>
  <c r="C23" i="33" s="1"/>
  <c r="G121" i="32"/>
  <c r="K121" i="32" s="1"/>
  <c r="G169" i="26"/>
  <c r="K169" i="26" s="1"/>
  <c r="G81" i="26"/>
  <c r="K81" i="26" s="1"/>
  <c r="I65" i="26"/>
  <c r="M65" i="26" s="1"/>
  <c r="C16" i="27" s="1"/>
  <c r="G65" i="26"/>
  <c r="K65" i="26" s="1"/>
  <c r="I41" i="23"/>
  <c r="M41" i="23" s="1"/>
  <c r="C13" i="24" s="1"/>
  <c r="G41" i="23"/>
  <c r="K41" i="23" s="1"/>
  <c r="O180" i="8"/>
  <c r="G169" i="35"/>
  <c r="K169" i="35" s="1"/>
  <c r="G57" i="23"/>
  <c r="K57" i="23" s="1"/>
  <c r="G177" i="20"/>
  <c r="K177" i="20" s="1"/>
  <c r="I25" i="20"/>
  <c r="M25" i="20" s="1"/>
  <c r="C11" i="21" s="1"/>
  <c r="G201" i="38"/>
  <c r="K201" i="38" s="1"/>
  <c r="I161" i="35"/>
  <c r="M161" i="35" s="1"/>
  <c r="C28" i="36" s="1"/>
  <c r="G161" i="35"/>
  <c r="K161" i="35" s="1"/>
  <c r="G129" i="20"/>
  <c r="K129" i="20" s="1"/>
  <c r="I137" i="32"/>
  <c r="M137" i="32" s="1"/>
  <c r="C25" i="33" s="1"/>
  <c r="G137" i="32"/>
  <c r="K137" i="32" s="1"/>
  <c r="I131" i="17"/>
  <c r="M131" i="17" s="1"/>
  <c r="C23" i="18" s="1"/>
  <c r="I114" i="17"/>
  <c r="M114" i="17" s="1"/>
  <c r="C21" i="18" s="1"/>
  <c r="I105" i="29"/>
  <c r="M105" i="29" s="1"/>
  <c r="C21" i="30" s="1"/>
  <c r="I33" i="26"/>
  <c r="M33" i="26" s="1"/>
  <c r="C12" i="27" s="1"/>
  <c r="G217" i="23"/>
  <c r="K217" i="23" s="1"/>
  <c r="G49" i="23"/>
  <c r="K49" i="23" s="1"/>
  <c r="G185" i="20"/>
  <c r="K185" i="20" s="1"/>
  <c r="I225" i="17"/>
  <c r="M225" i="17" s="1"/>
  <c r="C34" i="18" s="1"/>
  <c r="E34" i="18" s="1"/>
  <c r="I139" i="17"/>
  <c r="M139" i="17" s="1"/>
  <c r="C24" i="18" s="1"/>
  <c r="E232" i="43"/>
  <c r="I121" i="17"/>
  <c r="M121" i="17" s="1"/>
  <c r="C22" i="18" s="1"/>
  <c r="E227" i="43"/>
  <c r="I106" i="17"/>
  <c r="M106" i="17" s="1"/>
  <c r="C20" i="18" s="1"/>
  <c r="E223" i="43"/>
  <c r="I98" i="17"/>
  <c r="M98" i="17" s="1"/>
  <c r="C19" i="18" s="1"/>
  <c r="E221" i="43"/>
  <c r="I197" i="14"/>
  <c r="M197" i="14" s="1"/>
  <c r="D31" i="15" s="1"/>
  <c r="E184" i="43"/>
  <c r="I205" i="14"/>
  <c r="M205" i="14" s="1"/>
  <c r="D32" i="15" s="1"/>
  <c r="I193" i="35"/>
  <c r="M193" i="35" s="1"/>
  <c r="C32" i="36" s="1"/>
  <c r="E32" i="36" s="1"/>
  <c r="G193" i="35"/>
  <c r="K193" i="35" s="1"/>
  <c r="G73" i="35"/>
  <c r="K73" i="35" s="1"/>
  <c r="G209" i="32"/>
  <c r="I169" i="29"/>
  <c r="M169" i="29" s="1"/>
  <c r="C29" i="30" s="1"/>
  <c r="I129" i="29"/>
  <c r="M129" i="29" s="1"/>
  <c r="C24" i="30" s="1"/>
  <c r="G129" i="26"/>
  <c r="K129" i="26" s="1"/>
  <c r="I97" i="26"/>
  <c r="M97" i="26" s="1"/>
  <c r="C20" i="27" s="1"/>
  <c r="G97" i="26"/>
  <c r="K97" i="26" s="1"/>
  <c r="G207" i="17"/>
  <c r="K207" i="17" s="1"/>
  <c r="G103" i="8"/>
  <c r="I73" i="23"/>
  <c r="M73" i="23" s="1"/>
  <c r="C17" i="24" s="1"/>
  <c r="G73" i="23"/>
  <c r="K73" i="23" s="1"/>
  <c r="G180" i="17"/>
  <c r="K180" i="17" s="1"/>
  <c r="G172" i="17"/>
  <c r="K172" i="17" s="1"/>
  <c r="I41" i="20"/>
  <c r="M41" i="20" s="1"/>
  <c r="C13" i="21" s="1"/>
  <c r="G41" i="20"/>
  <c r="K41" i="20" s="1"/>
  <c r="G199" i="17"/>
  <c r="K199" i="17" s="1"/>
  <c r="G190" i="17"/>
  <c r="K190" i="17" s="1"/>
  <c r="G189" i="14"/>
  <c r="K189" i="14" s="1"/>
  <c r="I189" i="14"/>
  <c r="M189" i="14" s="1"/>
  <c r="D30" i="15" s="1"/>
  <c r="I89" i="38"/>
  <c r="M89" i="38" s="1"/>
  <c r="C19" i="39" s="1"/>
  <c r="I9" i="35"/>
  <c r="M9" i="35" s="1"/>
  <c r="C9" i="36" s="1"/>
  <c r="G201" i="29"/>
  <c r="K201" i="29" s="1"/>
  <c r="I169" i="32"/>
  <c r="M169" i="32" s="1"/>
  <c r="C29" i="33" s="1"/>
  <c r="G169" i="32"/>
  <c r="K169" i="32" s="1"/>
  <c r="G209" i="29"/>
  <c r="K209" i="29" s="1"/>
  <c r="I137" i="29"/>
  <c r="M137" i="29" s="1"/>
  <c r="C25" i="30" s="1"/>
  <c r="G137" i="29"/>
  <c r="K137" i="29" s="1"/>
  <c r="I145" i="26"/>
  <c r="M145" i="26" s="1"/>
  <c r="C26" i="27" s="1"/>
  <c r="I145" i="23"/>
  <c r="M145" i="23" s="1"/>
  <c r="C26" i="24" s="1"/>
  <c r="G105" i="26"/>
  <c r="K105" i="26" s="1"/>
  <c r="I89" i="23"/>
  <c r="M89" i="23" s="1"/>
  <c r="C19" i="24" s="1"/>
  <c r="B31" i="15"/>
  <c r="B21" i="15"/>
  <c r="G30" i="14"/>
  <c r="K30" i="14" s="1"/>
  <c r="Y31" i="39"/>
  <c r="D4" i="39"/>
  <c r="C15" i="44" s="1"/>
  <c r="C21" i="52" s="1"/>
  <c r="B17" i="15"/>
  <c r="B16" i="15"/>
  <c r="E20" i="9"/>
  <c r="Y20" i="9"/>
  <c r="E19" i="9"/>
  <c r="Y19" i="9"/>
  <c r="M99" i="8"/>
  <c r="C21" i="9" s="1"/>
  <c r="I99" i="8"/>
  <c r="N99" i="8" s="1"/>
  <c r="E25" i="6"/>
  <c r="Y25" i="6"/>
  <c r="E23" i="6"/>
  <c r="Y23" i="6"/>
  <c r="E10" i="6"/>
  <c r="Y10" i="6"/>
  <c r="N118" i="5"/>
  <c r="I120" i="5"/>
  <c r="N120" i="5" s="1"/>
  <c r="M120" i="5"/>
  <c r="C24" i="6" s="1"/>
  <c r="B32" i="44"/>
  <c r="B31" i="44"/>
  <c r="B30" i="44"/>
  <c r="B29" i="44"/>
  <c r="B28" i="44"/>
  <c r="B27" i="44"/>
  <c r="B26" i="44"/>
  <c r="B4" i="47"/>
  <c r="H16" i="40"/>
  <c r="G26" i="40"/>
  <c r="H26" i="40" s="1"/>
  <c r="B13" i="39"/>
  <c r="B24" i="39"/>
  <c r="B25" i="39"/>
  <c r="B26" i="39"/>
  <c r="B27" i="39"/>
  <c r="B28" i="39"/>
  <c r="B29" i="39"/>
  <c r="B31" i="39"/>
  <c r="B32" i="39"/>
  <c r="B34" i="39"/>
  <c r="B35" i="39"/>
  <c r="B10" i="39"/>
  <c r="B33" i="39"/>
  <c r="Y9" i="39"/>
  <c r="B11" i="39"/>
  <c r="B12" i="39"/>
  <c r="B14" i="39"/>
  <c r="B15" i="39"/>
  <c r="B16" i="39"/>
  <c r="B17" i="39"/>
  <c r="B18" i="39"/>
  <c r="B19" i="39"/>
  <c r="B20" i="39"/>
  <c r="B21" i="39"/>
  <c r="B22" i="39"/>
  <c r="B23" i="39"/>
  <c r="B12" i="36"/>
  <c r="B11" i="36"/>
  <c r="Y10" i="36"/>
  <c r="B22" i="36"/>
  <c r="B33" i="36"/>
  <c r="B32" i="36"/>
  <c r="B31" i="36"/>
  <c r="B30" i="36"/>
  <c r="B29" i="36"/>
  <c r="B28" i="36"/>
  <c r="B27" i="36"/>
  <c r="B26" i="36"/>
  <c r="B24" i="36"/>
  <c r="B23" i="36"/>
  <c r="B21" i="36"/>
  <c r="B20" i="36"/>
  <c r="B19" i="36"/>
  <c r="B18" i="36"/>
  <c r="B17" i="36"/>
  <c r="B16" i="36"/>
  <c r="B15" i="36"/>
  <c r="B14" i="36"/>
  <c r="B13" i="36"/>
  <c r="B16" i="33"/>
  <c r="B17" i="33"/>
  <c r="B19" i="33"/>
  <c r="B12" i="33"/>
  <c r="B20" i="33"/>
  <c r="B21" i="33"/>
  <c r="B22" i="33"/>
  <c r="B29" i="33"/>
  <c r="B25" i="33"/>
  <c r="B14" i="33"/>
  <c r="B35" i="33"/>
  <c r="B13" i="33"/>
  <c r="B34" i="33"/>
  <c r="B33" i="33"/>
  <c r="B23" i="33"/>
  <c r="B11" i="33"/>
  <c r="Y9" i="33"/>
  <c r="B30" i="33"/>
  <c r="B24" i="33"/>
  <c r="B31" i="33"/>
  <c r="B28" i="33"/>
  <c r="B32" i="33"/>
  <c r="B27" i="33"/>
  <c r="B15" i="33"/>
  <c r="B26" i="33"/>
  <c r="B10" i="33"/>
  <c r="L209" i="32"/>
  <c r="H216" i="32"/>
  <c r="L216" i="32" s="1"/>
  <c r="D216" i="32"/>
  <c r="J216" i="32" s="1"/>
  <c r="J209" i="32"/>
  <c r="B11" i="30"/>
  <c r="B13" i="30"/>
  <c r="B18" i="30"/>
  <c r="B19" i="30"/>
  <c r="B21" i="30"/>
  <c r="B22" i="30"/>
  <c r="B23" i="30"/>
  <c r="B20" i="30"/>
  <c r="B26" i="30"/>
  <c r="B10" i="30"/>
  <c r="B27" i="30"/>
  <c r="B24" i="30"/>
  <c r="B28" i="30"/>
  <c r="B34" i="30"/>
  <c r="B32" i="30"/>
  <c r="B29" i="30"/>
  <c r="B17" i="30"/>
  <c r="B16" i="30"/>
  <c r="B12" i="30"/>
  <c r="B15" i="30"/>
  <c r="B25" i="30"/>
  <c r="B33" i="30"/>
  <c r="B31" i="30"/>
  <c r="B30" i="30"/>
  <c r="Y9" i="30"/>
  <c r="B10" i="27"/>
  <c r="B25" i="27"/>
  <c r="B11" i="27"/>
  <c r="B12" i="27"/>
  <c r="B13" i="27"/>
  <c r="B14" i="27"/>
  <c r="B22" i="27"/>
  <c r="B34" i="27"/>
  <c r="B33" i="27"/>
  <c r="B32" i="27"/>
  <c r="B31" i="27"/>
  <c r="B30" i="27"/>
  <c r="B15" i="27"/>
  <c r="B29" i="27"/>
  <c r="B21" i="27"/>
  <c r="B28" i="27"/>
  <c r="B16" i="27"/>
  <c r="B27" i="27"/>
  <c r="Y9" i="27"/>
  <c r="B17" i="27"/>
  <c r="B18" i="27"/>
  <c r="B26" i="27"/>
  <c r="B23" i="27"/>
  <c r="B19" i="27"/>
  <c r="B24" i="27"/>
  <c r="B20" i="27"/>
  <c r="B23" i="24"/>
  <c r="B24" i="24"/>
  <c r="B25" i="24"/>
  <c r="B12" i="24"/>
  <c r="B26" i="24"/>
  <c r="B27" i="24"/>
  <c r="B28" i="24"/>
  <c r="Y9" i="24"/>
  <c r="B16" i="24"/>
  <c r="B15" i="24"/>
  <c r="B29" i="24"/>
  <c r="B30" i="24"/>
  <c r="B32" i="24"/>
  <c r="B34" i="24"/>
  <c r="B35" i="24"/>
  <c r="B11" i="24"/>
  <c r="B10" i="24"/>
  <c r="B17" i="24"/>
  <c r="B33" i="24"/>
  <c r="B18" i="24"/>
  <c r="B19" i="24"/>
  <c r="B20" i="24"/>
  <c r="B14" i="24"/>
  <c r="B21" i="24"/>
  <c r="B13" i="24"/>
  <c r="B22" i="24"/>
  <c r="B31" i="24"/>
  <c r="B30" i="21"/>
  <c r="B23" i="21"/>
  <c r="B29" i="21"/>
  <c r="B27" i="21"/>
  <c r="B26" i="21"/>
  <c r="B25" i="21"/>
  <c r="B24" i="21"/>
  <c r="B22" i="21"/>
  <c r="B21" i="21"/>
  <c r="B20" i="21"/>
  <c r="B19" i="21"/>
  <c r="B18" i="21"/>
  <c r="B17" i="21"/>
  <c r="B16" i="21"/>
  <c r="B15" i="21"/>
  <c r="B14" i="21"/>
  <c r="B13" i="21"/>
  <c r="B12" i="21"/>
  <c r="B11" i="21"/>
  <c r="Y9" i="21"/>
  <c r="B28" i="21"/>
  <c r="B10" i="21"/>
  <c r="B34" i="21"/>
  <c r="B33" i="21"/>
  <c r="B32" i="21"/>
  <c r="B31" i="21"/>
  <c r="B27" i="18"/>
  <c r="B30" i="18"/>
  <c r="B26" i="18"/>
  <c r="B25" i="18"/>
  <c r="B24" i="18"/>
  <c r="B23" i="18"/>
  <c r="B22" i="18"/>
  <c r="B31" i="18"/>
  <c r="B18" i="18"/>
  <c r="B28" i="18"/>
  <c r="B32" i="18"/>
  <c r="B33" i="18"/>
  <c r="B34" i="18"/>
  <c r="B10" i="18"/>
  <c r="B11" i="18"/>
  <c r="B17" i="18"/>
  <c r="B12" i="18"/>
  <c r="B13" i="18"/>
  <c r="B14" i="18"/>
  <c r="B15" i="18"/>
  <c r="B29" i="18"/>
  <c r="B16" i="18"/>
  <c r="B21" i="18"/>
  <c r="B20" i="18"/>
  <c r="B19" i="18"/>
  <c r="G225" i="17"/>
  <c r="K225" i="17" s="1"/>
  <c r="G139" i="17"/>
  <c r="K139" i="17" s="1"/>
  <c r="G232" i="43"/>
  <c r="G231" i="43"/>
  <c r="G131" i="17"/>
  <c r="K131" i="17" s="1"/>
  <c r="D121" i="17"/>
  <c r="J121" i="17" s="1"/>
  <c r="G117" i="17"/>
  <c r="G109" i="17"/>
  <c r="D114" i="17"/>
  <c r="J114" i="17" s="1"/>
  <c r="D106" i="17"/>
  <c r="J106" i="17" s="1"/>
  <c r="G101" i="17"/>
  <c r="G93" i="17"/>
  <c r="D98" i="17"/>
  <c r="J98" i="17" s="1"/>
  <c r="I90" i="17"/>
  <c r="M90" i="17" s="1"/>
  <c r="C18" i="18" s="1"/>
  <c r="E219" i="43"/>
  <c r="D90" i="17"/>
  <c r="J90" i="17" s="1"/>
  <c r="G85" i="17"/>
  <c r="E217" i="43"/>
  <c r="I82" i="17"/>
  <c r="M82" i="17" s="1"/>
  <c r="C17" i="18" s="1"/>
  <c r="G217" i="43"/>
  <c r="G82" i="17"/>
  <c r="K82" i="17" s="1"/>
  <c r="E215" i="43"/>
  <c r="I73" i="17"/>
  <c r="M73" i="17" s="1"/>
  <c r="C16" i="18" s="1"/>
  <c r="I65" i="17"/>
  <c r="M65" i="17" s="1"/>
  <c r="C15" i="18" s="1"/>
  <c r="E214" i="43"/>
  <c r="D65" i="17"/>
  <c r="J65" i="17" s="1"/>
  <c r="F214" i="43"/>
  <c r="G60" i="17"/>
  <c r="D68" i="17"/>
  <c r="G51" i="17"/>
  <c r="G209" i="43" s="1"/>
  <c r="F209" i="43"/>
  <c r="I57" i="17"/>
  <c r="M57" i="17" s="1"/>
  <c r="C14" i="18" s="1"/>
  <c r="E208" i="43"/>
  <c r="D57" i="17"/>
  <c r="J57" i="17" s="1"/>
  <c r="G50" i="17"/>
  <c r="F208" i="43"/>
  <c r="I47" i="17"/>
  <c r="M47" i="17" s="1"/>
  <c r="C13" i="18" s="1"/>
  <c r="E202" i="43"/>
  <c r="G47" i="17"/>
  <c r="K47" i="17" s="1"/>
  <c r="G202" i="43"/>
  <c r="F200" i="43"/>
  <c r="G38" i="17"/>
  <c r="G200" i="43" s="1"/>
  <c r="I35" i="17"/>
  <c r="M35" i="17" s="1"/>
  <c r="C12" i="18" s="1"/>
  <c r="E195" i="43"/>
  <c r="G35" i="17"/>
  <c r="K35" i="17" s="1"/>
  <c r="G195" i="43"/>
  <c r="I26" i="17"/>
  <c r="M26" i="17" s="1"/>
  <c r="C11" i="18" s="1"/>
  <c r="E194" i="43"/>
  <c r="F194" i="43"/>
  <c r="D26" i="17"/>
  <c r="J26" i="17" s="1"/>
  <c r="G21" i="17"/>
  <c r="E192" i="43"/>
  <c r="I18" i="17"/>
  <c r="M18" i="17" s="1"/>
  <c r="C10" i="18" s="1"/>
  <c r="G18" i="17"/>
  <c r="K18" i="17" s="1"/>
  <c r="G192" i="43"/>
  <c r="E189" i="43"/>
  <c r="I10" i="17"/>
  <c r="M10" i="17" s="1"/>
  <c r="C9" i="18" s="1"/>
  <c r="D10" i="17"/>
  <c r="J10" i="17" s="1"/>
  <c r="F189" i="43"/>
  <c r="G4" i="17"/>
  <c r="B28" i="15"/>
  <c r="Z28" i="15"/>
  <c r="B30" i="15"/>
  <c r="B19" i="15"/>
  <c r="B24" i="15"/>
  <c r="B23" i="15"/>
  <c r="B22" i="15"/>
  <c r="B32" i="15"/>
  <c r="B20" i="15"/>
  <c r="B18" i="15"/>
  <c r="B26" i="15"/>
  <c r="B29" i="15"/>
  <c r="E4" i="15"/>
  <c r="C7" i="44" s="1"/>
  <c r="C13" i="52" s="1"/>
  <c r="B27" i="15"/>
  <c r="B25" i="15"/>
  <c r="B10" i="15"/>
  <c r="B13" i="15"/>
  <c r="B12" i="15"/>
  <c r="B15" i="15"/>
  <c r="Z9" i="15"/>
  <c r="B14" i="15"/>
  <c r="D197" i="14"/>
  <c r="J197" i="14" s="1"/>
  <c r="G192" i="14"/>
  <c r="D200" i="14"/>
  <c r="E181" i="43"/>
  <c r="I181" i="14"/>
  <c r="M181" i="14" s="1"/>
  <c r="D29" i="15" s="1"/>
  <c r="G181" i="14"/>
  <c r="K181" i="14" s="1"/>
  <c r="G181" i="43"/>
  <c r="I173" i="14"/>
  <c r="E180" i="43"/>
  <c r="G168" i="14"/>
  <c r="F180" i="43"/>
  <c r="D173" i="14"/>
  <c r="J173" i="14" s="1"/>
  <c r="I165" i="14"/>
  <c r="M165" i="14" s="1"/>
  <c r="D27" i="15" s="1"/>
  <c r="E178" i="43"/>
  <c r="G178" i="43"/>
  <c r="G165" i="14"/>
  <c r="K165" i="14" s="1"/>
  <c r="I157" i="14"/>
  <c r="M157" i="14" s="1"/>
  <c r="D26" i="15" s="1"/>
  <c r="E176" i="43"/>
  <c r="E175" i="43"/>
  <c r="I148" i="14"/>
  <c r="M148" i="14" s="1"/>
  <c r="D25" i="15" s="1"/>
  <c r="D175" i="43"/>
  <c r="H148" i="14"/>
  <c r="L148" i="14" s="1"/>
  <c r="F175" i="43"/>
  <c r="G143" i="14"/>
  <c r="D148" i="14"/>
  <c r="J148" i="14" s="1"/>
  <c r="D151" i="14"/>
  <c r="I140" i="14"/>
  <c r="M140" i="14" s="1"/>
  <c r="D24" i="15" s="1"/>
  <c r="E173" i="43"/>
  <c r="G173" i="43"/>
  <c r="G140" i="14"/>
  <c r="K140" i="14" s="1"/>
  <c r="I132" i="14"/>
  <c r="M132" i="14" s="1"/>
  <c r="D23" i="15" s="1"/>
  <c r="E171" i="43"/>
  <c r="D132" i="14"/>
  <c r="J132" i="14" s="1"/>
  <c r="F171" i="43"/>
  <c r="G127" i="14"/>
  <c r="I124" i="14"/>
  <c r="M124" i="14" s="1"/>
  <c r="E169" i="43"/>
  <c r="G124" i="14"/>
  <c r="K124" i="14" s="1"/>
  <c r="G169" i="43"/>
  <c r="G168" i="43"/>
  <c r="G116" i="14"/>
  <c r="K116" i="14" s="1"/>
  <c r="E165" i="43"/>
  <c r="I108" i="14"/>
  <c r="M108" i="14" s="1"/>
  <c r="D20" i="15" s="1"/>
  <c r="D108" i="14"/>
  <c r="J108" i="14" s="1"/>
  <c r="G103" i="14"/>
  <c r="F165" i="43"/>
  <c r="I100" i="14"/>
  <c r="M100" i="14" s="1"/>
  <c r="D19" i="15" s="1"/>
  <c r="E163" i="43"/>
  <c r="G100" i="14"/>
  <c r="K100" i="14" s="1"/>
  <c r="G163" i="43"/>
  <c r="I92" i="14"/>
  <c r="M92" i="14" s="1"/>
  <c r="D18" i="15" s="1"/>
  <c r="E161" i="43"/>
  <c r="G161" i="43"/>
  <c r="G92" i="14"/>
  <c r="K92" i="14" s="1"/>
  <c r="I84" i="14"/>
  <c r="M84" i="14" s="1"/>
  <c r="D17" i="15" s="1"/>
  <c r="E160" i="43"/>
  <c r="F160" i="43"/>
  <c r="G79" i="14"/>
  <c r="D84" i="14"/>
  <c r="J84" i="14" s="1"/>
  <c r="I76" i="14"/>
  <c r="M76" i="14" s="1"/>
  <c r="D16" i="15" s="1"/>
  <c r="E159" i="43"/>
  <c r="G159" i="43"/>
  <c r="G76" i="14"/>
  <c r="K76" i="14" s="1"/>
  <c r="I68" i="14"/>
  <c r="M68" i="14" s="1"/>
  <c r="D15" i="15" s="1"/>
  <c r="E158" i="43"/>
  <c r="I60" i="14"/>
  <c r="M60" i="14" s="1"/>
  <c r="D14" i="15" s="1"/>
  <c r="E157" i="43"/>
  <c r="D63" i="14"/>
  <c r="G55" i="14"/>
  <c r="F157" i="43"/>
  <c r="D60" i="14"/>
  <c r="J60" i="14" s="1"/>
  <c r="I52" i="14"/>
  <c r="M52" i="14" s="1"/>
  <c r="D13" i="15" s="1"/>
  <c r="E151" i="43"/>
  <c r="G151" i="43"/>
  <c r="G52" i="14"/>
  <c r="K52" i="14" s="1"/>
  <c r="E145" i="43"/>
  <c r="I42" i="14"/>
  <c r="M42" i="14" s="1"/>
  <c r="D12" i="15" s="1"/>
  <c r="G145" i="43"/>
  <c r="G42" i="14"/>
  <c r="K42" i="14" s="1"/>
  <c r="E140" i="43"/>
  <c r="I22" i="14"/>
  <c r="M22" i="14" s="1"/>
  <c r="D10" i="15" s="1"/>
  <c r="G22" i="14"/>
  <c r="K22" i="14" s="1"/>
  <c r="G140" i="43"/>
  <c r="E136" i="43"/>
  <c r="I14" i="14"/>
  <c r="M14" i="14" s="1"/>
  <c r="D9" i="15" s="1"/>
  <c r="G14" i="14"/>
  <c r="K14" i="14" s="1"/>
  <c r="G136" i="43"/>
  <c r="I199" i="11"/>
  <c r="M199" i="11"/>
  <c r="C30" i="12" s="1"/>
  <c r="K199" i="11"/>
  <c r="G199" i="11"/>
  <c r="I190" i="11"/>
  <c r="M190" i="11"/>
  <c r="C29" i="12" s="1"/>
  <c r="G190" i="11"/>
  <c r="K190" i="11"/>
  <c r="M181" i="11"/>
  <c r="C28" i="12" s="1"/>
  <c r="I181" i="11"/>
  <c r="G181" i="11"/>
  <c r="K181" i="11"/>
  <c r="I172" i="11"/>
  <c r="M172" i="11"/>
  <c r="C27" i="12" s="1"/>
  <c r="K172" i="11"/>
  <c r="G172" i="11"/>
  <c r="M163" i="11"/>
  <c r="C26" i="12" s="1"/>
  <c r="I163" i="11"/>
  <c r="G163" i="11"/>
  <c r="K163" i="11"/>
  <c r="I154" i="11"/>
  <c r="M154" i="11"/>
  <c r="C25" i="12" s="1"/>
  <c r="G154" i="11"/>
  <c r="K154" i="11"/>
  <c r="I145" i="11"/>
  <c r="M145" i="11"/>
  <c r="C24" i="12" s="1"/>
  <c r="E129" i="43"/>
  <c r="G145" i="11"/>
  <c r="K145" i="11"/>
  <c r="G129" i="43"/>
  <c r="I136" i="11"/>
  <c r="M136" i="11"/>
  <c r="C23" i="12" s="1"/>
  <c r="E128" i="43"/>
  <c r="G128" i="43"/>
  <c r="G136" i="11"/>
  <c r="K136" i="11"/>
  <c r="E124" i="43"/>
  <c r="M127" i="11"/>
  <c r="C22" i="12" s="1"/>
  <c r="I127" i="11"/>
  <c r="F124" i="43"/>
  <c r="G121" i="11"/>
  <c r="J127" i="11"/>
  <c r="D127" i="11"/>
  <c r="E122" i="43"/>
  <c r="M118" i="11"/>
  <c r="C21" i="12" s="1"/>
  <c r="I118" i="11"/>
  <c r="F122" i="43"/>
  <c r="G112" i="11"/>
  <c r="J118" i="11"/>
  <c r="D118" i="11"/>
  <c r="M109" i="11"/>
  <c r="C20" i="12" s="1"/>
  <c r="E121" i="43"/>
  <c r="I109" i="11"/>
  <c r="J109" i="11"/>
  <c r="F121" i="43"/>
  <c r="G103" i="11"/>
  <c r="D109" i="11"/>
  <c r="M100" i="11"/>
  <c r="C19" i="12" s="1"/>
  <c r="I100" i="11"/>
  <c r="E119" i="43"/>
  <c r="J100" i="11"/>
  <c r="G94" i="11"/>
  <c r="D100" i="11"/>
  <c r="F119" i="43"/>
  <c r="M91" i="11"/>
  <c r="C18" i="12" s="1"/>
  <c r="I91" i="11"/>
  <c r="E118" i="43"/>
  <c r="G85" i="11"/>
  <c r="D91" i="11"/>
  <c r="F118" i="43"/>
  <c r="J91" i="11"/>
  <c r="M82" i="11"/>
  <c r="C17" i="12" s="1"/>
  <c r="I82" i="11"/>
  <c r="E116" i="43"/>
  <c r="I73" i="11"/>
  <c r="M73" i="11"/>
  <c r="C16" i="12" s="1"/>
  <c r="E115" i="43"/>
  <c r="D73" i="11"/>
  <c r="F115" i="43"/>
  <c r="J73" i="11"/>
  <c r="D76" i="11"/>
  <c r="G67" i="11"/>
  <c r="E111" i="43"/>
  <c r="M64" i="11"/>
  <c r="C15" i="12" s="1"/>
  <c r="I64" i="11"/>
  <c r="G64" i="11"/>
  <c r="K64" i="11"/>
  <c r="G111" i="43"/>
  <c r="M55" i="11"/>
  <c r="C14" i="12" s="1"/>
  <c r="E110" i="43"/>
  <c r="I55" i="11"/>
  <c r="K55" i="11"/>
  <c r="G110" i="43"/>
  <c r="G55" i="11"/>
  <c r="M46" i="11"/>
  <c r="C13" i="12" s="1"/>
  <c r="I46" i="11"/>
  <c r="E106" i="43"/>
  <c r="G46" i="11"/>
  <c r="K46" i="11"/>
  <c r="G106" i="43"/>
  <c r="E101" i="43"/>
  <c r="M37" i="11"/>
  <c r="C12" i="12" s="1"/>
  <c r="I37" i="11"/>
  <c r="D37" i="11"/>
  <c r="J37" i="11"/>
  <c r="G31" i="11"/>
  <c r="F101" i="43"/>
  <c r="I28" i="11"/>
  <c r="E98" i="43"/>
  <c r="M28" i="11"/>
  <c r="C11" i="12" s="1"/>
  <c r="F98" i="43"/>
  <c r="J28" i="11"/>
  <c r="G22" i="11"/>
  <c r="D28" i="11"/>
  <c r="I19" i="11"/>
  <c r="E96" i="43"/>
  <c r="M19" i="11"/>
  <c r="C10" i="12" s="1"/>
  <c r="F96" i="43"/>
  <c r="D19" i="11"/>
  <c r="G13" i="11"/>
  <c r="J19" i="11"/>
  <c r="I10" i="11"/>
  <c r="E94" i="43"/>
  <c r="M10" i="11"/>
  <c r="C9" i="12" s="1"/>
  <c r="N161" i="8"/>
  <c r="E91" i="43"/>
  <c r="D10" i="11"/>
  <c r="J10" i="11"/>
  <c r="G4" i="11"/>
  <c r="F94" i="43"/>
  <c r="I164" i="8"/>
  <c r="M164" i="8"/>
  <c r="C28" i="9" s="1"/>
  <c r="E90" i="43"/>
  <c r="N160" i="8"/>
  <c r="G90" i="43"/>
  <c r="G164" i="8"/>
  <c r="K198" i="8" s="1"/>
  <c r="K164" i="8"/>
  <c r="E89" i="43"/>
  <c r="N152" i="8"/>
  <c r="N151" i="8"/>
  <c r="E88" i="43"/>
  <c r="I156" i="8"/>
  <c r="N156" i="8" s="1"/>
  <c r="M156" i="8"/>
  <c r="C27" i="9" s="1"/>
  <c r="G156" i="8"/>
  <c r="K156" i="8"/>
  <c r="G88" i="43"/>
  <c r="E87" i="43"/>
  <c r="N144" i="8"/>
  <c r="E86" i="43"/>
  <c r="N143" i="8"/>
  <c r="N142" i="8"/>
  <c r="E85" i="43"/>
  <c r="E84" i="43"/>
  <c r="N141" i="8"/>
  <c r="N140" i="8"/>
  <c r="E83" i="43"/>
  <c r="I147" i="8"/>
  <c r="N147" i="8" s="1"/>
  <c r="G83" i="43"/>
  <c r="G147" i="8"/>
  <c r="E82" i="43"/>
  <c r="N139" i="8"/>
  <c r="M147" i="8"/>
  <c r="C26" i="9" s="1"/>
  <c r="G82" i="43"/>
  <c r="K147" i="8"/>
  <c r="N132" i="8"/>
  <c r="E81" i="43"/>
  <c r="E80" i="43"/>
  <c r="N131" i="8"/>
  <c r="M135" i="8"/>
  <c r="C25" i="9" s="1"/>
  <c r="N130" i="8"/>
  <c r="E79" i="43"/>
  <c r="I135" i="8"/>
  <c r="N135" i="8" s="1"/>
  <c r="D135" i="8"/>
  <c r="J135" i="8"/>
  <c r="F79" i="43"/>
  <c r="J130" i="8"/>
  <c r="G130" i="8"/>
  <c r="E78" i="43"/>
  <c r="N124" i="8"/>
  <c r="E77" i="43"/>
  <c r="N123" i="8"/>
  <c r="M126" i="8"/>
  <c r="C24" i="9" s="1"/>
  <c r="I126" i="8"/>
  <c r="N126" i="8" s="1"/>
  <c r="N122" i="8"/>
  <c r="E76" i="43"/>
  <c r="J126" i="8"/>
  <c r="F76" i="43"/>
  <c r="J122" i="8"/>
  <c r="D126" i="8"/>
  <c r="G122" i="8"/>
  <c r="E75" i="43"/>
  <c r="N115" i="8"/>
  <c r="E74" i="43"/>
  <c r="N114" i="8"/>
  <c r="I118" i="8"/>
  <c r="N118" i="8" s="1"/>
  <c r="N113" i="8"/>
  <c r="M118" i="8"/>
  <c r="C23" i="9" s="1"/>
  <c r="E73" i="43"/>
  <c r="J113" i="8"/>
  <c r="D118" i="8"/>
  <c r="J118" i="8"/>
  <c r="F73" i="43"/>
  <c r="G113" i="8"/>
  <c r="N106" i="8"/>
  <c r="E72" i="43"/>
  <c r="E71" i="43"/>
  <c r="N105" i="8"/>
  <c r="E70" i="43"/>
  <c r="N104" i="8"/>
  <c r="I109" i="8"/>
  <c r="N109" i="8" s="1"/>
  <c r="M109" i="8"/>
  <c r="C22" i="9" s="1"/>
  <c r="E69" i="43"/>
  <c r="N103" i="8"/>
  <c r="F69" i="43"/>
  <c r="J109" i="8"/>
  <c r="D109" i="8"/>
  <c r="J103" i="8"/>
  <c r="N95" i="8"/>
  <c r="E68" i="43"/>
  <c r="N94" i="8"/>
  <c r="E67" i="43"/>
  <c r="N93" i="8"/>
  <c r="E66" i="43"/>
  <c r="G93" i="8"/>
  <c r="J93" i="8"/>
  <c r="D99" i="8"/>
  <c r="J99" i="8"/>
  <c r="F66" i="43"/>
  <c r="N84" i="8"/>
  <c r="E65" i="43"/>
  <c r="E64" i="43"/>
  <c r="N83" i="8"/>
  <c r="E63" i="43"/>
  <c r="N82" i="8"/>
  <c r="I89" i="8"/>
  <c r="N89" i="8" s="1"/>
  <c r="G89" i="8"/>
  <c r="G63" i="43"/>
  <c r="N81" i="8"/>
  <c r="M89" i="8"/>
  <c r="C18" i="9" s="1"/>
  <c r="E62" i="43"/>
  <c r="E61" i="43"/>
  <c r="M77" i="8"/>
  <c r="C17" i="9" s="1"/>
  <c r="I77" i="8"/>
  <c r="N77" i="8" s="1"/>
  <c r="N73" i="8"/>
  <c r="O77" i="8" s="1"/>
  <c r="G73" i="8"/>
  <c r="J73" i="8"/>
  <c r="D77" i="8"/>
  <c r="J77" i="8"/>
  <c r="D81" i="8"/>
  <c r="F61" i="43"/>
  <c r="N66" i="8"/>
  <c r="E60" i="43"/>
  <c r="E59" i="43"/>
  <c r="M69" i="8"/>
  <c r="C16" i="9" s="1"/>
  <c r="I69" i="8"/>
  <c r="N69" i="8" s="1"/>
  <c r="N65" i="8"/>
  <c r="I61" i="8"/>
  <c r="N61" i="8" s="1"/>
  <c r="M61" i="8"/>
  <c r="C15" i="9" s="1"/>
  <c r="E58" i="43"/>
  <c r="N57" i="8"/>
  <c r="O61" i="8" s="1"/>
  <c r="G57" i="8"/>
  <c r="J57" i="8"/>
  <c r="D61" i="8"/>
  <c r="J61" i="8"/>
  <c r="D65" i="8"/>
  <c r="F58" i="43"/>
  <c r="E57" i="43"/>
  <c r="N50" i="8"/>
  <c r="N49" i="8"/>
  <c r="E56" i="43"/>
  <c r="M53" i="8"/>
  <c r="C14" i="9" s="1"/>
  <c r="I53" i="8"/>
  <c r="N53" i="8" s="1"/>
  <c r="N48" i="8"/>
  <c r="E55" i="43"/>
  <c r="G53" i="8"/>
  <c r="K53" i="8"/>
  <c r="G55" i="43"/>
  <c r="M44" i="8"/>
  <c r="C13" i="9" s="1"/>
  <c r="I44" i="8"/>
  <c r="N44" i="8" s="1"/>
  <c r="N39" i="8"/>
  <c r="O44" i="8" s="1"/>
  <c r="G44" i="8"/>
  <c r="K44" i="8"/>
  <c r="E54" i="43"/>
  <c r="N32" i="8"/>
  <c r="E53" i="43"/>
  <c r="N31" i="8"/>
  <c r="N30" i="8"/>
  <c r="E52" i="43"/>
  <c r="M35" i="8"/>
  <c r="C12" i="9" s="1"/>
  <c r="I35" i="8"/>
  <c r="N35" i="8" s="1"/>
  <c r="N29" i="8"/>
  <c r="E51" i="43"/>
  <c r="G29" i="8"/>
  <c r="J29" i="8"/>
  <c r="D35" i="8"/>
  <c r="J35" i="8"/>
  <c r="F51" i="43"/>
  <c r="E50" i="43"/>
  <c r="N22" i="8"/>
  <c r="M25" i="8"/>
  <c r="C11" i="9" s="1"/>
  <c r="I25" i="8"/>
  <c r="N25" i="8" s="1"/>
  <c r="E49" i="43"/>
  <c r="N21" i="8"/>
  <c r="I17" i="8"/>
  <c r="N17" i="8" s="1"/>
  <c r="N13" i="8"/>
  <c r="O17" i="8" s="1"/>
  <c r="E48" i="43"/>
  <c r="M17" i="8"/>
  <c r="C10" i="9" s="1"/>
  <c r="G13" i="8"/>
  <c r="J13" i="8"/>
  <c r="D17" i="8"/>
  <c r="J17" i="8"/>
  <c r="D21" i="8"/>
  <c r="F48" i="43"/>
  <c r="E47" i="43"/>
  <c r="N6" i="8"/>
  <c r="E46" i="43"/>
  <c r="N5" i="8"/>
  <c r="I9" i="8"/>
  <c r="N9" i="8" s="1"/>
  <c r="M9" i="8"/>
  <c r="C9" i="9" s="1"/>
  <c r="G5" i="8"/>
  <c r="J5" i="8"/>
  <c r="D9" i="8"/>
  <c r="J9" i="8"/>
  <c r="F46" i="43"/>
  <c r="E43" i="43"/>
  <c r="N174" i="5"/>
  <c r="N173" i="5"/>
  <c r="E42" i="43"/>
  <c r="M198" i="5"/>
  <c r="C30" i="6" s="1"/>
  <c r="J198" i="5"/>
  <c r="G173" i="5"/>
  <c r="J173" i="5"/>
  <c r="F42" i="43"/>
  <c r="E41" i="43"/>
  <c r="N167" i="5"/>
  <c r="N166" i="5"/>
  <c r="E40" i="43"/>
  <c r="N165" i="5"/>
  <c r="E39" i="43"/>
  <c r="I169" i="5"/>
  <c r="N169" i="5" s="1"/>
  <c r="N164" i="5"/>
  <c r="M169" i="5"/>
  <c r="C29" i="6" s="1"/>
  <c r="K169" i="5"/>
  <c r="G169" i="5"/>
  <c r="I161" i="5"/>
  <c r="N161" i="5" s="1"/>
  <c r="N154" i="5"/>
  <c r="O161" i="5" s="1"/>
  <c r="M161" i="5"/>
  <c r="C28" i="6" s="1"/>
  <c r="G161" i="5"/>
  <c r="K161" i="5"/>
  <c r="I150" i="5"/>
  <c r="N150" i="5" s="1"/>
  <c r="M150" i="5"/>
  <c r="C27" i="6" s="1"/>
  <c r="N146" i="5"/>
  <c r="O150" i="5" s="1"/>
  <c r="E38" i="43"/>
  <c r="J150" i="5"/>
  <c r="G146" i="5"/>
  <c r="D150" i="5"/>
  <c r="F38" i="43"/>
  <c r="J146" i="5"/>
  <c r="N139" i="5"/>
  <c r="E37" i="43"/>
  <c r="E36" i="43"/>
  <c r="N138" i="5"/>
  <c r="N137" i="5"/>
  <c r="E35" i="43"/>
  <c r="N136" i="5"/>
  <c r="I142" i="5"/>
  <c r="N142" i="5" s="1"/>
  <c r="M142" i="5"/>
  <c r="C26" i="6" s="1"/>
  <c r="K142" i="5"/>
  <c r="G142" i="5"/>
  <c r="N129" i="5"/>
  <c r="E34" i="43"/>
  <c r="N128" i="5"/>
  <c r="E33" i="43"/>
  <c r="E32" i="43"/>
  <c r="N127" i="5"/>
  <c r="E31" i="43"/>
  <c r="N126" i="5"/>
  <c r="N125" i="5"/>
  <c r="E30" i="43"/>
  <c r="I132" i="5"/>
  <c r="N132" i="5" s="1"/>
  <c r="G132" i="5"/>
  <c r="G30" i="43"/>
  <c r="N124" i="5"/>
  <c r="E29" i="43"/>
  <c r="M132" i="5"/>
  <c r="G124" i="5"/>
  <c r="J124" i="5"/>
  <c r="F29" i="43"/>
  <c r="J132" i="5"/>
  <c r="N116" i="5"/>
  <c r="E28" i="43"/>
  <c r="N115" i="5"/>
  <c r="E27" i="43"/>
  <c r="N114" i="5"/>
  <c r="E26" i="43"/>
  <c r="G114" i="5"/>
  <c r="J114" i="5"/>
  <c r="D120" i="5"/>
  <c r="J120" i="5"/>
  <c r="F26" i="43"/>
  <c r="N107" i="5"/>
  <c r="E25" i="43"/>
  <c r="I110" i="5"/>
  <c r="N110" i="5" s="1"/>
  <c r="N106" i="5"/>
  <c r="M110" i="5"/>
  <c r="E24" i="43"/>
  <c r="G110" i="5"/>
  <c r="K110" i="5"/>
  <c r="G24" i="43"/>
  <c r="E23" i="43"/>
  <c r="N98" i="5"/>
  <c r="E22" i="43"/>
  <c r="N97" i="5"/>
  <c r="E21" i="43"/>
  <c r="M102" i="5"/>
  <c r="C22" i="6" s="1"/>
  <c r="I102" i="5"/>
  <c r="N102" i="5" s="1"/>
  <c r="N96" i="5"/>
  <c r="G96" i="5"/>
  <c r="J96" i="5"/>
  <c r="D102" i="5"/>
  <c r="J102" i="5"/>
  <c r="F21" i="43"/>
  <c r="N88" i="5"/>
  <c r="E20" i="43"/>
  <c r="E19" i="43"/>
  <c r="N87" i="5"/>
  <c r="N86" i="5"/>
  <c r="E18" i="43"/>
  <c r="M92" i="5"/>
  <c r="C21" i="6" s="1"/>
  <c r="I92" i="5"/>
  <c r="N92" i="5" s="1"/>
  <c r="G86" i="5"/>
  <c r="J86" i="5"/>
  <c r="D92" i="5"/>
  <c r="J92" i="5"/>
  <c r="F18" i="43"/>
  <c r="N79" i="5"/>
  <c r="E17" i="43"/>
  <c r="N78" i="5"/>
  <c r="E16" i="43"/>
  <c r="I82" i="5"/>
  <c r="N82" i="5" s="1"/>
  <c r="M82" i="5"/>
  <c r="C20" i="6" s="1"/>
  <c r="G78" i="5"/>
  <c r="J78" i="5"/>
  <c r="D82" i="5"/>
  <c r="J82" i="5"/>
  <c r="F16" i="43"/>
  <c r="E15" i="43"/>
  <c r="N70" i="5"/>
  <c r="I74" i="5"/>
  <c r="N74" i="5" s="1"/>
  <c r="M74" i="5"/>
  <c r="C19" i="6" s="1"/>
  <c r="E14" i="43"/>
  <c r="N69" i="5"/>
  <c r="G74" i="5"/>
  <c r="K74" i="5"/>
  <c r="G14" i="43"/>
  <c r="I65" i="5"/>
  <c r="N65" i="5" s="1"/>
  <c r="E13" i="43"/>
  <c r="M65" i="5"/>
  <c r="C18" i="6" s="1"/>
  <c r="N61" i="5"/>
  <c r="O65" i="5" s="1"/>
  <c r="G61" i="5"/>
  <c r="J61" i="5"/>
  <c r="D65" i="5"/>
  <c r="J65" i="5"/>
  <c r="F13" i="43"/>
  <c r="N55" i="5"/>
  <c r="E12" i="43"/>
  <c r="M57" i="5"/>
  <c r="C17" i="6" s="1"/>
  <c r="I57" i="5"/>
  <c r="N57" i="5" s="1"/>
  <c r="E11" i="43"/>
  <c r="N53" i="5"/>
  <c r="E10" i="43"/>
  <c r="M49" i="5"/>
  <c r="C16" i="6" s="1"/>
  <c r="I49" i="5"/>
  <c r="N49" i="5" s="1"/>
  <c r="N45" i="5"/>
  <c r="O49" i="5" s="1"/>
  <c r="G45" i="5"/>
  <c r="J45" i="5"/>
  <c r="D49" i="5"/>
  <c r="J49" i="5"/>
  <c r="D53" i="5"/>
  <c r="F10" i="43"/>
  <c r="E9" i="43"/>
  <c r="N37" i="5"/>
  <c r="E8" i="43"/>
  <c r="M41" i="5"/>
  <c r="C15" i="6" s="1"/>
  <c r="I41" i="5"/>
  <c r="N41" i="5" s="1"/>
  <c r="N36" i="5"/>
  <c r="I32" i="5"/>
  <c r="N32" i="5" s="1"/>
  <c r="N28" i="5"/>
  <c r="O32" i="5" s="1"/>
  <c r="M32" i="5"/>
  <c r="C14" i="6" s="1"/>
  <c r="E7" i="43"/>
  <c r="G28" i="5"/>
  <c r="J28" i="5"/>
  <c r="D32" i="5"/>
  <c r="J32" i="5"/>
  <c r="D36" i="5"/>
  <c r="F7" i="43"/>
  <c r="N21" i="5"/>
  <c r="E6" i="43"/>
  <c r="I24" i="5"/>
  <c r="N24" i="5" s="1"/>
  <c r="M24" i="5"/>
  <c r="C13" i="6" s="1"/>
  <c r="E5" i="43"/>
  <c r="N20" i="5"/>
  <c r="E4" i="43"/>
  <c r="N13" i="5"/>
  <c r="O16" i="5" s="1"/>
  <c r="M16" i="5"/>
  <c r="C12" i="6" s="1"/>
  <c r="G13" i="5"/>
  <c r="D20" i="5"/>
  <c r="J13" i="5"/>
  <c r="J16" i="5"/>
  <c r="F4" i="43"/>
  <c r="N6" i="5"/>
  <c r="E3" i="43"/>
  <c r="M9" i="5"/>
  <c r="C11" i="6" s="1"/>
  <c r="I9" i="5"/>
  <c r="N5" i="5"/>
  <c r="E2" i="43"/>
  <c r="G2" i="43"/>
  <c r="G9" i="5"/>
  <c r="K9" i="5"/>
  <c r="G193" i="38"/>
  <c r="K193" i="38" s="1"/>
  <c r="G153" i="35"/>
  <c r="K153" i="35" s="1"/>
  <c r="G129" i="32"/>
  <c r="K129" i="32" s="1"/>
  <c r="G9" i="29"/>
  <c r="K9" i="29" s="1"/>
  <c r="G177" i="23"/>
  <c r="K177" i="23" s="1"/>
  <c r="G105" i="23"/>
  <c r="K105" i="23" s="1"/>
  <c r="G75" i="20"/>
  <c r="K75" i="20" s="1"/>
  <c r="G105" i="29"/>
  <c r="K105" i="29" s="1"/>
  <c r="G25" i="20"/>
  <c r="K25" i="20" s="1"/>
  <c r="D16" i="5"/>
  <c r="D13" i="51" l="1"/>
  <c r="D12" i="51"/>
  <c r="D10" i="51"/>
  <c r="D9" i="51"/>
  <c r="D7" i="51"/>
  <c r="D8" i="51"/>
  <c r="D11" i="51"/>
  <c r="D6" i="51"/>
  <c r="D15" i="51"/>
  <c r="D14" i="51"/>
  <c r="F29" i="51"/>
  <c r="G29" i="51" s="1"/>
  <c r="F30" i="51"/>
  <c r="G30" i="51" s="1"/>
  <c r="F4" i="21"/>
  <c r="F9" i="44" s="1"/>
  <c r="G15" i="52" s="1"/>
  <c r="X18" i="36"/>
  <c r="X17" i="30"/>
  <c r="E26" i="39"/>
  <c r="X22" i="36"/>
  <c r="X18" i="39"/>
  <c r="E11" i="39"/>
  <c r="E23" i="39"/>
  <c r="X14" i="33"/>
  <c r="X27" i="39"/>
  <c r="X23" i="36"/>
  <c r="E24" i="39"/>
  <c r="X10" i="39"/>
  <c r="X29" i="39"/>
  <c r="X14" i="39"/>
  <c r="E12" i="36"/>
  <c r="X19" i="33"/>
  <c r="X15" i="39"/>
  <c r="X20" i="33"/>
  <c r="E21" i="33"/>
  <c r="E16" i="39"/>
  <c r="E15" i="36"/>
  <c r="X10" i="36"/>
  <c r="O69" i="8"/>
  <c r="X24" i="36"/>
  <c r="X21" i="36"/>
  <c r="X17" i="39"/>
  <c r="E16" i="30"/>
  <c r="O35" i="8"/>
  <c r="X19" i="36"/>
  <c r="X11" i="33"/>
  <c r="O102" i="5"/>
  <c r="O109" i="8"/>
  <c r="X20" i="39"/>
  <c r="O9" i="5"/>
  <c r="O53" i="8"/>
  <c r="X13" i="33"/>
  <c r="X22" i="39"/>
  <c r="O164" i="8"/>
  <c r="O41" i="5"/>
  <c r="E13" i="39"/>
  <c r="X13" i="39"/>
  <c r="G155" i="17"/>
  <c r="K155" i="17" s="1"/>
  <c r="O135" i="8"/>
  <c r="B35" i="52"/>
  <c r="B24" i="44"/>
  <c r="B36" i="52"/>
  <c r="B25" i="44"/>
  <c r="G29" i="52"/>
  <c r="B33" i="52"/>
  <c r="B22" i="44"/>
  <c r="B34" i="52"/>
  <c r="B23" i="44"/>
  <c r="E9" i="39"/>
  <c r="X9" i="39"/>
  <c r="O99" i="8"/>
  <c r="E24" i="27"/>
  <c r="X24" i="27"/>
  <c r="O110" i="5"/>
  <c r="E15" i="33"/>
  <c r="X15" i="33"/>
  <c r="E19" i="27"/>
  <c r="X19" i="27"/>
  <c r="E13" i="30"/>
  <c r="X13" i="30"/>
  <c r="O169" i="5"/>
  <c r="E17" i="33"/>
  <c r="X17" i="33"/>
  <c r="O24" i="5"/>
  <c r="E12" i="30"/>
  <c r="X12" i="30"/>
  <c r="E27" i="36"/>
  <c r="X27" i="36"/>
  <c r="E26" i="30"/>
  <c r="X26" i="30"/>
  <c r="E11" i="36"/>
  <c r="X11" i="36"/>
  <c r="E11" i="27"/>
  <c r="X11" i="27"/>
  <c r="X16" i="21"/>
  <c r="E16" i="21"/>
  <c r="E25" i="24"/>
  <c r="X25" i="24"/>
  <c r="E16" i="33"/>
  <c r="X16" i="33"/>
  <c r="E9" i="33"/>
  <c r="X9" i="33"/>
  <c r="E15" i="30"/>
  <c r="X15" i="30"/>
  <c r="E14" i="36"/>
  <c r="X14" i="36"/>
  <c r="E13" i="36"/>
  <c r="X13" i="36"/>
  <c r="X29" i="27"/>
  <c r="E29" i="27"/>
  <c r="E30" i="30"/>
  <c r="X30" i="30"/>
  <c r="E25" i="27"/>
  <c r="X25" i="27"/>
  <c r="E25" i="18"/>
  <c r="X26" i="18"/>
  <c r="E31" i="24"/>
  <c r="X31" i="24"/>
  <c r="O9" i="8"/>
  <c r="O89" i="8"/>
  <c r="E23" i="21"/>
  <c r="X23" i="21"/>
  <c r="E29" i="36"/>
  <c r="X29" i="36"/>
  <c r="F2" i="44"/>
  <c r="A29" i="52"/>
  <c r="D29" i="52"/>
  <c r="B32" i="52"/>
  <c r="O156" i="8"/>
  <c r="E28" i="18"/>
  <c r="X29" i="18"/>
  <c r="E27" i="21"/>
  <c r="X27" i="21"/>
  <c r="B13" i="47"/>
  <c r="B12" i="47"/>
  <c r="B21" i="44"/>
  <c r="E12" i="24"/>
  <c r="X12" i="24"/>
  <c r="E30" i="21"/>
  <c r="X30" i="21"/>
  <c r="E19" i="21"/>
  <c r="X19" i="21"/>
  <c r="E9" i="30"/>
  <c r="X9" i="30"/>
  <c r="O147" i="8"/>
  <c r="E18" i="27"/>
  <c r="X18" i="27"/>
  <c r="E12" i="33"/>
  <c r="X12" i="33"/>
  <c r="E16" i="36"/>
  <c r="X16" i="36"/>
  <c r="O126" i="8"/>
  <c r="E17" i="27"/>
  <c r="X17" i="27"/>
  <c r="O118" i="8"/>
  <c r="E29" i="18"/>
  <c r="X30" i="18"/>
  <c r="E24" i="33"/>
  <c r="X24" i="33"/>
  <c r="E18" i="21"/>
  <c r="X18" i="21"/>
  <c r="E11" i="30"/>
  <c r="X11" i="30"/>
  <c r="E10" i="27"/>
  <c r="X10" i="27"/>
  <c r="E30" i="24"/>
  <c r="X30" i="24"/>
  <c r="E28" i="21"/>
  <c r="X28" i="21"/>
  <c r="E28" i="24"/>
  <c r="X28" i="24"/>
  <c r="E9" i="24"/>
  <c r="X9" i="24"/>
  <c r="E25" i="21"/>
  <c r="X25" i="21"/>
  <c r="E20" i="36"/>
  <c r="X20" i="36"/>
  <c r="E17" i="36"/>
  <c r="X17" i="36"/>
  <c r="E9" i="27"/>
  <c r="X9" i="27"/>
  <c r="E27" i="33"/>
  <c r="X27" i="33"/>
  <c r="E20" i="21"/>
  <c r="X20" i="21"/>
  <c r="E29" i="24"/>
  <c r="X29" i="24"/>
  <c r="E29" i="21"/>
  <c r="X29" i="21"/>
  <c r="E22" i="21"/>
  <c r="X22" i="21"/>
  <c r="E10" i="33"/>
  <c r="X10" i="33"/>
  <c r="E28" i="30"/>
  <c r="X28" i="30"/>
  <c r="E22" i="30"/>
  <c r="X22" i="30"/>
  <c r="E10" i="30"/>
  <c r="X10" i="30"/>
  <c r="E26" i="21"/>
  <c r="X26" i="21"/>
  <c r="E24" i="24"/>
  <c r="X24" i="24"/>
  <c r="E28" i="27"/>
  <c r="X28" i="27"/>
  <c r="E15" i="21"/>
  <c r="X15" i="21"/>
  <c r="E18" i="24"/>
  <c r="X18" i="24"/>
  <c r="E21" i="21"/>
  <c r="X21" i="21"/>
  <c r="E26" i="33"/>
  <c r="X26" i="33"/>
  <c r="E27" i="24"/>
  <c r="X27" i="24"/>
  <c r="E27" i="27"/>
  <c r="X27" i="27"/>
  <c r="M209" i="32"/>
  <c r="C34" i="33" s="1"/>
  <c r="I216" i="32"/>
  <c r="M216" i="32" s="1"/>
  <c r="C35" i="33" s="1"/>
  <c r="E35" i="33" s="1"/>
  <c r="E27" i="30"/>
  <c r="X27" i="30"/>
  <c r="E28" i="33"/>
  <c r="X28" i="33"/>
  <c r="E23" i="30"/>
  <c r="X23" i="30"/>
  <c r="E22" i="33"/>
  <c r="X22" i="33"/>
  <c r="E12" i="39"/>
  <c r="X12" i="39"/>
  <c r="E30" i="33"/>
  <c r="X30" i="33"/>
  <c r="E26" i="36"/>
  <c r="X26" i="36"/>
  <c r="E23" i="33"/>
  <c r="X23" i="33"/>
  <c r="E28" i="39"/>
  <c r="X28" i="39"/>
  <c r="E21" i="39"/>
  <c r="X21" i="39"/>
  <c r="E25" i="39"/>
  <c r="X25" i="39"/>
  <c r="E31" i="39"/>
  <c r="X31" i="39"/>
  <c r="E28" i="36"/>
  <c r="X28" i="36"/>
  <c r="E25" i="33"/>
  <c r="X25" i="33"/>
  <c r="K209" i="32"/>
  <c r="G216" i="32"/>
  <c r="K216" i="32" s="1"/>
  <c r="E29" i="30"/>
  <c r="X29" i="30"/>
  <c r="E24" i="30"/>
  <c r="X24" i="30"/>
  <c r="E19" i="39"/>
  <c r="X19" i="39"/>
  <c r="H15" i="44"/>
  <c r="I21" i="52" s="1"/>
  <c r="B4" i="39"/>
  <c r="H4" i="39"/>
  <c r="G15" i="44" s="1"/>
  <c r="H21" i="52" s="1"/>
  <c r="E9" i="36"/>
  <c r="H14" i="44"/>
  <c r="I20" i="52" s="1"/>
  <c r="B4" i="36"/>
  <c r="H4" i="36"/>
  <c r="G14" i="44" s="1"/>
  <c r="H20" i="52" s="1"/>
  <c r="E29" i="33"/>
  <c r="X29" i="33"/>
  <c r="E25" i="30"/>
  <c r="X25" i="30"/>
  <c r="H12" i="44"/>
  <c r="I18" i="52" s="1"/>
  <c r="O25" i="8"/>
  <c r="E20" i="30"/>
  <c r="X20" i="30"/>
  <c r="E18" i="30"/>
  <c r="X18" i="30"/>
  <c r="B4" i="30"/>
  <c r="H4" i="30"/>
  <c r="G12" i="44" s="1"/>
  <c r="H18" i="52" s="1"/>
  <c r="E19" i="30"/>
  <c r="X19" i="30"/>
  <c r="E21" i="30"/>
  <c r="X21" i="30"/>
  <c r="E26" i="18"/>
  <c r="X27" i="18"/>
  <c r="E21" i="27"/>
  <c r="X21" i="27"/>
  <c r="E10" i="24"/>
  <c r="X10" i="24"/>
  <c r="E20" i="24"/>
  <c r="X20" i="24"/>
  <c r="E16" i="24"/>
  <c r="X16" i="24"/>
  <c r="E12" i="21"/>
  <c r="X12" i="21"/>
  <c r="E23" i="24"/>
  <c r="X23" i="24"/>
  <c r="E17" i="21"/>
  <c r="X17" i="21"/>
  <c r="E22" i="24"/>
  <c r="X22" i="24"/>
  <c r="E14" i="21"/>
  <c r="X14" i="21"/>
  <c r="E23" i="27"/>
  <c r="X23" i="27"/>
  <c r="E22" i="27"/>
  <c r="X22" i="27"/>
  <c r="E26" i="27"/>
  <c r="X26" i="27"/>
  <c r="N164" i="8"/>
  <c r="M198" i="8"/>
  <c r="O178" i="5"/>
  <c r="E13" i="27"/>
  <c r="X13" i="27"/>
  <c r="E14" i="27"/>
  <c r="X14" i="27"/>
  <c r="E15" i="27"/>
  <c r="X15" i="27"/>
  <c r="E16" i="27"/>
  <c r="X16" i="27"/>
  <c r="E12" i="27"/>
  <c r="X12" i="27"/>
  <c r="H11" i="44"/>
  <c r="I17" i="52" s="1"/>
  <c r="E20" i="27"/>
  <c r="X20" i="27"/>
  <c r="B4" i="27"/>
  <c r="H4" i="27"/>
  <c r="G11" i="44" s="1"/>
  <c r="H17" i="52" s="1"/>
  <c r="O142" i="5"/>
  <c r="E26" i="24"/>
  <c r="X26" i="24"/>
  <c r="X21" i="24"/>
  <c r="E21" i="24"/>
  <c r="E27" i="18"/>
  <c r="X28" i="18"/>
  <c r="E19" i="24"/>
  <c r="X19" i="24"/>
  <c r="X17" i="24"/>
  <c r="E17" i="24"/>
  <c r="E15" i="24"/>
  <c r="X15" i="24"/>
  <c r="E14" i="24"/>
  <c r="X14" i="24"/>
  <c r="E11" i="24"/>
  <c r="X11" i="24"/>
  <c r="E13" i="24"/>
  <c r="X13" i="24"/>
  <c r="O132" i="5"/>
  <c r="H4" i="24"/>
  <c r="G10" i="44" s="1"/>
  <c r="H16" i="52" s="1"/>
  <c r="B4" i="24"/>
  <c r="H10" i="44"/>
  <c r="I16" i="52" s="1"/>
  <c r="E24" i="21"/>
  <c r="X24" i="21"/>
  <c r="O92" i="5"/>
  <c r="E10" i="21"/>
  <c r="X10" i="21"/>
  <c r="E9" i="21"/>
  <c r="X9" i="21"/>
  <c r="H9" i="44"/>
  <c r="I15" i="52" s="1"/>
  <c r="B4" i="21"/>
  <c r="H4" i="21"/>
  <c r="G9" i="44" s="1"/>
  <c r="H15" i="52" s="1"/>
  <c r="E11" i="21"/>
  <c r="X11" i="21"/>
  <c r="E13" i="21"/>
  <c r="X13" i="21"/>
  <c r="O82" i="5"/>
  <c r="O74" i="5"/>
  <c r="E24" i="18"/>
  <c r="X25" i="18"/>
  <c r="E23" i="18"/>
  <c r="X24" i="18"/>
  <c r="O57" i="5"/>
  <c r="E21" i="18"/>
  <c r="X22" i="18"/>
  <c r="E22" i="18"/>
  <c r="X23" i="18"/>
  <c r="E20" i="18"/>
  <c r="X21" i="18"/>
  <c r="E19" i="18"/>
  <c r="X20" i="18"/>
  <c r="F31" i="15"/>
  <c r="Y31" i="15"/>
  <c r="G16" i="5"/>
  <c r="F32" i="15"/>
  <c r="Y32" i="15"/>
  <c r="G69" i="43"/>
  <c r="G109" i="8"/>
  <c r="K109" i="8"/>
  <c r="F30" i="15"/>
  <c r="Y30" i="15"/>
  <c r="O120" i="5"/>
  <c r="E21" i="9"/>
  <c r="X21" i="9"/>
  <c r="X24" i="6"/>
  <c r="E24" i="6"/>
  <c r="G227" i="43"/>
  <c r="G121" i="17"/>
  <c r="K121" i="17" s="1"/>
  <c r="G114" i="17"/>
  <c r="K114" i="17" s="1"/>
  <c r="G225" i="43"/>
  <c r="G106" i="17"/>
  <c r="K106" i="17" s="1"/>
  <c r="G223" i="43"/>
  <c r="G98" i="17"/>
  <c r="K98" i="17" s="1"/>
  <c r="G221" i="43"/>
  <c r="E18" i="18"/>
  <c r="X19" i="18"/>
  <c r="G90" i="17"/>
  <c r="K90" i="17" s="1"/>
  <c r="G219" i="43"/>
  <c r="E17" i="18"/>
  <c r="X18" i="18"/>
  <c r="E16" i="18"/>
  <c r="X17" i="18"/>
  <c r="E15" i="18"/>
  <c r="X16" i="18"/>
  <c r="G214" i="43"/>
  <c r="G65" i="17"/>
  <c r="K65" i="17" s="1"/>
  <c r="G68" i="17"/>
  <c r="D73" i="17"/>
  <c r="J73" i="17" s="1"/>
  <c r="F215" i="43"/>
  <c r="E14" i="18"/>
  <c r="X15" i="18"/>
  <c r="G57" i="17"/>
  <c r="K57" i="17" s="1"/>
  <c r="G208" i="43"/>
  <c r="E13" i="18"/>
  <c r="X14" i="18"/>
  <c r="E12" i="18"/>
  <c r="X13" i="18"/>
  <c r="E11" i="18"/>
  <c r="X12" i="18"/>
  <c r="G26" i="17"/>
  <c r="K26" i="17" s="1"/>
  <c r="G194" i="43"/>
  <c r="E10" i="18"/>
  <c r="X11" i="18"/>
  <c r="F4" i="18"/>
  <c r="F8" i="44" s="1"/>
  <c r="G14" i="52" s="1"/>
  <c r="E9" i="18"/>
  <c r="B4" i="18"/>
  <c r="H8" i="44"/>
  <c r="I14" i="52" s="1"/>
  <c r="H4" i="18"/>
  <c r="G8" i="44" s="1"/>
  <c r="H14" i="52" s="1"/>
  <c r="G189" i="43"/>
  <c r="G10" i="17"/>
  <c r="K10" i="17" s="1"/>
  <c r="G197" i="14"/>
  <c r="K197" i="14" s="1"/>
  <c r="G184" i="43"/>
  <c r="G200" i="14"/>
  <c r="D205" i="14"/>
  <c r="J205" i="14" s="1"/>
  <c r="F185" i="43"/>
  <c r="F29" i="15"/>
  <c r="Y29" i="15"/>
  <c r="M173" i="14"/>
  <c r="D28" i="15"/>
  <c r="G173" i="14"/>
  <c r="K173" i="14" s="1"/>
  <c r="G180" i="43"/>
  <c r="Y27" i="15"/>
  <c r="F27" i="15"/>
  <c r="F26" i="15"/>
  <c r="Y26" i="15"/>
  <c r="F25" i="15"/>
  <c r="Y25" i="15"/>
  <c r="G148" i="14"/>
  <c r="K148" i="14" s="1"/>
  <c r="G175" i="43"/>
  <c r="G151" i="14"/>
  <c r="D157" i="14"/>
  <c r="J157" i="14" s="1"/>
  <c r="F176" i="43"/>
  <c r="F24" i="15"/>
  <c r="Y24" i="15"/>
  <c r="F23" i="15"/>
  <c r="Y23" i="15"/>
  <c r="G132" i="14"/>
  <c r="K132" i="14" s="1"/>
  <c r="G171" i="43"/>
  <c r="D22" i="15"/>
  <c r="D21" i="15"/>
  <c r="Y20" i="15"/>
  <c r="F20" i="15"/>
  <c r="G108" i="14"/>
  <c r="K108" i="14" s="1"/>
  <c r="G165" i="43"/>
  <c r="Y19" i="15"/>
  <c r="F19" i="15"/>
  <c r="F18" i="15"/>
  <c r="Y18" i="15"/>
  <c r="Y17" i="15"/>
  <c r="F17" i="15"/>
  <c r="G84" i="14"/>
  <c r="K84" i="14" s="1"/>
  <c r="G160" i="43"/>
  <c r="F16" i="15"/>
  <c r="Y16" i="15"/>
  <c r="F15" i="15"/>
  <c r="Y15" i="15"/>
  <c r="F14" i="15"/>
  <c r="Y14" i="15"/>
  <c r="D68" i="14"/>
  <c r="J68" i="14" s="1"/>
  <c r="F158" i="43"/>
  <c r="G63" i="14"/>
  <c r="G60" i="14"/>
  <c r="K60" i="14" s="1"/>
  <c r="G157" i="43"/>
  <c r="F13" i="15"/>
  <c r="Y13" i="15"/>
  <c r="F12" i="15"/>
  <c r="Y12" i="15"/>
  <c r="F10" i="15"/>
  <c r="Y10" i="15"/>
  <c r="F9" i="15"/>
  <c r="Y9" i="15"/>
  <c r="E30" i="12"/>
  <c r="X30" i="12"/>
  <c r="E29" i="12"/>
  <c r="X29" i="12"/>
  <c r="E28" i="12"/>
  <c r="X28" i="12"/>
  <c r="X27" i="12"/>
  <c r="E27" i="12"/>
  <c r="E26" i="12"/>
  <c r="X26" i="12"/>
  <c r="E25" i="12"/>
  <c r="X25" i="12"/>
  <c r="E24" i="12"/>
  <c r="X24" i="12"/>
  <c r="E23" i="12"/>
  <c r="X23" i="12"/>
  <c r="E22" i="12"/>
  <c r="X22" i="12"/>
  <c r="G127" i="11"/>
  <c r="G124" i="43"/>
  <c r="K127" i="11"/>
  <c r="E21" i="12"/>
  <c r="X21" i="12"/>
  <c r="K118" i="11"/>
  <c r="G122" i="43"/>
  <c r="G118" i="11"/>
  <c r="E20" i="12"/>
  <c r="X20" i="12"/>
  <c r="K109" i="11"/>
  <c r="G121" i="43"/>
  <c r="G109" i="11"/>
  <c r="E19" i="12"/>
  <c r="X19" i="12"/>
  <c r="G100" i="11"/>
  <c r="K100" i="11"/>
  <c r="G119" i="43"/>
  <c r="X18" i="12"/>
  <c r="E18" i="12"/>
  <c r="G91" i="11"/>
  <c r="K91" i="11"/>
  <c r="G118" i="43"/>
  <c r="X17" i="12"/>
  <c r="E17" i="12"/>
  <c r="X16" i="12"/>
  <c r="E16" i="12"/>
  <c r="J82" i="11"/>
  <c r="G76" i="11"/>
  <c r="D82" i="11"/>
  <c r="F116" i="43"/>
  <c r="G73" i="11"/>
  <c r="K73" i="11"/>
  <c r="G115" i="43"/>
  <c r="E15" i="12"/>
  <c r="X15" i="12"/>
  <c r="X14" i="12"/>
  <c r="E14" i="12"/>
  <c r="E13" i="12"/>
  <c r="X13" i="12"/>
  <c r="E12" i="12"/>
  <c r="X12" i="12"/>
  <c r="G37" i="11"/>
  <c r="K37" i="11"/>
  <c r="G101" i="43"/>
  <c r="E11" i="12"/>
  <c r="X11" i="12"/>
  <c r="G98" i="43"/>
  <c r="G28" i="11"/>
  <c r="K28" i="11"/>
  <c r="E10" i="12"/>
  <c r="X10" i="12"/>
  <c r="K19" i="11"/>
  <c r="G19" i="11"/>
  <c r="G96" i="43"/>
  <c r="H4" i="12"/>
  <c r="G6" i="44" s="1"/>
  <c r="H12" i="52" s="1"/>
  <c r="H6" i="44"/>
  <c r="I12" i="52" s="1"/>
  <c r="X9" i="12"/>
  <c r="B4" i="12"/>
  <c r="E9" i="12"/>
  <c r="F4" i="12"/>
  <c r="F6" i="44" s="1"/>
  <c r="G12" i="52" s="1"/>
  <c r="G10" i="11"/>
  <c r="G94" i="43"/>
  <c r="K10" i="11"/>
  <c r="X28" i="9"/>
  <c r="E28" i="9"/>
  <c r="X27" i="9"/>
  <c r="E27" i="9"/>
  <c r="E26" i="9"/>
  <c r="X26" i="9"/>
  <c r="E25" i="9"/>
  <c r="X25" i="9"/>
  <c r="G135" i="8"/>
  <c r="K135" i="8"/>
  <c r="G79" i="43"/>
  <c r="E24" i="9"/>
  <c r="X24" i="9"/>
  <c r="G126" i="8"/>
  <c r="K126" i="8"/>
  <c r="G76" i="43"/>
  <c r="X23" i="9"/>
  <c r="E23" i="9"/>
  <c r="G118" i="8"/>
  <c r="K118" i="8"/>
  <c r="G73" i="43"/>
  <c r="E22" i="9"/>
  <c r="X22" i="9"/>
  <c r="G99" i="8"/>
  <c r="K99" i="8"/>
  <c r="G66" i="43"/>
  <c r="X18" i="9"/>
  <c r="E18" i="9"/>
  <c r="E17" i="9"/>
  <c r="X17" i="9"/>
  <c r="G77" i="8"/>
  <c r="K77" i="8"/>
  <c r="G61" i="43"/>
  <c r="G81" i="8"/>
  <c r="J81" i="8"/>
  <c r="J89" i="8"/>
  <c r="F62" i="43"/>
  <c r="E16" i="9"/>
  <c r="X16" i="9"/>
  <c r="X15" i="9"/>
  <c r="E15" i="9"/>
  <c r="G61" i="8"/>
  <c r="K61" i="8"/>
  <c r="G58" i="43"/>
  <c r="G65" i="8"/>
  <c r="J65" i="8"/>
  <c r="D69" i="8"/>
  <c r="J69" i="8"/>
  <c r="F59" i="43"/>
  <c r="E14" i="9"/>
  <c r="X14" i="9"/>
  <c r="X13" i="9"/>
  <c r="E13" i="9"/>
  <c r="E12" i="9"/>
  <c r="X12" i="9"/>
  <c r="G35" i="8"/>
  <c r="K35" i="8"/>
  <c r="G51" i="43"/>
  <c r="E11" i="9"/>
  <c r="X11" i="9"/>
  <c r="X10" i="9"/>
  <c r="E10" i="9"/>
  <c r="G17" i="8"/>
  <c r="K17" i="8"/>
  <c r="G48" i="43"/>
  <c r="G21" i="8"/>
  <c r="J21" i="8"/>
  <c r="D25" i="8"/>
  <c r="J25" i="8"/>
  <c r="F49" i="43"/>
  <c r="X9" i="9"/>
  <c r="B4" i="9"/>
  <c r="H4" i="9"/>
  <c r="G5" i="44" s="1"/>
  <c r="H11" i="52" s="1"/>
  <c r="H5" i="44"/>
  <c r="I11" i="52" s="1"/>
  <c r="F4" i="9"/>
  <c r="F5" i="44" s="1"/>
  <c r="G11" i="52" s="1"/>
  <c r="E9" i="9"/>
  <c r="G9" i="8"/>
  <c r="K9" i="8"/>
  <c r="G46" i="43"/>
  <c r="E30" i="6"/>
  <c r="X30" i="6"/>
  <c r="K198" i="5"/>
  <c r="G42" i="43"/>
  <c r="E29" i="6"/>
  <c r="X29" i="6"/>
  <c r="E28" i="6"/>
  <c r="X28" i="6"/>
  <c r="X27" i="6"/>
  <c r="E27" i="6"/>
  <c r="G38" i="43"/>
  <c r="G150" i="5"/>
  <c r="K150" i="5"/>
  <c r="X26" i="6"/>
  <c r="E26" i="6"/>
  <c r="G29" i="43"/>
  <c r="K132" i="5"/>
  <c r="K120" i="5"/>
  <c r="G120" i="5"/>
  <c r="G26" i="43"/>
  <c r="X22" i="6"/>
  <c r="E22" i="6"/>
  <c r="G102" i="5"/>
  <c r="K102" i="5"/>
  <c r="G21" i="43"/>
  <c r="E21" i="6"/>
  <c r="X21" i="6"/>
  <c r="G92" i="5"/>
  <c r="K92" i="5"/>
  <c r="G18" i="43"/>
  <c r="E20" i="6"/>
  <c r="X20" i="6"/>
  <c r="G82" i="5"/>
  <c r="K82" i="5"/>
  <c r="G16" i="43"/>
  <c r="X19" i="6"/>
  <c r="E19" i="6"/>
  <c r="E18" i="6"/>
  <c r="X18" i="6"/>
  <c r="G65" i="5"/>
  <c r="K65" i="5"/>
  <c r="G13" i="43"/>
  <c r="X17" i="6"/>
  <c r="E17" i="6"/>
  <c r="E16" i="6"/>
  <c r="X16" i="6"/>
  <c r="G49" i="5"/>
  <c r="K49" i="5"/>
  <c r="G10" i="43"/>
  <c r="G53" i="5"/>
  <c r="J53" i="5"/>
  <c r="D57" i="5"/>
  <c r="J57" i="5"/>
  <c r="F11" i="43"/>
  <c r="X15" i="6"/>
  <c r="E15" i="6"/>
  <c r="E14" i="6"/>
  <c r="X14" i="6"/>
  <c r="G32" i="5"/>
  <c r="K32" i="5"/>
  <c r="G7" i="43"/>
  <c r="G36" i="5"/>
  <c r="J36" i="5"/>
  <c r="D41" i="5"/>
  <c r="J41" i="5"/>
  <c r="F8" i="43"/>
  <c r="E13" i="6"/>
  <c r="X13" i="6"/>
  <c r="E12" i="6"/>
  <c r="X12" i="6"/>
  <c r="K16" i="5"/>
  <c r="G4" i="43"/>
  <c r="G20" i="5"/>
  <c r="J20" i="5"/>
  <c r="D24" i="5"/>
  <c r="J24" i="5"/>
  <c r="F5" i="43"/>
  <c r="E11" i="6"/>
  <c r="F4" i="6"/>
  <c r="F4" i="44" s="1"/>
  <c r="G10" i="52" s="1"/>
  <c r="X11" i="6"/>
  <c r="B4" i="6"/>
  <c r="H4" i="44"/>
  <c r="I10" i="52" s="1"/>
  <c r="H4" i="6"/>
  <c r="G4" i="44" s="1"/>
  <c r="I16" i="5"/>
  <c r="N16" i="5" s="1"/>
  <c r="N9" i="5"/>
  <c r="C42" i="52" l="1"/>
  <c r="C43" i="52"/>
  <c r="C41" i="52"/>
  <c r="C40" i="52"/>
  <c r="C39" i="52"/>
  <c r="C38" i="52"/>
  <c r="C37" i="52"/>
  <c r="C36" i="52"/>
  <c r="C35" i="52"/>
  <c r="C34" i="52"/>
  <c r="C33" i="52"/>
  <c r="E32" i="52"/>
  <c r="C32" i="52"/>
  <c r="J29" i="52"/>
  <c r="O182" i="8"/>
  <c r="B4" i="33"/>
  <c r="H4" i="33"/>
  <c r="G13" i="44" s="1"/>
  <c r="H19" i="52" s="1"/>
  <c r="E34" i="33"/>
  <c r="H13" i="44"/>
  <c r="I19" i="52" s="1"/>
  <c r="J4" i="39"/>
  <c r="B15" i="44"/>
  <c r="J4" i="36"/>
  <c r="B14" i="44"/>
  <c r="B12" i="44"/>
  <c r="J4" i="30"/>
  <c r="O181" i="5"/>
  <c r="J4" i="27"/>
  <c r="B11" i="44"/>
  <c r="B10" i="44"/>
  <c r="J4" i="24"/>
  <c r="J4" i="21"/>
  <c r="B9" i="44"/>
  <c r="B15" i="52" s="1"/>
  <c r="D37" i="52" s="1"/>
  <c r="G4" i="15"/>
  <c r="F7" i="44" s="1"/>
  <c r="G13" i="52" s="1"/>
  <c r="H10" i="52"/>
  <c r="I4" i="15"/>
  <c r="G7" i="44" s="1"/>
  <c r="H7" i="44"/>
  <c r="I13" i="52" s="1"/>
  <c r="C4" i="15"/>
  <c r="G73" i="17"/>
  <c r="K73" i="17" s="1"/>
  <c r="G215" i="43"/>
  <c r="B8" i="44"/>
  <c r="J4" i="18"/>
  <c r="G205" i="14"/>
  <c r="K205" i="14" s="1"/>
  <c r="G185" i="43"/>
  <c r="Y28" i="15"/>
  <c r="F28" i="15"/>
  <c r="G157" i="14"/>
  <c r="K157" i="14" s="1"/>
  <c r="G176" i="43"/>
  <c r="F22" i="15"/>
  <c r="Y22" i="15"/>
  <c r="F21" i="15"/>
  <c r="Y21" i="15"/>
  <c r="G68" i="14"/>
  <c r="K68" i="14" s="1"/>
  <c r="G158" i="43"/>
  <c r="K82" i="11"/>
  <c r="G116" i="43"/>
  <c r="G82" i="11"/>
  <c r="J4" i="12"/>
  <c r="B6" i="44"/>
  <c r="K89" i="8"/>
  <c r="G62" i="43"/>
  <c r="G69" i="8"/>
  <c r="K69" i="8"/>
  <c r="G59" i="43"/>
  <c r="G25" i="8"/>
  <c r="K25" i="8"/>
  <c r="G49" i="43"/>
  <c r="J4" i="9"/>
  <c r="B5" i="44"/>
  <c r="G57" i="5"/>
  <c r="K57" i="5"/>
  <c r="G11" i="43"/>
  <c r="G41" i="5"/>
  <c r="K41" i="5"/>
  <c r="G8" i="43"/>
  <c r="G24" i="5"/>
  <c r="K24" i="5"/>
  <c r="G5" i="43"/>
  <c r="J4" i="6"/>
  <c r="B4" i="44"/>
  <c r="B13" i="44" l="1"/>
  <c r="J4" i="33"/>
  <c r="D15" i="44"/>
  <c r="D21" i="52" s="1"/>
  <c r="E15" i="44"/>
  <c r="E21" i="52" s="1"/>
  <c r="I15" i="44"/>
  <c r="D14" i="44"/>
  <c r="D20" i="52" s="1"/>
  <c r="E14" i="44"/>
  <c r="E20" i="52" s="1"/>
  <c r="I14" i="44"/>
  <c r="D12" i="44"/>
  <c r="D18" i="52" s="1"/>
  <c r="E12" i="44"/>
  <c r="E18" i="52" s="1"/>
  <c r="I12" i="44"/>
  <c r="B21" i="52"/>
  <c r="F21" i="52"/>
  <c r="F20" i="52"/>
  <c r="B20" i="52"/>
  <c r="F18" i="52"/>
  <c r="B18" i="52"/>
  <c r="D40" i="52" s="1"/>
  <c r="F17" i="52"/>
  <c r="B17" i="52"/>
  <c r="D39" i="52" s="1"/>
  <c r="B16" i="52"/>
  <c r="D38" i="52" s="1"/>
  <c r="F16" i="52"/>
  <c r="D11" i="44"/>
  <c r="D17" i="52" s="1"/>
  <c r="E11" i="44"/>
  <c r="E17" i="52" s="1"/>
  <c r="I11" i="44"/>
  <c r="D10" i="44"/>
  <c r="D16" i="52" s="1"/>
  <c r="E10" i="44"/>
  <c r="E16" i="52" s="1"/>
  <c r="I10" i="44"/>
  <c r="D9" i="44"/>
  <c r="D15" i="52" s="1"/>
  <c r="E9" i="44"/>
  <c r="E15" i="52" s="1"/>
  <c r="K4" i="15"/>
  <c r="B7" i="44"/>
  <c r="B13" i="52" s="1"/>
  <c r="D35" i="52" s="1"/>
  <c r="K6" i="52"/>
  <c r="H13" i="52"/>
  <c r="B14" i="52"/>
  <c r="D36" i="52" s="1"/>
  <c r="B12" i="52"/>
  <c r="D34" i="52" s="1"/>
  <c r="B11" i="52"/>
  <c r="D33" i="52" s="1"/>
  <c r="B10" i="52"/>
  <c r="D32" i="52" s="1"/>
  <c r="D8" i="44"/>
  <c r="D14" i="52" s="1"/>
  <c r="E8" i="44"/>
  <c r="I8" i="44" s="1"/>
  <c r="D6" i="44"/>
  <c r="D12" i="52" s="1"/>
  <c r="E6" i="44"/>
  <c r="I6" i="44" s="1"/>
  <c r="D5" i="44"/>
  <c r="D11" i="52" s="1"/>
  <c r="E5" i="44"/>
  <c r="F11" i="52" s="1"/>
  <c r="D4" i="44"/>
  <c r="D10" i="52" s="1"/>
  <c r="E4" i="44"/>
  <c r="I9" i="44" l="1"/>
  <c r="F15" i="52"/>
  <c r="I13" i="44"/>
  <c r="E13" i="44"/>
  <c r="E19" i="52" s="1"/>
  <c r="D13" i="44"/>
  <c r="D19" i="52" s="1"/>
  <c r="F19" i="52"/>
  <c r="B19" i="52"/>
  <c r="B5" i="47"/>
  <c r="B7" i="47" s="1"/>
  <c r="B6" i="52"/>
  <c r="D6" i="52"/>
  <c r="H6" i="52"/>
  <c r="D7" i="44"/>
  <c r="D13" i="52" s="1"/>
  <c r="E7" i="44"/>
  <c r="I7" i="44" s="1"/>
  <c r="E14" i="52"/>
  <c r="F14" i="52"/>
  <c r="E12" i="52"/>
  <c r="F12" i="52"/>
  <c r="I5" i="44"/>
  <c r="E11" i="52"/>
  <c r="F10" i="52"/>
  <c r="E10" i="52"/>
  <c r="I4" i="44"/>
  <c r="F6" i="52" l="1"/>
  <c r="M6" i="52" s="1"/>
  <c r="F13" i="52"/>
  <c r="E13" i="5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Lucas Ed</author>
  </authors>
  <commentList>
    <comment ref="C3" authorId="0" shapeId="0" xr:uid="{00000000-0006-0000-0400-000001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3" authorId="0" shapeId="0" xr:uid="{00000000-0006-0000-0400-000015000000}">
      <text>
        <r>
          <rPr>
            <sz val="10"/>
            <rFont val="Arial"/>
            <family val="2"/>
          </rPr>
          <t>Quantidade de caixas produzidas no item.</t>
        </r>
      </text>
    </comment>
    <comment ref="H3" authorId="0" shapeId="0" xr:uid="{00000000-0006-0000-0400-000029000000}">
      <text>
        <r>
          <rPr>
            <sz val="10"/>
            <rFont val="Arial"/>
            <family val="2"/>
          </rPr>
          <t>Consumo de gás do item no dia.</t>
        </r>
      </text>
    </comment>
    <comment ref="I3" authorId="0" shapeId="0" xr:uid="{00000000-0006-0000-0400-00003D000000}">
      <text>
        <r>
          <rPr>
            <sz val="10"/>
            <rFont val="Arial"/>
            <family val="2"/>
          </rPr>
          <t>Horas utilizadas na produção do item.</t>
        </r>
      </text>
    </comment>
    <comment ref="L3" authorId="0" shapeId="0" xr:uid="{00000000-0006-0000-0400-000051000000}">
      <text>
        <r>
          <rPr>
            <sz val="10"/>
            <rFont val="Arial"/>
            <family val="2"/>
          </rPr>
          <t>Produção real convertida para caixas.</t>
        </r>
      </text>
    </comment>
    <comment ref="N3" authorId="0" shapeId="0" xr:uid="{00000000-0006-0000-0400-000065000000}">
      <text>
        <r>
          <rPr>
            <sz val="10"/>
            <rFont val="Arial"/>
            <family val="2"/>
          </rPr>
          <t>Total final convertido em latas.</t>
        </r>
      </text>
    </comment>
    <comment ref="C11" authorId="0" shapeId="0" xr:uid="{00000000-0006-0000-0400-000002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1" authorId="0" shapeId="0" xr:uid="{00000000-0006-0000-0400-000016000000}">
      <text>
        <r>
          <rPr>
            <sz val="10"/>
            <rFont val="Arial"/>
            <family val="2"/>
          </rPr>
          <t>Quantidade de caixas produzidas no item.</t>
        </r>
      </text>
    </comment>
    <comment ref="H11" authorId="0" shapeId="0" xr:uid="{00000000-0006-0000-0400-00002A000000}">
      <text>
        <r>
          <rPr>
            <sz val="10"/>
            <rFont val="Arial"/>
            <family val="2"/>
          </rPr>
          <t>Consumo de gás do item no dia.</t>
        </r>
      </text>
    </comment>
    <comment ref="I11" authorId="0" shapeId="0" xr:uid="{00000000-0006-0000-0400-00003E000000}">
      <text>
        <r>
          <rPr>
            <sz val="10"/>
            <rFont val="Arial"/>
            <family val="2"/>
          </rPr>
          <t>Horas utilizadas na produção do item.</t>
        </r>
      </text>
    </comment>
    <comment ref="L11" authorId="0" shapeId="0" xr:uid="{00000000-0006-0000-0400-000052000000}">
      <text>
        <r>
          <rPr>
            <sz val="10"/>
            <rFont val="Arial"/>
            <family val="2"/>
          </rPr>
          <t>Produção real convertida para caixas.</t>
        </r>
      </text>
    </comment>
    <comment ref="N11" authorId="0" shapeId="0" xr:uid="{00000000-0006-0000-0400-000066000000}">
      <text>
        <r>
          <rPr>
            <sz val="10"/>
            <rFont val="Arial"/>
            <family val="2"/>
          </rPr>
          <t>Total final convertido em latas.</t>
        </r>
      </text>
    </comment>
    <comment ref="C18" authorId="0" shapeId="0" xr:uid="{00000000-0006-0000-0400-000003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8" authorId="0" shapeId="0" xr:uid="{00000000-0006-0000-0400-000017000000}">
      <text>
        <r>
          <rPr>
            <sz val="10"/>
            <rFont val="Arial"/>
            <family val="2"/>
          </rPr>
          <t>Quantidade de caixas produzidas no item.</t>
        </r>
      </text>
    </comment>
    <comment ref="H18" authorId="0" shapeId="0" xr:uid="{00000000-0006-0000-0400-00002B000000}">
      <text>
        <r>
          <rPr>
            <sz val="10"/>
            <rFont val="Arial"/>
            <family val="2"/>
          </rPr>
          <t>Consumo de gás do item no dia.</t>
        </r>
      </text>
    </comment>
    <comment ref="I18" authorId="0" shapeId="0" xr:uid="{00000000-0006-0000-0400-00003F000000}">
      <text>
        <r>
          <rPr>
            <sz val="10"/>
            <rFont val="Arial"/>
            <family val="2"/>
          </rPr>
          <t>Horas utilizadas na produção do item.</t>
        </r>
      </text>
    </comment>
    <comment ref="L18" authorId="0" shapeId="0" xr:uid="{00000000-0006-0000-0400-000053000000}">
      <text>
        <r>
          <rPr>
            <sz val="10"/>
            <rFont val="Arial"/>
            <family val="2"/>
          </rPr>
          <t>Produção real convertida para caixas.</t>
        </r>
      </text>
    </comment>
    <comment ref="N18" authorId="0" shapeId="0" xr:uid="{00000000-0006-0000-0400-000067000000}">
      <text>
        <r>
          <rPr>
            <sz val="10"/>
            <rFont val="Arial"/>
            <family val="2"/>
          </rPr>
          <t>Total final convertido em latas.</t>
        </r>
      </text>
    </comment>
    <comment ref="C26" authorId="0" shapeId="0" xr:uid="{00000000-0006-0000-0400-000004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26" authorId="0" shapeId="0" xr:uid="{00000000-0006-0000-0400-000018000000}">
      <text>
        <r>
          <rPr>
            <sz val="10"/>
            <rFont val="Arial"/>
            <family val="2"/>
          </rPr>
          <t>Quantidade de caixas produzidas no item.</t>
        </r>
      </text>
    </comment>
    <comment ref="H26" authorId="0" shapeId="0" xr:uid="{00000000-0006-0000-0400-00002C000000}">
      <text>
        <r>
          <rPr>
            <sz val="10"/>
            <rFont val="Arial"/>
            <family val="2"/>
          </rPr>
          <t>Consumo de gás do item no dia.</t>
        </r>
      </text>
    </comment>
    <comment ref="I26" authorId="0" shapeId="0" xr:uid="{00000000-0006-0000-0400-000040000000}">
      <text>
        <r>
          <rPr>
            <sz val="10"/>
            <rFont val="Arial"/>
            <family val="2"/>
          </rPr>
          <t>Horas utilizadas na produção do item.</t>
        </r>
      </text>
    </comment>
    <comment ref="L26" authorId="0" shapeId="0" xr:uid="{00000000-0006-0000-0400-000054000000}">
      <text>
        <r>
          <rPr>
            <sz val="10"/>
            <rFont val="Arial"/>
            <family val="2"/>
          </rPr>
          <t>Produção real convertida para caixas.</t>
        </r>
      </text>
    </comment>
    <comment ref="N26" authorId="0" shapeId="0" xr:uid="{00000000-0006-0000-0400-000068000000}">
      <text>
        <r>
          <rPr>
            <sz val="10"/>
            <rFont val="Arial"/>
            <family val="2"/>
          </rPr>
          <t>Total final convertido em latas.</t>
        </r>
      </text>
    </comment>
    <comment ref="C34" authorId="0" shapeId="0" xr:uid="{00000000-0006-0000-0400-000005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34" authorId="0" shapeId="0" xr:uid="{00000000-0006-0000-0400-000019000000}">
      <text>
        <r>
          <rPr>
            <sz val="10"/>
            <rFont val="Arial"/>
            <family val="2"/>
          </rPr>
          <t>Quantidade de caixas produzidas no item.</t>
        </r>
      </text>
    </comment>
    <comment ref="H34" authorId="0" shapeId="0" xr:uid="{00000000-0006-0000-0400-00002D000000}">
      <text>
        <r>
          <rPr>
            <sz val="10"/>
            <rFont val="Arial"/>
            <family val="2"/>
          </rPr>
          <t>Consumo de gás do item no dia.</t>
        </r>
      </text>
    </comment>
    <comment ref="I34" authorId="0" shapeId="0" xr:uid="{00000000-0006-0000-0400-000041000000}">
      <text>
        <r>
          <rPr>
            <sz val="10"/>
            <rFont val="Arial"/>
            <family val="2"/>
          </rPr>
          <t>Horas utilizadas na produção do item.</t>
        </r>
      </text>
    </comment>
    <comment ref="L34" authorId="0" shapeId="0" xr:uid="{00000000-0006-0000-0400-000055000000}">
      <text>
        <r>
          <rPr>
            <sz val="10"/>
            <rFont val="Arial"/>
            <family val="2"/>
          </rPr>
          <t>Produção real convertida para caixas.</t>
        </r>
      </text>
    </comment>
    <comment ref="N34" authorId="0" shapeId="0" xr:uid="{00000000-0006-0000-0400-000069000000}">
      <text>
        <r>
          <rPr>
            <sz val="10"/>
            <rFont val="Arial"/>
            <family val="2"/>
          </rPr>
          <t>Total final convertido em latas.</t>
        </r>
      </text>
    </comment>
    <comment ref="C43" authorId="0" shapeId="0" xr:uid="{00000000-0006-0000-0400-000006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43" authorId="0" shapeId="0" xr:uid="{00000000-0006-0000-0400-00001A000000}">
      <text>
        <r>
          <rPr>
            <sz val="10"/>
            <rFont val="Arial"/>
            <family val="2"/>
          </rPr>
          <t>Quantidade de caixas produzidas no item.</t>
        </r>
      </text>
    </comment>
    <comment ref="H43" authorId="0" shapeId="0" xr:uid="{00000000-0006-0000-0400-00002E000000}">
      <text>
        <r>
          <rPr>
            <sz val="10"/>
            <rFont val="Arial"/>
            <family val="2"/>
          </rPr>
          <t>Consumo de gás do item no dia.</t>
        </r>
      </text>
    </comment>
    <comment ref="I43" authorId="0" shapeId="0" xr:uid="{00000000-0006-0000-0400-000042000000}">
      <text>
        <r>
          <rPr>
            <sz val="10"/>
            <rFont val="Arial"/>
            <family val="2"/>
          </rPr>
          <t>Horas utilizadas na produção do item.</t>
        </r>
      </text>
    </comment>
    <comment ref="L43" authorId="0" shapeId="0" xr:uid="{00000000-0006-0000-0400-000056000000}">
      <text>
        <r>
          <rPr>
            <sz val="10"/>
            <rFont val="Arial"/>
            <family val="2"/>
          </rPr>
          <t>Produção real convertida para caixas.</t>
        </r>
      </text>
    </comment>
    <comment ref="N43" authorId="0" shapeId="0" xr:uid="{00000000-0006-0000-0400-00006A000000}">
      <text>
        <r>
          <rPr>
            <sz val="10"/>
            <rFont val="Arial"/>
            <family val="2"/>
          </rPr>
          <t>Total final convertido em latas.</t>
        </r>
      </text>
    </comment>
    <comment ref="C51" authorId="0" shapeId="0" xr:uid="{00000000-0006-0000-0400-000007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51" authorId="0" shapeId="0" xr:uid="{00000000-0006-0000-0400-00001B000000}">
      <text>
        <r>
          <rPr>
            <sz val="10"/>
            <rFont val="Arial"/>
            <family val="2"/>
          </rPr>
          <t>Quantidade de caixas produzidas no item.</t>
        </r>
      </text>
    </comment>
    <comment ref="H51" authorId="0" shapeId="0" xr:uid="{00000000-0006-0000-0400-00002F000000}">
      <text>
        <r>
          <rPr>
            <sz val="10"/>
            <rFont val="Arial"/>
            <family val="2"/>
          </rPr>
          <t>Consumo de gás do item no dia.</t>
        </r>
      </text>
    </comment>
    <comment ref="I51" authorId="0" shapeId="0" xr:uid="{00000000-0006-0000-0400-000043000000}">
      <text>
        <r>
          <rPr>
            <sz val="10"/>
            <rFont val="Arial"/>
            <family val="2"/>
          </rPr>
          <t>Horas utilizadas na produção do item.</t>
        </r>
      </text>
    </comment>
    <comment ref="L51" authorId="0" shapeId="0" xr:uid="{00000000-0006-0000-0400-000057000000}">
      <text>
        <r>
          <rPr>
            <sz val="10"/>
            <rFont val="Arial"/>
            <family val="2"/>
          </rPr>
          <t>Produção real convertida para caixas.</t>
        </r>
      </text>
    </comment>
    <comment ref="N51" authorId="0" shapeId="0" xr:uid="{00000000-0006-0000-0400-00006B000000}">
      <text>
        <r>
          <rPr>
            <sz val="10"/>
            <rFont val="Arial"/>
            <family val="2"/>
          </rPr>
          <t>Total final convertido em latas.</t>
        </r>
      </text>
    </comment>
    <comment ref="B55" authorId="1" shapeId="0" xr:uid="{18D47E16-342C-491C-85A7-023CEEA03D4F}">
      <text>
        <r>
          <rPr>
            <b/>
            <sz val="9"/>
            <color indexed="81"/>
            <rFont val="Segoe UI"/>
            <family val="2"/>
          </rPr>
          <t>Lucas Ed:</t>
        </r>
        <r>
          <rPr>
            <sz val="9"/>
            <color indexed="81"/>
            <rFont val="Segoe UI"/>
            <family val="2"/>
          </rPr>
          <t xml:space="preserve">
Era 'PURATOS' sozinho. CX/PALLET vazio impede identificar se é DESTAK (190) ou NORCAU (95). Verificar manualmente.</t>
        </r>
      </text>
    </comment>
    <comment ref="C59" authorId="0" shapeId="0" xr:uid="{00000000-0006-0000-0400-000008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59" authorId="0" shapeId="0" xr:uid="{00000000-0006-0000-0400-00001C000000}">
      <text>
        <r>
          <rPr>
            <sz val="10"/>
            <rFont val="Arial"/>
            <family val="2"/>
          </rPr>
          <t>Quantidade de caixas produzidas no item.</t>
        </r>
      </text>
    </comment>
    <comment ref="H59" authorId="0" shapeId="0" xr:uid="{00000000-0006-0000-0400-000030000000}">
      <text>
        <r>
          <rPr>
            <sz val="10"/>
            <rFont val="Arial"/>
            <family val="2"/>
          </rPr>
          <t>Consumo de gás do item no dia.</t>
        </r>
      </text>
    </comment>
    <comment ref="I59" authorId="0" shapeId="0" xr:uid="{00000000-0006-0000-0400-000044000000}">
      <text>
        <r>
          <rPr>
            <sz val="10"/>
            <rFont val="Arial"/>
            <family val="2"/>
          </rPr>
          <t>Horas utilizadas na produção do item.</t>
        </r>
      </text>
    </comment>
    <comment ref="L59" authorId="0" shapeId="0" xr:uid="{00000000-0006-0000-0400-000058000000}">
      <text>
        <r>
          <rPr>
            <sz val="10"/>
            <rFont val="Arial"/>
            <family val="2"/>
          </rPr>
          <t>Produção real convertida para caixas.</t>
        </r>
      </text>
    </comment>
    <comment ref="N59" authorId="0" shapeId="0" xr:uid="{00000000-0006-0000-0400-00006C000000}">
      <text>
        <r>
          <rPr>
            <sz val="10"/>
            <rFont val="Arial"/>
            <family val="2"/>
          </rPr>
          <t>Total final convertido em latas.</t>
        </r>
      </text>
    </comment>
    <comment ref="B61" authorId="1" shapeId="0" xr:uid="{8551A662-16BF-4C81-AB6E-025412253BDD}">
      <text>
        <r>
          <rPr>
            <b/>
            <sz val="9"/>
            <color indexed="81"/>
            <rFont val="Segoe UI"/>
            <family val="2"/>
          </rPr>
          <t>Lucas Ed:</t>
        </r>
        <r>
          <rPr>
            <sz val="9"/>
            <color indexed="81"/>
            <rFont val="Segoe UI"/>
            <family val="2"/>
          </rPr>
          <t xml:space="preserve">
Era 'PURATOS' sozinho. CX/PALLET vazio impede identificar se é DESTAK (190) ou NORCAU (95). Verificar manualmente.</t>
        </r>
      </text>
    </comment>
    <comment ref="C67" authorId="0" shapeId="0" xr:uid="{00000000-0006-0000-0400-000009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67" authorId="0" shapeId="0" xr:uid="{00000000-0006-0000-0400-00001D000000}">
      <text>
        <r>
          <rPr>
            <sz val="10"/>
            <rFont val="Arial"/>
            <family val="2"/>
          </rPr>
          <t>Quantidade de caixas produzidas no item.</t>
        </r>
      </text>
    </comment>
    <comment ref="H67" authorId="0" shapeId="0" xr:uid="{00000000-0006-0000-0400-000031000000}">
      <text>
        <r>
          <rPr>
            <sz val="10"/>
            <rFont val="Arial"/>
            <family val="2"/>
          </rPr>
          <t>Consumo de gás do item no dia.</t>
        </r>
      </text>
    </comment>
    <comment ref="I67" authorId="0" shapeId="0" xr:uid="{00000000-0006-0000-0400-000045000000}">
      <text>
        <r>
          <rPr>
            <sz val="10"/>
            <rFont val="Arial"/>
            <family val="2"/>
          </rPr>
          <t>Horas utilizadas na produção do item.</t>
        </r>
      </text>
    </comment>
    <comment ref="L67" authorId="0" shapeId="0" xr:uid="{00000000-0006-0000-0400-000059000000}">
      <text>
        <r>
          <rPr>
            <sz val="10"/>
            <rFont val="Arial"/>
            <family val="2"/>
          </rPr>
          <t>Produção real convertida para caixas.</t>
        </r>
      </text>
    </comment>
    <comment ref="N67" authorId="0" shapeId="0" xr:uid="{00000000-0006-0000-0400-00006D000000}">
      <text>
        <r>
          <rPr>
            <sz val="10"/>
            <rFont val="Arial"/>
            <family val="2"/>
          </rPr>
          <t>Total final convertido em latas.</t>
        </r>
      </text>
    </comment>
    <comment ref="C76" authorId="0" shapeId="0" xr:uid="{00000000-0006-0000-0400-00000A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76" authorId="0" shapeId="0" xr:uid="{00000000-0006-0000-0400-00001E000000}">
      <text>
        <r>
          <rPr>
            <sz val="10"/>
            <rFont val="Arial"/>
            <family val="2"/>
          </rPr>
          <t>Quantidade de caixas produzidas no item.</t>
        </r>
      </text>
    </comment>
    <comment ref="H76" authorId="0" shapeId="0" xr:uid="{00000000-0006-0000-0400-000032000000}">
      <text>
        <r>
          <rPr>
            <sz val="10"/>
            <rFont val="Arial"/>
            <family val="2"/>
          </rPr>
          <t>Consumo de gás do item no dia.</t>
        </r>
      </text>
    </comment>
    <comment ref="I76" authorId="0" shapeId="0" xr:uid="{00000000-0006-0000-0400-000046000000}">
      <text>
        <r>
          <rPr>
            <sz val="10"/>
            <rFont val="Arial"/>
            <family val="2"/>
          </rPr>
          <t>Horas utilizadas na produção do item.</t>
        </r>
      </text>
    </comment>
    <comment ref="L76" authorId="0" shapeId="0" xr:uid="{00000000-0006-0000-0400-00005A000000}">
      <text>
        <r>
          <rPr>
            <sz val="10"/>
            <rFont val="Arial"/>
            <family val="2"/>
          </rPr>
          <t>Produção real convertida para caixas.</t>
        </r>
      </text>
    </comment>
    <comment ref="N76" authorId="0" shapeId="0" xr:uid="{00000000-0006-0000-0400-00006E000000}">
      <text>
        <r>
          <rPr>
            <sz val="10"/>
            <rFont val="Arial"/>
            <family val="2"/>
          </rPr>
          <t>Total final convertido em latas.</t>
        </r>
      </text>
    </comment>
    <comment ref="C84" authorId="0" shapeId="0" xr:uid="{00000000-0006-0000-0400-00000B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84" authorId="0" shapeId="0" xr:uid="{00000000-0006-0000-0400-00001F000000}">
      <text>
        <r>
          <rPr>
            <sz val="10"/>
            <rFont val="Arial"/>
            <family val="2"/>
          </rPr>
          <t>Quantidade de caixas produzidas no item.</t>
        </r>
      </text>
    </comment>
    <comment ref="H84" authorId="0" shapeId="0" xr:uid="{00000000-0006-0000-0400-000033000000}">
      <text>
        <r>
          <rPr>
            <sz val="10"/>
            <rFont val="Arial"/>
            <family val="2"/>
          </rPr>
          <t>Consumo de gás do item no dia.</t>
        </r>
      </text>
    </comment>
    <comment ref="I84" authorId="0" shapeId="0" xr:uid="{00000000-0006-0000-0400-000047000000}">
      <text>
        <r>
          <rPr>
            <sz val="10"/>
            <rFont val="Arial"/>
            <family val="2"/>
          </rPr>
          <t>Horas utilizadas na produção do item.</t>
        </r>
      </text>
    </comment>
    <comment ref="L84" authorId="0" shapeId="0" xr:uid="{00000000-0006-0000-0400-00005B000000}">
      <text>
        <r>
          <rPr>
            <sz val="10"/>
            <rFont val="Arial"/>
            <family val="2"/>
          </rPr>
          <t>Produção real convertida para caixas.</t>
        </r>
      </text>
    </comment>
    <comment ref="N84" authorId="0" shapeId="0" xr:uid="{00000000-0006-0000-0400-00006F000000}">
      <text>
        <r>
          <rPr>
            <sz val="10"/>
            <rFont val="Arial"/>
            <family val="2"/>
          </rPr>
          <t>Total final convertido em latas.</t>
        </r>
      </text>
    </comment>
    <comment ref="C94" authorId="0" shapeId="0" xr:uid="{00000000-0006-0000-0400-00000C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94" authorId="0" shapeId="0" xr:uid="{00000000-0006-0000-0400-000020000000}">
      <text>
        <r>
          <rPr>
            <sz val="10"/>
            <rFont val="Arial"/>
            <family val="2"/>
          </rPr>
          <t>Quantidade de caixas produzidas no item.</t>
        </r>
      </text>
    </comment>
    <comment ref="H94" authorId="0" shapeId="0" xr:uid="{00000000-0006-0000-0400-000034000000}">
      <text>
        <r>
          <rPr>
            <sz val="10"/>
            <rFont val="Arial"/>
            <family val="2"/>
          </rPr>
          <t>Consumo de gás do item no dia.</t>
        </r>
      </text>
    </comment>
    <comment ref="I94" authorId="0" shapeId="0" xr:uid="{00000000-0006-0000-0400-000048000000}">
      <text>
        <r>
          <rPr>
            <sz val="10"/>
            <rFont val="Arial"/>
            <family val="2"/>
          </rPr>
          <t>Horas utilizadas na produção do item.</t>
        </r>
      </text>
    </comment>
    <comment ref="L94" authorId="0" shapeId="0" xr:uid="{00000000-0006-0000-0400-00005C000000}">
      <text>
        <r>
          <rPr>
            <sz val="10"/>
            <rFont val="Arial"/>
            <family val="2"/>
          </rPr>
          <t>Produção real convertida para caixas.</t>
        </r>
      </text>
    </comment>
    <comment ref="N94" authorId="0" shapeId="0" xr:uid="{00000000-0006-0000-0400-000070000000}">
      <text>
        <r>
          <rPr>
            <sz val="10"/>
            <rFont val="Arial"/>
            <family val="2"/>
          </rPr>
          <t>Total final convertido em latas.</t>
        </r>
      </text>
    </comment>
    <comment ref="C104" authorId="0" shapeId="0" xr:uid="{00000000-0006-0000-0400-00000D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04" authorId="0" shapeId="0" xr:uid="{00000000-0006-0000-0400-000021000000}">
      <text>
        <r>
          <rPr>
            <sz val="10"/>
            <rFont val="Arial"/>
            <family val="2"/>
          </rPr>
          <t>Quantidade de caixas produzidas no item.</t>
        </r>
      </text>
    </comment>
    <comment ref="H104" authorId="0" shapeId="0" xr:uid="{00000000-0006-0000-0400-000035000000}">
      <text>
        <r>
          <rPr>
            <sz val="10"/>
            <rFont val="Arial"/>
            <family val="2"/>
          </rPr>
          <t>Consumo de gás do item no dia.</t>
        </r>
      </text>
    </comment>
    <comment ref="I104" authorId="0" shapeId="0" xr:uid="{00000000-0006-0000-0400-000049000000}">
      <text>
        <r>
          <rPr>
            <sz val="10"/>
            <rFont val="Arial"/>
            <family val="2"/>
          </rPr>
          <t>Horas utilizadas na produção do item.</t>
        </r>
      </text>
    </comment>
    <comment ref="L104" authorId="0" shapeId="0" xr:uid="{00000000-0006-0000-0400-00005D000000}">
      <text>
        <r>
          <rPr>
            <sz val="10"/>
            <rFont val="Arial"/>
            <family val="2"/>
          </rPr>
          <t>Produção real convertida para caixas.</t>
        </r>
      </text>
    </comment>
    <comment ref="N104" authorId="0" shapeId="0" xr:uid="{00000000-0006-0000-0400-000071000000}">
      <text>
        <r>
          <rPr>
            <sz val="10"/>
            <rFont val="Arial"/>
            <family val="2"/>
          </rPr>
          <t>Total final convertido em latas.</t>
        </r>
      </text>
    </comment>
    <comment ref="C112" authorId="0" shapeId="0" xr:uid="{00000000-0006-0000-0400-00000E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12" authorId="0" shapeId="0" xr:uid="{00000000-0006-0000-0400-000022000000}">
      <text>
        <r>
          <rPr>
            <sz val="10"/>
            <rFont val="Arial"/>
            <family val="2"/>
          </rPr>
          <t>Quantidade de caixas produzidas no item.</t>
        </r>
      </text>
    </comment>
    <comment ref="H112" authorId="0" shapeId="0" xr:uid="{00000000-0006-0000-0400-000036000000}">
      <text>
        <r>
          <rPr>
            <sz val="10"/>
            <rFont val="Arial"/>
            <family val="2"/>
          </rPr>
          <t>Consumo de gás do item no dia.</t>
        </r>
      </text>
    </comment>
    <comment ref="I112" authorId="0" shapeId="0" xr:uid="{00000000-0006-0000-0400-00004A000000}">
      <text>
        <r>
          <rPr>
            <sz val="10"/>
            <rFont val="Arial"/>
            <family val="2"/>
          </rPr>
          <t>Horas utilizadas na produção do item.</t>
        </r>
      </text>
    </comment>
    <comment ref="L112" authorId="0" shapeId="0" xr:uid="{00000000-0006-0000-0400-00005E000000}">
      <text>
        <r>
          <rPr>
            <sz val="10"/>
            <rFont val="Arial"/>
            <family val="2"/>
          </rPr>
          <t>Produção real convertida para caixas.</t>
        </r>
      </text>
    </comment>
    <comment ref="N112" authorId="0" shapeId="0" xr:uid="{00000000-0006-0000-0400-000072000000}">
      <text>
        <r>
          <rPr>
            <sz val="10"/>
            <rFont val="Arial"/>
            <family val="2"/>
          </rPr>
          <t>Total final convertido em latas.</t>
        </r>
      </text>
    </comment>
    <comment ref="C122" authorId="0" shapeId="0" xr:uid="{00000000-0006-0000-0400-00000F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22" authorId="0" shapeId="0" xr:uid="{00000000-0006-0000-0400-000023000000}">
      <text>
        <r>
          <rPr>
            <sz val="10"/>
            <rFont val="Arial"/>
            <family val="2"/>
          </rPr>
          <t>Quantidade de caixas produzidas no item.</t>
        </r>
      </text>
    </comment>
    <comment ref="H122" authorId="0" shapeId="0" xr:uid="{00000000-0006-0000-0400-000037000000}">
      <text>
        <r>
          <rPr>
            <sz val="10"/>
            <rFont val="Arial"/>
            <family val="2"/>
          </rPr>
          <t>Consumo de gás do item no dia.</t>
        </r>
      </text>
    </comment>
    <comment ref="I122" authorId="0" shapeId="0" xr:uid="{00000000-0006-0000-0400-00004B000000}">
      <text>
        <r>
          <rPr>
            <sz val="10"/>
            <rFont val="Arial"/>
            <family val="2"/>
          </rPr>
          <t>Horas utilizadas na produção do item.</t>
        </r>
      </text>
    </comment>
    <comment ref="L122" authorId="0" shapeId="0" xr:uid="{00000000-0006-0000-0400-00005F000000}">
      <text>
        <r>
          <rPr>
            <sz val="10"/>
            <rFont val="Arial"/>
            <family val="2"/>
          </rPr>
          <t>Produção real convertida para caixas.</t>
        </r>
      </text>
    </comment>
    <comment ref="N122" authorId="0" shapeId="0" xr:uid="{00000000-0006-0000-0400-000073000000}">
      <text>
        <r>
          <rPr>
            <sz val="10"/>
            <rFont val="Arial"/>
            <family val="2"/>
          </rPr>
          <t>Total final convertido em latas.</t>
        </r>
      </text>
    </comment>
    <comment ref="C134" authorId="0" shapeId="0" xr:uid="{00000000-0006-0000-0400-000010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34" authorId="0" shapeId="0" xr:uid="{00000000-0006-0000-0400-000024000000}">
      <text>
        <r>
          <rPr>
            <sz val="10"/>
            <rFont val="Arial"/>
            <family val="2"/>
          </rPr>
          <t>Quantidade de caixas produzidas no item.</t>
        </r>
      </text>
    </comment>
    <comment ref="H134" authorId="0" shapeId="0" xr:uid="{00000000-0006-0000-0400-000038000000}">
      <text>
        <r>
          <rPr>
            <sz val="10"/>
            <rFont val="Arial"/>
            <family val="2"/>
          </rPr>
          <t>Consumo de gás do item no dia.</t>
        </r>
      </text>
    </comment>
    <comment ref="I134" authorId="0" shapeId="0" xr:uid="{00000000-0006-0000-0400-00004C000000}">
      <text>
        <r>
          <rPr>
            <sz val="10"/>
            <rFont val="Arial"/>
            <family val="2"/>
          </rPr>
          <t>Horas utilizadas na produção do item.</t>
        </r>
      </text>
    </comment>
    <comment ref="L134" authorId="0" shapeId="0" xr:uid="{00000000-0006-0000-0400-000060000000}">
      <text>
        <r>
          <rPr>
            <sz val="10"/>
            <rFont val="Arial"/>
            <family val="2"/>
          </rPr>
          <t>Produção real convertida para caixas.</t>
        </r>
      </text>
    </comment>
    <comment ref="N134" authorId="0" shapeId="0" xr:uid="{00000000-0006-0000-0400-000074000000}">
      <text>
        <r>
          <rPr>
            <sz val="10"/>
            <rFont val="Arial"/>
            <family val="2"/>
          </rPr>
          <t>Total final convertido em latas.</t>
        </r>
      </text>
    </comment>
    <comment ref="C144" authorId="0" shapeId="0" xr:uid="{00000000-0006-0000-0400-000011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44" authorId="0" shapeId="0" xr:uid="{00000000-0006-0000-0400-000025000000}">
      <text>
        <r>
          <rPr>
            <sz val="10"/>
            <rFont val="Arial"/>
            <family val="2"/>
          </rPr>
          <t>Quantidade de caixas produzidas no item.</t>
        </r>
      </text>
    </comment>
    <comment ref="H144" authorId="0" shapeId="0" xr:uid="{00000000-0006-0000-0400-000039000000}">
      <text>
        <r>
          <rPr>
            <sz val="10"/>
            <rFont val="Arial"/>
            <family val="2"/>
          </rPr>
          <t>Consumo de gás do item no dia.</t>
        </r>
      </text>
    </comment>
    <comment ref="I144" authorId="0" shapeId="0" xr:uid="{00000000-0006-0000-0400-00004D000000}">
      <text>
        <r>
          <rPr>
            <sz val="10"/>
            <rFont val="Arial"/>
            <family val="2"/>
          </rPr>
          <t>Horas utilizadas na produção do item.</t>
        </r>
      </text>
    </comment>
    <comment ref="L144" authorId="0" shapeId="0" xr:uid="{00000000-0006-0000-0400-000061000000}">
      <text>
        <r>
          <rPr>
            <sz val="10"/>
            <rFont val="Arial"/>
            <family val="2"/>
          </rPr>
          <t>Produção real convertida para caixas.</t>
        </r>
      </text>
    </comment>
    <comment ref="N144" authorId="0" shapeId="0" xr:uid="{00000000-0006-0000-0400-000075000000}">
      <text>
        <r>
          <rPr>
            <sz val="10"/>
            <rFont val="Arial"/>
            <family val="2"/>
          </rPr>
          <t>Total final convertido em latas.</t>
        </r>
      </text>
    </comment>
    <comment ref="C152" authorId="0" shapeId="0" xr:uid="{00000000-0006-0000-0400-000012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52" authorId="0" shapeId="0" xr:uid="{00000000-0006-0000-0400-000026000000}">
      <text>
        <r>
          <rPr>
            <sz val="10"/>
            <rFont val="Arial"/>
            <family val="2"/>
          </rPr>
          <t>Quantidade de caixas produzidas no item.</t>
        </r>
      </text>
    </comment>
    <comment ref="H152" authorId="0" shapeId="0" xr:uid="{00000000-0006-0000-0400-00003A000000}">
      <text>
        <r>
          <rPr>
            <sz val="10"/>
            <rFont val="Arial"/>
            <family val="2"/>
          </rPr>
          <t>Consumo de gás do item no dia.</t>
        </r>
      </text>
    </comment>
    <comment ref="I152" authorId="0" shapeId="0" xr:uid="{00000000-0006-0000-0400-00004E000000}">
      <text>
        <r>
          <rPr>
            <sz val="10"/>
            <rFont val="Arial"/>
            <family val="2"/>
          </rPr>
          <t>Horas utilizadas na produção do item.</t>
        </r>
      </text>
    </comment>
    <comment ref="L152" authorId="0" shapeId="0" xr:uid="{00000000-0006-0000-0400-000062000000}">
      <text>
        <r>
          <rPr>
            <sz val="10"/>
            <rFont val="Arial"/>
            <family val="2"/>
          </rPr>
          <t>Produção real convertida para caixas.</t>
        </r>
      </text>
    </comment>
    <comment ref="N152" authorId="0" shapeId="0" xr:uid="{00000000-0006-0000-0400-000076000000}">
      <text>
        <r>
          <rPr>
            <sz val="10"/>
            <rFont val="Arial"/>
            <family val="2"/>
          </rPr>
          <t>Total final convertido em latas.</t>
        </r>
      </text>
    </comment>
    <comment ref="C163" authorId="0" shapeId="0" xr:uid="{00000000-0006-0000-0400-000013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63" authorId="0" shapeId="0" xr:uid="{00000000-0006-0000-0400-000027000000}">
      <text>
        <r>
          <rPr>
            <sz val="10"/>
            <rFont val="Arial"/>
            <family val="2"/>
          </rPr>
          <t>Quantidade de caixas produzidas no item.</t>
        </r>
      </text>
    </comment>
    <comment ref="H163" authorId="0" shapeId="0" xr:uid="{00000000-0006-0000-0400-00003B000000}">
      <text>
        <r>
          <rPr>
            <sz val="10"/>
            <rFont val="Arial"/>
            <family val="2"/>
          </rPr>
          <t>Consumo de gás do item no dia.</t>
        </r>
      </text>
    </comment>
    <comment ref="I163" authorId="0" shapeId="0" xr:uid="{00000000-0006-0000-0400-00004F000000}">
      <text>
        <r>
          <rPr>
            <sz val="10"/>
            <rFont val="Arial"/>
            <family val="2"/>
          </rPr>
          <t>Horas utilizadas na produção do item.</t>
        </r>
      </text>
    </comment>
    <comment ref="L163" authorId="0" shapeId="0" xr:uid="{00000000-0006-0000-0400-000063000000}">
      <text>
        <r>
          <rPr>
            <sz val="10"/>
            <rFont val="Arial"/>
            <family val="2"/>
          </rPr>
          <t>Produção real convertida para caixas.</t>
        </r>
      </text>
    </comment>
    <comment ref="N163" authorId="0" shapeId="0" xr:uid="{00000000-0006-0000-0400-000077000000}">
      <text>
        <r>
          <rPr>
            <sz val="10"/>
            <rFont val="Arial"/>
            <family val="2"/>
          </rPr>
          <t>Total final convertido em latas.</t>
        </r>
      </text>
    </comment>
    <comment ref="C171" authorId="0" shapeId="0" xr:uid="{00000000-0006-0000-0400-000014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71" authorId="0" shapeId="0" xr:uid="{00000000-0006-0000-0400-000028000000}">
      <text>
        <r>
          <rPr>
            <sz val="10"/>
            <rFont val="Arial"/>
            <family val="2"/>
          </rPr>
          <t>Quantidade de caixas produzidas no item.</t>
        </r>
      </text>
    </comment>
    <comment ref="H171" authorId="0" shapeId="0" xr:uid="{00000000-0006-0000-0400-00003C000000}">
      <text>
        <r>
          <rPr>
            <sz val="10"/>
            <rFont val="Arial"/>
            <family val="2"/>
          </rPr>
          <t>Consumo de gás do item no dia.</t>
        </r>
      </text>
    </comment>
    <comment ref="I171" authorId="0" shapeId="0" xr:uid="{00000000-0006-0000-0400-000050000000}">
      <text>
        <r>
          <rPr>
            <sz val="10"/>
            <rFont val="Arial"/>
            <family val="2"/>
          </rPr>
          <t>Horas utilizadas na produção do item.</t>
        </r>
      </text>
    </comment>
    <comment ref="L171" authorId="0" shapeId="0" xr:uid="{00000000-0006-0000-0400-000064000000}">
      <text>
        <r>
          <rPr>
            <sz val="10"/>
            <rFont val="Arial"/>
            <family val="2"/>
          </rPr>
          <t>Produção real convertida para caixas.</t>
        </r>
      </text>
    </comment>
    <comment ref="N171" authorId="0" shapeId="0" xr:uid="{00000000-0006-0000-0400-000078000000}">
      <text>
        <r>
          <rPr>
            <sz val="10"/>
            <rFont val="Arial"/>
            <family val="2"/>
          </rPr>
          <t>Total final convertido em latas.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3" authorId="0" shapeId="0" xr:uid="{00000000-0006-0000-0700-000001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3" authorId="0" shapeId="0" xr:uid="{00000000-0006-0000-0700-000013000000}">
      <text>
        <r>
          <rPr>
            <sz val="10"/>
            <rFont val="Arial"/>
            <family val="2"/>
          </rPr>
          <t>Quantidade de caixas produzidas no item.</t>
        </r>
      </text>
    </comment>
    <comment ref="H3" authorId="0" shapeId="0" xr:uid="{00000000-0006-0000-0700-000025000000}">
      <text>
        <r>
          <rPr>
            <sz val="10"/>
            <rFont val="Arial"/>
            <family val="2"/>
          </rPr>
          <t>Consumo de gás do item no dia.</t>
        </r>
      </text>
    </comment>
    <comment ref="I3" authorId="0" shapeId="0" xr:uid="{00000000-0006-0000-0700-000037000000}">
      <text>
        <r>
          <rPr>
            <sz val="10"/>
            <rFont val="Arial"/>
            <family val="2"/>
          </rPr>
          <t>Horas utilizadas na produção do item.</t>
        </r>
      </text>
    </comment>
    <comment ref="L3" authorId="0" shapeId="0" xr:uid="{00000000-0006-0000-0700-000049000000}">
      <text>
        <r>
          <rPr>
            <sz val="10"/>
            <rFont val="Arial"/>
            <family val="2"/>
          </rPr>
          <t>Produção real convertida para caixas.</t>
        </r>
      </text>
    </comment>
    <comment ref="N3" authorId="0" shapeId="0" xr:uid="{00000000-0006-0000-0700-00005B000000}">
      <text>
        <r>
          <rPr>
            <sz val="10"/>
            <rFont val="Arial"/>
            <family val="2"/>
          </rPr>
          <t>Total final convertido em latas.</t>
        </r>
      </text>
    </comment>
    <comment ref="C11" authorId="0" shapeId="0" xr:uid="{00000000-0006-0000-0700-000002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1" authorId="0" shapeId="0" xr:uid="{00000000-0006-0000-0700-000014000000}">
      <text>
        <r>
          <rPr>
            <sz val="10"/>
            <rFont val="Arial"/>
            <family val="2"/>
          </rPr>
          <t>Quantidade de caixas produzidas no item.</t>
        </r>
      </text>
    </comment>
    <comment ref="H11" authorId="0" shapeId="0" xr:uid="{00000000-0006-0000-0700-000026000000}">
      <text>
        <r>
          <rPr>
            <sz val="10"/>
            <rFont val="Arial"/>
            <family val="2"/>
          </rPr>
          <t>Consumo de gás do item no dia.</t>
        </r>
      </text>
    </comment>
    <comment ref="I11" authorId="0" shapeId="0" xr:uid="{00000000-0006-0000-0700-000038000000}">
      <text>
        <r>
          <rPr>
            <sz val="10"/>
            <rFont val="Arial"/>
            <family val="2"/>
          </rPr>
          <t>Horas utilizadas na produção do item.</t>
        </r>
      </text>
    </comment>
    <comment ref="L11" authorId="0" shapeId="0" xr:uid="{00000000-0006-0000-0700-00004A000000}">
      <text>
        <r>
          <rPr>
            <sz val="10"/>
            <rFont val="Arial"/>
            <family val="2"/>
          </rPr>
          <t>Produção real convertida para caixas.</t>
        </r>
      </text>
    </comment>
    <comment ref="N11" authorId="0" shapeId="0" xr:uid="{00000000-0006-0000-0700-00005C000000}">
      <text>
        <r>
          <rPr>
            <sz val="10"/>
            <rFont val="Arial"/>
            <family val="2"/>
          </rPr>
          <t>Total final convertido em latas.</t>
        </r>
      </text>
    </comment>
    <comment ref="C19" authorId="0" shapeId="0" xr:uid="{00000000-0006-0000-0700-000003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9" authorId="0" shapeId="0" xr:uid="{00000000-0006-0000-0700-000015000000}">
      <text>
        <r>
          <rPr>
            <sz val="10"/>
            <rFont val="Arial"/>
            <family val="2"/>
          </rPr>
          <t>Quantidade de caixas produzidas no item.</t>
        </r>
      </text>
    </comment>
    <comment ref="H19" authorId="0" shapeId="0" xr:uid="{00000000-0006-0000-0700-000027000000}">
      <text>
        <r>
          <rPr>
            <sz val="10"/>
            <rFont val="Arial"/>
            <family val="2"/>
          </rPr>
          <t>Consumo de gás do item no dia.</t>
        </r>
      </text>
    </comment>
    <comment ref="I19" authorId="0" shapeId="0" xr:uid="{00000000-0006-0000-0700-000039000000}">
      <text>
        <r>
          <rPr>
            <sz val="10"/>
            <rFont val="Arial"/>
            <family val="2"/>
          </rPr>
          <t>Horas utilizadas na produção do item.</t>
        </r>
      </text>
    </comment>
    <comment ref="L19" authorId="0" shapeId="0" xr:uid="{00000000-0006-0000-0700-00004B000000}">
      <text>
        <r>
          <rPr>
            <sz val="10"/>
            <rFont val="Arial"/>
            <family val="2"/>
          </rPr>
          <t>Produção real convertida para caixas.</t>
        </r>
      </text>
    </comment>
    <comment ref="N19" authorId="0" shapeId="0" xr:uid="{00000000-0006-0000-0700-00005D000000}">
      <text>
        <r>
          <rPr>
            <sz val="10"/>
            <rFont val="Arial"/>
            <family val="2"/>
          </rPr>
          <t>Total final convertido em latas.</t>
        </r>
      </text>
    </comment>
    <comment ref="C27" authorId="0" shapeId="0" xr:uid="{00000000-0006-0000-0700-000004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27" authorId="0" shapeId="0" xr:uid="{00000000-0006-0000-0700-000016000000}">
      <text>
        <r>
          <rPr>
            <sz val="10"/>
            <rFont val="Arial"/>
            <family val="2"/>
          </rPr>
          <t>Quantidade de caixas produzidas no item.</t>
        </r>
      </text>
    </comment>
    <comment ref="H27" authorId="0" shapeId="0" xr:uid="{00000000-0006-0000-0700-000028000000}">
      <text>
        <r>
          <rPr>
            <sz val="10"/>
            <rFont val="Arial"/>
            <family val="2"/>
          </rPr>
          <t>Consumo de gás do item no dia.</t>
        </r>
      </text>
    </comment>
    <comment ref="I27" authorId="0" shapeId="0" xr:uid="{00000000-0006-0000-0700-00003A000000}">
      <text>
        <r>
          <rPr>
            <sz val="10"/>
            <rFont val="Arial"/>
            <family val="2"/>
          </rPr>
          <t>Horas utilizadas na produção do item.</t>
        </r>
      </text>
    </comment>
    <comment ref="L27" authorId="0" shapeId="0" xr:uid="{00000000-0006-0000-0700-00004C000000}">
      <text>
        <r>
          <rPr>
            <sz val="10"/>
            <rFont val="Arial"/>
            <family val="2"/>
          </rPr>
          <t>Produção real convertida para caixas.</t>
        </r>
      </text>
    </comment>
    <comment ref="N27" authorId="0" shapeId="0" xr:uid="{00000000-0006-0000-0700-00005E000000}">
      <text>
        <r>
          <rPr>
            <sz val="10"/>
            <rFont val="Arial"/>
            <family val="2"/>
          </rPr>
          <t>Total final convertido em latas.</t>
        </r>
      </text>
    </comment>
    <comment ref="C37" authorId="0" shapeId="0" xr:uid="{00000000-0006-0000-0700-000005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37" authorId="0" shapeId="0" xr:uid="{00000000-0006-0000-0700-000017000000}">
      <text>
        <r>
          <rPr>
            <sz val="10"/>
            <rFont val="Arial"/>
            <family val="2"/>
          </rPr>
          <t>Quantidade de caixas produzidas no item.</t>
        </r>
      </text>
    </comment>
    <comment ref="H37" authorId="0" shapeId="0" xr:uid="{00000000-0006-0000-0700-000029000000}">
      <text>
        <r>
          <rPr>
            <sz val="10"/>
            <rFont val="Arial"/>
            <family val="2"/>
          </rPr>
          <t>Consumo de gás do item no dia.</t>
        </r>
      </text>
    </comment>
    <comment ref="I37" authorId="0" shapeId="0" xr:uid="{00000000-0006-0000-0700-00003B000000}">
      <text>
        <r>
          <rPr>
            <sz val="10"/>
            <rFont val="Arial"/>
            <family val="2"/>
          </rPr>
          <t>Horas utilizadas na produção do item.</t>
        </r>
      </text>
    </comment>
    <comment ref="L37" authorId="0" shapeId="0" xr:uid="{00000000-0006-0000-0700-00004D000000}">
      <text>
        <r>
          <rPr>
            <sz val="10"/>
            <rFont val="Arial"/>
            <family val="2"/>
          </rPr>
          <t>Produção real convertida para caixas.</t>
        </r>
      </text>
    </comment>
    <comment ref="N37" authorId="0" shapeId="0" xr:uid="{00000000-0006-0000-0700-00005F000000}">
      <text>
        <r>
          <rPr>
            <sz val="10"/>
            <rFont val="Arial"/>
            <family val="2"/>
          </rPr>
          <t>Total final convertido em latas.</t>
        </r>
      </text>
    </comment>
    <comment ref="C46" authorId="0" shapeId="0" xr:uid="{00000000-0006-0000-0700-000006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46" authorId="0" shapeId="0" xr:uid="{00000000-0006-0000-0700-000018000000}">
      <text>
        <r>
          <rPr>
            <sz val="10"/>
            <rFont val="Arial"/>
            <family val="2"/>
          </rPr>
          <t>Quantidade de caixas produzidas no item.</t>
        </r>
      </text>
    </comment>
    <comment ref="H46" authorId="0" shapeId="0" xr:uid="{00000000-0006-0000-0700-00002A000000}">
      <text>
        <r>
          <rPr>
            <sz val="10"/>
            <rFont val="Arial"/>
            <family val="2"/>
          </rPr>
          <t>Consumo de gás do item no dia.</t>
        </r>
      </text>
    </comment>
    <comment ref="I46" authorId="0" shapeId="0" xr:uid="{00000000-0006-0000-0700-00003C000000}">
      <text>
        <r>
          <rPr>
            <sz val="10"/>
            <rFont val="Arial"/>
            <family val="2"/>
          </rPr>
          <t>Horas utilizadas na produção do item.</t>
        </r>
      </text>
    </comment>
    <comment ref="L46" authorId="0" shapeId="0" xr:uid="{00000000-0006-0000-0700-00004E000000}">
      <text>
        <r>
          <rPr>
            <sz val="10"/>
            <rFont val="Arial"/>
            <family val="2"/>
          </rPr>
          <t>Produção real convertida para caixas.</t>
        </r>
      </text>
    </comment>
    <comment ref="N46" authorId="0" shapeId="0" xr:uid="{00000000-0006-0000-0700-000060000000}">
      <text>
        <r>
          <rPr>
            <sz val="10"/>
            <rFont val="Arial"/>
            <family val="2"/>
          </rPr>
          <t>Total final convertido em latas.</t>
        </r>
      </text>
    </comment>
    <comment ref="C55" authorId="0" shapeId="0" xr:uid="{00000000-0006-0000-0700-000007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55" authorId="0" shapeId="0" xr:uid="{00000000-0006-0000-0700-000019000000}">
      <text>
        <r>
          <rPr>
            <sz val="10"/>
            <rFont val="Arial"/>
            <family val="2"/>
          </rPr>
          <t>Quantidade de caixas produzidas no item.</t>
        </r>
      </text>
    </comment>
    <comment ref="H55" authorId="0" shapeId="0" xr:uid="{00000000-0006-0000-0700-00002B000000}">
      <text>
        <r>
          <rPr>
            <sz val="10"/>
            <rFont val="Arial"/>
            <family val="2"/>
          </rPr>
          <t>Consumo de gás do item no dia.</t>
        </r>
      </text>
    </comment>
    <comment ref="I55" authorId="0" shapeId="0" xr:uid="{00000000-0006-0000-0700-00003D000000}">
      <text>
        <r>
          <rPr>
            <sz val="10"/>
            <rFont val="Arial"/>
            <family val="2"/>
          </rPr>
          <t>Horas utilizadas na produção do item.</t>
        </r>
      </text>
    </comment>
    <comment ref="L55" authorId="0" shapeId="0" xr:uid="{00000000-0006-0000-0700-00004F000000}">
      <text>
        <r>
          <rPr>
            <sz val="10"/>
            <rFont val="Arial"/>
            <family val="2"/>
          </rPr>
          <t>Produção real convertida para caixas.</t>
        </r>
      </text>
    </comment>
    <comment ref="N55" authorId="0" shapeId="0" xr:uid="{00000000-0006-0000-0700-000061000000}">
      <text>
        <r>
          <rPr>
            <sz val="10"/>
            <rFont val="Arial"/>
            <family val="2"/>
          </rPr>
          <t>Total final convertido em latas.</t>
        </r>
      </text>
    </comment>
    <comment ref="C63" authorId="0" shapeId="0" xr:uid="{00000000-0006-0000-0700-000008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63" authorId="0" shapeId="0" xr:uid="{00000000-0006-0000-0700-00001A000000}">
      <text>
        <r>
          <rPr>
            <sz val="10"/>
            <rFont val="Arial"/>
            <family val="2"/>
          </rPr>
          <t>Quantidade de caixas produzidas no item.</t>
        </r>
      </text>
    </comment>
    <comment ref="H63" authorId="0" shapeId="0" xr:uid="{00000000-0006-0000-0700-00002C000000}">
      <text>
        <r>
          <rPr>
            <sz val="10"/>
            <rFont val="Arial"/>
            <family val="2"/>
          </rPr>
          <t>Consumo de gás do item no dia.</t>
        </r>
      </text>
    </comment>
    <comment ref="I63" authorId="0" shapeId="0" xr:uid="{00000000-0006-0000-0700-00003E000000}">
      <text>
        <r>
          <rPr>
            <sz val="10"/>
            <rFont val="Arial"/>
            <family val="2"/>
          </rPr>
          <t>Horas utilizadas na produção do item.</t>
        </r>
      </text>
    </comment>
    <comment ref="L63" authorId="0" shapeId="0" xr:uid="{00000000-0006-0000-0700-000050000000}">
      <text>
        <r>
          <rPr>
            <sz val="10"/>
            <rFont val="Arial"/>
            <family val="2"/>
          </rPr>
          <t>Produção real convertida para caixas.</t>
        </r>
      </text>
    </comment>
    <comment ref="N63" authorId="0" shapeId="0" xr:uid="{00000000-0006-0000-0700-000062000000}">
      <text>
        <r>
          <rPr>
            <sz val="10"/>
            <rFont val="Arial"/>
            <family val="2"/>
          </rPr>
          <t>Total final convertido em latas.</t>
        </r>
      </text>
    </comment>
    <comment ref="C71" authorId="0" shapeId="0" xr:uid="{00000000-0006-0000-0700-000009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71" authorId="0" shapeId="0" xr:uid="{00000000-0006-0000-0700-00001B000000}">
      <text>
        <r>
          <rPr>
            <sz val="10"/>
            <rFont val="Arial"/>
            <family val="2"/>
          </rPr>
          <t>Quantidade de caixas produzidas no item.</t>
        </r>
      </text>
    </comment>
    <comment ref="H71" authorId="0" shapeId="0" xr:uid="{00000000-0006-0000-0700-00002D000000}">
      <text>
        <r>
          <rPr>
            <sz val="10"/>
            <rFont val="Arial"/>
            <family val="2"/>
          </rPr>
          <t>Consumo de gás do item no dia.</t>
        </r>
      </text>
    </comment>
    <comment ref="I71" authorId="0" shapeId="0" xr:uid="{00000000-0006-0000-0700-00003F000000}">
      <text>
        <r>
          <rPr>
            <sz val="10"/>
            <rFont val="Arial"/>
            <family val="2"/>
          </rPr>
          <t>Horas utilizadas na produção do item.</t>
        </r>
      </text>
    </comment>
    <comment ref="L71" authorId="0" shapeId="0" xr:uid="{00000000-0006-0000-0700-000051000000}">
      <text>
        <r>
          <rPr>
            <sz val="10"/>
            <rFont val="Arial"/>
            <family val="2"/>
          </rPr>
          <t>Produção real convertida para caixas.</t>
        </r>
      </text>
    </comment>
    <comment ref="N71" authorId="0" shapeId="0" xr:uid="{00000000-0006-0000-0700-000063000000}">
      <text>
        <r>
          <rPr>
            <sz val="10"/>
            <rFont val="Arial"/>
            <family val="2"/>
          </rPr>
          <t>Total final convertido em latas.</t>
        </r>
      </text>
    </comment>
    <comment ref="C79" authorId="0" shapeId="0" xr:uid="{00000000-0006-0000-0700-00000A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79" authorId="0" shapeId="0" xr:uid="{00000000-0006-0000-0700-00001C000000}">
      <text>
        <r>
          <rPr>
            <sz val="10"/>
            <rFont val="Arial"/>
            <family val="2"/>
          </rPr>
          <t>Quantidade de caixas produzidas no item.</t>
        </r>
      </text>
    </comment>
    <comment ref="H79" authorId="0" shapeId="0" xr:uid="{00000000-0006-0000-0700-00002E000000}">
      <text>
        <r>
          <rPr>
            <sz val="10"/>
            <rFont val="Arial"/>
            <family val="2"/>
          </rPr>
          <t>Consumo de gás do item no dia.</t>
        </r>
      </text>
    </comment>
    <comment ref="I79" authorId="0" shapeId="0" xr:uid="{00000000-0006-0000-0700-000040000000}">
      <text>
        <r>
          <rPr>
            <sz val="10"/>
            <rFont val="Arial"/>
            <family val="2"/>
          </rPr>
          <t>Horas utilizadas na produção do item.</t>
        </r>
      </text>
    </comment>
    <comment ref="L79" authorId="0" shapeId="0" xr:uid="{00000000-0006-0000-0700-000052000000}">
      <text>
        <r>
          <rPr>
            <sz val="10"/>
            <rFont val="Arial"/>
            <family val="2"/>
          </rPr>
          <t>Produção real convertida para caixas.</t>
        </r>
      </text>
    </comment>
    <comment ref="N79" authorId="0" shapeId="0" xr:uid="{00000000-0006-0000-0700-000064000000}">
      <text>
        <r>
          <rPr>
            <sz val="10"/>
            <rFont val="Arial"/>
            <family val="2"/>
          </rPr>
          <t>Total final convertido em latas.</t>
        </r>
      </text>
    </comment>
    <comment ref="C91" authorId="0" shapeId="0" xr:uid="{00000000-0006-0000-0700-00000B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91" authorId="0" shapeId="0" xr:uid="{00000000-0006-0000-0700-00001D000000}">
      <text>
        <r>
          <rPr>
            <sz val="10"/>
            <rFont val="Arial"/>
            <family val="2"/>
          </rPr>
          <t>Quantidade de caixas produzidas no item.</t>
        </r>
      </text>
    </comment>
    <comment ref="H91" authorId="0" shapeId="0" xr:uid="{00000000-0006-0000-0700-00002F000000}">
      <text>
        <r>
          <rPr>
            <sz val="10"/>
            <rFont val="Arial"/>
            <family val="2"/>
          </rPr>
          <t>Consumo de gás do item no dia.</t>
        </r>
      </text>
    </comment>
    <comment ref="I91" authorId="0" shapeId="0" xr:uid="{00000000-0006-0000-0700-000041000000}">
      <text>
        <r>
          <rPr>
            <sz val="10"/>
            <rFont val="Arial"/>
            <family val="2"/>
          </rPr>
          <t>Horas utilizadas na produção do item.</t>
        </r>
      </text>
    </comment>
    <comment ref="L91" authorId="0" shapeId="0" xr:uid="{00000000-0006-0000-0700-000053000000}">
      <text>
        <r>
          <rPr>
            <sz val="10"/>
            <rFont val="Arial"/>
            <family val="2"/>
          </rPr>
          <t>Produção real convertida para caixas.</t>
        </r>
      </text>
    </comment>
    <comment ref="N91" authorId="0" shapeId="0" xr:uid="{00000000-0006-0000-0700-000065000000}">
      <text>
        <r>
          <rPr>
            <sz val="10"/>
            <rFont val="Arial"/>
            <family val="2"/>
          </rPr>
          <t>Total final convertido em latas.</t>
        </r>
      </text>
    </comment>
    <comment ref="C101" authorId="0" shapeId="0" xr:uid="{00000000-0006-0000-0700-00000C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01" authorId="0" shapeId="0" xr:uid="{00000000-0006-0000-0700-00001E000000}">
      <text>
        <r>
          <rPr>
            <sz val="10"/>
            <rFont val="Arial"/>
            <family val="2"/>
          </rPr>
          <t>Quantidade de caixas produzidas no item.</t>
        </r>
      </text>
    </comment>
    <comment ref="H101" authorId="0" shapeId="0" xr:uid="{00000000-0006-0000-0700-000030000000}">
      <text>
        <r>
          <rPr>
            <sz val="10"/>
            <rFont val="Arial"/>
            <family val="2"/>
          </rPr>
          <t>Consumo de gás do item no dia.</t>
        </r>
      </text>
    </comment>
    <comment ref="I101" authorId="0" shapeId="0" xr:uid="{00000000-0006-0000-0700-000042000000}">
      <text>
        <r>
          <rPr>
            <sz val="10"/>
            <rFont val="Arial"/>
            <family val="2"/>
          </rPr>
          <t>Horas utilizadas na produção do item.</t>
        </r>
      </text>
    </comment>
    <comment ref="L101" authorId="0" shapeId="0" xr:uid="{00000000-0006-0000-0700-000054000000}">
      <text>
        <r>
          <rPr>
            <sz val="10"/>
            <rFont val="Arial"/>
            <family val="2"/>
          </rPr>
          <t>Produção real convertida para caixas.</t>
        </r>
      </text>
    </comment>
    <comment ref="N101" authorId="0" shapeId="0" xr:uid="{00000000-0006-0000-0700-000066000000}">
      <text>
        <r>
          <rPr>
            <sz val="10"/>
            <rFont val="Arial"/>
            <family val="2"/>
          </rPr>
          <t>Total final convertido em latas.</t>
        </r>
      </text>
    </comment>
    <comment ref="C111" authorId="0" shapeId="0" xr:uid="{00000000-0006-0000-0700-00000D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11" authorId="0" shapeId="0" xr:uid="{00000000-0006-0000-0700-00001F000000}">
      <text>
        <r>
          <rPr>
            <sz val="10"/>
            <rFont val="Arial"/>
            <family val="2"/>
          </rPr>
          <t>Quantidade de caixas produzidas no item.</t>
        </r>
      </text>
    </comment>
    <comment ref="H111" authorId="0" shapeId="0" xr:uid="{00000000-0006-0000-0700-000031000000}">
      <text>
        <r>
          <rPr>
            <sz val="10"/>
            <rFont val="Arial"/>
            <family val="2"/>
          </rPr>
          <t>Consumo de gás do item no dia.</t>
        </r>
      </text>
    </comment>
    <comment ref="I111" authorId="0" shapeId="0" xr:uid="{00000000-0006-0000-0700-000043000000}">
      <text>
        <r>
          <rPr>
            <sz val="10"/>
            <rFont val="Arial"/>
            <family val="2"/>
          </rPr>
          <t>Horas utilizadas na produção do item.</t>
        </r>
      </text>
    </comment>
    <comment ref="L111" authorId="0" shapeId="0" xr:uid="{00000000-0006-0000-0700-000055000000}">
      <text>
        <r>
          <rPr>
            <sz val="10"/>
            <rFont val="Arial"/>
            <family val="2"/>
          </rPr>
          <t>Produção real convertida para caixas.</t>
        </r>
      </text>
    </comment>
    <comment ref="N111" authorId="0" shapeId="0" xr:uid="{00000000-0006-0000-0700-000067000000}">
      <text>
        <r>
          <rPr>
            <sz val="10"/>
            <rFont val="Arial"/>
            <family val="2"/>
          </rPr>
          <t>Total final convertido em latas.</t>
        </r>
      </text>
    </comment>
    <comment ref="C120" authorId="0" shapeId="0" xr:uid="{00000000-0006-0000-0700-00000E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20" authorId="0" shapeId="0" xr:uid="{00000000-0006-0000-0700-000020000000}">
      <text>
        <r>
          <rPr>
            <sz val="10"/>
            <rFont val="Arial"/>
            <family val="2"/>
          </rPr>
          <t>Quantidade de caixas produzidas no item.</t>
        </r>
      </text>
    </comment>
    <comment ref="H120" authorId="0" shapeId="0" xr:uid="{00000000-0006-0000-0700-000032000000}">
      <text>
        <r>
          <rPr>
            <sz val="10"/>
            <rFont val="Arial"/>
            <family val="2"/>
          </rPr>
          <t>Consumo de gás do item no dia.</t>
        </r>
      </text>
    </comment>
    <comment ref="I120" authorId="0" shapeId="0" xr:uid="{00000000-0006-0000-0700-000044000000}">
      <text>
        <r>
          <rPr>
            <sz val="10"/>
            <rFont val="Arial"/>
            <family val="2"/>
          </rPr>
          <t>Horas utilizadas na produção do item.</t>
        </r>
      </text>
    </comment>
    <comment ref="L120" authorId="0" shapeId="0" xr:uid="{00000000-0006-0000-0700-000056000000}">
      <text>
        <r>
          <rPr>
            <sz val="10"/>
            <rFont val="Arial"/>
            <family val="2"/>
          </rPr>
          <t>Produção real convertida para caixas.</t>
        </r>
      </text>
    </comment>
    <comment ref="N120" authorId="0" shapeId="0" xr:uid="{00000000-0006-0000-0700-000068000000}">
      <text>
        <r>
          <rPr>
            <sz val="10"/>
            <rFont val="Arial"/>
            <family val="2"/>
          </rPr>
          <t>Total final convertido em latas.</t>
        </r>
      </text>
    </comment>
    <comment ref="C128" authorId="0" shapeId="0" xr:uid="{00000000-0006-0000-0700-00000F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28" authorId="0" shapeId="0" xr:uid="{00000000-0006-0000-0700-000021000000}">
      <text>
        <r>
          <rPr>
            <sz val="10"/>
            <rFont val="Arial"/>
            <family val="2"/>
          </rPr>
          <t>Quantidade de caixas produzidas no item.</t>
        </r>
      </text>
    </comment>
    <comment ref="H128" authorId="0" shapeId="0" xr:uid="{00000000-0006-0000-0700-000033000000}">
      <text>
        <r>
          <rPr>
            <sz val="10"/>
            <rFont val="Arial"/>
            <family val="2"/>
          </rPr>
          <t>Consumo de gás do item no dia.</t>
        </r>
      </text>
    </comment>
    <comment ref="I128" authorId="0" shapeId="0" xr:uid="{00000000-0006-0000-0700-000045000000}">
      <text>
        <r>
          <rPr>
            <sz val="10"/>
            <rFont val="Arial"/>
            <family val="2"/>
          </rPr>
          <t>Horas utilizadas na produção do item.</t>
        </r>
      </text>
    </comment>
    <comment ref="L128" authorId="0" shapeId="0" xr:uid="{00000000-0006-0000-0700-000057000000}">
      <text>
        <r>
          <rPr>
            <sz val="10"/>
            <rFont val="Arial"/>
            <family val="2"/>
          </rPr>
          <t>Produção real convertida para caixas.</t>
        </r>
      </text>
    </comment>
    <comment ref="N128" authorId="0" shapeId="0" xr:uid="{00000000-0006-0000-0700-000069000000}">
      <text>
        <r>
          <rPr>
            <sz val="10"/>
            <rFont val="Arial"/>
            <family val="2"/>
          </rPr>
          <t>Total final convertido em latas.</t>
        </r>
      </text>
    </comment>
    <comment ref="C137" authorId="0" shapeId="0" xr:uid="{00000000-0006-0000-0700-000010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37" authorId="0" shapeId="0" xr:uid="{00000000-0006-0000-0700-000022000000}">
      <text>
        <r>
          <rPr>
            <sz val="10"/>
            <rFont val="Arial"/>
            <family val="2"/>
          </rPr>
          <t>Quantidade de caixas produzidas no item.</t>
        </r>
      </text>
    </comment>
    <comment ref="H137" authorId="0" shapeId="0" xr:uid="{00000000-0006-0000-0700-000034000000}">
      <text>
        <r>
          <rPr>
            <sz val="10"/>
            <rFont val="Arial"/>
            <family val="2"/>
          </rPr>
          <t>Consumo de gás do item no dia.</t>
        </r>
      </text>
    </comment>
    <comment ref="I137" authorId="0" shapeId="0" xr:uid="{00000000-0006-0000-0700-000046000000}">
      <text>
        <r>
          <rPr>
            <sz val="10"/>
            <rFont val="Arial"/>
            <family val="2"/>
          </rPr>
          <t>Horas utilizadas na produção do item.</t>
        </r>
      </text>
    </comment>
    <comment ref="L137" authorId="0" shapeId="0" xr:uid="{00000000-0006-0000-0700-000058000000}">
      <text>
        <r>
          <rPr>
            <sz val="10"/>
            <rFont val="Arial"/>
            <family val="2"/>
          </rPr>
          <t>Produção real convertida para caixas.</t>
        </r>
      </text>
    </comment>
    <comment ref="N137" authorId="0" shapeId="0" xr:uid="{00000000-0006-0000-0700-00006A000000}">
      <text>
        <r>
          <rPr>
            <sz val="10"/>
            <rFont val="Arial"/>
            <family val="2"/>
          </rPr>
          <t>Total final convertido em latas.</t>
        </r>
      </text>
    </comment>
    <comment ref="C149" authorId="0" shapeId="0" xr:uid="{00000000-0006-0000-0700-000011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49" authorId="0" shapeId="0" xr:uid="{00000000-0006-0000-0700-000023000000}">
      <text>
        <r>
          <rPr>
            <sz val="10"/>
            <rFont val="Arial"/>
            <family val="2"/>
          </rPr>
          <t>Quantidade de caixas produzidas no item.</t>
        </r>
      </text>
    </comment>
    <comment ref="H149" authorId="0" shapeId="0" xr:uid="{00000000-0006-0000-0700-000035000000}">
      <text>
        <r>
          <rPr>
            <sz val="10"/>
            <rFont val="Arial"/>
            <family val="2"/>
          </rPr>
          <t>Consumo de gás do item no dia.</t>
        </r>
      </text>
    </comment>
    <comment ref="I149" authorId="0" shapeId="0" xr:uid="{00000000-0006-0000-0700-000047000000}">
      <text>
        <r>
          <rPr>
            <sz val="10"/>
            <rFont val="Arial"/>
            <family val="2"/>
          </rPr>
          <t>Horas utilizadas na produção do item.</t>
        </r>
      </text>
    </comment>
    <comment ref="L149" authorId="0" shapeId="0" xr:uid="{00000000-0006-0000-0700-000059000000}">
      <text>
        <r>
          <rPr>
            <sz val="10"/>
            <rFont val="Arial"/>
            <family val="2"/>
          </rPr>
          <t>Produção real convertida para caixas.</t>
        </r>
      </text>
    </comment>
    <comment ref="N149" authorId="0" shapeId="0" xr:uid="{00000000-0006-0000-0700-00006B000000}">
      <text>
        <r>
          <rPr>
            <sz val="10"/>
            <rFont val="Arial"/>
            <family val="2"/>
          </rPr>
          <t>Total final convertido em latas.</t>
        </r>
      </text>
    </comment>
    <comment ref="C158" authorId="0" shapeId="0" xr:uid="{00000000-0006-0000-0700-000012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58" authorId="0" shapeId="0" xr:uid="{00000000-0006-0000-0700-000024000000}">
      <text>
        <r>
          <rPr>
            <sz val="10"/>
            <rFont val="Arial"/>
            <family val="2"/>
          </rPr>
          <t>Quantidade de caixas produzidas no item.</t>
        </r>
      </text>
    </comment>
    <comment ref="H158" authorId="0" shapeId="0" xr:uid="{00000000-0006-0000-0700-000036000000}">
      <text>
        <r>
          <rPr>
            <sz val="10"/>
            <rFont val="Arial"/>
            <family val="2"/>
          </rPr>
          <t>Consumo de gás do item no dia.</t>
        </r>
      </text>
    </comment>
    <comment ref="I158" authorId="0" shapeId="0" xr:uid="{00000000-0006-0000-0700-000048000000}">
      <text>
        <r>
          <rPr>
            <sz val="10"/>
            <rFont val="Arial"/>
            <family val="2"/>
          </rPr>
          <t>Horas utilizadas na produção do item.</t>
        </r>
      </text>
    </comment>
    <comment ref="L158" authorId="0" shapeId="0" xr:uid="{00000000-0006-0000-0700-00005A000000}">
      <text>
        <r>
          <rPr>
            <sz val="10"/>
            <rFont val="Arial"/>
            <family val="2"/>
          </rPr>
          <t>Produção real convertida para caixas.</t>
        </r>
      </text>
    </comment>
    <comment ref="N158" authorId="0" shapeId="0" xr:uid="{00000000-0006-0000-0700-00006C000000}">
      <text>
        <r>
          <rPr>
            <sz val="10"/>
            <rFont val="Arial"/>
            <family val="2"/>
          </rPr>
          <t>Total final convertido em latas.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3" authorId="0" shapeId="0" xr:uid="{00000000-0006-0000-0A00-000001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3" authorId="0" shapeId="0" xr:uid="{00000000-0006-0000-0A00-000017000000}">
      <text>
        <r>
          <rPr>
            <sz val="10"/>
            <rFont val="Arial"/>
            <family val="2"/>
          </rPr>
          <t>Quantidade de caixas produzidas no item.</t>
        </r>
      </text>
    </comment>
    <comment ref="H3" authorId="0" shapeId="0" xr:uid="{00000000-0006-0000-0A00-00002D000000}">
      <text>
        <r>
          <rPr>
            <sz val="10"/>
            <rFont val="Arial"/>
            <family val="2"/>
          </rPr>
          <t>Produção real convertida para caixas.</t>
        </r>
      </text>
    </comment>
    <comment ref="J3" authorId="0" shapeId="0" xr:uid="{00000000-0006-0000-0A00-000043000000}">
      <text>
        <r>
          <rPr>
            <sz val="10"/>
            <rFont val="Arial"/>
            <family val="2"/>
          </rPr>
          <t>Produção real convertida para caixas.</t>
        </r>
      </text>
    </comment>
    <comment ref="L3" authorId="0" shapeId="0" xr:uid="{00000000-0006-0000-0A00-000059000000}">
      <text>
        <r>
          <rPr>
            <sz val="10"/>
            <rFont val="Arial"/>
            <family val="2"/>
          </rPr>
          <t>Total final convertido em latas.</t>
        </r>
      </text>
    </comment>
    <comment ref="C11" authorId="0" shapeId="0" xr:uid="{00000000-0006-0000-0A00-000002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1" authorId="0" shapeId="0" xr:uid="{00000000-0006-0000-0A00-000018000000}">
      <text>
        <r>
          <rPr>
            <sz val="10"/>
            <rFont val="Arial"/>
            <family val="2"/>
          </rPr>
          <t>Quantidade de caixas produzidas no item.</t>
        </r>
      </text>
    </comment>
    <comment ref="H11" authorId="0" shapeId="0" xr:uid="{00000000-0006-0000-0A00-00002E000000}">
      <text>
        <r>
          <rPr>
            <sz val="10"/>
            <rFont val="Arial"/>
            <family val="2"/>
          </rPr>
          <t>Produção real convertida para caixas.</t>
        </r>
      </text>
    </comment>
    <comment ref="J11" authorId="0" shapeId="0" xr:uid="{00000000-0006-0000-0A00-000044000000}">
      <text>
        <r>
          <rPr>
            <sz val="10"/>
            <rFont val="Arial"/>
            <family val="2"/>
          </rPr>
          <t>Produção real convertida para caixas.</t>
        </r>
      </text>
    </comment>
    <comment ref="L11" authorId="0" shapeId="0" xr:uid="{00000000-0006-0000-0A00-00005A000000}">
      <text>
        <r>
          <rPr>
            <sz val="10"/>
            <rFont val="Arial"/>
            <family val="2"/>
          </rPr>
          <t>Total final convertido em latas.</t>
        </r>
      </text>
    </comment>
    <comment ref="C19" authorId="0" shapeId="0" xr:uid="{00000000-0006-0000-0A00-000003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9" authorId="0" shapeId="0" xr:uid="{00000000-0006-0000-0A00-000019000000}">
      <text>
        <r>
          <rPr>
            <sz val="10"/>
            <rFont val="Arial"/>
            <family val="2"/>
          </rPr>
          <t>Quantidade de caixas produzidas no item.</t>
        </r>
      </text>
    </comment>
    <comment ref="H19" authorId="0" shapeId="0" xr:uid="{00000000-0006-0000-0A00-00002F000000}">
      <text>
        <r>
          <rPr>
            <sz val="10"/>
            <rFont val="Arial"/>
            <family val="2"/>
          </rPr>
          <t>Produção real convertida para caixas.</t>
        </r>
      </text>
    </comment>
    <comment ref="J19" authorId="0" shapeId="0" xr:uid="{00000000-0006-0000-0A00-000045000000}">
      <text>
        <r>
          <rPr>
            <sz val="10"/>
            <rFont val="Arial"/>
            <family val="2"/>
          </rPr>
          <t>Produção real convertida para caixas.</t>
        </r>
      </text>
    </comment>
    <comment ref="L19" authorId="0" shapeId="0" xr:uid="{00000000-0006-0000-0A00-00005B000000}">
      <text>
        <r>
          <rPr>
            <sz val="10"/>
            <rFont val="Arial"/>
            <family val="2"/>
          </rPr>
          <t>Total final convertido em latas.</t>
        </r>
      </text>
    </comment>
    <comment ref="C29" authorId="0" shapeId="0" xr:uid="{00000000-0006-0000-0A00-000004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29" authorId="0" shapeId="0" xr:uid="{00000000-0006-0000-0A00-00001A000000}">
      <text>
        <r>
          <rPr>
            <sz val="10"/>
            <rFont val="Arial"/>
            <family val="2"/>
          </rPr>
          <t>Quantidade de caixas produzidas no item.</t>
        </r>
      </text>
    </comment>
    <comment ref="H29" authorId="0" shapeId="0" xr:uid="{00000000-0006-0000-0A00-000030000000}">
      <text>
        <r>
          <rPr>
            <sz val="10"/>
            <rFont val="Arial"/>
            <family val="2"/>
          </rPr>
          <t>Produção real convertida para caixas.</t>
        </r>
      </text>
    </comment>
    <comment ref="J29" authorId="0" shapeId="0" xr:uid="{00000000-0006-0000-0A00-000046000000}">
      <text>
        <r>
          <rPr>
            <sz val="10"/>
            <rFont val="Arial"/>
            <family val="2"/>
          </rPr>
          <t>Produção real convertida para caixas.</t>
        </r>
      </text>
    </comment>
    <comment ref="L29" authorId="0" shapeId="0" xr:uid="{00000000-0006-0000-0A00-00005C000000}">
      <text>
        <r>
          <rPr>
            <sz val="10"/>
            <rFont val="Arial"/>
            <family val="2"/>
          </rPr>
          <t>Total final convertido em latas.</t>
        </r>
      </text>
    </comment>
    <comment ref="C41" authorId="0" shapeId="0" xr:uid="{00000000-0006-0000-0A00-000005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41" authorId="0" shapeId="0" xr:uid="{00000000-0006-0000-0A00-00001B000000}">
      <text>
        <r>
          <rPr>
            <sz val="10"/>
            <rFont val="Arial"/>
            <family val="2"/>
          </rPr>
          <t>Quantidade de caixas produzidas no item.</t>
        </r>
      </text>
    </comment>
    <comment ref="H41" authorId="0" shapeId="0" xr:uid="{00000000-0006-0000-0A00-000031000000}">
      <text>
        <r>
          <rPr>
            <sz val="10"/>
            <rFont val="Arial"/>
            <family val="2"/>
          </rPr>
          <t>Produção real convertida para caixas.</t>
        </r>
      </text>
    </comment>
    <comment ref="J41" authorId="0" shapeId="0" xr:uid="{00000000-0006-0000-0A00-000047000000}">
      <text>
        <r>
          <rPr>
            <sz val="10"/>
            <rFont val="Arial"/>
            <family val="2"/>
          </rPr>
          <t>Produção real convertida para caixas.</t>
        </r>
      </text>
    </comment>
    <comment ref="L41" authorId="0" shapeId="0" xr:uid="{00000000-0006-0000-0A00-00005D000000}">
      <text>
        <r>
          <rPr>
            <sz val="10"/>
            <rFont val="Arial"/>
            <family val="2"/>
          </rPr>
          <t>Total final convertido em latas.</t>
        </r>
      </text>
    </comment>
    <comment ref="C49" authorId="0" shapeId="0" xr:uid="{00000000-0006-0000-0A00-000006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49" authorId="0" shapeId="0" xr:uid="{00000000-0006-0000-0A00-00001C000000}">
      <text>
        <r>
          <rPr>
            <sz val="10"/>
            <rFont val="Arial"/>
            <family val="2"/>
          </rPr>
          <t>Quantidade de caixas produzidas no item.</t>
        </r>
      </text>
    </comment>
    <comment ref="H49" authorId="0" shapeId="0" xr:uid="{00000000-0006-0000-0A00-000032000000}">
      <text>
        <r>
          <rPr>
            <sz val="10"/>
            <rFont val="Arial"/>
            <family val="2"/>
          </rPr>
          <t>Produção real convertida para caixas.</t>
        </r>
      </text>
    </comment>
    <comment ref="J49" authorId="0" shapeId="0" xr:uid="{00000000-0006-0000-0A00-000048000000}">
      <text>
        <r>
          <rPr>
            <sz val="10"/>
            <rFont val="Arial"/>
            <family val="2"/>
          </rPr>
          <t>Produção real convertida para caixas.</t>
        </r>
      </text>
    </comment>
    <comment ref="L49" authorId="0" shapeId="0" xr:uid="{00000000-0006-0000-0A00-00005E000000}">
      <text>
        <r>
          <rPr>
            <sz val="10"/>
            <rFont val="Arial"/>
            <family val="2"/>
          </rPr>
          <t>Total final convertido em latas.</t>
        </r>
      </text>
    </comment>
    <comment ref="C57" authorId="0" shapeId="0" xr:uid="{00000000-0006-0000-0A00-000007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57" authorId="0" shapeId="0" xr:uid="{00000000-0006-0000-0A00-00001D000000}">
      <text>
        <r>
          <rPr>
            <sz val="10"/>
            <rFont val="Arial"/>
            <family val="2"/>
          </rPr>
          <t>Quantidade de caixas produzidas no item.</t>
        </r>
      </text>
    </comment>
    <comment ref="H57" authorId="0" shapeId="0" xr:uid="{00000000-0006-0000-0A00-000033000000}">
      <text>
        <r>
          <rPr>
            <sz val="10"/>
            <rFont val="Arial"/>
            <family val="2"/>
          </rPr>
          <t>Produção real convertida para caixas.</t>
        </r>
      </text>
    </comment>
    <comment ref="J57" authorId="0" shapeId="0" xr:uid="{00000000-0006-0000-0A00-000049000000}">
      <text>
        <r>
          <rPr>
            <sz val="10"/>
            <rFont val="Arial"/>
            <family val="2"/>
          </rPr>
          <t>Produção real convertida para caixas.</t>
        </r>
      </text>
    </comment>
    <comment ref="L57" authorId="0" shapeId="0" xr:uid="{00000000-0006-0000-0A00-00005F000000}">
      <text>
        <r>
          <rPr>
            <sz val="10"/>
            <rFont val="Arial"/>
            <family val="2"/>
          </rPr>
          <t>Total final convertido em latas.</t>
        </r>
      </text>
    </comment>
    <comment ref="C67" authorId="0" shapeId="0" xr:uid="{00000000-0006-0000-0A00-000008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67" authorId="0" shapeId="0" xr:uid="{00000000-0006-0000-0A00-00001E000000}">
      <text>
        <r>
          <rPr>
            <sz val="10"/>
            <rFont val="Arial"/>
            <family val="2"/>
          </rPr>
          <t>Quantidade de caixas produzidas no item.</t>
        </r>
      </text>
    </comment>
    <comment ref="H67" authorId="0" shapeId="0" xr:uid="{00000000-0006-0000-0A00-000034000000}">
      <text>
        <r>
          <rPr>
            <sz val="10"/>
            <rFont val="Arial"/>
            <family val="2"/>
          </rPr>
          <t>Produção real convertida para caixas.</t>
        </r>
      </text>
    </comment>
    <comment ref="J67" authorId="0" shapeId="0" xr:uid="{00000000-0006-0000-0A00-00004A000000}">
      <text>
        <r>
          <rPr>
            <sz val="10"/>
            <rFont val="Arial"/>
            <family val="2"/>
          </rPr>
          <t>Produção real convertida para caixas.</t>
        </r>
      </text>
    </comment>
    <comment ref="L67" authorId="0" shapeId="0" xr:uid="{00000000-0006-0000-0A00-000060000000}">
      <text>
        <r>
          <rPr>
            <sz val="10"/>
            <rFont val="Arial"/>
            <family val="2"/>
          </rPr>
          <t>Total final convertido em latas.</t>
        </r>
      </text>
    </comment>
    <comment ref="C76" authorId="0" shapeId="0" xr:uid="{00000000-0006-0000-0A00-000009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76" authorId="0" shapeId="0" xr:uid="{00000000-0006-0000-0A00-00001F000000}">
      <text>
        <r>
          <rPr>
            <sz val="10"/>
            <rFont val="Arial"/>
            <family val="2"/>
          </rPr>
          <t>Quantidade de caixas produzidas no item.</t>
        </r>
      </text>
    </comment>
    <comment ref="H76" authorId="0" shapeId="0" xr:uid="{00000000-0006-0000-0A00-000035000000}">
      <text>
        <r>
          <rPr>
            <sz val="10"/>
            <rFont val="Arial"/>
            <family val="2"/>
          </rPr>
          <t>Produção real convertida para caixas.</t>
        </r>
      </text>
    </comment>
    <comment ref="J76" authorId="0" shapeId="0" xr:uid="{00000000-0006-0000-0A00-00004B000000}">
      <text>
        <r>
          <rPr>
            <sz val="10"/>
            <rFont val="Arial"/>
            <family val="2"/>
          </rPr>
          <t>Produção real convertida para caixas.</t>
        </r>
      </text>
    </comment>
    <comment ref="L76" authorId="0" shapeId="0" xr:uid="{00000000-0006-0000-0A00-000061000000}">
      <text>
        <r>
          <rPr>
            <sz val="10"/>
            <rFont val="Arial"/>
            <family val="2"/>
          </rPr>
          <t>Total final convertido em latas.</t>
        </r>
      </text>
    </comment>
    <comment ref="C85" authorId="0" shapeId="0" xr:uid="{00000000-0006-0000-0A00-00000A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85" authorId="0" shapeId="0" xr:uid="{00000000-0006-0000-0A00-000020000000}">
      <text>
        <r>
          <rPr>
            <sz val="10"/>
            <rFont val="Arial"/>
            <family val="2"/>
          </rPr>
          <t>Quantidade de caixas produzidas no item.</t>
        </r>
      </text>
    </comment>
    <comment ref="H85" authorId="0" shapeId="0" xr:uid="{00000000-0006-0000-0A00-000036000000}">
      <text>
        <r>
          <rPr>
            <sz val="10"/>
            <rFont val="Arial"/>
            <family val="2"/>
          </rPr>
          <t>Produção real convertida para caixas.</t>
        </r>
      </text>
    </comment>
    <comment ref="J85" authorId="0" shapeId="0" xr:uid="{00000000-0006-0000-0A00-00004C000000}">
      <text>
        <r>
          <rPr>
            <sz val="10"/>
            <rFont val="Arial"/>
            <family val="2"/>
          </rPr>
          <t>Produção real convertida para caixas.</t>
        </r>
      </text>
    </comment>
    <comment ref="L85" authorId="0" shapeId="0" xr:uid="{00000000-0006-0000-0A00-000062000000}">
      <text>
        <r>
          <rPr>
            <sz val="10"/>
            <rFont val="Arial"/>
            <family val="2"/>
          </rPr>
          <t>Total final convertido em latas.</t>
        </r>
      </text>
    </comment>
    <comment ref="C93" authorId="0" shapeId="0" xr:uid="{00000000-0006-0000-0A00-00000B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93" authorId="0" shapeId="0" xr:uid="{00000000-0006-0000-0A00-000021000000}">
      <text>
        <r>
          <rPr>
            <sz val="10"/>
            <rFont val="Arial"/>
            <family val="2"/>
          </rPr>
          <t>Quantidade de caixas produzidas no item.</t>
        </r>
      </text>
    </comment>
    <comment ref="H93" authorId="0" shapeId="0" xr:uid="{00000000-0006-0000-0A00-000037000000}">
      <text>
        <r>
          <rPr>
            <sz val="10"/>
            <rFont val="Arial"/>
            <family val="2"/>
          </rPr>
          <t>Produção real convertida para caixas.</t>
        </r>
      </text>
    </comment>
    <comment ref="J93" authorId="0" shapeId="0" xr:uid="{00000000-0006-0000-0A00-00004D000000}">
      <text>
        <r>
          <rPr>
            <sz val="10"/>
            <rFont val="Arial"/>
            <family val="2"/>
          </rPr>
          <t>Produção real convertida para caixas.</t>
        </r>
      </text>
    </comment>
    <comment ref="L93" authorId="0" shapeId="0" xr:uid="{00000000-0006-0000-0A00-000063000000}">
      <text>
        <r>
          <rPr>
            <sz val="10"/>
            <rFont val="Arial"/>
            <family val="2"/>
          </rPr>
          <t>Total final convertido em latas.</t>
        </r>
      </text>
    </comment>
    <comment ref="C101" authorId="0" shapeId="0" xr:uid="{00000000-0006-0000-0A00-00000C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01" authorId="0" shapeId="0" xr:uid="{00000000-0006-0000-0A00-000022000000}">
      <text>
        <r>
          <rPr>
            <sz val="10"/>
            <rFont val="Arial"/>
            <family val="2"/>
          </rPr>
          <t>Quantidade de caixas produzidas no item.</t>
        </r>
      </text>
    </comment>
    <comment ref="H101" authorId="0" shapeId="0" xr:uid="{00000000-0006-0000-0A00-000038000000}">
      <text>
        <r>
          <rPr>
            <sz val="10"/>
            <rFont val="Arial"/>
            <family val="2"/>
          </rPr>
          <t>Produção real convertida para caixas.</t>
        </r>
      </text>
    </comment>
    <comment ref="J101" authorId="0" shapeId="0" xr:uid="{00000000-0006-0000-0A00-00004E000000}">
      <text>
        <r>
          <rPr>
            <sz val="10"/>
            <rFont val="Arial"/>
            <family val="2"/>
          </rPr>
          <t>Produção real convertida para caixas.</t>
        </r>
      </text>
    </comment>
    <comment ref="L101" authorId="0" shapeId="0" xr:uid="{00000000-0006-0000-0A00-000064000000}">
      <text>
        <r>
          <rPr>
            <sz val="10"/>
            <rFont val="Arial"/>
            <family val="2"/>
          </rPr>
          <t>Total final convertido em latas.</t>
        </r>
      </text>
    </comment>
    <comment ref="C109" authorId="0" shapeId="0" xr:uid="{00000000-0006-0000-0A00-00000D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09" authorId="0" shapeId="0" xr:uid="{00000000-0006-0000-0A00-000023000000}">
      <text>
        <r>
          <rPr>
            <sz val="10"/>
            <rFont val="Arial"/>
            <family val="2"/>
          </rPr>
          <t>Quantidade de caixas produzidas no item.</t>
        </r>
      </text>
    </comment>
    <comment ref="H109" authorId="0" shapeId="0" xr:uid="{00000000-0006-0000-0A00-000039000000}">
      <text>
        <r>
          <rPr>
            <sz val="10"/>
            <rFont val="Arial"/>
            <family val="2"/>
          </rPr>
          <t>Produção real convertida para caixas.</t>
        </r>
      </text>
    </comment>
    <comment ref="J109" authorId="0" shapeId="0" xr:uid="{00000000-0006-0000-0A00-00004F000000}">
      <text>
        <r>
          <rPr>
            <sz val="10"/>
            <rFont val="Arial"/>
            <family val="2"/>
          </rPr>
          <t>Produção real convertida para caixas.</t>
        </r>
      </text>
    </comment>
    <comment ref="L109" authorId="0" shapeId="0" xr:uid="{00000000-0006-0000-0A00-000065000000}">
      <text>
        <r>
          <rPr>
            <sz val="10"/>
            <rFont val="Arial"/>
            <family val="2"/>
          </rPr>
          <t>Total final convertido em latas.</t>
        </r>
      </text>
    </comment>
    <comment ref="C118" authorId="0" shapeId="0" xr:uid="{00000000-0006-0000-0A00-00000E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18" authorId="0" shapeId="0" xr:uid="{00000000-0006-0000-0A00-000024000000}">
      <text>
        <r>
          <rPr>
            <sz val="10"/>
            <rFont val="Arial"/>
            <family val="2"/>
          </rPr>
          <t>Quantidade de caixas produzidas no item.</t>
        </r>
      </text>
    </comment>
    <comment ref="H118" authorId="0" shapeId="0" xr:uid="{00000000-0006-0000-0A00-00003A000000}">
      <text>
        <r>
          <rPr>
            <sz val="10"/>
            <rFont val="Arial"/>
            <family val="2"/>
          </rPr>
          <t>Produção real convertida para caixas.</t>
        </r>
      </text>
    </comment>
    <comment ref="J118" authorId="0" shapeId="0" xr:uid="{00000000-0006-0000-0A00-000050000000}">
      <text>
        <r>
          <rPr>
            <sz val="10"/>
            <rFont val="Arial"/>
            <family val="2"/>
          </rPr>
          <t>Produção real convertida para caixas.</t>
        </r>
      </text>
    </comment>
    <comment ref="L118" authorId="0" shapeId="0" xr:uid="{00000000-0006-0000-0A00-000066000000}">
      <text>
        <r>
          <rPr>
            <sz val="10"/>
            <rFont val="Arial"/>
            <family val="2"/>
          </rPr>
          <t>Total final convertido em latas.</t>
        </r>
      </text>
    </comment>
    <comment ref="C127" authorId="0" shapeId="0" xr:uid="{00000000-0006-0000-0A00-00000F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27" authorId="0" shapeId="0" xr:uid="{00000000-0006-0000-0A00-000025000000}">
      <text>
        <r>
          <rPr>
            <sz val="10"/>
            <rFont val="Arial"/>
            <family val="2"/>
          </rPr>
          <t>Quantidade de caixas produzidas no item.</t>
        </r>
      </text>
    </comment>
    <comment ref="H127" authorId="0" shapeId="0" xr:uid="{00000000-0006-0000-0A00-00003B000000}">
      <text>
        <r>
          <rPr>
            <sz val="10"/>
            <rFont val="Arial"/>
            <family val="2"/>
          </rPr>
          <t>Produção real convertida para caixas.</t>
        </r>
      </text>
    </comment>
    <comment ref="J127" authorId="0" shapeId="0" xr:uid="{00000000-0006-0000-0A00-000051000000}">
      <text>
        <r>
          <rPr>
            <sz val="10"/>
            <rFont val="Arial"/>
            <family val="2"/>
          </rPr>
          <t>Produção real convertida para caixas.</t>
        </r>
      </text>
    </comment>
    <comment ref="L127" authorId="0" shapeId="0" xr:uid="{00000000-0006-0000-0A00-000067000000}">
      <text>
        <r>
          <rPr>
            <sz val="10"/>
            <rFont val="Arial"/>
            <family val="2"/>
          </rPr>
          <t>Total final convertido em latas.</t>
        </r>
      </text>
    </comment>
    <comment ref="C136" authorId="0" shapeId="0" xr:uid="{00000000-0006-0000-0A00-000010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36" authorId="0" shapeId="0" xr:uid="{00000000-0006-0000-0A00-000026000000}">
      <text>
        <r>
          <rPr>
            <sz val="10"/>
            <rFont val="Arial"/>
            <family val="2"/>
          </rPr>
          <t>Quantidade de caixas produzidas no item.</t>
        </r>
      </text>
    </comment>
    <comment ref="H136" authorId="0" shapeId="0" xr:uid="{00000000-0006-0000-0A00-00003C000000}">
      <text>
        <r>
          <rPr>
            <sz val="10"/>
            <rFont val="Arial"/>
            <family val="2"/>
          </rPr>
          <t>Produção real convertida para caixas.</t>
        </r>
      </text>
    </comment>
    <comment ref="J136" authorId="0" shapeId="0" xr:uid="{00000000-0006-0000-0A00-000052000000}">
      <text>
        <r>
          <rPr>
            <sz val="10"/>
            <rFont val="Arial"/>
            <family val="2"/>
          </rPr>
          <t>Produção real convertida para caixas.</t>
        </r>
      </text>
    </comment>
    <comment ref="L136" authorId="0" shapeId="0" xr:uid="{00000000-0006-0000-0A00-000068000000}">
      <text>
        <r>
          <rPr>
            <sz val="10"/>
            <rFont val="Arial"/>
            <family val="2"/>
          </rPr>
          <t>Total final convertido em latas.</t>
        </r>
      </text>
    </comment>
    <comment ref="C144" authorId="0" shapeId="0" xr:uid="{00000000-0006-0000-0A00-000011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44" authorId="0" shapeId="0" xr:uid="{00000000-0006-0000-0A00-000027000000}">
      <text>
        <r>
          <rPr>
            <sz val="10"/>
            <rFont val="Arial"/>
            <family val="2"/>
          </rPr>
          <t>Quantidade de caixas produzidas no item.</t>
        </r>
      </text>
    </comment>
    <comment ref="H144" authorId="0" shapeId="0" xr:uid="{00000000-0006-0000-0A00-00003D000000}">
      <text>
        <r>
          <rPr>
            <sz val="10"/>
            <rFont val="Arial"/>
            <family val="2"/>
          </rPr>
          <t>Produção real convertida para caixas.</t>
        </r>
      </text>
    </comment>
    <comment ref="J144" authorId="0" shapeId="0" xr:uid="{00000000-0006-0000-0A00-000053000000}">
      <text>
        <r>
          <rPr>
            <sz val="10"/>
            <rFont val="Arial"/>
            <family val="2"/>
          </rPr>
          <t>Produção real convertida para caixas.</t>
        </r>
      </text>
    </comment>
    <comment ref="L144" authorId="0" shapeId="0" xr:uid="{00000000-0006-0000-0A00-000069000000}">
      <text>
        <r>
          <rPr>
            <sz val="10"/>
            <rFont val="Arial"/>
            <family val="2"/>
          </rPr>
          <t>Total final convertido em latas.</t>
        </r>
      </text>
    </comment>
    <comment ref="C153" authorId="0" shapeId="0" xr:uid="{00000000-0006-0000-0A00-000012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53" authorId="0" shapeId="0" xr:uid="{00000000-0006-0000-0A00-000028000000}">
      <text>
        <r>
          <rPr>
            <sz val="10"/>
            <rFont val="Arial"/>
            <family val="2"/>
          </rPr>
          <t>Quantidade de caixas produzidas no item.</t>
        </r>
      </text>
    </comment>
    <comment ref="H153" authorId="0" shapeId="0" xr:uid="{00000000-0006-0000-0A00-00003E000000}">
      <text>
        <r>
          <rPr>
            <sz val="10"/>
            <rFont val="Arial"/>
            <family val="2"/>
          </rPr>
          <t>Produção real convertida para caixas.</t>
        </r>
      </text>
    </comment>
    <comment ref="J153" authorId="0" shapeId="0" xr:uid="{00000000-0006-0000-0A00-000054000000}">
      <text>
        <r>
          <rPr>
            <sz val="10"/>
            <rFont val="Arial"/>
            <family val="2"/>
          </rPr>
          <t>Produção real convertida para caixas.</t>
        </r>
      </text>
    </comment>
    <comment ref="L153" authorId="0" shapeId="0" xr:uid="{00000000-0006-0000-0A00-00006A000000}">
      <text>
        <r>
          <rPr>
            <sz val="10"/>
            <rFont val="Arial"/>
            <family val="2"/>
          </rPr>
          <t>Total final convertido em latas.</t>
        </r>
      </text>
    </comment>
    <comment ref="C162" authorId="0" shapeId="0" xr:uid="{00000000-0006-0000-0A00-000013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62" authorId="0" shapeId="0" xr:uid="{00000000-0006-0000-0A00-000029000000}">
      <text>
        <r>
          <rPr>
            <sz val="10"/>
            <rFont val="Arial"/>
            <family val="2"/>
          </rPr>
          <t>Quantidade de caixas produzidas no item.</t>
        </r>
      </text>
    </comment>
    <comment ref="H162" authorId="0" shapeId="0" xr:uid="{00000000-0006-0000-0A00-00003F000000}">
      <text>
        <r>
          <rPr>
            <sz val="10"/>
            <rFont val="Arial"/>
            <family val="2"/>
          </rPr>
          <t>Produção real convertida para caixas.</t>
        </r>
      </text>
    </comment>
    <comment ref="J162" authorId="0" shapeId="0" xr:uid="{00000000-0006-0000-0A00-000055000000}">
      <text>
        <r>
          <rPr>
            <sz val="10"/>
            <rFont val="Arial"/>
            <family val="2"/>
          </rPr>
          <t>Produção real convertida para caixas.</t>
        </r>
      </text>
    </comment>
    <comment ref="L162" authorId="0" shapeId="0" xr:uid="{00000000-0006-0000-0A00-00006B000000}">
      <text>
        <r>
          <rPr>
            <sz val="10"/>
            <rFont val="Arial"/>
            <family val="2"/>
          </rPr>
          <t>Total final convertido em latas.</t>
        </r>
      </text>
    </comment>
    <comment ref="C170" authorId="0" shapeId="0" xr:uid="{00000000-0006-0000-0A00-000014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70" authorId="0" shapeId="0" xr:uid="{00000000-0006-0000-0A00-00002A000000}">
      <text>
        <r>
          <rPr>
            <sz val="10"/>
            <rFont val="Arial"/>
            <family val="2"/>
          </rPr>
          <t>Quantidade de caixas produzidas no item.</t>
        </r>
      </text>
    </comment>
    <comment ref="H170" authorId="0" shapeId="0" xr:uid="{00000000-0006-0000-0A00-000040000000}">
      <text>
        <r>
          <rPr>
            <sz val="10"/>
            <rFont val="Arial"/>
            <family val="2"/>
          </rPr>
          <t>Produção real convertida para caixas.</t>
        </r>
      </text>
    </comment>
    <comment ref="J170" authorId="0" shapeId="0" xr:uid="{00000000-0006-0000-0A00-000056000000}">
      <text>
        <r>
          <rPr>
            <sz val="10"/>
            <rFont val="Arial"/>
            <family val="2"/>
          </rPr>
          <t>Produção real convertida para caixas.</t>
        </r>
      </text>
    </comment>
    <comment ref="L170" authorId="0" shapeId="0" xr:uid="{00000000-0006-0000-0A00-00006C000000}">
      <text>
        <r>
          <rPr>
            <sz val="10"/>
            <rFont val="Arial"/>
            <family val="2"/>
          </rPr>
          <t>Total final convertido em latas.</t>
        </r>
      </text>
    </comment>
    <comment ref="C178" authorId="0" shapeId="0" xr:uid="{00000000-0006-0000-0A00-000015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78" authorId="0" shapeId="0" xr:uid="{00000000-0006-0000-0A00-00002B000000}">
      <text>
        <r>
          <rPr>
            <sz val="10"/>
            <rFont val="Arial"/>
            <family val="2"/>
          </rPr>
          <t>Quantidade de caixas produzidas no item.</t>
        </r>
      </text>
    </comment>
    <comment ref="H178" authorId="0" shapeId="0" xr:uid="{00000000-0006-0000-0A00-000041000000}">
      <text>
        <r>
          <rPr>
            <sz val="10"/>
            <rFont val="Arial"/>
            <family val="2"/>
          </rPr>
          <t>Produção real convertida para caixas.</t>
        </r>
      </text>
    </comment>
    <comment ref="J178" authorId="0" shapeId="0" xr:uid="{00000000-0006-0000-0A00-000057000000}">
      <text>
        <r>
          <rPr>
            <sz val="10"/>
            <rFont val="Arial"/>
            <family val="2"/>
          </rPr>
          <t>Produção real convertida para caixas.</t>
        </r>
      </text>
    </comment>
    <comment ref="L178" authorId="0" shapeId="0" xr:uid="{00000000-0006-0000-0A00-00006D000000}">
      <text>
        <r>
          <rPr>
            <sz val="10"/>
            <rFont val="Arial"/>
            <family val="2"/>
          </rPr>
          <t>Total final convertido em latas.</t>
        </r>
      </text>
    </comment>
    <comment ref="C186" authorId="0" shapeId="0" xr:uid="{00000000-0006-0000-0A00-000016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86" authorId="0" shapeId="0" xr:uid="{00000000-0006-0000-0A00-00002C000000}">
      <text>
        <r>
          <rPr>
            <sz val="10"/>
            <rFont val="Arial"/>
            <family val="2"/>
          </rPr>
          <t>Quantidade de caixas produzidas no item.</t>
        </r>
      </text>
    </comment>
    <comment ref="H186" authorId="0" shapeId="0" xr:uid="{00000000-0006-0000-0A00-000042000000}">
      <text>
        <r>
          <rPr>
            <sz val="10"/>
            <rFont val="Arial"/>
            <family val="2"/>
          </rPr>
          <t>Produção real convertida para caixas.</t>
        </r>
      </text>
    </comment>
    <comment ref="J186" authorId="0" shapeId="0" xr:uid="{00000000-0006-0000-0A00-000058000000}">
      <text>
        <r>
          <rPr>
            <sz val="10"/>
            <rFont val="Arial"/>
            <family val="2"/>
          </rPr>
          <t>Produção real convertida para caixas.</t>
        </r>
      </text>
    </comment>
    <comment ref="L186" authorId="0" shapeId="0" xr:uid="{00000000-0006-0000-0A00-00006E000000}">
      <text>
        <r>
          <rPr>
            <sz val="10"/>
            <rFont val="Arial"/>
            <family val="2"/>
          </rPr>
          <t>Total final convertido em latas.</t>
        </r>
      </text>
    </comment>
  </commentList>
</comments>
</file>

<file path=xl/sharedStrings.xml><?xml version="1.0" encoding="utf-8"?>
<sst xmlns="http://schemas.openxmlformats.org/spreadsheetml/2006/main" count="8889" uniqueCount="1426">
  <si>
    <t>INSTRUÇÕES</t>
  </si>
  <si>
    <t>Esta aba. Leia primeiro.</t>
  </si>
  <si>
    <t>CAPA</t>
  </si>
  <si>
    <t>Visão executiva do ano: total realizado, meta e melhor mês.</t>
  </si>
  <si>
    <t>RANKING</t>
  </si>
  <si>
    <t>Top 10 produtos por latas produzidas no acumulado do ano.</t>
  </si>
  <si>
    <t>JANEIRO … DEZEMBRO</t>
  </si>
  <si>
    <t>Ordem de produção do mês (OP, lote, produto, cliente).</t>
  </si>
  <si>
    <t>SEMANA [MÊS]</t>
  </si>
  <si>
    <t>GRAFICO [MÊS]</t>
  </si>
  <si>
    <t>Gráfico diário: realizado x meta, com campo de observações.</t>
  </si>
  <si>
    <t>DASHBOARD</t>
  </si>
  <si>
    <t>Resumo executivo anual. Atualiza automático.</t>
  </si>
  <si>
    <t>RESUMO_MENSAL</t>
  </si>
  <si>
    <t>Tabela mensal com produção, meta, gás e status.</t>
  </si>
  <si>
    <t>GÁS</t>
  </si>
  <si>
    <t>Lançamento das cargas de gás (data + quantidade em KG).</t>
  </si>
  <si>
    <t>PRODUTO  •  EMBALAGEM  •  CAIXAS</t>
  </si>
  <si>
    <t>CX/Pallet  •  Pallets (PBR)  •  Real (CX)  •  Total de Latas</t>
  </si>
  <si>
    <t>Coloque 0. Nunca apague a linha.</t>
  </si>
  <si>
    <t>Preencher normalmente.</t>
  </si>
  <si>
    <t>Colocar 0.</t>
  </si>
  <si>
    <t>Coluna A = data da carga  •  Coluna QUANTIDADE = KG recebido</t>
  </si>
  <si>
    <t>Total mensal, maior consumo e total anual no DASHBOARD.</t>
  </si>
  <si>
    <t>Espuma 200ml  •  Puratos Destak 600ml  •  Óleo de Coco 200ml</t>
  </si>
  <si>
    <t>12 un/cx</t>
  </si>
  <si>
    <t>70 ml / 100 ml / 125 ml / 180 ml</t>
  </si>
  <si>
    <t>240 cx/pallet</t>
  </si>
  <si>
    <t>200 ml (Espuma e Óleo de Coco)</t>
  </si>
  <si>
    <t>330 cx/pallet</t>
  </si>
  <si>
    <t>400 ml</t>
  </si>
  <si>
    <t>125 cx/pallet   (Iceberg: 110 cx/pallet)</t>
  </si>
  <si>
    <t>500 ml (somente Douratto)</t>
  </si>
  <si>
    <t>95 cx/pallet</t>
  </si>
  <si>
    <t>600 ml</t>
  </si>
  <si>
    <t>95 cx/pallet   (Puratos Destak: 190 cx/pallet)</t>
  </si>
  <si>
    <t>Top 10 produtos por latas no acumulado do ano.</t>
  </si>
  <si>
    <t>Consolida todas as variações de válvula (Fadeva, Precision etc.).</t>
  </si>
  <si>
    <t>Dados vêm da BASE_DADOS, que reflete os lançamentos das abas SEMANA.</t>
  </si>
  <si>
    <t>🚫  NÃO apagar linhas</t>
  </si>
  <si>
    <t>Quebra as fórmulas de soma e referência.</t>
  </si>
  <si>
    <t>🚫  NÃO mexer nas fórmulas</t>
  </si>
  <si>
    <t>Preencha apenas os campos indicados.</t>
  </si>
  <si>
    <t>🚫  NÃO inserir linhas extras</t>
  </si>
  <si>
    <t>Nas abas SEMANA fora dos campos estruturados.</t>
  </si>
  <si>
    <t>Use DASHBOARD, RESUMO_MENSAL ou GRAFICO do mês.</t>
  </si>
  <si>
    <t>META ACUMULADA</t>
  </si>
  <si>
    <t>ATINGIMENTO GERAL</t>
  </si>
  <si>
    <t>MELHOR MÊS</t>
  </si>
  <si>
    <t>#</t>
  </si>
  <si>
    <t>Produto</t>
  </si>
  <si>
    <t>Latas Produzidas</t>
  </si>
  <si>
    <t>% do Total</t>
  </si>
  <si>
    <t>Posição</t>
  </si>
  <si>
    <t>UNTA FACIL</t>
  </si>
  <si>
    <t>🥇 1º lugar</t>
  </si>
  <si>
    <t>PURATOS</t>
  </si>
  <si>
    <t>🥈 2º lugar</t>
  </si>
  <si>
    <t>ICEBERG CHEF</t>
  </si>
  <si>
    <t>🥉 3º lugar</t>
  </si>
  <si>
    <t>ADIMIX</t>
  </si>
  <si>
    <t>Top 4</t>
  </si>
  <si>
    <t>DONA JURA</t>
  </si>
  <si>
    <t>Top 5</t>
  </si>
  <si>
    <t>FESTPAN</t>
  </si>
  <si>
    <t>Top 6</t>
  </si>
  <si>
    <t>ALLBREAD</t>
  </si>
  <si>
    <t>Top 7</t>
  </si>
  <si>
    <t>DESTAK</t>
  </si>
  <si>
    <t>Top 8</t>
  </si>
  <si>
    <t>NORCAU PURATOS</t>
  </si>
  <si>
    <t>Top 9</t>
  </si>
  <si>
    <t>AP VIOLA</t>
  </si>
  <si>
    <t>Top 10</t>
  </si>
  <si>
    <t>ORDEM DE PRODUÇÃO - JANEIRO</t>
  </si>
  <si>
    <t>OP</t>
  </si>
  <si>
    <t xml:space="preserve">LOTE </t>
  </si>
  <si>
    <t>LOTE CLIENTE</t>
  </si>
  <si>
    <t>PRODUTO</t>
  </si>
  <si>
    <t>CLIENTE</t>
  </si>
  <si>
    <t>QTDE(Kg)</t>
  </si>
  <si>
    <t>FABRICAÇÃO</t>
  </si>
  <si>
    <t>2026/001</t>
  </si>
  <si>
    <t>LISSE 600ML</t>
  </si>
  <si>
    <t>7.980 LATAS</t>
  </si>
  <si>
    <t>2026/002</t>
  </si>
  <si>
    <t>ALL BREAD 600ML</t>
  </si>
  <si>
    <t>ALL BREAD</t>
  </si>
  <si>
    <t>9.168 LATAS</t>
  </si>
  <si>
    <t>2026/003</t>
  </si>
  <si>
    <t>UNTA FACIL 600ML</t>
  </si>
  <si>
    <t>IN LOCO</t>
  </si>
  <si>
    <t>15.960 LATAS</t>
  </si>
  <si>
    <t>UNTA FACIL ECO 600ML</t>
  </si>
  <si>
    <t>8.976 LATAS</t>
  </si>
  <si>
    <t>308cxs</t>
  </si>
  <si>
    <t>2026/004</t>
  </si>
  <si>
    <t>DESTAK 600ML</t>
  </si>
  <si>
    <t>22.800 LATAS</t>
  </si>
  <si>
    <t>2026/005</t>
  </si>
  <si>
    <t>TTF MEL 600ML</t>
  </si>
  <si>
    <t>TTF</t>
  </si>
  <si>
    <t>3.420 LATAS</t>
  </si>
  <si>
    <t>2026/006</t>
  </si>
  <si>
    <t>OL 40</t>
  </si>
  <si>
    <t>SMART</t>
  </si>
  <si>
    <t>420 KG</t>
  </si>
  <si>
    <t>AL 10</t>
  </si>
  <si>
    <t>1.444 KG</t>
  </si>
  <si>
    <t>2026/007</t>
  </si>
  <si>
    <t>AL 43</t>
  </si>
  <si>
    <t>AL 10 - 25LTRS</t>
  </si>
  <si>
    <t>MATEUS</t>
  </si>
  <si>
    <t>67 BBs</t>
  </si>
  <si>
    <t>2026/008</t>
  </si>
  <si>
    <t>DESTAK 5L</t>
  </si>
  <si>
    <t>2.500 LTRS</t>
  </si>
  <si>
    <t>5.000 LTRS</t>
  </si>
  <si>
    <t>1.000 LTRS</t>
  </si>
  <si>
    <t>3.000 LTRS</t>
  </si>
  <si>
    <t>FALTARÃO 12 PALLETS PARA ENTREGAR</t>
  </si>
  <si>
    <t>2026/009</t>
  </si>
  <si>
    <t>CORANTE AMARELO</t>
  </si>
  <si>
    <t>30 KG</t>
  </si>
  <si>
    <t>CORANTE AZUL</t>
  </si>
  <si>
    <t>28 KG</t>
  </si>
  <si>
    <t>CORANTE VIOLETA</t>
  </si>
  <si>
    <t>25 KG</t>
  </si>
  <si>
    <t>CORANTE ROSA</t>
  </si>
  <si>
    <t>24 KG</t>
  </si>
  <si>
    <t>CORANTE VERMELHO</t>
  </si>
  <si>
    <t>2026/010</t>
  </si>
  <si>
    <t>REPETECO</t>
  </si>
  <si>
    <t>1.440 LATAS</t>
  </si>
  <si>
    <t>2026/011</t>
  </si>
  <si>
    <t>2.880 LATAS</t>
  </si>
  <si>
    <t>2026/012</t>
  </si>
  <si>
    <t>ESPUMA GENGIBRE</t>
  </si>
  <si>
    <t>2.340 KG</t>
  </si>
  <si>
    <t>ESPUMA MAÇA VERDE</t>
  </si>
  <si>
    <t>980 KG</t>
  </si>
  <si>
    <t>ESPUMA 3 LIMÕES</t>
  </si>
  <si>
    <t>1.170 KG</t>
  </si>
  <si>
    <t>ESPUMA FRUTAS VERMELHAS</t>
  </si>
  <si>
    <t>1.560 KG</t>
  </si>
  <si>
    <t>390KG</t>
  </si>
  <si>
    <t>2026/013</t>
  </si>
  <si>
    <t>OL ABELHA</t>
  </si>
  <si>
    <t>2026/014</t>
  </si>
  <si>
    <t>DILUTE</t>
  </si>
  <si>
    <t>7.920 LATAS</t>
  </si>
  <si>
    <t>5.100 LATAS</t>
  </si>
  <si>
    <t>5.940 LATAS</t>
  </si>
  <si>
    <t>197CXS</t>
  </si>
  <si>
    <t>2026/015</t>
  </si>
  <si>
    <t>GIN SABORES</t>
  </si>
  <si>
    <t>3.960 LATAS</t>
  </si>
  <si>
    <t>2026/016</t>
  </si>
  <si>
    <t>2026/017</t>
  </si>
  <si>
    <t>ITAIQUARA 600ML</t>
  </si>
  <si>
    <t>ITAIQUARA</t>
  </si>
  <si>
    <t>2.280 LATAS</t>
  </si>
  <si>
    <t>2026/018</t>
  </si>
  <si>
    <t>BONASSE 400ML</t>
  </si>
  <si>
    <t>ROCHAPAN</t>
  </si>
  <si>
    <t>3.000 LATAS</t>
  </si>
  <si>
    <t>2026/019</t>
  </si>
  <si>
    <t>UNTA MAIS 400ML</t>
  </si>
  <si>
    <t>CASA DO PANIFICADOR</t>
  </si>
  <si>
    <t>2.400 LATAS</t>
  </si>
  <si>
    <t>2026/020</t>
  </si>
  <si>
    <t>2026/021</t>
  </si>
  <si>
    <t>UNTA FACIL 180ML</t>
  </si>
  <si>
    <t>8.640 LATAS</t>
  </si>
  <si>
    <t>UNTA FACIL 400ML</t>
  </si>
  <si>
    <t>12.000 LATAS</t>
  </si>
  <si>
    <t>2026/022</t>
  </si>
  <si>
    <t>GELINHO 210ML</t>
  </si>
  <si>
    <t>ICEBERG</t>
  </si>
  <si>
    <t>2.800 LATAS</t>
  </si>
  <si>
    <t>2026/023</t>
  </si>
  <si>
    <t>MAGIC SPRAY 400ML</t>
  </si>
  <si>
    <t>EMBRAPAN</t>
  </si>
  <si>
    <t>1.200 LATAS</t>
  </si>
  <si>
    <t>2026/024</t>
  </si>
  <si>
    <t>2026/025</t>
  </si>
  <si>
    <t>ALLBREAD 600ML</t>
  </si>
  <si>
    <t>9.216 LATAS</t>
  </si>
  <si>
    <t>2026/026</t>
  </si>
  <si>
    <t>2026/027</t>
  </si>
  <si>
    <t>2026/028</t>
  </si>
  <si>
    <t>VP 600ML</t>
  </si>
  <si>
    <t>VIA PANE</t>
  </si>
  <si>
    <t>2026/029</t>
  </si>
  <si>
    <t>UNTA FORMA 600ML</t>
  </si>
  <si>
    <t>2026/030</t>
  </si>
  <si>
    <t>OL 40 (ORIGINAL)</t>
  </si>
  <si>
    <t>LANÇAMENTO DE PRODUÇÃO • PREENCHIMENTO RÁPIDO</t>
  </si>
  <si>
    <t>_TOTAL_CX_NUM</t>
  </si>
  <si>
    <t>_TOTAL_PALLETS_NUM</t>
  </si>
  <si>
    <t>_TOTAL_REALCX_NUM</t>
  </si>
  <si>
    <t>_TOTAL_LATAS_NUM</t>
  </si>
  <si>
    <t>Preencha produto, embalagem e caixas. As demais colunas ajudam a leitura diária.</t>
  </si>
  <si>
    <t>Legenda: verde = acima da meta • vermelho = abaixo da meta</t>
  </si>
  <si>
    <t>Pallet PBR: 600ml=95 | 400ml=125 | 200ml=330 | 180ml=240 cx</t>
  </si>
  <si>
    <t>EMBALAGEM</t>
  </si>
  <si>
    <t>CAIXAS</t>
  </si>
  <si>
    <t>UN</t>
  </si>
  <si>
    <t>CX/PALLET</t>
  </si>
  <si>
    <t>PALLETS (PBR)</t>
  </si>
  <si>
    <t>REAL (CX)</t>
  </si>
  <si>
    <t>TOTAL LATAS</t>
  </si>
  <si>
    <t>A bengala de energia da ENEL caiu, paramos eram 15:30.</t>
  </si>
  <si>
    <t>ADIMIX (PRECISION)</t>
  </si>
  <si>
    <t>CX</t>
  </si>
  <si>
    <t>ADIMIX (FADEVA)</t>
  </si>
  <si>
    <t>TOTAL</t>
  </si>
  <si>
    <t>A luz voltou as 15:15.</t>
  </si>
  <si>
    <t>Acabou o gás eram 08:40, voltamos 10:30.</t>
  </si>
  <si>
    <t>Explodiu o transformador.</t>
  </si>
  <si>
    <t>ENTUPIU O SISTEMA, VOLTAMOS 14:40</t>
  </si>
  <si>
    <t>5L</t>
  </si>
  <si>
    <t>INLOCO ECO</t>
  </si>
  <si>
    <t>CASA PANIFICADOR</t>
  </si>
  <si>
    <t>GENGIBRE INLOCO</t>
  </si>
  <si>
    <t>GENGIBRE DILUTE</t>
  </si>
  <si>
    <t>MAÇA VERDE DILUTE</t>
  </si>
  <si>
    <t>3 LIMÕES DILUTE</t>
  </si>
  <si>
    <t>F. VERMELHAS DILUTE</t>
  </si>
  <si>
    <t xml:space="preserve">UNTA FACIL </t>
  </si>
  <si>
    <t>GELINHO ICEBERG</t>
  </si>
  <si>
    <t>CALDEIRA QUEBRADA</t>
  </si>
  <si>
    <t>MAGIC SPRAY EMBRAPAN</t>
  </si>
  <si>
    <t>RESULTADOS E GRÁFICO - JANEIRO</t>
  </si>
  <si>
    <t>Total do mês</t>
  </si>
  <si>
    <t>Meta do mês</t>
  </si>
  <si>
    <t>Média por dia</t>
  </si>
  <si>
    <t>Melhor dia</t>
  </si>
  <si>
    <t>Atingimento</t>
  </si>
  <si>
    <t>Legenda</t>
  </si>
  <si>
    <t>Leitura</t>
  </si>
  <si>
    <t>Verde</t>
  </si>
  <si>
    <t>Acima da meta</t>
  </si>
  <si>
    <t>Vermelho</t>
  </si>
  <si>
    <t>Abaixo da meta</t>
  </si>
  <si>
    <t>Cinza</t>
  </si>
  <si>
    <t>Igual à meta</t>
  </si>
  <si>
    <t>Data</t>
  </si>
  <si>
    <t>Dias trabalhados</t>
  </si>
  <si>
    <t>Realizado</t>
  </si>
  <si>
    <t>Meta diária</t>
  </si>
  <si>
    <t>Diferença</t>
  </si>
  <si>
    <t>Observações</t>
  </si>
  <si>
    <t>Realizado gráfico</t>
  </si>
  <si>
    <t>Meta gráfico</t>
  </si>
  <si>
    <t>Feriado - Confraternização Universal</t>
  </si>
  <si>
    <t>ORDEM DE PRODUÇÃO - FEVEREIRO</t>
  </si>
  <si>
    <t>2026/031</t>
  </si>
  <si>
    <t>OL 131/32/33/34/35</t>
  </si>
  <si>
    <t>OL 40/20 - 25LTRS</t>
  </si>
  <si>
    <t>INDIPAN</t>
  </si>
  <si>
    <t>90 BBs</t>
  </si>
  <si>
    <t>2026/032</t>
  </si>
  <si>
    <t>30.000 LATAS</t>
  </si>
  <si>
    <t>2026/033</t>
  </si>
  <si>
    <t>2026/034</t>
  </si>
  <si>
    <t>CHEF MASTER 400ML</t>
  </si>
  <si>
    <t>2026/035</t>
  </si>
  <si>
    <t>2026/036</t>
  </si>
  <si>
    <t>UNTA FORMA 400ML</t>
  </si>
  <si>
    <t>BRICOFLEX</t>
  </si>
  <si>
    <t>1.500 LATAS</t>
  </si>
  <si>
    <t>2026/037</t>
  </si>
  <si>
    <t>2026/038</t>
  </si>
  <si>
    <t>DISPAN</t>
  </si>
  <si>
    <t>4.500 LATAS</t>
  </si>
  <si>
    <t>2026/039</t>
  </si>
  <si>
    <t>DESMOLDANTE CHEF</t>
  </si>
  <si>
    <t>27.192 LATAS</t>
  </si>
  <si>
    <t>2026/040</t>
  </si>
  <si>
    <t>2026/041</t>
  </si>
  <si>
    <t>26010173    30</t>
  </si>
  <si>
    <t>2026/042</t>
  </si>
  <si>
    <t>2026/043</t>
  </si>
  <si>
    <t>180 BBs</t>
  </si>
  <si>
    <t>2026/044</t>
  </si>
  <si>
    <t>2026/045</t>
  </si>
  <si>
    <t>UNTA FORMA 180ML</t>
  </si>
  <si>
    <t>ADKO</t>
  </si>
  <si>
    <t>2026/046</t>
  </si>
  <si>
    <t>5.760 LATAS</t>
  </si>
  <si>
    <t>2026/047</t>
  </si>
  <si>
    <t>MANTEIGA DE COCO</t>
  </si>
  <si>
    <t>QUALICOCO</t>
  </si>
  <si>
    <t>ÓLEO DE COCO EXTRAVIRGEM</t>
  </si>
  <si>
    <t>2026/048</t>
  </si>
  <si>
    <t>SANTO ÓLEO</t>
  </si>
  <si>
    <t>ÓLEO DE COCO SEM SABOR</t>
  </si>
  <si>
    <t>2026/049</t>
  </si>
  <si>
    <t>COPRA</t>
  </si>
  <si>
    <t>6.000 LATAS</t>
  </si>
  <si>
    <t>7.000 LATAS</t>
  </si>
  <si>
    <t>2026/050</t>
  </si>
  <si>
    <t>CORANTE LARANJA</t>
  </si>
  <si>
    <t>2026/051</t>
  </si>
  <si>
    <t>CORANTE VERDE</t>
  </si>
  <si>
    <t>2026/052</t>
  </si>
  <si>
    <t>ESPUMA DE GENGIBRE</t>
  </si>
  <si>
    <t>780 KG</t>
  </si>
  <si>
    <t>2026/053</t>
  </si>
  <si>
    <t>2026/054</t>
  </si>
  <si>
    <t>1.080 LATAS</t>
  </si>
  <si>
    <t>2026/055</t>
  </si>
  <si>
    <t>2026/056</t>
  </si>
  <si>
    <t>PARAMOS ÀS 11:20, GÁS ACABOU. VOLTAMOS 15:00.</t>
  </si>
  <si>
    <t>PARAMOS ÀS 10:00, GÁS ACABOU. VOLTAMOS 13:00.</t>
  </si>
  <si>
    <t>PARAMOS ÀS 13:30, AS DUAS BOMBAS DE GÁS PARARAM.</t>
  </si>
  <si>
    <t>ECO UNTA FACIL</t>
  </si>
  <si>
    <t>PARADOS ATÉ CONSERTAREM AS BOMBAS DE GÁS.</t>
  </si>
  <si>
    <t>600 / 400</t>
  </si>
  <si>
    <t>PARAMOS A PRODUÇÃO 14:15. O GÁS SÓ VOLTARÁ AMANHÃ.</t>
  </si>
  <si>
    <t>O GÁS CHEGOU ERAM 07:45.</t>
  </si>
  <si>
    <t>PARAMOS 14:00 POIS O MOTOR DA ESTEIRA PRINCIPAL QUEBROU.</t>
  </si>
  <si>
    <t>REPETECO CHEF</t>
  </si>
  <si>
    <t>VOLTAMOS 13:00 APÓS A TROCA DO MOTOR DA ESTEIRA.</t>
  </si>
  <si>
    <t>400 / 180</t>
  </si>
  <si>
    <t>COCO</t>
  </si>
  <si>
    <t>QUALICOCO MANTEIGA</t>
  </si>
  <si>
    <t>QUALICOCO EXTRAVIRGEM</t>
  </si>
  <si>
    <t>COPRA EXTRAVIRGEM</t>
  </si>
  <si>
    <t>COPRA SEM SABOR</t>
  </si>
  <si>
    <t>SANTO ÓLEO SEM SABOR</t>
  </si>
  <si>
    <t>SANTO ÓLEO EXTRA VIRGEM</t>
  </si>
  <si>
    <t>CORANTE</t>
  </si>
  <si>
    <t>CORANTE AZUL INLOCO</t>
  </si>
  <si>
    <t>CORANTE VERDE REPETECO</t>
  </si>
  <si>
    <t>CORANTE LARANJA REPETECO</t>
  </si>
  <si>
    <t>CORANTE VERMELHO REPETECO</t>
  </si>
  <si>
    <t>CORANTE ROSA REPETECO</t>
  </si>
  <si>
    <t>ESPUMA</t>
  </si>
  <si>
    <t>GENGIBRE</t>
  </si>
  <si>
    <t>HORA</t>
  </si>
  <si>
    <t>REAL</t>
  </si>
  <si>
    <t>RESULTADOS E GRÁFICO - FEVEREIRO</t>
  </si>
  <si>
    <t>ORDEM DE PRODUÇÃO - MARÇO</t>
  </si>
  <si>
    <t>2026/057</t>
  </si>
  <si>
    <t>2026/058</t>
  </si>
  <si>
    <t>TTF ABELHA 600ML</t>
  </si>
  <si>
    <t>2026/059</t>
  </si>
  <si>
    <t>3.696 LATAS</t>
  </si>
  <si>
    <t>2026/060</t>
  </si>
  <si>
    <t>ÓLEO DE COCO 200ML</t>
  </si>
  <si>
    <t>5.960 LATAS</t>
  </si>
  <si>
    <t>2026/061</t>
  </si>
  <si>
    <t>CARREFOUR</t>
  </si>
  <si>
    <t>2026/062</t>
  </si>
  <si>
    <t>ÓLEO DE COCO EXTRAVIRGEM TAEQ</t>
  </si>
  <si>
    <t>PÃO DE AÇUCAR</t>
  </si>
  <si>
    <t>UNTA FORMA 180ML QUALITÁ</t>
  </si>
  <si>
    <t>2026/063</t>
  </si>
  <si>
    <t>2026/064</t>
  </si>
  <si>
    <t>2026/065</t>
  </si>
  <si>
    <t>DONA JURA 400ML</t>
  </si>
  <si>
    <t>CACAU FOODS</t>
  </si>
  <si>
    <t>24.720 LATAS</t>
  </si>
  <si>
    <t>2026/066</t>
  </si>
  <si>
    <t>2026/067</t>
  </si>
  <si>
    <t>CELEBRATE 400ML</t>
  </si>
  <si>
    <t>BRILHART</t>
  </si>
  <si>
    <t>2026/068</t>
  </si>
  <si>
    <t>42.000 LATAS</t>
  </si>
  <si>
    <t>21 PALLETS</t>
  </si>
  <si>
    <t>2026/069</t>
  </si>
  <si>
    <t>CHEF DESMOLDANTE 400ML</t>
  </si>
  <si>
    <t>27.720 LATAS</t>
  </si>
  <si>
    <t>2026/070</t>
  </si>
  <si>
    <t>UNTA FORMA GRILL 400ML</t>
  </si>
  <si>
    <t>18.900 LATAS</t>
  </si>
  <si>
    <t>2026/071</t>
  </si>
  <si>
    <t>2026/072</t>
  </si>
  <si>
    <t>OL 277</t>
  </si>
  <si>
    <t>UNTA FACIL AZEITE 180ML</t>
  </si>
  <si>
    <t>2026/073</t>
  </si>
  <si>
    <t>OL 246</t>
  </si>
  <si>
    <t>OL AZEITE</t>
  </si>
  <si>
    <t>265 KG</t>
  </si>
  <si>
    <t>2026/074</t>
  </si>
  <si>
    <t>AL 10 CONCENTRADO</t>
  </si>
  <si>
    <t>1.293  KG</t>
  </si>
  <si>
    <t>2026/075</t>
  </si>
  <si>
    <t>AL 278</t>
  </si>
  <si>
    <t>60 BBs</t>
  </si>
  <si>
    <t>2026/076</t>
  </si>
  <si>
    <t>UNTA FACIL ECO 400ML</t>
  </si>
  <si>
    <t>2.304 LATAS</t>
  </si>
  <si>
    <t>2026/077</t>
  </si>
  <si>
    <t>2026/078</t>
  </si>
  <si>
    <t>3.500 KG</t>
  </si>
  <si>
    <t>2026/079</t>
  </si>
  <si>
    <t>OL 40 (MANTEIGA)</t>
  </si>
  <si>
    <t>OL MANTEIGA</t>
  </si>
  <si>
    <t>1.680 KG</t>
  </si>
  <si>
    <t>2026/080</t>
  </si>
  <si>
    <t>UNTA FLEX 400ML</t>
  </si>
  <si>
    <t>9.000 LATAS</t>
  </si>
  <si>
    <t>2026/081</t>
  </si>
  <si>
    <t>...</t>
  </si>
  <si>
    <t>2026/082</t>
  </si>
  <si>
    <t>NORCAU 600ML</t>
  </si>
  <si>
    <t>13.680 LATAS</t>
  </si>
  <si>
    <t>2026/083</t>
  </si>
  <si>
    <t>26010365 49</t>
  </si>
  <si>
    <t>LISSE</t>
  </si>
  <si>
    <t>2026/084</t>
  </si>
  <si>
    <t>4.608 LATAS</t>
  </si>
  <si>
    <t>2026/085</t>
  </si>
  <si>
    <t>2026/086</t>
  </si>
  <si>
    <t>81 KG</t>
  </si>
  <si>
    <t>41 KG</t>
  </si>
  <si>
    <t>2026/87</t>
  </si>
  <si>
    <t>27.420 LATAS</t>
  </si>
  <si>
    <t>10.020 LATAS</t>
  </si>
  <si>
    <t>2026/088</t>
  </si>
  <si>
    <t>2026/089</t>
  </si>
  <si>
    <t>3.115 KG</t>
  </si>
  <si>
    <t>ESPUMA DE MAÇA VERDE</t>
  </si>
  <si>
    <t>390 KG</t>
  </si>
  <si>
    <t>ESPUMA DE LIMÃO</t>
  </si>
  <si>
    <t>ESPUMA DE LIMÃO SICILIANO</t>
  </si>
  <si>
    <t>ESPUMA DE BANANA</t>
  </si>
  <si>
    <t>ESPUMA DE TANGERINA</t>
  </si>
  <si>
    <t>ESPUMA DE MORANGO</t>
  </si>
  <si>
    <t>ESPUMA DE FRUTAS VERMELHAS</t>
  </si>
  <si>
    <t>2026/090</t>
  </si>
  <si>
    <t>CONRANTE ROSA</t>
  </si>
  <si>
    <t>960 LATAS</t>
  </si>
  <si>
    <t>2026/091</t>
  </si>
  <si>
    <t>PARAMOS 11:35 PRO FALTA DE GAS. VOLTAMOS ERAM 15:30.</t>
  </si>
  <si>
    <t>TTF MEL</t>
  </si>
  <si>
    <t>UNTA FACIL ECO</t>
  </si>
  <si>
    <t>UNTA FORMA QUALITA</t>
  </si>
  <si>
    <t>UNTA FACIL AZEITE</t>
  </si>
  <si>
    <t>OLEO DE COCO CARREFOUR</t>
  </si>
  <si>
    <t>OLEO DE COCO TEAQ</t>
  </si>
  <si>
    <t xml:space="preserve">UNTA FACIL ECO </t>
  </si>
  <si>
    <t>PARAMOS 16:00 POR FALTA DE GÁS.</t>
  </si>
  <si>
    <t>ROCHAPAN BONASSE</t>
  </si>
  <si>
    <t>CELEBRATE</t>
  </si>
  <si>
    <t>PARAMOS 14:00 POR FALTA DE GÁS.</t>
  </si>
  <si>
    <t>OLEO DE COCO SANTO OLEO</t>
  </si>
  <si>
    <t xml:space="preserve">COPRA SEM SABOR </t>
  </si>
  <si>
    <t>CORANTE AMARELO IN LOCO</t>
  </si>
  <si>
    <t>CORANTE AMARELO REPETECO</t>
  </si>
  <si>
    <t>RESULTADOS E GRÁFICO - MARÇO</t>
  </si>
  <si>
    <t>Os pistões de injeção de gás sairam de centro.</t>
  </si>
  <si>
    <t>Caminhão do gás quebrou, não nos abasteceram a segunda vez hoje, paramos 15:20.</t>
  </si>
  <si>
    <t>Gás chegou era 08:00, paramos 11:50 gás acabou. Gás Chegou era 16:15.</t>
  </si>
  <si>
    <t>ORDEM DE PRODUÇÃO - ABRIL</t>
  </si>
  <si>
    <t>2026/092</t>
  </si>
  <si>
    <t>2026/093</t>
  </si>
  <si>
    <t>2026/094</t>
  </si>
  <si>
    <t>9.900 LATAS</t>
  </si>
  <si>
    <t>1.980 LATAS</t>
  </si>
  <si>
    <t>1.974 LATAS</t>
  </si>
  <si>
    <t>2026/095</t>
  </si>
  <si>
    <t>1.890 LATAS</t>
  </si>
  <si>
    <t>2026/096</t>
  </si>
  <si>
    <t>AL 10 DILUIDO</t>
  </si>
  <si>
    <t>410 KG</t>
  </si>
  <si>
    <t>2026/097</t>
  </si>
  <si>
    <t>AL 409</t>
  </si>
  <si>
    <t>ANTIMOFO 600ML</t>
  </si>
  <si>
    <t>1.280 LATAS</t>
  </si>
  <si>
    <t>2026/098</t>
  </si>
  <si>
    <t>32.424 LATAS</t>
  </si>
  <si>
    <t>2026/099</t>
  </si>
  <si>
    <t>2.500 KG</t>
  </si>
  <si>
    <t>2026/100</t>
  </si>
  <si>
    <t>DESMOLDANTE CHEF 400ML</t>
  </si>
  <si>
    <t>23.760 LATAS</t>
  </si>
  <si>
    <t>18 pallets</t>
  </si>
  <si>
    <t>2026/101</t>
  </si>
  <si>
    <t>26.220 LATAS</t>
  </si>
  <si>
    <t>10 pallets</t>
  </si>
  <si>
    <t>7 pallets</t>
  </si>
  <si>
    <t>6 pallets</t>
  </si>
  <si>
    <t>2026/102</t>
  </si>
  <si>
    <t>4.560 LATAS</t>
  </si>
  <si>
    <t>2026/103</t>
  </si>
  <si>
    <t>GPA</t>
  </si>
  <si>
    <t>2026/104</t>
  </si>
  <si>
    <t>2026/105</t>
  </si>
  <si>
    <t>10.308 LATAS</t>
  </si>
  <si>
    <t>2026/106</t>
  </si>
  <si>
    <t>26010423   92</t>
  </si>
  <si>
    <t>LISSE  600ML</t>
  </si>
  <si>
    <t>2026/107</t>
  </si>
  <si>
    <t>2026/108</t>
  </si>
  <si>
    <t>ALL BREAD MANTEIGA 600ML</t>
  </si>
  <si>
    <t>600 LATAS</t>
  </si>
  <si>
    <t>2026/109</t>
  </si>
  <si>
    <t xml:space="preserve">OL MANTEIGA </t>
  </si>
  <si>
    <t>210 KG</t>
  </si>
  <si>
    <t>2026/110</t>
  </si>
  <si>
    <t>2026/111</t>
  </si>
  <si>
    <t>23.000 LATAS</t>
  </si>
  <si>
    <t>20.000 LATAS</t>
  </si>
  <si>
    <t>2026/112</t>
  </si>
  <si>
    <t>11.520 LATAS</t>
  </si>
  <si>
    <t>2 PALLETS</t>
  </si>
  <si>
    <t>2026/113</t>
  </si>
  <si>
    <t>23.940 LATAS</t>
  </si>
  <si>
    <t>2026/114</t>
  </si>
  <si>
    <t>2026/115</t>
  </si>
  <si>
    <t>2026/116</t>
  </si>
  <si>
    <t>26010508   88</t>
  </si>
  <si>
    <t>CORANTE AZUL CEU REPETECO</t>
  </si>
  <si>
    <t>CORANTE VERDE IN LOCO</t>
  </si>
  <si>
    <t>CORANTE ROSA IN LOCO</t>
  </si>
  <si>
    <t>CORANTE VERMELHO INLOCO</t>
  </si>
  <si>
    <t>CORANTE VIOLETA REPETECO</t>
  </si>
  <si>
    <t>ESPUMA GENGIBRE IN LOCO</t>
  </si>
  <si>
    <t>ESPUMA GENGIBRE DILUTE</t>
  </si>
  <si>
    <t>FERIADO</t>
  </si>
  <si>
    <t>ESPUMA GENGIBRE GIN SABORES</t>
  </si>
  <si>
    <t>ESPUMA MAÇA VERDE IN LOCO</t>
  </si>
  <si>
    <t>ESPUMA LIMÃO GIN SABORES</t>
  </si>
  <si>
    <t>ESPUMA LIMÃO SICILIANO IN LOCO</t>
  </si>
  <si>
    <t>ESPUMA  BANANA GIN SABORES</t>
  </si>
  <si>
    <t>ESPUMA TANGERINA IN LOCO</t>
  </si>
  <si>
    <t>ESPUMA MORANGO IN LOCO</t>
  </si>
  <si>
    <t>ESPUMA MORANGO GIN SABORES</t>
  </si>
  <si>
    <t>ESPUMA FRUTAS VERMELHAS GIN SABORES</t>
  </si>
  <si>
    <t>ESPUMA FRUTAS VERMELHAS IN LOCO</t>
  </si>
  <si>
    <t>ANTIMOFO IN LOCO</t>
  </si>
  <si>
    <t>UNTA FACIL IN LOCO</t>
  </si>
  <si>
    <t>DESMOLDANTE CHEF ICEBERG</t>
  </si>
  <si>
    <t>PURATOS DESTAK</t>
  </si>
  <si>
    <t>OLEO DE COCO TAEQ</t>
  </si>
  <si>
    <t>OLEO DE COCO COPRA MANTEIGA</t>
  </si>
  <si>
    <t>SEM PRODUÇÃO</t>
  </si>
  <si>
    <t>ALL BREAD MANTEIGA</t>
  </si>
  <si>
    <t xml:space="preserve">ALL BREAD </t>
  </si>
  <si>
    <t>PURATOS NORCAU</t>
  </si>
  <si>
    <t>ADIMIX LISSE</t>
  </si>
  <si>
    <t>RESULTADOS E GRÁFICO - ABRIL</t>
  </si>
  <si>
    <t>Dia</t>
  </si>
  <si>
    <t>qua</t>
  </si>
  <si>
    <t>qui</t>
  </si>
  <si>
    <t>sex</t>
  </si>
  <si>
    <t>Feriado - Paixão de Cristo</t>
  </si>
  <si>
    <t>seg</t>
  </si>
  <si>
    <t>ter</t>
  </si>
  <si>
    <t>Treinamento na parte da tarde.</t>
  </si>
  <si>
    <t>Paramos 10:00hrs por falta de gás. Voltamos 11:00.</t>
  </si>
  <si>
    <t>A base dos pistões de gás terminaram de quebrar, estamos substituindo a peça.</t>
  </si>
  <si>
    <t>sáb</t>
  </si>
  <si>
    <t>Sábado - produção normal</t>
  </si>
  <si>
    <t>Tiradentes - produção normal</t>
  </si>
  <si>
    <t>Paramos 09:00hrs por falta de gás. Voltamos 10:30.</t>
  </si>
  <si>
    <t>Paramos 11:00hrs por falta de gás. Voltamos 14:30.</t>
  </si>
  <si>
    <t>Trocamos para o Coco e fizemos as amostras da Renata.</t>
  </si>
  <si>
    <t>Paramos 15:00hrs por falta de gás.</t>
  </si>
  <si>
    <t>Paramos 10:40hrs por falta de gás. Voltamos 13:15.</t>
  </si>
  <si>
    <t>ORDEM DE PRODUÇÃO - MAIO</t>
  </si>
  <si>
    <t>2026/117</t>
  </si>
  <si>
    <t>31.500 LATAS</t>
  </si>
  <si>
    <t>7 PALLETS</t>
  </si>
  <si>
    <t>2026/118</t>
  </si>
  <si>
    <t>CHEF DESMOLDANTE</t>
  </si>
  <si>
    <t>27.960 LATAS</t>
  </si>
  <si>
    <t>19 PALLETS</t>
  </si>
  <si>
    <t>2026/119</t>
  </si>
  <si>
    <t>ESPUMA ABACAXI</t>
  </si>
  <si>
    <t>ESPUMA TUTTI FRUTTI</t>
  </si>
  <si>
    <t>ESPUMA MELANCIA</t>
  </si>
  <si>
    <t>ESPUMA MORANGO</t>
  </si>
  <si>
    <t>ESPUMA UVA</t>
  </si>
  <si>
    <t>2026/120</t>
  </si>
  <si>
    <t>2026/121</t>
  </si>
  <si>
    <t>2026/122</t>
  </si>
  <si>
    <t>2026/123</t>
  </si>
  <si>
    <t>2026/124</t>
  </si>
  <si>
    <t>2026/125</t>
  </si>
  <si>
    <t>2026/126</t>
  </si>
  <si>
    <t>2026/127</t>
  </si>
  <si>
    <t>21.660 LATAS</t>
  </si>
  <si>
    <t>2026/128</t>
  </si>
  <si>
    <t>DOURADOR DE PÃO</t>
  </si>
  <si>
    <t>3.000 KG</t>
  </si>
  <si>
    <t>2026/129</t>
  </si>
  <si>
    <t>DOURATTO 5L</t>
  </si>
  <si>
    <t>600 BBs</t>
  </si>
  <si>
    <t>2026/130</t>
  </si>
  <si>
    <t>26010561  33</t>
  </si>
  <si>
    <t>2026/131</t>
  </si>
  <si>
    <t>2026/132</t>
  </si>
  <si>
    <t>UNTA TUDO 600ML</t>
  </si>
  <si>
    <t>CLEIDE DOCES</t>
  </si>
  <si>
    <t>2026/133</t>
  </si>
  <si>
    <t>67.260 LATAS</t>
  </si>
  <si>
    <t>10 PALLETS</t>
  </si>
  <si>
    <t>2026/134</t>
  </si>
  <si>
    <t>2026/135</t>
  </si>
  <si>
    <t>OL 40/20 - 25 LTRS</t>
  </si>
  <si>
    <t>2026/136</t>
  </si>
  <si>
    <t>26010591  29</t>
  </si>
  <si>
    <t>2026/137</t>
  </si>
  <si>
    <t>2026/138</t>
  </si>
  <si>
    <t>2026/139</t>
  </si>
  <si>
    <t>2026/140</t>
  </si>
  <si>
    <t>UNTA FORMA QUALITÁ 180ML</t>
  </si>
  <si>
    <t>2026/141</t>
  </si>
  <si>
    <t>2026/142</t>
  </si>
  <si>
    <t>2026/143</t>
  </si>
  <si>
    <t>DONA LELLA 400ML</t>
  </si>
  <si>
    <t>DONA LELLA</t>
  </si>
  <si>
    <t>19.800 LATAS</t>
  </si>
  <si>
    <t>2026/144</t>
  </si>
  <si>
    <t>OL588</t>
  </si>
  <si>
    <t xml:space="preserve">ICEBERG </t>
  </si>
  <si>
    <t>REPETECO CHEF MASTER</t>
  </si>
  <si>
    <t>ESPUMA ABACAXI TM</t>
  </si>
  <si>
    <t>ESPUMA ABACAXI TM COPA</t>
  </si>
  <si>
    <t>ESPUMA T. FRUTTI TM COPA</t>
  </si>
  <si>
    <t>ESPUMA TUTTI FRUTTI TM</t>
  </si>
  <si>
    <t xml:space="preserve">ESPUMA MELANCIA TM </t>
  </si>
  <si>
    <t>ESPUMA MELANCIA TM COPA</t>
  </si>
  <si>
    <t>ESPUMA MORANGO TM</t>
  </si>
  <si>
    <t>ESPUMA MORANGO TM COPA</t>
  </si>
  <si>
    <t>ESPUMA UVA TM</t>
  </si>
  <si>
    <t>ESPUMA UVA TM COPA</t>
  </si>
  <si>
    <t>ESPUMA DILUTE 3 LIMÕES</t>
  </si>
  <si>
    <t xml:space="preserve">ADIMIX LISSE </t>
  </si>
  <si>
    <t xml:space="preserve">VIA PANE </t>
  </si>
  <si>
    <t>CORANTE REPETECO VERDE</t>
  </si>
  <si>
    <t>CORANTE REPETECO LARANJA</t>
  </si>
  <si>
    <t>CORANTE REPETECO VIOLETA</t>
  </si>
  <si>
    <t>CARREFOUR COCO</t>
  </si>
  <si>
    <t>GPA QUALITA</t>
  </si>
  <si>
    <t>EMBRAPAN MAGIC SPRAY</t>
  </si>
  <si>
    <t>DISPAN UNTA TUDO</t>
  </si>
  <si>
    <t>FESTPAN GRILL</t>
  </si>
  <si>
    <t>UNTA FACIL MEL</t>
  </si>
  <si>
    <t>RESULTADOS E GRÁFICO - MAIO</t>
  </si>
  <si>
    <t>Feriado - Dia do Trabalho - produção normal</t>
  </si>
  <si>
    <t>Paramos por falta de gás 09:10. Voltamos 11:00.</t>
  </si>
  <si>
    <t>Temos treinamento na parte da tarde.</t>
  </si>
  <si>
    <t>Ficamos sem uma fase de energia 10:45.</t>
  </si>
  <si>
    <t>Paramos por falta de gás 10:50. Voltamos 11:50.</t>
  </si>
  <si>
    <t>Paramos por falta de gás 07:50. Voltamos 09:50.</t>
  </si>
  <si>
    <t>Auditoria Fornecedor - WQS</t>
  </si>
  <si>
    <t>ORDEM DE PRODUÇÃO - JUNHO</t>
  </si>
  <si>
    <t>RESULTADOS E GRÁFICO - JUNHO</t>
  </si>
  <si>
    <t>ORDEM DE PRODUÇÃO - JULHO</t>
  </si>
  <si>
    <t>RESULTADOS E GRÁFICO - JULHO</t>
  </si>
  <si>
    <t>ORDEM DE PRODUÇÃO - AGOSTO</t>
  </si>
  <si>
    <t>RESULTADOS E GRÁFICO - AGOSTO</t>
  </si>
  <si>
    <t>ORDEM DE PRODUÇÃO - SETEMBRO</t>
  </si>
  <si>
    <t>RESULTADOS E GRÁFICO - SETEMBRO</t>
  </si>
  <si>
    <t>Feriado - Independência do Brasil</t>
  </si>
  <si>
    <t>ORDEM DE PRODUÇÃO - OUTUBRO</t>
  </si>
  <si>
    <t>RESULTADOS E GRÁFICO - OUTUBRO</t>
  </si>
  <si>
    <t>Feriado - Nossa Senhora Aparecida</t>
  </si>
  <si>
    <t>ORDEM DE PRODUÇÃO - NOVEMBRO</t>
  </si>
  <si>
    <t>RESULTADOS E GRÁFICO - NOVEMBRO</t>
  </si>
  <si>
    <t>Feriado - Finados</t>
  </si>
  <si>
    <t>Feriado - Dia da Consciência Negra</t>
  </si>
  <si>
    <t>ORDEM DE PRODUÇÃO - DEZEMBRO</t>
  </si>
  <si>
    <t>RESULTADOS E GRÁFICO - DEZEMBRO</t>
  </si>
  <si>
    <t>Feriado - Natal</t>
  </si>
  <si>
    <t>NCM</t>
  </si>
  <si>
    <t>TAMANHO</t>
  </si>
  <si>
    <t>UNIDS/CX</t>
  </si>
  <si>
    <t>PREÇO R$</t>
  </si>
  <si>
    <t>CONGELANTE</t>
  </si>
  <si>
    <t>PRODUÇÃO</t>
  </si>
  <si>
    <t>N°</t>
  </si>
  <si>
    <t>DESMOLDANTE</t>
  </si>
  <si>
    <t>UNTA FORMA</t>
  </si>
  <si>
    <t>400ML</t>
  </si>
  <si>
    <t>MANTEIGA GHEE</t>
  </si>
  <si>
    <t>SLEEVE FLEX FEST</t>
  </si>
  <si>
    <t>ANTIMOFO</t>
  </si>
  <si>
    <t>x3 PARCELAS</t>
  </si>
  <si>
    <t>DOURADOR</t>
  </si>
  <si>
    <t>CHANTILLY</t>
  </si>
  <si>
    <t>CHANTILLY DE COCO</t>
  </si>
  <si>
    <t>BULLET</t>
  </si>
  <si>
    <t>ÓLEOS FRIOS</t>
  </si>
  <si>
    <t>PEDIDO ESPUMA</t>
  </si>
  <si>
    <t>VERDE MAR</t>
  </si>
  <si>
    <t>DIOTTONI</t>
  </si>
  <si>
    <t>BACCO</t>
  </si>
  <si>
    <t>INLOCO</t>
  </si>
  <si>
    <t>KG</t>
  </si>
  <si>
    <t>FRUTAS VERM.</t>
  </si>
  <si>
    <t>TANGERINA</t>
  </si>
  <si>
    <t>LIMÃO</t>
  </si>
  <si>
    <t>PITAYA</t>
  </si>
  <si>
    <t>MAÇA VERDE</t>
  </si>
  <si>
    <t>MELANCIA</t>
  </si>
  <si>
    <t>CEREJA</t>
  </si>
  <si>
    <t>MORANGO(LOVE)</t>
  </si>
  <si>
    <t>LIMÃO SICILIANO</t>
  </si>
  <si>
    <t>QUANT. MIN. CXS</t>
  </si>
  <si>
    <t xml:space="preserve">PREÇO R$ LITRO </t>
  </si>
  <si>
    <t>PRIMEIRA COMPRA À VISTA</t>
  </si>
  <si>
    <t>ESPUMA (Por Sabor)</t>
  </si>
  <si>
    <t>200ML</t>
  </si>
  <si>
    <t>PRIMEIRA COMPRA À VISTA, DEMAIS 28DD.                     FRETE FOB</t>
  </si>
  <si>
    <t>SERÁ FATURADO JUNTO DO PRIMEIRO PEDIDO E PARCELADO EM TRÊS VEZES (28DD)</t>
  </si>
  <si>
    <t>RÓTULO  SABOR</t>
  </si>
  <si>
    <t>21/28/35</t>
  </si>
  <si>
    <t>SERÁ FATURADO JUNTO DO PRIMEIRO PEDIDO E PARCELADO EM TRÊS VEZES (21/28/35DD)</t>
  </si>
  <si>
    <t xml:space="preserve">QUANT. MIN. CXS </t>
  </si>
  <si>
    <t>PRAZO DE PAGAMENTO ESTÁ EM ANÁLISE</t>
  </si>
  <si>
    <t>PROD. MIN. SLEEVES</t>
  </si>
  <si>
    <t>SERÁ FATURADO JUNTO DO PRIMEIRO PEDIDO (28dd)</t>
  </si>
  <si>
    <t xml:space="preserve"> </t>
  </si>
  <si>
    <t>pallet 125cxs</t>
  </si>
  <si>
    <t>*** PRIMEIRO PEDIDO PAGAMENTO À VISTA ***</t>
  </si>
  <si>
    <t>15 PALLETS</t>
  </si>
  <si>
    <t>pallet 95cxs</t>
  </si>
  <si>
    <t>12 PALLETS</t>
  </si>
  <si>
    <t>O CLIENTE SE COMPROMETE A CONSUMIR TODA A LATA QUE ESTIVER EM ESTOQUE.</t>
  </si>
  <si>
    <t>SERÁ FATURADO JUNTO DO PRIMEIRO PEDIDO 14/28dd</t>
  </si>
  <si>
    <t>PREÇO UNID R$</t>
  </si>
  <si>
    <t>FORNECENDO O COCO</t>
  </si>
  <si>
    <t>ÓLEO DE COCO</t>
  </si>
  <si>
    <t>200ml</t>
  </si>
  <si>
    <t>3 pallets</t>
  </si>
  <si>
    <t>FORNECENDO A MISTURA MANTEIGA</t>
  </si>
  <si>
    <t>RÓTULO DE COCO</t>
  </si>
  <si>
    <t>RÓTULO DE MANTEIGA</t>
  </si>
  <si>
    <t>CLIENTE IRÁ FORNECER O ÓLEO. PRIMEIRA PRODUÇÃO PAGAMENTO À VISTA.</t>
  </si>
  <si>
    <t>FLIPDRINKS</t>
  </si>
  <si>
    <t>100ML</t>
  </si>
  <si>
    <t>SERÁ FATURADO JUNTO DO PRIMEIRO PEDIDO (28DD)</t>
  </si>
  <si>
    <t>LATAS</t>
  </si>
  <si>
    <t>PAGAMENTO PADRÃO ROCHAPAN</t>
  </si>
  <si>
    <t>ANTI MOFO</t>
  </si>
  <si>
    <t>600ML</t>
  </si>
  <si>
    <t xml:space="preserve">DOURADOR DE PÃO </t>
  </si>
  <si>
    <t>PAGAMENTO À VISTA</t>
  </si>
  <si>
    <t>5 pallets</t>
  </si>
  <si>
    <t>PROD. MIN. RÓTULO</t>
  </si>
  <si>
    <t>FRETE FOB</t>
  </si>
  <si>
    <t>ULTRAGÁS - LOTE CARGA</t>
  </si>
  <si>
    <t>DIA DA CARGA</t>
  </si>
  <si>
    <t>NF-e</t>
  </si>
  <si>
    <t>QUANTIDADE</t>
  </si>
  <si>
    <t>2134/2135</t>
  </si>
  <si>
    <t>166929.0.A</t>
  </si>
  <si>
    <t>80/20</t>
  </si>
  <si>
    <t>167011.0.A</t>
  </si>
  <si>
    <t>2140/2141/2142</t>
  </si>
  <si>
    <t>167064.0.A</t>
  </si>
  <si>
    <t>2144/2145/2146</t>
  </si>
  <si>
    <t>167118.0.A</t>
  </si>
  <si>
    <t>2147/2149</t>
  </si>
  <si>
    <t>167182.0.A</t>
  </si>
  <si>
    <t>2150/2152</t>
  </si>
  <si>
    <t>167259.0.A</t>
  </si>
  <si>
    <t>167324.0.A</t>
  </si>
  <si>
    <t>2159/2161</t>
  </si>
  <si>
    <t>167491.0.A</t>
  </si>
  <si>
    <t>167563.0.A</t>
  </si>
  <si>
    <t>2165/2168</t>
  </si>
  <si>
    <t>167601.0.A</t>
  </si>
  <si>
    <t>167673.0.A</t>
  </si>
  <si>
    <t>167721.0.A</t>
  </si>
  <si>
    <t>167892.0.A</t>
  </si>
  <si>
    <t>2181/2184</t>
  </si>
  <si>
    <t>167995.0.A</t>
  </si>
  <si>
    <t>2188/2189</t>
  </si>
  <si>
    <t>168089.0.A</t>
  </si>
  <si>
    <t>2190/2191</t>
  </si>
  <si>
    <t>168155.0.A</t>
  </si>
  <si>
    <t>168197.0.A</t>
  </si>
  <si>
    <t>2195/2197</t>
  </si>
  <si>
    <t>168230.0.A</t>
  </si>
  <si>
    <t>2198/2201</t>
  </si>
  <si>
    <t>168278.0.A</t>
  </si>
  <si>
    <t>2204/2205</t>
  </si>
  <si>
    <t>168327.0.A</t>
  </si>
  <si>
    <t>2206/2208</t>
  </si>
  <si>
    <t>168377.0.A</t>
  </si>
  <si>
    <t>2213/2214</t>
  </si>
  <si>
    <t>168500.0.A</t>
  </si>
  <si>
    <t>168581.0.A</t>
  </si>
  <si>
    <t>2218/2220</t>
  </si>
  <si>
    <t>168633.0.A</t>
  </si>
  <si>
    <t>2222/138</t>
  </si>
  <si>
    <t>168677.0.A</t>
  </si>
  <si>
    <t>2226/2227</t>
  </si>
  <si>
    <t>168740.0.A</t>
  </si>
  <si>
    <t>168929.0.A</t>
  </si>
  <si>
    <t>2233/2235</t>
  </si>
  <si>
    <t>168964.0.A</t>
  </si>
  <si>
    <t>169021.0.A</t>
  </si>
  <si>
    <t>169095.0.A</t>
  </si>
  <si>
    <t>2242/2245</t>
  </si>
  <si>
    <t>169196.0.A</t>
  </si>
  <si>
    <t>169244.0.A</t>
  </si>
  <si>
    <t>169298.0.A</t>
  </si>
  <si>
    <t>169349.0.A</t>
  </si>
  <si>
    <t>169461.0.A</t>
  </si>
  <si>
    <t>2256/2258</t>
  </si>
  <si>
    <t>2259/2262</t>
  </si>
  <si>
    <t>169523.0.A</t>
  </si>
  <si>
    <t>2264/2266</t>
  </si>
  <si>
    <t>169575.0.A</t>
  </si>
  <si>
    <t>2267/2269</t>
  </si>
  <si>
    <t>169636.0.A</t>
  </si>
  <si>
    <t>mês</t>
  </si>
  <si>
    <t>2272/2273</t>
  </si>
  <si>
    <t>169684.0.A</t>
  </si>
  <si>
    <t>2275/277</t>
  </si>
  <si>
    <t>169738.0.A</t>
  </si>
  <si>
    <t>169832.0.A</t>
  </si>
  <si>
    <t>2281/2282</t>
  </si>
  <si>
    <t>169880.0.A</t>
  </si>
  <si>
    <t>169946.0.A</t>
  </si>
  <si>
    <t>2287/2288</t>
  </si>
  <si>
    <t>169993.0.A</t>
  </si>
  <si>
    <t>2292/2295</t>
  </si>
  <si>
    <t>170061.0.A</t>
  </si>
  <si>
    <t>170148.0.A</t>
  </si>
  <si>
    <t>2300/2302</t>
  </si>
  <si>
    <t>1702025.0.A</t>
  </si>
  <si>
    <t>2303/2306</t>
  </si>
  <si>
    <t>170272.0.A</t>
  </si>
  <si>
    <t>2308/2309</t>
  </si>
  <si>
    <t>170333.0.A</t>
  </si>
  <si>
    <t>170387.0.A</t>
  </si>
  <si>
    <t>semana</t>
  </si>
  <si>
    <t>2314/57</t>
  </si>
  <si>
    <t>170496.0.A</t>
  </si>
  <si>
    <t>170549.0.A</t>
  </si>
  <si>
    <t>2318/2320</t>
  </si>
  <si>
    <t>170615.0.A</t>
  </si>
  <si>
    <t>2323/2325</t>
  </si>
  <si>
    <t>170669.0.A</t>
  </si>
  <si>
    <t>170746.0.A</t>
  </si>
  <si>
    <t>170817.0.A</t>
  </si>
  <si>
    <t>170859.0.A</t>
  </si>
  <si>
    <t>170916.0.A</t>
  </si>
  <si>
    <t>2347/2348</t>
  </si>
  <si>
    <t>171098.0.A</t>
  </si>
  <si>
    <t>2349/2351</t>
  </si>
  <si>
    <t>171146.0.A</t>
  </si>
  <si>
    <t>171198.0.A</t>
  </si>
  <si>
    <t>2355/2357</t>
  </si>
  <si>
    <t>171307.0.A</t>
  </si>
  <si>
    <t>2358/2361</t>
  </si>
  <si>
    <t>171392.0.A</t>
  </si>
  <si>
    <t>2363/2365</t>
  </si>
  <si>
    <t>171440.0.A</t>
  </si>
  <si>
    <t>171476.0.A</t>
  </si>
  <si>
    <t>171551.0.A</t>
  </si>
  <si>
    <t>2370/2371</t>
  </si>
  <si>
    <t>171598.0.A</t>
  </si>
  <si>
    <t>2373/2375</t>
  </si>
  <si>
    <t>171641.0.A</t>
  </si>
  <si>
    <t>2376/2377/2378</t>
  </si>
  <si>
    <t>171687.0.A</t>
  </si>
  <si>
    <t>2380/4438846</t>
  </si>
  <si>
    <t>171713.0.A</t>
  </si>
  <si>
    <t>2382/2385</t>
  </si>
  <si>
    <t>171761.0.A</t>
  </si>
  <si>
    <t>2387/2388</t>
  </si>
  <si>
    <t>171814.0.A</t>
  </si>
  <si>
    <t>2389/2390</t>
  </si>
  <si>
    <t>171865.0.A</t>
  </si>
  <si>
    <t>171958.0.A</t>
  </si>
  <si>
    <t>2396/2398/2399</t>
  </si>
  <si>
    <t>172010.0.A</t>
  </si>
  <si>
    <t>2400/2401/2402</t>
  </si>
  <si>
    <t>172056.0.A</t>
  </si>
  <si>
    <t>2403/2404/2405</t>
  </si>
  <si>
    <t>172150.0.A</t>
  </si>
  <si>
    <t>2409/2411</t>
  </si>
  <si>
    <t>172156.0.A</t>
  </si>
  <si>
    <t>172207.0.A</t>
  </si>
  <si>
    <t>172305.0.A</t>
  </si>
  <si>
    <t>2420/2421</t>
  </si>
  <si>
    <t>172350.0.A</t>
  </si>
  <si>
    <t>2423/2424/2425</t>
  </si>
  <si>
    <t>172390.0.A</t>
  </si>
  <si>
    <t>2427/2429</t>
  </si>
  <si>
    <t>172443.0.A</t>
  </si>
  <si>
    <t>2432/2433</t>
  </si>
  <si>
    <t>172515.0.A</t>
  </si>
  <si>
    <t>2434/2435</t>
  </si>
  <si>
    <t>172549.0.A</t>
  </si>
  <si>
    <t>2437/2438</t>
  </si>
  <si>
    <t>172604.0.A</t>
  </si>
  <si>
    <t>2439/2441</t>
  </si>
  <si>
    <t>172666.0.A</t>
  </si>
  <si>
    <t>2443/2444/2445</t>
  </si>
  <si>
    <t>172725.0.A</t>
  </si>
  <si>
    <t>2447/2450</t>
  </si>
  <si>
    <t>172711.0.A</t>
  </si>
  <si>
    <t>80/21</t>
  </si>
  <si>
    <t>50/50</t>
  </si>
  <si>
    <t>CONFIGURAÇÕES</t>
  </si>
  <si>
    <t>Meta diária (latas)</t>
  </si>
  <si>
    <t>Observação</t>
  </si>
  <si>
    <t>Altere a meta diária aqui. Todos os gráficos e resultados mensais serão atualizados automaticamente.</t>
  </si>
  <si>
    <t>Mês</t>
  </si>
  <si>
    <t>Real</t>
  </si>
  <si>
    <t>Latas</t>
  </si>
  <si>
    <t>Gás</t>
  </si>
  <si>
    <t>Horas</t>
  </si>
  <si>
    <t>Origem</t>
  </si>
  <si>
    <t>JANEIRO</t>
  </si>
  <si>
    <t>SEMANA JANEIRO!B5:I5</t>
  </si>
  <si>
    <t>SEMANA JANEIRO!B6:I6</t>
  </si>
  <si>
    <t>SEMANA JANEIRO!B13:I13</t>
  </si>
  <si>
    <t>SEMANA JANEIRO!B20:I20</t>
  </si>
  <si>
    <t>SEMANA JANEIRO!B21:I21</t>
  </si>
  <si>
    <t>SEMANA JANEIRO!B28:I28</t>
  </si>
  <si>
    <t>SEMANA JANEIRO!B36:I36</t>
  </si>
  <si>
    <t>SEMANA JANEIRO!B37:I37</t>
  </si>
  <si>
    <t>SEMANA JANEIRO!B45:I45</t>
  </si>
  <si>
    <t>SEMANA JANEIRO!B53:I53</t>
  </si>
  <si>
    <t>SEMANA JANEIRO!B55:I55</t>
  </si>
  <si>
    <t>SEMANA JANEIRO!B61:I61</t>
  </si>
  <si>
    <t>SEMANA JANEIRO!B69:I69</t>
  </si>
  <si>
    <t>SEMANA JANEIRO!B70:I70</t>
  </si>
  <si>
    <t>SEMANA JANEIRO!B78:I78</t>
  </si>
  <si>
    <t>SEMANA JANEIRO!B79:I79</t>
  </si>
  <si>
    <t>SEMANA JANEIRO!B86:I86</t>
  </si>
  <si>
    <t>SEMANA JANEIRO!B87:I87</t>
  </si>
  <si>
    <t>SEMANA JANEIRO!B88:I88</t>
  </si>
  <si>
    <t>SEMANA JANEIRO!B96:I96</t>
  </si>
  <si>
    <t>SEMANA JANEIRO!B97:I97</t>
  </si>
  <si>
    <t>SEMANA JANEIRO!B98:I98</t>
  </si>
  <si>
    <t>SEMANA JANEIRO!B106:I106</t>
  </si>
  <si>
    <t>SEMANA JANEIRO!B107:I107</t>
  </si>
  <si>
    <t>SEMANA JANEIRO!B114:I114</t>
  </si>
  <si>
    <t>SEMANA JANEIRO!B115:I115</t>
  </si>
  <si>
    <t>SEMANA JANEIRO!B116:I116</t>
  </si>
  <si>
    <t>SEMANA JANEIRO!B124:I124</t>
  </si>
  <si>
    <t>SEMANA JANEIRO!B125:I125</t>
  </si>
  <si>
    <t>SEMANA JANEIRO!B126:I126</t>
  </si>
  <si>
    <t>SEMANA JANEIRO!B127:I127</t>
  </si>
  <si>
    <t>SEMANA JANEIRO!B128:I128</t>
  </si>
  <si>
    <t>SEMANA JANEIRO!B129:I129</t>
  </si>
  <si>
    <t>SEMANA JANEIRO!B137:I137</t>
  </si>
  <si>
    <t>SEMANA JANEIRO!B138:I138</t>
  </si>
  <si>
    <t>SEMANA JANEIRO!B139:I139</t>
  </si>
  <si>
    <t>SEMANA JANEIRO!B146:I146</t>
  </si>
  <si>
    <t>SEMANA JANEIRO!B165:I165</t>
  </si>
  <si>
    <t>SEMANA JANEIRO!B166:I166</t>
  </si>
  <si>
    <t>SEMANA JANEIRO!B167:I167</t>
  </si>
  <si>
    <t>SEMANA JANEIRO!B173:I173</t>
  </si>
  <si>
    <t>SEMANA JANEIRO!B174:I174</t>
  </si>
  <si>
    <t>FEVEREIRO</t>
  </si>
  <si>
    <t>SEMANA FEVEREIRO!B5:I5</t>
  </si>
  <si>
    <t>SEMANA FEVEREIRO!B6:I6</t>
  </si>
  <si>
    <t>SEMANA FEVEREIRO!B13:I13</t>
  </si>
  <si>
    <t>SEMANA FEVEREIRO!B21:I21</t>
  </si>
  <si>
    <t>SEMANA FEVEREIRO!B22:I22</t>
  </si>
  <si>
    <t>SEMANA FEVEREIRO!B29:I29</t>
  </si>
  <si>
    <t>SEMANA FEVEREIRO!B30:I30</t>
  </si>
  <si>
    <t>SEMANA FEVEREIRO!B31:I31</t>
  </si>
  <si>
    <t>SEMANA FEVEREIRO!B32:I32</t>
  </si>
  <si>
    <t>SEMANA FEVEREIRO!B48:I48</t>
  </si>
  <si>
    <t>SEMANA FEVEREIRO!B49:I49</t>
  </si>
  <si>
    <t>SEMANA FEVEREIRO!B50:I50</t>
  </si>
  <si>
    <t>SEMANA FEVEREIRO!B57:I57</t>
  </si>
  <si>
    <t>SEMANA FEVEREIRO!B65:I65</t>
  </si>
  <si>
    <t>SEMANA FEVEREIRO!B66:I66</t>
  </si>
  <si>
    <t>SEMANA FEVEREIRO!B73:I73</t>
  </si>
  <si>
    <t>SEMANA FEVEREIRO!B81:I81</t>
  </si>
  <si>
    <t>SEMANA FEVEREIRO!B82:I82</t>
  </si>
  <si>
    <t>SEMANA FEVEREIRO!B83:I83</t>
  </si>
  <si>
    <t>SEMANA FEVEREIRO!B84:I84</t>
  </si>
  <si>
    <t>SEMANA FEVEREIRO!B93:I93</t>
  </si>
  <si>
    <t>SEMANA FEVEREIRO!B94:I94</t>
  </si>
  <si>
    <t>SEMANA FEVEREIRO!B95:I95</t>
  </si>
  <si>
    <t>SEMANA FEVEREIRO!B103:I103</t>
  </si>
  <si>
    <t>SEMANA FEVEREIRO!B104:I104</t>
  </si>
  <si>
    <t>SEMANA FEVEREIRO!B105:I105</t>
  </si>
  <si>
    <t>SEMANA FEVEREIRO!B106:I106</t>
  </si>
  <si>
    <t>SEMANA FEVEREIRO!B113:I113</t>
  </si>
  <si>
    <t>SEMANA FEVEREIRO!B114:I114</t>
  </si>
  <si>
    <t>SEMANA FEVEREIRO!B115:I115</t>
  </si>
  <si>
    <t>SEMANA FEVEREIRO!B122:I122</t>
  </si>
  <si>
    <t>SEMANA FEVEREIRO!B123:I123</t>
  </si>
  <si>
    <t>SEMANA FEVEREIRO!B124:I124</t>
  </si>
  <si>
    <t>SEMANA FEVEREIRO!B130:I130</t>
  </si>
  <si>
    <t>SEMANA FEVEREIRO!B131:I131</t>
  </si>
  <si>
    <t>SEMANA FEVEREIRO!B132:I132</t>
  </si>
  <si>
    <t>SEMANA FEVEREIRO!B139:I139</t>
  </si>
  <si>
    <t>SEMANA FEVEREIRO!B140:I140</t>
  </si>
  <si>
    <t>SEMANA FEVEREIRO!B141:I141</t>
  </si>
  <si>
    <t>SEMANA FEVEREIRO!B142:I142</t>
  </si>
  <si>
    <t>SEMANA FEVEREIRO!B143:I143</t>
  </si>
  <si>
    <t>SEMANA FEVEREIRO!B144:I144</t>
  </si>
  <si>
    <t>SEMANA FEVEREIRO!B151:I151</t>
  </si>
  <si>
    <t>SEMANA FEVEREIRO!B152:I152</t>
  </si>
  <si>
    <t>SEMANA FEVEREIRO!B160:I160</t>
  </si>
  <si>
    <t>SEMANA FEVEREIRO!B161:I161</t>
  </si>
  <si>
    <t>MARÇO</t>
  </si>
  <si>
    <t>SEMANA MARÇO!B4:I4</t>
  </si>
  <si>
    <t>SEMANA MARÇO!B5:I5</t>
  </si>
  <si>
    <t>SEMANA MARÇO!B13:I13</t>
  </si>
  <si>
    <t>SEMANA MARÇO!B14:I14</t>
  </si>
  <si>
    <t>SEMANA MARÇO!B22:I22</t>
  </si>
  <si>
    <t>SEMANA MARÇO!B23:I23</t>
  </si>
  <si>
    <t>SEMANA MARÇO!B24:I24</t>
  </si>
  <si>
    <t>SEMANA MARÇO!B31:I31</t>
  </si>
  <si>
    <t>SEMANA MARÇO!B32:I32</t>
  </si>
  <si>
    <t>SEMANA MARÇO!B33:I33</t>
  </si>
  <si>
    <t>SEMANA MARÇO!B34:I34</t>
  </si>
  <si>
    <t>SEMANA MARÇO!B35:I35</t>
  </si>
  <si>
    <t>SEMANA MARÇO!B40:I40</t>
  </si>
  <si>
    <t>SEMANA MARÇO!B41:I41</t>
  </si>
  <si>
    <t>SEMANA MARÇO!B42:I42</t>
  </si>
  <si>
    <t>SEMANA MARÇO!B43:I43</t>
  </si>
  <si>
    <t>SEMANA MARÇO!B49:I49</t>
  </si>
  <si>
    <t>SEMANA MARÇO!B58:I58</t>
  </si>
  <si>
    <t>SEMANA MARÇO!B59:I59</t>
  </si>
  <si>
    <t>SEMANA MARÇO!B60:I60</t>
  </si>
  <si>
    <t>SEMANA MARÇO!B61:I61</t>
  </si>
  <si>
    <t>SEMANA MARÇO!B67:I67</t>
  </si>
  <si>
    <t>SEMANA MARÇO!B76:I76</t>
  </si>
  <si>
    <t>SEMANA MARÇO!B77:I77</t>
  </si>
  <si>
    <t>SEMANA MARÇO!B85:I85</t>
  </si>
  <si>
    <t>SEMANA MARÇO!B94:I94</t>
  </si>
  <si>
    <t>SEMANA MARÇO!B95:I95</t>
  </si>
  <si>
    <t>SEMANA MARÇO!B103:I103</t>
  </si>
  <si>
    <t>SEMANA MARÇO!B112:I112</t>
  </si>
  <si>
    <t>SEMANA MARÇO!B113:I113</t>
  </si>
  <si>
    <t>SEMANA MARÇO!B121:I121</t>
  </si>
  <si>
    <t>SEMANA MARÇO!B122:I122</t>
  </si>
  <si>
    <t>SEMANA MARÇO!B123:I123</t>
  </si>
  <si>
    <t>SEMANA MARÇO!B124:I124</t>
  </si>
  <si>
    <t>SEMANA MARÇO!B130:I130</t>
  </si>
  <si>
    <t>SEMANA MARÇO!B139:I139</t>
  </si>
  <si>
    <t>SEMANA MARÇO!B140:I140</t>
  </si>
  <si>
    <t>ABRIL</t>
  </si>
  <si>
    <t>SEMANA ABRIL!B4:I4</t>
  </si>
  <si>
    <t>SEMANA ABRIL!B5:I5</t>
  </si>
  <si>
    <t>SEMANA ABRIL!B6:I6</t>
  </si>
  <si>
    <t>SEMANA ABRIL!B7:I7</t>
  </si>
  <si>
    <t>SEMANA ABRIL!B8:I8</t>
  </si>
  <si>
    <t>SEMANA ABRIL!B9:I9</t>
  </si>
  <si>
    <t>SEMANA ABRIL!B10:I10</t>
  </si>
  <si>
    <t>SEMANA ABRIL!B17:I17</t>
  </si>
  <si>
    <t>SEMANA ABRIL!B18:I18</t>
  </si>
  <si>
    <t>SEMANA ABRIL!B26:I26</t>
  </si>
  <si>
    <t>SEMANA ABRIL!B33:I33</t>
  </si>
  <si>
    <t>SEMANA ABRIL!B34:I34</t>
  </si>
  <si>
    <t>SEMANA ABRIL!B35:I35</t>
  </si>
  <si>
    <t>SEMANA ABRIL!B36:I36</t>
  </si>
  <si>
    <t>SEMANA ABRIL!B37:I37</t>
  </si>
  <si>
    <t>SEMANA ABRIL!B38:I38</t>
  </si>
  <si>
    <t>SEMANA ABRIL!B39:I39</t>
  </si>
  <si>
    <t>SEMANA ABRIL!B40:I40</t>
  </si>
  <si>
    <t>SEMANA ABRIL!B45:I45</t>
  </si>
  <si>
    <t>SEMANA ABRIL!B46:I46</t>
  </si>
  <si>
    <t>SEMANA ABRIL!B47:I47</t>
  </si>
  <si>
    <t>SEMANA ABRIL!B48:I48</t>
  </si>
  <si>
    <t>SEMANA ABRIL!B49:I49</t>
  </si>
  <si>
    <t>SEMANA ABRIL!B50:I50</t>
  </si>
  <si>
    <t>SEMANA ABRIL!B55:I55</t>
  </si>
  <si>
    <t>SEMANA ABRIL!B63:I63</t>
  </si>
  <si>
    <t>SEMANA ABRIL!B71:I71</t>
  </si>
  <si>
    <t>SEMANA ABRIL!B79:I79</t>
  </si>
  <si>
    <t>SEMANA ABRIL!B87:I87</t>
  </si>
  <si>
    <t>SEMANA ABRIL!B88:I88</t>
  </si>
  <si>
    <t>SEMANA ABRIL!B95:I95</t>
  </si>
  <si>
    <t>SEMANA ABRIL!B96:I96</t>
  </si>
  <si>
    <t>SEMANA ABRIL!B103:I103</t>
  </si>
  <si>
    <t>SEMANA ABRIL!B104:I104</t>
  </si>
  <si>
    <t>SEMANA ABRIL!B105:I105</t>
  </si>
  <si>
    <t>SEMANA ABRIL!B112:I112</t>
  </si>
  <si>
    <t>SEMANA ABRIL!B119:I119</t>
  </si>
  <si>
    <t>SEMANA ABRIL!B120:I120</t>
  </si>
  <si>
    <t>SEMANA ABRIL!B127:I127</t>
  </si>
  <si>
    <t>SEMANA ABRIL!B128:I128</t>
  </si>
  <si>
    <t>SEMANA ABRIL!B135:I135</t>
  </si>
  <si>
    <t>SEMANA ABRIL!B136:I136</t>
  </si>
  <si>
    <t>SEMANA ABRIL!B143:I143</t>
  </si>
  <si>
    <t>SEMANA ABRIL!B151:I151</t>
  </si>
  <si>
    <t>SEMANA ABRIL!B152:I152</t>
  </si>
  <si>
    <t>SEMANA ABRIL!B160:I160</t>
  </si>
  <si>
    <t>SEMANA ABRIL!B161:I161</t>
  </si>
  <si>
    <t>SEMANA ABRIL!B168:I168</t>
  </si>
  <si>
    <t>SEMANA ABRIL!B176:I176</t>
  </si>
  <si>
    <t>SEMANA ABRIL!B185:I185</t>
  </si>
  <si>
    <t>SEMANA ABRIL!B186:I186</t>
  </si>
  <si>
    <t>SEMANA ABRIL!B192:I192</t>
  </si>
  <si>
    <t>SEMANA ABRIL!B200:I200</t>
  </si>
  <si>
    <t>SEMANA ABRIL!B201:I201</t>
  </si>
  <si>
    <t>MAIO</t>
  </si>
  <si>
    <t>SEMANA MAIO!B4:I4</t>
  </si>
  <si>
    <t>SEMANA MAIO!B5:I5</t>
  </si>
  <si>
    <t>SEMANA MAIO!B6:I6</t>
  </si>
  <si>
    <t>SEMANA MAIO!B13:I13</t>
  </si>
  <si>
    <t>SEMANA MAIO!B14:I14</t>
  </si>
  <si>
    <t>SEMANA MAIO!B21:I21</t>
  </si>
  <si>
    <t>SEMANA MAIO!B29:I29</t>
  </si>
  <si>
    <t>SEMANA MAIO!B30:I30</t>
  </si>
  <si>
    <t>SEMANA MAIO!B31:I31</t>
  </si>
  <si>
    <t>SEMANA MAIO!B32:I32</t>
  </si>
  <si>
    <t>SEMANA MAIO!B33:I33</t>
  </si>
  <si>
    <t>SEMANA MAIO!B38:I38</t>
  </si>
  <si>
    <t>SEMANA MAIO!B39:I39</t>
  </si>
  <si>
    <t>ESPUMA MELANCIA TM</t>
  </si>
  <si>
    <t>SEMANA MAIO!B40:I40</t>
  </si>
  <si>
    <t>SEMANA MAIO!B41:I41</t>
  </si>
  <si>
    <t>SEMANA MAIO!B42:I42</t>
  </si>
  <si>
    <t>SEMANA MAIO!B43:I43</t>
  </si>
  <si>
    <t>SEMANA MAIO!B44:I44</t>
  </si>
  <si>
    <t>SEMANA MAIO!B45:I45</t>
  </si>
  <si>
    <t>SEMANA MAIO!B50:I50</t>
  </si>
  <si>
    <t>SEMANA MAIO!B51:I51</t>
  </si>
  <si>
    <t>SEMANA MAIO!B52:I52</t>
  </si>
  <si>
    <t>SEMANA MAIO!B53:I53</t>
  </si>
  <si>
    <t>SEMANA MAIO!B54:I54</t>
  </si>
  <si>
    <t>SEMANA MAIO!B55:I55</t>
  </si>
  <si>
    <t>SEMANA MAIO!B60:I60</t>
  </si>
  <si>
    <t>SEMANA MAIO!B68:I68</t>
  </si>
  <si>
    <t>SEMANA MAIO!B69:I69</t>
  </si>
  <si>
    <t>SEMANA MAIO!B76:I76</t>
  </si>
  <si>
    <t>SEMANA MAIO!B77:I77</t>
  </si>
  <si>
    <t>SEMANA MAIO!B85:I85</t>
  </si>
  <si>
    <t>SEMANA MAIO!B86:I86</t>
  </si>
  <si>
    <t>SEMANA MAIO!B93:I93</t>
  </si>
  <si>
    <t>SEMANA MAIO!B94:I94</t>
  </si>
  <si>
    <t>SEMANA MAIO!B101:I101</t>
  </si>
  <si>
    <t>SEMANA MAIO!B102:I102</t>
  </si>
  <si>
    <t>SEMANA MAIO!B109:I109</t>
  </si>
  <si>
    <t>SEMANA MAIO!B110:I110</t>
  </si>
  <si>
    <t>SEMANA MAIO!B117:I117</t>
  </si>
  <si>
    <t>SEMANA MAIO!B124:I124</t>
  </si>
  <si>
    <t>SEMANA MAIO!B125:I125</t>
  </si>
  <si>
    <t>SEMANA MAIO!B126:I126</t>
  </si>
  <si>
    <t>SEMANA MAIO!B127:I127</t>
  </si>
  <si>
    <t>SEMANA MAIO!B134:I134</t>
  </si>
  <si>
    <t>SEMANA MAIO!B135:I135</t>
  </si>
  <si>
    <t>SEMANA MAIO!B136:I136</t>
  </si>
  <si>
    <t>SEMANA MAIO!B143:I143</t>
  </si>
  <si>
    <t>SEMANA MAIO!B177:I177</t>
  </si>
  <si>
    <t>SEMANA MAIO!B184:I184</t>
  </si>
  <si>
    <t>RESULTADOS MENSAIS</t>
  </si>
  <si>
    <t>Meta diária atual</t>
  </si>
  <si>
    <t>Total realizado</t>
  </si>
  <si>
    <t>Meta mensal</t>
  </si>
  <si>
    <t>Maior consumo: JAN</t>
  </si>
  <si>
    <t>Dias lançados</t>
  </si>
  <si>
    <t>Status</t>
  </si>
  <si>
    <t>Gás mensal (KG)</t>
  </si>
  <si>
    <t>JUNHO</t>
  </si>
  <si>
    <t>JULHO</t>
  </si>
  <si>
    <t>AGOSTO</t>
  </si>
  <si>
    <t>SETEMBRO</t>
  </si>
  <si>
    <t>OUTUBRO</t>
  </si>
  <si>
    <t>NOVEMBRO</t>
  </si>
  <si>
    <t>DEZEMBRO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</si>
  <si>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</si>
  <si>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</si>
  <si>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</si>
  <si>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</si>
  <si>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</si>
  <si>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</si>
  <si>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</si>
  <si>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</si>
  <si>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</si>
  <si>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</si>
  <si>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</si>
  <si>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</si>
  <si>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Embalagem</t>
  </si>
  <si>
    <t>Caixas por Pallet (PBR)</t>
  </si>
  <si>
    <t>UN por CX</t>
  </si>
  <si>
    <t>Descrição CX</t>
  </si>
  <si>
    <t>70 ml</t>
  </si>
  <si>
    <t>cx c/ 12un</t>
  </si>
  <si>
    <t>GERAL</t>
  </si>
  <si>
    <t>100 ml</t>
  </si>
  <si>
    <t>125 ml</t>
  </si>
  <si>
    <t>ÓLEO DE COCO CARREFOUR</t>
  </si>
  <si>
    <t>180 ml</t>
  </si>
  <si>
    <t>200 ml</t>
  </si>
  <si>
    <t>cx c/ 6un</t>
  </si>
  <si>
    <t>ÓLEO DE COCO SANTO OLEO</t>
  </si>
  <si>
    <t>DOURATTO</t>
  </si>
  <si>
    <t>500 ml</t>
  </si>
  <si>
    <t>TODAS</t>
  </si>
  <si>
    <t>PAINEL EXECUTIVO - PRODUÇÃO 2026</t>
  </si>
  <si>
    <t>Indicador</t>
  </si>
  <si>
    <t>Valor</t>
  </si>
  <si>
    <t>Status Produção</t>
  </si>
  <si>
    <t>Total Produzido</t>
  </si>
  <si>
    <t>Meta (exemplo)</t>
  </si>
  <si>
    <t>Atingimento %</t>
  </si>
  <si>
    <t>Gás total no ano</t>
  </si>
  <si>
    <t>Maior consumo de gás</t>
  </si>
  <si>
    <t>DASHBOARD EXECUTIVO  •  CONTROLE DE PRODUÇÃO E GÁS 2026</t>
  </si>
  <si>
    <t>AIDU.</t>
  </si>
  <si>
    <t>TOTAL REALIZADO</t>
  </si>
  <si>
    <t>META ACOMPANHADA</t>
  </si>
  <si>
    <t>MELHOR DIA (latas)</t>
  </si>
  <si>
    <t>STATUS GERAL</t>
  </si>
  <si>
    <t>PRODUÇÃO MENSAL POR MÊS</t>
  </si>
  <si>
    <t>GRÁFICO — REALIZADO × META</t>
  </si>
  <si>
    <t>MÊS</t>
  </si>
  <si>
    <t>REALIZADO</t>
  </si>
  <si>
    <t>META</t>
  </si>
  <si>
    <t>DIFERENÇA</t>
  </si>
  <si>
    <t>ATING.</t>
  </si>
  <si>
    <t>STATUS</t>
  </si>
  <si>
    <t>MÉDIA/DIA</t>
  </si>
  <si>
    <t>MELHOR DIA</t>
  </si>
  <si>
    <t>DIAS</t>
  </si>
  <si>
    <t>CONTROLE DE GÁS</t>
  </si>
  <si>
    <t>TOTAL GÁS NO ANO</t>
  </si>
  <si>
    <t>MAIOR CONSUMO</t>
  </si>
  <si>
    <t>GÁS MÊS ATUAL</t>
  </si>
  <si>
    <t>LEITURA SIMPLES DO GÁS</t>
  </si>
  <si>
    <t>GÁS MENSAL (KG)</t>
  </si>
  <si>
    <t>% DO ANO</t>
  </si>
  <si>
    <t>LEITURA DO GÁS</t>
  </si>
  <si>
    <t>CONTROLE DE PRODUÇÃO</t>
  </si>
  <si>
    <t>Visão executiva  •  Acompanhamento anual  •  AIDU Indústria</t>
  </si>
  <si>
    <t>ATINGIMENTO</t>
  </si>
  <si>
    <t>latas no ano</t>
  </si>
  <si>
    <t>latas previstas</t>
  </si>
  <si>
    <t>meta x realizado</t>
  </si>
  <si>
    <t>pico do ano</t>
  </si>
  <si>
    <t>— SEÇÃO 01  •  MAPA DA PLANILHA —</t>
  </si>
  <si>
    <t>SEMANA   ▸   Preenchimento diário</t>
  </si>
  <si>
    <t>DASHBOARD   ▸   Visão executiva</t>
  </si>
  <si>
    <t>Lance PRODUTO, EMBALAGEM e CAIXAS. As demais colunas calculam automaticamente.</t>
  </si>
  <si>
    <t>Resumo do ano: produção, meta, atingimento, melhor mês e controle de gás.</t>
  </si>
  <si>
    <t>GRAFICO   ▸   Realizado x Meta</t>
  </si>
  <si>
    <t>INSTRUÇÕES   ▸   Manual de uso</t>
  </si>
  <si>
    <t>Gráfico mensal com curva de produção, meta diária e campo de observações.</t>
  </si>
  <si>
    <t>Regras de preenchimento, legenda, embalagens por pallet e avisos importantes.</t>
  </si>
  <si>
    <t>— SEÇÃO 02  •  RECOMENDAÇÕES DE USO —</t>
  </si>
  <si>
    <t>Lance os itens do dia apenas na área amarela de preenchimento.</t>
  </si>
  <si>
    <t>As linhas TOTAL são automáticas — não inserir, apagar ou alterar.</t>
  </si>
  <si>
    <t>Evite inserir fórmulas nas abas SEMANA fora dos campos estruturados.</t>
  </si>
  <si>
    <t>Para impressão ou apresentação, priorize DASHBOARD, RESUMO_MENSAL e GRAFICO do mês.</t>
  </si>
  <si>
    <t>AIDU INDÚSTRIA  •  Controle de Produção 2026  •  Documento de uso interno</t>
  </si>
  <si>
    <t>AIDU INDÚSTRIA  •  Controle de Produção 2026  •  Manual operacional interno</t>
  </si>
  <si>
    <t>📊  Para apresentação</t>
  </si>
  <si>
    <t>dd/mm/aaaa   (ex: 01/05/2026)</t>
  </si>
  <si>
    <t>📅  Formato de data</t>
  </si>
  <si>
    <t>⚠   REGRAS IMPORTANTES — NÃO IGNORE</t>
  </si>
  <si>
    <t>Atualização</t>
  </si>
  <si>
    <t>Aba RANKING</t>
  </si>
  <si>
    <t>— SEÇÃO 05  •  RANKING DE PRODUTOS —</t>
  </si>
  <si>
    <t>— SEÇÃO 04  •  CAIXAS POR PALLET (PBR) —</t>
  </si>
  <si>
    <t>Demais produtos</t>
  </si>
  <si>
    <t>Produtos com 6 un/cx</t>
  </si>
  <si>
    <t>O que é automático</t>
  </si>
  <si>
    <t>O que preencher</t>
  </si>
  <si>
    <t>— SEÇÃO 03  •  CONTROLE DE GÁS  (aba GÁS) —</t>
  </si>
  <si>
    <t>Sábado não trabalhado</t>
  </si>
  <si>
    <t>Sábado trabalhado</t>
  </si>
  <si>
    <t>Dia sem produção</t>
  </si>
  <si>
    <t>🔒  Automático</t>
  </si>
  <si>
    <t>✅  Preencha apenas</t>
  </si>
  <si>
    <t>— SEÇÃO 02  •  PREENCHIMENTO DIÁRIO  (aba SEMANA) —</t>
  </si>
  <si>
    <t>★ Aba de preenchimento diário. Só mexer aqui.</t>
  </si>
  <si>
    <t>Leia antes de usar  •  Manual operacional da planilha  •  AIDU</t>
  </si>
  <si>
    <t>INSTRUÇÕES DE USO</t>
  </si>
  <si>
    <t>AIDU.  •  Controle de Produção 2026</t>
  </si>
  <si>
    <t>* ADIMIX consolida todas as variações de válvula (Fadeva, Precision, etc.). Demais produtos seguem o nome exato registrado na BASE_DADOS.</t>
  </si>
  <si>
    <t>TOTAL GERAL  (todos os produtos)</t>
  </si>
  <si>
    <t>— TOP 10 PRODUTOS  •  LATAS PRODUZIDAS NO ANO —</t>
  </si>
  <si>
    <t>Acumulado do ano  •  Latas produzidas  •  Variações de válvula consolidadas por produto</t>
  </si>
  <si>
    <t>RANKING DE PRODUÇÃO</t>
  </si>
  <si>
    <t>Mês com maior volume de gás no ano</t>
  </si>
  <si>
    <t>Maior consumo</t>
  </si>
  <si>
    <t>★</t>
  </si>
  <si>
    <t>Percentual do mês sobre o total do ano</t>
  </si>
  <si>
    <t>Participação</t>
  </si>
  <si>
    <t>%</t>
  </si>
  <si>
    <t>Consumo agregado do mês de referência</t>
  </si>
  <si>
    <t>Período</t>
  </si>
  <si>
    <t>Quilogramas de gás consumidos no período</t>
  </si>
  <si>
    <t>Unidade de medida</t>
  </si>
  <si>
    <t>LEGENDA DO GÁS</t>
  </si>
  <si>
    <t>— SEÇÃO 02  •  CONTROLE DE GÁS —</t>
  </si>
  <si>
    <t>DIAS = dias produtivos no mês</t>
  </si>
  <si>
    <t>MELHOR DIA = maior dia do mês</t>
  </si>
  <si>
    <t>MÉDIA/DIA = produção média diária</t>
  </si>
  <si>
    <t>STATUS = ✔ acima / ✘ abaixo</t>
  </si>
  <si>
    <t>ATING. = % da meta atingida</t>
  </si>
  <si>
    <t>DIFERENÇA = realizado − meta</t>
  </si>
  <si>
    <t>META = meta planejada</t>
  </si>
  <si>
    <t>REALIZADO = latas produzidas</t>
  </si>
  <si>
    <t>MÊS = mês de referência</t>
  </si>
  <si>
    <t>LEGENDA — PRODUÇÃO MENSAL</t>
  </si>
  <si>
    <t>Outros</t>
  </si>
  <si>
    <t>Total</t>
  </si>
  <si>
    <t>GAS/LATA (g)</t>
  </si>
  <si>
    <t>Gas/Lata = (Gás KG / Latas) × 1000 = gramas de gás por lata produzida</t>
  </si>
  <si>
    <t>— RANKING POR TAMANHO DE LATA  •  QUEBRA POR VÁLVULA —</t>
  </si>
  <si>
    <t>Mesmos 10 produtos do ranking acima, separados pela válvula (tamanho da lata em ml). Coluna "Outros" agrupa demais tamanhos.</t>
  </si>
  <si>
    <t>172802.0.A</t>
  </si>
  <si>
    <t>Paramos por falta de gás 10:30. Voltamos 11:15.</t>
  </si>
  <si>
    <t>2026/145</t>
  </si>
  <si>
    <t>2026/146</t>
  </si>
  <si>
    <t>2456/2457</t>
  </si>
  <si>
    <t>172848.0.A</t>
  </si>
  <si>
    <t>172915.0.A</t>
  </si>
  <si>
    <t>2458/2459</t>
  </si>
  <si>
    <t>2026/147</t>
  </si>
  <si>
    <t>172942.0.A</t>
  </si>
  <si>
    <t>Rótulo gráfico</t>
  </si>
  <si>
    <t>2460/2461</t>
  </si>
  <si>
    <t>1.000 KG</t>
  </si>
  <si>
    <t>2463/2464/2465</t>
  </si>
  <si>
    <t>173011.0.A</t>
  </si>
  <si>
    <t>2026/148</t>
  </si>
  <si>
    <t>2026/149</t>
  </si>
  <si>
    <t>3.840 LATAS</t>
  </si>
  <si>
    <t>2026/150</t>
  </si>
  <si>
    <t>2467/2469</t>
  </si>
  <si>
    <t>Paramos por falta de energia 08:05. Voltamos 08:35. Paramos 13:00 por falta de lata, voltamos 14:30.</t>
  </si>
  <si>
    <t>QUALICOCO EXTRA VIRGEM</t>
  </si>
  <si>
    <t>COPRA MANTEIGA</t>
  </si>
  <si>
    <t>173093.0.A</t>
  </si>
  <si>
    <t>26010656   93</t>
  </si>
  <si>
    <t>2470/2473</t>
  </si>
  <si>
    <t>Paramos por falta de gás 13:15. Voltamos 14:25.</t>
  </si>
  <si>
    <t>2026/151</t>
  </si>
  <si>
    <t>2026/152</t>
  </si>
  <si>
    <t>2026/153</t>
  </si>
  <si>
    <t>ÓLEO DE COCO MANTEIGA</t>
  </si>
  <si>
    <t>173150.0.A</t>
  </si>
  <si>
    <t>8.000 LATAS</t>
  </si>
  <si>
    <t>2452/(2453 NFe FILIAL)</t>
  </si>
  <si>
    <t>2474/2476/2477</t>
  </si>
  <si>
    <t>Paramos por falta de gás 11:10. Voltamos 11:30. Trocamos 600ml para Coco 100ml.</t>
  </si>
  <si>
    <t>173197.0.A</t>
  </si>
  <si>
    <t>10.000 LATAS</t>
  </si>
  <si>
    <t>Auditoria Fornecedor - WQS. Paramos por falta de encolhível 10:45. Voltamos 11:30.</t>
  </si>
  <si>
    <t>VIA PANE (LATA CHINESA)</t>
  </si>
  <si>
    <t>BONASSE</t>
  </si>
  <si>
    <t xml:space="preserve">TTF </t>
  </si>
  <si>
    <t>2479/2481</t>
  </si>
  <si>
    <t>SEMANA MAIO!B151:I151</t>
  </si>
  <si>
    <t>SEMANA MAIO!B158:I158</t>
  </si>
  <si>
    <t>SEMANA MAIO!B167:I167</t>
  </si>
  <si>
    <t>SEMANA MAIO!B175:I175</t>
  </si>
  <si>
    <t>SEMANA MAIO!B183:I183</t>
  </si>
  <si>
    <t>SEMANA MAIO!B185:I185</t>
  </si>
  <si>
    <t>SEMANA MAIO!B219:I219</t>
  </si>
  <si>
    <t>Corpus Christi - produção normal (acordo coletivo)</t>
  </si>
  <si>
    <t>Folga - acordo coletivo (compensação Corpus Christi)</t>
  </si>
  <si>
    <t>173243.0.A</t>
  </si>
  <si>
    <t>2026/154</t>
  </si>
  <si>
    <t>2026/155</t>
  </si>
  <si>
    <t>2483/2485</t>
  </si>
  <si>
    <t>Sábado - Sem Produção</t>
  </si>
  <si>
    <t>Sábado - Produção Normal</t>
  </si>
  <si>
    <t>173300.0.A</t>
  </si>
  <si>
    <t>2487/2488</t>
  </si>
  <si>
    <t>Paramos para manutenção da máquina de tampa 09:00. Voltamos 10:30.</t>
  </si>
  <si>
    <t>173346.0.A</t>
  </si>
  <si>
    <t>2490/2491</t>
  </si>
  <si>
    <t>Maior consumo (KG)</t>
  </si>
  <si>
    <t>Coluna GÁS MENSAL: célula em vermelho marca o mês de maior consumo do ano</t>
  </si>
  <si>
    <t>Menor consumo (KG)</t>
  </si>
  <si>
    <t>Coluna GÁS MENSAL: célula em verde marca o mês de menor consumo do ano (&gt; 0)</t>
  </si>
  <si>
    <t>Ineficiente (&gt;90g/lata)</t>
  </si>
  <si>
    <t>Coluna GAS/LATA: vermelho quando o consumo por lata ultrapassa 90 gramas</t>
  </si>
  <si>
    <t>Eficiente (≤80g/lata)</t>
  </si>
  <si>
    <t>Coluna GAS/LATA: verde quando o consumo por lata é igual ou menor que 80 gramas</t>
  </si>
  <si>
    <t>●</t>
  </si>
  <si>
    <t>■</t>
  </si>
  <si>
    <t>Barra de proporção</t>
  </si>
  <si>
    <t>Colunas % DO ANO e GAS/LATA exibem barras proporcionais entre os meses para comparação visual</t>
  </si>
  <si>
    <t>173414.0.A</t>
  </si>
  <si>
    <t>Paramos por falta de gás 14:10. Voltamos 16:00.</t>
  </si>
  <si>
    <t>2493/2494/2497/2498</t>
  </si>
  <si>
    <t>2026/156</t>
  </si>
  <si>
    <t>2026/157</t>
  </si>
  <si>
    <t>43.320 LATAS</t>
  </si>
  <si>
    <t>173452.0.A</t>
  </si>
  <si>
    <t>APELIDO (digite na SEMANA)</t>
  </si>
  <si>
    <t>CONSOLIDA COMO</t>
  </si>
  <si>
    <t>SEMANA JUNHO!B4:I4</t>
  </si>
  <si>
    <t>SEMANA JUNHO!B12:I12</t>
  </si>
  <si>
    <t>SEMANA JUNHO!B20:I20</t>
  </si>
  <si>
    <t xml:space="preserve">    » DESTAK</t>
  </si>
  <si>
    <t xml:space="preserve">    » NORCAU</t>
  </si>
  <si>
    <t>📖 Como ler esta tabela</t>
  </si>
  <si>
    <t>• Tabela mostra total de latas produzidas no ano por produto, separado por embalagem (180ml, 400ml, 600ml, Outros).</t>
  </si>
  <si>
    <t>• PURATOS é uma empresa com 2 produtos: DESTAK e NORCAU — exibidos em sub-linhas indentadas (» azul = DESTAK, » laranja = NORCAU).</t>
  </si>
  <si>
    <t>🥇 1º</t>
  </si>
  <si>
    <t>🥈 2º</t>
  </si>
  <si>
    <t>🥉 3º</t>
  </si>
  <si>
    <t>4º</t>
  </si>
  <si>
    <t>5º</t>
  </si>
  <si>
    <t>6º</t>
  </si>
  <si>
    <t>7º</t>
  </si>
  <si>
    <t>8º</t>
  </si>
  <si>
    <t>9º</t>
  </si>
  <si>
    <t>10º</t>
  </si>
  <si>
    <t>• Cores: 🥇 ouro = 1º, 🥈 prata = 2º, 🥉 bronze = 3º. Demais produtos em ordem decrescente.</t>
  </si>
  <si>
    <t>2500/2502</t>
  </si>
  <si>
    <t>Paramos por falta de gás 15:45. Voltamos 16:00.</t>
  </si>
  <si>
    <t>173519.0.A</t>
  </si>
  <si>
    <t>2026/158</t>
  </si>
  <si>
    <t>2026/159</t>
  </si>
  <si>
    <t>2.340 LATAS</t>
  </si>
  <si>
    <t>5.700 LATAS</t>
  </si>
  <si>
    <t>2026/160</t>
  </si>
  <si>
    <t>TTF 600ML</t>
  </si>
  <si>
    <t>36.000 LATAS</t>
  </si>
  <si>
    <t>2503/2504/2505</t>
  </si>
  <si>
    <t>2026/161</t>
  </si>
  <si>
    <t>ICE ICEBERG</t>
  </si>
  <si>
    <t>173586.0.A</t>
  </si>
  <si>
    <t>— SEÇÃO 03  •  NOSSAS LATAS —</t>
  </si>
  <si>
    <t>Linha de embalagens — desmoldantes, óleo de coco e douradores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</si>
</sst>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%"/>
    <numFmt numFmtId="165" formatCode="m/d/yyyy"/>
    <numFmt numFmtId="166" formatCode="[$-F800]dddd&quot;, &quot;mmmm\ dd&quot;, &quot;yyyy"/>
    <numFmt numFmtId="167" formatCode="[$-416]dddd&quot;, &quot;dd/mm/yyyy"/>
    <numFmt numFmtId="168" formatCode="0&quot; ml&quot;"/>
    <numFmt numFmtId="169" formatCode="0.0&quot; h&quot;"/>
    <numFmt numFmtId="170" formatCode="h:mm"/>
    <numFmt numFmtId="171" formatCode="_-&quot;R$ &quot;* #,##0.00_-;&quot;-R$ &quot;* #,##0.00_-;_-&quot;R$ &quot;* \-??_-;_-@_-"/>
    <numFmt numFmtId="172" formatCode="&quot;R$ &quot;#,##0.00"/>
    <numFmt numFmtId="173" formatCode="#,##0.0"/>
    <numFmt numFmtId="174" formatCode="#,##0.00&quot; KG&quot;"/>
    <numFmt numFmtId="175" formatCode="0.0"/>
    <numFmt numFmtId="176" formatCode="#,##0;;\-"/>
  </numFmts>
  <fonts count="113" x14ac:knownFonts="1">
    <font>
      <sz val="11"/>
      <color theme="1"/>
      <name val="Calibri"/>
      <charset val="1"/>
    </font>
    <font>
      <sz val="10"/>
      <name val="Arial"/>
      <family val="2"/>
    </font>
    <font>
      <sz val="11"/>
      <color theme="1"/>
      <name val="Calibri"/>
      <family val="2"/>
      <charset val="1"/>
    </font>
    <font>
      <b/>
      <sz val="11"/>
      <color rgb="FFFFFFFF"/>
      <name val="Calibri"/>
      <family val="2"/>
    </font>
    <font>
      <sz val="10"/>
      <color rgb="FF333333"/>
      <name val="Calibri"/>
      <family val="2"/>
    </font>
    <font>
      <b/>
      <sz val="11"/>
      <color rgb="FFFFFFFF"/>
      <name val="Calibri"/>
      <family val="2"/>
      <charset val="1"/>
    </font>
    <font>
      <b/>
      <sz val="11"/>
      <color rgb="FF2F3A4A"/>
      <name val="Calibri"/>
      <family val="2"/>
      <charset val="1"/>
    </font>
    <font>
      <sz val="14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rgb="FF2B2B2B"/>
      <name val="Calibri"/>
      <family val="2"/>
      <charset val="1"/>
    </font>
    <font>
      <b/>
      <sz val="22"/>
      <color theme="1"/>
      <name val="Arial"/>
      <family val="2"/>
      <charset val="1"/>
    </font>
    <font>
      <b/>
      <sz val="12"/>
      <color rgb="FFFFFFFF"/>
      <name val="Cambria"/>
      <family val="1"/>
      <charset val="1"/>
    </font>
    <font>
      <i/>
      <sz val="9"/>
      <color rgb="FF475569"/>
      <name val="Cambria"/>
      <family val="1"/>
      <charset val="1"/>
    </font>
    <font>
      <i/>
      <sz val="9"/>
      <color rgb="FF666666"/>
      <name val="Cambria"/>
      <family val="1"/>
      <charset val="1"/>
    </font>
    <font>
      <b/>
      <sz val="10"/>
      <color rgb="FFFFFFFF"/>
      <name val="Cambria"/>
      <family val="1"/>
      <charset val="1"/>
    </font>
    <font>
      <sz val="11"/>
      <color rgb="FFFF0000"/>
      <name val="Calibri"/>
      <family val="2"/>
      <charset val="1"/>
    </font>
    <font>
      <sz val="16"/>
      <color theme="1"/>
      <name val="Calibri"/>
      <family val="2"/>
      <charset val="1"/>
    </font>
    <font>
      <b/>
      <sz val="11"/>
      <color theme="0"/>
      <name val="Cambria"/>
      <family val="1"/>
      <charset val="1"/>
    </font>
    <font>
      <b/>
      <sz val="15"/>
      <color theme="0"/>
      <name val="Calibri"/>
      <family val="2"/>
      <charset val="1"/>
    </font>
    <font>
      <b/>
      <sz val="11"/>
      <color rgb="FFFFFFFF"/>
      <name val="Cambria"/>
      <family val="1"/>
      <charset val="1"/>
    </font>
    <font>
      <b/>
      <sz val="11"/>
      <color theme="0"/>
      <name val="Calibri"/>
      <family val="2"/>
      <charset val="1"/>
    </font>
    <font>
      <b/>
      <sz val="11"/>
      <name val="Cambria"/>
      <family val="1"/>
      <charset val="1"/>
    </font>
    <font>
      <b/>
      <sz val="11"/>
      <color rgb="FF006100"/>
      <name val="Calibri"/>
      <family val="2"/>
      <charset val="1"/>
    </font>
    <font>
      <b/>
      <sz val="11"/>
      <color rgb="FF9C0006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7F7F7F"/>
      <name val="Calibri"/>
      <family val="2"/>
      <charset val="1"/>
    </font>
    <font>
      <sz val="10"/>
      <color rgb="FF2B2B2B"/>
      <name val="Calibri"/>
      <family val="2"/>
      <charset val="1"/>
    </font>
    <font>
      <sz val="12"/>
      <color theme="1"/>
      <name val="Calibri"/>
      <family val="2"/>
      <charset val="1"/>
    </font>
    <font>
      <b/>
      <sz val="11"/>
      <color rgb="FF2B2B2B"/>
      <name val="Calibri"/>
      <family val="2"/>
      <charset val="1"/>
    </font>
    <font>
      <b/>
      <sz val="16"/>
      <color rgb="FF2B2B2B"/>
      <name val="Arial"/>
      <family val="2"/>
      <charset val="1"/>
    </font>
    <font>
      <b/>
      <sz val="16"/>
      <color theme="1"/>
      <name val="Arial"/>
      <family val="2"/>
      <charset val="1"/>
    </font>
    <font>
      <b/>
      <sz val="11"/>
      <name val="Calibri"/>
      <family val="2"/>
      <charset val="1"/>
    </font>
    <font>
      <b/>
      <sz val="12"/>
      <color rgb="FFFFFFFF"/>
      <name val="Arial"/>
      <family val="2"/>
      <charset val="1"/>
    </font>
    <font>
      <b/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20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sz val="11"/>
      <color theme="0"/>
      <name val="Calibri"/>
      <family val="2"/>
      <charset val="1"/>
    </font>
    <font>
      <sz val="11"/>
      <color theme="4"/>
      <name val="Calibri"/>
      <family val="2"/>
      <charset val="1"/>
    </font>
    <font>
      <b/>
      <sz val="18"/>
      <color theme="1"/>
      <name val="Arial"/>
      <family val="2"/>
      <charset val="1"/>
    </font>
    <font>
      <b/>
      <sz val="11"/>
      <color theme="1"/>
      <name val="Arial"/>
      <family val="2"/>
      <charset val="1"/>
    </font>
    <font>
      <b/>
      <sz val="10"/>
      <color theme="0"/>
      <name val="Calibri"/>
      <family val="2"/>
      <charset val="1"/>
    </font>
    <font>
      <b/>
      <sz val="10"/>
      <color rgb="FF2B2B2B"/>
      <name val="Calibri"/>
      <family val="2"/>
      <charset val="1"/>
    </font>
    <font>
      <b/>
      <sz val="14"/>
      <color rgb="FFFFFFFF"/>
      <name val="Calibri"/>
      <family val="2"/>
      <charset val="1"/>
    </font>
    <font>
      <sz val="11"/>
      <color rgb="FF2F3A4A"/>
      <name val="Calibri"/>
      <family val="2"/>
      <charset val="1"/>
    </font>
    <font>
      <b/>
      <sz val="16"/>
      <color theme="0"/>
      <name val="Calibri"/>
      <family val="2"/>
      <charset val="1"/>
    </font>
    <font>
      <sz val="11"/>
      <name val="Cambria"/>
      <family val="1"/>
      <charset val="1"/>
    </font>
    <font>
      <b/>
      <sz val="9"/>
      <color rgb="FFFFFFFF"/>
      <name val="Calibri"/>
      <family val="2"/>
    </font>
    <font>
      <sz val="9"/>
      <color rgb="FF1A2B3C"/>
      <name val="Calibri"/>
      <family val="2"/>
    </font>
    <font>
      <sz val="11"/>
      <color theme="1"/>
      <name val="Calibri"/>
      <family val="2"/>
    </font>
    <font>
      <b/>
      <sz val="22"/>
      <color rgb="FFFFFFFF"/>
      <name val="Calibri"/>
      <family val="2"/>
    </font>
    <font>
      <b/>
      <sz val="22"/>
      <color rgb="FFE8A020"/>
      <name val="Calibri"/>
      <family val="2"/>
    </font>
    <font>
      <i/>
      <sz val="10"/>
      <color rgb="FFC8D0DA"/>
      <name val="Calibri"/>
      <family val="2"/>
    </font>
    <font>
      <b/>
      <sz val="9"/>
      <color rgb="FFE8A020"/>
      <name val="Calibri"/>
      <family val="2"/>
    </font>
    <font>
      <b/>
      <sz val="9"/>
      <color rgb="FF1A2B3C"/>
      <name val="Calibri"/>
      <family val="2"/>
    </font>
    <font>
      <b/>
      <sz val="22"/>
      <color rgb="FF1A2B3C"/>
      <name val="Calibri"/>
      <family val="2"/>
    </font>
    <font>
      <i/>
      <sz val="9"/>
      <color rgb="FF6B7280"/>
      <name val="Calibri"/>
      <family val="2"/>
    </font>
    <font>
      <i/>
      <sz val="9"/>
      <color rgb="FF8C6010"/>
      <name val="Calibri"/>
      <family val="2"/>
    </font>
    <font>
      <b/>
      <sz val="8"/>
      <color rgb="FFE8A020"/>
      <name val="Calibri"/>
      <family val="2"/>
    </font>
    <font>
      <b/>
      <sz val="12"/>
      <color rgb="FFE8A020"/>
      <name val="Calibri"/>
      <family val="2"/>
    </font>
    <font>
      <i/>
      <sz val="9"/>
      <color rgb="FF8FA0B5"/>
      <name val="Calibri"/>
      <family val="2"/>
    </font>
    <font>
      <b/>
      <sz val="10"/>
      <color rgb="FF1A2B3C"/>
      <name val="Calibri"/>
      <family val="2"/>
    </font>
    <font>
      <i/>
      <sz val="10"/>
      <color rgb="FF7A0014"/>
      <name val="Calibri"/>
      <family val="2"/>
    </font>
    <font>
      <b/>
      <sz val="10"/>
      <color rgb="FFB00020"/>
      <name val="Calibri"/>
      <family val="2"/>
    </font>
    <font>
      <sz val="10"/>
      <color rgb="FF8C6010"/>
      <name val="Calibri"/>
      <family val="2"/>
    </font>
    <font>
      <b/>
      <sz val="10"/>
      <color rgb="FF8C6010"/>
      <name val="Calibri"/>
      <family val="2"/>
    </font>
    <font>
      <b/>
      <sz val="8.1"/>
      <color rgb="FFE8A020"/>
      <name val="Calibri"/>
      <family val="2"/>
    </font>
    <font>
      <i/>
      <sz val="7.65"/>
      <color rgb="FF7A8694"/>
      <name val="Calibri"/>
      <family val="2"/>
    </font>
    <font>
      <b/>
      <sz val="9.9"/>
      <color rgb="FF1A2B3C"/>
      <name val="Calibri"/>
      <family val="2"/>
    </font>
    <font>
      <b/>
      <sz val="10.8"/>
      <color rgb="FF1A2B3C"/>
      <name val="Calibri"/>
      <family val="2"/>
    </font>
    <font>
      <b/>
      <sz val="9.9"/>
      <color rgb="FFFFFFFF"/>
      <name val="Calibri"/>
      <family val="2"/>
    </font>
    <font>
      <i/>
      <sz val="9"/>
      <color rgb="FFC9D1DA"/>
      <name val="Calibri"/>
      <family val="2"/>
    </font>
    <font>
      <b/>
      <sz val="14.6"/>
      <color rgb="FFE8A020"/>
      <name val="Calibri"/>
      <family val="2"/>
    </font>
    <font>
      <b/>
      <sz val="16.2"/>
      <color rgb="FFFFFFFF"/>
      <name val="Calibri"/>
      <family val="2"/>
    </font>
    <font>
      <sz val="9.9"/>
      <color theme="1"/>
      <name val="Calibri"/>
      <family val="2"/>
    </font>
    <font>
      <i/>
      <sz val="8.1"/>
      <color rgb="FF2F3A4A"/>
      <name val="Calibri"/>
      <family val="2"/>
    </font>
    <font>
      <b/>
      <sz val="8.1"/>
      <color rgb="FF1A2B3C"/>
      <name val="Calibri"/>
      <family val="2"/>
    </font>
    <font>
      <sz val="8.1"/>
      <color rgb="FF1A2B3C"/>
      <name val="Calibri"/>
      <family val="2"/>
    </font>
    <font>
      <i/>
      <sz val="9"/>
      <color rgb="FF2F3A4A"/>
      <name val="Calibri"/>
      <family val="2"/>
    </font>
    <font>
      <b/>
      <sz val="8.1"/>
      <color rgb="FFFFFFFF"/>
      <name val="Calibri"/>
      <family val="2"/>
    </font>
    <font>
      <b/>
      <sz val="7.2"/>
      <color rgb="FFFFFFFF"/>
      <name val="Calibri"/>
      <family val="2"/>
    </font>
    <font>
      <i/>
      <sz val="7"/>
      <color rgb="FF2F3A4A"/>
      <name val="Calibri"/>
      <family val="2"/>
    </font>
    <font>
      <b/>
      <sz val="11.7"/>
      <color rgb="FF1A2B3C"/>
      <name val="Calibri"/>
      <family val="2"/>
    </font>
    <font>
      <b/>
      <sz val="11.7"/>
      <color rgb="FFFFFFFF"/>
      <name val="Calibri"/>
      <family val="2"/>
    </font>
    <font>
      <b/>
      <sz val="16.2"/>
      <color rgb="FFE8A020"/>
      <name val="Calibri"/>
      <family val="2"/>
    </font>
    <font>
      <b/>
      <sz val="11"/>
      <color theme="0"/>
      <name val="Calibri"/>
      <family val="2"/>
    </font>
    <font>
      <b/>
      <sz val="9.9"/>
      <color theme="1"/>
      <name val="Calibri"/>
      <family val="2"/>
    </font>
    <font>
      <b/>
      <sz val="10"/>
      <color rgb="FFFFFFFF"/>
      <name val="Calibri"/>
      <family val="2"/>
    </font>
    <font>
      <sz val="9"/>
      <color rgb="FF2B2B2B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8"/>
      <name val="Calibri"/>
      <family val="2"/>
    </font>
    <font>
      <b/>
      <sz val="11"/>
      <color rgb="FF000000"/>
      <name val="Calibri"/>
      <family val="2"/>
      <charset val="1"/>
    </font>
    <font>
      <b/>
      <sz val="9.9"/>
      <color rgb="FF9C0006"/>
      <name val="Calibri"/>
      <family val="2"/>
    </font>
    <font>
      <b/>
      <sz val="9.9"/>
      <color rgb="FF006100"/>
      <name val="Calibri"/>
      <family val="2"/>
    </font>
    <font>
      <sz val="9.9"/>
      <color rgb="FF000000"/>
      <name val="Calibri"/>
      <family val="2"/>
    </font>
    <font>
      <b/>
      <sz val="9.9"/>
      <color rgb="FFF4A261"/>
      <name val="Calibri"/>
      <family val="2"/>
    </font>
    <font>
      <b/>
      <sz val="8.1"/>
      <color rgb="FF1A2B3C"/>
      <name val="Calibri"/>
      <family val="2"/>
    </font>
    <font>
      <sz val="9.9"/>
      <color rgb="FF000000"/>
      <name val="Calibri"/>
      <family val="2"/>
    </font>
    <font>
      <sz val="8.1"/>
      <color rgb="FF1A2B3C"/>
      <name val="Calibri"/>
      <family val="2"/>
    </font>
    <font>
      <i/>
      <sz val="8.1"/>
      <color rgb="FF1A2B3C"/>
      <name val="Calibri"/>
      <family val="2"/>
    </font>
    <font>
      <b/>
      <sz val="18"/>
      <color theme="1"/>
      <name val="Calibri"/>
      <family val="2"/>
    </font>
    <font>
      <b/>
      <sz val="18"/>
      <color theme="1"/>
      <name val="Calibri"/>
      <family val="2"/>
      <charset val="1"/>
    </font>
    <font>
      <sz val="10"/>
      <color theme="1"/>
      <name val="Calibri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i/>
      <sz val="9"/>
      <color rgb="FF1E3A8A"/>
      <name val="Calibri"/>
      <family val="2"/>
    </font>
    <font>
      <b/>
      <i/>
      <sz val="9"/>
      <color rgb="FF7C2D12"/>
      <name val="Calibri"/>
      <family val="2"/>
    </font>
    <font>
      <b/>
      <sz val="12"/>
      <color theme="1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2F3A4A"/>
        <bgColor rgb="FF2F3843"/>
      </patternFill>
    </fill>
    <fill>
      <patternFill patternType="solid">
        <fgColor rgb="FFF7F3EE"/>
        <bgColor rgb="FFF6F1F8"/>
      </patternFill>
    </fill>
    <fill>
      <patternFill patternType="solid">
        <fgColor rgb="FFC65911"/>
        <bgColor rgb="FFC55A11"/>
      </patternFill>
    </fill>
    <fill>
      <patternFill patternType="solid">
        <fgColor rgb="FF2F3843"/>
        <bgColor rgb="FF2F3A4A"/>
      </patternFill>
    </fill>
    <fill>
      <patternFill patternType="solid">
        <fgColor rgb="FFC96B0A"/>
        <bgColor rgb="FFC55A11"/>
      </patternFill>
    </fill>
    <fill>
      <patternFill patternType="solid">
        <fgColor rgb="FFFFF7E8"/>
        <bgColor rgb="FFFBF7ED"/>
      </patternFill>
    </fill>
    <fill>
      <patternFill patternType="solid">
        <fgColor rgb="FF8C4B09"/>
        <bgColor rgb="FF843C0B"/>
      </patternFill>
    </fill>
    <fill>
      <patternFill patternType="solid">
        <fgColor rgb="FFFFFFFF"/>
        <bgColor rgb="FFF8FAFC"/>
      </patternFill>
    </fill>
    <fill>
      <patternFill patternType="solid">
        <fgColor rgb="FFFBF7ED"/>
        <bgColor rgb="FFFFF7E8"/>
      </patternFill>
    </fill>
    <fill>
      <patternFill patternType="solid">
        <fgColor rgb="FF92D050"/>
        <bgColor rgb="FFC9B08A"/>
      </patternFill>
    </fill>
    <fill>
      <patternFill patternType="solid">
        <fgColor rgb="FFF5E5BF"/>
        <bgColor rgb="FFFFF2CC"/>
      </patternFill>
    </fill>
    <fill>
      <patternFill patternType="darkGray">
        <fgColor rgb="FFFEAB01"/>
        <bgColor rgb="FFFFD700"/>
      </patternFill>
    </fill>
    <fill>
      <patternFill patternType="solid">
        <fgColor rgb="FFFF0000"/>
        <bgColor rgb="FFDF3026"/>
      </patternFill>
    </fill>
    <fill>
      <patternFill patternType="solid">
        <fgColor rgb="FFFFFF00"/>
        <bgColor rgb="FFFFD700"/>
      </patternFill>
    </fill>
    <fill>
      <patternFill patternType="solid">
        <fgColor theme="5" tint="-0.499984740745262"/>
        <bgColor rgb="FF8C4B09"/>
      </patternFill>
    </fill>
    <fill>
      <patternFill patternType="solid">
        <fgColor rgb="FFF8FAFC"/>
        <bgColor rgb="FFF4F6F8"/>
      </patternFill>
    </fill>
    <fill>
      <patternFill patternType="solid">
        <fgColor theme="5" tint="-0.249977111117893"/>
        <bgColor rgb="FFC65911"/>
      </patternFill>
    </fill>
    <fill>
      <patternFill patternType="solid">
        <fgColor theme="7" tint="0.59959715567491678"/>
        <bgColor rgb="FFF5E5BF"/>
      </patternFill>
    </fill>
    <fill>
      <patternFill patternType="solid">
        <fgColor rgb="FFE5ECE8"/>
        <bgColor rgb="FFE7E6EA"/>
      </patternFill>
    </fill>
    <fill>
      <patternFill patternType="solid">
        <fgColor theme="7" tint="0.79979857783745845"/>
        <bgColor rgb="FFFFF7E8"/>
      </patternFill>
    </fill>
    <fill>
      <patternFill patternType="solid">
        <fgColor rgb="FFE7E6EA"/>
        <bgColor rgb="FFE5ECE8"/>
      </patternFill>
    </fill>
    <fill>
      <patternFill patternType="solid">
        <fgColor theme="8" tint="0.39899899288918728"/>
        <bgColor rgb="FFC0C3C3"/>
      </patternFill>
    </fill>
    <fill>
      <patternFill patternType="solid">
        <fgColor rgb="FF1A2B3C"/>
        <bgColor rgb="FF2B2B2B"/>
      </patternFill>
    </fill>
    <fill>
      <patternFill patternType="solid">
        <fgColor rgb="FFF4F6F8"/>
        <bgColor rgb="FFF6F1F8"/>
      </patternFill>
    </fill>
    <fill>
      <patternFill patternType="solid">
        <fgColor rgb="FFEDF2F7"/>
        <bgColor rgb="FFF4F6F8"/>
      </patternFill>
    </fill>
    <fill>
      <patternFill patternType="darkGray">
        <fgColor rgb="FFFEEEEA"/>
        <bgColor rgb="FFFFF7E8"/>
      </patternFill>
    </fill>
    <fill>
      <patternFill patternType="solid">
        <fgColor rgb="FF1A2B3C"/>
        <bgColor indexed="64"/>
      </patternFill>
    </fill>
    <fill>
      <patternFill patternType="solid">
        <fgColor rgb="FFE8A02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FF7E8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EEEE"/>
        <bgColor indexed="64"/>
      </patternFill>
    </fill>
    <fill>
      <patternFill patternType="solid">
        <fgColor rgb="FFB00020"/>
        <bgColor indexed="64"/>
      </patternFill>
    </fill>
    <fill>
      <patternFill patternType="solid">
        <fgColor rgb="FFF1F4F8"/>
        <bgColor indexed="64"/>
      </patternFill>
    </fill>
    <fill>
      <patternFill patternType="solid">
        <fgColor rgb="FFCD7F32"/>
        <bgColor indexed="64"/>
      </patternFill>
    </fill>
    <fill>
      <patternFill patternType="solid">
        <fgColor rgb="FFC0C3C3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2F3A4A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theme="0"/>
        <bgColor rgb="FFFFD7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92D050"/>
        <bgColor rgb="FFFFF7E8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2CC"/>
      </patternFill>
    </fill>
    <fill>
      <patternFill patternType="solid">
        <fgColor theme="0"/>
        <bgColor rgb="FFFFF2CC"/>
      </patternFill>
    </fill>
    <fill>
      <patternFill patternType="solid">
        <fgColor rgb="FF92D050"/>
        <bgColor rgb="FFF8FAFC"/>
      </patternFill>
    </fill>
    <fill>
      <patternFill patternType="solid">
        <fgColor rgb="FFFFFF00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D7AA"/>
        <bgColor indexed="64"/>
      </patternFill>
    </fill>
  </fills>
  <borders count="1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89F65"/>
      </left>
      <right style="thin">
        <color rgb="FFC89F65"/>
      </right>
      <top style="thin">
        <color rgb="FFC89F65"/>
      </top>
      <bottom style="thin">
        <color rgb="FFC89F6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9B08A"/>
      </left>
      <right style="thin">
        <color rgb="FFC9B08A"/>
      </right>
      <top style="thin">
        <color rgb="FFC9B08A"/>
      </top>
      <bottom/>
      <diagonal/>
    </border>
    <border>
      <left style="thin">
        <color auto="1"/>
      </left>
      <right style="thin">
        <color rgb="FFDAD8D8"/>
      </right>
      <top style="thin">
        <color auto="1"/>
      </top>
      <bottom style="thin">
        <color rgb="FFDAD8D8"/>
      </bottom>
      <diagonal/>
    </border>
    <border>
      <left style="thin">
        <color rgb="FFDAD8D8"/>
      </left>
      <right style="thin">
        <color rgb="FFDAD8D8"/>
      </right>
      <top style="thin">
        <color auto="1"/>
      </top>
      <bottom style="thin">
        <color rgb="FFDAD8D8"/>
      </bottom>
      <diagonal/>
    </border>
    <border>
      <left style="thin">
        <color rgb="FFDAD8D8"/>
      </left>
      <right style="thin">
        <color auto="1"/>
      </right>
      <top style="thin">
        <color auto="1"/>
      </top>
      <bottom style="thin">
        <color rgb="FFDAD8D8"/>
      </bottom>
      <diagonal/>
    </border>
    <border>
      <left style="thin">
        <color rgb="FFDAD8D8"/>
      </left>
      <right style="thin">
        <color rgb="FFDAD8D8"/>
      </right>
      <top style="thin">
        <color rgb="FFDAD8D8"/>
      </top>
      <bottom style="thin">
        <color rgb="FFDAD8D8"/>
      </bottom>
      <diagonal/>
    </border>
    <border>
      <left style="thin">
        <color rgb="FFDAD8D8"/>
      </left>
      <right style="thin">
        <color auto="1"/>
      </right>
      <top style="thin">
        <color rgb="FFDAD8D8"/>
      </top>
      <bottom style="thin">
        <color rgb="FFDAD8D8"/>
      </bottom>
      <diagonal/>
    </border>
    <border>
      <left style="thin">
        <color auto="1"/>
      </left>
      <right style="thin">
        <color rgb="FFDAD8D8"/>
      </right>
      <top style="thin">
        <color rgb="FFDAD8D8"/>
      </top>
      <bottom style="thin">
        <color rgb="FFDAD8D8"/>
      </bottom>
      <diagonal/>
    </border>
    <border>
      <left style="thin">
        <color auto="1"/>
      </left>
      <right style="thin">
        <color rgb="FFDAD8D8"/>
      </right>
      <top style="thin">
        <color rgb="FFDAD8D8"/>
      </top>
      <bottom style="thin">
        <color auto="1"/>
      </bottom>
      <diagonal/>
    </border>
    <border>
      <left style="thin">
        <color rgb="FFDAD8D8"/>
      </left>
      <right style="thin">
        <color rgb="FFDAD8D8"/>
      </right>
      <top style="thin">
        <color rgb="FFDAD8D8"/>
      </top>
      <bottom style="thin">
        <color auto="1"/>
      </bottom>
      <diagonal/>
    </border>
    <border>
      <left style="thin">
        <color rgb="FFDAD8D8"/>
      </left>
      <right style="thin">
        <color auto="1"/>
      </right>
      <top style="thin">
        <color rgb="FFDAD8D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D0D5DD"/>
      </bottom>
      <diagonal/>
    </border>
    <border>
      <left/>
      <right/>
      <top style="thin">
        <color auto="1"/>
      </top>
      <bottom style="thin">
        <color rgb="FFD0D5DD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rgb="FFD0D5DD"/>
      </bottom>
      <diagonal/>
    </border>
    <border>
      <left/>
      <right/>
      <top/>
      <bottom style="thin">
        <color rgb="FFD0D5DD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rgb="FF7A8468"/>
      </top>
      <bottom style="thin">
        <color auto="1"/>
      </bottom>
      <diagonal/>
    </border>
    <border>
      <left/>
      <right/>
      <top style="thin">
        <color rgb="FF7A8468"/>
      </top>
      <bottom style="thin">
        <color auto="1"/>
      </bottom>
      <diagonal/>
    </border>
    <border>
      <left/>
      <right style="thin">
        <color auto="1"/>
      </right>
      <top style="thin">
        <color rgb="FF7A8468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rgb="FF7A8468"/>
      </top>
      <bottom/>
      <diagonal/>
    </border>
    <border>
      <left/>
      <right/>
      <top style="thin">
        <color rgb="FF7A8468"/>
      </top>
      <bottom/>
      <diagonal/>
    </border>
    <border>
      <left/>
      <right style="thin">
        <color auto="1"/>
      </right>
      <top style="thin">
        <color rgb="FF7A846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D0D5DD"/>
      </bottom>
      <diagonal/>
    </border>
    <border>
      <left style="thin">
        <color auto="1"/>
      </left>
      <right style="thin">
        <color auto="1"/>
      </right>
      <top style="thin">
        <color rgb="FFD0D5DD"/>
      </top>
      <bottom style="thin">
        <color auto="1"/>
      </bottom>
      <diagonal/>
    </border>
    <border>
      <left style="thin">
        <color auto="1"/>
      </left>
      <right/>
      <top style="thin">
        <color rgb="FFD0D5DD"/>
      </top>
      <bottom style="thin">
        <color auto="1"/>
      </bottom>
      <diagonal/>
    </border>
    <border>
      <left style="thin">
        <color auto="1"/>
      </left>
      <right style="thin">
        <color rgb="FFDAD8D8"/>
      </right>
      <top/>
      <bottom style="thin">
        <color rgb="FFDAD8D8"/>
      </bottom>
      <diagonal/>
    </border>
    <border>
      <left style="thin">
        <color rgb="FFDAD8D8"/>
      </left>
      <right style="thin">
        <color auto="1"/>
      </right>
      <top/>
      <bottom style="thin">
        <color rgb="FFDAD8D8"/>
      </bottom>
      <diagonal/>
    </border>
    <border>
      <left style="thin">
        <color auto="1"/>
      </left>
      <right style="thin">
        <color rgb="FFD0D5DD"/>
      </right>
      <top style="thin">
        <color auto="1"/>
      </top>
      <bottom style="thin">
        <color auto="1"/>
      </bottom>
      <diagonal/>
    </border>
    <border>
      <left style="thin">
        <color rgb="FFD0D5DD"/>
      </left>
      <right style="thin">
        <color rgb="FFD0D5DD"/>
      </right>
      <top style="thin">
        <color auto="1"/>
      </top>
      <bottom style="thin">
        <color auto="1"/>
      </bottom>
      <diagonal/>
    </border>
    <border>
      <left style="thin">
        <color rgb="FFD0D5DD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C9B08A"/>
      </right>
      <top style="thin">
        <color auto="1"/>
      </top>
      <bottom style="thin">
        <color auto="1"/>
      </bottom>
      <diagonal/>
    </border>
    <border>
      <left style="thin">
        <color rgb="FFC9B08A"/>
      </left>
      <right style="thin">
        <color rgb="FFC9B08A"/>
      </right>
      <top style="thin">
        <color auto="1"/>
      </top>
      <bottom style="thin">
        <color auto="1"/>
      </bottom>
      <diagonal/>
    </border>
    <border>
      <left style="thin">
        <color rgb="FFC9B08A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9B08A"/>
      </left>
      <right style="thin">
        <color rgb="FFC9B08A"/>
      </right>
      <top style="thin">
        <color rgb="FFC9B08A"/>
      </top>
      <bottom style="thin">
        <color rgb="FFC9B08A"/>
      </bottom>
      <diagonal/>
    </border>
    <border>
      <left style="thin">
        <color rgb="FFDAD8D8"/>
      </left>
      <right/>
      <top style="thin">
        <color rgb="FFDAD8D8"/>
      </top>
      <bottom style="thin">
        <color rgb="FFDAD8D8"/>
      </bottom>
      <diagonal/>
    </border>
    <border>
      <left style="thin">
        <color rgb="FFDAD8D8"/>
      </left>
      <right style="thin">
        <color rgb="FFDAD8D8"/>
      </right>
      <top/>
      <bottom style="thin">
        <color rgb="FFDAD8D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8C4B09"/>
      </left>
      <right style="medium">
        <color rgb="FF8C4B09"/>
      </right>
      <top style="medium">
        <color rgb="FF8C4B09"/>
      </top>
      <bottom style="medium">
        <color rgb="FF8C4B09"/>
      </bottom>
      <diagonal/>
    </border>
    <border>
      <left style="thin">
        <color rgb="FFE7E6EA"/>
      </left>
      <right style="thin">
        <color rgb="FFE7E6EA"/>
      </right>
      <top style="thin">
        <color rgb="FFE7E6EA"/>
      </top>
      <bottom style="thin">
        <color rgb="FFE7E6EA"/>
      </bottom>
      <diagonal/>
    </border>
    <border>
      <left/>
      <right/>
      <top style="thin">
        <color rgb="FF1A2B3C"/>
      </top>
      <bottom/>
      <diagonal/>
    </border>
    <border>
      <left/>
      <right/>
      <top/>
      <bottom style="thin">
        <color rgb="FFE0E4E9"/>
      </bottom>
      <diagonal/>
    </border>
    <border>
      <left style="medium">
        <color rgb="FFE8A020"/>
      </left>
      <right/>
      <top style="thin">
        <color rgb="FF1A2B3C"/>
      </top>
      <bottom/>
      <diagonal/>
    </border>
    <border>
      <left/>
      <right style="thin">
        <color rgb="FF1A2B3C"/>
      </right>
      <top style="thin">
        <color rgb="FF1A2B3C"/>
      </top>
      <bottom/>
      <diagonal/>
    </border>
    <border>
      <left style="medium">
        <color rgb="FFE8A020"/>
      </left>
      <right/>
      <top style="thin">
        <color rgb="FF1A2B3C"/>
      </top>
      <bottom style="thin">
        <color rgb="FFE0E4E9"/>
      </bottom>
      <diagonal/>
    </border>
    <border>
      <left/>
      <right/>
      <top style="thin">
        <color rgb="FF1A2B3C"/>
      </top>
      <bottom style="thin">
        <color rgb="FFE0E4E9"/>
      </bottom>
      <diagonal/>
    </border>
    <border>
      <left/>
      <right style="thin">
        <color rgb="FFE0E4E9"/>
      </right>
      <top style="thin">
        <color rgb="FF1A2B3C"/>
      </top>
      <bottom style="thin">
        <color rgb="FFE0E4E9"/>
      </bottom>
      <diagonal/>
    </border>
    <border>
      <left/>
      <right/>
      <top style="thin">
        <color rgb="FFE0E4E9"/>
      </top>
      <bottom/>
      <diagonal/>
    </border>
    <border>
      <left/>
      <right style="thin">
        <color rgb="FFE0E4E9"/>
      </right>
      <top style="thin">
        <color rgb="FFE0E4E9"/>
      </top>
      <bottom/>
      <diagonal/>
    </border>
    <border>
      <left/>
      <right/>
      <top style="thin">
        <color rgb="FFE0E4E9"/>
      </top>
      <bottom style="thin">
        <color rgb="FFE0E4E9"/>
      </bottom>
      <diagonal/>
    </border>
    <border>
      <left/>
      <right style="thin">
        <color rgb="FFE0E4E9"/>
      </right>
      <top style="thin">
        <color rgb="FFE0E4E9"/>
      </top>
      <bottom style="thin">
        <color rgb="FFE0E4E9"/>
      </bottom>
      <diagonal/>
    </border>
    <border>
      <left style="medium">
        <color rgb="FFE8A020"/>
      </left>
      <right style="thin">
        <color rgb="FFE0E4E9"/>
      </right>
      <top style="thin">
        <color rgb="FFE0E4E9"/>
      </top>
      <bottom style="thin">
        <color rgb="FFE0E4E9"/>
      </bottom>
      <diagonal/>
    </border>
    <border>
      <left style="medium">
        <color rgb="FFB00020"/>
      </left>
      <right style="thin">
        <color rgb="FFE0E4E9"/>
      </right>
      <top style="thin">
        <color rgb="FFE0E4E9"/>
      </top>
      <bottom/>
      <diagonal/>
    </border>
    <border>
      <left style="medium">
        <color rgb="FFB00020"/>
      </left>
      <right style="thin">
        <color rgb="FFE0E4E9"/>
      </right>
      <top style="thin">
        <color rgb="FFE0E4E9"/>
      </top>
      <bottom style="thin">
        <color rgb="FFE0E4E9"/>
      </bottom>
      <diagonal/>
    </border>
    <border>
      <left style="thin">
        <color rgb="FFE0E4E9"/>
      </left>
      <right style="thin">
        <color rgb="FFCCCCCC"/>
      </right>
      <top style="thin">
        <color rgb="FFE0E4E9"/>
      </top>
      <bottom style="medium">
        <color rgb="FF1A2B3C"/>
      </bottom>
      <diagonal/>
    </border>
    <border>
      <left style="thin">
        <color rgb="FFE0E4E9"/>
      </left>
      <right style="thin">
        <color rgb="FFE0E4E9"/>
      </right>
      <top style="thin">
        <color rgb="FFE0E4E9"/>
      </top>
      <bottom style="medium">
        <color rgb="FF1A2B3C"/>
      </bottom>
      <diagonal/>
    </border>
    <border>
      <left style="thin">
        <color rgb="FFCCCCCC"/>
      </left>
      <right style="thin">
        <color rgb="FFE0E4E9"/>
      </right>
      <top style="thin">
        <color rgb="FFE0E4E9"/>
      </top>
      <bottom style="medium">
        <color rgb="FF1A2B3C"/>
      </bottom>
      <diagonal/>
    </border>
    <border>
      <left style="thin">
        <color rgb="FFE0E4E9"/>
      </left>
      <right style="thin">
        <color rgb="FFCCCCCC"/>
      </right>
      <top style="thin">
        <color rgb="FFE0E4E9"/>
      </top>
      <bottom style="thin">
        <color rgb="FFE0E4E9"/>
      </bottom>
      <diagonal/>
    </border>
    <border>
      <left style="thin">
        <color rgb="FFE0E4E9"/>
      </left>
      <right style="thin">
        <color rgb="FFE0E4E9"/>
      </right>
      <top style="thin">
        <color rgb="FFE0E4E9"/>
      </top>
      <bottom style="thin">
        <color rgb="FFE0E4E9"/>
      </bottom>
      <diagonal/>
    </border>
    <border>
      <left style="thin">
        <color rgb="FFCCCCCC"/>
      </left>
      <right style="thin">
        <color rgb="FFE0E4E9"/>
      </right>
      <top style="thin">
        <color rgb="FFE0E4E9"/>
      </top>
      <bottom style="thin">
        <color rgb="FFE0E4E9"/>
      </bottom>
      <diagonal/>
    </border>
    <border>
      <left style="thin">
        <color rgb="FFE0E4E9"/>
      </left>
      <right style="thin">
        <color rgb="FFCCCCCC"/>
      </right>
      <top style="medium">
        <color rgb="FFE8A020"/>
      </top>
      <bottom style="thin">
        <color rgb="FFE0E4E9"/>
      </bottom>
      <diagonal/>
    </border>
    <border>
      <left style="thin">
        <color rgb="FFE0E4E9"/>
      </left>
      <right style="thin">
        <color rgb="FFE0E4E9"/>
      </right>
      <top style="medium">
        <color rgb="FFE8A020"/>
      </top>
      <bottom style="thin">
        <color rgb="FFE0E4E9"/>
      </bottom>
      <diagonal/>
    </border>
    <border>
      <left style="thin">
        <color rgb="FFCCCCCC"/>
      </left>
      <right style="thin">
        <color rgb="FFE0E4E9"/>
      </right>
      <top style="medium">
        <color rgb="FFE8A020"/>
      </top>
      <bottom style="thin">
        <color rgb="FFE0E4E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000000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000000"/>
      </right>
      <top style="thin">
        <color rgb="FFD0D5DD"/>
      </top>
      <bottom style="thin">
        <color rgb="FFD0D5DD"/>
      </bottom>
      <diagonal/>
    </border>
    <border>
      <left style="thin">
        <color rgb="FF000000"/>
      </left>
      <right style="thin">
        <color rgb="FFD0D5DD"/>
      </right>
      <top/>
      <bottom style="thin">
        <color rgb="FFD0D5DD"/>
      </bottom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  <border>
      <left style="thin">
        <color rgb="FFD0D5DD"/>
      </left>
      <right style="thin">
        <color rgb="FF000000"/>
      </right>
      <top/>
      <bottom style="thin">
        <color rgb="FFD0D5DD"/>
      </bottom>
      <diagonal/>
    </border>
    <border>
      <left style="medium">
        <color rgb="FF000000"/>
      </left>
      <right style="thin">
        <color rgb="FFFFFFFF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CCCCCC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DAD8D8"/>
      </left>
      <right/>
      <top style="thin">
        <color rgb="FFDAD8D8"/>
      </top>
      <bottom/>
      <diagonal/>
    </border>
    <border>
      <left/>
      <right/>
      <top style="thin">
        <color rgb="FFDAD8D8"/>
      </top>
      <bottom/>
      <diagonal/>
    </border>
    <border>
      <left/>
      <right style="thin">
        <color rgb="FFDAD8D8"/>
      </right>
      <top style="thin">
        <color rgb="FFDAD8D8"/>
      </top>
      <bottom/>
      <diagonal/>
    </border>
    <border>
      <left style="thin">
        <color rgb="FFDAD8D8"/>
      </left>
      <right/>
      <top/>
      <bottom/>
      <diagonal/>
    </border>
    <border>
      <left/>
      <right style="thin">
        <color rgb="FFDAD8D8"/>
      </right>
      <top/>
      <bottom/>
      <diagonal/>
    </border>
    <border>
      <left style="thin">
        <color rgb="FFDAD8D8"/>
      </left>
      <right/>
      <top/>
      <bottom style="thin">
        <color rgb="FFDAD8D8"/>
      </bottom>
      <diagonal/>
    </border>
    <border>
      <left/>
      <right/>
      <top/>
      <bottom style="thin">
        <color rgb="FFDAD8D8"/>
      </bottom>
      <diagonal/>
    </border>
    <border>
      <left/>
      <right style="thin">
        <color rgb="FFDAD8D8"/>
      </right>
      <top/>
      <bottom style="thin">
        <color rgb="FFDAD8D8"/>
      </bottom>
      <diagonal/>
    </border>
    <border>
      <left style="thin">
        <color rgb="FFD0D5DD"/>
      </left>
      <right style="thin">
        <color rgb="FFD0D5DD"/>
      </right>
      <top/>
      <bottom/>
      <diagonal/>
    </border>
    <border>
      <left style="thin">
        <color rgb="FFD0D5DD"/>
      </left>
      <right style="thin">
        <color rgb="FF000000"/>
      </right>
      <top/>
      <bottom/>
      <diagonal/>
    </border>
    <border>
      <left style="thin">
        <color rgb="FFCCCCCC"/>
      </left>
      <right style="thin">
        <color rgb="FFE0E4E9"/>
      </right>
      <top style="medium">
        <color rgb="FFE8A020"/>
      </top>
      <bottom/>
      <diagonal/>
    </border>
    <border>
      <left style="thin">
        <color rgb="FFE0E4E9"/>
      </left>
      <right style="thin">
        <color rgb="FFE0E4E9"/>
      </right>
      <top style="medium">
        <color rgb="FFE8A020"/>
      </top>
      <bottom/>
      <diagonal/>
    </border>
    <border>
      <left style="thin">
        <color rgb="FFCCCCCC"/>
      </left>
      <right style="thin">
        <color rgb="FFE0E4E9"/>
      </right>
      <top style="medium">
        <color rgb="FFE8A020"/>
      </top>
      <bottom style="thin">
        <color rgb="FFE5E7EB"/>
      </bottom>
      <diagonal/>
    </border>
    <border>
      <left style="thin">
        <color rgb="FFE0E4E9"/>
      </left>
      <right style="thin">
        <color rgb="FFE0E4E9"/>
      </right>
      <top style="medium">
        <color rgb="FFE8A020"/>
      </top>
      <bottom style="thin">
        <color rgb="FFE5E7EB"/>
      </bottom>
      <diagonal/>
    </border>
    <border>
      <left style="thin">
        <color rgb="FFCCCCCC"/>
      </left>
      <right style="thin">
        <color rgb="FFE0E4E9"/>
      </right>
      <top style="thin">
        <color rgb="FFE5E7EB"/>
      </top>
      <bottom style="thin">
        <color rgb="FFE5E7EB"/>
      </bottom>
      <diagonal/>
    </border>
    <border>
      <left style="thin">
        <color rgb="FFE0E4E9"/>
      </left>
      <right style="thin">
        <color rgb="FFE0E4E9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medium">
        <color rgb="FF94A3B8"/>
      </bottom>
      <diagonal/>
    </border>
    <border>
      <left style="thin">
        <color rgb="FFCCCCCC"/>
      </left>
      <right style="thin">
        <color rgb="FFE0E4E9"/>
      </right>
      <top/>
      <bottom style="thin">
        <color rgb="FFE5E7EB"/>
      </bottom>
      <diagonal/>
    </border>
    <border>
      <left style="thin">
        <color rgb="FFE0E4E9"/>
      </left>
      <right style="thin">
        <color rgb="FFE0E4E9"/>
      </right>
      <top/>
      <bottom style="thin">
        <color rgb="FFE5E7EB"/>
      </bottom>
      <diagonal/>
    </border>
  </borders>
  <cellStyleXfs count="3">
    <xf numFmtId="0" fontId="0" fillId="0" borderId="0"/>
    <xf numFmtId="0" fontId="2" fillId="0" borderId="0"/>
    <xf numFmtId="0" fontId="51" fillId="0" borderId="0"/>
  </cellStyleXfs>
  <cellXfs count="780">
    <xf numFmtId="0" fontId="0" fillId="0" borderId="0" xfId="0"/>
    <xf numFmtId="0" fontId="8" fillId="11" borderId="3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33" fillId="8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3" fontId="10" fillId="10" borderId="7" xfId="0" applyNumberFormat="1" applyFont="1" applyFill="1" applyBorder="1" applyAlignment="1">
      <alignment horizontal="center" vertical="center"/>
    </xf>
    <xf numFmtId="3" fontId="10" fillId="12" borderId="9" xfId="0" applyNumberFormat="1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0" fillId="12" borderId="10" xfId="0" applyFont="1" applyFill="1" applyBorder="1" applyAlignment="1">
      <alignment horizontal="center" vertical="center"/>
    </xf>
    <xf numFmtId="3" fontId="10" fillId="10" borderId="9" xfId="0" applyNumberFormat="1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7" fillId="12" borderId="10" xfId="0" applyFont="1" applyFill="1" applyBorder="1" applyAlignment="1">
      <alignment horizontal="center" vertical="center"/>
    </xf>
    <xf numFmtId="0" fontId="8" fillId="12" borderId="9" xfId="0" applyFont="1" applyFill="1" applyBorder="1" applyAlignment="1">
      <alignment horizontal="center" vertical="center"/>
    </xf>
    <xf numFmtId="3" fontId="8" fillId="10" borderId="9" xfId="0" applyNumberFormat="1" applyFont="1" applyFill="1" applyBorder="1" applyAlignment="1">
      <alignment horizontal="center" vertical="center"/>
    </xf>
    <xf numFmtId="3" fontId="8" fillId="12" borderId="9" xfId="0" applyNumberFormat="1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8" fillId="10" borderId="13" xfId="0" applyFont="1" applyFill="1" applyBorder="1" applyAlignment="1">
      <alignment horizontal="center" vertical="center"/>
    </xf>
    <xf numFmtId="166" fontId="0" fillId="0" borderId="0" xfId="0" applyNumberFormat="1"/>
    <xf numFmtId="3" fontId="0" fillId="0" borderId="0" xfId="0" applyNumberFormat="1"/>
    <xf numFmtId="0" fontId="14" fillId="0" borderId="0" xfId="0" applyFont="1" applyAlignment="1">
      <alignment horizontal="left"/>
    </xf>
    <xf numFmtId="167" fontId="0" fillId="0" borderId="0" xfId="0" applyNumberFormat="1" applyAlignment="1">
      <alignment horizontal="left" vertical="center"/>
    </xf>
    <xf numFmtId="0" fontId="15" fillId="18" borderId="14" xfId="0" applyFont="1" applyFill="1" applyBorder="1" applyAlignment="1">
      <alignment horizontal="left" vertical="center" wrapText="1"/>
    </xf>
    <xf numFmtId="168" fontId="15" fillId="18" borderId="15" xfId="0" applyNumberFormat="1" applyFont="1" applyFill="1" applyBorder="1" applyAlignment="1">
      <alignment horizontal="center" vertical="center"/>
    </xf>
    <xf numFmtId="0" fontId="15" fillId="18" borderId="1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15" fillId="18" borderId="17" xfId="0" applyFont="1" applyFill="1" applyBorder="1" applyAlignment="1">
      <alignment horizontal="center" vertical="center"/>
    </xf>
    <xf numFmtId="0" fontId="0" fillId="0" borderId="16" xfId="0" applyBorder="1"/>
    <xf numFmtId="0" fontId="15" fillId="5" borderId="18" xfId="0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0" fillId="17" borderId="19" xfId="0" applyFill="1" applyBorder="1" applyAlignment="1">
      <alignment horizontal="left" vertical="center" wrapText="1"/>
    </xf>
    <xf numFmtId="168" fontId="0" fillId="17" borderId="0" xfId="0" applyNumberFormat="1" applyFill="1" applyAlignment="1">
      <alignment horizontal="center"/>
    </xf>
    <xf numFmtId="3" fontId="0" fillId="17" borderId="0" xfId="0" applyNumberFormat="1" applyFill="1" applyAlignment="1">
      <alignment horizontal="center"/>
    </xf>
    <xf numFmtId="0" fontId="0" fillId="17" borderId="0" xfId="0" applyFill="1" applyAlignment="1">
      <alignment horizontal="center"/>
    </xf>
    <xf numFmtId="169" fontId="0" fillId="17" borderId="0" xfId="0" applyNumberFormat="1" applyFill="1" applyAlignment="1">
      <alignment horizontal="center"/>
    </xf>
    <xf numFmtId="3" fontId="16" fillId="17" borderId="0" xfId="0" applyNumberFormat="1" applyFont="1" applyFill="1" applyAlignment="1">
      <alignment horizontal="center"/>
    </xf>
    <xf numFmtId="3" fontId="0" fillId="17" borderId="20" xfId="0" applyNumberFormat="1" applyFill="1" applyBorder="1" applyAlignment="1">
      <alignment horizontal="center"/>
    </xf>
    <xf numFmtId="4" fontId="0" fillId="17" borderId="0" xfId="0" applyNumberFormat="1" applyFill="1" applyAlignment="1">
      <alignment horizontal="center"/>
    </xf>
    <xf numFmtId="1" fontId="17" fillId="0" borderId="0" xfId="0" applyNumberFormat="1" applyFont="1" applyAlignment="1">
      <alignment horizontal="center" vertical="center"/>
    </xf>
    <xf numFmtId="0" fontId="0" fillId="19" borderId="19" xfId="0" applyFill="1" applyBorder="1" applyAlignment="1">
      <alignment horizontal="left" vertical="center" wrapText="1"/>
    </xf>
    <xf numFmtId="168" fontId="0" fillId="19" borderId="0" xfId="0" applyNumberFormat="1" applyFill="1" applyAlignment="1">
      <alignment horizontal="center"/>
    </xf>
    <xf numFmtId="3" fontId="0" fillId="19" borderId="0" xfId="0" applyNumberFormat="1" applyFill="1" applyAlignment="1">
      <alignment horizontal="center"/>
    </xf>
    <xf numFmtId="0" fontId="0" fillId="19" borderId="0" xfId="0" applyFill="1" applyAlignment="1">
      <alignment horizontal="center"/>
    </xf>
    <xf numFmtId="1" fontId="0" fillId="19" borderId="0" xfId="0" applyNumberFormat="1" applyFill="1" applyAlignment="1">
      <alignment horizontal="center"/>
    </xf>
    <xf numFmtId="3" fontId="16" fillId="19" borderId="0" xfId="0" applyNumberFormat="1" applyFont="1" applyFill="1" applyAlignment="1">
      <alignment horizontal="center"/>
    </xf>
    <xf numFmtId="3" fontId="0" fillId="19" borderId="20" xfId="0" applyNumberFormat="1" applyFill="1" applyBorder="1" applyAlignment="1">
      <alignment horizontal="center"/>
    </xf>
    <xf numFmtId="4" fontId="0" fillId="20" borderId="0" xfId="0" applyNumberFormat="1" applyFill="1" applyAlignment="1">
      <alignment horizontal="center"/>
    </xf>
    <xf numFmtId="3" fontId="16" fillId="20" borderId="0" xfId="0" applyNumberFormat="1" applyFont="1" applyFill="1" applyAlignment="1">
      <alignment horizontal="center"/>
    </xf>
    <xf numFmtId="0" fontId="16" fillId="0" borderId="0" xfId="0" applyFont="1"/>
    <xf numFmtId="3" fontId="0" fillId="20" borderId="20" xfId="0" applyNumberFormat="1" applyFill="1" applyBorder="1" applyAlignment="1">
      <alignment horizontal="center"/>
    </xf>
    <xf numFmtId="1" fontId="0" fillId="17" borderId="0" xfId="0" applyNumberFormat="1" applyFill="1" applyAlignment="1">
      <alignment horizontal="center"/>
    </xf>
    <xf numFmtId="0" fontId="18" fillId="18" borderId="21" xfId="0" applyFont="1" applyFill="1" applyBorder="1" applyAlignment="1">
      <alignment horizontal="center" vertical="center"/>
    </xf>
    <xf numFmtId="168" fontId="18" fillId="18" borderId="22" xfId="0" applyNumberFormat="1" applyFont="1" applyFill="1" applyBorder="1" applyAlignment="1">
      <alignment horizontal="center"/>
    </xf>
    <xf numFmtId="3" fontId="18" fillId="18" borderId="22" xfId="0" applyNumberFormat="1" applyFont="1" applyFill="1" applyBorder="1" applyAlignment="1">
      <alignment horizontal="center" vertical="center"/>
    </xf>
    <xf numFmtId="0" fontId="18" fillId="18" borderId="22" xfId="0" applyFont="1" applyFill="1" applyBorder="1" applyAlignment="1">
      <alignment horizontal="center"/>
    </xf>
    <xf numFmtId="0" fontId="18" fillId="18" borderId="22" xfId="0" applyFont="1" applyFill="1" applyBorder="1"/>
    <xf numFmtId="1" fontId="18" fillId="18" borderId="22" xfId="0" applyNumberFormat="1" applyFont="1" applyFill="1" applyBorder="1" applyAlignment="1">
      <alignment horizontal="center" vertical="center"/>
    </xf>
    <xf numFmtId="3" fontId="18" fillId="18" borderId="23" xfId="0" applyNumberFormat="1" applyFont="1" applyFill="1" applyBorder="1" applyAlignment="1">
      <alignment horizontal="center" vertical="center"/>
    </xf>
    <xf numFmtId="4" fontId="0" fillId="20" borderId="24" xfId="0" applyNumberFormat="1" applyFill="1" applyBorder="1" applyAlignment="1">
      <alignment horizontal="center"/>
    </xf>
    <xf numFmtId="0" fontId="0" fillId="0" borderId="24" xfId="0" applyBorder="1"/>
    <xf numFmtId="3" fontId="16" fillId="20" borderId="24" xfId="0" applyNumberFormat="1" applyFont="1" applyFill="1" applyBorder="1" applyAlignment="1">
      <alignment horizontal="center"/>
    </xf>
    <xf numFmtId="3" fontId="0" fillId="20" borderId="25" xfId="0" applyNumberFormat="1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168" fontId="0" fillId="0" borderId="0" xfId="0" applyNumberFormat="1"/>
    <xf numFmtId="0" fontId="0" fillId="0" borderId="3" xfId="0" applyBorder="1" applyAlignment="1">
      <alignment horizontal="center" vertical="center" wrapText="1"/>
    </xf>
    <xf numFmtId="0" fontId="0" fillId="0" borderId="26" xfId="0" applyBorder="1"/>
    <xf numFmtId="0" fontId="0" fillId="0" borderId="25" xfId="0" applyBorder="1"/>
    <xf numFmtId="0" fontId="0" fillId="18" borderId="19" xfId="0" applyFill="1" applyBorder="1" applyAlignment="1">
      <alignment horizontal="left" vertical="center" wrapText="1"/>
    </xf>
    <xf numFmtId="168" fontId="0" fillId="18" borderId="0" xfId="0" applyNumberFormat="1" applyFill="1" applyAlignment="1">
      <alignment horizontal="center"/>
    </xf>
    <xf numFmtId="3" fontId="0" fillId="18" borderId="0" xfId="0" applyNumberFormat="1" applyFill="1" applyAlignment="1">
      <alignment horizontal="center" vertical="center"/>
    </xf>
    <xf numFmtId="0" fontId="0" fillId="18" borderId="0" xfId="0" applyFill="1" applyAlignment="1">
      <alignment horizontal="center"/>
    </xf>
    <xf numFmtId="0" fontId="0" fillId="18" borderId="0" xfId="0" applyFill="1"/>
    <xf numFmtId="169" fontId="0" fillId="18" borderId="0" xfId="0" applyNumberFormat="1" applyFill="1" applyAlignment="1">
      <alignment horizontal="center" vertical="center"/>
    </xf>
    <xf numFmtId="3" fontId="16" fillId="18" borderId="0" xfId="0" applyNumberFormat="1" applyFont="1" applyFill="1" applyAlignment="1">
      <alignment horizontal="center" vertical="center"/>
    </xf>
    <xf numFmtId="3" fontId="0" fillId="18" borderId="20" xfId="0" applyNumberFormat="1" applyFill="1" applyBorder="1" applyAlignment="1">
      <alignment horizontal="center" vertical="center"/>
    </xf>
    <xf numFmtId="3" fontId="18" fillId="18" borderId="22" xfId="0" applyNumberFormat="1" applyFont="1" applyFill="1" applyBorder="1" applyAlignment="1">
      <alignment horizontal="center"/>
    </xf>
    <xf numFmtId="1" fontId="18" fillId="18" borderId="22" xfId="0" applyNumberFormat="1" applyFont="1" applyFill="1" applyBorder="1" applyAlignment="1">
      <alignment horizontal="center"/>
    </xf>
    <xf numFmtId="3" fontId="18" fillId="18" borderId="23" xfId="0" applyNumberFormat="1" applyFont="1" applyFill="1" applyBorder="1" applyAlignment="1">
      <alignment horizontal="center"/>
    </xf>
    <xf numFmtId="0" fontId="0" fillId="0" borderId="27" xfId="0" applyBorder="1" applyAlignment="1">
      <alignment horizontal="left" vertical="center" wrapText="1"/>
    </xf>
    <xf numFmtId="168" fontId="0" fillId="0" borderId="16" xfId="0" applyNumberFormat="1" applyBorder="1"/>
    <xf numFmtId="0" fontId="0" fillId="0" borderId="28" xfId="0" applyBorder="1"/>
    <xf numFmtId="0" fontId="0" fillId="0" borderId="19" xfId="0" applyBorder="1"/>
    <xf numFmtId="0" fontId="0" fillId="0" borderId="20" xfId="0" applyBorder="1"/>
    <xf numFmtId="1" fontId="0" fillId="18" borderId="0" xfId="0" applyNumberFormat="1" applyFill="1" applyAlignment="1">
      <alignment horizontal="center" vertical="center"/>
    </xf>
    <xf numFmtId="0" fontId="0" fillId="0" borderId="19" xfId="0" applyBorder="1" applyAlignment="1">
      <alignment horizontal="left" vertical="center" wrapText="1"/>
    </xf>
    <xf numFmtId="3" fontId="16" fillId="0" borderId="24" xfId="0" applyNumberFormat="1" applyFont="1" applyBorder="1"/>
    <xf numFmtId="3" fontId="0" fillId="0" borderId="25" xfId="0" applyNumberFormat="1" applyBorder="1"/>
    <xf numFmtId="169" fontId="0" fillId="19" borderId="0" xfId="0" applyNumberFormat="1" applyFill="1" applyAlignment="1">
      <alignment horizontal="center"/>
    </xf>
    <xf numFmtId="0" fontId="0" fillId="9" borderId="19" xfId="0" applyFill="1" applyBorder="1" applyAlignment="1">
      <alignment horizontal="left" vertical="center" wrapText="1"/>
    </xf>
    <xf numFmtId="168" fontId="0" fillId="9" borderId="0" xfId="0" applyNumberFormat="1" applyFill="1" applyAlignment="1">
      <alignment horizontal="center"/>
    </xf>
    <xf numFmtId="3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169" fontId="0" fillId="9" borderId="0" xfId="0" applyNumberFormat="1" applyFill="1" applyAlignment="1">
      <alignment horizontal="center"/>
    </xf>
    <xf numFmtId="3" fontId="16" fillId="9" borderId="0" xfId="0" applyNumberFormat="1" applyFont="1" applyFill="1" applyAlignment="1">
      <alignment horizontal="center"/>
    </xf>
    <xf numFmtId="3" fontId="0" fillId="9" borderId="20" xfId="0" applyNumberFormat="1" applyFill="1" applyBorder="1" applyAlignment="1">
      <alignment horizontal="center"/>
    </xf>
    <xf numFmtId="1" fontId="0" fillId="9" borderId="0" xfId="0" applyNumberFormat="1" applyFill="1" applyAlignment="1">
      <alignment horizontal="center"/>
    </xf>
    <xf numFmtId="0" fontId="0" fillId="19" borderId="0" xfId="0" applyFill="1"/>
    <xf numFmtId="1" fontId="0" fillId="0" borderId="0" xfId="0" applyNumberFormat="1"/>
    <xf numFmtId="168" fontId="0" fillId="19" borderId="0" xfId="0" applyNumberFormat="1" applyFill="1"/>
    <xf numFmtId="0" fontId="16" fillId="19" borderId="0" xfId="0" applyFont="1" applyFill="1"/>
    <xf numFmtId="0" fontId="0" fillId="19" borderId="20" xfId="0" applyFill="1" applyBorder="1"/>
    <xf numFmtId="0" fontId="15" fillId="18" borderId="18" xfId="0" applyFont="1" applyFill="1" applyBorder="1" applyAlignment="1">
      <alignment horizontal="left" vertical="center" wrapText="1"/>
    </xf>
    <xf numFmtId="168" fontId="15" fillId="18" borderId="18" xfId="0" applyNumberFormat="1" applyFont="1" applyFill="1" applyBorder="1" applyAlignment="1">
      <alignment horizontal="center" vertical="center"/>
    </xf>
    <xf numFmtId="0" fontId="15" fillId="18" borderId="18" xfId="0" applyFont="1" applyFill="1" applyBorder="1" applyAlignment="1">
      <alignment horizontal="center" vertical="center"/>
    </xf>
    <xf numFmtId="1" fontId="17" fillId="0" borderId="20" xfId="0" applyNumberFormat="1" applyFont="1" applyBorder="1" applyAlignment="1">
      <alignment horizontal="center" vertical="center"/>
    </xf>
    <xf numFmtId="0" fontId="18" fillId="18" borderId="29" xfId="0" applyFont="1" applyFill="1" applyBorder="1" applyAlignment="1">
      <alignment horizontal="center" vertical="center"/>
    </xf>
    <xf numFmtId="168" fontId="18" fillId="18" borderId="30" xfId="0" applyNumberFormat="1" applyFont="1" applyFill="1" applyBorder="1" applyAlignment="1">
      <alignment horizontal="center"/>
    </xf>
    <xf numFmtId="3" fontId="18" fillId="18" borderId="30" xfId="0" applyNumberFormat="1" applyFont="1" applyFill="1" applyBorder="1" applyAlignment="1">
      <alignment horizontal="center"/>
    </xf>
    <xf numFmtId="0" fontId="18" fillId="18" borderId="30" xfId="0" applyFont="1" applyFill="1" applyBorder="1" applyAlignment="1">
      <alignment horizontal="center"/>
    </xf>
    <xf numFmtId="0" fontId="18" fillId="18" borderId="30" xfId="0" applyFont="1" applyFill="1" applyBorder="1"/>
    <xf numFmtId="1" fontId="18" fillId="18" borderId="30" xfId="0" applyNumberFormat="1" applyFont="1" applyFill="1" applyBorder="1" applyAlignment="1">
      <alignment horizontal="center"/>
    </xf>
    <xf numFmtId="3" fontId="18" fillId="18" borderId="31" xfId="0" applyNumberFormat="1" applyFont="1" applyFill="1" applyBorder="1" applyAlignment="1">
      <alignment horizontal="center"/>
    </xf>
    <xf numFmtId="0" fontId="0" fillId="18" borderId="0" xfId="0" applyFill="1" applyAlignment="1">
      <alignment horizontal="left" vertical="center" wrapText="1"/>
    </xf>
    <xf numFmtId="168" fontId="0" fillId="18" borderId="0" xfId="0" applyNumberFormat="1" applyFill="1"/>
    <xf numFmtId="0" fontId="0" fillId="18" borderId="0" xfId="0" applyFill="1" applyAlignment="1">
      <alignment horizontal="center" vertical="center"/>
    </xf>
    <xf numFmtId="0" fontId="0" fillId="18" borderId="16" xfId="0" applyFill="1" applyBorder="1" applyAlignment="1">
      <alignment horizontal="center"/>
    </xf>
    <xf numFmtId="4" fontId="0" fillId="17" borderId="24" xfId="0" applyNumberFormat="1" applyFill="1" applyBorder="1" applyAlignment="1">
      <alignment horizontal="center"/>
    </xf>
    <xf numFmtId="3" fontId="16" fillId="17" borderId="24" xfId="0" applyNumberFormat="1" applyFont="1" applyFill="1" applyBorder="1" applyAlignment="1">
      <alignment horizontal="center"/>
    </xf>
    <xf numFmtId="3" fontId="0" fillId="17" borderId="25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20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19" borderId="20" xfId="0" applyFill="1" applyBorder="1" applyAlignment="1">
      <alignment horizontal="center"/>
    </xf>
    <xf numFmtId="0" fontId="0" fillId="0" borderId="0" xfId="0" applyAlignment="1">
      <alignment vertical="center"/>
    </xf>
    <xf numFmtId="0" fontId="16" fillId="0" borderId="16" xfId="0" applyFont="1" applyBorder="1" applyAlignment="1">
      <alignment horizontal="center"/>
    </xf>
    <xf numFmtId="170" fontId="0" fillId="0" borderId="0" xfId="0" applyNumberFormat="1"/>
    <xf numFmtId="0" fontId="16" fillId="18" borderId="0" xfId="0" applyFont="1" applyFill="1" applyAlignment="1">
      <alignment horizontal="center" vertical="center"/>
    </xf>
    <xf numFmtId="0" fontId="0" fillId="18" borderId="20" xfId="0" applyFill="1" applyBorder="1" applyAlignment="1">
      <alignment horizontal="center" vertical="center"/>
    </xf>
    <xf numFmtId="0" fontId="0" fillId="0" borderId="26" xfId="0" applyBorder="1" applyAlignment="1">
      <alignment horizontal="left" vertical="center" wrapText="1"/>
    </xf>
    <xf numFmtId="168" fontId="0" fillId="0" borderId="24" xfId="0" applyNumberFormat="1" applyBorder="1"/>
    <xf numFmtId="0" fontId="16" fillId="0" borderId="24" xfId="0" applyFont="1" applyBorder="1"/>
    <xf numFmtId="0" fontId="18" fillId="18" borderId="32" xfId="0" applyFont="1" applyFill="1" applyBorder="1" applyAlignment="1">
      <alignment horizontal="center" vertical="center"/>
    </xf>
    <xf numFmtId="168" fontId="18" fillId="18" borderId="33" xfId="0" applyNumberFormat="1" applyFont="1" applyFill="1" applyBorder="1" applyAlignment="1">
      <alignment horizontal="center"/>
    </xf>
    <xf numFmtId="3" fontId="18" fillId="18" borderId="33" xfId="0" applyNumberFormat="1" applyFont="1" applyFill="1" applyBorder="1" applyAlignment="1">
      <alignment horizontal="center" vertical="center"/>
    </xf>
    <xf numFmtId="0" fontId="18" fillId="18" borderId="33" xfId="0" applyFont="1" applyFill="1" applyBorder="1" applyAlignment="1">
      <alignment horizontal="center"/>
    </xf>
    <xf numFmtId="0" fontId="18" fillId="18" borderId="33" xfId="0" applyFont="1" applyFill="1" applyBorder="1"/>
    <xf numFmtId="1" fontId="18" fillId="18" borderId="33" xfId="0" applyNumberFormat="1" applyFont="1" applyFill="1" applyBorder="1" applyAlignment="1">
      <alignment horizontal="center" vertical="center"/>
    </xf>
    <xf numFmtId="3" fontId="18" fillId="18" borderId="34" xfId="0" applyNumberFormat="1" applyFont="1" applyFill="1" applyBorder="1" applyAlignment="1">
      <alignment horizontal="center" vertical="center"/>
    </xf>
    <xf numFmtId="0" fontId="20" fillId="16" borderId="35" xfId="0" applyFont="1" applyFill="1" applyBorder="1" applyAlignment="1">
      <alignment horizontal="center"/>
    </xf>
    <xf numFmtId="0" fontId="18" fillId="16" borderId="35" xfId="0" applyFont="1" applyFill="1" applyBorder="1" applyAlignment="1">
      <alignment horizontal="center"/>
    </xf>
    <xf numFmtId="0" fontId="20" fillId="16" borderId="14" xfId="0" applyFont="1" applyFill="1" applyBorder="1" applyAlignment="1">
      <alignment horizontal="center"/>
    </xf>
    <xf numFmtId="0" fontId="21" fillId="16" borderId="3" xfId="0" applyFont="1" applyFill="1" applyBorder="1" applyAlignment="1">
      <alignment horizontal="left" vertical="center"/>
    </xf>
    <xf numFmtId="3" fontId="22" fillId="21" borderId="36" xfId="0" applyNumberFormat="1" applyFont="1" applyFill="1" applyBorder="1" applyAlignment="1">
      <alignment horizontal="center"/>
    </xf>
    <xf numFmtId="164" fontId="22" fillId="21" borderId="37" xfId="0" applyNumberFormat="1" applyFont="1" applyFill="1" applyBorder="1" applyAlignment="1">
      <alignment horizontal="center"/>
    </xf>
    <xf numFmtId="0" fontId="23" fillId="21" borderId="38" xfId="0" applyFont="1" applyFill="1" applyBorder="1" applyAlignment="1">
      <alignment horizontal="left" vertical="center"/>
    </xf>
    <xf numFmtId="3" fontId="22" fillId="21" borderId="39" xfId="0" applyNumberFormat="1" applyFont="1" applyFill="1" applyBorder="1" applyAlignment="1">
      <alignment horizontal="left" vertical="center"/>
    </xf>
    <xf numFmtId="0" fontId="24" fillId="21" borderId="10" xfId="0" applyFont="1" applyFill="1" applyBorder="1" applyAlignment="1">
      <alignment horizontal="left" vertical="center"/>
    </xf>
    <xf numFmtId="0" fontId="25" fillId="21" borderId="9" xfId="0" applyFont="1" applyFill="1" applyBorder="1" applyAlignment="1">
      <alignment horizontal="left" vertical="center"/>
    </xf>
    <xf numFmtId="0" fontId="26" fillId="21" borderId="11" xfId="0" applyFont="1" applyFill="1" applyBorder="1" applyAlignment="1">
      <alignment horizontal="left" vertical="center"/>
    </xf>
    <xf numFmtId="0" fontId="25" fillId="21" borderId="13" xfId="0" applyFont="1" applyFill="1" applyBorder="1" applyAlignment="1">
      <alignment horizontal="left" vertical="center"/>
    </xf>
    <xf numFmtId="0" fontId="20" fillId="16" borderId="41" xfId="0" applyFont="1" applyFill="1" applyBorder="1" applyAlignment="1">
      <alignment horizontal="center"/>
    </xf>
    <xf numFmtId="0" fontId="20" fillId="16" borderId="42" xfId="0" applyFont="1" applyFill="1" applyBorder="1" applyAlignment="1">
      <alignment horizontal="center"/>
    </xf>
    <xf numFmtId="0" fontId="25" fillId="15" borderId="3" xfId="0" applyFont="1" applyFill="1" applyBorder="1" applyAlignment="1">
      <alignment horizontal="center"/>
    </xf>
    <xf numFmtId="0" fontId="5" fillId="8" borderId="43" xfId="0" applyFont="1" applyFill="1" applyBorder="1" applyAlignment="1">
      <alignment horizontal="center" vertical="center"/>
    </xf>
    <xf numFmtId="0" fontId="5" fillId="8" borderId="45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vertical="center"/>
    </xf>
    <xf numFmtId="0" fontId="7" fillId="12" borderId="11" xfId="0" applyFont="1" applyFill="1" applyBorder="1" applyAlignment="1">
      <alignment horizontal="center" vertical="center"/>
    </xf>
    <xf numFmtId="0" fontId="8" fillId="12" borderId="13" xfId="0" applyFont="1" applyFill="1" applyBorder="1" applyAlignment="1">
      <alignment horizontal="center" vertical="center"/>
    </xf>
    <xf numFmtId="3" fontId="18" fillId="18" borderId="30" xfId="0" applyNumberFormat="1" applyFont="1" applyFill="1" applyBorder="1" applyAlignment="1">
      <alignment horizontal="center" vertical="center"/>
    </xf>
    <xf numFmtId="1" fontId="18" fillId="18" borderId="30" xfId="0" applyNumberFormat="1" applyFont="1" applyFill="1" applyBorder="1" applyAlignment="1">
      <alignment horizontal="center" vertical="center"/>
    </xf>
    <xf numFmtId="3" fontId="18" fillId="18" borderId="31" xfId="0" applyNumberFormat="1" applyFont="1" applyFill="1" applyBorder="1" applyAlignment="1">
      <alignment horizontal="center" vertical="center"/>
    </xf>
    <xf numFmtId="167" fontId="0" fillId="0" borderId="0" xfId="0" applyNumberFormat="1"/>
    <xf numFmtId="49" fontId="27" fillId="0" borderId="0" xfId="0" applyNumberFormat="1" applyFont="1" applyAlignment="1">
      <alignment horizontal="left" vertical="center"/>
    </xf>
    <xf numFmtId="3" fontId="27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3" fontId="10" fillId="11" borderId="3" xfId="0" applyNumberFormat="1" applyFont="1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3" fontId="0" fillId="11" borderId="3" xfId="0" applyNumberForma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3" fontId="0" fillId="12" borderId="3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5" fillId="18" borderId="46" xfId="0" applyFont="1" applyFill="1" applyBorder="1" applyAlignment="1">
      <alignment horizontal="left" vertical="center" wrapText="1"/>
    </xf>
    <xf numFmtId="168" fontId="15" fillId="18" borderId="46" xfId="0" applyNumberFormat="1" applyFont="1" applyFill="1" applyBorder="1" applyAlignment="1">
      <alignment horizontal="center" vertical="center"/>
    </xf>
    <xf numFmtId="0" fontId="15" fillId="18" borderId="46" xfId="0" applyFont="1" applyFill="1" applyBorder="1" applyAlignment="1">
      <alignment horizontal="center" vertical="center"/>
    </xf>
    <xf numFmtId="0" fontId="0" fillId="0" borderId="46" xfId="0" applyBorder="1" applyAlignment="1">
      <alignment horizontal="center"/>
    </xf>
    <xf numFmtId="1" fontId="17" fillId="0" borderId="8" xfId="0" applyNumberFormat="1" applyFont="1" applyBorder="1" applyAlignment="1">
      <alignment horizontal="center" vertical="center"/>
    </xf>
    <xf numFmtId="0" fontId="0" fillId="19" borderId="8" xfId="0" applyFill="1" applyBorder="1" applyAlignment="1">
      <alignment horizontal="left" vertical="center" wrapText="1"/>
    </xf>
    <xf numFmtId="168" fontId="0" fillId="19" borderId="8" xfId="0" applyNumberFormat="1" applyFill="1" applyBorder="1" applyAlignment="1">
      <alignment horizontal="center"/>
    </xf>
    <xf numFmtId="3" fontId="0" fillId="19" borderId="8" xfId="0" applyNumberFormat="1" applyFill="1" applyBorder="1" applyAlignment="1">
      <alignment horizontal="center"/>
    </xf>
    <xf numFmtId="0" fontId="0" fillId="19" borderId="8" xfId="0" applyFill="1" applyBorder="1" applyAlignment="1">
      <alignment horizontal="center"/>
    </xf>
    <xf numFmtId="0" fontId="0" fillId="0" borderId="8" xfId="0" applyBorder="1"/>
    <xf numFmtId="1" fontId="0" fillId="19" borderId="8" xfId="0" applyNumberFormat="1" applyFill="1" applyBorder="1" applyAlignment="1">
      <alignment horizontal="center"/>
    </xf>
    <xf numFmtId="3" fontId="16" fillId="19" borderId="8" xfId="0" applyNumberFormat="1" applyFont="1" applyFill="1" applyBorder="1" applyAlignment="1">
      <alignment horizontal="center"/>
    </xf>
    <xf numFmtId="0" fontId="0" fillId="8" borderId="46" xfId="0" applyFill="1" applyBorder="1"/>
    <xf numFmtId="0" fontId="18" fillId="18" borderId="46" xfId="0" applyFont="1" applyFill="1" applyBorder="1" applyAlignment="1">
      <alignment horizontal="center" vertical="center"/>
    </xf>
    <xf numFmtId="168" fontId="0" fillId="18" borderId="46" xfId="0" applyNumberFormat="1" applyFill="1" applyBorder="1"/>
    <xf numFmtId="3" fontId="18" fillId="18" borderId="46" xfId="0" applyNumberFormat="1" applyFont="1" applyFill="1" applyBorder="1" applyAlignment="1">
      <alignment horizontal="center" vertical="center"/>
    </xf>
    <xf numFmtId="0" fontId="0" fillId="18" borderId="46" xfId="0" applyFill="1" applyBorder="1"/>
    <xf numFmtId="1" fontId="18" fillId="18" borderId="46" xfId="0" applyNumberFormat="1" applyFont="1" applyFill="1" applyBorder="1" applyAlignment="1">
      <alignment horizontal="center" vertical="center"/>
    </xf>
    <xf numFmtId="0" fontId="20" fillId="16" borderId="3" xfId="0" applyFont="1" applyFill="1" applyBorder="1" applyAlignment="1">
      <alignment horizontal="center"/>
    </xf>
    <xf numFmtId="0" fontId="0" fillId="0" borderId="3" xfId="0" applyBorder="1"/>
    <xf numFmtId="0" fontId="32" fillId="0" borderId="3" xfId="0" applyFont="1" applyBorder="1"/>
    <xf numFmtId="0" fontId="32" fillId="0" borderId="3" xfId="0" applyFont="1" applyBorder="1" applyAlignment="1">
      <alignment horizontal="left"/>
    </xf>
    <xf numFmtId="0" fontId="8" fillId="0" borderId="0" xfId="0" applyFont="1"/>
    <xf numFmtId="0" fontId="35" fillId="11" borderId="3" xfId="0" applyFont="1" applyFill="1" applyBorder="1" applyAlignment="1">
      <alignment horizontal="center" vertical="center"/>
    </xf>
    <xf numFmtId="3" fontId="8" fillId="11" borderId="3" xfId="0" applyNumberFormat="1" applyFont="1" applyFill="1" applyBorder="1" applyAlignment="1">
      <alignment horizontal="center" vertical="center"/>
    </xf>
    <xf numFmtId="0" fontId="8" fillId="15" borderId="3" xfId="0" applyFont="1" applyFill="1" applyBorder="1" applyAlignment="1">
      <alignment vertical="center"/>
    </xf>
    <xf numFmtId="0" fontId="8" fillId="15" borderId="3" xfId="0" applyFont="1" applyFill="1" applyBorder="1"/>
    <xf numFmtId="3" fontId="8" fillId="12" borderId="3" xfId="0" applyNumberFormat="1" applyFont="1" applyFill="1" applyBorder="1" applyAlignment="1">
      <alignment horizontal="center" vertical="center"/>
    </xf>
    <xf numFmtId="3" fontId="15" fillId="18" borderId="46" xfId="0" applyNumberFormat="1" applyFont="1" applyFill="1" applyBorder="1" applyAlignment="1">
      <alignment horizontal="center" vertical="center"/>
    </xf>
    <xf numFmtId="167" fontId="17" fillId="0" borderId="8" xfId="0" applyNumberFormat="1" applyFont="1" applyBorder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167" fontId="0" fillId="8" borderId="46" xfId="0" applyNumberFormat="1" applyFill="1" applyBorder="1"/>
    <xf numFmtId="0" fontId="20" fillId="16" borderId="41" xfId="0" applyFont="1" applyFill="1" applyBorder="1" applyAlignment="1">
      <alignment horizontal="center" vertical="center" wrapText="1"/>
    </xf>
    <xf numFmtId="1" fontId="27" fillId="21" borderId="3" xfId="0" applyNumberFormat="1" applyFont="1" applyFill="1" applyBorder="1" applyAlignment="1">
      <alignment horizontal="center"/>
    </xf>
    <xf numFmtId="49" fontId="27" fillId="21" borderId="3" xfId="0" applyNumberFormat="1" applyFont="1" applyFill="1" applyBorder="1" applyAlignment="1">
      <alignment horizontal="center"/>
    </xf>
    <xf numFmtId="3" fontId="27" fillId="21" borderId="3" xfId="0" applyNumberFormat="1" applyFont="1" applyFill="1" applyBorder="1" applyAlignment="1">
      <alignment horizontal="center"/>
    </xf>
    <xf numFmtId="0" fontId="25" fillId="0" borderId="3" xfId="0" applyFont="1" applyBorder="1"/>
    <xf numFmtId="1" fontId="27" fillId="21" borderId="3" xfId="0" applyNumberFormat="1" applyFont="1" applyFill="1" applyBorder="1" applyAlignment="1">
      <alignment horizontal="center" vertical="center"/>
    </xf>
    <xf numFmtId="49" fontId="27" fillId="21" borderId="3" xfId="0" applyNumberFormat="1" applyFont="1" applyFill="1" applyBorder="1" applyAlignment="1">
      <alignment horizontal="center" vertical="center"/>
    </xf>
    <xf numFmtId="3" fontId="27" fillId="21" borderId="3" xfId="0" applyNumberFormat="1" applyFont="1" applyFill="1" applyBorder="1" applyAlignment="1">
      <alignment horizontal="center" vertical="center"/>
    </xf>
    <xf numFmtId="0" fontId="25" fillId="0" borderId="3" xfId="0" applyFont="1" applyBorder="1" applyAlignment="1">
      <alignment horizontal="left" wrapText="1"/>
    </xf>
    <xf numFmtId="0" fontId="33" fillId="8" borderId="43" xfId="0" applyFont="1" applyFill="1" applyBorder="1" applyAlignment="1">
      <alignment horizontal="center" vertical="center"/>
    </xf>
    <xf numFmtId="0" fontId="33" fillId="8" borderId="45" xfId="0" applyFont="1" applyFill="1" applyBorder="1" applyAlignment="1">
      <alignment horizontal="center" vertical="center"/>
    </xf>
    <xf numFmtId="3" fontId="8" fillId="10" borderId="3" xfId="0" applyNumberFormat="1" applyFont="1" applyFill="1" applyBorder="1" applyAlignment="1">
      <alignment horizontal="center" vertical="center"/>
    </xf>
    <xf numFmtId="0" fontId="8" fillId="15" borderId="3" xfId="0" applyFont="1" applyFill="1" applyBorder="1" applyAlignment="1">
      <alignment horizontal="center"/>
    </xf>
    <xf numFmtId="0" fontId="20" fillId="16" borderId="3" xfId="0" applyFont="1" applyFill="1" applyBorder="1" applyAlignment="1">
      <alignment horizontal="center" vertical="center" wrapText="1"/>
    </xf>
    <xf numFmtId="0" fontId="25" fillId="9" borderId="3" xfId="0" applyFont="1" applyFill="1" applyBorder="1" applyAlignment="1">
      <alignment horizontal="center"/>
    </xf>
    <xf numFmtId="0" fontId="7" fillId="10" borderId="5" xfId="0" applyFont="1" applyFill="1" applyBorder="1" applyAlignment="1">
      <alignment horizontal="center" vertical="center"/>
    </xf>
    <xf numFmtId="3" fontId="8" fillId="10" borderId="7" xfId="0" applyNumberFormat="1" applyFont="1" applyFill="1" applyBorder="1" applyAlignment="1">
      <alignment horizontal="center" vertical="center"/>
    </xf>
    <xf numFmtId="167" fontId="2" fillId="0" borderId="0" xfId="0" applyNumberFormat="1" applyFont="1" applyAlignment="1">
      <alignment horizontal="left" vertical="center"/>
    </xf>
    <xf numFmtId="0" fontId="2" fillId="0" borderId="46" xfId="0" applyFont="1" applyBorder="1" applyAlignment="1">
      <alignment horizontal="center"/>
    </xf>
    <xf numFmtId="0" fontId="2" fillId="0" borderId="0" xfId="0" applyFont="1"/>
    <xf numFmtId="0" fontId="2" fillId="19" borderId="8" xfId="0" applyFont="1" applyFill="1" applyBorder="1" applyAlignment="1">
      <alignment horizontal="left" vertical="center" wrapText="1"/>
    </xf>
    <xf numFmtId="168" fontId="2" fillId="19" borderId="8" xfId="0" applyNumberFormat="1" applyFont="1" applyFill="1" applyBorder="1" applyAlignment="1">
      <alignment horizontal="center"/>
    </xf>
    <xf numFmtId="3" fontId="2" fillId="19" borderId="8" xfId="0" applyNumberFormat="1" applyFont="1" applyFill="1" applyBorder="1" applyAlignment="1">
      <alignment horizontal="center"/>
    </xf>
    <xf numFmtId="0" fontId="2" fillId="19" borderId="8" xfId="0" applyFont="1" applyFill="1" applyBorder="1" applyAlignment="1">
      <alignment horizontal="center"/>
    </xf>
    <xf numFmtId="0" fontId="2" fillId="0" borderId="8" xfId="0" applyFont="1" applyBorder="1"/>
    <xf numFmtId="1" fontId="2" fillId="19" borderId="8" xfId="0" applyNumberFormat="1" applyFont="1" applyFill="1" applyBorder="1" applyAlignment="1">
      <alignment horizontal="center"/>
    </xf>
    <xf numFmtId="0" fontId="2" fillId="8" borderId="46" xfId="0" applyFont="1" applyFill="1" applyBorder="1"/>
    <xf numFmtId="168" fontId="2" fillId="18" borderId="46" xfId="0" applyNumberFormat="1" applyFont="1" applyFill="1" applyBorder="1"/>
    <xf numFmtId="0" fontId="2" fillId="18" borderId="46" xfId="0" applyFont="1" applyFill="1" applyBorder="1"/>
    <xf numFmtId="3" fontId="2" fillId="0" borderId="0" xfId="0" applyNumberFormat="1" applyFont="1"/>
    <xf numFmtId="1" fontId="2" fillId="0" borderId="0" xfId="0" applyNumberFormat="1" applyFont="1"/>
    <xf numFmtId="168" fontId="2" fillId="0" borderId="0" xfId="0" applyNumberFormat="1" applyFont="1"/>
    <xf numFmtId="1" fontId="27" fillId="21" borderId="8" xfId="0" applyNumberFormat="1" applyFont="1" applyFill="1" applyBorder="1" applyAlignment="1">
      <alignment horizontal="center"/>
    </xf>
    <xf numFmtId="3" fontId="27" fillId="21" borderId="8" xfId="0" applyNumberFormat="1" applyFont="1" applyFill="1" applyBorder="1" applyAlignment="1">
      <alignment horizontal="center"/>
    </xf>
    <xf numFmtId="3" fontId="27" fillId="21" borderId="47" xfId="0" applyNumberFormat="1" applyFont="1" applyFill="1" applyBorder="1" applyAlignment="1">
      <alignment horizontal="center"/>
    </xf>
    <xf numFmtId="0" fontId="2" fillId="0" borderId="3" xfId="0" applyFont="1" applyBorder="1"/>
    <xf numFmtId="0" fontId="25" fillId="15" borderId="3" xfId="0" applyFont="1" applyFill="1" applyBorder="1"/>
    <xf numFmtId="0" fontId="7" fillId="10" borderId="38" xfId="0" applyFont="1" applyFill="1" applyBorder="1" applyAlignment="1">
      <alignment horizontal="center" vertical="center"/>
    </xf>
    <xf numFmtId="3" fontId="8" fillId="10" borderId="39" xfId="0" applyNumberFormat="1" applyFont="1" applyFill="1" applyBorder="1" applyAlignment="1">
      <alignment horizontal="center" vertical="center"/>
    </xf>
    <xf numFmtId="0" fontId="37" fillId="22" borderId="3" xfId="0" applyFont="1" applyFill="1" applyBorder="1" applyAlignment="1">
      <alignment horizontal="center"/>
    </xf>
    <xf numFmtId="0" fontId="37" fillId="22" borderId="34" xfId="0" applyFont="1" applyFill="1" applyBorder="1" applyAlignment="1">
      <alignment horizontal="center"/>
    </xf>
    <xf numFmtId="0" fontId="37" fillId="0" borderId="19" xfId="0" applyFont="1" applyBorder="1"/>
    <xf numFmtId="0" fontId="37" fillId="0" borderId="49" xfId="0" applyFont="1" applyBorder="1"/>
    <xf numFmtId="0" fontId="37" fillId="0" borderId="20" xfId="0" applyFont="1" applyBorder="1"/>
    <xf numFmtId="0" fontId="37" fillId="0" borderId="50" xfId="0" applyFont="1" applyBorder="1" applyAlignment="1">
      <alignment horizontal="center"/>
    </xf>
    <xf numFmtId="171" fontId="37" fillId="0" borderId="50" xfId="0" applyNumberFormat="1" applyFont="1" applyBorder="1" applyAlignment="1">
      <alignment horizontal="center"/>
    </xf>
    <xf numFmtId="171" fontId="37" fillId="0" borderId="20" xfId="0" applyNumberFormat="1" applyFont="1" applyBorder="1" applyAlignment="1">
      <alignment horizontal="center"/>
    </xf>
    <xf numFmtId="0" fontId="0" fillId="23" borderId="3" xfId="0" applyFill="1" applyBorder="1" applyAlignment="1">
      <alignment horizontal="center" vertical="center"/>
    </xf>
    <xf numFmtId="0" fontId="37" fillId="0" borderId="26" xfId="0" applyFont="1" applyBorder="1"/>
    <xf numFmtId="0" fontId="38" fillId="0" borderId="51" xfId="0" applyFont="1" applyBorder="1" applyAlignment="1">
      <alignment horizontal="center"/>
    </xf>
    <xf numFmtId="0" fontId="37" fillId="0" borderId="51" xfId="0" applyFont="1" applyBorder="1" applyAlignment="1">
      <alignment horizontal="center"/>
    </xf>
    <xf numFmtId="0" fontId="37" fillId="0" borderId="25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37" fillId="0" borderId="50" xfId="0" applyFont="1" applyBorder="1"/>
    <xf numFmtId="0" fontId="38" fillId="0" borderId="50" xfId="0" applyFont="1" applyBorder="1" applyAlignment="1">
      <alignment horizontal="center"/>
    </xf>
    <xf numFmtId="0" fontId="37" fillId="0" borderId="0" xfId="0" applyFont="1"/>
    <xf numFmtId="172" fontId="37" fillId="0" borderId="50" xfId="0" applyNumberFormat="1" applyFont="1" applyBorder="1" applyAlignment="1">
      <alignment horizontal="center"/>
    </xf>
    <xf numFmtId="0" fontId="37" fillId="0" borderId="24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7" fillId="22" borderId="3" xfId="0" applyFont="1" applyFill="1" applyBorder="1" applyAlignment="1">
      <alignment horizontal="center" vertical="center"/>
    </xf>
    <xf numFmtId="0" fontId="37" fillId="22" borderId="34" xfId="0" applyFont="1" applyFill="1" applyBorder="1" applyAlignment="1">
      <alignment horizontal="center" vertical="center"/>
    </xf>
    <xf numFmtId="0" fontId="37" fillId="22" borderId="34" xfId="0" applyFont="1" applyFill="1" applyBorder="1" applyAlignment="1">
      <alignment horizontal="center" vertical="center" wrapText="1"/>
    </xf>
    <xf numFmtId="171" fontId="37" fillId="0" borderId="0" xfId="0" applyNumberFormat="1" applyFont="1" applyAlignment="1">
      <alignment horizontal="center"/>
    </xf>
    <xf numFmtId="0" fontId="37" fillId="22" borderId="34" xfId="0" applyFont="1" applyFill="1" applyBorder="1" applyAlignment="1">
      <alignment horizontal="center" wrapText="1"/>
    </xf>
    <xf numFmtId="0" fontId="0" fillId="0" borderId="49" xfId="0" applyBorder="1"/>
    <xf numFmtId="0" fontId="0" fillId="0" borderId="27" xfId="0" applyBorder="1"/>
    <xf numFmtId="3" fontId="37" fillId="0" borderId="50" xfId="0" applyNumberFormat="1" applyFont="1" applyBorder="1" applyAlignment="1">
      <alignment horizontal="center"/>
    </xf>
    <xf numFmtId="171" fontId="0" fillId="0" borderId="50" xfId="0" applyNumberFormat="1" applyBorder="1"/>
    <xf numFmtId="171" fontId="0" fillId="0" borderId="19" xfId="0" applyNumberFormat="1" applyBorder="1"/>
    <xf numFmtId="0" fontId="0" fillId="0" borderId="51" xfId="0" applyBorder="1"/>
    <xf numFmtId="0" fontId="37" fillId="22" borderId="32" xfId="0" applyFont="1" applyFill="1" applyBorder="1" applyAlignment="1">
      <alignment horizontal="center"/>
    </xf>
    <xf numFmtId="0" fontId="37" fillId="0" borderId="3" xfId="0" applyFont="1" applyBorder="1"/>
    <xf numFmtId="0" fontId="37" fillId="0" borderId="32" xfId="0" applyFont="1" applyBorder="1"/>
    <xf numFmtId="0" fontId="37" fillId="0" borderId="3" xfId="0" applyFont="1" applyBorder="1" applyAlignment="1">
      <alignment horizontal="center"/>
    </xf>
    <xf numFmtId="171" fontId="37" fillId="0" borderId="3" xfId="0" applyNumberFormat="1" applyFont="1" applyBorder="1" applyAlignment="1">
      <alignment horizontal="center"/>
    </xf>
    <xf numFmtId="171" fontId="37" fillId="0" borderId="32" xfId="0" applyNumberFormat="1" applyFont="1" applyBorder="1" applyAlignment="1">
      <alignment horizontal="center"/>
    </xf>
    <xf numFmtId="0" fontId="38" fillId="0" borderId="3" xfId="0" applyFont="1" applyBorder="1" applyAlignment="1">
      <alignment horizontal="center"/>
    </xf>
    <xf numFmtId="0" fontId="37" fillId="0" borderId="32" xfId="0" applyFont="1" applyBorder="1" applyAlignment="1">
      <alignment horizontal="center"/>
    </xf>
    <xf numFmtId="0" fontId="40" fillId="0" borderId="0" xfId="0" applyFont="1"/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71" fontId="0" fillId="0" borderId="3" xfId="0" applyNumberFormat="1" applyBorder="1"/>
    <xf numFmtId="0" fontId="37" fillId="22" borderId="33" xfId="0" applyFont="1" applyFill="1" applyBorder="1" applyAlignment="1">
      <alignment horizontal="center"/>
    </xf>
    <xf numFmtId="0" fontId="41" fillId="0" borderId="0" xfId="0" applyFont="1" applyAlignment="1">
      <alignment vertical="center"/>
    </xf>
    <xf numFmtId="0" fontId="15" fillId="18" borderId="34" xfId="0" applyFont="1" applyFill="1" applyBorder="1" applyAlignment="1">
      <alignment horizontal="center" vertical="center"/>
    </xf>
    <xf numFmtId="0" fontId="0" fillId="19" borderId="34" xfId="0" applyFill="1" applyBorder="1" applyAlignment="1">
      <alignment horizontal="center" vertical="center"/>
    </xf>
    <xf numFmtId="2" fontId="42" fillId="19" borderId="32" xfId="0" applyNumberFormat="1" applyFont="1" applyFill="1" applyBorder="1" applyAlignment="1">
      <alignment horizontal="center" vertical="center"/>
    </xf>
    <xf numFmtId="2" fontId="42" fillId="19" borderId="3" xfId="0" applyNumberFormat="1" applyFont="1" applyFill="1" applyBorder="1" applyAlignment="1">
      <alignment horizontal="center" vertical="center"/>
    </xf>
    <xf numFmtId="2" fontId="25" fillId="0" borderId="0" xfId="0" applyNumberFormat="1" applyFont="1"/>
    <xf numFmtId="0" fontId="25" fillId="0" borderId="0" xfId="0" applyFont="1"/>
    <xf numFmtId="2" fontId="34" fillId="9" borderId="32" xfId="0" applyNumberFormat="1" applyFont="1" applyFill="1" applyBorder="1" applyAlignment="1">
      <alignment horizontal="center" vertical="center"/>
    </xf>
    <xf numFmtId="4" fontId="34" fillId="9" borderId="32" xfId="0" applyNumberFormat="1" applyFont="1" applyFill="1" applyBorder="1" applyAlignment="1">
      <alignment horizontal="center" vertical="center"/>
    </xf>
    <xf numFmtId="0" fontId="2" fillId="19" borderId="34" xfId="0" applyFont="1" applyFill="1" applyBorder="1" applyAlignment="1">
      <alignment horizontal="center" vertical="center"/>
    </xf>
    <xf numFmtId="4" fontId="0" fillId="0" borderId="0" xfId="0" applyNumberFormat="1"/>
    <xf numFmtId="0" fontId="0" fillId="9" borderId="34" xfId="0" applyFill="1" applyBorder="1" applyAlignment="1">
      <alignment horizontal="center" vertical="center"/>
    </xf>
    <xf numFmtId="0" fontId="19" fillId="16" borderId="3" xfId="0" applyFont="1" applyFill="1" applyBorder="1"/>
    <xf numFmtId="0" fontId="43" fillId="16" borderId="3" xfId="0" applyFont="1" applyFill="1" applyBorder="1"/>
    <xf numFmtId="0" fontId="44" fillId="21" borderId="3" xfId="0" applyFont="1" applyFill="1" applyBorder="1"/>
    <xf numFmtId="0" fontId="44" fillId="21" borderId="3" xfId="0" applyFont="1" applyFill="1" applyBorder="1" applyAlignment="1">
      <alignment wrapText="1"/>
    </xf>
    <xf numFmtId="0" fontId="6" fillId="7" borderId="2" xfId="0" applyFont="1" applyFill="1" applyBorder="1"/>
    <xf numFmtId="3" fontId="46" fillId="7" borderId="2" xfId="0" applyNumberFormat="1" applyFont="1" applyFill="1" applyBorder="1"/>
    <xf numFmtId="0" fontId="5" fillId="6" borderId="52" xfId="0" applyFont="1" applyFill="1" applyBorder="1" applyAlignment="1">
      <alignment horizontal="center"/>
    </xf>
    <xf numFmtId="0" fontId="27" fillId="3" borderId="2" xfId="0" applyFont="1" applyFill="1" applyBorder="1" applyAlignment="1">
      <alignment horizontal="left"/>
    </xf>
    <xf numFmtId="3" fontId="27" fillId="3" borderId="2" xfId="0" applyNumberFormat="1" applyFont="1" applyFill="1" applyBorder="1" applyAlignment="1">
      <alignment horizontal="center"/>
    </xf>
    <xf numFmtId="164" fontId="27" fillId="3" borderId="2" xfId="0" applyNumberFormat="1" applyFont="1" applyFill="1" applyBorder="1" applyAlignment="1">
      <alignment horizontal="center"/>
    </xf>
    <xf numFmtId="173" fontId="27" fillId="3" borderId="2" xfId="0" applyNumberFormat="1" applyFont="1" applyFill="1" applyBorder="1" applyAlignment="1">
      <alignment horizontal="center"/>
    </xf>
    <xf numFmtId="0" fontId="27" fillId="3" borderId="2" xfId="0" applyFont="1" applyFill="1" applyBorder="1" applyAlignment="1">
      <alignment horizontal="center"/>
    </xf>
    <xf numFmtId="4" fontId="27" fillId="3" borderId="2" xfId="0" applyNumberFormat="1" applyFont="1" applyFill="1" applyBorder="1" applyAlignment="1">
      <alignment horizontal="center"/>
    </xf>
    <xf numFmtId="0" fontId="27" fillId="9" borderId="2" xfId="0" applyFont="1" applyFill="1" applyBorder="1" applyAlignment="1">
      <alignment horizontal="left"/>
    </xf>
    <xf numFmtId="3" fontId="27" fillId="9" borderId="2" xfId="0" applyNumberFormat="1" applyFont="1" applyFill="1" applyBorder="1" applyAlignment="1">
      <alignment horizontal="center"/>
    </xf>
    <xf numFmtId="164" fontId="27" fillId="9" borderId="2" xfId="0" applyNumberFormat="1" applyFont="1" applyFill="1" applyBorder="1" applyAlignment="1">
      <alignment horizontal="center"/>
    </xf>
    <xf numFmtId="173" fontId="27" fillId="9" borderId="2" xfId="0" applyNumberFormat="1" applyFont="1" applyFill="1" applyBorder="1" applyAlignment="1">
      <alignment horizontal="center"/>
    </xf>
    <xf numFmtId="0" fontId="27" fillId="9" borderId="2" xfId="0" applyFont="1" applyFill="1" applyBorder="1" applyAlignment="1">
      <alignment horizontal="center"/>
    </xf>
    <xf numFmtId="4" fontId="27" fillId="9" borderId="2" xfId="0" applyNumberFormat="1" applyFont="1" applyFill="1" applyBorder="1" applyAlignment="1">
      <alignment horizontal="center"/>
    </xf>
    <xf numFmtId="0" fontId="21" fillId="16" borderId="3" xfId="0" applyFont="1" applyFill="1" applyBorder="1"/>
    <xf numFmtId="0" fontId="0" fillId="21" borderId="3" xfId="0" applyFill="1" applyBorder="1"/>
    <xf numFmtId="0" fontId="0" fillId="9" borderId="3" xfId="0" applyFill="1" applyBorder="1"/>
    <xf numFmtId="0" fontId="21" fillId="18" borderId="32" xfId="0" applyFont="1" applyFill="1" applyBorder="1" applyAlignment="1">
      <alignment vertical="center"/>
    </xf>
    <xf numFmtId="0" fontId="21" fillId="18" borderId="34" xfId="0" applyFont="1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21" borderId="19" xfId="0" applyFill="1" applyBorder="1" applyAlignment="1">
      <alignment vertical="center"/>
    </xf>
    <xf numFmtId="3" fontId="0" fillId="21" borderId="20" xfId="0" applyNumberForma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21" borderId="26" xfId="0" applyFill="1" applyBorder="1" applyAlignment="1">
      <alignment vertical="center"/>
    </xf>
    <xf numFmtId="0" fontId="0" fillId="21" borderId="25" xfId="0" applyFill="1" applyBorder="1" applyAlignment="1">
      <alignment vertical="center"/>
    </xf>
    <xf numFmtId="0" fontId="22" fillId="0" borderId="53" xfId="0" applyFont="1" applyBorder="1"/>
    <xf numFmtId="4" fontId="48" fillId="0" borderId="53" xfId="0" applyNumberFormat="1" applyFont="1" applyBorder="1"/>
    <xf numFmtId="0" fontId="51" fillId="0" borderId="0" xfId="2"/>
    <xf numFmtId="0" fontId="51" fillId="30" borderId="0" xfId="2" applyFill="1"/>
    <xf numFmtId="0" fontId="51" fillId="28" borderId="0" xfId="2" applyFill="1"/>
    <xf numFmtId="0" fontId="4" fillId="30" borderId="64" xfId="2" applyFont="1" applyFill="1" applyBorder="1" applyAlignment="1">
      <alignment horizontal="left" vertical="center" indent="1"/>
    </xf>
    <xf numFmtId="0" fontId="63" fillId="31" borderId="65" xfId="2" applyFont="1" applyFill="1" applyBorder="1" applyAlignment="1">
      <alignment horizontal="left" vertical="center" indent="1"/>
    </xf>
    <xf numFmtId="0" fontId="64" fillId="33" borderId="64" xfId="2" applyFont="1" applyFill="1" applyBorder="1" applyAlignment="1">
      <alignment horizontal="left" vertical="center" indent="1"/>
    </xf>
    <xf numFmtId="0" fontId="65" fillId="34" borderId="66" xfId="2" applyFont="1" applyFill="1" applyBorder="1" applyAlignment="1">
      <alignment horizontal="left" vertical="center" indent="1"/>
    </xf>
    <xf numFmtId="0" fontId="65" fillId="34" borderId="67" xfId="2" applyFont="1" applyFill="1" applyBorder="1" applyAlignment="1">
      <alignment horizontal="left" vertical="center" indent="1"/>
    </xf>
    <xf numFmtId="0" fontId="51" fillId="35" borderId="0" xfId="2" applyFill="1"/>
    <xf numFmtId="0" fontId="66" fillId="32" borderId="64" xfId="2" applyFont="1" applyFill="1" applyBorder="1" applyAlignment="1">
      <alignment horizontal="left" vertical="center" indent="1"/>
    </xf>
    <xf numFmtId="0" fontId="67" fillId="32" borderId="65" xfId="2" applyFont="1" applyFill="1" applyBorder="1" applyAlignment="1">
      <alignment horizontal="left" vertical="center" indent="1"/>
    </xf>
    <xf numFmtId="0" fontId="51" fillId="29" borderId="0" xfId="2" applyFill="1"/>
    <xf numFmtId="0" fontId="61" fillId="28" borderId="55" xfId="2" applyFont="1" applyFill="1" applyBorder="1" applyAlignment="1">
      <alignment horizontal="center" vertical="center"/>
    </xf>
    <xf numFmtId="0" fontId="61" fillId="28" borderId="63" xfId="2" applyFont="1" applyFill="1" applyBorder="1" applyAlignment="1">
      <alignment horizontal="center" vertical="center"/>
    </xf>
    <xf numFmtId="0" fontId="61" fillId="28" borderId="61" xfId="2" applyFont="1" applyFill="1" applyBorder="1" applyAlignment="1">
      <alignment horizontal="center" vertical="center"/>
    </xf>
    <xf numFmtId="0" fontId="59" fillId="32" borderId="55" xfId="2" applyFont="1" applyFill="1" applyBorder="1" applyAlignment="1">
      <alignment horizontal="center" vertical="center"/>
    </xf>
    <xf numFmtId="164" fontId="57" fillId="32" borderId="0" xfId="2" applyNumberFormat="1" applyFont="1" applyFill="1" applyAlignment="1">
      <alignment horizontal="center" vertical="center"/>
    </xf>
    <xf numFmtId="0" fontId="56" fillId="29" borderId="54" xfId="2" applyFont="1" applyFill="1" applyBorder="1" applyAlignment="1">
      <alignment horizontal="center" vertical="center"/>
    </xf>
    <xf numFmtId="0" fontId="51" fillId="36" borderId="0" xfId="2" applyFill="1"/>
    <xf numFmtId="0" fontId="50" fillId="36" borderId="68" xfId="2" applyFont="1" applyFill="1" applyBorder="1" applyAlignment="1">
      <alignment horizontal="center" vertical="center"/>
    </xf>
    <xf numFmtId="164" fontId="50" fillId="36" borderId="69" xfId="2" applyNumberFormat="1" applyFont="1" applyFill="1" applyBorder="1" applyAlignment="1">
      <alignment horizontal="center" vertical="center"/>
    </xf>
    <xf numFmtId="3" fontId="50" fillId="36" borderId="69" xfId="2" applyNumberFormat="1" applyFont="1" applyFill="1" applyBorder="1" applyAlignment="1">
      <alignment horizontal="right" vertical="center"/>
    </xf>
    <xf numFmtId="0" fontId="50" fillId="36" borderId="69" xfId="2" applyFont="1" applyFill="1" applyBorder="1" applyAlignment="1">
      <alignment horizontal="left" vertical="center" indent="1"/>
    </xf>
    <xf numFmtId="0" fontId="50" fillId="36" borderId="70" xfId="2" applyFont="1" applyFill="1" applyBorder="1" applyAlignment="1">
      <alignment horizontal="center" vertical="center"/>
    </xf>
    <xf numFmtId="0" fontId="50" fillId="30" borderId="71" xfId="2" applyFont="1" applyFill="1" applyBorder="1" applyAlignment="1">
      <alignment horizontal="center" vertical="center"/>
    </xf>
    <xf numFmtId="164" fontId="50" fillId="30" borderId="72" xfId="2" applyNumberFormat="1" applyFont="1" applyFill="1" applyBorder="1" applyAlignment="1">
      <alignment horizontal="center" vertical="center"/>
    </xf>
    <xf numFmtId="3" fontId="50" fillId="30" borderId="72" xfId="2" applyNumberFormat="1" applyFont="1" applyFill="1" applyBorder="1" applyAlignment="1">
      <alignment horizontal="right" vertical="center"/>
    </xf>
    <xf numFmtId="0" fontId="50" fillId="30" borderId="72" xfId="2" applyFont="1" applyFill="1" applyBorder="1" applyAlignment="1">
      <alignment horizontal="left" vertical="center" indent="1"/>
    </xf>
    <xf numFmtId="0" fontId="50" fillId="30" borderId="73" xfId="2" applyFont="1" applyFill="1" applyBorder="1" applyAlignment="1">
      <alignment horizontal="center" vertical="center"/>
    </xf>
    <xf numFmtId="0" fontId="50" fillId="36" borderId="71" xfId="2" applyFont="1" applyFill="1" applyBorder="1" applyAlignment="1">
      <alignment horizontal="center" vertical="center"/>
    </xf>
    <xf numFmtId="164" fontId="50" fillId="36" borderId="72" xfId="2" applyNumberFormat="1" applyFont="1" applyFill="1" applyBorder="1" applyAlignment="1">
      <alignment horizontal="center" vertical="center"/>
    </xf>
    <xf numFmtId="3" fontId="50" fillId="36" borderId="72" xfId="2" applyNumberFormat="1" applyFont="1" applyFill="1" applyBorder="1" applyAlignment="1">
      <alignment horizontal="right" vertical="center"/>
    </xf>
    <xf numFmtId="0" fontId="50" fillId="36" borderId="72" xfId="2" applyFont="1" applyFill="1" applyBorder="1" applyAlignment="1">
      <alignment horizontal="left" vertical="center" indent="1"/>
    </xf>
    <xf numFmtId="0" fontId="50" fillId="36" borderId="73" xfId="2" applyFont="1" applyFill="1" applyBorder="1" applyAlignment="1">
      <alignment horizontal="center" vertical="center"/>
    </xf>
    <xf numFmtId="0" fontId="49" fillId="37" borderId="71" xfId="2" applyFont="1" applyFill="1" applyBorder="1" applyAlignment="1">
      <alignment horizontal="center" vertical="center"/>
    </xf>
    <xf numFmtId="164" fontId="49" fillId="37" borderId="72" xfId="2" applyNumberFormat="1" applyFont="1" applyFill="1" applyBorder="1" applyAlignment="1">
      <alignment horizontal="center" vertical="center"/>
    </xf>
    <xf numFmtId="3" fontId="49" fillId="37" borderId="72" xfId="2" applyNumberFormat="1" applyFont="1" applyFill="1" applyBorder="1" applyAlignment="1">
      <alignment horizontal="right" vertical="center"/>
    </xf>
    <xf numFmtId="0" fontId="72" fillId="37" borderId="72" xfId="2" applyFont="1" applyFill="1" applyBorder="1" applyAlignment="1">
      <alignment horizontal="left" vertical="center" indent="1"/>
    </xf>
    <xf numFmtId="0" fontId="49" fillId="37" borderId="73" xfId="2" applyFont="1" applyFill="1" applyBorder="1" applyAlignment="1">
      <alignment horizontal="center" vertical="center"/>
    </xf>
    <xf numFmtId="0" fontId="56" fillId="38" borderId="71" xfId="2" applyFont="1" applyFill="1" applyBorder="1" applyAlignment="1">
      <alignment horizontal="center" vertical="center"/>
    </xf>
    <xf numFmtId="164" fontId="56" fillId="38" borderId="72" xfId="2" applyNumberFormat="1" applyFont="1" applyFill="1" applyBorder="1" applyAlignment="1">
      <alignment horizontal="center" vertical="center"/>
    </xf>
    <xf numFmtId="3" fontId="56" fillId="38" borderId="72" xfId="2" applyNumberFormat="1" applyFont="1" applyFill="1" applyBorder="1" applyAlignment="1">
      <alignment horizontal="right" vertical="center"/>
    </xf>
    <xf numFmtId="0" fontId="70" fillId="38" borderId="72" xfId="2" applyFont="1" applyFill="1" applyBorder="1" applyAlignment="1">
      <alignment horizontal="left" vertical="center" indent="1"/>
    </xf>
    <xf numFmtId="0" fontId="56" fillId="38" borderId="73" xfId="2" applyFont="1" applyFill="1" applyBorder="1" applyAlignment="1">
      <alignment horizontal="center" vertical="center"/>
    </xf>
    <xf numFmtId="0" fontId="56" fillId="39" borderId="74" xfId="2" applyFont="1" applyFill="1" applyBorder="1" applyAlignment="1">
      <alignment horizontal="center" vertical="center"/>
    </xf>
    <xf numFmtId="164" fontId="56" fillId="39" borderId="75" xfId="2" applyNumberFormat="1" applyFont="1" applyFill="1" applyBorder="1" applyAlignment="1">
      <alignment horizontal="center" vertical="center"/>
    </xf>
    <xf numFmtId="3" fontId="56" fillId="39" borderId="75" xfId="2" applyNumberFormat="1" applyFont="1" applyFill="1" applyBorder="1" applyAlignment="1">
      <alignment horizontal="right" vertical="center"/>
    </xf>
    <xf numFmtId="0" fontId="70" fillId="39" borderId="75" xfId="2" applyFont="1" applyFill="1" applyBorder="1" applyAlignment="1">
      <alignment horizontal="left" vertical="center" indent="1"/>
    </xf>
    <xf numFmtId="0" fontId="56" fillId="39" borderId="76" xfId="2" applyFont="1" applyFill="1" applyBorder="1" applyAlignment="1">
      <alignment horizontal="center" vertical="center"/>
    </xf>
    <xf numFmtId="0" fontId="49" fillId="40" borderId="77" xfId="2" applyFont="1" applyFill="1" applyBorder="1" applyAlignment="1">
      <alignment horizontal="center" vertical="center"/>
    </xf>
    <xf numFmtId="0" fontId="49" fillId="40" borderId="77" xfId="2" applyFont="1" applyFill="1" applyBorder="1" applyAlignment="1">
      <alignment horizontal="left" vertical="center"/>
    </xf>
    <xf numFmtId="0" fontId="74" fillId="28" borderId="0" xfId="2" applyFont="1" applyFill="1" applyAlignment="1">
      <alignment horizontal="right" vertical="center"/>
    </xf>
    <xf numFmtId="0" fontId="76" fillId="0" borderId="0" xfId="2" applyFont="1"/>
    <xf numFmtId="164" fontId="79" fillId="26" borderId="1" xfId="2" applyNumberFormat="1" applyFont="1" applyFill="1" applyBorder="1" applyAlignment="1">
      <alignment horizontal="center" vertical="center"/>
    </xf>
    <xf numFmtId="4" fontId="79" fillId="26" borderId="1" xfId="2" applyNumberFormat="1" applyFont="1" applyFill="1" applyBorder="1" applyAlignment="1">
      <alignment horizontal="center" vertical="center"/>
    </xf>
    <xf numFmtId="49" fontId="79" fillId="26" borderId="1" xfId="2" applyNumberFormat="1" applyFont="1" applyFill="1" applyBorder="1" applyAlignment="1">
      <alignment horizontal="center" vertical="center"/>
    </xf>
    <xf numFmtId="164" fontId="79" fillId="9" borderId="1" xfId="2" applyNumberFormat="1" applyFont="1" applyFill="1" applyBorder="1" applyAlignment="1">
      <alignment horizontal="center" vertical="center"/>
    </xf>
    <xf numFmtId="4" fontId="79" fillId="9" borderId="1" xfId="2" applyNumberFormat="1" applyFont="1" applyFill="1" applyBorder="1" applyAlignment="1">
      <alignment horizontal="center" vertical="center"/>
    </xf>
    <xf numFmtId="49" fontId="79" fillId="9" borderId="1" xfId="2" applyNumberFormat="1" applyFont="1" applyFill="1" applyBorder="1" applyAlignment="1">
      <alignment horizontal="center" vertical="center"/>
    </xf>
    <xf numFmtId="0" fontId="81" fillId="24" borderId="1" xfId="2" applyFont="1" applyFill="1" applyBorder="1" applyAlignment="1">
      <alignment horizontal="center" vertical="center"/>
    </xf>
    <xf numFmtId="0" fontId="76" fillId="25" borderId="0" xfId="2" applyFont="1" applyFill="1"/>
    <xf numFmtId="0" fontId="83" fillId="42" borderId="1" xfId="2" applyFont="1" applyFill="1" applyBorder="1" applyAlignment="1">
      <alignment horizontal="center" vertical="center" wrapText="1"/>
    </xf>
    <xf numFmtId="1" fontId="79" fillId="26" borderId="77" xfId="2" applyNumberFormat="1" applyFont="1" applyFill="1" applyBorder="1" applyAlignment="1">
      <alignment horizontal="center" vertical="center"/>
    </xf>
    <xf numFmtId="3" fontId="79" fillId="26" borderId="77" xfId="2" applyNumberFormat="1" applyFont="1" applyFill="1" applyBorder="1" applyAlignment="1">
      <alignment horizontal="center" vertical="center"/>
    </xf>
    <xf numFmtId="173" fontId="79" fillId="26" borderId="77" xfId="2" applyNumberFormat="1" applyFont="1" applyFill="1" applyBorder="1" applyAlignment="1">
      <alignment horizontal="center" vertical="center"/>
    </xf>
    <xf numFmtId="49" fontId="79" fillId="26" borderId="77" xfId="2" applyNumberFormat="1" applyFont="1" applyFill="1" applyBorder="1" applyAlignment="1">
      <alignment horizontal="center" vertical="center"/>
    </xf>
    <xf numFmtId="164" fontId="79" fillId="26" borderId="77" xfId="2" applyNumberFormat="1" applyFont="1" applyFill="1" applyBorder="1" applyAlignment="1">
      <alignment horizontal="center" vertical="center"/>
    </xf>
    <xf numFmtId="1" fontId="79" fillId="9" borderId="1" xfId="2" applyNumberFormat="1" applyFont="1" applyFill="1" applyBorder="1" applyAlignment="1">
      <alignment horizontal="center" vertical="center"/>
    </xf>
    <xf numFmtId="3" fontId="79" fillId="9" borderId="1" xfId="2" applyNumberFormat="1" applyFont="1" applyFill="1" applyBorder="1" applyAlignment="1">
      <alignment horizontal="center" vertical="center"/>
    </xf>
    <xf numFmtId="173" fontId="79" fillId="9" borderId="1" xfId="2" applyNumberFormat="1" applyFont="1" applyFill="1" applyBorder="1" applyAlignment="1">
      <alignment horizontal="center" vertical="center"/>
    </xf>
    <xf numFmtId="1" fontId="79" fillId="26" borderId="1" xfId="2" applyNumberFormat="1" applyFont="1" applyFill="1" applyBorder="1" applyAlignment="1">
      <alignment horizontal="center" vertical="center"/>
    </xf>
    <xf numFmtId="3" fontId="79" fillId="26" borderId="1" xfId="2" applyNumberFormat="1" applyFont="1" applyFill="1" applyBorder="1" applyAlignment="1">
      <alignment horizontal="center" vertical="center"/>
    </xf>
    <xf numFmtId="173" fontId="79" fillId="26" borderId="1" xfId="2" applyNumberFormat="1" applyFont="1" applyFill="1" applyBorder="1" applyAlignment="1">
      <alignment horizontal="center" vertical="center"/>
    </xf>
    <xf numFmtId="0" fontId="81" fillId="4" borderId="1" xfId="2" applyFont="1" applyFill="1" applyBorder="1" applyAlignment="1">
      <alignment horizontal="center" vertical="center"/>
    </xf>
    <xf numFmtId="0" fontId="76" fillId="4" borderId="0" xfId="2" applyFont="1" applyFill="1"/>
    <xf numFmtId="0" fontId="51" fillId="19" borderId="34" xfId="0" applyFont="1" applyFill="1" applyBorder="1" applyAlignment="1">
      <alignment horizontal="center" vertical="center"/>
    </xf>
    <xf numFmtId="0" fontId="20" fillId="16" borderId="34" xfId="0" applyFont="1" applyFill="1" applyBorder="1" applyAlignment="1">
      <alignment horizontal="center"/>
    </xf>
    <xf numFmtId="0" fontId="25" fillId="15" borderId="34" xfId="0" applyFont="1" applyFill="1" applyBorder="1" applyAlignment="1">
      <alignment horizontal="center"/>
    </xf>
    <xf numFmtId="0" fontId="0" fillId="0" borderId="34" xfId="0" applyBorder="1"/>
    <xf numFmtId="1" fontId="27" fillId="0" borderId="3" xfId="0" applyNumberFormat="1" applyFont="1" applyBorder="1" applyAlignment="1">
      <alignment horizontal="center"/>
    </xf>
    <xf numFmtId="3" fontId="27" fillId="0" borderId="3" xfId="0" applyNumberFormat="1" applyFont="1" applyBorder="1" applyAlignment="1">
      <alignment horizontal="center"/>
    </xf>
    <xf numFmtId="1" fontId="27" fillId="0" borderId="3" xfId="0" applyNumberFormat="1" applyFont="1" applyBorder="1" applyAlignment="1">
      <alignment horizontal="center" vertical="center"/>
    </xf>
    <xf numFmtId="3" fontId="27" fillId="0" borderId="3" xfId="0" applyNumberFormat="1" applyFont="1" applyBorder="1" applyAlignment="1">
      <alignment horizontal="center" vertical="center"/>
    </xf>
    <xf numFmtId="0" fontId="25" fillId="43" borderId="3" xfId="0" applyFont="1" applyFill="1" applyBorder="1" applyAlignment="1">
      <alignment horizontal="center"/>
    </xf>
    <xf numFmtId="4" fontId="0" fillId="0" borderId="20" xfId="0" applyNumberFormat="1" applyBorder="1"/>
    <xf numFmtId="4" fontId="0" fillId="0" borderId="25" xfId="0" applyNumberFormat="1" applyBorder="1"/>
    <xf numFmtId="0" fontId="0" fillId="44" borderId="19" xfId="0" applyFill="1" applyBorder="1"/>
    <xf numFmtId="4" fontId="0" fillId="44" borderId="20" xfId="0" applyNumberFormat="1" applyFill="1" applyBorder="1"/>
    <xf numFmtId="0" fontId="87" fillId="45" borderId="3" xfId="0" applyFont="1" applyFill="1" applyBorder="1"/>
    <xf numFmtId="14" fontId="0" fillId="0" borderId="0" xfId="0" applyNumberFormat="1"/>
    <xf numFmtId="14" fontId="8" fillId="0" borderId="3" xfId="0" applyNumberFormat="1" applyFont="1" applyBorder="1" applyAlignment="1">
      <alignment horizontal="center" vertical="center"/>
    </xf>
    <xf numFmtId="14" fontId="8" fillId="11" borderId="3" xfId="0" applyNumberFormat="1" applyFont="1" applyFill="1" applyBorder="1" applyAlignment="1">
      <alignment horizontal="center" vertical="center"/>
    </xf>
    <xf numFmtId="14" fontId="8" fillId="0" borderId="0" xfId="0" applyNumberFormat="1" applyFont="1"/>
    <xf numFmtId="14" fontId="8" fillId="0" borderId="0" xfId="0" applyNumberFormat="1" applyFont="1" applyAlignment="1">
      <alignment horizontal="center" vertical="center"/>
    </xf>
    <xf numFmtId="14" fontId="20" fillId="16" borderId="3" xfId="0" applyNumberFormat="1" applyFont="1" applyFill="1" applyBorder="1" applyAlignment="1">
      <alignment horizontal="center"/>
    </xf>
    <xf numFmtId="14" fontId="27" fillId="21" borderId="3" xfId="0" applyNumberFormat="1" applyFont="1" applyFill="1" applyBorder="1" applyAlignment="1">
      <alignment horizontal="center" vertical="center"/>
    </xf>
    <xf numFmtId="14" fontId="27" fillId="0" borderId="3" xfId="0" applyNumberFormat="1" applyFont="1" applyBorder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14" fontId="20" fillId="16" borderId="40" xfId="0" applyNumberFormat="1" applyFont="1" applyFill="1" applyBorder="1" applyAlignment="1">
      <alignment horizontal="center"/>
    </xf>
    <xf numFmtId="14" fontId="27" fillId="21" borderId="8" xfId="0" applyNumberFormat="1" applyFont="1" applyFill="1" applyBorder="1" applyAlignment="1">
      <alignment horizontal="center" vertical="center"/>
    </xf>
    <xf numFmtId="14" fontId="8" fillId="14" borderId="3" xfId="0" applyNumberFormat="1" applyFont="1" applyFill="1" applyBorder="1" applyAlignment="1">
      <alignment horizontal="center" vertical="center"/>
    </xf>
    <xf numFmtId="14" fontId="5" fillId="8" borderId="3" xfId="0" applyNumberFormat="1" applyFont="1" applyFill="1" applyBorder="1" applyAlignment="1">
      <alignment horizontal="center" vertical="center"/>
    </xf>
    <xf numFmtId="14" fontId="33" fillId="8" borderId="3" xfId="0" applyNumberFormat="1" applyFont="1" applyFill="1" applyBorder="1" applyAlignment="1">
      <alignment horizontal="center" vertical="center"/>
    </xf>
    <xf numFmtId="0" fontId="88" fillId="46" borderId="0" xfId="2" applyFont="1" applyFill="1" applyAlignment="1">
      <alignment horizontal="center"/>
    </xf>
    <xf numFmtId="0" fontId="68" fillId="28" borderId="0" xfId="2" applyFont="1" applyFill="1" applyAlignment="1">
      <alignment horizontal="center"/>
    </xf>
    <xf numFmtId="0" fontId="73" fillId="28" borderId="0" xfId="2" applyFont="1" applyFill="1" applyAlignment="1">
      <alignment horizontal="left"/>
    </xf>
    <xf numFmtId="49" fontId="90" fillId="30" borderId="79" xfId="0" applyNumberFormat="1" applyFont="1" applyFill="1" applyBorder="1" applyAlignment="1">
      <alignment horizontal="center" vertical="center"/>
    </xf>
    <xf numFmtId="3" fontId="90" fillId="30" borderId="79" xfId="0" applyNumberFormat="1" applyFont="1" applyFill="1" applyBorder="1" applyAlignment="1">
      <alignment horizontal="center" vertical="center"/>
    </xf>
    <xf numFmtId="1" fontId="90" fillId="30" borderId="79" xfId="0" applyNumberFormat="1" applyFont="1" applyFill="1" applyBorder="1" applyAlignment="1">
      <alignment horizontal="center" vertical="center"/>
    </xf>
    <xf numFmtId="3" fontId="90" fillId="30" borderId="80" xfId="0" applyNumberFormat="1" applyFont="1" applyFill="1" applyBorder="1" applyAlignment="1">
      <alignment horizontal="center" vertical="center"/>
    </xf>
    <xf numFmtId="49" fontId="90" fillId="48" borderId="79" xfId="0" applyNumberFormat="1" applyFont="1" applyFill="1" applyBorder="1" applyAlignment="1">
      <alignment horizontal="center" vertical="center"/>
    </xf>
    <xf numFmtId="3" fontId="90" fillId="48" borderId="79" xfId="0" applyNumberFormat="1" applyFont="1" applyFill="1" applyBorder="1" applyAlignment="1">
      <alignment horizontal="center" vertical="center"/>
    </xf>
    <xf numFmtId="1" fontId="90" fillId="48" borderId="79" xfId="0" applyNumberFormat="1" applyFont="1" applyFill="1" applyBorder="1" applyAlignment="1">
      <alignment horizontal="center" vertical="center"/>
    </xf>
    <xf numFmtId="3" fontId="90" fillId="48" borderId="80" xfId="0" applyNumberFormat="1" applyFont="1" applyFill="1" applyBorder="1" applyAlignment="1">
      <alignment horizontal="center" vertical="center"/>
    </xf>
    <xf numFmtId="49" fontId="90" fillId="48" borderId="82" xfId="0" applyNumberFormat="1" applyFont="1" applyFill="1" applyBorder="1" applyAlignment="1">
      <alignment horizontal="center" vertical="center"/>
    </xf>
    <xf numFmtId="3" fontId="90" fillId="48" borderId="82" xfId="0" applyNumberFormat="1" applyFont="1" applyFill="1" applyBorder="1" applyAlignment="1">
      <alignment horizontal="center" vertical="center"/>
    </xf>
    <xf numFmtId="1" fontId="90" fillId="48" borderId="82" xfId="0" applyNumberFormat="1" applyFont="1" applyFill="1" applyBorder="1" applyAlignment="1">
      <alignment horizontal="center" vertical="center"/>
    </xf>
    <xf numFmtId="3" fontId="90" fillId="48" borderId="83" xfId="0" applyNumberFormat="1" applyFont="1" applyFill="1" applyBorder="1" applyAlignment="1">
      <alignment horizontal="center" vertical="center"/>
    </xf>
    <xf numFmtId="14" fontId="89" fillId="47" borderId="84" xfId="0" applyNumberFormat="1" applyFont="1" applyFill="1" applyBorder="1" applyAlignment="1">
      <alignment horizontal="center" vertical="center"/>
    </xf>
    <xf numFmtId="0" fontId="89" fillId="47" borderId="85" xfId="0" applyFont="1" applyFill="1" applyBorder="1" applyAlignment="1">
      <alignment horizontal="center" vertical="center"/>
    </xf>
    <xf numFmtId="0" fontId="89" fillId="47" borderId="86" xfId="0" applyFont="1" applyFill="1" applyBorder="1" applyAlignment="1">
      <alignment horizontal="center" vertical="center"/>
    </xf>
    <xf numFmtId="0" fontId="51" fillId="19" borderId="8" xfId="0" applyFont="1" applyFill="1" applyBorder="1" applyAlignment="1">
      <alignment horizontal="left" vertical="center" wrapText="1"/>
    </xf>
    <xf numFmtId="14" fontId="90" fillId="48" borderId="81" xfId="0" applyNumberFormat="1" applyFont="1" applyFill="1" applyBorder="1" applyAlignment="1">
      <alignment horizontal="center" vertical="center"/>
    </xf>
    <xf numFmtId="14" fontId="90" fillId="30" borderId="78" xfId="0" applyNumberFormat="1" applyFont="1" applyFill="1" applyBorder="1" applyAlignment="1">
      <alignment horizontal="center" vertical="center"/>
    </xf>
    <xf numFmtId="14" fontId="90" fillId="48" borderId="78" xfId="0" applyNumberFormat="1" applyFont="1" applyFill="1" applyBorder="1" applyAlignment="1">
      <alignment horizontal="center" vertical="center"/>
    </xf>
    <xf numFmtId="3" fontId="71" fillId="29" borderId="88" xfId="2" applyNumberFormat="1" applyFont="1" applyFill="1" applyBorder="1" applyAlignment="1">
      <alignment horizontal="right" vertical="center"/>
    </xf>
    <xf numFmtId="0" fontId="8" fillId="49" borderId="3" xfId="0" applyFont="1" applyFill="1" applyBorder="1" applyAlignment="1">
      <alignment horizontal="center" vertical="center"/>
    </xf>
    <xf numFmtId="14" fontId="8" fillId="50" borderId="3" xfId="0" applyNumberFormat="1" applyFont="1" applyFill="1" applyBorder="1" applyAlignment="1">
      <alignment horizontal="center" vertical="center"/>
    </xf>
    <xf numFmtId="0" fontId="8" fillId="51" borderId="3" xfId="0" applyFont="1" applyFill="1" applyBorder="1" applyAlignment="1">
      <alignment horizontal="center" vertical="center"/>
    </xf>
    <xf numFmtId="3" fontId="8" fillId="51" borderId="3" xfId="0" applyNumberFormat="1" applyFont="1" applyFill="1" applyBorder="1" applyAlignment="1">
      <alignment horizontal="center" vertical="center"/>
    </xf>
    <xf numFmtId="0" fontId="92" fillId="12" borderId="3" xfId="0" applyFont="1" applyFill="1" applyBorder="1" applyAlignment="1">
      <alignment horizontal="center" vertical="center"/>
    </xf>
    <xf numFmtId="3" fontId="92" fillId="12" borderId="3" xfId="0" applyNumberFormat="1" applyFont="1" applyFill="1" applyBorder="1" applyAlignment="1">
      <alignment horizontal="center" vertical="center"/>
    </xf>
    <xf numFmtId="14" fontId="92" fillId="0" borderId="3" xfId="0" applyNumberFormat="1" applyFont="1" applyBorder="1" applyAlignment="1">
      <alignment horizontal="center" vertical="center"/>
    </xf>
    <xf numFmtId="0" fontId="92" fillId="52" borderId="3" xfId="0" applyFont="1" applyFill="1" applyBorder="1" applyAlignment="1">
      <alignment horizontal="center" vertical="center"/>
    </xf>
    <xf numFmtId="3" fontId="92" fillId="52" borderId="3" xfId="0" applyNumberFormat="1" applyFont="1" applyFill="1" applyBorder="1" applyAlignment="1">
      <alignment horizontal="center" vertical="center"/>
    </xf>
    <xf numFmtId="0" fontId="94" fillId="0" borderId="0" xfId="0" applyFont="1"/>
    <xf numFmtId="0" fontId="8" fillId="53" borderId="3" xfId="0" applyFont="1" applyFill="1" applyBorder="1" applyAlignment="1">
      <alignment horizontal="center" vertical="center"/>
    </xf>
    <xf numFmtId="0" fontId="25" fillId="9" borderId="3" xfId="0" applyFont="1" applyFill="1" applyBorder="1" applyAlignment="1">
      <alignment horizontal="center" wrapText="1"/>
    </xf>
    <xf numFmtId="3" fontId="92" fillId="51" borderId="3" xfId="0" applyNumberFormat="1" applyFont="1" applyFill="1" applyBorder="1" applyAlignment="1">
      <alignment horizontal="center" vertical="center"/>
    </xf>
    <xf numFmtId="0" fontId="92" fillId="51" borderId="3" xfId="0" applyFont="1" applyFill="1" applyBorder="1" applyAlignment="1">
      <alignment horizontal="center" vertical="center"/>
    </xf>
    <xf numFmtId="14" fontId="92" fillId="50" borderId="3" xfId="0" applyNumberFormat="1" applyFont="1" applyFill="1" applyBorder="1" applyAlignment="1">
      <alignment horizontal="center" vertical="center"/>
    </xf>
    <xf numFmtId="0" fontId="51" fillId="0" borderId="1" xfId="2" applyBorder="1"/>
    <xf numFmtId="0" fontId="94" fillId="9" borderId="3" xfId="0" applyFont="1" applyFill="1" applyBorder="1" applyAlignment="1">
      <alignment horizontal="center" vertical="center" wrapText="1"/>
    </xf>
    <xf numFmtId="1" fontId="27" fillId="48" borderId="3" xfId="0" applyNumberFormat="1" applyFont="1" applyFill="1" applyBorder="1" applyAlignment="1">
      <alignment horizontal="center" vertical="center"/>
    </xf>
    <xf numFmtId="3" fontId="27" fillId="48" borderId="3" xfId="0" applyNumberFormat="1" applyFont="1" applyFill="1" applyBorder="1" applyAlignment="1">
      <alignment horizontal="center" vertical="center"/>
    </xf>
    <xf numFmtId="3" fontId="24" fillId="48" borderId="3" xfId="0" applyNumberFormat="1" applyFont="1" applyFill="1" applyBorder="1" applyAlignment="1">
      <alignment horizontal="center" vertical="center"/>
    </xf>
    <xf numFmtId="0" fontId="25" fillId="9" borderId="3" xfId="0" applyFont="1" applyFill="1" applyBorder="1" applyAlignment="1">
      <alignment horizontal="center" vertical="center" wrapText="1"/>
    </xf>
    <xf numFmtId="0" fontId="96" fillId="54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92" fillId="49" borderId="3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 wrapText="1"/>
    </xf>
    <xf numFmtId="0" fontId="97" fillId="30" borderId="1" xfId="2" applyFont="1" applyFill="1" applyBorder="1" applyAlignment="1">
      <alignment horizontal="center"/>
    </xf>
    <xf numFmtId="0" fontId="98" fillId="41" borderId="1" xfId="2" applyFont="1" applyFill="1" applyBorder="1" applyAlignment="1">
      <alignment horizontal="center"/>
    </xf>
    <xf numFmtId="0" fontId="100" fillId="30" borderId="90" xfId="2" applyFont="1" applyFill="1" applyBorder="1" applyAlignment="1">
      <alignment horizontal="center"/>
    </xf>
    <xf numFmtId="175" fontId="103" fillId="30" borderId="0" xfId="2" applyNumberFormat="1" applyFont="1" applyFill="1" applyAlignment="1">
      <alignment horizontal="center"/>
    </xf>
    <xf numFmtId="175" fontId="103" fillId="41" borderId="0" xfId="2" applyNumberFormat="1" applyFont="1" applyFill="1" applyAlignment="1">
      <alignment horizontal="center"/>
    </xf>
    <xf numFmtId="175" fontId="104" fillId="41" borderId="0" xfId="2" applyNumberFormat="1" applyFont="1" applyFill="1" applyAlignment="1">
      <alignment horizontal="center"/>
    </xf>
    <xf numFmtId="3" fontId="8" fillId="49" borderId="3" xfId="0" applyNumberFormat="1" applyFont="1" applyFill="1" applyBorder="1" applyAlignment="1">
      <alignment horizontal="center" vertical="center"/>
    </xf>
    <xf numFmtId="0" fontId="89" fillId="55" borderId="0" xfId="0" applyFont="1" applyFill="1" applyAlignment="1">
      <alignment horizontal="center"/>
    </xf>
    <xf numFmtId="0" fontId="107" fillId="0" borderId="0" xfId="0" applyFont="1"/>
    <xf numFmtId="14" fontId="90" fillId="48" borderId="0" xfId="0" applyNumberFormat="1" applyFont="1" applyFill="1" applyAlignment="1">
      <alignment horizontal="center"/>
    </xf>
    <xf numFmtId="49" fontId="90" fillId="30" borderId="100" xfId="0" applyNumberFormat="1" applyFont="1" applyFill="1" applyBorder="1" applyAlignment="1">
      <alignment horizontal="center" vertical="center"/>
    </xf>
    <xf numFmtId="49" fontId="90" fillId="48" borderId="100" xfId="0" applyNumberFormat="1" applyFont="1" applyFill="1" applyBorder="1" applyAlignment="1">
      <alignment horizontal="center" vertical="center"/>
    </xf>
    <xf numFmtId="3" fontId="90" fillId="48" borderId="0" xfId="0" applyNumberFormat="1" applyFont="1" applyFill="1" applyAlignment="1">
      <alignment horizontal="center"/>
    </xf>
    <xf numFmtId="1" fontId="90" fillId="48" borderId="0" xfId="0" applyNumberFormat="1" applyFont="1" applyFill="1" applyAlignment="1">
      <alignment horizontal="center"/>
    </xf>
    <xf numFmtId="3" fontId="90" fillId="30" borderId="101" xfId="0" applyNumberFormat="1" applyFont="1" applyFill="1" applyBorder="1" applyAlignment="1">
      <alignment horizontal="center" vertical="center"/>
    </xf>
    <xf numFmtId="3" fontId="90" fillId="48" borderId="101" xfId="0" applyNumberFormat="1" applyFont="1" applyFill="1" applyBorder="1" applyAlignment="1">
      <alignment horizontal="center" vertical="center"/>
    </xf>
    <xf numFmtId="14" fontId="90" fillId="30" borderId="0" xfId="0" applyNumberFormat="1" applyFont="1" applyFill="1" applyAlignment="1">
      <alignment horizontal="center"/>
    </xf>
    <xf numFmtId="3" fontId="90" fillId="30" borderId="0" xfId="0" applyNumberFormat="1" applyFont="1" applyFill="1" applyAlignment="1">
      <alignment horizontal="center"/>
    </xf>
    <xf numFmtId="1" fontId="90" fillId="30" borderId="0" xfId="0" applyNumberFormat="1" applyFont="1" applyFill="1" applyAlignment="1">
      <alignment horizontal="center"/>
    </xf>
    <xf numFmtId="0" fontId="89" fillId="40" borderId="102" xfId="2" applyFont="1" applyFill="1" applyBorder="1" applyAlignment="1">
      <alignment horizontal="center" vertical="center"/>
    </xf>
    <xf numFmtId="0" fontId="89" fillId="40" borderId="103" xfId="2" applyFont="1" applyFill="1" applyBorder="1" applyAlignment="1">
      <alignment horizontal="center" vertical="center"/>
    </xf>
    <xf numFmtId="3" fontId="89" fillId="40" borderId="103" xfId="2" applyNumberFormat="1" applyFont="1" applyFill="1" applyBorder="1" applyAlignment="1">
      <alignment horizontal="center" vertical="center"/>
    </xf>
    <xf numFmtId="0" fontId="63" fillId="39" borderId="104" xfId="2" applyFont="1" applyFill="1" applyBorder="1" applyAlignment="1">
      <alignment horizontal="center" vertical="center"/>
    </xf>
    <xf numFmtId="0" fontId="63" fillId="39" borderId="105" xfId="2" applyFont="1" applyFill="1" applyBorder="1" applyAlignment="1">
      <alignment horizontal="left" vertical="center"/>
    </xf>
    <xf numFmtId="176" fontId="63" fillId="39" borderId="105" xfId="2" applyNumberFormat="1" applyFont="1" applyFill="1" applyBorder="1" applyAlignment="1">
      <alignment horizontal="center" vertical="center"/>
    </xf>
    <xf numFmtId="0" fontId="110" fillId="56" borderId="106" xfId="2" applyFont="1" applyFill="1" applyBorder="1" applyAlignment="1">
      <alignment horizontal="center" vertical="center"/>
    </xf>
    <xf numFmtId="0" fontId="110" fillId="56" borderId="107" xfId="2" applyFont="1" applyFill="1" applyBorder="1" applyAlignment="1">
      <alignment horizontal="left" vertical="center" indent="2"/>
    </xf>
    <xf numFmtId="176" fontId="110" fillId="56" borderId="107" xfId="2" applyNumberFormat="1" applyFont="1" applyFill="1" applyBorder="1" applyAlignment="1">
      <alignment horizontal="center" vertical="center"/>
    </xf>
    <xf numFmtId="176" fontId="111" fillId="57" borderId="107" xfId="2" applyNumberFormat="1" applyFont="1" applyFill="1" applyBorder="1" applyAlignment="1">
      <alignment horizontal="center" vertical="center"/>
    </xf>
    <xf numFmtId="0" fontId="111" fillId="57" borderId="106" xfId="2" applyFont="1" applyFill="1" applyBorder="1" applyAlignment="1">
      <alignment horizontal="center" vertical="center"/>
    </xf>
    <xf numFmtId="0" fontId="111" fillId="57" borderId="107" xfId="2" applyFont="1" applyFill="1" applyBorder="1" applyAlignment="1">
      <alignment horizontal="left" vertical="center" indent="2"/>
    </xf>
    <xf numFmtId="0" fontId="63" fillId="38" borderId="110" xfId="2" applyFont="1" applyFill="1" applyBorder="1" applyAlignment="1">
      <alignment horizontal="center" vertical="center"/>
    </xf>
    <xf numFmtId="0" fontId="63" fillId="38" borderId="111" xfId="2" applyFont="1" applyFill="1" applyBorder="1" applyAlignment="1">
      <alignment horizontal="left" vertical="center"/>
    </xf>
    <xf numFmtId="176" fontId="63" fillId="38" borderId="111" xfId="2" applyNumberFormat="1" applyFont="1" applyFill="1" applyBorder="1" applyAlignment="1">
      <alignment horizontal="center" vertical="center"/>
    </xf>
    <xf numFmtId="176" fontId="89" fillId="37" borderId="107" xfId="2" applyNumberFormat="1" applyFont="1" applyFill="1" applyBorder="1" applyAlignment="1">
      <alignment horizontal="center" vertical="center"/>
    </xf>
    <xf numFmtId="0" fontId="89" fillId="37" borderId="106" xfId="2" applyFont="1" applyFill="1" applyBorder="1" applyAlignment="1">
      <alignment horizontal="center" vertical="center"/>
    </xf>
    <xf numFmtId="0" fontId="89" fillId="37" borderId="107" xfId="2" applyFont="1" applyFill="1" applyBorder="1" applyAlignment="1">
      <alignment horizontal="left" vertical="center"/>
    </xf>
    <xf numFmtId="0" fontId="50" fillId="36" borderId="106" xfId="2" applyFont="1" applyFill="1" applyBorder="1" applyAlignment="1">
      <alignment horizontal="center" vertical="center"/>
    </xf>
    <xf numFmtId="0" fontId="50" fillId="36" borderId="107" xfId="2" applyFont="1" applyFill="1" applyBorder="1" applyAlignment="1">
      <alignment horizontal="left" vertical="center"/>
    </xf>
    <xf numFmtId="176" fontId="50" fillId="36" borderId="107" xfId="2" applyNumberFormat="1" applyFont="1" applyFill="1" applyBorder="1" applyAlignment="1">
      <alignment horizontal="center" vertical="center"/>
    </xf>
    <xf numFmtId="0" fontId="50" fillId="36" borderId="109" xfId="2" applyFont="1" applyFill="1" applyBorder="1" applyAlignment="1">
      <alignment horizontal="center" vertical="center"/>
    </xf>
    <xf numFmtId="0" fontId="50" fillId="36" borderId="109" xfId="2" applyFont="1" applyFill="1" applyBorder="1" applyAlignment="1">
      <alignment horizontal="left" vertical="center"/>
    </xf>
    <xf numFmtId="176" fontId="50" fillId="36" borderId="109" xfId="2" applyNumberFormat="1" applyFont="1" applyFill="1" applyBorder="1" applyAlignment="1">
      <alignment horizontal="center" vertical="center"/>
    </xf>
    <xf numFmtId="0" fontId="50" fillId="30" borderId="106" xfId="2" applyFont="1" applyFill="1" applyBorder="1" applyAlignment="1">
      <alignment horizontal="center" vertical="center"/>
    </xf>
    <xf numFmtId="0" fontId="50" fillId="30" borderId="107" xfId="2" applyFont="1" applyFill="1" applyBorder="1" applyAlignment="1">
      <alignment horizontal="left" vertical="center"/>
    </xf>
    <xf numFmtId="176" fontId="50" fillId="30" borderId="107" xfId="2" applyNumberFormat="1" applyFont="1" applyFill="1" applyBorder="1" applyAlignment="1">
      <alignment horizontal="center" vertical="center"/>
    </xf>
    <xf numFmtId="0" fontId="50" fillId="30" borderId="108" xfId="2" applyFont="1" applyFill="1" applyBorder="1" applyAlignment="1">
      <alignment horizontal="center" vertical="center"/>
    </xf>
    <xf numFmtId="0" fontId="50" fillId="30" borderId="108" xfId="2" applyFont="1" applyFill="1" applyBorder="1" applyAlignment="1">
      <alignment horizontal="left" vertical="center"/>
    </xf>
    <xf numFmtId="176" fontId="50" fillId="30" borderId="108" xfId="2" applyNumberFormat="1" applyFont="1" applyFill="1" applyBorder="1" applyAlignment="1">
      <alignment horizontal="center" vertical="center"/>
    </xf>
    <xf numFmtId="0" fontId="63" fillId="0" borderId="0" xfId="0" applyFont="1"/>
    <xf numFmtId="0" fontId="25" fillId="0" borderId="3" xfId="0" applyFont="1" applyBorder="1" applyAlignment="1">
      <alignment horizontal="center"/>
    </xf>
    <xf numFmtId="2" fontId="112" fillId="9" borderId="32" xfId="0" applyNumberFormat="1" applyFont="1" applyFill="1" applyBorder="1" applyAlignment="1">
      <alignment horizontal="center" vertical="center"/>
    </xf>
    <xf numFmtId="0" fontId="51" fillId="31" borderId="0" xfId="2" applyFill="1"/>
    <xf numFmtId="0" fontId="8" fillId="12" borderId="8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2" borderId="12" xfId="0" applyFont="1" applyFill="1" applyBorder="1" applyAlignment="1">
      <alignment horizontal="center" vertical="center"/>
    </xf>
    <xf numFmtId="0" fontId="10" fillId="10" borderId="8" xfId="0" applyFont="1" applyFill="1" applyBorder="1" applyAlignment="1">
      <alignment horizontal="center" vertical="center"/>
    </xf>
    <xf numFmtId="0" fontId="10" fillId="12" borderId="8" xfId="0" applyFont="1" applyFill="1" applyBorder="1" applyAlignment="1">
      <alignment horizontal="center" vertical="center"/>
    </xf>
    <xf numFmtId="0" fontId="10" fillId="12" borderId="10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/>
    </xf>
    <xf numFmtId="0" fontId="11" fillId="10" borderId="8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 vertical="center"/>
    </xf>
    <xf numFmtId="0" fontId="5" fillId="8" borderId="4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3" fillId="35" borderId="0" xfId="2" applyFont="1" applyFill="1" applyAlignment="1">
      <alignment horizontal="center" vertical="center"/>
    </xf>
    <xf numFmtId="0" fontId="62" fillId="28" borderId="0" xfId="2" applyFont="1" applyFill="1" applyAlignment="1">
      <alignment horizontal="center" vertical="center"/>
    </xf>
    <xf numFmtId="0" fontId="52" fillId="28" borderId="0" xfId="2" applyFont="1" applyFill="1" applyAlignment="1">
      <alignment horizontal="left" vertical="center"/>
    </xf>
    <xf numFmtId="0" fontId="54" fillId="28" borderId="0" xfId="2" applyFont="1" applyFill="1" applyAlignment="1">
      <alignment horizontal="left" vertical="center"/>
    </xf>
    <xf numFmtId="0" fontId="60" fillId="28" borderId="0" xfId="2" applyFont="1" applyFill="1" applyAlignment="1">
      <alignment horizontal="center" vertical="center"/>
    </xf>
    <xf numFmtId="0" fontId="60" fillId="28" borderId="0" xfId="2" applyFont="1" applyFill="1" applyAlignment="1">
      <alignment horizontal="center"/>
    </xf>
    <xf numFmtId="0" fontId="4" fillId="30" borderId="0" xfId="2" applyFont="1" applyFill="1" applyAlignment="1">
      <alignment horizontal="center"/>
    </xf>
    <xf numFmtId="3" fontId="57" fillId="31" borderId="0" xfId="2" applyNumberFormat="1" applyFont="1" applyFill="1" applyAlignment="1">
      <alignment horizontal="center" vertical="center"/>
    </xf>
    <xf numFmtId="0" fontId="58" fillId="31" borderId="55" xfId="2" applyFont="1" applyFill="1" applyBorder="1" applyAlignment="1">
      <alignment horizontal="center" vertical="center"/>
    </xf>
    <xf numFmtId="0" fontId="57" fillId="31" borderId="0" xfId="2" applyFont="1" applyFill="1" applyAlignment="1">
      <alignment horizontal="center" vertical="center"/>
    </xf>
    <xf numFmtId="0" fontId="4" fillId="31" borderId="63" xfId="2" applyFont="1" applyFill="1" applyBorder="1" applyAlignment="1">
      <alignment horizontal="left" vertical="center" indent="1"/>
    </xf>
    <xf numFmtId="0" fontId="4" fillId="31" borderId="64" xfId="2" applyFont="1" applyFill="1" applyBorder="1" applyAlignment="1">
      <alignment horizontal="left" vertical="center" indent="1"/>
    </xf>
    <xf numFmtId="0" fontId="4" fillId="31" borderId="58" xfId="2" applyFont="1" applyFill="1" applyBorder="1" applyAlignment="1">
      <alignment horizontal="left" vertical="center" wrapText="1" indent="1"/>
    </xf>
    <xf numFmtId="0" fontId="4" fillId="31" borderId="59" xfId="2" applyFont="1" applyFill="1" applyBorder="1" applyAlignment="1">
      <alignment horizontal="left" vertical="center" wrapText="1" indent="1"/>
    </xf>
    <xf numFmtId="0" fontId="3" fillId="28" borderId="56" xfId="2" applyFont="1" applyFill="1" applyBorder="1" applyAlignment="1">
      <alignment horizontal="left" vertical="center" indent="1"/>
    </xf>
    <xf numFmtId="0" fontId="3" fillId="28" borderId="54" xfId="2" applyFont="1" applyFill="1" applyBorder="1" applyAlignment="1">
      <alignment horizontal="left" vertical="center" indent="1"/>
    </xf>
    <xf numFmtId="0" fontId="3" fillId="28" borderId="57" xfId="2" applyFont="1" applyFill="1" applyBorder="1" applyAlignment="1">
      <alignment horizontal="left" vertical="center" indent="1"/>
    </xf>
    <xf numFmtId="0" fontId="4" fillId="31" borderId="60" xfId="2" applyFont="1" applyFill="1" applyBorder="1" applyAlignment="1">
      <alignment horizontal="left" vertical="center" wrapText="1" indent="1"/>
    </xf>
    <xf numFmtId="0" fontId="4" fillId="31" borderId="61" xfId="2" applyFont="1" applyFill="1" applyBorder="1" applyAlignment="1">
      <alignment horizontal="left" vertical="center" indent="1"/>
    </xf>
    <xf numFmtId="0" fontId="4" fillId="31" borderId="62" xfId="2" applyFont="1" applyFill="1" applyBorder="1" applyAlignment="1">
      <alignment horizontal="left" vertical="center" indent="1"/>
    </xf>
    <xf numFmtId="0" fontId="55" fillId="28" borderId="54" xfId="2" applyFont="1" applyFill="1" applyBorder="1" applyAlignment="1">
      <alignment horizontal="center" vertical="center"/>
    </xf>
    <xf numFmtId="1" fontId="53" fillId="28" borderId="0" xfId="2" applyNumberFormat="1" applyFont="1" applyFill="1" applyAlignment="1">
      <alignment horizontal="left" vertical="center"/>
    </xf>
    <xf numFmtId="1" fontId="53" fillId="28" borderId="0" xfId="2" applyNumberFormat="1" applyFont="1" applyFill="1" applyAlignment="1">
      <alignment horizontal="center" vertical="center"/>
    </xf>
    <xf numFmtId="0" fontId="53" fillId="28" borderId="0" xfId="2" applyFont="1" applyFill="1" applyAlignment="1">
      <alignment horizontal="right" vertical="center"/>
    </xf>
    <xf numFmtId="0" fontId="58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0" fontId="69" fillId="30" borderId="0" xfId="2" applyFont="1" applyFill="1" applyAlignment="1">
      <alignment horizontal="left" vertical="center" indent="1"/>
    </xf>
    <xf numFmtId="0" fontId="75" fillId="28" borderId="0" xfId="2" applyFont="1" applyFill="1" applyAlignment="1">
      <alignment horizontal="left" vertical="center"/>
    </xf>
    <xf numFmtId="0" fontId="68" fillId="28" borderId="32" xfId="2" applyFont="1" applyFill="1" applyBorder="1" applyAlignment="1">
      <alignment horizontal="center" vertical="center"/>
    </xf>
    <xf numFmtId="0" fontId="68" fillId="28" borderId="33" xfId="2" applyFont="1" applyFill="1" applyBorder="1" applyAlignment="1">
      <alignment horizontal="center" vertical="center"/>
    </xf>
    <xf numFmtId="0" fontId="68" fillId="28" borderId="34" xfId="2" applyFont="1" applyFill="1" applyBorder="1" applyAlignment="1">
      <alignment horizontal="center" vertical="center"/>
    </xf>
    <xf numFmtId="0" fontId="73" fillId="28" borderId="0" xfId="2" applyFont="1" applyFill="1" applyAlignment="1">
      <alignment horizontal="left" vertical="center"/>
    </xf>
    <xf numFmtId="0" fontId="68" fillId="28" borderId="0" xfId="2" applyFont="1" applyFill="1" applyAlignment="1">
      <alignment horizontal="center" vertical="center"/>
    </xf>
    <xf numFmtId="0" fontId="72" fillId="28" borderId="32" xfId="2" applyFont="1" applyFill="1" applyBorder="1" applyAlignment="1">
      <alignment horizontal="left" vertical="center" indent="1"/>
    </xf>
    <xf numFmtId="0" fontId="72" fillId="28" borderId="87" xfId="2" applyFont="1" applyFill="1" applyBorder="1" applyAlignment="1">
      <alignment horizontal="left" vertical="center" indent="1"/>
    </xf>
    <xf numFmtId="9" fontId="70" fillId="29" borderId="89" xfId="2" applyNumberFormat="1" applyFont="1" applyFill="1" applyBorder="1" applyAlignment="1">
      <alignment horizontal="center" vertical="center"/>
    </xf>
    <xf numFmtId="0" fontId="70" fillId="29" borderId="34" xfId="2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0" fillId="13" borderId="3" xfId="0" applyFill="1" applyBorder="1" applyAlignment="1">
      <alignment horizontal="center"/>
    </xf>
    <xf numFmtId="0" fontId="5" fillId="8" borderId="4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0" fillId="0" borderId="20" xfId="0" applyBorder="1"/>
    <xf numFmtId="0" fontId="0" fillId="0" borderId="0" xfId="0"/>
    <xf numFmtId="0" fontId="0" fillId="0" borderId="25" xfId="0" applyBorder="1"/>
    <xf numFmtId="0" fontId="12" fillId="16" borderId="0" xfId="0" applyFont="1" applyFill="1" applyAlignment="1">
      <alignment horizontal="center" vertical="center"/>
    </xf>
    <xf numFmtId="0" fontId="13" fillId="17" borderId="0" xfId="0" applyFont="1" applyFill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19" fillId="16" borderId="3" xfId="0" applyFont="1" applyFill="1" applyBorder="1" applyAlignment="1">
      <alignment horizontal="left"/>
    </xf>
    <xf numFmtId="1" fontId="17" fillId="0" borderId="0" xfId="0" applyNumberFormat="1" applyFont="1" applyAlignment="1">
      <alignment horizontal="center" vertical="center"/>
    </xf>
    <xf numFmtId="1" fontId="17" fillId="0" borderId="20" xfId="0" applyNumberFormat="1" applyFont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0" fontId="31" fillId="11" borderId="3" xfId="0" applyFont="1" applyFill="1" applyBorder="1" applyAlignment="1">
      <alignment horizontal="center" vertical="center"/>
    </xf>
    <xf numFmtId="0" fontId="30" fillId="11" borderId="3" xfId="0" applyFont="1" applyFill="1" applyBorder="1" applyAlignment="1">
      <alignment horizontal="center"/>
    </xf>
    <xf numFmtId="0" fontId="29" fillId="11" borderId="3" xfId="0" applyFont="1" applyFill="1" applyBorder="1" applyAlignment="1">
      <alignment horizontal="center"/>
    </xf>
    <xf numFmtId="0" fontId="10" fillId="11" borderId="3" xfId="0" applyFont="1" applyFill="1" applyBorder="1" applyAlignment="1">
      <alignment horizontal="center"/>
    </xf>
    <xf numFmtId="0" fontId="25" fillId="11" borderId="3" xfId="0" applyFont="1" applyFill="1" applyBorder="1" applyAlignment="1">
      <alignment horizontal="center"/>
    </xf>
    <xf numFmtId="0" fontId="28" fillId="11" borderId="3" xfId="0" applyFont="1" applyFill="1" applyBorder="1" applyAlignment="1">
      <alignment horizontal="center" vertical="center"/>
    </xf>
    <xf numFmtId="0" fontId="25" fillId="11" borderId="3" xfId="0" applyFont="1" applyFill="1" applyBorder="1" applyAlignment="1">
      <alignment horizontal="center" vertical="center"/>
    </xf>
    <xf numFmtId="3" fontId="0" fillId="17" borderId="20" xfId="0" applyNumberForma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34" fillId="11" borderId="3" xfId="0" applyFont="1" applyFill="1" applyBorder="1" applyAlignment="1">
      <alignment horizontal="center" vertical="center"/>
    </xf>
    <xf numFmtId="0" fontId="33" fillId="8" borderId="3" xfId="0" applyFont="1" applyFill="1" applyBorder="1" applyAlignment="1">
      <alignment horizontal="center" vertical="center"/>
    </xf>
    <xf numFmtId="0" fontId="36" fillId="19" borderId="8" xfId="0" applyFont="1" applyFill="1" applyBorder="1" applyAlignment="1">
      <alignment horizontal="center" vertical="center" wrapText="1"/>
    </xf>
    <xf numFmtId="0" fontId="92" fillId="12" borderId="32" xfId="0" applyFont="1" applyFill="1" applyBorder="1" applyAlignment="1">
      <alignment horizontal="center" vertical="center"/>
    </xf>
    <xf numFmtId="0" fontId="92" fillId="12" borderId="34" xfId="0" applyFont="1" applyFill="1" applyBorder="1" applyAlignment="1">
      <alignment horizontal="center" vertical="center"/>
    </xf>
    <xf numFmtId="0" fontId="92" fillId="12" borderId="3" xfId="0" applyFont="1" applyFill="1" applyBorder="1" applyAlignment="1">
      <alignment horizontal="center" vertical="center"/>
    </xf>
    <xf numFmtId="0" fontId="92" fillId="52" borderId="32" xfId="0" applyFont="1" applyFill="1" applyBorder="1" applyAlignment="1">
      <alignment horizontal="center" vertical="center"/>
    </xf>
    <xf numFmtId="0" fontId="92" fillId="52" borderId="34" xfId="0" applyFont="1" applyFill="1" applyBorder="1" applyAlignment="1">
      <alignment horizontal="center" vertical="center"/>
    </xf>
    <xf numFmtId="0" fontId="92" fillId="52" borderId="33" xfId="0" applyFont="1" applyFill="1" applyBorder="1" applyAlignment="1">
      <alignment horizontal="center" vertical="center"/>
    </xf>
    <xf numFmtId="0" fontId="92" fillId="51" borderId="32" xfId="0" applyFont="1" applyFill="1" applyBorder="1" applyAlignment="1">
      <alignment horizontal="center" vertical="center"/>
    </xf>
    <xf numFmtId="0" fontId="92" fillId="51" borderId="34" xfId="0" applyFont="1" applyFill="1" applyBorder="1" applyAlignment="1">
      <alignment horizontal="center" vertical="center"/>
    </xf>
    <xf numFmtId="0" fontId="92" fillId="51" borderId="33" xfId="0" applyFont="1" applyFill="1" applyBorder="1" applyAlignment="1">
      <alignment horizontal="center" vertical="center"/>
    </xf>
    <xf numFmtId="0" fontId="92" fillId="51" borderId="3" xfId="0" applyFont="1" applyFill="1" applyBorder="1" applyAlignment="1">
      <alignment horizontal="center" vertical="center"/>
    </xf>
    <xf numFmtId="0" fontId="91" fillId="51" borderId="3" xfId="0" applyFont="1" applyFill="1" applyBorder="1" applyAlignment="1">
      <alignment horizontal="center" vertical="center"/>
    </xf>
    <xf numFmtId="0" fontId="92" fillId="51" borderId="27" xfId="0" applyFont="1" applyFill="1" applyBorder="1" applyAlignment="1">
      <alignment horizontal="center" vertical="center"/>
    </xf>
    <xf numFmtId="0" fontId="92" fillId="51" borderId="28" xfId="0" applyFont="1" applyFill="1" applyBorder="1" applyAlignment="1">
      <alignment horizontal="center" vertical="center"/>
    </xf>
    <xf numFmtId="0" fontId="92" fillId="51" borderId="19" xfId="0" applyFont="1" applyFill="1" applyBorder="1" applyAlignment="1">
      <alignment horizontal="center" vertical="center"/>
    </xf>
    <xf numFmtId="0" fontId="92" fillId="51" borderId="20" xfId="0" applyFont="1" applyFill="1" applyBorder="1" applyAlignment="1">
      <alignment horizontal="center" vertical="center"/>
    </xf>
    <xf numFmtId="0" fontId="92" fillId="51" borderId="26" xfId="0" applyFont="1" applyFill="1" applyBorder="1" applyAlignment="1">
      <alignment horizontal="center" vertical="center"/>
    </xf>
    <xf numFmtId="0" fontId="92" fillId="51" borderId="25" xfId="0" applyFont="1" applyFill="1" applyBorder="1" applyAlignment="1">
      <alignment horizontal="center" vertical="center"/>
    </xf>
    <xf numFmtId="0" fontId="92" fillId="51" borderId="49" xfId="0" applyFont="1" applyFill="1" applyBorder="1" applyAlignment="1">
      <alignment horizontal="center" vertical="center"/>
    </xf>
    <xf numFmtId="0" fontId="92" fillId="51" borderId="51" xfId="0" applyFont="1" applyFill="1" applyBorder="1" applyAlignment="1">
      <alignment horizontal="center" vertical="center"/>
    </xf>
    <xf numFmtId="0" fontId="92" fillId="51" borderId="50" xfId="0" applyFont="1" applyFill="1" applyBorder="1" applyAlignment="1">
      <alignment horizontal="center" vertical="center"/>
    </xf>
    <xf numFmtId="0" fontId="8" fillId="49" borderId="49" xfId="0" applyFont="1" applyFill="1" applyBorder="1" applyAlignment="1">
      <alignment horizontal="center" vertical="center"/>
    </xf>
    <xf numFmtId="0" fontId="8" fillId="49" borderId="50" xfId="0" applyFont="1" applyFill="1" applyBorder="1" applyAlignment="1">
      <alignment horizontal="center" vertical="center"/>
    </xf>
    <xf numFmtId="0" fontId="8" fillId="49" borderId="51" xfId="0" applyFont="1" applyFill="1" applyBorder="1" applyAlignment="1">
      <alignment horizontal="center" vertical="center"/>
    </xf>
    <xf numFmtId="0" fontId="8" fillId="49" borderId="27" xfId="0" applyFont="1" applyFill="1" applyBorder="1" applyAlignment="1">
      <alignment horizontal="center" vertical="center"/>
    </xf>
    <xf numFmtId="0" fontId="8" fillId="49" borderId="28" xfId="0" applyFont="1" applyFill="1" applyBorder="1" applyAlignment="1">
      <alignment horizontal="center" vertical="center"/>
    </xf>
    <xf numFmtId="0" fontId="8" fillId="49" borderId="19" xfId="0" applyFont="1" applyFill="1" applyBorder="1" applyAlignment="1">
      <alignment horizontal="center" vertical="center"/>
    </xf>
    <xf numFmtId="0" fontId="8" fillId="49" borderId="20" xfId="0" applyFont="1" applyFill="1" applyBorder="1" applyAlignment="1">
      <alignment horizontal="center" vertical="center"/>
    </xf>
    <xf numFmtId="0" fontId="8" fillId="49" borderId="26" xfId="0" applyFont="1" applyFill="1" applyBorder="1" applyAlignment="1">
      <alignment horizontal="center" vertical="center"/>
    </xf>
    <xf numFmtId="0" fontId="8" fillId="49" borderId="25" xfId="0" applyFont="1" applyFill="1" applyBorder="1" applyAlignment="1">
      <alignment horizontal="center" vertical="center"/>
    </xf>
    <xf numFmtId="0" fontId="8" fillId="51" borderId="3" xfId="0" applyFont="1" applyFill="1" applyBorder="1" applyAlignment="1">
      <alignment horizontal="center" vertical="center"/>
    </xf>
    <xf numFmtId="0" fontId="92" fillId="49" borderId="3" xfId="0" applyFont="1" applyFill="1" applyBorder="1" applyAlignment="1">
      <alignment horizontal="center" vertical="center"/>
    </xf>
    <xf numFmtId="0" fontId="8" fillId="49" borderId="3" xfId="0" applyFont="1" applyFill="1" applyBorder="1" applyAlignment="1">
      <alignment horizontal="center" vertical="center"/>
    </xf>
    <xf numFmtId="0" fontId="92" fillId="53" borderId="3" xfId="0" applyFont="1" applyFill="1" applyBorder="1" applyAlignment="1">
      <alignment horizontal="center" vertical="center"/>
    </xf>
    <xf numFmtId="0" fontId="8" fillId="53" borderId="32" xfId="0" applyFont="1" applyFill="1" applyBorder="1" applyAlignment="1">
      <alignment horizontal="center" vertical="center"/>
    </xf>
    <xf numFmtId="0" fontId="8" fillId="53" borderId="34" xfId="0" applyFont="1" applyFill="1" applyBorder="1" applyAlignment="1">
      <alignment horizontal="center" vertical="center"/>
    </xf>
    <xf numFmtId="0" fontId="92" fillId="49" borderId="32" xfId="0" applyFont="1" applyFill="1" applyBorder="1" applyAlignment="1">
      <alignment horizontal="center" vertical="center"/>
    </xf>
    <xf numFmtId="0" fontId="92" fillId="49" borderId="33" xfId="0" applyFont="1" applyFill="1" applyBorder="1" applyAlignment="1">
      <alignment horizontal="center" vertical="center"/>
    </xf>
    <xf numFmtId="0" fontId="92" fillId="49" borderId="34" xfId="0" applyFont="1" applyFill="1" applyBorder="1" applyAlignment="1">
      <alignment horizontal="center" vertical="center"/>
    </xf>
    <xf numFmtId="0" fontId="91" fillId="49" borderId="32" xfId="0" applyFont="1" applyFill="1" applyBorder="1" applyAlignment="1">
      <alignment horizontal="center" vertical="center"/>
    </xf>
    <xf numFmtId="0" fontId="8" fillId="53" borderId="3" xfId="0" applyFont="1" applyFill="1" applyBorder="1" applyAlignment="1">
      <alignment horizontal="center" vertical="center"/>
    </xf>
    <xf numFmtId="0" fontId="8" fillId="51" borderId="32" xfId="0" applyFont="1" applyFill="1" applyBorder="1" applyAlignment="1">
      <alignment horizontal="center" vertical="center"/>
    </xf>
    <xf numFmtId="0" fontId="8" fillId="51" borderId="34" xfId="0" applyFont="1" applyFill="1" applyBorder="1" applyAlignment="1">
      <alignment horizontal="center" vertical="center"/>
    </xf>
    <xf numFmtId="0" fontId="8" fillId="51" borderId="33" xfId="0" applyFont="1" applyFill="1" applyBorder="1" applyAlignment="1">
      <alignment horizontal="center" vertical="center"/>
    </xf>
    <xf numFmtId="0" fontId="91" fillId="49" borderId="3" xfId="0" applyFont="1" applyFill="1" applyBorder="1" applyAlignment="1">
      <alignment horizontal="center" vertical="center"/>
    </xf>
    <xf numFmtId="0" fontId="8" fillId="49" borderId="32" xfId="0" applyFont="1" applyFill="1" applyBorder="1" applyAlignment="1">
      <alignment horizontal="center" vertical="center"/>
    </xf>
    <xf numFmtId="0" fontId="8" fillId="49" borderId="34" xfId="0" applyFont="1" applyFill="1" applyBorder="1" applyAlignment="1">
      <alignment horizontal="center" vertical="center"/>
    </xf>
    <xf numFmtId="0" fontId="8" fillId="49" borderId="33" xfId="0" applyFont="1" applyFill="1" applyBorder="1" applyAlignment="1">
      <alignment horizontal="center" vertical="center"/>
    </xf>
    <xf numFmtId="0" fontId="31" fillId="53" borderId="3" xfId="0" applyFont="1" applyFill="1" applyBorder="1" applyAlignment="1">
      <alignment horizontal="center" vertical="center"/>
    </xf>
    <xf numFmtId="0" fontId="31" fillId="51" borderId="3" xfId="0" applyFont="1" applyFill="1" applyBorder="1" applyAlignment="1">
      <alignment horizontal="center" vertical="center"/>
    </xf>
    <xf numFmtId="0" fontId="33" fillId="8" borderId="44" xfId="0" applyFont="1" applyFill="1" applyBorder="1" applyAlignment="1">
      <alignment horizontal="center" vertical="center"/>
    </xf>
    <xf numFmtId="0" fontId="92" fillId="10" borderId="3" xfId="0" applyFont="1" applyFill="1" applyBorder="1" applyAlignment="1">
      <alignment horizontal="center" vertical="center"/>
    </xf>
    <xf numFmtId="0" fontId="92" fillId="52" borderId="3" xfId="0" applyFont="1" applyFill="1" applyBorder="1" applyAlignment="1">
      <alignment horizontal="center" vertical="center"/>
    </xf>
    <xf numFmtId="0" fontId="8" fillId="12" borderId="32" xfId="0" applyFont="1" applyFill="1" applyBorder="1" applyAlignment="1">
      <alignment horizontal="center" vertical="center"/>
    </xf>
    <xf numFmtId="0" fontId="8" fillId="12" borderId="34" xfId="0" applyFont="1" applyFill="1" applyBorder="1" applyAlignment="1">
      <alignment horizontal="center" vertical="center"/>
    </xf>
    <xf numFmtId="0" fontId="91" fillId="12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8" fillId="10" borderId="27" xfId="0" applyFont="1" applyFill="1" applyBorder="1" applyAlignment="1">
      <alignment horizontal="center" vertical="center"/>
    </xf>
    <xf numFmtId="0" fontId="8" fillId="10" borderId="28" xfId="0" applyFont="1" applyFill="1" applyBorder="1" applyAlignment="1">
      <alignment horizontal="center" vertical="center"/>
    </xf>
    <xf numFmtId="0" fontId="8" fillId="10" borderId="19" xfId="0" applyFont="1" applyFill="1" applyBorder="1" applyAlignment="1">
      <alignment horizontal="center" vertical="center"/>
    </xf>
    <xf numFmtId="0" fontId="8" fillId="10" borderId="20" xfId="0" applyFont="1" applyFill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8" fillId="10" borderId="25" xfId="0" applyFont="1" applyFill="1" applyBorder="1" applyAlignment="1">
      <alignment horizontal="center" vertical="center"/>
    </xf>
    <xf numFmtId="0" fontId="8" fillId="10" borderId="32" xfId="0" applyFont="1" applyFill="1" applyBorder="1" applyAlignment="1">
      <alignment horizontal="center" vertical="center"/>
    </xf>
    <xf numFmtId="0" fontId="8" fillId="10" borderId="34" xfId="0" applyFont="1" applyFill="1" applyBorder="1" applyAlignment="1">
      <alignment horizontal="center" vertical="center"/>
    </xf>
    <xf numFmtId="0" fontId="7" fillId="10" borderId="49" xfId="0" applyFont="1" applyFill="1" applyBorder="1" applyAlignment="1">
      <alignment horizontal="center" vertical="center"/>
    </xf>
    <xf numFmtId="0" fontId="7" fillId="10" borderId="50" xfId="0" applyFont="1" applyFill="1" applyBorder="1" applyAlignment="1">
      <alignment horizontal="center" vertical="center"/>
    </xf>
    <xf numFmtId="0" fontId="7" fillId="10" borderId="51" xfId="0" applyFont="1" applyFill="1" applyBorder="1" applyAlignment="1">
      <alignment horizontal="center" vertical="center"/>
    </xf>
    <xf numFmtId="0" fontId="8" fillId="12" borderId="27" xfId="0" applyFont="1" applyFill="1" applyBorder="1" applyAlignment="1">
      <alignment horizontal="center" vertical="center"/>
    </xf>
    <xf numFmtId="0" fontId="8" fillId="12" borderId="28" xfId="0" applyFont="1" applyFill="1" applyBorder="1" applyAlignment="1">
      <alignment horizontal="center" vertical="center"/>
    </xf>
    <xf numFmtId="0" fontId="8" fillId="12" borderId="19" xfId="0" applyFont="1" applyFill="1" applyBorder="1" applyAlignment="1">
      <alignment horizontal="center" vertical="center"/>
    </xf>
    <xf numFmtId="0" fontId="8" fillId="12" borderId="20" xfId="0" applyFont="1" applyFill="1" applyBorder="1" applyAlignment="1">
      <alignment horizontal="center" vertical="center"/>
    </xf>
    <xf numFmtId="0" fontId="8" fillId="12" borderId="26" xfId="0" applyFont="1" applyFill="1" applyBorder="1" applyAlignment="1">
      <alignment horizontal="center" vertical="center"/>
    </xf>
    <xf numFmtId="0" fontId="8" fillId="12" borderId="25" xfId="0" applyFont="1" applyFill="1" applyBorder="1" applyAlignment="1">
      <alignment horizontal="center" vertical="center"/>
    </xf>
    <xf numFmtId="0" fontId="105" fillId="19" borderId="92" xfId="0" applyFont="1" applyFill="1" applyBorder="1" applyAlignment="1">
      <alignment horizontal="center" vertical="center" wrapText="1"/>
    </xf>
    <xf numFmtId="0" fontId="105" fillId="19" borderId="93" xfId="0" applyFont="1" applyFill="1" applyBorder="1" applyAlignment="1">
      <alignment horizontal="center" vertical="center" wrapText="1"/>
    </xf>
    <xf numFmtId="0" fontId="105" fillId="19" borderId="94" xfId="0" applyFont="1" applyFill="1" applyBorder="1" applyAlignment="1">
      <alignment horizontal="center" vertical="center" wrapText="1"/>
    </xf>
    <xf numFmtId="0" fontId="105" fillId="19" borderId="95" xfId="0" applyFont="1" applyFill="1" applyBorder="1" applyAlignment="1">
      <alignment horizontal="center" vertical="center" wrapText="1"/>
    </xf>
    <xf numFmtId="0" fontId="105" fillId="19" borderId="0" xfId="0" applyFont="1" applyFill="1" applyAlignment="1">
      <alignment horizontal="center" vertical="center" wrapText="1"/>
    </xf>
    <xf numFmtId="0" fontId="105" fillId="19" borderId="96" xfId="0" applyFont="1" applyFill="1" applyBorder="1" applyAlignment="1">
      <alignment horizontal="center" vertical="center" wrapText="1"/>
    </xf>
    <xf numFmtId="0" fontId="105" fillId="19" borderId="97" xfId="0" applyFont="1" applyFill="1" applyBorder="1" applyAlignment="1">
      <alignment horizontal="center" vertical="center" wrapText="1"/>
    </xf>
    <xf numFmtId="0" fontId="105" fillId="19" borderId="98" xfId="0" applyFont="1" applyFill="1" applyBorder="1" applyAlignment="1">
      <alignment horizontal="center" vertical="center" wrapText="1"/>
    </xf>
    <xf numFmtId="0" fontId="105" fillId="19" borderId="99" xfId="0" applyFont="1" applyFill="1" applyBorder="1" applyAlignment="1">
      <alignment horizontal="center" vertical="center" wrapText="1"/>
    </xf>
    <xf numFmtId="0" fontId="106" fillId="19" borderId="92" xfId="0" applyFont="1" applyFill="1" applyBorder="1" applyAlignment="1">
      <alignment horizontal="center" vertical="center" wrapText="1"/>
    </xf>
    <xf numFmtId="0" fontId="106" fillId="19" borderId="93" xfId="0" applyFont="1" applyFill="1" applyBorder="1" applyAlignment="1">
      <alignment horizontal="center" vertical="center" wrapText="1"/>
    </xf>
    <xf numFmtId="0" fontId="106" fillId="19" borderId="94" xfId="0" applyFont="1" applyFill="1" applyBorder="1" applyAlignment="1">
      <alignment horizontal="center" vertical="center" wrapText="1"/>
    </xf>
    <xf numFmtId="0" fontId="106" fillId="19" borderId="95" xfId="0" applyFont="1" applyFill="1" applyBorder="1" applyAlignment="1">
      <alignment horizontal="center" vertical="center" wrapText="1"/>
    </xf>
    <xf numFmtId="0" fontId="106" fillId="19" borderId="0" xfId="0" applyFont="1" applyFill="1" applyAlignment="1">
      <alignment horizontal="center" vertical="center" wrapText="1"/>
    </xf>
    <xf numFmtId="0" fontId="106" fillId="19" borderId="96" xfId="0" applyFont="1" applyFill="1" applyBorder="1" applyAlignment="1">
      <alignment horizontal="center" vertical="center" wrapText="1"/>
    </xf>
    <xf numFmtId="0" fontId="106" fillId="19" borderId="97" xfId="0" applyFont="1" applyFill="1" applyBorder="1" applyAlignment="1">
      <alignment horizontal="center" vertical="center" wrapText="1"/>
    </xf>
    <xf numFmtId="0" fontId="106" fillId="19" borderId="98" xfId="0" applyFont="1" applyFill="1" applyBorder="1" applyAlignment="1">
      <alignment horizontal="center" vertical="center" wrapText="1"/>
    </xf>
    <xf numFmtId="0" fontId="106" fillId="19" borderId="99" xfId="0" applyFont="1" applyFill="1" applyBorder="1" applyAlignment="1">
      <alignment horizontal="center" vertical="center" wrapText="1"/>
    </xf>
    <xf numFmtId="0" fontId="8" fillId="10" borderId="48" xfId="0" applyFont="1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4" xfId="0" applyBorder="1" applyAlignment="1">
      <alignment horizontal="center"/>
    </xf>
    <xf numFmtId="0" fontId="39" fillId="14" borderId="3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/>
    </xf>
    <xf numFmtId="0" fontId="39" fillId="14" borderId="0" xfId="0" applyFont="1" applyFill="1" applyAlignment="1">
      <alignment horizontal="center" vertical="center" wrapText="1"/>
    </xf>
    <xf numFmtId="0" fontId="0" fillId="15" borderId="49" xfId="0" applyFill="1" applyBorder="1" applyAlignment="1">
      <alignment horizontal="left" vertical="center" wrapText="1"/>
    </xf>
    <xf numFmtId="14" fontId="28" fillId="9" borderId="3" xfId="0" applyNumberFormat="1" applyFont="1" applyFill="1" applyBorder="1" applyAlignment="1">
      <alignment horizontal="center" vertical="center"/>
    </xf>
    <xf numFmtId="165" fontId="28" fillId="9" borderId="3" xfId="0" applyNumberFormat="1" applyFont="1" applyFill="1" applyBorder="1" applyAlignment="1">
      <alignment horizontal="center" vertical="center"/>
    </xf>
    <xf numFmtId="0" fontId="42" fillId="9" borderId="3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14" fontId="0" fillId="19" borderId="3" xfId="0" applyNumberFormat="1" applyFill="1" applyBorder="1" applyAlignment="1">
      <alignment horizontal="center" vertical="center"/>
    </xf>
    <xf numFmtId="165" fontId="0" fillId="19" borderId="3" xfId="0" applyNumberFormat="1" applyFill="1" applyBorder="1" applyAlignment="1">
      <alignment horizontal="center" vertical="center"/>
    </xf>
    <xf numFmtId="0" fontId="93" fillId="19" borderId="3" xfId="0" applyFont="1" applyFill="1" applyBorder="1" applyAlignment="1">
      <alignment horizontal="center" vertical="center"/>
    </xf>
    <xf numFmtId="0" fontId="0" fillId="19" borderId="3" xfId="0" applyFill="1" applyBorder="1" applyAlignment="1">
      <alignment horizontal="center" vertical="center"/>
    </xf>
    <xf numFmtId="0" fontId="42" fillId="19" borderId="3" xfId="0" applyFont="1" applyFill="1" applyBorder="1" applyAlignment="1">
      <alignment horizontal="center" vertical="center"/>
    </xf>
    <xf numFmtId="0" fontId="15" fillId="18" borderId="24" xfId="0" applyFont="1" applyFill="1" applyBorder="1" applyAlignment="1">
      <alignment horizontal="center" vertical="center"/>
    </xf>
    <xf numFmtId="14" fontId="15" fillId="18" borderId="24" xfId="0" applyNumberFormat="1" applyFont="1" applyFill="1" applyBorder="1" applyAlignment="1">
      <alignment horizontal="center" vertical="center"/>
    </xf>
    <xf numFmtId="14" fontId="15" fillId="18" borderId="3" xfId="0" applyNumberFormat="1" applyFont="1" applyFill="1" applyBorder="1" applyAlignment="1">
      <alignment horizontal="center" vertical="center"/>
    </xf>
    <xf numFmtId="0" fontId="15" fillId="18" borderId="3" xfId="0" applyFont="1" applyFill="1" applyBorder="1" applyAlignment="1">
      <alignment horizontal="center" vertical="center"/>
    </xf>
    <xf numFmtId="0" fontId="45" fillId="5" borderId="3" xfId="0" applyFont="1" applyFill="1" applyBorder="1" applyAlignment="1">
      <alignment horizontal="center" vertical="center"/>
    </xf>
    <xf numFmtId="0" fontId="47" fillId="16" borderId="0" xfId="0" applyFont="1" applyFill="1"/>
    <xf numFmtId="0" fontId="86" fillId="28" borderId="0" xfId="2" applyFont="1" applyFill="1" applyAlignment="1">
      <alignment horizontal="right" vertical="center"/>
    </xf>
    <xf numFmtId="0" fontId="51" fillId="0" borderId="0" xfId="2"/>
    <xf numFmtId="0" fontId="82" fillId="2" borderId="0" xfId="2" applyFont="1" applyFill="1" applyAlignment="1">
      <alignment horizontal="center" vertical="center"/>
    </xf>
    <xf numFmtId="0" fontId="76" fillId="24" borderId="0" xfId="2" applyFont="1" applyFill="1"/>
    <xf numFmtId="0" fontId="85" fillId="24" borderId="0" xfId="2" applyFont="1" applyFill="1" applyAlignment="1">
      <alignment horizontal="center" vertical="center"/>
    </xf>
    <xf numFmtId="49" fontId="84" fillId="25" borderId="0" xfId="2" applyNumberFormat="1" applyFont="1" applyFill="1" applyAlignment="1">
      <alignment horizontal="center" vertical="center"/>
    </xf>
    <xf numFmtId="0" fontId="49" fillId="24" borderId="0" xfId="2" applyFont="1" applyFill="1" applyAlignment="1">
      <alignment horizontal="center" vertical="center"/>
    </xf>
    <xf numFmtId="0" fontId="72" fillId="4" borderId="0" xfId="2" applyFont="1" applyFill="1" applyAlignment="1">
      <alignment horizontal="center" vertical="center"/>
    </xf>
    <xf numFmtId="0" fontId="49" fillId="28" borderId="1" xfId="2" applyFont="1" applyFill="1" applyBorder="1" applyAlignment="1">
      <alignment horizontal="center" vertical="center"/>
    </xf>
    <xf numFmtId="0" fontId="51" fillId="0" borderId="1" xfId="2" applyBorder="1"/>
    <xf numFmtId="3" fontId="84" fillId="25" borderId="0" xfId="2" applyNumberFormat="1" applyFont="1" applyFill="1" applyAlignment="1">
      <alignment horizontal="center" vertical="center"/>
    </xf>
    <xf numFmtId="164" fontId="84" fillId="25" borderId="0" xfId="2" applyNumberFormat="1" applyFont="1" applyFill="1" applyAlignment="1">
      <alignment horizontal="center" vertical="center"/>
    </xf>
    <xf numFmtId="174" fontId="71" fillId="25" borderId="0" xfId="2" applyNumberFormat="1" applyFont="1" applyFill="1" applyAlignment="1">
      <alignment horizontal="center" vertical="center"/>
    </xf>
    <xf numFmtId="49" fontId="71" fillId="25" borderId="0" xfId="2" applyNumberFormat="1" applyFont="1" applyFill="1" applyAlignment="1">
      <alignment horizontal="center" vertical="center"/>
    </xf>
    <xf numFmtId="49" fontId="56" fillId="25" borderId="0" xfId="2" applyNumberFormat="1" applyFont="1" applyFill="1" applyAlignment="1">
      <alignment horizontal="center" vertical="center" wrapText="1"/>
    </xf>
    <xf numFmtId="0" fontId="70" fillId="41" borderId="1" xfId="2" applyFont="1" applyFill="1" applyBorder="1" applyAlignment="1">
      <alignment horizontal="center" vertical="center"/>
    </xf>
    <xf numFmtId="0" fontId="76" fillId="0" borderId="1" xfId="2" applyFont="1" applyBorder="1"/>
    <xf numFmtId="0" fontId="78" fillId="41" borderId="1" xfId="2" applyFont="1" applyFill="1" applyBorder="1" applyAlignment="1">
      <alignment horizontal="left" vertical="center"/>
    </xf>
    <xf numFmtId="0" fontId="77" fillId="41" borderId="1" xfId="2" applyFont="1" applyFill="1" applyBorder="1" applyAlignment="1">
      <alignment horizontal="left" vertical="center" wrapText="1"/>
    </xf>
    <xf numFmtId="0" fontId="80" fillId="27" borderId="0" xfId="2" applyFont="1" applyFill="1" applyAlignment="1">
      <alignment horizontal="center" vertical="center" wrapText="1"/>
    </xf>
    <xf numFmtId="0" fontId="70" fillId="30" borderId="1" xfId="2" applyFont="1" applyFill="1" applyBorder="1" applyAlignment="1">
      <alignment horizontal="center" vertical="center"/>
    </xf>
    <xf numFmtId="0" fontId="78" fillId="30" borderId="1" xfId="2" applyFont="1" applyFill="1" applyBorder="1" applyAlignment="1">
      <alignment horizontal="left" vertical="center"/>
    </xf>
    <xf numFmtId="0" fontId="77" fillId="30" borderId="1" xfId="2" applyFont="1" applyFill="1" applyBorder="1" applyAlignment="1">
      <alignment horizontal="left" vertical="center" wrapText="1"/>
    </xf>
    <xf numFmtId="0" fontId="101" fillId="30" borderId="1" xfId="2" applyFont="1" applyFill="1" applyBorder="1" applyAlignment="1">
      <alignment horizontal="left"/>
    </xf>
    <xf numFmtId="0" fontId="102" fillId="30" borderId="1" xfId="2" applyFont="1" applyFill="1" applyBorder="1"/>
    <xf numFmtId="0" fontId="102" fillId="30" borderId="91" xfId="2" applyFont="1" applyFill="1" applyBorder="1"/>
    <xf numFmtId="0" fontId="78" fillId="41" borderId="1" xfId="2" applyFont="1" applyFill="1" applyBorder="1" applyAlignment="1">
      <alignment horizontal="left"/>
    </xf>
    <xf numFmtId="0" fontId="99" fillId="41" borderId="1" xfId="2" applyFont="1" applyFill="1" applyBorder="1"/>
    <xf numFmtId="0" fontId="78" fillId="30" borderId="1" xfId="2" applyFont="1" applyFill="1" applyBorder="1" applyAlignment="1">
      <alignment horizontal="left"/>
    </xf>
    <xf numFmtId="0" fontId="99" fillId="30" borderId="1" xfId="2" applyFont="1" applyFill="1" applyBorder="1"/>
  </cellXfs>
  <cellStyles count="3">
    <cellStyle name="Normal" xfId="0" builtinId="0"/>
    <cellStyle name="Normal 2" xfId="2" xr:uid="{2035D7CF-6914-4313-97B1-17FCD22C6F6A}"/>
    <cellStyle name="Pivot Table Value" xfId="1" xr:uid="{00000000-0005-0000-0000-000006000000}"/>
  </cellStyles>
  <dxfs count="66">
    <dxf>
      <font>
        <b/>
        <sz val="13"/>
        <color rgb="FFC0392B"/>
        <name val="Calibri"/>
        <charset val="1"/>
      </font>
      <fill>
        <patternFill>
          <bgColor rgb="FFFDECEA"/>
        </patternFill>
      </fill>
    </dxf>
    <dxf>
      <font>
        <b/>
        <sz val="13"/>
        <color rgb="FF1A7A4A"/>
        <name val="Calibri"/>
        <charset val="1"/>
      </font>
      <fill>
        <patternFill>
          <bgColor rgb="FFD5F5E3"/>
        </patternFill>
      </fill>
    </dxf>
    <dxf>
      <font>
        <b/>
        <sz val="9"/>
        <color rgb="FFC0392B"/>
        <name val="Calibri"/>
        <charset val="1"/>
      </font>
      <fill>
        <patternFill>
          <bgColor rgb="FFFDECEA"/>
        </patternFill>
      </fill>
    </dxf>
    <dxf>
      <font>
        <b/>
        <sz val="9"/>
        <color rgb="FF1A7A4A"/>
        <name val="Calibri"/>
        <charset val="1"/>
      </font>
      <fill>
        <patternFill>
          <bgColor rgb="FFD5F5E3"/>
        </patternFill>
      </fill>
    </dxf>
    <dxf>
      <font>
        <b/>
        <sz val="9"/>
        <color rgb="FF1A7A4A"/>
        <name val="Calibri"/>
        <charset val="1"/>
      </font>
      <fill>
        <patternFill>
          <bgColor rgb="FFD5F5E3"/>
        </patternFill>
      </fill>
    </dxf>
    <dxf>
      <font>
        <b/>
        <sz val="9"/>
        <color rgb="FF856404"/>
        <name val="Calibri"/>
        <charset val="1"/>
      </font>
      <fill>
        <patternFill>
          <bgColor rgb="FFFFF3CD"/>
        </patternFill>
      </fill>
    </dxf>
    <dxf>
      <font>
        <b/>
        <sz val="9"/>
        <color rgb="FFC0392B"/>
        <name val="Calibri"/>
        <charset val="1"/>
      </font>
      <fill>
        <patternFill>
          <bgColor rgb="FFFDECEA"/>
        </patternFill>
      </fill>
    </dxf>
    <dxf>
      <font>
        <b/>
        <i val="0"/>
        <color rgb="FF006100"/>
      </font>
    </dxf>
    <dxf>
      <font>
        <b/>
        <i val="0"/>
        <color rgb="FF9C0006"/>
      </font>
    </dxf>
    <dxf>
      <font>
        <b/>
        <i val="0"/>
        <color rgb="FF006100"/>
      </font>
    </dxf>
    <dxf>
      <font>
        <b/>
        <i val="0"/>
        <color rgb="FF9C0006"/>
      </font>
    </dxf>
    <dxf>
      <font>
        <b/>
        <i val="0"/>
        <color rgb="FF006100"/>
      </font>
      <fill>
        <patternFill patternType="solid">
          <fgColor indexed="64"/>
          <bgColor rgb="FFE8F5E9"/>
        </patternFill>
      </fill>
    </dxf>
    <dxf>
      <font>
        <b/>
        <i val="0"/>
        <color rgb="FF9C0006"/>
      </font>
      <fill>
        <patternFill patternType="solid">
          <fgColor indexed="64"/>
          <bgColor rgb="FFFDECEA"/>
        </patternFill>
      </fill>
    </dxf>
    <dxf>
      <font>
        <b/>
        <color rgb="FFFFFFFF"/>
      </font>
      <fill>
        <patternFill>
          <bgColor rgb="FF00AA44"/>
        </patternFill>
      </fill>
    </dxf>
    <dxf>
      <fill>
        <patternFill>
          <bgColor rgb="FFFFA500"/>
        </patternFill>
      </fill>
    </dxf>
    <dxf>
      <font>
        <b/>
        <color rgb="FFFFFFFF"/>
      </font>
      <fill>
        <patternFill>
          <bgColor rgb="FFFF4444"/>
        </patternFill>
      </fill>
    </dxf>
    <dxf>
      <fill>
        <patternFill>
          <bgColor rgb="FFEAF4EA"/>
        </patternFill>
      </fill>
    </dxf>
    <dxf>
      <fill>
        <patternFill>
          <bgColor rgb="FF92D050"/>
        </patternFill>
      </fill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sz val="9"/>
        <color rgb="FF2B2B2B"/>
        <name val="Calibri"/>
      </font>
      <fill>
        <patternFill patternType="solid">
          <fgColor indexed="64"/>
          <bgColor rgb="FFFFFFFF"/>
        </patternFill>
      </fill>
      <alignment horizontal="center" vertical="center"/>
      <border diagonalUp="0" diagonalDown="0">
        <left style="thin">
          <color rgb="FFD0D5DD"/>
        </left>
        <right style="thin">
          <color rgb="FF000000"/>
        </right>
        <top style="thin">
          <color rgb="FFD0D5DD"/>
        </top>
        <bottom style="thin">
          <color rgb="FFD0D5DD"/>
        </bottom>
        <vertical style="thin">
          <color rgb="FFD0D5DD"/>
        </vertical>
        <horizontal style="thin">
          <color rgb="FFD0D5DD"/>
        </horizontal>
      </border>
    </dxf>
    <dxf>
      <font>
        <sz val="9"/>
        <color rgb="FF2B2B2B"/>
        <name val="Calibri"/>
      </font>
      <fill>
        <patternFill patternType="solid">
          <fgColor indexed="64"/>
          <bgColor rgb="FFFFFFFF"/>
        </patternFill>
      </fill>
      <alignment horizontal="center" vertical="center"/>
      <border diagonalUp="0" diagonalDown="0">
        <left style="thin">
          <color rgb="FFD0D5DD"/>
        </left>
        <right style="thin">
          <color rgb="FFD0D5DD"/>
        </right>
        <top style="thin">
          <color rgb="FFD0D5DD"/>
        </top>
        <bottom style="thin">
          <color rgb="FFD0D5DD"/>
        </bottom>
        <vertical style="thin">
          <color rgb="FFD0D5DD"/>
        </vertical>
        <horizontal style="thin">
          <color rgb="FFD0D5DD"/>
        </horizontal>
      </border>
    </dxf>
    <dxf>
      <font>
        <sz val="9"/>
        <color rgb="FF2B2B2B"/>
        <name val="Calibri"/>
      </font>
      <fill>
        <patternFill patternType="solid">
          <fgColor indexed="64"/>
          <bgColor rgb="FFFFFFFF"/>
        </patternFill>
      </fill>
      <alignment horizontal="center" vertical="center"/>
      <border diagonalUp="0" diagonalDown="0">
        <left style="thin">
          <color rgb="FFD0D5DD"/>
        </left>
        <right style="thin">
          <color rgb="FFD0D5DD"/>
        </right>
        <top style="thin">
          <color rgb="FFD0D5DD"/>
        </top>
        <bottom style="thin">
          <color rgb="FFD0D5DD"/>
        </bottom>
        <vertical style="thin">
          <color rgb="FFD0D5DD"/>
        </vertical>
        <horizontal style="thin">
          <color rgb="FFD0D5DD"/>
        </horizontal>
      </border>
    </dxf>
    <dxf>
      <font>
        <sz val="9"/>
        <color rgb="FF2B2B2B"/>
        <name val="Calibri"/>
      </font>
      <fill>
        <patternFill patternType="solid">
          <fgColor indexed="64"/>
          <bgColor rgb="FFFFFFFF"/>
        </patternFill>
      </fill>
      <alignment horizontal="center" vertical="center"/>
      <border diagonalUp="0" diagonalDown="0">
        <left style="thin">
          <color rgb="FFD0D5DD"/>
        </left>
        <right style="thin">
          <color rgb="FFD0D5DD"/>
        </right>
        <top style="thin">
          <color rgb="FFD0D5DD"/>
        </top>
        <bottom style="thin">
          <color rgb="FFD0D5DD"/>
        </bottom>
        <vertical style="thin">
          <color rgb="FFD0D5DD"/>
        </vertical>
        <horizontal style="thin">
          <color rgb="FFD0D5DD"/>
        </horizontal>
      </border>
    </dxf>
    <dxf>
      <font>
        <sz val="9"/>
        <color rgb="FF2B2B2B"/>
        <name val="Calibri"/>
      </font>
      <fill>
        <patternFill patternType="solid">
          <fgColor indexed="64"/>
          <bgColor rgb="FFFFFFFF"/>
        </patternFill>
      </fill>
      <alignment horizontal="center" vertical="center"/>
      <border diagonalUp="0" diagonalDown="0">
        <left style="thin">
          <color rgb="FFD0D5DD"/>
        </left>
        <right style="thin">
          <color rgb="FFD0D5DD"/>
        </right>
        <top style="thin">
          <color rgb="FFD0D5DD"/>
        </top>
        <bottom style="thin">
          <color rgb="FFD0D5DD"/>
        </bottom>
        <vertical style="thin">
          <color rgb="FFD0D5DD"/>
        </vertical>
        <horizontal style="thin">
          <color rgb="FFD0D5DD"/>
        </horizontal>
      </border>
    </dxf>
    <dxf>
      <font>
        <sz val="9"/>
        <color rgb="FF2B2B2B"/>
        <name val="Calibri"/>
      </font>
      <fill>
        <patternFill patternType="solid">
          <fgColor indexed="64"/>
          <bgColor rgb="FFFFFFFF"/>
        </patternFill>
      </fill>
      <alignment horizontal="center" vertical="center"/>
      <border diagonalUp="0" diagonalDown="0">
        <left style="thin">
          <color rgb="FFD0D5DD"/>
        </left>
        <right style="thin">
          <color rgb="FFD0D5DD"/>
        </right>
        <top style="thin">
          <color rgb="FFD0D5DD"/>
        </top>
        <bottom style="thin">
          <color rgb="FFD0D5DD"/>
        </bottom>
        <vertical style="thin">
          <color rgb="FFD0D5DD"/>
        </vertical>
        <horizontal style="thin">
          <color rgb="FFD0D5DD"/>
        </horizontal>
      </border>
    </dxf>
    <dxf>
      <font>
        <sz val="9"/>
        <color rgb="FF2B2B2B"/>
        <name val="Calibri"/>
      </font>
      <fill>
        <patternFill patternType="solid">
          <fgColor indexed="64"/>
          <bgColor rgb="FFFFFFFF"/>
        </patternFill>
      </fill>
      <alignment horizontal="center" vertical="center"/>
      <border diagonalUp="0" diagonalDown="0">
        <left style="thin">
          <color rgb="FFD0D5DD"/>
        </left>
        <right style="thin">
          <color rgb="FFD0D5DD"/>
        </right>
        <top style="thin">
          <color rgb="FFD0D5DD"/>
        </top>
        <bottom style="thin">
          <color rgb="FFD0D5DD"/>
        </bottom>
        <vertical style="thin">
          <color rgb="FFD0D5DD"/>
        </vertical>
        <horizontal style="thin">
          <color rgb="FFD0D5DD"/>
        </horizontal>
      </border>
    </dxf>
    <dxf>
      <font>
        <sz val="9"/>
        <color rgb="FF2B2B2B"/>
        <name val="Calibri"/>
      </font>
      <fill>
        <patternFill patternType="solid">
          <fgColor indexed="64"/>
          <bgColor rgb="FFFFFFFF"/>
        </patternFill>
      </fill>
      <alignment horizontal="center" vertical="center"/>
      <border diagonalUp="0" diagonalDown="0">
        <left style="thin">
          <color rgb="FFD0D5DD"/>
        </left>
        <right style="thin">
          <color rgb="FFD0D5DD"/>
        </right>
        <top style="thin">
          <color rgb="FFD0D5DD"/>
        </top>
        <bottom style="thin">
          <color rgb="FFD0D5DD"/>
        </bottom>
        <vertical style="thin">
          <color rgb="FFD0D5DD"/>
        </vertical>
        <horizontal style="thin">
          <color rgb="FFD0D5DD"/>
        </horizontal>
      </border>
    </dxf>
    <dxf>
      <font>
        <sz val="9"/>
        <color rgb="FF2B2B2B"/>
        <name val="Calibri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/>
      <border diagonalUp="0" diagonalDown="0">
        <left style="thin">
          <color rgb="FF000000"/>
        </left>
        <right style="thin">
          <color rgb="FFD0D5DD"/>
        </right>
        <top style="thin">
          <color rgb="FFD0D5DD"/>
        </top>
        <bottom style="thin">
          <color rgb="FFD0D5DD"/>
        </bottom>
        <vertical style="thin">
          <color rgb="FFD0D5DD"/>
        </vertical>
        <horizontal style="thin">
          <color rgb="FFD0D5DD"/>
        </horizontal>
      </border>
    </dxf>
    <dxf>
      <font>
        <sz val="9"/>
        <color rgb="FF2B2B2B"/>
        <name val="Calibri"/>
      </font>
      <fill>
        <patternFill patternType="solid">
          <fgColor indexed="64"/>
          <bgColor rgb="FFFFFFFF"/>
        </patternFill>
      </fill>
      <alignment horizontal="center" vertical="center"/>
    </dxf>
    <dxf>
      <border>
        <bottom style="medium">
          <color rgb="FF000000"/>
        </bottom>
      </border>
    </dxf>
    <dxf>
      <font>
        <b/>
        <sz val="10"/>
        <color rgb="FFFFFFFF"/>
        <name val="Calibri"/>
      </font>
      <fill>
        <patternFill patternType="solid">
          <fgColor indexed="64"/>
          <bgColor rgb="FF833C0C"/>
        </patternFill>
      </fill>
      <alignment horizontal="center" vertical="center"/>
      <border diagonalUp="0" diagonalDown="0">
        <left style="thin">
          <color rgb="FFFFFFFF"/>
        </left>
        <right style="thin">
          <color rgb="FFFFFFFF"/>
        </right>
        <top/>
        <bottom/>
        <vertical style="thin">
          <color rgb="FFFFFFFF"/>
        </vertical>
        <horizontal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7F3EE"/>
      <rgbColor rgb="FFFBF7ED"/>
      <rgbColor rgb="FFFFFF00"/>
      <rgbColor rgb="FFFEEEEA"/>
      <rgbColor rgb="FFE5ECE8"/>
      <rgbColor rgb="FFA10005"/>
      <rgbColor rgb="FF006100"/>
      <rgbColor rgb="FF2F3A4A"/>
      <rgbColor rgb="FF7A8468"/>
      <rgbColor rgb="FFC65911"/>
      <rgbColor rgb="FF0F766E"/>
      <rgbColor rgb="FFC0C3C3"/>
      <rgbColor rgb="FF7C7C7D"/>
      <rgbColor rgb="FFABBACA"/>
      <rgbColor rgb="FFC0392B"/>
      <rgbColor rgb="FFFFF2CC"/>
      <rgbColor rgb="FFE8F3EA"/>
      <rgbColor rgb="FFCD7F32"/>
      <rgbColor rgb="FFF28B82"/>
      <rgbColor rgb="FFF6F1F8"/>
      <rgbColor rgb="FFD0D5DD"/>
      <rgbColor rgb="FFFFF7E8"/>
      <rgbColor rgb="FFF4F6F8"/>
      <rgbColor rgb="FFCEE3C8"/>
      <rgbColor rgb="FFE7E6EA"/>
      <rgbColor rgb="FFC55A11"/>
      <rgbColor rgb="FFDF3026"/>
      <rgbColor rgb="FF078D48"/>
      <rgbColor rgb="FFF8FAFC"/>
      <rgbColor rgb="FFDBDBDB"/>
      <rgbColor rgb="FFEDF2F7"/>
      <rgbColor rgb="FFD5F5E3"/>
      <rgbColor rgb="FFFFE699"/>
      <rgbColor rgb="FF99CCFF"/>
      <rgbColor rgb="FFC9B08A"/>
      <rgbColor rgb="FFCCCCCC"/>
      <rgbColor rgb="FFF5E5BF"/>
      <rgbColor rgb="FF4574C3"/>
      <rgbColor rgb="FFDAD8D8"/>
      <rgbColor rgb="FF92D050"/>
      <rgbColor rgb="FFFFD700"/>
      <rgbColor rgb="FFFEAB01"/>
      <rgbColor rgb="FFC96B0A"/>
      <rgbColor rgb="FF53585E"/>
      <rgbColor rgb="FFA2A2A2"/>
      <rgbColor rgb="FF1A2B3C"/>
      <rgbColor rgb="FFC89F65"/>
      <rgbColor rgb="FF2F3843"/>
      <rgbColor rgb="FF2B2B2B"/>
      <rgbColor rgb="FF843C0B"/>
      <rgbColor rgb="FF8C4B09"/>
      <rgbColor rgb="FF4E275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A2B3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LATAS PRODUZIDAS NO 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A2B3C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'RANKING '!$C$26</c:f>
              <c:strCache>
                <c:ptCount val="1"/>
                <c:pt idx="0">
                  <c:v>180 ml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  <a:effectLst/>
          </c:spPr>
          <c:invertIfNegative val="0"/>
          <c:cat>
            <c:strRef>
              <c:f>'RANKING '!$B$27:$B$37</c:f>
              <c:strCache>
                <c:ptCount val="11"/>
                <c:pt idx="0">
                  <c:v>UNTA FACIL</c:v>
                </c:pt>
                <c:pt idx="2">
                  <c:v>PURATOS</c:v>
                </c:pt>
                <c:pt idx="3">
                  <c:v>    » DESTAK</c:v>
                </c:pt>
                <c:pt idx="4">
                  <c:v>    » NORCAU</c:v>
                </c:pt>
                <c:pt idx="5">
                  <c:v>ICEBERG CHEF</c:v>
                </c:pt>
                <c:pt idx="6">
                  <c:v>ADIMIX</c:v>
                </c:pt>
                <c:pt idx="7">
                  <c:v>FESTPAN</c:v>
                </c:pt>
                <c:pt idx="8">
                  <c:v>QUALICOCO</c:v>
                </c:pt>
                <c:pt idx="9">
                  <c:v>DONA JURA</c:v>
                </c:pt>
                <c:pt idx="10">
                  <c:v>ALLBREAD</c:v>
                </c:pt>
              </c:strCache>
            </c:strRef>
          </c:cat>
          <c:val>
            <c:numRef>
              <c:f>'RANKING '!$C$27:$C$37</c:f>
              <c:numCache>
                <c:formatCode>General</c:formatCode>
                <c:ptCount val="11"/>
                <c:pt idx="0" formatCode="#,##0;;\-">
                  <c:v>47472</c:v>
                </c:pt>
                <c:pt idx="2" formatCode="#,##0;;\-">
                  <c:v>0</c:v>
                </c:pt>
                <c:pt idx="3" formatCode="#,##0;;\-">
                  <c:v>0</c:v>
                </c:pt>
                <c:pt idx="4" formatCode="#,##0;;\-">
                  <c:v>0</c:v>
                </c:pt>
                <c:pt idx="5" formatCode="#,##0;;\-">
                  <c:v>0</c:v>
                </c:pt>
                <c:pt idx="6" formatCode="#,##0;;\-">
                  <c:v>0</c:v>
                </c:pt>
                <c:pt idx="7" formatCode="#,##0;;\-">
                  <c:v>0</c:v>
                </c:pt>
                <c:pt idx="8" formatCode="#,##0;;\-">
                  <c:v>0</c:v>
                </c:pt>
                <c:pt idx="9" formatCode="#,##0;;\-">
                  <c:v>0</c:v>
                </c:pt>
                <c:pt idx="10" formatCode="#,##0;;\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F-4384-AB19-BDCAD8F193E4}"/>
            </c:ext>
          </c:extLst>
        </c:ser>
        <c:ser>
          <c:idx val="1"/>
          <c:order val="1"/>
          <c:tx>
            <c:strRef>
              <c:f>'RANKING '!$D$26</c:f>
              <c:strCache>
                <c:ptCount val="1"/>
                <c:pt idx="0">
                  <c:v>400 ml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  <a:effectLst/>
          </c:spPr>
          <c:invertIfNegative val="0"/>
          <c:cat>
            <c:strRef>
              <c:f>'RANKING '!$B$27:$B$37</c:f>
              <c:strCache>
                <c:ptCount val="11"/>
                <c:pt idx="0">
                  <c:v>UNTA FACIL</c:v>
                </c:pt>
                <c:pt idx="2">
                  <c:v>PURATOS</c:v>
                </c:pt>
                <c:pt idx="3">
                  <c:v>    » DESTAK</c:v>
                </c:pt>
                <c:pt idx="4">
                  <c:v>    » NORCAU</c:v>
                </c:pt>
                <c:pt idx="5">
                  <c:v>ICEBERG CHEF</c:v>
                </c:pt>
                <c:pt idx="6">
                  <c:v>ADIMIX</c:v>
                </c:pt>
                <c:pt idx="7">
                  <c:v>FESTPAN</c:v>
                </c:pt>
                <c:pt idx="8">
                  <c:v>QUALICOCO</c:v>
                </c:pt>
                <c:pt idx="9">
                  <c:v>DONA JURA</c:v>
                </c:pt>
                <c:pt idx="10">
                  <c:v>ALLBREAD</c:v>
                </c:pt>
              </c:strCache>
            </c:strRef>
          </c:cat>
          <c:val>
            <c:numRef>
              <c:f>'RANKING '!$D$27:$D$37</c:f>
              <c:numCache>
                <c:formatCode>General</c:formatCode>
                <c:ptCount val="11"/>
                <c:pt idx="0" formatCode="#,##0;;\-">
                  <c:v>134292</c:v>
                </c:pt>
                <c:pt idx="2" formatCode="#,##0;;\-">
                  <c:v>0</c:v>
                </c:pt>
                <c:pt idx="3" formatCode="#,##0;;\-">
                  <c:v>0</c:v>
                </c:pt>
                <c:pt idx="4" formatCode="#,##0;;\-">
                  <c:v>0</c:v>
                </c:pt>
                <c:pt idx="5" formatCode="#,##0;;\-">
                  <c:v>108408</c:v>
                </c:pt>
                <c:pt idx="6" formatCode="#,##0;;\-">
                  <c:v>0</c:v>
                </c:pt>
                <c:pt idx="7" formatCode="#,##0;;\-">
                  <c:v>43632</c:v>
                </c:pt>
                <c:pt idx="8" formatCode="#,##0;;\-">
                  <c:v>0</c:v>
                </c:pt>
                <c:pt idx="9" formatCode="#,##0;;\-">
                  <c:v>24888</c:v>
                </c:pt>
                <c:pt idx="10" formatCode="#,##0;;\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5F-4384-AB19-BDCAD8F193E4}"/>
            </c:ext>
          </c:extLst>
        </c:ser>
        <c:ser>
          <c:idx val="2"/>
          <c:order val="2"/>
          <c:tx>
            <c:strRef>
              <c:f>'RANKING '!$E$26</c:f>
              <c:strCache>
                <c:ptCount val="1"/>
                <c:pt idx="0">
                  <c:v>600 ml</c:v>
                </c:pt>
              </c:strCache>
            </c:strRef>
          </c:tx>
          <c:spPr>
            <a:solidFill>
              <a:srgbClr val="E8A020"/>
            </a:solidFill>
            <a:ln>
              <a:noFill/>
            </a:ln>
            <a:effectLst/>
          </c:spPr>
          <c:invertIfNegative val="0"/>
          <c:cat>
            <c:strRef>
              <c:f>'RANKING '!$B$27:$B$37</c:f>
              <c:strCache>
                <c:ptCount val="11"/>
                <c:pt idx="0">
                  <c:v>UNTA FACIL</c:v>
                </c:pt>
                <c:pt idx="2">
                  <c:v>PURATOS</c:v>
                </c:pt>
                <c:pt idx="3">
                  <c:v>    » DESTAK</c:v>
                </c:pt>
                <c:pt idx="4">
                  <c:v>    » NORCAU</c:v>
                </c:pt>
                <c:pt idx="5">
                  <c:v>ICEBERG CHEF</c:v>
                </c:pt>
                <c:pt idx="6">
                  <c:v>ADIMIX</c:v>
                </c:pt>
                <c:pt idx="7">
                  <c:v>FESTPAN</c:v>
                </c:pt>
                <c:pt idx="8">
                  <c:v>QUALICOCO</c:v>
                </c:pt>
                <c:pt idx="9">
                  <c:v>DONA JURA</c:v>
                </c:pt>
                <c:pt idx="10">
                  <c:v>ALLBREAD</c:v>
                </c:pt>
              </c:strCache>
            </c:strRef>
          </c:cat>
          <c:val>
            <c:numRef>
              <c:f>'RANKING '!$E$27:$E$37</c:f>
              <c:numCache>
                <c:formatCode>General</c:formatCode>
                <c:ptCount val="11"/>
                <c:pt idx="0" formatCode="#,##0;;\-">
                  <c:v>78600</c:v>
                </c:pt>
                <c:pt idx="2" formatCode="#,##0;;\-">
                  <c:v>180714</c:v>
                </c:pt>
                <c:pt idx="3" formatCode="#,##0;;\-">
                  <c:v>132546</c:v>
                </c:pt>
                <c:pt idx="4" formatCode="#,##0;;\-">
                  <c:v>48168</c:v>
                </c:pt>
                <c:pt idx="5" formatCode="#,##0;;\-">
                  <c:v>0</c:v>
                </c:pt>
                <c:pt idx="6" formatCode="#,##0;;\-">
                  <c:v>88332</c:v>
                </c:pt>
                <c:pt idx="7" formatCode="#,##0;;\-">
                  <c:v>0</c:v>
                </c:pt>
                <c:pt idx="8" formatCode="#,##0;;\-">
                  <c:v>0</c:v>
                </c:pt>
                <c:pt idx="9" formatCode="#,##0;;\-">
                  <c:v>0</c:v>
                </c:pt>
                <c:pt idx="10" formatCode="#,##0;;\-">
                  <c:v>23040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5F-4384-AB19-BDCAD8F193E4}"/>
            </c:ext>
          </c:extLst>
        </c:ser>
        <c:ser>
          <c:idx val="3"/>
          <c:order val="3"/>
          <c:tx>
            <c:strRef>
              <c:f>'RANKING '!$F$26</c:f>
              <c:strCache>
                <c:ptCount val="1"/>
                <c:pt idx="0">
                  <c:v>Outros</c:v>
                </c:pt>
              </c:strCache>
            </c:strRef>
          </c:tx>
          <c:spPr>
            <a:solidFill>
              <a:srgbClr val="7F8C9A"/>
            </a:solidFill>
            <a:ln>
              <a:noFill/>
            </a:ln>
            <a:effectLst/>
          </c:spPr>
          <c:invertIfNegative val="0"/>
          <c:cat>
            <c:strRef>
              <c:f>'RANKING '!$B$27:$B$37</c:f>
              <c:strCache>
                <c:ptCount val="11"/>
                <c:pt idx="0">
                  <c:v>UNTA FACIL</c:v>
                </c:pt>
                <c:pt idx="2">
                  <c:v>PURATOS</c:v>
                </c:pt>
                <c:pt idx="3">
                  <c:v>    » DESTAK</c:v>
                </c:pt>
                <c:pt idx="4">
                  <c:v>    » NORCAU</c:v>
                </c:pt>
                <c:pt idx="5">
                  <c:v>ICEBERG CHEF</c:v>
                </c:pt>
                <c:pt idx="6">
                  <c:v>ADIMIX</c:v>
                </c:pt>
                <c:pt idx="7">
                  <c:v>FESTPAN</c:v>
                </c:pt>
                <c:pt idx="8">
                  <c:v>QUALICOCO</c:v>
                </c:pt>
                <c:pt idx="9">
                  <c:v>DONA JURA</c:v>
                </c:pt>
                <c:pt idx="10">
                  <c:v>ALLBREAD</c:v>
                </c:pt>
              </c:strCache>
            </c:strRef>
          </c:cat>
          <c:val>
            <c:numRef>
              <c:f>'RANKING '!$F$27:$F$37</c:f>
              <c:numCache>
                <c:formatCode>General</c:formatCode>
                <c:ptCount val="11"/>
                <c:pt idx="0" formatCode="#,##0;;\-">
                  <c:v>0</c:v>
                </c:pt>
                <c:pt idx="2" formatCode="#,##0;;\-">
                  <c:v>13680</c:v>
                </c:pt>
                <c:pt idx="3" formatCode="#,##0;;\-">
                  <c:v>13680</c:v>
                </c:pt>
                <c:pt idx="4" formatCode="#,##0;;\-">
                  <c:v>0</c:v>
                </c:pt>
                <c:pt idx="5" formatCode="#,##0;;\-">
                  <c:v>2115</c:v>
                </c:pt>
                <c:pt idx="6" formatCode="#,##0;;\-">
                  <c:v>0</c:v>
                </c:pt>
                <c:pt idx="7" formatCode="#,##0;;\-">
                  <c:v>0</c:v>
                </c:pt>
                <c:pt idx="8" formatCode="#,##0;;\-">
                  <c:v>34008</c:v>
                </c:pt>
                <c:pt idx="9" formatCode="#,##0;;\-">
                  <c:v>0</c:v>
                </c:pt>
                <c:pt idx="10" formatCode="#,##0;;\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5F-4384-AB19-BDCAD8F19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7245535"/>
        <c:axId val="1117256575"/>
      </c:barChart>
      <c:catAx>
        <c:axId val="111724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7256575"/>
        <c:crosses val="autoZero"/>
        <c:auto val="1"/>
        <c:lblAlgn val="ctr"/>
        <c:lblOffset val="100"/>
        <c:noMultiLvlLbl val="0"/>
      </c:catAx>
      <c:valAx>
        <c:axId val="111725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7245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Produção diária x meta - JANEIRO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JANEIRO'!$C$8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D76-4FEC-9113-988FF84E7C2E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D76-4FEC-9113-988FF84E7C2E}"/>
              </c:ext>
            </c:extLst>
          </c:dPt>
          <c:dPt>
            <c:idx val="2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D76-4FEC-9113-988FF84E7C2E}"/>
              </c:ext>
            </c:extLst>
          </c:dPt>
          <c:dPt>
            <c:idx val="3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7D76-4FEC-9113-988FF84E7C2E}"/>
              </c:ext>
            </c:extLst>
          </c:dPt>
          <c:dPt>
            <c:idx val="4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A-99E4-4B7B-9DCB-5B971FE30B0F}"/>
              </c:ext>
            </c:extLst>
          </c:dPt>
          <c:dPt>
            <c:idx val="5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7D76-4FEC-9113-988FF84E7C2E}"/>
              </c:ext>
            </c:extLst>
          </c:dPt>
          <c:dPt>
            <c:idx val="6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99E4-4B7B-9DCB-5B971FE30B0F}"/>
              </c:ext>
            </c:extLst>
          </c:dPt>
          <c:dPt>
            <c:idx val="7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C-99E4-4B7B-9DCB-5B971FE30B0F}"/>
              </c:ext>
            </c:extLst>
          </c:dPt>
          <c:dPt>
            <c:idx val="8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7D76-4FEC-9113-988FF84E7C2E}"/>
              </c:ext>
            </c:extLst>
          </c:dPt>
          <c:dPt>
            <c:idx val="9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99E4-4B7B-9DCB-5B971FE30B0F}"/>
              </c:ext>
            </c:extLst>
          </c:dPt>
          <c:dPt>
            <c:idx val="10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7D76-4FEC-9113-988FF84E7C2E}"/>
              </c:ext>
            </c:extLst>
          </c:dPt>
          <c:dPt>
            <c:idx val="11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E-99E4-4B7B-9DCB-5B971FE30B0F}"/>
              </c:ext>
            </c:extLst>
          </c:dPt>
          <c:dPt>
            <c:idx val="12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99E4-4B7B-9DCB-5B971FE30B0F}"/>
              </c:ext>
            </c:extLst>
          </c:dPt>
          <c:dPt>
            <c:idx val="13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7D76-4FEC-9113-988FF84E7C2E}"/>
              </c:ext>
            </c:extLst>
          </c:dPt>
          <c:dPt>
            <c:idx val="1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7D76-4FEC-9113-988FF84E7C2E}"/>
              </c:ext>
            </c:extLst>
          </c:dPt>
          <c:dPt>
            <c:idx val="15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0-99E4-4B7B-9DCB-5B971FE30B0F}"/>
              </c:ext>
            </c:extLst>
          </c:dPt>
          <c:dPt>
            <c:idx val="1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7D76-4FEC-9113-988FF84E7C2E}"/>
              </c:ext>
            </c:extLst>
          </c:dPt>
          <c:dPt>
            <c:idx val="17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1-99E4-4B7B-9DCB-5B971FE30B0F}"/>
              </c:ext>
            </c:extLst>
          </c:dPt>
          <c:dPt>
            <c:idx val="18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7D76-4FEC-9113-988FF84E7C2E}"/>
              </c:ext>
            </c:extLst>
          </c:dPt>
          <c:dPt>
            <c:idx val="1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7D76-4FEC-9113-988FF84E7C2E}"/>
              </c:ext>
            </c:extLst>
          </c:dPt>
          <c:dPt>
            <c:idx val="20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2-99E4-4B7B-9DCB-5B971FE30B0F}"/>
              </c:ext>
            </c:extLst>
          </c:dPt>
          <c:dPt>
            <c:idx val="21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7D76-4FEC-9113-988FF84E7C2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76-4FEC-9113-988FF84E7C2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76-4FEC-9113-988FF84E7C2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D76-4FEC-9113-988FF84E7C2E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D76-4FEC-9113-988FF84E7C2E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D76-4FEC-9113-988FF84E7C2E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D76-4FEC-9113-988FF84E7C2E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D76-4FEC-9113-988FF84E7C2E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D76-4FEC-9113-988FF84E7C2E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D76-4FEC-9113-988FF84E7C2E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D76-4FEC-9113-988FF84E7C2E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D76-4FEC-9113-988FF84E7C2E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D76-4FEC-9113-988FF84E7C2E}"/>
                </c:ext>
              </c:extLst>
            </c:dLbl>
            <c:dLbl>
              <c:idx val="2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D76-4FEC-9113-988FF84E7C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ABRIL'!$A$9:$C$32</c:f>
              <c:multiLvlStrCache>
                <c:ptCount val="24"/>
                <c:lvl>
                  <c:pt idx="0">
                    <c:v>qua</c:v>
                  </c:pt>
                  <c:pt idx="1">
                    <c:v>qui</c:v>
                  </c:pt>
                  <c:pt idx="2">
                    <c:v>sex</c:v>
                  </c:pt>
                  <c:pt idx="3">
                    <c:v>seg</c:v>
                  </c:pt>
                  <c:pt idx="4">
                    <c:v>ter</c:v>
                  </c:pt>
                  <c:pt idx="5">
                    <c:v>qua</c:v>
                  </c:pt>
                  <c:pt idx="6">
                    <c:v>qui</c:v>
                  </c:pt>
                  <c:pt idx="7">
                    <c:v>sex</c:v>
                  </c:pt>
                  <c:pt idx="8">
                    <c:v>seg</c:v>
                  </c:pt>
                  <c:pt idx="9">
                    <c:v>ter</c:v>
                  </c:pt>
                  <c:pt idx="10">
                    <c:v>qua</c:v>
                  </c:pt>
                  <c:pt idx="11">
                    <c:v>qui</c:v>
                  </c:pt>
                  <c:pt idx="12">
                    <c:v>sex</c:v>
                  </c:pt>
                  <c:pt idx="13">
                    <c:v>sáb</c:v>
                  </c:pt>
                  <c:pt idx="14">
                    <c:v>seg</c:v>
                  </c:pt>
                  <c:pt idx="15">
                    <c:v>ter</c:v>
                  </c:pt>
                  <c:pt idx="16">
                    <c:v>qua</c:v>
                  </c:pt>
                  <c:pt idx="17">
                    <c:v>qui</c:v>
                  </c:pt>
                  <c:pt idx="18">
                    <c:v>sex</c:v>
                  </c:pt>
                  <c:pt idx="19">
                    <c:v>sáb</c:v>
                  </c:pt>
                  <c:pt idx="20">
                    <c:v>seg</c:v>
                  </c:pt>
                  <c:pt idx="21">
                    <c:v>ter</c:v>
                  </c:pt>
                  <c:pt idx="22">
                    <c:v>qua</c:v>
                  </c:pt>
                  <c:pt idx="23">
                    <c:v>qui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01/04/2026</c:v>
                  </c:pt>
                  <c:pt idx="1">
                    <c:v>02/04/2026</c:v>
                  </c:pt>
                  <c:pt idx="2">
                    <c:v>03/04/2026</c:v>
                  </c:pt>
                  <c:pt idx="3">
                    <c:v>06/04/2026</c:v>
                  </c:pt>
                  <c:pt idx="4">
                    <c:v>07/04/2026</c:v>
                  </c:pt>
                  <c:pt idx="5">
                    <c:v>08/04/2026</c:v>
                  </c:pt>
                  <c:pt idx="6">
                    <c:v>09/04/2026</c:v>
                  </c:pt>
                  <c:pt idx="7">
                    <c:v>10/04/2026</c:v>
                  </c:pt>
                  <c:pt idx="8">
                    <c:v>13/04/2026</c:v>
                  </c:pt>
                  <c:pt idx="9">
                    <c:v>14/04/2026</c:v>
                  </c:pt>
                  <c:pt idx="10">
                    <c:v>15/04/2026</c:v>
                  </c:pt>
                  <c:pt idx="11">
                    <c:v>16/04/2026</c:v>
                  </c:pt>
                  <c:pt idx="12">
                    <c:v>17/04/2026</c:v>
                  </c:pt>
                  <c:pt idx="13">
                    <c:v>18/04/2026</c:v>
                  </c:pt>
                  <c:pt idx="14">
                    <c:v>20/04/2026</c:v>
                  </c:pt>
                  <c:pt idx="15">
                    <c:v>21/04/2026</c:v>
                  </c:pt>
                  <c:pt idx="16">
                    <c:v>22/04/2026</c:v>
                  </c:pt>
                  <c:pt idx="17">
                    <c:v>23/04/2026</c:v>
                  </c:pt>
                  <c:pt idx="18">
                    <c:v>24/04/2026</c:v>
                  </c:pt>
                  <c:pt idx="19">
                    <c:v>25/04/2026</c:v>
                  </c:pt>
                  <c:pt idx="20">
                    <c:v>27/04/2026</c:v>
                  </c:pt>
                  <c:pt idx="21">
                    <c:v>28/04/2026</c:v>
                  </c:pt>
                  <c:pt idx="22">
                    <c:v>29/04/2026</c:v>
                  </c:pt>
                  <c:pt idx="23">
                    <c:v>30/04/2026</c:v>
                  </c:pt>
                </c:lvl>
              </c:multiLvlStrCache>
            </c:multiLvlStrRef>
          </c:cat>
          <c:val>
            <c:numRef>
              <c:f>'GRAFICO JANEIRO'!$C$9:$C$30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8352</c:v>
                </c:pt>
                <c:pt idx="3">
                  <c:v>1872</c:v>
                </c:pt>
                <c:pt idx="4">
                  <c:v>12036</c:v>
                </c:pt>
                <c:pt idx="5">
                  <c:v>9852</c:v>
                </c:pt>
                <c:pt idx="6">
                  <c:v>6498</c:v>
                </c:pt>
                <c:pt idx="7">
                  <c:v>6432</c:v>
                </c:pt>
                <c:pt idx="8">
                  <c:v>6252</c:v>
                </c:pt>
                <c:pt idx="9">
                  <c:v>10800</c:v>
                </c:pt>
                <c:pt idx="10">
                  <c:v>4872</c:v>
                </c:pt>
                <c:pt idx="11">
                  <c:v>9978</c:v>
                </c:pt>
                <c:pt idx="12">
                  <c:v>10644</c:v>
                </c:pt>
                <c:pt idx="13">
                  <c:v>6396</c:v>
                </c:pt>
                <c:pt idx="14">
                  <c:v>0</c:v>
                </c:pt>
                <c:pt idx="15">
                  <c:v>12288</c:v>
                </c:pt>
                <c:pt idx="16">
                  <c:v>0</c:v>
                </c:pt>
                <c:pt idx="17">
                  <c:v>14931</c:v>
                </c:pt>
                <c:pt idx="18">
                  <c:v>7848</c:v>
                </c:pt>
                <c:pt idx="19">
                  <c:v>0</c:v>
                </c:pt>
                <c:pt idx="20">
                  <c:v>12264</c:v>
                </c:pt>
                <c:pt idx="21">
                  <c:v>9048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D76-4FEC-9113-988FF84E7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29939514"/>
        <c:axId val="66042338"/>
      </c:barChart>
      <c:catAx>
        <c:axId val="29939514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66042338"/>
        <c:crosses val="autoZero"/>
        <c:auto val="1"/>
        <c:lblAlgn val="ctr"/>
        <c:lblOffset val="100"/>
        <c:noMultiLvlLbl val="0"/>
      </c:catAx>
      <c:valAx>
        <c:axId val="6604233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.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pt-BR"/>
          </a:p>
        </c:txPr>
        <c:crossAx val="299395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Produção diária x meta - FEVEREIRO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FEVEREIRO'!$C$8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2-25B1-4855-8C8F-6A34F1E19FC2}"/>
              </c:ext>
            </c:extLst>
          </c:dPt>
          <c:dPt>
            <c:idx val="1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C22-4574-BC80-0E0FC1355984}"/>
              </c:ext>
            </c:extLst>
          </c:dPt>
          <c:dPt>
            <c:idx val="2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25B1-4855-8C8F-6A34F1E19FC2}"/>
              </c:ext>
            </c:extLst>
          </c:dPt>
          <c:dPt>
            <c:idx val="3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C22-4574-BC80-0E0FC1355984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C22-4574-BC80-0E0FC1355984}"/>
              </c:ext>
            </c:extLst>
          </c:dPt>
          <c:dPt>
            <c:idx val="5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4-25B1-4855-8C8F-6A34F1E19FC2}"/>
              </c:ext>
            </c:extLst>
          </c:dPt>
          <c:dPt>
            <c:idx val="6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25B1-4855-8C8F-6A34F1E19FC2}"/>
              </c:ext>
            </c:extLst>
          </c:dPt>
          <c:dPt>
            <c:idx val="7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6-25B1-4855-8C8F-6A34F1E19FC2}"/>
              </c:ext>
            </c:extLst>
          </c:dPt>
          <c:dPt>
            <c:idx val="8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25B1-4855-8C8F-6A34F1E19FC2}"/>
              </c:ext>
            </c:extLst>
          </c:dPt>
          <c:dPt>
            <c:idx val="9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1C22-4574-BC80-0E0FC1355984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1C22-4574-BC80-0E0FC1355984}"/>
              </c:ext>
            </c:extLst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1C22-4574-BC80-0E0FC1355984}"/>
              </c:ext>
            </c:extLst>
          </c:dPt>
          <c:dPt>
            <c:idx val="12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1C22-4574-BC80-0E0FC1355984}"/>
              </c:ext>
            </c:extLst>
          </c:dPt>
          <c:dPt>
            <c:idx val="13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8-25B1-4855-8C8F-6A34F1E19FC2}"/>
              </c:ext>
            </c:extLst>
          </c:dPt>
          <c:dPt>
            <c:idx val="14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25B1-4855-8C8F-6A34F1E19FC2}"/>
              </c:ext>
            </c:extLst>
          </c:dPt>
          <c:dPt>
            <c:idx val="15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A-25B1-4855-8C8F-6A34F1E19FC2}"/>
              </c:ext>
            </c:extLst>
          </c:dPt>
          <c:dPt>
            <c:idx val="16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25B1-4855-8C8F-6A34F1E19FC2}"/>
              </c:ext>
            </c:extLst>
          </c:dPt>
          <c:dPt>
            <c:idx val="17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1C22-4574-BC80-0E0FC1355984}"/>
              </c:ext>
            </c:extLst>
          </c:dPt>
          <c:dPt>
            <c:idx val="18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C-25B1-4855-8C8F-6A34F1E19FC2}"/>
              </c:ext>
            </c:extLst>
          </c:dPt>
          <c:dPt>
            <c:idx val="19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1C22-4574-BC80-0E0FC1355984}"/>
              </c:ext>
            </c:extLst>
          </c:dPt>
          <c:dLbls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22-4574-BC80-0E0FC135598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22-4574-BC80-0E0FC1355984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C22-4574-BC80-0E0FC1355984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C22-4574-BC80-0E0FC1355984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C22-4574-BC80-0E0FC1355984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C22-4574-BC80-0E0FC1355984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C22-4574-BC80-0E0FC1355984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C22-4574-BC80-0E0FC1355984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C22-4574-BC80-0E0FC13559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ABRIL'!$A$9:$C$32</c:f>
              <c:multiLvlStrCache>
                <c:ptCount val="24"/>
                <c:lvl>
                  <c:pt idx="0">
                    <c:v>qua</c:v>
                  </c:pt>
                  <c:pt idx="1">
                    <c:v>qui</c:v>
                  </c:pt>
                  <c:pt idx="2">
                    <c:v>sex</c:v>
                  </c:pt>
                  <c:pt idx="3">
                    <c:v>seg</c:v>
                  </c:pt>
                  <c:pt idx="4">
                    <c:v>ter</c:v>
                  </c:pt>
                  <c:pt idx="5">
                    <c:v>qua</c:v>
                  </c:pt>
                  <c:pt idx="6">
                    <c:v>qui</c:v>
                  </c:pt>
                  <c:pt idx="7">
                    <c:v>sex</c:v>
                  </c:pt>
                  <c:pt idx="8">
                    <c:v>seg</c:v>
                  </c:pt>
                  <c:pt idx="9">
                    <c:v>ter</c:v>
                  </c:pt>
                  <c:pt idx="10">
                    <c:v>qua</c:v>
                  </c:pt>
                  <c:pt idx="11">
                    <c:v>qui</c:v>
                  </c:pt>
                  <c:pt idx="12">
                    <c:v>sex</c:v>
                  </c:pt>
                  <c:pt idx="13">
                    <c:v>sáb</c:v>
                  </c:pt>
                  <c:pt idx="14">
                    <c:v>seg</c:v>
                  </c:pt>
                  <c:pt idx="15">
                    <c:v>ter</c:v>
                  </c:pt>
                  <c:pt idx="16">
                    <c:v>qua</c:v>
                  </c:pt>
                  <c:pt idx="17">
                    <c:v>qui</c:v>
                  </c:pt>
                  <c:pt idx="18">
                    <c:v>sex</c:v>
                  </c:pt>
                  <c:pt idx="19">
                    <c:v>sáb</c:v>
                  </c:pt>
                  <c:pt idx="20">
                    <c:v>seg</c:v>
                  </c:pt>
                  <c:pt idx="21">
                    <c:v>ter</c:v>
                  </c:pt>
                  <c:pt idx="22">
                    <c:v>qua</c:v>
                  </c:pt>
                  <c:pt idx="23">
                    <c:v>qui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01/04/2026</c:v>
                  </c:pt>
                  <c:pt idx="1">
                    <c:v>02/04/2026</c:v>
                  </c:pt>
                  <c:pt idx="2">
                    <c:v>03/04/2026</c:v>
                  </c:pt>
                  <c:pt idx="3">
                    <c:v>06/04/2026</c:v>
                  </c:pt>
                  <c:pt idx="4">
                    <c:v>07/04/2026</c:v>
                  </c:pt>
                  <c:pt idx="5">
                    <c:v>08/04/2026</c:v>
                  </c:pt>
                  <c:pt idx="6">
                    <c:v>09/04/2026</c:v>
                  </c:pt>
                  <c:pt idx="7">
                    <c:v>10/04/2026</c:v>
                  </c:pt>
                  <c:pt idx="8">
                    <c:v>13/04/2026</c:v>
                  </c:pt>
                  <c:pt idx="9">
                    <c:v>14/04/2026</c:v>
                  </c:pt>
                  <c:pt idx="10">
                    <c:v>15/04/2026</c:v>
                  </c:pt>
                  <c:pt idx="11">
                    <c:v>16/04/2026</c:v>
                  </c:pt>
                  <c:pt idx="12">
                    <c:v>17/04/2026</c:v>
                  </c:pt>
                  <c:pt idx="13">
                    <c:v>18/04/2026</c:v>
                  </c:pt>
                  <c:pt idx="14">
                    <c:v>20/04/2026</c:v>
                  </c:pt>
                  <c:pt idx="15">
                    <c:v>21/04/2026</c:v>
                  </c:pt>
                  <c:pt idx="16">
                    <c:v>22/04/2026</c:v>
                  </c:pt>
                  <c:pt idx="17">
                    <c:v>23/04/2026</c:v>
                  </c:pt>
                  <c:pt idx="18">
                    <c:v>24/04/2026</c:v>
                  </c:pt>
                  <c:pt idx="19">
                    <c:v>25/04/2026</c:v>
                  </c:pt>
                  <c:pt idx="20">
                    <c:v>27/04/2026</c:v>
                  </c:pt>
                  <c:pt idx="21">
                    <c:v>28/04/2026</c:v>
                  </c:pt>
                  <c:pt idx="22">
                    <c:v>29/04/2026</c:v>
                  </c:pt>
                  <c:pt idx="23">
                    <c:v>30/04/2026</c:v>
                  </c:pt>
                </c:lvl>
              </c:multiLvlStrCache>
            </c:multiLvlStrRef>
          </c:cat>
          <c:val>
            <c:numRef>
              <c:f>'GRAFICO FEVEREIRO'!$C$9:$C$28</c:f>
              <c:numCache>
                <c:formatCode>#,##0</c:formatCode>
                <c:ptCount val="20"/>
                <c:pt idx="0">
                  <c:v>11328</c:v>
                </c:pt>
                <c:pt idx="1">
                  <c:v>8424</c:v>
                </c:pt>
                <c:pt idx="2">
                  <c:v>7998</c:v>
                </c:pt>
                <c:pt idx="3">
                  <c:v>6786</c:v>
                </c:pt>
                <c:pt idx="4">
                  <c:v>0</c:v>
                </c:pt>
                <c:pt idx="5">
                  <c:v>14532</c:v>
                </c:pt>
                <c:pt idx="6">
                  <c:v>12324</c:v>
                </c:pt>
                <c:pt idx="7">
                  <c:v>14532</c:v>
                </c:pt>
                <c:pt idx="8">
                  <c:v>17172</c:v>
                </c:pt>
                <c:pt idx="9">
                  <c:v>9624</c:v>
                </c:pt>
                <c:pt idx="10">
                  <c:v>0</c:v>
                </c:pt>
                <c:pt idx="11">
                  <c:v>0</c:v>
                </c:pt>
                <c:pt idx="12">
                  <c:v>5268</c:v>
                </c:pt>
                <c:pt idx="13">
                  <c:v>11796</c:v>
                </c:pt>
                <c:pt idx="14">
                  <c:v>13164</c:v>
                </c:pt>
                <c:pt idx="15">
                  <c:v>15888</c:v>
                </c:pt>
                <c:pt idx="16">
                  <c:v>12732</c:v>
                </c:pt>
                <c:pt idx="17">
                  <c:v>9132</c:v>
                </c:pt>
                <c:pt idx="18">
                  <c:v>12786</c:v>
                </c:pt>
                <c:pt idx="19">
                  <c:v>7632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C22-4574-BC80-0E0FC1355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61516272"/>
        <c:axId val="13680632"/>
      </c:barChart>
      <c:catAx>
        <c:axId val="61516272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13680632"/>
        <c:crosses val="autoZero"/>
        <c:auto val="1"/>
        <c:lblAlgn val="ctr"/>
        <c:lblOffset val="100"/>
        <c:noMultiLvlLbl val="0"/>
      </c:catAx>
      <c:valAx>
        <c:axId val="1368063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.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pt-BR"/>
          </a:p>
        </c:txPr>
        <c:crossAx val="615162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Produção diária x meta - MARÇO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MARÇO'!$C$8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19F6-4BE7-96CE-51EAE3B6DEC7}"/>
              </c:ext>
            </c:extLst>
          </c:dPt>
          <c:dPt>
            <c:idx val="1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19F6-4BE7-96CE-51EAE3B6DEC7}"/>
              </c:ext>
            </c:extLst>
          </c:dPt>
          <c:dPt>
            <c:idx val="2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19F6-4BE7-96CE-51EAE3B6DEC7}"/>
              </c:ext>
            </c:extLst>
          </c:dPt>
          <c:dPt>
            <c:idx val="3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19F6-4BE7-96CE-51EAE3B6DEC7}"/>
              </c:ext>
            </c:extLst>
          </c:dPt>
          <c:dPt>
            <c:idx val="4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19F6-4BE7-96CE-51EAE3B6DEC7}"/>
              </c:ext>
            </c:extLst>
          </c:dPt>
          <c:dPt>
            <c:idx val="5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19F6-4BE7-96CE-51EAE3B6DEC7}"/>
              </c:ext>
            </c:extLst>
          </c:dPt>
          <c:dPt>
            <c:idx val="6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0-19F6-4BE7-96CE-51EAE3B6DEC7}"/>
              </c:ext>
            </c:extLst>
          </c:dPt>
          <c:dPt>
            <c:idx val="7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19F6-4BE7-96CE-51EAE3B6DEC7}"/>
              </c:ext>
            </c:extLst>
          </c:dPt>
          <c:dPt>
            <c:idx val="8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F43-4B2C-BDF5-B9DF782E7A65}"/>
              </c:ext>
            </c:extLst>
          </c:dPt>
          <c:dPt>
            <c:idx val="9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2-19F6-4BE7-96CE-51EAE3B6DEC7}"/>
              </c:ext>
            </c:extLst>
          </c:dPt>
          <c:dPt>
            <c:idx val="10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19F6-4BE7-96CE-51EAE3B6DEC7}"/>
              </c:ext>
            </c:extLst>
          </c:dPt>
          <c:dPt>
            <c:idx val="11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4-19F6-4BE7-96CE-51EAE3B6DEC7}"/>
              </c:ext>
            </c:extLst>
          </c:dPt>
          <c:dPt>
            <c:idx val="12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19F6-4BE7-96CE-51EAE3B6DEC7}"/>
              </c:ext>
            </c:extLst>
          </c:dPt>
          <c:dPt>
            <c:idx val="13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6-19F6-4BE7-96CE-51EAE3B6DEC7}"/>
              </c:ext>
            </c:extLst>
          </c:dPt>
          <c:dPt>
            <c:idx val="14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F43-4B2C-BDF5-B9DF782E7A65}"/>
              </c:ext>
            </c:extLst>
          </c:dPt>
          <c:dPt>
            <c:idx val="15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F43-4B2C-BDF5-B9DF782E7A65}"/>
              </c:ext>
            </c:extLst>
          </c:dPt>
          <c:dPt>
            <c:idx val="16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F43-4B2C-BDF5-B9DF782E7A65}"/>
              </c:ext>
            </c:extLst>
          </c:dPt>
          <c:dPt>
            <c:idx val="17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4F43-4B2C-BDF5-B9DF782E7A65}"/>
              </c:ext>
            </c:extLst>
          </c:dPt>
          <c:dPt>
            <c:idx val="18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19F6-4BE7-96CE-51EAE3B6DEC7}"/>
              </c:ext>
            </c:extLst>
          </c:dPt>
          <c:dPt>
            <c:idx val="19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8-19F6-4BE7-96CE-51EAE3B6DEC7}"/>
              </c:ext>
            </c:extLst>
          </c:dPt>
          <c:dPt>
            <c:idx val="20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19F6-4BE7-96CE-51EAE3B6DEC7}"/>
              </c:ext>
            </c:extLst>
          </c:dPt>
          <c:dPt>
            <c:idx val="21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A-19F6-4BE7-96CE-51EAE3B6DEC7}"/>
              </c:ext>
            </c:extLst>
          </c:dPt>
          <c:dLbls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43-4B2C-BDF5-B9DF782E7A65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F43-4B2C-BDF5-B9DF782E7A65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F43-4B2C-BDF5-B9DF782E7A65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F43-4B2C-BDF5-B9DF782E7A65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F43-4B2C-BDF5-B9DF782E7A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ABRIL'!$A$9:$C$32</c:f>
              <c:multiLvlStrCache>
                <c:ptCount val="24"/>
                <c:lvl>
                  <c:pt idx="0">
                    <c:v>qua</c:v>
                  </c:pt>
                  <c:pt idx="1">
                    <c:v>qui</c:v>
                  </c:pt>
                  <c:pt idx="2">
                    <c:v>sex</c:v>
                  </c:pt>
                  <c:pt idx="3">
                    <c:v>seg</c:v>
                  </c:pt>
                  <c:pt idx="4">
                    <c:v>ter</c:v>
                  </c:pt>
                  <c:pt idx="5">
                    <c:v>qua</c:v>
                  </c:pt>
                  <c:pt idx="6">
                    <c:v>qui</c:v>
                  </c:pt>
                  <c:pt idx="7">
                    <c:v>sex</c:v>
                  </c:pt>
                  <c:pt idx="8">
                    <c:v>seg</c:v>
                  </c:pt>
                  <c:pt idx="9">
                    <c:v>ter</c:v>
                  </c:pt>
                  <c:pt idx="10">
                    <c:v>qua</c:v>
                  </c:pt>
                  <c:pt idx="11">
                    <c:v>qui</c:v>
                  </c:pt>
                  <c:pt idx="12">
                    <c:v>sex</c:v>
                  </c:pt>
                  <c:pt idx="13">
                    <c:v>sáb</c:v>
                  </c:pt>
                  <c:pt idx="14">
                    <c:v>seg</c:v>
                  </c:pt>
                  <c:pt idx="15">
                    <c:v>ter</c:v>
                  </c:pt>
                  <c:pt idx="16">
                    <c:v>qua</c:v>
                  </c:pt>
                  <c:pt idx="17">
                    <c:v>qui</c:v>
                  </c:pt>
                  <c:pt idx="18">
                    <c:v>sex</c:v>
                  </c:pt>
                  <c:pt idx="19">
                    <c:v>sáb</c:v>
                  </c:pt>
                  <c:pt idx="20">
                    <c:v>seg</c:v>
                  </c:pt>
                  <c:pt idx="21">
                    <c:v>ter</c:v>
                  </c:pt>
                  <c:pt idx="22">
                    <c:v>qua</c:v>
                  </c:pt>
                  <c:pt idx="23">
                    <c:v>qui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01/04/2026</c:v>
                  </c:pt>
                  <c:pt idx="1">
                    <c:v>02/04/2026</c:v>
                  </c:pt>
                  <c:pt idx="2">
                    <c:v>03/04/2026</c:v>
                  </c:pt>
                  <c:pt idx="3">
                    <c:v>06/04/2026</c:v>
                  </c:pt>
                  <c:pt idx="4">
                    <c:v>07/04/2026</c:v>
                  </c:pt>
                  <c:pt idx="5">
                    <c:v>08/04/2026</c:v>
                  </c:pt>
                  <c:pt idx="6">
                    <c:v>09/04/2026</c:v>
                  </c:pt>
                  <c:pt idx="7">
                    <c:v>10/04/2026</c:v>
                  </c:pt>
                  <c:pt idx="8">
                    <c:v>13/04/2026</c:v>
                  </c:pt>
                  <c:pt idx="9">
                    <c:v>14/04/2026</c:v>
                  </c:pt>
                  <c:pt idx="10">
                    <c:v>15/04/2026</c:v>
                  </c:pt>
                  <c:pt idx="11">
                    <c:v>16/04/2026</c:v>
                  </c:pt>
                  <c:pt idx="12">
                    <c:v>17/04/2026</c:v>
                  </c:pt>
                  <c:pt idx="13">
                    <c:v>18/04/2026</c:v>
                  </c:pt>
                  <c:pt idx="14">
                    <c:v>20/04/2026</c:v>
                  </c:pt>
                  <c:pt idx="15">
                    <c:v>21/04/2026</c:v>
                  </c:pt>
                  <c:pt idx="16">
                    <c:v>22/04/2026</c:v>
                  </c:pt>
                  <c:pt idx="17">
                    <c:v>23/04/2026</c:v>
                  </c:pt>
                  <c:pt idx="18">
                    <c:v>24/04/2026</c:v>
                  </c:pt>
                  <c:pt idx="19">
                    <c:v>25/04/2026</c:v>
                  </c:pt>
                  <c:pt idx="20">
                    <c:v>27/04/2026</c:v>
                  </c:pt>
                  <c:pt idx="21">
                    <c:v>28/04/2026</c:v>
                  </c:pt>
                  <c:pt idx="22">
                    <c:v>29/04/2026</c:v>
                  </c:pt>
                  <c:pt idx="23">
                    <c:v>30/04/2026</c:v>
                  </c:pt>
                </c:lvl>
              </c:multiLvlStrCache>
            </c:multiLvlStrRef>
          </c:cat>
          <c:val>
            <c:numRef>
              <c:f>'GRAFICO MARÇO'!$C$9:$C$30</c:f>
              <c:numCache>
                <c:formatCode>#,##0</c:formatCode>
                <c:ptCount val="22"/>
                <c:pt idx="0">
                  <c:v>11988</c:v>
                </c:pt>
                <c:pt idx="1">
                  <c:v>15948</c:v>
                </c:pt>
                <c:pt idx="2">
                  <c:v>11472</c:v>
                </c:pt>
                <c:pt idx="3">
                  <c:v>13308</c:v>
                </c:pt>
                <c:pt idx="4">
                  <c:v>11340</c:v>
                </c:pt>
                <c:pt idx="5">
                  <c:v>15336</c:v>
                </c:pt>
                <c:pt idx="6">
                  <c:v>13176</c:v>
                </c:pt>
                <c:pt idx="7">
                  <c:v>13728</c:v>
                </c:pt>
                <c:pt idx="8">
                  <c:v>9900</c:v>
                </c:pt>
                <c:pt idx="9">
                  <c:v>13452</c:v>
                </c:pt>
                <c:pt idx="10">
                  <c:v>16524</c:v>
                </c:pt>
                <c:pt idx="11">
                  <c:v>17784</c:v>
                </c:pt>
                <c:pt idx="12">
                  <c:v>15612</c:v>
                </c:pt>
                <c:pt idx="13">
                  <c:v>10548</c:v>
                </c:pt>
                <c:pt idx="14">
                  <c:v>5172</c:v>
                </c:pt>
                <c:pt idx="15">
                  <c:v>8652</c:v>
                </c:pt>
                <c:pt idx="16">
                  <c:v>5592</c:v>
                </c:pt>
                <c:pt idx="17">
                  <c:v>9060</c:v>
                </c:pt>
                <c:pt idx="18">
                  <c:v>17856</c:v>
                </c:pt>
                <c:pt idx="19">
                  <c:v>12420</c:v>
                </c:pt>
                <c:pt idx="20">
                  <c:v>17604</c:v>
                </c:pt>
                <c:pt idx="21">
                  <c:v>14292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F43-4B2C-BDF5-B9DF782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5646868"/>
        <c:axId val="72716733"/>
      </c:barChart>
      <c:catAx>
        <c:axId val="15646868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72716733"/>
        <c:crosses val="autoZero"/>
        <c:auto val="1"/>
        <c:lblAlgn val="ctr"/>
        <c:lblOffset val="100"/>
        <c:noMultiLvlLbl val="0"/>
      </c:catAx>
      <c:valAx>
        <c:axId val="7271673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.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pt-BR"/>
          </a:p>
        </c:txPr>
        <c:crossAx val="156468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Produção diária x meta - ABRIL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ABRIL'!$D$8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solidFill>
                <a:srgbClr val="FFFFFF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9C0006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02FD-424F-8F96-0C5F667742B2}"/>
              </c:ext>
            </c:extLst>
          </c:dPt>
          <c:dPt>
            <c:idx val="1"/>
            <c:invertIfNegative val="0"/>
            <c:bubble3D val="0"/>
            <c:spPr>
              <a:solidFill>
                <a:srgbClr val="006100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02FD-424F-8F96-0C5F667742B2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9C4B-4D20-8034-7AE43214821A}"/>
              </c:ext>
            </c:extLst>
          </c:dPt>
          <c:dPt>
            <c:idx val="3"/>
            <c:invertIfNegative val="0"/>
            <c:bubble3D val="0"/>
            <c:spPr>
              <a:solidFill>
                <a:srgbClr val="9C0006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E-02FD-424F-8F96-0C5F667742B2}"/>
              </c:ext>
            </c:extLst>
          </c:dPt>
          <c:dPt>
            <c:idx val="4"/>
            <c:invertIfNegative val="0"/>
            <c:bubble3D val="0"/>
            <c:spPr>
              <a:solidFill>
                <a:srgbClr val="006100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02FD-424F-8F96-0C5F667742B2}"/>
              </c:ext>
            </c:extLst>
          </c:dPt>
          <c:dPt>
            <c:idx val="5"/>
            <c:invertIfNegative val="0"/>
            <c:bubble3D val="0"/>
            <c:spPr>
              <a:solidFill>
                <a:srgbClr val="006100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0-02FD-424F-8F96-0C5F667742B2}"/>
              </c:ext>
            </c:extLst>
          </c:dPt>
          <c:dPt>
            <c:idx val="6"/>
            <c:invertIfNegative val="0"/>
            <c:bubble3D val="0"/>
            <c:spPr>
              <a:solidFill>
                <a:srgbClr val="006100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02FD-424F-8F96-0C5F667742B2}"/>
              </c:ext>
            </c:extLst>
          </c:dPt>
          <c:dPt>
            <c:idx val="7"/>
            <c:invertIfNegative val="0"/>
            <c:bubble3D val="0"/>
            <c:spPr>
              <a:solidFill>
                <a:srgbClr val="9C0006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9C4B-4D20-8034-7AE43214821A}"/>
              </c:ext>
            </c:extLst>
          </c:dPt>
          <c:dPt>
            <c:idx val="8"/>
            <c:invertIfNegative val="0"/>
            <c:bubble3D val="0"/>
            <c:spPr>
              <a:solidFill>
                <a:srgbClr val="006100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2-02FD-424F-8F96-0C5F667742B2}"/>
              </c:ext>
            </c:extLst>
          </c:dPt>
          <c:dPt>
            <c:idx val="9"/>
            <c:invertIfNegative val="0"/>
            <c:bubble3D val="0"/>
            <c:spPr>
              <a:solidFill>
                <a:srgbClr val="9C0006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02FD-424F-8F96-0C5F667742B2}"/>
              </c:ext>
            </c:extLst>
          </c:dPt>
          <c:dPt>
            <c:idx val="10"/>
            <c:invertIfNegative val="0"/>
            <c:bubble3D val="0"/>
            <c:spPr>
              <a:solidFill>
                <a:srgbClr val="9C0006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4-02FD-424F-8F96-0C5F667742B2}"/>
              </c:ext>
            </c:extLst>
          </c:dPt>
          <c:dPt>
            <c:idx val="11"/>
            <c:invertIfNegative val="0"/>
            <c:bubble3D val="0"/>
            <c:spPr>
              <a:solidFill>
                <a:srgbClr val="006100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9C4B-4D20-8034-7AE43214821A}"/>
              </c:ext>
            </c:extLst>
          </c:dPt>
          <c:dPt>
            <c:idx val="12"/>
            <c:invertIfNegative val="0"/>
            <c:bubble3D val="0"/>
            <c:spPr>
              <a:solidFill>
                <a:srgbClr val="9C0006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9C4B-4D20-8034-7AE43214821A}"/>
              </c:ext>
            </c:extLst>
          </c:dPt>
          <c:dPt>
            <c:idx val="13"/>
            <c:invertIfNegative val="0"/>
            <c:bubble3D val="0"/>
            <c:spPr>
              <a:solidFill>
                <a:srgbClr val="9C0006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9C4B-4D20-8034-7AE43214821A}"/>
              </c:ext>
            </c:extLst>
          </c:dPt>
          <c:dPt>
            <c:idx val="14"/>
            <c:invertIfNegative val="0"/>
            <c:bubble3D val="0"/>
            <c:spPr>
              <a:solidFill>
                <a:srgbClr val="006100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9C4B-4D20-8034-7AE43214821A}"/>
              </c:ext>
            </c:extLst>
          </c:dPt>
          <c:dPt>
            <c:idx val="15"/>
            <c:invertIfNegative val="0"/>
            <c:bubble3D val="0"/>
            <c:spPr>
              <a:solidFill>
                <a:srgbClr val="006100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9C4B-4D20-8034-7AE43214821A}"/>
              </c:ext>
            </c:extLst>
          </c:dPt>
          <c:dPt>
            <c:idx val="16"/>
            <c:invertIfNegative val="0"/>
            <c:bubble3D val="0"/>
            <c:spPr>
              <a:solidFill>
                <a:srgbClr val="9C0006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9C4B-4D20-8034-7AE43214821A}"/>
              </c:ext>
            </c:extLst>
          </c:dPt>
          <c:dPt>
            <c:idx val="17"/>
            <c:invertIfNegative val="0"/>
            <c:bubble3D val="0"/>
            <c:spPr>
              <a:solidFill>
                <a:srgbClr val="9C0006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9C4B-4D20-8034-7AE43214821A}"/>
              </c:ext>
            </c:extLst>
          </c:dPt>
          <c:dPt>
            <c:idx val="18"/>
            <c:invertIfNegative val="0"/>
            <c:bubble3D val="0"/>
            <c:spPr>
              <a:solidFill>
                <a:srgbClr val="9C0006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9C4B-4D20-8034-7AE43214821A}"/>
              </c:ext>
            </c:extLst>
          </c:dPt>
          <c:dPt>
            <c:idx val="19"/>
            <c:invertIfNegative val="0"/>
            <c:bubble3D val="0"/>
            <c:spPr>
              <a:solidFill>
                <a:srgbClr val="006100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9C4B-4D20-8034-7AE43214821A}"/>
              </c:ext>
            </c:extLst>
          </c:dPt>
          <c:dPt>
            <c:idx val="20"/>
            <c:invertIfNegative val="0"/>
            <c:bubble3D val="0"/>
            <c:spPr>
              <a:solidFill>
                <a:srgbClr val="006100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9C4B-4D20-8034-7AE43214821A}"/>
              </c:ext>
            </c:extLst>
          </c:dPt>
          <c:dPt>
            <c:idx val="21"/>
            <c:invertIfNegative val="0"/>
            <c:bubble3D val="0"/>
            <c:spPr>
              <a:solidFill>
                <a:srgbClr val="006100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9C4B-4D20-8034-7AE43214821A}"/>
              </c:ext>
            </c:extLst>
          </c:dPt>
          <c:dPt>
            <c:idx val="22"/>
            <c:invertIfNegative val="0"/>
            <c:bubble3D val="0"/>
            <c:spPr>
              <a:solidFill>
                <a:srgbClr val="9C0006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9C4B-4D20-8034-7AE43214821A}"/>
              </c:ext>
            </c:extLst>
          </c:dPt>
          <c:dPt>
            <c:idx val="23"/>
            <c:invertIfNegative val="0"/>
            <c:bubble3D val="0"/>
            <c:spPr>
              <a:solidFill>
                <a:srgbClr val="006100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02FD-424F-8F96-0C5F667742B2}"/>
              </c:ext>
            </c:extLst>
          </c:dPt>
          <c:dLbls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4B-4D20-8034-7AE43214821A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4B-4D20-8034-7AE43214821A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4B-4D20-8034-7AE43214821A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C4B-4D20-8034-7AE43214821A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C4B-4D20-8034-7AE43214821A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C4B-4D20-8034-7AE43214821A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C4B-4D20-8034-7AE43214821A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C4B-4D20-8034-7AE43214821A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C4B-4D20-8034-7AE43214821A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C4B-4D20-8034-7AE43214821A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C4B-4D20-8034-7AE43214821A}"/>
                </c:ext>
              </c:extLst>
            </c:dLbl>
            <c:dLbl>
              <c:idx val="2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C4B-4D20-8034-7AE43214821A}"/>
                </c:ext>
              </c:extLst>
            </c:dLbl>
            <c:dLbl>
              <c:idx val="2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9C4B-4D20-8034-7AE43214821A}"/>
                </c:ext>
              </c:extLst>
            </c:dLbl>
            <c:dLbl>
              <c:idx val="2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9C4B-4D20-8034-7AE4321482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ABRIL'!$A$9:$C$32</c:f>
              <c:multiLvlStrCache>
                <c:ptCount val="24"/>
                <c:lvl>
                  <c:pt idx="0">
                    <c:v>qua</c:v>
                  </c:pt>
                  <c:pt idx="1">
                    <c:v>qui</c:v>
                  </c:pt>
                  <c:pt idx="2">
                    <c:v>sex</c:v>
                  </c:pt>
                  <c:pt idx="3">
                    <c:v>seg</c:v>
                  </c:pt>
                  <c:pt idx="4">
                    <c:v>ter</c:v>
                  </c:pt>
                  <c:pt idx="5">
                    <c:v>qua</c:v>
                  </c:pt>
                  <c:pt idx="6">
                    <c:v>qui</c:v>
                  </c:pt>
                  <c:pt idx="7">
                    <c:v>sex</c:v>
                  </c:pt>
                  <c:pt idx="8">
                    <c:v>seg</c:v>
                  </c:pt>
                  <c:pt idx="9">
                    <c:v>ter</c:v>
                  </c:pt>
                  <c:pt idx="10">
                    <c:v>qua</c:v>
                  </c:pt>
                  <c:pt idx="11">
                    <c:v>qui</c:v>
                  </c:pt>
                  <c:pt idx="12">
                    <c:v>sex</c:v>
                  </c:pt>
                  <c:pt idx="13">
                    <c:v>sáb</c:v>
                  </c:pt>
                  <c:pt idx="14">
                    <c:v>seg</c:v>
                  </c:pt>
                  <c:pt idx="15">
                    <c:v>ter</c:v>
                  </c:pt>
                  <c:pt idx="16">
                    <c:v>qua</c:v>
                  </c:pt>
                  <c:pt idx="17">
                    <c:v>qui</c:v>
                  </c:pt>
                  <c:pt idx="18">
                    <c:v>sex</c:v>
                  </c:pt>
                  <c:pt idx="19">
                    <c:v>sáb</c:v>
                  </c:pt>
                  <c:pt idx="20">
                    <c:v>seg</c:v>
                  </c:pt>
                  <c:pt idx="21">
                    <c:v>ter</c:v>
                  </c:pt>
                  <c:pt idx="22">
                    <c:v>qua</c:v>
                  </c:pt>
                  <c:pt idx="23">
                    <c:v>qui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01/04/2026</c:v>
                  </c:pt>
                  <c:pt idx="1">
                    <c:v>02/04/2026</c:v>
                  </c:pt>
                  <c:pt idx="2">
                    <c:v>03/04/2026</c:v>
                  </c:pt>
                  <c:pt idx="3">
                    <c:v>06/04/2026</c:v>
                  </c:pt>
                  <c:pt idx="4">
                    <c:v>07/04/2026</c:v>
                  </c:pt>
                  <c:pt idx="5">
                    <c:v>08/04/2026</c:v>
                  </c:pt>
                  <c:pt idx="6">
                    <c:v>09/04/2026</c:v>
                  </c:pt>
                  <c:pt idx="7">
                    <c:v>10/04/2026</c:v>
                  </c:pt>
                  <c:pt idx="8">
                    <c:v>13/04/2026</c:v>
                  </c:pt>
                  <c:pt idx="9">
                    <c:v>14/04/2026</c:v>
                  </c:pt>
                  <c:pt idx="10">
                    <c:v>15/04/2026</c:v>
                  </c:pt>
                  <c:pt idx="11">
                    <c:v>16/04/2026</c:v>
                  </c:pt>
                  <c:pt idx="12">
                    <c:v>17/04/2026</c:v>
                  </c:pt>
                  <c:pt idx="13">
                    <c:v>18/04/2026</c:v>
                  </c:pt>
                  <c:pt idx="14">
                    <c:v>20/04/2026</c:v>
                  </c:pt>
                  <c:pt idx="15">
                    <c:v>21/04/2026</c:v>
                  </c:pt>
                  <c:pt idx="16">
                    <c:v>22/04/2026</c:v>
                  </c:pt>
                  <c:pt idx="17">
                    <c:v>23/04/2026</c:v>
                  </c:pt>
                  <c:pt idx="18">
                    <c:v>24/04/2026</c:v>
                  </c:pt>
                  <c:pt idx="19">
                    <c:v>25/04/2026</c:v>
                  </c:pt>
                  <c:pt idx="20">
                    <c:v>27/04/2026</c:v>
                  </c:pt>
                  <c:pt idx="21">
                    <c:v>28/04/2026</c:v>
                  </c:pt>
                  <c:pt idx="22">
                    <c:v>29/04/2026</c:v>
                  </c:pt>
                  <c:pt idx="23">
                    <c:v>30/04/2026</c:v>
                  </c:pt>
                </c:lvl>
              </c:multiLvlStrCache>
            </c:multiLvlStrRef>
          </c:cat>
          <c:val>
            <c:numRef>
              <c:f>'GRAFICO ABRIL'!$D$9:$D$32</c:f>
              <c:numCache>
                <c:formatCode>#,##0</c:formatCode>
                <c:ptCount val="24"/>
                <c:pt idx="0">
                  <c:v>8664</c:v>
                </c:pt>
                <c:pt idx="1">
                  <c:v>12600</c:v>
                </c:pt>
                <c:pt idx="2">
                  <c:v>0</c:v>
                </c:pt>
                <c:pt idx="3">
                  <c:v>9846</c:v>
                </c:pt>
                <c:pt idx="4">
                  <c:v>11046</c:v>
                </c:pt>
                <c:pt idx="5">
                  <c:v>18036</c:v>
                </c:pt>
                <c:pt idx="6">
                  <c:v>12060</c:v>
                </c:pt>
                <c:pt idx="7">
                  <c:v>6720</c:v>
                </c:pt>
                <c:pt idx="8">
                  <c:v>11916</c:v>
                </c:pt>
                <c:pt idx="9">
                  <c:v>10242</c:v>
                </c:pt>
                <c:pt idx="10">
                  <c:v>10668</c:v>
                </c:pt>
                <c:pt idx="11">
                  <c:v>11964</c:v>
                </c:pt>
                <c:pt idx="12">
                  <c:v>7872</c:v>
                </c:pt>
                <c:pt idx="13">
                  <c:v>7872</c:v>
                </c:pt>
                <c:pt idx="14">
                  <c:v>11112</c:v>
                </c:pt>
                <c:pt idx="15">
                  <c:v>11976</c:v>
                </c:pt>
                <c:pt idx="16">
                  <c:v>8610</c:v>
                </c:pt>
                <c:pt idx="17">
                  <c:v>8370</c:v>
                </c:pt>
                <c:pt idx="18">
                  <c:v>10164</c:v>
                </c:pt>
                <c:pt idx="19">
                  <c:v>13692</c:v>
                </c:pt>
                <c:pt idx="20">
                  <c:v>20196</c:v>
                </c:pt>
                <c:pt idx="21">
                  <c:v>11238</c:v>
                </c:pt>
                <c:pt idx="22">
                  <c:v>9468</c:v>
                </c:pt>
                <c:pt idx="23">
                  <c:v>11880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C4B-4D20-8034-7AE432148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77310042"/>
        <c:axId val="93622496"/>
      </c:barChart>
      <c:catAx>
        <c:axId val="77310042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93622496"/>
        <c:crosses val="autoZero"/>
        <c:auto val="1"/>
        <c:lblAlgn val="ctr"/>
        <c:lblOffset val="100"/>
        <c:noMultiLvlLbl val="0"/>
      </c:catAx>
      <c:valAx>
        <c:axId val="9362249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.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pt-BR"/>
          </a:p>
        </c:txPr>
        <c:crossAx val="773100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Produção diária x meta - MAIO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43446643966101"/>
          <c:y val="0.16890080428954399"/>
          <c:w val="0.84342355860795304"/>
          <c:h val="0.73045129579982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'GRAFICO MAIO'!$C$8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DE9-4902-B464-2FE6B4451333}"/>
              </c:ext>
            </c:extLst>
          </c:dPt>
          <c:dPt>
            <c:idx val="1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DE9-4902-B464-2FE6B4451333}"/>
              </c:ext>
            </c:extLst>
          </c:dPt>
          <c:dPt>
            <c:idx val="2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DE9-4902-B464-2FE6B4451333}"/>
              </c:ext>
            </c:extLst>
          </c:dPt>
          <c:dPt>
            <c:idx val="3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DE9-4902-B464-2FE6B4451333}"/>
              </c:ext>
            </c:extLst>
          </c:dPt>
          <c:dPt>
            <c:idx val="4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3DE9-4902-B464-2FE6B4451333}"/>
              </c:ext>
            </c:extLst>
          </c:dPt>
          <c:dPt>
            <c:idx val="5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3DE9-4902-B464-2FE6B4451333}"/>
              </c:ext>
            </c:extLst>
          </c:dPt>
          <c:dPt>
            <c:idx val="6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3DE9-4902-B464-2FE6B4451333}"/>
              </c:ext>
            </c:extLst>
          </c:dPt>
          <c:dPt>
            <c:idx val="7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3DE9-4902-B464-2FE6B4451333}"/>
              </c:ext>
            </c:extLst>
          </c:dPt>
          <c:dPt>
            <c:idx val="8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3DE9-4902-B464-2FE6B4451333}"/>
              </c:ext>
            </c:extLst>
          </c:dPt>
          <c:dPt>
            <c:idx val="9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3DE9-4902-B464-2FE6B4451333}"/>
              </c:ext>
            </c:extLst>
          </c:dPt>
          <c:dPt>
            <c:idx val="10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3DE9-4902-B464-2FE6B4451333}"/>
              </c:ext>
            </c:extLst>
          </c:dPt>
          <c:dPt>
            <c:idx val="11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3DE9-4902-B464-2FE6B4451333}"/>
              </c:ext>
            </c:extLst>
          </c:dPt>
          <c:dPt>
            <c:idx val="12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3DE9-4902-B464-2FE6B4451333}"/>
              </c:ext>
            </c:extLst>
          </c:dPt>
          <c:dPt>
            <c:idx val="13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3DE9-4902-B464-2FE6B4451333}"/>
              </c:ext>
            </c:extLst>
          </c:dPt>
          <c:dPt>
            <c:idx val="14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3DE9-4902-B464-2FE6B4451333}"/>
              </c:ext>
            </c:extLst>
          </c:dPt>
          <c:dPt>
            <c:idx val="15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3DE9-4902-B464-2FE6B4451333}"/>
              </c:ext>
            </c:extLst>
          </c:dPt>
          <c:dPt>
            <c:idx val="16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1-3DE9-4902-B464-2FE6B4451333}"/>
              </c:ext>
            </c:extLst>
          </c:dPt>
          <c:dPt>
            <c:idx val="17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3-3DE9-4902-B464-2FE6B4451333}"/>
              </c:ext>
            </c:extLst>
          </c:dPt>
          <c:dPt>
            <c:idx val="18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5-3DE9-4902-B464-2FE6B4451333}"/>
              </c:ext>
            </c:extLst>
          </c:dPt>
          <c:dPt>
            <c:idx val="19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7-3DE9-4902-B464-2FE6B4451333}"/>
              </c:ext>
            </c:extLst>
          </c:dPt>
          <c:dPt>
            <c:idx val="20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9-3DE9-4902-B464-2FE6B4451333}"/>
              </c:ext>
            </c:extLst>
          </c:dPt>
          <c:dPt>
            <c:idx val="21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B-DD00-45D2-BC6B-6A4036A543CE}"/>
              </c:ext>
            </c:extLst>
          </c:dPt>
          <c:dPt>
            <c:idx val="22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A-DD00-45D2-BC6B-6A4036A543CE}"/>
              </c:ext>
            </c:extLst>
          </c:dPt>
          <c:dPt>
            <c:idx val="23"/>
            <c:invertIfNegative val="0"/>
            <c:bubble3D val="0"/>
            <c:spPr>
              <a:solidFill>
                <a:srgbClr val="0061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C-DD00-45D2-BC6B-6A4036A543CE}"/>
              </c:ext>
            </c:extLst>
          </c:dPt>
          <c:dPt>
            <c:idx val="24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D-DD00-45D2-BC6B-6A4036A543CE}"/>
              </c:ext>
            </c:extLst>
          </c:dPt>
          <c:dPt>
            <c:idx val="25"/>
            <c:invertIfNegative val="0"/>
            <c:bubble3D val="0"/>
            <c:spPr>
              <a:solidFill>
                <a:srgbClr val="9C00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E-DD00-45D2-BC6B-6A4036A543C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DE9-4902-B464-2FE6B445133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DE9-4902-B464-2FE6B445133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DE9-4902-B464-2FE6B445133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DE9-4902-B464-2FE6B4451333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DE9-4902-B464-2FE6B4451333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DE9-4902-B464-2FE6B4451333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DE9-4902-B464-2FE6B4451333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DE9-4902-B464-2FE6B4451333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DE9-4902-B464-2FE6B4451333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DE9-4902-B464-2FE6B4451333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DE9-4902-B464-2FE6B4451333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DE9-4902-B464-2FE6B4451333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3DE9-4902-B464-2FE6B4451333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3DE9-4902-B464-2FE6B4451333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3DE9-4902-B464-2FE6B4451333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3DE9-4902-B464-2FE6B4451333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3DE9-4902-B464-2FE6B4451333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3DE9-4902-B464-2FE6B4451333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3DE9-4902-B464-2FE6B4451333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3DE9-4902-B464-2FE6B4451333}"/>
                </c:ext>
              </c:extLst>
            </c:dLbl>
            <c:dLbl>
              <c:idx val="2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3DE9-4902-B464-2FE6B44513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MAIO'!$A$9:$B$34</c:f>
              <c:multiLvlStrCache>
                <c:ptCount val="2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</c:lvl>
                <c:lvl>
                  <c:pt idx="0">
                    <c:v>01/05/2026</c:v>
                  </c:pt>
                  <c:pt idx="1">
                    <c:v>02/05/2026</c:v>
                  </c:pt>
                  <c:pt idx="2">
                    <c:v>04/05/2026</c:v>
                  </c:pt>
                  <c:pt idx="3">
                    <c:v>05/05/2026</c:v>
                  </c:pt>
                  <c:pt idx="4">
                    <c:v>06/05/2026</c:v>
                  </c:pt>
                  <c:pt idx="5">
                    <c:v>07/05/2026</c:v>
                  </c:pt>
                  <c:pt idx="6">
                    <c:v>08/05/2026</c:v>
                  </c:pt>
                  <c:pt idx="7">
                    <c:v>09/05/2026</c:v>
                  </c:pt>
                  <c:pt idx="8">
                    <c:v>11/05/2026</c:v>
                  </c:pt>
                  <c:pt idx="9">
                    <c:v>12/05/2026</c:v>
                  </c:pt>
                  <c:pt idx="10">
                    <c:v>13/05/2026</c:v>
                  </c:pt>
                  <c:pt idx="11">
                    <c:v>14/05/2026</c:v>
                  </c:pt>
                  <c:pt idx="12">
                    <c:v>15/05/2026</c:v>
                  </c:pt>
                  <c:pt idx="13">
                    <c:v>16/05/2026</c:v>
                  </c:pt>
                  <c:pt idx="14">
                    <c:v>18/05/2026</c:v>
                  </c:pt>
                  <c:pt idx="15">
                    <c:v>19/05/2026</c:v>
                  </c:pt>
                  <c:pt idx="16">
                    <c:v>20/05/2026</c:v>
                  </c:pt>
                  <c:pt idx="17">
                    <c:v>21/05/2026</c:v>
                  </c:pt>
                  <c:pt idx="18">
                    <c:v>22/05/2026</c:v>
                  </c:pt>
                  <c:pt idx="19">
                    <c:v>23/05/2026</c:v>
                  </c:pt>
                  <c:pt idx="20">
                    <c:v>25/05/2026</c:v>
                  </c:pt>
                  <c:pt idx="21">
                    <c:v>26/05/2026</c:v>
                  </c:pt>
                  <c:pt idx="22">
                    <c:v>27/05/2026</c:v>
                  </c:pt>
                  <c:pt idx="23">
                    <c:v>28/05/2026</c:v>
                  </c:pt>
                  <c:pt idx="24">
                    <c:v>29/05/2026</c:v>
                  </c:pt>
                  <c:pt idx="25">
                    <c:v>30/05/2026</c:v>
                  </c:pt>
                </c:lvl>
              </c:multiLvlStrCache>
            </c:multiLvlStrRef>
          </c:cat>
          <c:val>
            <c:numRef>
              <c:f>'GRAFICO MAIO'!$C$9:$C$34</c:f>
              <c:numCache>
                <c:formatCode>#,##0</c:formatCode>
                <c:ptCount val="26"/>
                <c:pt idx="0">
                  <c:v>11634</c:v>
                </c:pt>
                <c:pt idx="1">
                  <c:v>12324</c:v>
                </c:pt>
                <c:pt idx="2">
                  <c:v>17748</c:v>
                </c:pt>
                <c:pt idx="3">
                  <c:v>8640</c:v>
                </c:pt>
                <c:pt idx="4">
                  <c:v>9618</c:v>
                </c:pt>
                <c:pt idx="5">
                  <c:v>13044</c:v>
                </c:pt>
                <c:pt idx="6">
                  <c:v>6372</c:v>
                </c:pt>
                <c:pt idx="7">
                  <c:v>8136</c:v>
                </c:pt>
                <c:pt idx="8">
                  <c:v>3396</c:v>
                </c:pt>
                <c:pt idx="9">
                  <c:v>10860</c:v>
                </c:pt>
                <c:pt idx="10">
                  <c:v>10902</c:v>
                </c:pt>
                <c:pt idx="11">
                  <c:v>7866</c:v>
                </c:pt>
                <c:pt idx="12">
                  <c:v>5856</c:v>
                </c:pt>
                <c:pt idx="13">
                  <c:v>7596</c:v>
                </c:pt>
                <c:pt idx="14">
                  <c:v>11580</c:v>
                </c:pt>
                <c:pt idx="15">
                  <c:v>15060</c:v>
                </c:pt>
                <c:pt idx="16">
                  <c:v>13524</c:v>
                </c:pt>
                <c:pt idx="17">
                  <c:v>18852</c:v>
                </c:pt>
                <c:pt idx="18">
                  <c:v>6324</c:v>
                </c:pt>
                <c:pt idx="19">
                  <c:v>10500</c:v>
                </c:pt>
                <c:pt idx="20">
                  <c:v>13296</c:v>
                </c:pt>
                <c:pt idx="21">
                  <c:v>9060</c:v>
                </c:pt>
                <c:pt idx="22">
                  <c:v>8640</c:v>
                </c:pt>
                <c:pt idx="23">
                  <c:v>17244</c:v>
                </c:pt>
                <c:pt idx="24">
                  <c:v>9084</c:v>
                </c:pt>
                <c:pt idx="25">
                  <c:v>6984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3DE9-4902-B464-2FE6B4451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0792129"/>
        <c:axId val="23602062"/>
      </c:barChart>
      <c:catAx>
        <c:axId val="10792129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23602062"/>
        <c:crosses val="autoZero"/>
        <c:auto val="1"/>
        <c:lblAlgn val="ctr"/>
        <c:lblOffset val="100"/>
        <c:noMultiLvlLbl val="0"/>
      </c:catAx>
      <c:valAx>
        <c:axId val="2360206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.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pt-BR"/>
          </a:p>
        </c:txPr>
        <c:crossAx val="107921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Produção diária x meta - JUNHO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JUNHO'!$C$8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088-463B-A41E-F05DD86EA5A9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088-463B-A41E-F05DD86EA5A9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088-463B-A41E-F05DD86EA5A9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088-463B-A41E-F05DD86EA5A9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B088-463B-A41E-F05DD86EA5A9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B088-463B-A41E-F05DD86EA5A9}"/>
              </c:ext>
            </c:extLst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B088-463B-A41E-F05DD86EA5A9}"/>
              </c:ext>
            </c:extLst>
          </c:dPt>
          <c:dPt>
            <c:idx val="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B088-463B-A41E-F05DD86EA5A9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B088-463B-A41E-F05DD86EA5A9}"/>
              </c:ext>
            </c:extLst>
          </c:dPt>
          <c:dPt>
            <c:idx val="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B088-463B-A41E-F05DD86EA5A9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B088-463B-A41E-F05DD86EA5A9}"/>
              </c:ext>
            </c:extLst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B088-463B-A41E-F05DD86EA5A9}"/>
              </c:ext>
            </c:extLst>
          </c:dPt>
          <c:dPt>
            <c:idx val="1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B088-463B-A41E-F05DD86EA5A9}"/>
              </c:ext>
            </c:extLst>
          </c:dPt>
          <c:dPt>
            <c:idx val="1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B088-463B-A41E-F05DD86EA5A9}"/>
              </c:ext>
            </c:extLst>
          </c:dPt>
          <c:dPt>
            <c:idx val="1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B088-463B-A41E-F05DD86EA5A9}"/>
              </c:ext>
            </c:extLst>
          </c:dPt>
          <c:dPt>
            <c:idx val="1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B088-463B-A41E-F05DD86EA5A9}"/>
              </c:ext>
            </c:extLst>
          </c:dPt>
          <c:dPt>
            <c:idx val="1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1-B088-463B-A41E-F05DD86EA5A9}"/>
              </c:ext>
            </c:extLst>
          </c:dPt>
          <c:dPt>
            <c:idx val="1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3-B088-463B-A41E-F05DD86EA5A9}"/>
              </c:ext>
            </c:extLst>
          </c:dPt>
          <c:dPt>
            <c:idx val="1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5-B088-463B-A41E-F05DD86EA5A9}"/>
              </c:ext>
            </c:extLst>
          </c:dPt>
          <c:dPt>
            <c:idx val="1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7-B088-463B-A41E-F05DD86EA5A9}"/>
              </c:ext>
            </c:extLst>
          </c:dPt>
          <c:dPt>
            <c:idx val="2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9-B088-463B-A41E-F05DD86EA5A9}"/>
              </c:ext>
            </c:extLst>
          </c:dPt>
          <c:dPt>
            <c:idx val="2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B-B088-463B-A41E-F05DD86EA5A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088-463B-A41E-F05DD86EA5A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088-463B-A41E-F05DD86EA5A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088-463B-A41E-F05DD86EA5A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088-463B-A41E-F05DD86EA5A9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088-463B-A41E-F05DD86EA5A9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088-463B-A41E-F05DD86EA5A9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088-463B-A41E-F05DD86EA5A9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088-463B-A41E-F05DD86EA5A9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088-463B-A41E-F05DD86EA5A9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088-463B-A41E-F05DD86EA5A9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088-463B-A41E-F05DD86EA5A9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088-463B-A41E-F05DD86EA5A9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088-463B-A41E-F05DD86EA5A9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088-463B-A41E-F05DD86EA5A9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088-463B-A41E-F05DD86EA5A9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088-463B-A41E-F05DD86EA5A9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088-463B-A41E-F05DD86EA5A9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B088-463B-A41E-F05DD86EA5A9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B088-463B-A41E-F05DD86EA5A9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B088-463B-A41E-F05DD86EA5A9}"/>
                </c:ext>
              </c:extLst>
            </c:dLbl>
            <c:dLbl>
              <c:idx val="2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B088-463B-A41E-F05DD86EA5A9}"/>
                </c:ext>
              </c:extLst>
            </c:dLbl>
            <c:dLbl>
              <c:idx val="2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B088-463B-A41E-F05DD86EA5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JUNHO'!$A$9:$B$34</c:f>
              <c:multiLvlStrCache>
                <c:ptCount val="2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</c:lvl>
                <c:lvl>
                  <c:pt idx="0">
                    <c:v>01/06/2026</c:v>
                  </c:pt>
                  <c:pt idx="1">
                    <c:v>02/06/2026</c:v>
                  </c:pt>
                  <c:pt idx="2">
                    <c:v>03/06/2026</c:v>
                  </c:pt>
                  <c:pt idx="3">
                    <c:v>04/06/2026</c:v>
                  </c:pt>
                  <c:pt idx="4">
                    <c:v>05/06/2026</c:v>
                  </c:pt>
                  <c:pt idx="5">
                    <c:v>06/06/2026</c:v>
                  </c:pt>
                  <c:pt idx="6">
                    <c:v>08/06/2026</c:v>
                  </c:pt>
                  <c:pt idx="7">
                    <c:v>09/06/2026</c:v>
                  </c:pt>
                  <c:pt idx="8">
                    <c:v>10/06/2026</c:v>
                  </c:pt>
                  <c:pt idx="9">
                    <c:v>11/06/2026</c:v>
                  </c:pt>
                  <c:pt idx="10">
                    <c:v>12/06/2026</c:v>
                  </c:pt>
                  <c:pt idx="11">
                    <c:v>13/06/2026</c:v>
                  </c:pt>
                  <c:pt idx="12">
                    <c:v>15/06/2026</c:v>
                  </c:pt>
                  <c:pt idx="13">
                    <c:v>16/06/2026</c:v>
                  </c:pt>
                  <c:pt idx="14">
                    <c:v>17/06/2026</c:v>
                  </c:pt>
                  <c:pt idx="15">
                    <c:v>18/06/2026</c:v>
                  </c:pt>
                  <c:pt idx="16">
                    <c:v>19/06/2026</c:v>
                  </c:pt>
                  <c:pt idx="17">
                    <c:v>20/06/2026</c:v>
                  </c:pt>
                  <c:pt idx="18">
                    <c:v>22/06/2026</c:v>
                  </c:pt>
                  <c:pt idx="19">
                    <c:v>23/06/2026</c:v>
                  </c:pt>
                  <c:pt idx="20">
                    <c:v>24/06/2026</c:v>
                  </c:pt>
                  <c:pt idx="21">
                    <c:v>25/06/2026</c:v>
                  </c:pt>
                  <c:pt idx="22">
                    <c:v>26/06/2026</c:v>
                  </c:pt>
                  <c:pt idx="23">
                    <c:v>27/06/2026</c:v>
                  </c:pt>
                  <c:pt idx="24">
                    <c:v>29/06/2026</c:v>
                  </c:pt>
                  <c:pt idx="25">
                    <c:v>30/06/2026</c:v>
                  </c:pt>
                </c:lvl>
              </c:multiLvlStrCache>
            </c:multiLvlStrRef>
          </c:cat>
          <c:val>
            <c:numRef>
              <c:f>'GRAFICO JUNHO'!$C$9:$C$34</c:f>
              <c:numCache>
                <c:formatCode>#,##0</c:formatCode>
                <c:ptCount val="26"/>
                <c:pt idx="0">
                  <c:v>8778</c:v>
                </c:pt>
                <c:pt idx="1">
                  <c:v>8496</c:v>
                </c:pt>
                <c:pt idx="2">
                  <c:v>10626</c:v>
                </c:pt>
                <c:pt idx="3">
                  <c:v>11148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B088-463B-A41E-F05DD86EA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28462454"/>
        <c:axId val="29430399"/>
      </c:barChart>
      <c:catAx>
        <c:axId val="28462454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29430399"/>
        <c:crosses val="autoZero"/>
        <c:auto val="1"/>
        <c:lblAlgn val="ctr"/>
        <c:lblOffset val="100"/>
        <c:noMultiLvlLbl val="0"/>
      </c:catAx>
      <c:valAx>
        <c:axId val="2943039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.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pt-BR"/>
          </a:p>
        </c:txPr>
        <c:crossAx val="284624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Produção diária x meta - JULHO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JULHO'!$C$8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B00-43E0-BF94-D79ACADD258A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B00-43E0-BF94-D79ACADD258A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B00-43E0-BF94-D79ACADD258A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1B00-43E0-BF94-D79ACADD258A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1B00-43E0-BF94-D79ACADD258A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1B00-43E0-BF94-D79ACADD258A}"/>
              </c:ext>
            </c:extLst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1B00-43E0-BF94-D79ACADD258A}"/>
              </c:ext>
            </c:extLst>
          </c:dPt>
          <c:dPt>
            <c:idx val="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1B00-43E0-BF94-D79ACADD258A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1B00-43E0-BF94-D79ACADD258A}"/>
              </c:ext>
            </c:extLst>
          </c:dPt>
          <c:dPt>
            <c:idx val="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1B00-43E0-BF94-D79ACADD258A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1B00-43E0-BF94-D79ACADD258A}"/>
              </c:ext>
            </c:extLst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1B00-43E0-BF94-D79ACADD258A}"/>
              </c:ext>
            </c:extLst>
          </c:dPt>
          <c:dPt>
            <c:idx val="1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1B00-43E0-BF94-D79ACADD258A}"/>
              </c:ext>
            </c:extLst>
          </c:dPt>
          <c:dPt>
            <c:idx val="1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1B00-43E0-BF94-D79ACADD258A}"/>
              </c:ext>
            </c:extLst>
          </c:dPt>
          <c:dPt>
            <c:idx val="1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1B00-43E0-BF94-D79ACADD258A}"/>
              </c:ext>
            </c:extLst>
          </c:dPt>
          <c:dPt>
            <c:idx val="1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1B00-43E0-BF94-D79ACADD258A}"/>
              </c:ext>
            </c:extLst>
          </c:dPt>
          <c:dPt>
            <c:idx val="1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1-1B00-43E0-BF94-D79ACADD258A}"/>
              </c:ext>
            </c:extLst>
          </c:dPt>
          <c:dPt>
            <c:idx val="1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3-1B00-43E0-BF94-D79ACADD258A}"/>
              </c:ext>
            </c:extLst>
          </c:dPt>
          <c:dPt>
            <c:idx val="1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5-1B00-43E0-BF94-D79ACADD258A}"/>
              </c:ext>
            </c:extLst>
          </c:dPt>
          <c:dPt>
            <c:idx val="1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7-1B00-43E0-BF94-D79ACADD258A}"/>
              </c:ext>
            </c:extLst>
          </c:dPt>
          <c:dPt>
            <c:idx val="2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9-1B00-43E0-BF94-D79ACADD258A}"/>
              </c:ext>
            </c:extLst>
          </c:dPt>
          <c:dPt>
            <c:idx val="2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B-1B00-43E0-BF94-D79ACADD258A}"/>
              </c:ext>
            </c:extLst>
          </c:dPt>
          <c:dPt>
            <c:idx val="2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D-1B00-43E0-BF94-D79ACADD258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00-43E0-BF94-D79ACADD258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B00-43E0-BF94-D79ACADD258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B00-43E0-BF94-D79ACADD258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B00-43E0-BF94-D79ACADD258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B00-43E0-BF94-D79ACADD258A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B00-43E0-BF94-D79ACADD258A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B00-43E0-BF94-D79ACADD258A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B00-43E0-BF94-D79ACADD258A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B00-43E0-BF94-D79ACADD258A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B00-43E0-BF94-D79ACADD258A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B00-43E0-BF94-D79ACADD258A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1B00-43E0-BF94-D79ACADD258A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1B00-43E0-BF94-D79ACADD258A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1B00-43E0-BF94-D79ACADD258A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1B00-43E0-BF94-D79ACADD258A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1B00-43E0-BF94-D79ACADD258A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1B00-43E0-BF94-D79ACADD258A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1B00-43E0-BF94-D79ACADD258A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1B00-43E0-BF94-D79ACADD258A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1B00-43E0-BF94-D79ACADD258A}"/>
                </c:ext>
              </c:extLst>
            </c:dLbl>
            <c:dLbl>
              <c:idx val="2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1B00-43E0-BF94-D79ACADD258A}"/>
                </c:ext>
              </c:extLst>
            </c:dLbl>
            <c:dLbl>
              <c:idx val="2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1B00-43E0-BF94-D79ACADD258A}"/>
                </c:ext>
              </c:extLst>
            </c:dLbl>
            <c:dLbl>
              <c:idx val="2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1B00-43E0-BF94-D79ACADD25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JULHO'!$A$9:$B$35</c:f>
              <c:multiLvlStrCache>
                <c:ptCount val="2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</c:lvl>
                <c:lvl>
                  <c:pt idx="0">
                    <c:v>01/07/2026</c:v>
                  </c:pt>
                  <c:pt idx="1">
                    <c:v>02/07/2026</c:v>
                  </c:pt>
                  <c:pt idx="2">
                    <c:v>03/07/2026</c:v>
                  </c:pt>
                  <c:pt idx="3">
                    <c:v>04/07/2026</c:v>
                  </c:pt>
                  <c:pt idx="4">
                    <c:v>06/07/2026</c:v>
                  </c:pt>
                  <c:pt idx="5">
                    <c:v>07/07/2026</c:v>
                  </c:pt>
                  <c:pt idx="6">
                    <c:v>08/07/2026</c:v>
                  </c:pt>
                  <c:pt idx="7">
                    <c:v>09/07/2026</c:v>
                  </c:pt>
                  <c:pt idx="8">
                    <c:v>10/07/2026</c:v>
                  </c:pt>
                  <c:pt idx="9">
                    <c:v>11/07/2026</c:v>
                  </c:pt>
                  <c:pt idx="10">
                    <c:v>13/07/2026</c:v>
                  </c:pt>
                  <c:pt idx="11">
                    <c:v>14/07/2026</c:v>
                  </c:pt>
                  <c:pt idx="12">
                    <c:v>15/07/2026</c:v>
                  </c:pt>
                  <c:pt idx="13">
                    <c:v>16/07/2026</c:v>
                  </c:pt>
                  <c:pt idx="14">
                    <c:v>17/07/2026</c:v>
                  </c:pt>
                  <c:pt idx="15">
                    <c:v>18/07/2026</c:v>
                  </c:pt>
                  <c:pt idx="16">
                    <c:v>20/07/2026</c:v>
                  </c:pt>
                  <c:pt idx="17">
                    <c:v>21/07/2026</c:v>
                  </c:pt>
                  <c:pt idx="18">
                    <c:v>22/07/2026</c:v>
                  </c:pt>
                  <c:pt idx="19">
                    <c:v>23/07/2026</c:v>
                  </c:pt>
                  <c:pt idx="20">
                    <c:v>24/07/2026</c:v>
                  </c:pt>
                  <c:pt idx="21">
                    <c:v>25/07/2026</c:v>
                  </c:pt>
                  <c:pt idx="22">
                    <c:v>27/07/2026</c:v>
                  </c:pt>
                  <c:pt idx="23">
                    <c:v>28/07/2026</c:v>
                  </c:pt>
                  <c:pt idx="24">
                    <c:v>29/07/2026</c:v>
                  </c:pt>
                  <c:pt idx="25">
                    <c:v>30/07/2026</c:v>
                  </c:pt>
                  <c:pt idx="26">
                    <c:v>31/07/2026</c:v>
                  </c:pt>
                </c:lvl>
              </c:multiLvlStrCache>
            </c:multiLvlStrRef>
          </c:cat>
          <c:val>
            <c:numRef>
              <c:f>'GRAFICO JULHO'!$C$9:$C$35</c:f>
              <c:numCache>
                <c:formatCode>#,##0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1B00-43E0-BF94-D79ACADD2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29401049"/>
        <c:axId val="62067651"/>
      </c:barChart>
      <c:catAx>
        <c:axId val="29401049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62067651"/>
        <c:crosses val="autoZero"/>
        <c:auto val="1"/>
        <c:lblAlgn val="ctr"/>
        <c:lblOffset val="100"/>
        <c:noMultiLvlLbl val="0"/>
      </c:catAx>
      <c:valAx>
        <c:axId val="6206765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.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pt-BR"/>
          </a:p>
        </c:txPr>
        <c:crossAx val="294010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Produção diária x meta - AGOSTO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AGOSTO'!$C$8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C237-46CB-BA87-1584D379FE05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237-46CB-BA87-1584D379FE05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237-46CB-BA87-1584D379FE05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C237-46CB-BA87-1584D379FE05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C237-46CB-BA87-1584D379FE05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C237-46CB-BA87-1584D379FE05}"/>
              </c:ext>
            </c:extLst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C237-46CB-BA87-1584D379FE05}"/>
              </c:ext>
            </c:extLst>
          </c:dPt>
          <c:dPt>
            <c:idx val="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C237-46CB-BA87-1584D379FE05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C237-46CB-BA87-1584D379FE05}"/>
              </c:ext>
            </c:extLst>
          </c:dPt>
          <c:dPt>
            <c:idx val="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C237-46CB-BA87-1584D379FE05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C237-46CB-BA87-1584D379FE05}"/>
              </c:ext>
            </c:extLst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C237-46CB-BA87-1584D379FE05}"/>
              </c:ext>
            </c:extLst>
          </c:dPt>
          <c:dPt>
            <c:idx val="1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C237-46CB-BA87-1584D379FE05}"/>
              </c:ext>
            </c:extLst>
          </c:dPt>
          <c:dPt>
            <c:idx val="1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C237-46CB-BA87-1584D379FE05}"/>
              </c:ext>
            </c:extLst>
          </c:dPt>
          <c:dPt>
            <c:idx val="1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C237-46CB-BA87-1584D379FE05}"/>
              </c:ext>
            </c:extLst>
          </c:dPt>
          <c:dPt>
            <c:idx val="1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C237-46CB-BA87-1584D379FE05}"/>
              </c:ext>
            </c:extLst>
          </c:dPt>
          <c:dPt>
            <c:idx val="1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1-C237-46CB-BA87-1584D379FE05}"/>
              </c:ext>
            </c:extLst>
          </c:dPt>
          <c:dPt>
            <c:idx val="1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3-C237-46CB-BA87-1584D379FE05}"/>
              </c:ext>
            </c:extLst>
          </c:dPt>
          <c:dPt>
            <c:idx val="1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5-C237-46CB-BA87-1584D379FE05}"/>
              </c:ext>
            </c:extLst>
          </c:dPt>
          <c:dPt>
            <c:idx val="1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7-C237-46CB-BA87-1584D379FE05}"/>
              </c:ext>
            </c:extLst>
          </c:dPt>
          <c:dPt>
            <c:idx val="2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9-C237-46CB-BA87-1584D379FE0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37-46CB-BA87-1584D379FE0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37-46CB-BA87-1584D379FE0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237-46CB-BA87-1584D379FE0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237-46CB-BA87-1584D379FE05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237-46CB-BA87-1584D379FE05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237-46CB-BA87-1584D379FE05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237-46CB-BA87-1584D379FE05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237-46CB-BA87-1584D379FE05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237-46CB-BA87-1584D379FE05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237-46CB-BA87-1584D379FE05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237-46CB-BA87-1584D379FE05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237-46CB-BA87-1584D379FE05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237-46CB-BA87-1584D379FE05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237-46CB-BA87-1584D379FE05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237-46CB-BA87-1584D379FE05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C237-46CB-BA87-1584D379FE05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237-46CB-BA87-1584D379FE05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237-46CB-BA87-1584D379FE05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C237-46CB-BA87-1584D379FE05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C237-46CB-BA87-1584D379FE05}"/>
                </c:ext>
              </c:extLst>
            </c:dLbl>
            <c:dLbl>
              <c:idx val="2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237-46CB-BA87-1584D379FE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AGOSTO'!$A$9:$B$34</c:f>
              <c:multiLvlStrCache>
                <c:ptCount val="2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</c:lvl>
                <c:lvl>
                  <c:pt idx="0">
                    <c:v>01/08/2026</c:v>
                  </c:pt>
                  <c:pt idx="1">
                    <c:v>03/08/2026</c:v>
                  </c:pt>
                  <c:pt idx="2">
                    <c:v>04/08/2026</c:v>
                  </c:pt>
                  <c:pt idx="3">
                    <c:v>05/08/2026</c:v>
                  </c:pt>
                  <c:pt idx="4">
                    <c:v>06/08/2026</c:v>
                  </c:pt>
                  <c:pt idx="5">
                    <c:v>07/08/2026</c:v>
                  </c:pt>
                  <c:pt idx="6">
                    <c:v>08/08/2026</c:v>
                  </c:pt>
                  <c:pt idx="7">
                    <c:v>10/08/2026</c:v>
                  </c:pt>
                  <c:pt idx="8">
                    <c:v>11/08/2026</c:v>
                  </c:pt>
                  <c:pt idx="9">
                    <c:v>12/08/2026</c:v>
                  </c:pt>
                  <c:pt idx="10">
                    <c:v>13/08/2026</c:v>
                  </c:pt>
                  <c:pt idx="11">
                    <c:v>14/08/2026</c:v>
                  </c:pt>
                  <c:pt idx="12">
                    <c:v>15/08/2026</c:v>
                  </c:pt>
                  <c:pt idx="13">
                    <c:v>17/08/2026</c:v>
                  </c:pt>
                  <c:pt idx="14">
                    <c:v>18/08/2026</c:v>
                  </c:pt>
                  <c:pt idx="15">
                    <c:v>19/08/2026</c:v>
                  </c:pt>
                  <c:pt idx="16">
                    <c:v>20/08/2026</c:v>
                  </c:pt>
                  <c:pt idx="17">
                    <c:v>21/08/2026</c:v>
                  </c:pt>
                  <c:pt idx="18">
                    <c:v>22/08/2026</c:v>
                  </c:pt>
                  <c:pt idx="19">
                    <c:v>24/08/2026</c:v>
                  </c:pt>
                  <c:pt idx="20">
                    <c:v>25/08/2026</c:v>
                  </c:pt>
                  <c:pt idx="21">
                    <c:v>26/08/2026</c:v>
                  </c:pt>
                  <c:pt idx="22">
                    <c:v>27/08/2026</c:v>
                  </c:pt>
                  <c:pt idx="23">
                    <c:v>28/08/2026</c:v>
                  </c:pt>
                  <c:pt idx="24">
                    <c:v>29/08/2026</c:v>
                  </c:pt>
                  <c:pt idx="25">
                    <c:v>31/08/2026</c:v>
                  </c:pt>
                </c:lvl>
              </c:multiLvlStrCache>
            </c:multiLvlStrRef>
          </c:cat>
          <c:val>
            <c:numRef>
              <c:f>'GRAFICO AGOSTO'!$C$9:$C$34</c:f>
              <c:numCache>
                <c:formatCode>#,##0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C237-46CB-BA87-1584D379F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24588563"/>
        <c:axId val="86039928"/>
      </c:barChart>
      <c:catAx>
        <c:axId val="24588563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86039928"/>
        <c:crosses val="autoZero"/>
        <c:auto val="1"/>
        <c:lblAlgn val="ctr"/>
        <c:lblOffset val="100"/>
        <c:noMultiLvlLbl val="0"/>
      </c:catAx>
      <c:valAx>
        <c:axId val="860399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.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pt-BR"/>
          </a:p>
        </c:txPr>
        <c:crossAx val="245885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Produção diária x meta - SETEMBRO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SETEMBRO'!$C$8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03D-46B8-AEFB-D9CF0F4DA596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03D-46B8-AEFB-D9CF0F4DA596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03D-46B8-AEFB-D9CF0F4DA596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03D-46B8-AEFB-D9CF0F4DA596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603D-46B8-AEFB-D9CF0F4DA596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603D-46B8-AEFB-D9CF0F4DA596}"/>
              </c:ext>
            </c:extLst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603D-46B8-AEFB-D9CF0F4DA596}"/>
              </c:ext>
            </c:extLst>
          </c:dPt>
          <c:dPt>
            <c:idx val="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603D-46B8-AEFB-D9CF0F4DA596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603D-46B8-AEFB-D9CF0F4DA596}"/>
              </c:ext>
            </c:extLst>
          </c:dPt>
          <c:dPt>
            <c:idx val="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603D-46B8-AEFB-D9CF0F4DA596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603D-46B8-AEFB-D9CF0F4DA596}"/>
              </c:ext>
            </c:extLst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603D-46B8-AEFB-D9CF0F4DA596}"/>
              </c:ext>
            </c:extLst>
          </c:dPt>
          <c:dPt>
            <c:idx val="1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603D-46B8-AEFB-D9CF0F4DA596}"/>
              </c:ext>
            </c:extLst>
          </c:dPt>
          <c:dPt>
            <c:idx val="1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603D-46B8-AEFB-D9CF0F4DA596}"/>
              </c:ext>
            </c:extLst>
          </c:dPt>
          <c:dPt>
            <c:idx val="1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603D-46B8-AEFB-D9CF0F4DA596}"/>
              </c:ext>
            </c:extLst>
          </c:dPt>
          <c:dPt>
            <c:idx val="1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603D-46B8-AEFB-D9CF0F4DA596}"/>
              </c:ext>
            </c:extLst>
          </c:dPt>
          <c:dPt>
            <c:idx val="1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1-603D-46B8-AEFB-D9CF0F4DA596}"/>
              </c:ext>
            </c:extLst>
          </c:dPt>
          <c:dPt>
            <c:idx val="1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3-603D-46B8-AEFB-D9CF0F4DA596}"/>
              </c:ext>
            </c:extLst>
          </c:dPt>
          <c:dPt>
            <c:idx val="1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5-603D-46B8-AEFB-D9CF0F4DA596}"/>
              </c:ext>
            </c:extLst>
          </c:dPt>
          <c:dPt>
            <c:idx val="1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7-603D-46B8-AEFB-D9CF0F4DA596}"/>
              </c:ext>
            </c:extLst>
          </c:dPt>
          <c:dPt>
            <c:idx val="2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9-603D-46B8-AEFB-D9CF0F4DA596}"/>
              </c:ext>
            </c:extLst>
          </c:dPt>
          <c:dPt>
            <c:idx val="2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B-603D-46B8-AEFB-D9CF0F4DA59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3D-46B8-AEFB-D9CF0F4DA59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3D-46B8-AEFB-D9CF0F4DA59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3D-46B8-AEFB-D9CF0F4DA59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3D-46B8-AEFB-D9CF0F4DA596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3D-46B8-AEFB-D9CF0F4DA596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3D-46B8-AEFB-D9CF0F4DA596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3D-46B8-AEFB-D9CF0F4DA596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3D-46B8-AEFB-D9CF0F4DA596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03D-46B8-AEFB-D9CF0F4DA596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03D-46B8-AEFB-D9CF0F4DA596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03D-46B8-AEFB-D9CF0F4DA596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03D-46B8-AEFB-D9CF0F4DA596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03D-46B8-AEFB-D9CF0F4DA596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03D-46B8-AEFB-D9CF0F4DA596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03D-46B8-AEFB-D9CF0F4DA596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03D-46B8-AEFB-D9CF0F4DA596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03D-46B8-AEFB-D9CF0F4DA596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03D-46B8-AEFB-D9CF0F4DA596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03D-46B8-AEFB-D9CF0F4DA596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03D-46B8-AEFB-D9CF0F4DA596}"/>
                </c:ext>
              </c:extLst>
            </c:dLbl>
            <c:dLbl>
              <c:idx val="2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03D-46B8-AEFB-D9CF0F4DA596}"/>
                </c:ext>
              </c:extLst>
            </c:dLbl>
            <c:dLbl>
              <c:idx val="2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03D-46B8-AEFB-D9CF0F4DA5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SETEMBRO'!$A$9:$B$34</c:f>
              <c:multiLvlStrCache>
                <c:ptCount val="2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</c:lvl>
                <c:lvl>
                  <c:pt idx="0">
                    <c:v>01/09/2026</c:v>
                  </c:pt>
                  <c:pt idx="1">
                    <c:v>02/09/2026</c:v>
                  </c:pt>
                  <c:pt idx="2">
                    <c:v>03/09/2026</c:v>
                  </c:pt>
                  <c:pt idx="3">
                    <c:v>04/09/2026</c:v>
                  </c:pt>
                  <c:pt idx="4">
                    <c:v>05/09/2026</c:v>
                  </c:pt>
                  <c:pt idx="5">
                    <c:v>07/09/2026</c:v>
                  </c:pt>
                  <c:pt idx="6">
                    <c:v>08/09/2026</c:v>
                  </c:pt>
                  <c:pt idx="7">
                    <c:v>09/09/2026</c:v>
                  </c:pt>
                  <c:pt idx="8">
                    <c:v>10/09/2026</c:v>
                  </c:pt>
                  <c:pt idx="9">
                    <c:v>11/09/2026</c:v>
                  </c:pt>
                  <c:pt idx="10">
                    <c:v>12/09/2026</c:v>
                  </c:pt>
                  <c:pt idx="11">
                    <c:v>14/09/2026</c:v>
                  </c:pt>
                  <c:pt idx="12">
                    <c:v>15/09/2026</c:v>
                  </c:pt>
                  <c:pt idx="13">
                    <c:v>16/09/2026</c:v>
                  </c:pt>
                  <c:pt idx="14">
                    <c:v>17/09/2026</c:v>
                  </c:pt>
                  <c:pt idx="15">
                    <c:v>18/09/2026</c:v>
                  </c:pt>
                  <c:pt idx="16">
                    <c:v>19/09/2026</c:v>
                  </c:pt>
                  <c:pt idx="17">
                    <c:v>21/09/2026</c:v>
                  </c:pt>
                  <c:pt idx="18">
                    <c:v>22/09/2026</c:v>
                  </c:pt>
                  <c:pt idx="19">
                    <c:v>23/09/2026</c:v>
                  </c:pt>
                  <c:pt idx="20">
                    <c:v>24/09/2026</c:v>
                  </c:pt>
                  <c:pt idx="21">
                    <c:v>25/09/2026</c:v>
                  </c:pt>
                  <c:pt idx="22">
                    <c:v>26/09/2026</c:v>
                  </c:pt>
                  <c:pt idx="23">
                    <c:v>28/09/2026</c:v>
                  </c:pt>
                  <c:pt idx="24">
                    <c:v>29/09/2026</c:v>
                  </c:pt>
                  <c:pt idx="25">
                    <c:v>30/09/2026</c:v>
                  </c:pt>
                </c:lvl>
              </c:multiLvlStrCache>
            </c:multiLvlStrRef>
          </c:cat>
          <c:val>
            <c:numRef>
              <c:f>'GRAFICO SETEMBRO'!$C$9:$C$34</c:f>
              <c:numCache>
                <c:formatCode>#,##0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603D-46B8-AEFB-D9CF0F4DA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64154375"/>
        <c:axId val="86394080"/>
      </c:barChart>
      <c:catAx>
        <c:axId val="64154375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86394080"/>
        <c:crosses val="autoZero"/>
        <c:auto val="1"/>
        <c:lblAlgn val="ctr"/>
        <c:lblOffset val="100"/>
        <c:noMultiLvlLbl val="0"/>
      </c:catAx>
      <c:valAx>
        <c:axId val="8639408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.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pt-BR"/>
          </a:p>
        </c:txPr>
        <c:crossAx val="641543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Produção diária x meta - OUTUBRO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OUTUBRO'!$C$8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31D-42E0-A10A-36433A755C39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31D-42E0-A10A-36433A755C39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31D-42E0-A10A-36433A755C39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31D-42E0-A10A-36433A755C39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431D-42E0-A10A-36433A755C39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431D-42E0-A10A-36433A755C39}"/>
              </c:ext>
            </c:extLst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431D-42E0-A10A-36433A755C39}"/>
              </c:ext>
            </c:extLst>
          </c:dPt>
          <c:dPt>
            <c:idx val="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431D-42E0-A10A-36433A755C39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431D-42E0-A10A-36433A755C39}"/>
              </c:ext>
            </c:extLst>
          </c:dPt>
          <c:dPt>
            <c:idx val="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431D-42E0-A10A-36433A755C39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431D-42E0-A10A-36433A755C39}"/>
              </c:ext>
            </c:extLst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431D-42E0-A10A-36433A755C39}"/>
              </c:ext>
            </c:extLst>
          </c:dPt>
          <c:dPt>
            <c:idx val="1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431D-42E0-A10A-36433A755C39}"/>
              </c:ext>
            </c:extLst>
          </c:dPt>
          <c:dPt>
            <c:idx val="1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431D-42E0-A10A-36433A755C39}"/>
              </c:ext>
            </c:extLst>
          </c:dPt>
          <c:dPt>
            <c:idx val="1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431D-42E0-A10A-36433A755C39}"/>
              </c:ext>
            </c:extLst>
          </c:dPt>
          <c:dPt>
            <c:idx val="1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431D-42E0-A10A-36433A755C39}"/>
              </c:ext>
            </c:extLst>
          </c:dPt>
          <c:dPt>
            <c:idx val="1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1-431D-42E0-A10A-36433A755C39}"/>
              </c:ext>
            </c:extLst>
          </c:dPt>
          <c:dPt>
            <c:idx val="1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3-431D-42E0-A10A-36433A755C39}"/>
              </c:ext>
            </c:extLst>
          </c:dPt>
          <c:dPt>
            <c:idx val="1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5-431D-42E0-A10A-36433A755C39}"/>
              </c:ext>
            </c:extLst>
          </c:dPt>
          <c:dPt>
            <c:idx val="1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7-431D-42E0-A10A-36433A755C39}"/>
              </c:ext>
            </c:extLst>
          </c:dPt>
          <c:dPt>
            <c:idx val="2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9-431D-42E0-A10A-36433A755C39}"/>
              </c:ext>
            </c:extLst>
          </c:dPt>
          <c:dPt>
            <c:idx val="2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B-431D-42E0-A10A-36433A755C3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1D-42E0-A10A-36433A755C3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1D-42E0-A10A-36433A755C3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31D-42E0-A10A-36433A755C3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31D-42E0-A10A-36433A755C39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31D-42E0-A10A-36433A755C39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31D-42E0-A10A-36433A755C39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31D-42E0-A10A-36433A755C39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31D-42E0-A10A-36433A755C39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31D-42E0-A10A-36433A755C39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31D-42E0-A10A-36433A755C39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1D-42E0-A10A-36433A755C39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31D-42E0-A10A-36433A755C39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31D-42E0-A10A-36433A755C39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31D-42E0-A10A-36433A755C39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31D-42E0-A10A-36433A755C39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31D-42E0-A10A-36433A755C39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31D-42E0-A10A-36433A755C39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31D-42E0-A10A-36433A755C39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31D-42E0-A10A-36433A755C39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31D-42E0-A10A-36433A755C39}"/>
                </c:ext>
              </c:extLst>
            </c:dLbl>
            <c:dLbl>
              <c:idx val="2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31D-42E0-A10A-36433A755C39}"/>
                </c:ext>
              </c:extLst>
            </c:dLbl>
            <c:dLbl>
              <c:idx val="2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31D-42E0-A10A-36433A755C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OUTUBRO'!$A$9:$B$35</c:f>
              <c:multiLvlStrCache>
                <c:ptCount val="2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</c:lvl>
                <c:lvl>
                  <c:pt idx="0">
                    <c:v>01/10/2026</c:v>
                  </c:pt>
                  <c:pt idx="1">
                    <c:v>02/10/2026</c:v>
                  </c:pt>
                  <c:pt idx="2">
                    <c:v>03/10/2026</c:v>
                  </c:pt>
                  <c:pt idx="3">
                    <c:v>05/10/2026</c:v>
                  </c:pt>
                  <c:pt idx="4">
                    <c:v>06/10/2026</c:v>
                  </c:pt>
                  <c:pt idx="5">
                    <c:v>07/10/2026</c:v>
                  </c:pt>
                  <c:pt idx="6">
                    <c:v>08/10/2026</c:v>
                  </c:pt>
                  <c:pt idx="7">
                    <c:v>09/10/2026</c:v>
                  </c:pt>
                  <c:pt idx="8">
                    <c:v>10/10/2026</c:v>
                  </c:pt>
                  <c:pt idx="9">
                    <c:v>12/10/2026</c:v>
                  </c:pt>
                  <c:pt idx="10">
                    <c:v>13/10/2026</c:v>
                  </c:pt>
                  <c:pt idx="11">
                    <c:v>14/10/2026</c:v>
                  </c:pt>
                  <c:pt idx="12">
                    <c:v>15/10/2026</c:v>
                  </c:pt>
                  <c:pt idx="13">
                    <c:v>16/10/2026</c:v>
                  </c:pt>
                  <c:pt idx="14">
                    <c:v>17/10/2026</c:v>
                  </c:pt>
                  <c:pt idx="15">
                    <c:v>19/10/2026</c:v>
                  </c:pt>
                  <c:pt idx="16">
                    <c:v>20/10/2026</c:v>
                  </c:pt>
                  <c:pt idx="17">
                    <c:v>21/10/2026</c:v>
                  </c:pt>
                  <c:pt idx="18">
                    <c:v>22/10/2026</c:v>
                  </c:pt>
                  <c:pt idx="19">
                    <c:v>23/10/2026</c:v>
                  </c:pt>
                  <c:pt idx="20">
                    <c:v>24/10/2026</c:v>
                  </c:pt>
                  <c:pt idx="21">
                    <c:v>26/10/2026</c:v>
                  </c:pt>
                  <c:pt idx="22">
                    <c:v>27/10/2026</c:v>
                  </c:pt>
                  <c:pt idx="23">
                    <c:v>28/10/2026</c:v>
                  </c:pt>
                  <c:pt idx="24">
                    <c:v>29/10/2026</c:v>
                  </c:pt>
                  <c:pt idx="25">
                    <c:v>30/10/2026</c:v>
                  </c:pt>
                  <c:pt idx="26">
                    <c:v>31/10/2026</c:v>
                  </c:pt>
                </c:lvl>
              </c:multiLvlStrCache>
            </c:multiLvlStrRef>
          </c:cat>
          <c:val>
            <c:numRef>
              <c:f>'GRAFICO OUTUBRO'!$C$9:$C$35</c:f>
              <c:numCache>
                <c:formatCode>#,##0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431D-42E0-A10A-36433A755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75851567"/>
        <c:axId val="58005489"/>
      </c:barChart>
      <c:catAx>
        <c:axId val="75851567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58005489"/>
        <c:crosses val="autoZero"/>
        <c:auto val="1"/>
        <c:lblAlgn val="ctr"/>
        <c:lblOffset val="100"/>
        <c:noMultiLvlLbl val="0"/>
      </c:catAx>
      <c:valAx>
        <c:axId val="5800548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.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pt-BR"/>
          </a:p>
        </c:txPr>
        <c:crossAx val="758515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Produção diária x meta - NOVEMBRO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NOVEMBRO'!$C$8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9B1-4A23-97FF-4A210F682005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9B1-4A23-97FF-4A210F682005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9B1-4A23-97FF-4A210F682005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9B1-4A23-97FF-4A210F682005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B9B1-4A23-97FF-4A210F682005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B9B1-4A23-97FF-4A210F682005}"/>
              </c:ext>
            </c:extLst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B9B1-4A23-97FF-4A210F682005}"/>
              </c:ext>
            </c:extLst>
          </c:dPt>
          <c:dPt>
            <c:idx val="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B9B1-4A23-97FF-4A210F682005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B9B1-4A23-97FF-4A210F682005}"/>
              </c:ext>
            </c:extLst>
          </c:dPt>
          <c:dPt>
            <c:idx val="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B9B1-4A23-97FF-4A210F682005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B9B1-4A23-97FF-4A210F682005}"/>
              </c:ext>
            </c:extLst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B9B1-4A23-97FF-4A210F682005}"/>
              </c:ext>
            </c:extLst>
          </c:dPt>
          <c:dPt>
            <c:idx val="1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B9B1-4A23-97FF-4A210F682005}"/>
              </c:ext>
            </c:extLst>
          </c:dPt>
          <c:dPt>
            <c:idx val="1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B9B1-4A23-97FF-4A210F682005}"/>
              </c:ext>
            </c:extLst>
          </c:dPt>
          <c:dPt>
            <c:idx val="1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B9B1-4A23-97FF-4A210F682005}"/>
              </c:ext>
            </c:extLst>
          </c:dPt>
          <c:dPt>
            <c:idx val="1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B9B1-4A23-97FF-4A210F682005}"/>
              </c:ext>
            </c:extLst>
          </c:dPt>
          <c:dPt>
            <c:idx val="1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1-B9B1-4A23-97FF-4A210F682005}"/>
              </c:ext>
            </c:extLst>
          </c:dPt>
          <c:dPt>
            <c:idx val="1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3-B9B1-4A23-97FF-4A210F682005}"/>
              </c:ext>
            </c:extLst>
          </c:dPt>
          <c:dPt>
            <c:idx val="1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5-B9B1-4A23-97FF-4A210F682005}"/>
              </c:ext>
            </c:extLst>
          </c:dPt>
          <c:dPt>
            <c:idx val="1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7-B9B1-4A23-97FF-4A210F682005}"/>
              </c:ext>
            </c:extLst>
          </c:dPt>
          <c:dPt>
            <c:idx val="2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9-B9B1-4A23-97FF-4A210F68200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B1-4A23-97FF-4A210F68200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B1-4A23-97FF-4A210F68200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B1-4A23-97FF-4A210F68200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9B1-4A23-97FF-4A210F682005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9B1-4A23-97FF-4A210F682005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9B1-4A23-97FF-4A210F682005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9B1-4A23-97FF-4A210F682005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9B1-4A23-97FF-4A210F682005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9B1-4A23-97FF-4A210F682005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9B1-4A23-97FF-4A210F682005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9B1-4A23-97FF-4A210F682005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9B1-4A23-97FF-4A210F682005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9B1-4A23-97FF-4A210F682005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9B1-4A23-97FF-4A210F682005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9B1-4A23-97FF-4A210F682005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9B1-4A23-97FF-4A210F682005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9B1-4A23-97FF-4A210F682005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B9B1-4A23-97FF-4A210F682005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B9B1-4A23-97FF-4A210F682005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B9B1-4A23-97FF-4A210F682005}"/>
                </c:ext>
              </c:extLst>
            </c:dLbl>
            <c:dLbl>
              <c:idx val="2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B9B1-4A23-97FF-4A210F6820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NOVEMBRO'!$A$9:$B$33</c:f>
              <c:multiLvlStrCache>
                <c:ptCount val="25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</c:lvl>
                <c:lvl>
                  <c:pt idx="0">
                    <c:v>02/11/2026</c:v>
                  </c:pt>
                  <c:pt idx="1">
                    <c:v>03/11/2026</c:v>
                  </c:pt>
                  <c:pt idx="2">
                    <c:v>04/11/2026</c:v>
                  </c:pt>
                  <c:pt idx="3">
                    <c:v>05/11/2026</c:v>
                  </c:pt>
                  <c:pt idx="4">
                    <c:v>06/11/2026</c:v>
                  </c:pt>
                  <c:pt idx="5">
                    <c:v>07/11/2026</c:v>
                  </c:pt>
                  <c:pt idx="6">
                    <c:v>09/11/2026</c:v>
                  </c:pt>
                  <c:pt idx="7">
                    <c:v>10/11/2026</c:v>
                  </c:pt>
                  <c:pt idx="8">
                    <c:v>11/11/2026</c:v>
                  </c:pt>
                  <c:pt idx="9">
                    <c:v>12/11/2026</c:v>
                  </c:pt>
                  <c:pt idx="10">
                    <c:v>13/11/2026</c:v>
                  </c:pt>
                  <c:pt idx="11">
                    <c:v>14/11/2026</c:v>
                  </c:pt>
                  <c:pt idx="12">
                    <c:v>16/11/2026</c:v>
                  </c:pt>
                  <c:pt idx="13">
                    <c:v>17/11/2026</c:v>
                  </c:pt>
                  <c:pt idx="14">
                    <c:v>18/11/2026</c:v>
                  </c:pt>
                  <c:pt idx="15">
                    <c:v>19/11/2026</c:v>
                  </c:pt>
                  <c:pt idx="16">
                    <c:v>20/11/2026</c:v>
                  </c:pt>
                  <c:pt idx="17">
                    <c:v>21/11/2026</c:v>
                  </c:pt>
                  <c:pt idx="18">
                    <c:v>23/11/2026</c:v>
                  </c:pt>
                  <c:pt idx="19">
                    <c:v>24/11/2026</c:v>
                  </c:pt>
                  <c:pt idx="20">
                    <c:v>25/11/2026</c:v>
                  </c:pt>
                  <c:pt idx="21">
                    <c:v>26/11/2026</c:v>
                  </c:pt>
                  <c:pt idx="22">
                    <c:v>27/11/2026</c:v>
                  </c:pt>
                  <c:pt idx="23">
                    <c:v>28/11/2026</c:v>
                  </c:pt>
                  <c:pt idx="24">
                    <c:v>30/11/2026</c:v>
                  </c:pt>
                </c:lvl>
              </c:multiLvlStrCache>
            </c:multiLvlStrRef>
          </c:cat>
          <c:val>
            <c:numRef>
              <c:f>'GRAFICO NOVEMBRO'!$C$9:$C$33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B9B1-4A23-97FF-4A210F682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6564639"/>
        <c:axId val="59259261"/>
      </c:barChart>
      <c:catAx>
        <c:axId val="16564639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59259261"/>
        <c:crosses val="autoZero"/>
        <c:auto val="1"/>
        <c:lblAlgn val="ctr"/>
        <c:lblOffset val="100"/>
        <c:noMultiLvlLbl val="0"/>
      </c:catAx>
      <c:valAx>
        <c:axId val="5925926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.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pt-BR"/>
          </a:p>
        </c:txPr>
        <c:crossAx val="165646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Produção diária x meta - DEZEMBRO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DEZEMBRO'!$C$8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615-4329-8C57-0680A4006CE5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615-4329-8C57-0680A4006CE5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615-4329-8C57-0680A4006CE5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615-4329-8C57-0680A4006CE5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4615-4329-8C57-0680A4006CE5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4615-4329-8C57-0680A4006CE5}"/>
              </c:ext>
            </c:extLst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4615-4329-8C57-0680A4006CE5}"/>
              </c:ext>
            </c:extLst>
          </c:dPt>
          <c:dPt>
            <c:idx val="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4615-4329-8C57-0680A4006CE5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4615-4329-8C57-0680A4006CE5}"/>
              </c:ext>
            </c:extLst>
          </c:dPt>
          <c:dPt>
            <c:idx val="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4615-4329-8C57-0680A4006CE5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4615-4329-8C57-0680A4006CE5}"/>
              </c:ext>
            </c:extLst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4615-4329-8C57-0680A4006CE5}"/>
              </c:ext>
            </c:extLst>
          </c:dPt>
          <c:dPt>
            <c:idx val="1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4615-4329-8C57-0680A4006CE5}"/>
              </c:ext>
            </c:extLst>
          </c:dPt>
          <c:dPt>
            <c:idx val="1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4615-4329-8C57-0680A4006CE5}"/>
              </c:ext>
            </c:extLst>
          </c:dPt>
          <c:dPt>
            <c:idx val="1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4615-4329-8C57-0680A4006CE5}"/>
              </c:ext>
            </c:extLst>
          </c:dPt>
          <c:dPt>
            <c:idx val="1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4615-4329-8C57-0680A4006CE5}"/>
              </c:ext>
            </c:extLst>
          </c:dPt>
          <c:dPt>
            <c:idx val="1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1-4615-4329-8C57-0680A4006CE5}"/>
              </c:ext>
            </c:extLst>
          </c:dPt>
          <c:dPt>
            <c:idx val="1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3-4615-4329-8C57-0680A4006CE5}"/>
              </c:ext>
            </c:extLst>
          </c:dPt>
          <c:dPt>
            <c:idx val="1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5-4615-4329-8C57-0680A4006CE5}"/>
              </c:ext>
            </c:extLst>
          </c:dPt>
          <c:dPt>
            <c:idx val="1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7-4615-4329-8C57-0680A4006CE5}"/>
              </c:ext>
            </c:extLst>
          </c:dPt>
          <c:dPt>
            <c:idx val="2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9-4615-4329-8C57-0680A4006CE5}"/>
              </c:ext>
            </c:extLst>
          </c:dPt>
          <c:dPt>
            <c:idx val="2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B-4615-4329-8C57-0680A4006CE5}"/>
              </c:ext>
            </c:extLst>
          </c:dPt>
          <c:dPt>
            <c:idx val="2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D-4615-4329-8C57-0680A4006CE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15-4329-8C57-0680A4006CE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615-4329-8C57-0680A4006CE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615-4329-8C57-0680A4006CE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615-4329-8C57-0680A4006CE5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615-4329-8C57-0680A4006CE5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615-4329-8C57-0680A4006CE5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615-4329-8C57-0680A4006CE5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615-4329-8C57-0680A4006CE5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615-4329-8C57-0680A4006CE5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615-4329-8C57-0680A4006CE5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615-4329-8C57-0680A4006CE5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615-4329-8C57-0680A4006CE5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615-4329-8C57-0680A4006CE5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615-4329-8C57-0680A4006CE5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615-4329-8C57-0680A4006CE5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615-4329-8C57-0680A4006CE5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615-4329-8C57-0680A4006CE5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615-4329-8C57-0680A4006CE5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615-4329-8C57-0680A4006CE5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615-4329-8C57-0680A4006CE5}"/>
                </c:ext>
              </c:extLst>
            </c:dLbl>
            <c:dLbl>
              <c:idx val="2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615-4329-8C57-0680A4006CE5}"/>
                </c:ext>
              </c:extLst>
            </c:dLbl>
            <c:dLbl>
              <c:idx val="2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615-4329-8C57-0680A4006CE5}"/>
                </c:ext>
              </c:extLst>
            </c:dLbl>
            <c:dLbl>
              <c:idx val="2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4615-4329-8C57-0680A4006C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DEZEMBRO'!$A$9:$B$35</c:f>
              <c:multiLvlStrCache>
                <c:ptCount val="2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</c:lvl>
                <c:lvl>
                  <c:pt idx="0">
                    <c:v>01/12/2026</c:v>
                  </c:pt>
                  <c:pt idx="1">
                    <c:v>02/12/2026</c:v>
                  </c:pt>
                  <c:pt idx="2">
                    <c:v>03/12/2026</c:v>
                  </c:pt>
                  <c:pt idx="3">
                    <c:v>04/12/2026</c:v>
                  </c:pt>
                  <c:pt idx="4">
                    <c:v>05/12/2026</c:v>
                  </c:pt>
                  <c:pt idx="5">
                    <c:v>07/12/2026</c:v>
                  </c:pt>
                  <c:pt idx="6">
                    <c:v>08/12/2026</c:v>
                  </c:pt>
                  <c:pt idx="7">
                    <c:v>09/12/2026</c:v>
                  </c:pt>
                  <c:pt idx="8">
                    <c:v>10/12/2026</c:v>
                  </c:pt>
                  <c:pt idx="9">
                    <c:v>11/12/2026</c:v>
                  </c:pt>
                  <c:pt idx="10">
                    <c:v>12/12/2026</c:v>
                  </c:pt>
                  <c:pt idx="11">
                    <c:v>14/12/2026</c:v>
                  </c:pt>
                  <c:pt idx="12">
                    <c:v>15/12/2026</c:v>
                  </c:pt>
                  <c:pt idx="13">
                    <c:v>16/12/2026</c:v>
                  </c:pt>
                  <c:pt idx="14">
                    <c:v>17/12/2026</c:v>
                  </c:pt>
                  <c:pt idx="15">
                    <c:v>18/12/2026</c:v>
                  </c:pt>
                  <c:pt idx="16">
                    <c:v>19/12/2026</c:v>
                  </c:pt>
                  <c:pt idx="17">
                    <c:v>21/12/2026</c:v>
                  </c:pt>
                  <c:pt idx="18">
                    <c:v>22/12/2026</c:v>
                  </c:pt>
                  <c:pt idx="19">
                    <c:v>23/12/2026</c:v>
                  </c:pt>
                  <c:pt idx="20">
                    <c:v>24/12/2026</c:v>
                  </c:pt>
                  <c:pt idx="21">
                    <c:v>25/12/2026</c:v>
                  </c:pt>
                  <c:pt idx="22">
                    <c:v>26/12/2026</c:v>
                  </c:pt>
                  <c:pt idx="23">
                    <c:v>28/12/2026</c:v>
                  </c:pt>
                  <c:pt idx="24">
                    <c:v>29/12/2026</c:v>
                  </c:pt>
                  <c:pt idx="25">
                    <c:v>30/12/2026</c:v>
                  </c:pt>
                  <c:pt idx="26">
                    <c:v>31/12/2026</c:v>
                  </c:pt>
                </c:lvl>
              </c:multiLvlStrCache>
            </c:multiLvlStrRef>
          </c:cat>
          <c:val>
            <c:numRef>
              <c:f>'GRAFICO DEZEMBRO'!$C$9:$C$35</c:f>
              <c:numCache>
                <c:formatCode>#,##0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4615-4329-8C57-0680A4006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35848654"/>
        <c:axId val="59519696"/>
      </c:barChart>
      <c:catAx>
        <c:axId val="35848654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59519696"/>
        <c:crosses val="autoZero"/>
        <c:auto val="1"/>
        <c:lblAlgn val="ctr"/>
        <c:lblOffset val="100"/>
        <c:noMultiLvlLbl val="0"/>
      </c:catAx>
      <c:valAx>
        <c:axId val="5951969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.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pt-BR"/>
          </a:p>
        </c:txPr>
        <c:crossAx val="358486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Gás mensal (KG)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RESUMO_MENSAL!$B$20</c:f>
              <c:strCache>
                <c:ptCount val="1"/>
                <c:pt idx="0">
                  <c:v>Gás mensal (KG)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3C65A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27D5-4DCC-A383-92E46550AEEB}"/>
              </c:ext>
            </c:extLst>
          </c:dPt>
          <c:dPt>
            <c:idx val="1"/>
            <c:invertIfNegative val="1"/>
            <c:bubble3D val="0"/>
            <c:spPr>
              <a:solidFill>
                <a:srgbClr val="D36F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7D5-4DCC-A383-92E46550AEEB}"/>
              </c:ext>
            </c:extLst>
          </c:dPt>
          <c:dPt>
            <c:idx val="2"/>
            <c:invertIfNegative val="1"/>
            <c:bubble3D val="0"/>
            <c:spPr>
              <a:solidFill>
                <a:srgbClr val="92929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7D5-4DCC-A383-92E46550AEEB}"/>
              </c:ext>
            </c:extLst>
          </c:dPt>
          <c:dPt>
            <c:idx val="3"/>
            <c:invertIfNegative val="1"/>
            <c:bubble3D val="0"/>
            <c:spPr>
              <a:solidFill>
                <a:srgbClr val="E3AB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27D5-4DCC-A383-92E46550AEEB}"/>
              </c:ext>
            </c:extLst>
          </c:dPt>
          <c:dPt>
            <c:idx val="4"/>
            <c:invertIfNegative val="1"/>
            <c:bubble3D val="0"/>
            <c:spPr>
              <a:solidFill>
                <a:srgbClr val="518A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27D5-4DCC-A383-92E46550AEEB}"/>
              </c:ext>
            </c:extLst>
          </c:dPt>
          <c:dPt>
            <c:idx val="5"/>
            <c:invertIfNegative val="1"/>
            <c:bubble3D val="0"/>
            <c:spPr>
              <a:solidFill>
                <a:srgbClr val="639A3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27D5-4DCC-A383-92E46550AEEB}"/>
              </c:ext>
            </c:extLst>
          </c:dPt>
          <c:dPt>
            <c:idx val="6"/>
            <c:invertIfNegative val="1"/>
            <c:bubble3D val="0"/>
            <c:spPr>
              <a:solidFill>
                <a:srgbClr val="90A2D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27D5-4DCC-A383-92E46550AEEB}"/>
              </c:ext>
            </c:extLst>
          </c:dPt>
          <c:dPt>
            <c:idx val="7"/>
            <c:invertIfNegative val="1"/>
            <c:bubble3D val="0"/>
            <c:spPr>
              <a:solidFill>
                <a:srgbClr val="F1A78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27D5-4DCC-A383-92E46550AEEB}"/>
              </c:ext>
            </c:extLst>
          </c:dPt>
          <c:dPt>
            <c:idx val="8"/>
            <c:invertIfNegative val="1"/>
            <c:bubble3D val="0"/>
            <c:spPr>
              <a:solidFill>
                <a:srgbClr val="BFBFB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27D5-4DCC-A383-92E46550AEEB}"/>
              </c:ext>
            </c:extLst>
          </c:dPt>
          <c:dPt>
            <c:idx val="9"/>
            <c:invertIfNegative val="1"/>
            <c:bubble3D val="0"/>
            <c:spPr>
              <a:solidFill>
                <a:srgbClr val="FFD08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27D5-4DCC-A383-92E46550AEEB}"/>
              </c:ext>
            </c:extLst>
          </c:dPt>
          <c:dPt>
            <c:idx val="10"/>
            <c:invertIfNegative val="1"/>
            <c:bubble3D val="0"/>
            <c:spPr>
              <a:solidFill>
                <a:srgbClr val="98B8D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27D5-4DCC-A383-92E46550AEEB}"/>
              </c:ext>
            </c:extLst>
          </c:dPt>
          <c:dPt>
            <c:idx val="11"/>
            <c:invertIfNegative val="1"/>
            <c:bubble3D val="0"/>
            <c:spPr>
              <a:solidFill>
                <a:srgbClr val="A1C49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27D5-4DCC-A383-92E46550AEE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D5-4DCC-A383-92E46550AEE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D5-4DCC-A383-92E46550AEE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7D5-4DCC-A383-92E46550AEE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7D5-4DCC-A383-92E46550AEE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7D5-4DCC-A383-92E46550AEEB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7D5-4DCC-A383-92E46550AEEB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7D5-4DCC-A383-92E46550AEEB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7D5-4DCC-A383-92E46550AEEB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7D5-4DCC-A383-92E46550AEEB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7D5-4DCC-A383-92E46550AEEB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7D5-4DCC-A383-92E46550AEEB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7D5-4DCC-A383-92E46550AE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RESUMO_MENSAL!$A$21:$A$32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RESUMO_MENSAL!$B$21:$B$32</c:f>
              <c:numCache>
                <c:formatCode>#,##0.00</c:formatCode>
                <c:ptCount val="12"/>
                <c:pt idx="0">
                  <c:v>17099</c:v>
                </c:pt>
                <c:pt idx="1">
                  <c:v>15153</c:v>
                </c:pt>
                <c:pt idx="2">
                  <c:v>21091</c:v>
                </c:pt>
                <c:pt idx="3">
                  <c:v>20961</c:v>
                </c:pt>
                <c:pt idx="4">
                  <c:v>24551</c:v>
                </c:pt>
                <c:pt idx="5">
                  <c:v>6280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7D5-4DCC-A383-92E46550A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945449"/>
        <c:axId val="56994595"/>
      </c:barChart>
      <c:catAx>
        <c:axId val="9194544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6994595"/>
        <c:crosses val="autoZero"/>
        <c:auto val="1"/>
        <c:lblAlgn val="ctr"/>
        <c:lblOffset val="100"/>
        <c:noMultiLvlLbl val="0"/>
      </c:catAx>
      <c:valAx>
        <c:axId val="56994595"/>
        <c:scaling>
          <c:orientation val="minMax"/>
        </c:scaling>
        <c:delete val="1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1"/>
        <c:majorTickMark val="none"/>
        <c:minorTickMark val="none"/>
        <c:tickLblPos val="nextTo"/>
        <c:crossAx val="919454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'!$B$9</c:f>
              <c:strCache>
                <c:ptCount val="1"/>
                <c:pt idx="0">
                  <c:v>REALIZADO</c:v>
                </c:pt>
              </c:strCache>
            </c:strRef>
          </c:tx>
          <c:spPr>
            <a:solidFill>
              <a:srgbClr val="C6591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'!$A$10:$A$21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'DASHBOARD '!$B$10:$B$21</c:f>
              <c:numCache>
                <c:formatCode>#,##0</c:formatCode>
                <c:ptCount val="12"/>
                <c:pt idx="0">
                  <c:v>150363</c:v>
                </c:pt>
                <c:pt idx="1">
                  <c:v>191118</c:v>
                </c:pt>
                <c:pt idx="2">
                  <c:v>280764</c:v>
                </c:pt>
                <c:pt idx="3">
                  <c:v>256212</c:v>
                </c:pt>
                <c:pt idx="4">
                  <c:v>274140</c:v>
                </c:pt>
                <c:pt idx="5">
                  <c:v>39048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0-45C9-BECC-80BCA5E1C639}"/>
            </c:ext>
          </c:extLst>
        </c:ser>
        <c:ser>
          <c:idx val="1"/>
          <c:order val="1"/>
          <c:tx>
            <c:strRef>
              <c:f>'DASHBOARD '!$C$9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B0BEC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'!$A$10:$A$21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'DASHBOARD '!$C$10:$C$21</c:f>
              <c:numCache>
                <c:formatCode>#,##0</c:formatCode>
                <c:ptCount val="12"/>
                <c:pt idx="0">
                  <c:v>242000</c:v>
                </c:pt>
                <c:pt idx="1">
                  <c:v>220000</c:v>
                </c:pt>
                <c:pt idx="2">
                  <c:v>242000</c:v>
                </c:pt>
                <c:pt idx="3">
                  <c:v>253000</c:v>
                </c:pt>
                <c:pt idx="4">
                  <c:v>286000</c:v>
                </c:pt>
                <c:pt idx="5">
                  <c:v>264000</c:v>
                </c:pt>
                <c:pt idx="6">
                  <c:v>297000</c:v>
                </c:pt>
                <c:pt idx="7">
                  <c:v>286000</c:v>
                </c:pt>
                <c:pt idx="8">
                  <c:v>275000</c:v>
                </c:pt>
                <c:pt idx="9">
                  <c:v>286000</c:v>
                </c:pt>
                <c:pt idx="10">
                  <c:v>253000</c:v>
                </c:pt>
                <c:pt idx="11">
                  <c:v>286000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D0-45C9-BECC-80BCA5E1C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0"/>
        <c:axId val="52515521"/>
        <c:axId val="45662738"/>
      </c:barChart>
      <c:catAx>
        <c:axId val="525155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BR"/>
          </a:p>
        </c:txPr>
        <c:crossAx val="45662738"/>
        <c:crosses val="autoZero"/>
        <c:auto val="1"/>
        <c:lblAlgn val="ctr"/>
        <c:lblOffset val="100"/>
        <c:noMultiLvlLbl val="0"/>
      </c:catAx>
      <c:valAx>
        <c:axId val="456627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BR"/>
          </a:p>
        </c:txPr>
        <c:crossAx val="5251552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6646333" y="67733"/>
    <xdr:ext cx="776361" cy="736600"/>
    <xdr:pic>
      <xdr:nvPicPr>
        <xdr:cNvPr id="2" name="Logo AIU">
          <a:extLst>
            <a:ext uri="{FF2B5EF4-FFF2-40B4-BE49-F238E27FC236}">
              <a16:creationId xmlns:a16="http://schemas.microsoft.com/office/drawing/2014/main" id="{286C2E37-DFA9-4E2B-87B6-FD4B00291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46333" y="67733"/>
          <a:ext cx="776361" cy="73660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7673373" y="97366"/>
    <xdr:ext cx="725560" cy="690033"/>
    <xdr:pic>
      <xdr:nvPicPr>
        <xdr:cNvPr id="5" name="Logo AIU">
          <a:extLst>
            <a:ext uri="{FF2B5EF4-FFF2-40B4-BE49-F238E27FC236}">
              <a16:creationId xmlns:a16="http://schemas.microsoft.com/office/drawing/2014/main" id="{3086600D-4827-C8B7-0F14-4D5D685CD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73373" y="97366"/>
          <a:ext cx="725560" cy="690033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6007100" y="28956"/>
    <xdr:ext cx="702310" cy="536448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1D43D53F-AADF-49F4-8054-67228911C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xfrm>
          <a:off x="6007100" y="28956"/>
          <a:ext cx="702310" cy="536448"/>
        </a:xfrm>
        <a:prstGeom prst="rect">
          <a:avLst/>
        </a:prstGeom>
        <a:ln w="0">
          <a:noFill/>
        </a:ln>
      </xdr:spPr>
    </xdr:pic>
    <xdr:clientData/>
  </xdr:absoluteAnchor>
  <xdr:twoCellAnchor>
    <xdr:from>
      <xdr:col>5</xdr:col>
      <xdr:colOff>73660</xdr:colOff>
      <xdr:row>3</xdr:row>
      <xdr:rowOff>0</xdr:rowOff>
    </xdr:from>
    <xdr:to>
      <xdr:col>14</xdr:col>
      <xdr:colOff>373380</xdr:colOff>
      <xdr:row>17</xdr:row>
      <xdr:rowOff>2540</xdr:rowOff>
    </xdr:to>
    <xdr:graphicFrame macro="">
      <xdr:nvGraphicFramePr>
        <xdr:cNvPr id="4" name="RankingPorLataChart">
          <a:extLst>
            <a:ext uri="{FF2B5EF4-FFF2-40B4-BE49-F238E27FC236}">
              <a16:creationId xmlns:a16="http://schemas.microsoft.com/office/drawing/2014/main" id="{B73A2D73-7524-2C68-C11B-D3B6699A4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198270</xdr:colOff>
      <xdr:row>23</xdr:row>
      <xdr:rowOff>128775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198270</xdr:colOff>
      <xdr:row>23</xdr:row>
      <xdr:rowOff>128775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187263</xdr:colOff>
      <xdr:row>23</xdr:row>
      <xdr:rowOff>169415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264600</xdr:colOff>
      <xdr:row>8</xdr:row>
      <xdr:rowOff>0</xdr:rowOff>
    </xdr:from>
    <xdr:to>
      <xdr:col>15</xdr:col>
      <xdr:colOff>477207</xdr:colOff>
      <xdr:row>22</xdr:row>
      <xdr:rowOff>172033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494127</xdr:colOff>
      <xdr:row>25</xdr:row>
      <xdr:rowOff>51833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197847</xdr:colOff>
      <xdr:row>23</xdr:row>
      <xdr:rowOff>115440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197847</xdr:colOff>
      <xdr:row>24</xdr:row>
      <xdr:rowOff>106973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197847</xdr:colOff>
      <xdr:row>24</xdr:row>
      <xdr:rowOff>106973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197847</xdr:colOff>
      <xdr:row>24</xdr:row>
      <xdr:rowOff>106973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197847</xdr:colOff>
      <xdr:row>24</xdr:row>
      <xdr:rowOff>106973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197847</xdr:colOff>
      <xdr:row>24</xdr:row>
      <xdr:rowOff>106973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197847</xdr:colOff>
      <xdr:row>24</xdr:row>
      <xdr:rowOff>106973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8</xdr:col>
      <xdr:colOff>464040</xdr:colOff>
      <xdr:row>33</xdr:row>
      <xdr:rowOff>164160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2B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7</xdr:row>
      <xdr:rowOff>25400</xdr:rowOff>
    </xdr:from>
    <xdr:ext cx="3401060" cy="25933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8AC766-9EAC-4B54-86ED-6B1ADF6B21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101600</xdr:colOff>
      <xdr:row>0</xdr:row>
      <xdr:rowOff>67055</xdr:rowOff>
    </xdr:from>
    <xdr:ext cx="702334" cy="536448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32DABFF7-3011-43A1-BFC7-E2D8BEBBEEAC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01600" y="67055"/>
          <a:ext cx="702334" cy="536448"/>
        </a:xfrm>
        <a:prstGeom prst="rect">
          <a:avLst/>
        </a:prstGeom>
        <a:ln w="0">
          <a:noFill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_base_dados3" displayName="tb_base_dados3" ref="A1:I125" totalsRowShown="0" headerRowDxfId="65" dataDxfId="63" headerRowBorderDxfId="64">
  <autoFilter ref="A1:I125" xr:uid="{00000000-0009-0000-0100-000001000000}"/>
  <tableColumns count="9">
    <tableColumn id="1" xr3:uid="{00000000-0010-0000-0000-000001000000}" name="Data" dataDxfId="62"/>
    <tableColumn id="2" xr3:uid="{00000000-0010-0000-0000-000002000000}" name="Mês" dataDxfId="61"/>
    <tableColumn id="3" xr3:uid="{00000000-0010-0000-0000-000003000000}" name="Produto" dataDxfId="60"/>
    <tableColumn id="4" xr3:uid="{00000000-0010-0000-0000-000004000000}" name="Real" dataDxfId="59"/>
    <tableColumn id="5" xr3:uid="{00000000-0010-0000-0000-000005000000}" name="Latas" dataDxfId="58"/>
    <tableColumn id="6" xr3:uid="{00000000-0010-0000-0000-000006000000}" name="Gás" dataDxfId="57"/>
    <tableColumn id="7" xr3:uid="{00000000-0010-0000-0000-000007000000}" name="Horas" dataDxfId="56"/>
    <tableColumn id="8" xr3:uid="{00000000-0010-0000-0000-000008000000}" name="Origem" dataDxfId="55"/>
    <tableColumn id="9" xr3:uid="{F670CF78-1C4F-4110-9307-3A1755F1F3CF}" name="Embalagem" dataDxfId="5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CBFCF72-B021-482C-BF33-6AEB70440EC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aed0c2f-33b8-41b9-8bc4-048eb81db883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4E636B13-E732-41DE-BC11-E7A540C4560B}">
  <we:reference id="wa200010725" version="1.0.0.1" store="pt-BR" storeType="OMEX"/>
  <we:alternateReferences>
    <we:reference id="WA200010725" version="1.0.0.1" store="" storeType="OMEX"/>
  </we:alternateReferences>
  <we:properties>
    <we:property name="claude.fileId" value="&quot;8a801c99-08bc-4eff-aece-15763916ff1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122C5-FA33-4072-9B7A-687292A7AD5C}">
  <sheetPr>
    <tabColor rgb="FF2F3A4A"/>
  </sheetPr>
  <dimension ref="A1:D55"/>
  <sheetViews>
    <sheetView showGridLines="0" zoomScale="90" zoomScaleNormal="90" workbookViewId="0">
      <selection activeCell="J7" sqref="J7"/>
    </sheetView>
  </sheetViews>
  <sheetFormatPr defaultColWidth="8.6640625" defaultRowHeight="14.4" x14ac:dyDescent="0.3"/>
  <cols>
    <col min="1" max="1" width="2.5546875" style="348" customWidth="1"/>
    <col min="2" max="2" width="37" style="348" customWidth="1"/>
    <col min="3" max="3" width="66.6640625" style="348" customWidth="1"/>
    <col min="4" max="4" width="2.5546875" style="348" customWidth="1"/>
    <col min="5" max="16384" width="8.6640625" style="348"/>
  </cols>
  <sheetData>
    <row r="1" spans="1:4" ht="42" customHeight="1" x14ac:dyDescent="0.3">
      <c r="A1" s="350"/>
      <c r="B1" s="566" t="s">
        <v>1272</v>
      </c>
      <c r="C1" s="566"/>
      <c r="D1" s="350"/>
    </row>
    <row r="2" spans="1:4" ht="25.95" customHeight="1" x14ac:dyDescent="0.3">
      <c r="A2" s="350"/>
      <c r="B2" s="567" t="s">
        <v>1271</v>
      </c>
      <c r="C2" s="567"/>
      <c r="D2" s="350"/>
    </row>
    <row r="3" spans="1:4" ht="4.2" customHeight="1" x14ac:dyDescent="0.3">
      <c r="A3" s="359"/>
      <c r="B3" s="359"/>
      <c r="C3" s="359"/>
      <c r="D3" s="359"/>
    </row>
    <row r="4" spans="1:4" ht="13.95" customHeight="1" x14ac:dyDescent="0.3">
      <c r="A4" s="349"/>
      <c r="B4" s="349"/>
      <c r="C4" s="349"/>
      <c r="D4" s="349"/>
    </row>
    <row r="5" spans="1:4" ht="18" customHeight="1" x14ac:dyDescent="0.3">
      <c r="A5" s="350"/>
      <c r="B5" s="568" t="s">
        <v>1235</v>
      </c>
      <c r="C5" s="568"/>
      <c r="D5" s="350"/>
    </row>
    <row r="6" spans="1:4" ht="7.95" customHeight="1" x14ac:dyDescent="0.3">
      <c r="A6" s="349"/>
      <c r="B6" s="349"/>
      <c r="C6" s="349"/>
      <c r="D6" s="349"/>
    </row>
    <row r="7" spans="1:4" ht="22.2" customHeight="1" x14ac:dyDescent="0.3">
      <c r="A7" s="349"/>
      <c r="B7" s="352" t="s">
        <v>0</v>
      </c>
      <c r="C7" s="351" t="s">
        <v>1</v>
      </c>
      <c r="D7" s="349"/>
    </row>
    <row r="8" spans="1:4" ht="22.2" customHeight="1" x14ac:dyDescent="0.3">
      <c r="A8" s="349"/>
      <c r="B8" s="352" t="s">
        <v>2</v>
      </c>
      <c r="C8" s="351" t="s">
        <v>3</v>
      </c>
      <c r="D8" s="349"/>
    </row>
    <row r="9" spans="1:4" ht="22.2" customHeight="1" x14ac:dyDescent="0.3">
      <c r="A9" s="349"/>
      <c r="B9" s="352" t="s">
        <v>4</v>
      </c>
      <c r="C9" s="351" t="s">
        <v>5</v>
      </c>
      <c r="D9" s="349"/>
    </row>
    <row r="10" spans="1:4" ht="22.2" customHeight="1" x14ac:dyDescent="0.3">
      <c r="A10" s="349"/>
      <c r="B10" s="352" t="s">
        <v>6</v>
      </c>
      <c r="C10" s="351" t="s">
        <v>7</v>
      </c>
      <c r="D10" s="349"/>
    </row>
    <row r="11" spans="1:4" ht="22.2" customHeight="1" x14ac:dyDescent="0.3">
      <c r="A11" s="349"/>
      <c r="B11" s="358" t="s">
        <v>8</v>
      </c>
      <c r="C11" s="357" t="s">
        <v>1270</v>
      </c>
      <c r="D11" s="349"/>
    </row>
    <row r="12" spans="1:4" ht="22.2" customHeight="1" x14ac:dyDescent="0.3">
      <c r="A12" s="349"/>
      <c r="B12" s="352" t="s">
        <v>9</v>
      </c>
      <c r="C12" s="351" t="s">
        <v>10</v>
      </c>
      <c r="D12" s="349"/>
    </row>
    <row r="13" spans="1:4" ht="22.2" customHeight="1" x14ac:dyDescent="0.3">
      <c r="A13" s="349"/>
      <c r="B13" s="352" t="s">
        <v>11</v>
      </c>
      <c r="C13" s="351" t="s">
        <v>12</v>
      </c>
      <c r="D13" s="349"/>
    </row>
    <row r="14" spans="1:4" ht="22.2" customHeight="1" x14ac:dyDescent="0.3">
      <c r="A14" s="349"/>
      <c r="B14" s="352" t="s">
        <v>13</v>
      </c>
      <c r="C14" s="351" t="s">
        <v>14</v>
      </c>
      <c r="D14" s="349"/>
    </row>
    <row r="15" spans="1:4" ht="22.2" customHeight="1" x14ac:dyDescent="0.3">
      <c r="A15" s="349"/>
      <c r="B15" s="352" t="s">
        <v>15</v>
      </c>
      <c r="C15" s="351" t="s">
        <v>16</v>
      </c>
      <c r="D15" s="349"/>
    </row>
    <row r="16" spans="1:4" ht="13.95" customHeight="1" x14ac:dyDescent="0.3">
      <c r="A16" s="349"/>
      <c r="B16" s="349"/>
      <c r="C16" s="349"/>
      <c r="D16" s="349"/>
    </row>
    <row r="17" spans="1:4" ht="18" customHeight="1" x14ac:dyDescent="0.3">
      <c r="A17" s="350"/>
      <c r="B17" s="568" t="s">
        <v>1269</v>
      </c>
      <c r="C17" s="568"/>
      <c r="D17" s="350"/>
    </row>
    <row r="18" spans="1:4" ht="7.95" customHeight="1" x14ac:dyDescent="0.3">
      <c r="A18" s="349"/>
      <c r="B18" s="349"/>
      <c r="C18" s="349"/>
      <c r="D18" s="349"/>
    </row>
    <row r="19" spans="1:4" ht="22.2" customHeight="1" x14ac:dyDescent="0.3">
      <c r="A19" s="349"/>
      <c r="B19" s="358" t="s">
        <v>1268</v>
      </c>
      <c r="C19" s="357" t="s">
        <v>17</v>
      </c>
      <c r="D19" s="349"/>
    </row>
    <row r="20" spans="1:4" ht="22.2" customHeight="1" x14ac:dyDescent="0.3">
      <c r="A20" s="349"/>
      <c r="B20" s="352" t="s">
        <v>1267</v>
      </c>
      <c r="C20" s="351" t="s">
        <v>18</v>
      </c>
      <c r="D20" s="349"/>
    </row>
    <row r="21" spans="1:4" ht="22.2" customHeight="1" x14ac:dyDescent="0.3">
      <c r="A21" s="349"/>
      <c r="B21" s="352" t="s">
        <v>1266</v>
      </c>
      <c r="C21" s="351" t="s">
        <v>19</v>
      </c>
      <c r="D21" s="349"/>
    </row>
    <row r="22" spans="1:4" ht="22.2" customHeight="1" x14ac:dyDescent="0.3">
      <c r="A22" s="349"/>
      <c r="B22" s="352" t="s">
        <v>1265</v>
      </c>
      <c r="C22" s="351" t="s">
        <v>20</v>
      </c>
      <c r="D22" s="349"/>
    </row>
    <row r="23" spans="1:4" ht="22.2" customHeight="1" x14ac:dyDescent="0.3">
      <c r="A23" s="349"/>
      <c r="B23" s="352" t="s">
        <v>1264</v>
      </c>
      <c r="C23" s="351" t="s">
        <v>21</v>
      </c>
      <c r="D23" s="349"/>
    </row>
    <row r="24" spans="1:4" ht="13.95" customHeight="1" x14ac:dyDescent="0.3">
      <c r="A24" s="349"/>
      <c r="B24" s="349"/>
      <c r="C24" s="349"/>
      <c r="D24" s="349"/>
    </row>
    <row r="25" spans="1:4" ht="18" customHeight="1" x14ac:dyDescent="0.3">
      <c r="A25" s="350"/>
      <c r="B25" s="568" t="s">
        <v>1263</v>
      </c>
      <c r="C25" s="568"/>
      <c r="D25" s="350"/>
    </row>
    <row r="26" spans="1:4" ht="7.95" customHeight="1" x14ac:dyDescent="0.3">
      <c r="A26" s="349"/>
      <c r="B26" s="349"/>
      <c r="C26" s="349"/>
      <c r="D26" s="349"/>
    </row>
    <row r="27" spans="1:4" ht="22.2" customHeight="1" x14ac:dyDescent="0.3">
      <c r="A27" s="349"/>
      <c r="B27" s="352" t="s">
        <v>1262</v>
      </c>
      <c r="C27" s="351" t="s">
        <v>22</v>
      </c>
      <c r="D27" s="349"/>
    </row>
    <row r="28" spans="1:4" ht="22.2" customHeight="1" x14ac:dyDescent="0.3">
      <c r="A28" s="349"/>
      <c r="B28" s="352" t="s">
        <v>1261</v>
      </c>
      <c r="C28" s="351" t="s">
        <v>23</v>
      </c>
      <c r="D28" s="349"/>
    </row>
    <row r="29" spans="1:4" ht="22.2" customHeight="1" x14ac:dyDescent="0.3">
      <c r="A29" s="349"/>
      <c r="B29" s="352" t="s">
        <v>1260</v>
      </c>
      <c r="C29" s="351" t="s">
        <v>24</v>
      </c>
      <c r="D29" s="349"/>
    </row>
    <row r="30" spans="1:4" ht="22.2" customHeight="1" x14ac:dyDescent="0.3">
      <c r="A30" s="349"/>
      <c r="B30" s="352" t="s">
        <v>1259</v>
      </c>
      <c r="C30" s="351" t="s">
        <v>25</v>
      </c>
      <c r="D30" s="349"/>
    </row>
    <row r="31" spans="1:4" ht="13.95" customHeight="1" x14ac:dyDescent="0.3">
      <c r="A31" s="349"/>
      <c r="B31" s="349"/>
      <c r="C31" s="349"/>
      <c r="D31" s="349"/>
    </row>
    <row r="32" spans="1:4" ht="18" customHeight="1" x14ac:dyDescent="0.3">
      <c r="A32" s="350"/>
      <c r="B32" s="568" t="s">
        <v>1258</v>
      </c>
      <c r="C32" s="568"/>
      <c r="D32" s="350"/>
    </row>
    <row r="33" spans="1:4" ht="7.95" customHeight="1" x14ac:dyDescent="0.3">
      <c r="A33" s="349"/>
      <c r="B33" s="349"/>
      <c r="C33" s="349"/>
      <c r="D33" s="349"/>
    </row>
    <row r="34" spans="1:4" ht="22.2" customHeight="1" x14ac:dyDescent="0.3">
      <c r="A34" s="349"/>
      <c r="B34" s="352" t="s">
        <v>26</v>
      </c>
      <c r="C34" s="351" t="s">
        <v>27</v>
      </c>
      <c r="D34" s="349"/>
    </row>
    <row r="35" spans="1:4" ht="22.2" customHeight="1" x14ac:dyDescent="0.3">
      <c r="A35" s="349"/>
      <c r="B35" s="352" t="s">
        <v>28</v>
      </c>
      <c r="C35" s="351" t="s">
        <v>29</v>
      </c>
      <c r="D35" s="349"/>
    </row>
    <row r="36" spans="1:4" ht="22.2" customHeight="1" x14ac:dyDescent="0.3">
      <c r="A36" s="349"/>
      <c r="B36" s="352" t="s">
        <v>30</v>
      </c>
      <c r="C36" s="351" t="s">
        <v>31</v>
      </c>
      <c r="D36" s="349"/>
    </row>
    <row r="37" spans="1:4" ht="22.2" customHeight="1" x14ac:dyDescent="0.3">
      <c r="A37" s="349"/>
      <c r="B37" s="352" t="s">
        <v>32</v>
      </c>
      <c r="C37" s="351" t="s">
        <v>33</v>
      </c>
      <c r="D37" s="349"/>
    </row>
    <row r="38" spans="1:4" ht="22.2" customHeight="1" x14ac:dyDescent="0.3">
      <c r="A38" s="349"/>
      <c r="B38" s="352" t="s">
        <v>34</v>
      </c>
      <c r="C38" s="351" t="s">
        <v>35</v>
      </c>
      <c r="D38" s="349"/>
    </row>
    <row r="39" spans="1:4" ht="13.95" customHeight="1" x14ac:dyDescent="0.3">
      <c r="A39" s="349"/>
      <c r="B39" s="349"/>
      <c r="C39" s="349"/>
      <c r="D39" s="349"/>
    </row>
    <row r="40" spans="1:4" ht="18" customHeight="1" x14ac:dyDescent="0.3">
      <c r="A40" s="350"/>
      <c r="B40" s="568" t="s">
        <v>1257</v>
      </c>
      <c r="C40" s="568"/>
      <c r="D40" s="350"/>
    </row>
    <row r="41" spans="1:4" ht="7.95" customHeight="1" x14ac:dyDescent="0.3">
      <c r="A41" s="349"/>
      <c r="B41" s="349"/>
      <c r="C41" s="349"/>
      <c r="D41" s="349"/>
    </row>
    <row r="42" spans="1:4" ht="22.2" customHeight="1" x14ac:dyDescent="0.3">
      <c r="A42" s="349"/>
      <c r="B42" s="352" t="s">
        <v>1256</v>
      </c>
      <c r="C42" s="351" t="s">
        <v>36</v>
      </c>
      <c r="D42" s="349"/>
    </row>
    <row r="43" spans="1:4" ht="22.2" customHeight="1" x14ac:dyDescent="0.3">
      <c r="A43" s="349"/>
      <c r="B43" s="352" t="s">
        <v>60</v>
      </c>
      <c r="C43" s="351" t="s">
        <v>37</v>
      </c>
      <c r="D43" s="349"/>
    </row>
    <row r="44" spans="1:4" ht="22.2" customHeight="1" x14ac:dyDescent="0.3">
      <c r="A44" s="349"/>
      <c r="B44" s="352" t="s">
        <v>1255</v>
      </c>
      <c r="C44" s="351" t="s">
        <v>38</v>
      </c>
      <c r="D44" s="349"/>
    </row>
    <row r="45" spans="1:4" ht="13.95" customHeight="1" x14ac:dyDescent="0.3">
      <c r="A45" s="349"/>
      <c r="B45" s="349"/>
      <c r="C45" s="349"/>
      <c r="D45" s="349"/>
    </row>
    <row r="46" spans="1:4" ht="22.2" customHeight="1" x14ac:dyDescent="0.3">
      <c r="A46" s="356"/>
      <c r="B46" s="564" t="s">
        <v>1254</v>
      </c>
      <c r="C46" s="564"/>
      <c r="D46" s="356"/>
    </row>
    <row r="47" spans="1:4" ht="7.95" customHeight="1" x14ac:dyDescent="0.3">
      <c r="A47" s="349"/>
      <c r="B47" s="349"/>
      <c r="C47" s="349"/>
      <c r="D47" s="349"/>
    </row>
    <row r="48" spans="1:4" ht="24" customHeight="1" x14ac:dyDescent="0.3">
      <c r="A48" s="349"/>
      <c r="B48" s="355" t="s">
        <v>39</v>
      </c>
      <c r="C48" s="353" t="s">
        <v>40</v>
      </c>
      <c r="D48" s="349"/>
    </row>
    <row r="49" spans="1:4" ht="24" customHeight="1" x14ac:dyDescent="0.3">
      <c r="A49" s="349"/>
      <c r="B49" s="355" t="s">
        <v>41</v>
      </c>
      <c r="C49" s="353" t="s">
        <v>42</v>
      </c>
      <c r="D49" s="349"/>
    </row>
    <row r="50" spans="1:4" ht="24" customHeight="1" x14ac:dyDescent="0.3">
      <c r="A50" s="349"/>
      <c r="B50" s="354" t="s">
        <v>43</v>
      </c>
      <c r="C50" s="353" t="s">
        <v>44</v>
      </c>
      <c r="D50" s="349"/>
    </row>
    <row r="51" spans="1:4" ht="24" customHeight="1" x14ac:dyDescent="0.3">
      <c r="A51" s="349"/>
      <c r="B51" s="352" t="s">
        <v>1253</v>
      </c>
      <c r="C51" s="351" t="s">
        <v>1252</v>
      </c>
      <c r="D51" s="349"/>
    </row>
    <row r="52" spans="1:4" ht="24" customHeight="1" x14ac:dyDescent="0.3">
      <c r="A52" s="349"/>
      <c r="B52" s="352" t="s">
        <v>1251</v>
      </c>
      <c r="C52" s="351" t="s">
        <v>45</v>
      </c>
      <c r="D52" s="349"/>
    </row>
    <row r="53" spans="1:4" ht="13.95" customHeight="1" x14ac:dyDescent="0.3">
      <c r="A53" s="349"/>
      <c r="B53" s="349"/>
      <c r="C53" s="349"/>
      <c r="D53" s="349"/>
    </row>
    <row r="54" spans="1:4" ht="22.2" customHeight="1" x14ac:dyDescent="0.3">
      <c r="A54" s="350"/>
      <c r="B54" s="565" t="s">
        <v>1250</v>
      </c>
      <c r="C54" s="565"/>
      <c r="D54" s="350"/>
    </row>
    <row r="55" spans="1:4" x14ac:dyDescent="0.3">
      <c r="A55" s="349"/>
      <c r="B55" s="349"/>
      <c r="C55" s="349"/>
      <c r="D55" s="349"/>
    </row>
  </sheetData>
  <mergeCells count="9">
    <mergeCell ref="B46:C46"/>
    <mergeCell ref="B54:C54"/>
    <mergeCell ref="B1:C1"/>
    <mergeCell ref="B2:C2"/>
    <mergeCell ref="B5:C5"/>
    <mergeCell ref="B17:C17"/>
    <mergeCell ref="B25:C25"/>
    <mergeCell ref="B32:C32"/>
    <mergeCell ref="B40:C4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478CB-A69D-48F5-A867-A9E8B12593A7}">
  <sheetPr>
    <tabColor rgb="FF2F3A4A"/>
  </sheetPr>
  <dimension ref="A1:I40"/>
  <sheetViews>
    <sheetView showGridLines="0" zoomScale="90" zoomScaleNormal="90" workbookViewId="0">
      <selection activeCell="B26" sqref="B26:H26"/>
    </sheetView>
  </sheetViews>
  <sheetFormatPr defaultColWidth="8.6640625" defaultRowHeight="14.4" x14ac:dyDescent="0.3"/>
  <cols>
    <col min="1" max="1" width="3.33203125" style="348" customWidth="1"/>
    <col min="2" max="8" width="16.6640625" style="348" customWidth="1"/>
    <col min="9" max="9" width="3.33203125" style="348" customWidth="1"/>
    <col min="10" max="16384" width="8.6640625" style="348"/>
  </cols>
  <sheetData>
    <row r="1" spans="1:9" ht="42" customHeight="1" x14ac:dyDescent="0.3">
      <c r="A1" s="350"/>
      <c r="B1" s="566" t="s">
        <v>1228</v>
      </c>
      <c r="C1" s="566"/>
      <c r="D1" s="566"/>
      <c r="E1" s="566"/>
      <c r="F1" s="585"/>
      <c r="G1" s="586">
        <v>2026</v>
      </c>
      <c r="H1" s="587"/>
      <c r="I1" s="350"/>
    </row>
    <row r="2" spans="1:9" ht="25.95" customHeight="1" x14ac:dyDescent="0.3">
      <c r="A2" s="350"/>
      <c r="B2" s="567" t="s">
        <v>1229</v>
      </c>
      <c r="C2" s="567"/>
      <c r="D2" s="567"/>
      <c r="E2" s="567"/>
      <c r="F2" s="567"/>
      <c r="G2" s="567"/>
      <c r="H2" s="567"/>
      <c r="I2" s="350"/>
    </row>
    <row r="3" spans="1:9" ht="3.6" customHeight="1" x14ac:dyDescent="0.3">
      <c r="A3" s="359"/>
      <c r="B3" s="359"/>
      <c r="C3" s="359"/>
      <c r="D3" s="359"/>
      <c r="E3" s="359"/>
      <c r="F3" s="359"/>
      <c r="G3" s="359"/>
      <c r="H3" s="359"/>
      <c r="I3" s="359"/>
    </row>
    <row r="4" spans="1:9" ht="13.95" customHeight="1" x14ac:dyDescent="0.3">
      <c r="A4" s="349"/>
      <c r="B4" s="349"/>
      <c r="C4" s="349"/>
      <c r="D4" s="349"/>
      <c r="E4" s="349"/>
      <c r="F4" s="349"/>
      <c r="G4" s="349"/>
      <c r="H4" s="349"/>
      <c r="I4" s="349"/>
    </row>
    <row r="5" spans="1:9" ht="22.2" customHeight="1" x14ac:dyDescent="0.3">
      <c r="A5" s="349"/>
      <c r="B5" s="584" t="s">
        <v>1205</v>
      </c>
      <c r="C5" s="584"/>
      <c r="D5" s="584" t="s">
        <v>46</v>
      </c>
      <c r="E5" s="584"/>
      <c r="F5" s="365" t="s">
        <v>1230</v>
      </c>
      <c r="G5" s="584" t="s">
        <v>48</v>
      </c>
      <c r="H5" s="584"/>
      <c r="I5" s="349"/>
    </row>
    <row r="6" spans="1:9" ht="40.200000000000003" customHeight="1" x14ac:dyDescent="0.3">
      <c r="A6" s="349"/>
      <c r="B6" s="571">
        <f>'DASHBOARD '!A6</f>
        <v>0</v>
      </c>
      <c r="C6" s="571"/>
      <c r="D6" s="571">
        <f>'DASHBOARD '!C6</f>
        <v>0</v>
      </c>
      <c r="E6" s="571"/>
      <c r="F6" s="364">
        <f>'DASHBOARD '!E6</f>
        <v>0</v>
      </c>
      <c r="G6" s="573">
        <f>'DASHBOARD '!G6</f>
        <v>0</v>
      </c>
      <c r="H6" s="573"/>
      <c r="I6" s="349"/>
    </row>
    <row r="7" spans="1:9" ht="18" customHeight="1" x14ac:dyDescent="0.3">
      <c r="A7" s="349"/>
      <c r="B7" s="572" t="s">
        <v>1231</v>
      </c>
      <c r="C7" s="572"/>
      <c r="D7" s="572" t="s">
        <v>1232</v>
      </c>
      <c r="E7" s="572"/>
      <c r="F7" s="363" t="s">
        <v>1233</v>
      </c>
      <c r="G7" s="572" t="s">
        <v>1234</v>
      </c>
      <c r="H7" s="572"/>
      <c r="I7" s="349"/>
    </row>
    <row r="8" spans="1:9" ht="13.95" customHeight="1" x14ac:dyDescent="0.3">
      <c r="A8" s="349"/>
      <c r="B8" s="349"/>
      <c r="C8" s="349"/>
      <c r="D8" s="349"/>
      <c r="E8" s="349"/>
      <c r="F8" s="349"/>
      <c r="G8" s="349"/>
      <c r="H8" s="349"/>
      <c r="I8" s="349"/>
    </row>
    <row r="9" spans="1:9" ht="18" customHeight="1" x14ac:dyDescent="0.3">
      <c r="A9" s="350"/>
      <c r="B9" s="568" t="s">
        <v>1235</v>
      </c>
      <c r="C9" s="568"/>
      <c r="D9" s="568"/>
      <c r="E9" s="568"/>
      <c r="F9" s="568"/>
      <c r="G9" s="568"/>
      <c r="H9" s="568"/>
      <c r="I9" s="350"/>
    </row>
    <row r="10" spans="1:9" ht="7.95" customHeight="1" x14ac:dyDescent="0.3">
      <c r="A10" s="349"/>
      <c r="B10" s="349"/>
      <c r="C10" s="349"/>
      <c r="D10" s="349"/>
      <c r="E10" s="349"/>
      <c r="F10" s="349"/>
      <c r="G10" s="349"/>
      <c r="H10" s="349"/>
      <c r="I10" s="349"/>
    </row>
    <row r="11" spans="1:9" ht="22.2" customHeight="1" x14ac:dyDescent="0.3">
      <c r="A11" s="349"/>
      <c r="B11" s="578" t="s">
        <v>1236</v>
      </c>
      <c r="C11" s="579"/>
      <c r="D11" s="579"/>
      <c r="E11" s="578" t="s">
        <v>1237</v>
      </c>
      <c r="F11" s="579"/>
      <c r="G11" s="579"/>
      <c r="H11" s="580"/>
      <c r="I11" s="349"/>
    </row>
    <row r="12" spans="1:9" ht="34.200000000000003" customHeight="1" x14ac:dyDescent="0.3">
      <c r="A12" s="349"/>
      <c r="B12" s="576" t="s">
        <v>1238</v>
      </c>
      <c r="C12" s="577"/>
      <c r="D12" s="577"/>
      <c r="E12" s="576" t="s">
        <v>1239</v>
      </c>
      <c r="F12" s="577"/>
      <c r="G12" s="577"/>
      <c r="H12" s="581"/>
      <c r="I12" s="349"/>
    </row>
    <row r="13" spans="1:9" ht="7.95" customHeight="1" x14ac:dyDescent="0.3">
      <c r="A13" s="349"/>
      <c r="B13" s="349"/>
      <c r="C13" s="349"/>
      <c r="D13" s="349"/>
      <c r="E13" s="349"/>
      <c r="F13" s="349"/>
      <c r="G13" s="349"/>
      <c r="H13" s="349"/>
      <c r="I13" s="349"/>
    </row>
    <row r="14" spans="1:9" ht="22.2" customHeight="1" x14ac:dyDescent="0.3">
      <c r="A14" s="349"/>
      <c r="B14" s="578" t="s">
        <v>1240</v>
      </c>
      <c r="C14" s="579"/>
      <c r="D14" s="579"/>
      <c r="E14" s="578" t="s">
        <v>1241</v>
      </c>
      <c r="F14" s="579"/>
      <c r="G14" s="579"/>
      <c r="H14" s="580"/>
      <c r="I14" s="349"/>
    </row>
    <row r="15" spans="1:9" ht="34.200000000000003" customHeight="1" x14ac:dyDescent="0.3">
      <c r="A15" s="349"/>
      <c r="B15" s="576" t="s">
        <v>1242</v>
      </c>
      <c r="C15" s="577"/>
      <c r="D15" s="577"/>
      <c r="E15" s="576" t="s">
        <v>1243</v>
      </c>
      <c r="F15" s="577"/>
      <c r="G15" s="577"/>
      <c r="H15" s="581"/>
      <c r="I15" s="349"/>
    </row>
    <row r="16" spans="1:9" ht="13.95" customHeight="1" x14ac:dyDescent="0.3">
      <c r="A16" s="349"/>
      <c r="B16" s="349"/>
      <c r="C16" s="349"/>
      <c r="D16" s="349"/>
      <c r="E16" s="349"/>
      <c r="F16" s="349"/>
      <c r="G16" s="349"/>
      <c r="H16" s="349"/>
      <c r="I16" s="349"/>
    </row>
    <row r="17" spans="1:9" ht="18" customHeight="1" x14ac:dyDescent="0.3">
      <c r="A17" s="350"/>
      <c r="B17" s="568" t="s">
        <v>1244</v>
      </c>
      <c r="C17" s="568"/>
      <c r="D17" s="568"/>
      <c r="E17" s="568"/>
      <c r="F17" s="568"/>
      <c r="G17" s="568"/>
      <c r="H17" s="568"/>
      <c r="I17" s="350"/>
    </row>
    <row r="18" spans="1:9" ht="7.95" customHeight="1" x14ac:dyDescent="0.3">
      <c r="A18" s="349"/>
      <c r="B18" s="349"/>
      <c r="C18" s="349"/>
      <c r="D18" s="349"/>
      <c r="E18" s="349"/>
      <c r="F18" s="349"/>
      <c r="G18" s="349"/>
      <c r="H18" s="349"/>
      <c r="I18" s="349"/>
    </row>
    <row r="19" spans="1:9" ht="25.95" customHeight="1" x14ac:dyDescent="0.3">
      <c r="A19" s="349"/>
      <c r="B19" s="362">
        <v>1</v>
      </c>
      <c r="C19" s="582" t="s">
        <v>1245</v>
      </c>
      <c r="D19" s="582"/>
      <c r="E19" s="582"/>
      <c r="F19" s="582"/>
      <c r="G19" s="582"/>
      <c r="H19" s="583"/>
      <c r="I19" s="349"/>
    </row>
    <row r="20" spans="1:9" ht="25.95" customHeight="1" x14ac:dyDescent="0.3">
      <c r="A20" s="349"/>
      <c r="B20" s="362">
        <v>2</v>
      </c>
      <c r="C20" s="582" t="s">
        <v>1246</v>
      </c>
      <c r="D20" s="582"/>
      <c r="E20" s="582"/>
      <c r="F20" s="582"/>
      <c r="G20" s="582"/>
      <c r="H20" s="583"/>
      <c r="I20" s="349"/>
    </row>
    <row r="21" spans="1:9" ht="25.95" customHeight="1" x14ac:dyDescent="0.3">
      <c r="A21" s="349"/>
      <c r="B21" s="361">
        <v>3</v>
      </c>
      <c r="C21" s="574" t="s">
        <v>1247</v>
      </c>
      <c r="D21" s="574"/>
      <c r="E21" s="574"/>
      <c r="F21" s="574"/>
      <c r="G21" s="574"/>
      <c r="H21" s="575"/>
      <c r="I21" s="349"/>
    </row>
    <row r="22" spans="1:9" ht="25.95" customHeight="1" x14ac:dyDescent="0.3">
      <c r="A22" s="349"/>
      <c r="B22" s="360">
        <v>4</v>
      </c>
      <c r="C22" s="574" t="s">
        <v>1248</v>
      </c>
      <c r="D22" s="574"/>
      <c r="E22" s="574"/>
      <c r="F22" s="574"/>
      <c r="G22" s="574"/>
      <c r="H22" s="575"/>
      <c r="I22" s="349"/>
    </row>
    <row r="23" spans="1:9" ht="13.95" customHeight="1" x14ac:dyDescent="0.3">
      <c r="A23" s="349"/>
      <c r="B23" s="349"/>
      <c r="C23" s="349"/>
      <c r="D23" s="349"/>
      <c r="E23" s="349"/>
      <c r="F23" s="349"/>
      <c r="G23" s="349"/>
      <c r="H23" s="349"/>
      <c r="I23" s="349"/>
    </row>
    <row r="24" spans="1:9" ht="22.2" customHeight="1" x14ac:dyDescent="0.3">
      <c r="A24" s="350"/>
      <c r="B24" s="565" t="s">
        <v>1249</v>
      </c>
      <c r="C24" s="565"/>
      <c r="D24" s="565"/>
      <c r="E24" s="565"/>
      <c r="F24" s="565"/>
      <c r="G24" s="565"/>
      <c r="H24" s="565"/>
      <c r="I24" s="350"/>
    </row>
    <row r="25" spans="1:9" ht="21.75" customHeight="1" x14ac:dyDescent="0.3">
      <c r="A25" s="349"/>
      <c r="B25" s="349"/>
      <c r="C25" s="349"/>
      <c r="D25" s="349"/>
      <c r="E25" s="349"/>
      <c r="F25" s="349"/>
      <c r="G25" s="349"/>
      <c r="H25" s="349"/>
      <c r="I25" s="349"/>
    </row>
    <row r="26" spans="1:9" ht="22.05" customHeight="1" x14ac:dyDescent="0.3">
      <c r="A26" s="350"/>
      <c r="B26" s="569" t="s">
        <v>1424</v>
      </c>
      <c r="C26" s="569"/>
      <c r="D26" s="569"/>
      <c r="E26" s="569"/>
      <c r="F26" s="569"/>
      <c r="G26" s="569"/>
      <c r="H26" s="569"/>
      <c r="I26" s="349"/>
    </row>
    <row r="27" spans="1:9" x14ac:dyDescent="0.3">
      <c r="A27" s="349"/>
      <c r="B27" s="570" t="s">
        <v>1425</v>
      </c>
      <c r="C27" s="570"/>
      <c r="D27" s="570"/>
      <c r="E27" s="570"/>
      <c r="F27" s="570"/>
      <c r="G27" s="570"/>
      <c r="H27" s="570"/>
      <c r="I27" s="349"/>
    </row>
    <row r="28" spans="1:9" ht="78" customHeight="1" x14ac:dyDescent="0.3">
      <c r="A28" s="349"/>
      <c r="B28" s="551"/>
      <c r="C28" s="551"/>
      <c r="D28" s="551"/>
      <c r="E28" s="551"/>
      <c r="F28" s="551"/>
      <c r="G28" s="551"/>
      <c r="H28" s="551"/>
      <c r="I28" s="349"/>
    </row>
    <row r="29" spans="1:9" ht="78" customHeight="1" x14ac:dyDescent="0.3">
      <c r="A29" s="349"/>
      <c r="B29" s="551"/>
      <c r="C29" s="551"/>
      <c r="D29" s="551"/>
      <c r="E29" s="551"/>
      <c r="F29" s="551"/>
      <c r="G29" s="551"/>
      <c r="H29" s="551"/>
      <c r="I29" s="349"/>
    </row>
    <row r="30" spans="1:9" ht="78" customHeight="1" x14ac:dyDescent="0.3">
      <c r="A30" s="349"/>
      <c r="B30" s="551"/>
      <c r="C30" s="551"/>
      <c r="D30" s="551"/>
      <c r="E30" s="551"/>
      <c r="F30" s="551"/>
      <c r="G30" s="551"/>
      <c r="H30" s="551"/>
      <c r="I30" s="349"/>
    </row>
    <row r="31" spans="1:9" ht="78" customHeight="1" x14ac:dyDescent="0.3">
      <c r="A31" s="349"/>
      <c r="B31" s="551"/>
      <c r="C31" s="551"/>
      <c r="D31" s="551"/>
      <c r="E31" s="551"/>
      <c r="F31" s="551"/>
      <c r="G31" s="551"/>
      <c r="H31" s="551"/>
      <c r="I31" s="349"/>
    </row>
    <row r="32" spans="1:9" x14ac:dyDescent="0.3">
      <c r="A32" s="349"/>
      <c r="B32" s="349"/>
      <c r="C32" s="349"/>
      <c r="D32" s="349"/>
      <c r="E32" s="349"/>
      <c r="F32" s="349"/>
      <c r="G32" s="349"/>
      <c r="H32" s="349"/>
      <c r="I32" s="349"/>
    </row>
    <row r="33" spans="1:9" x14ac:dyDescent="0.3">
      <c r="A33" s="349"/>
      <c r="B33" s="349"/>
      <c r="C33" s="349"/>
      <c r="D33" s="349"/>
      <c r="E33" s="349"/>
      <c r="F33" s="349"/>
      <c r="G33" s="349"/>
      <c r="H33" s="349"/>
      <c r="I33" s="349"/>
    </row>
    <row r="34" spans="1:9" x14ac:dyDescent="0.3">
      <c r="A34" s="349"/>
      <c r="B34" s="349"/>
      <c r="C34" s="349"/>
      <c r="D34" s="349"/>
      <c r="E34" s="349"/>
      <c r="F34" s="349"/>
      <c r="G34" s="349"/>
      <c r="H34" s="349"/>
      <c r="I34" s="349"/>
    </row>
    <row r="35" spans="1:9" x14ac:dyDescent="0.3">
      <c r="A35" s="349"/>
      <c r="B35" s="349"/>
      <c r="C35" s="349"/>
      <c r="D35" s="349"/>
      <c r="E35" s="349"/>
      <c r="F35" s="349"/>
      <c r="G35" s="349"/>
      <c r="H35" s="349"/>
      <c r="I35" s="349"/>
    </row>
    <row r="36" spans="1:9" x14ac:dyDescent="0.3">
      <c r="A36" s="349"/>
      <c r="B36" s="349"/>
      <c r="C36" s="349"/>
      <c r="D36" s="349"/>
      <c r="E36" s="349"/>
      <c r="F36" s="349"/>
      <c r="G36" s="349"/>
      <c r="H36" s="349"/>
      <c r="I36" s="349"/>
    </row>
    <row r="37" spans="1:9" x14ac:dyDescent="0.3">
      <c r="A37" s="349"/>
      <c r="B37" s="349"/>
      <c r="C37" s="349"/>
      <c r="D37" s="349"/>
      <c r="E37" s="349"/>
      <c r="F37" s="349"/>
      <c r="G37" s="349"/>
      <c r="H37" s="349"/>
      <c r="I37" s="349"/>
    </row>
    <row r="38" spans="1:9" x14ac:dyDescent="0.3">
      <c r="A38" s="349"/>
      <c r="B38" s="349"/>
      <c r="C38" s="349"/>
      <c r="D38" s="349"/>
      <c r="E38" s="349"/>
      <c r="F38" s="349"/>
      <c r="G38" s="349"/>
      <c r="H38" s="349"/>
      <c r="I38" s="349"/>
    </row>
    <row r="39" spans="1:9" x14ac:dyDescent="0.3">
      <c r="A39" s="349"/>
      <c r="B39" s="349"/>
      <c r="C39" s="349"/>
      <c r="D39" s="349"/>
      <c r="E39" s="349"/>
      <c r="F39" s="349"/>
      <c r="G39" s="349"/>
      <c r="H39" s="349"/>
      <c r="I39" s="349"/>
    </row>
    <row r="40" spans="1:9" x14ac:dyDescent="0.3">
      <c r="A40" s="349"/>
      <c r="B40" s="349"/>
      <c r="C40" s="349"/>
      <c r="D40" s="349"/>
      <c r="E40" s="349"/>
      <c r="F40" s="349"/>
      <c r="G40" s="349"/>
      <c r="H40" s="349"/>
      <c r="I40" s="349"/>
    </row>
  </sheetData>
  <mergeCells count="29">
    <mergeCell ref="C20:H20"/>
    <mergeCell ref="C21:H21"/>
    <mergeCell ref="B11:D11"/>
    <mergeCell ref="B12:D12"/>
    <mergeCell ref="E11:H11"/>
    <mergeCell ref="E12:H12"/>
    <mergeCell ref="B14:D14"/>
    <mergeCell ref="B5:C5"/>
    <mergeCell ref="D5:E5"/>
    <mergeCell ref="B1:F1"/>
    <mergeCell ref="G1:H1"/>
    <mergeCell ref="B2:H2"/>
    <mergeCell ref="G5:H5"/>
    <mergeCell ref="B26:H26"/>
    <mergeCell ref="B27:H27"/>
    <mergeCell ref="B6:C6"/>
    <mergeCell ref="B7:C7"/>
    <mergeCell ref="D6:E6"/>
    <mergeCell ref="D7:E7"/>
    <mergeCell ref="G6:H6"/>
    <mergeCell ref="G7:H7"/>
    <mergeCell ref="B9:H9"/>
    <mergeCell ref="C22:H22"/>
    <mergeCell ref="B24:H24"/>
    <mergeCell ref="B15:D15"/>
    <mergeCell ref="E14:H14"/>
    <mergeCell ref="E15:H15"/>
    <mergeCell ref="B17:H17"/>
    <mergeCell ref="C19:H19"/>
  </mergeCells>
  <pageMargins left="0.7" right="0.7" top="0.75" bottom="0.75" header="0.511811023622047" footer="0.511811023622047"/>
  <pageSetup paperSize="9" scale="9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C6B90-748D-4EB6-A930-901C35BAA23C}">
  <sheetPr>
    <tabColor rgb="FF1A2B3C"/>
  </sheetPr>
  <dimension ref="A1:K44"/>
  <sheetViews>
    <sheetView showGridLines="0" topLeftCell="A9" zoomScaleNormal="100" workbookViewId="0">
      <selection activeCell="B39" sqref="B39"/>
    </sheetView>
  </sheetViews>
  <sheetFormatPr defaultColWidth="8.6640625" defaultRowHeight="14.4" x14ac:dyDescent="0.3"/>
  <cols>
    <col min="1" max="1" width="6.44140625" style="348" customWidth="1"/>
    <col min="2" max="2" width="31.44140625" style="348" customWidth="1"/>
    <col min="3" max="7" width="14.6640625" style="348" customWidth="1"/>
    <col min="8" max="8" width="25.88671875" style="348" customWidth="1"/>
    <col min="9" max="11" width="10" style="348" customWidth="1"/>
    <col min="12" max="16384" width="8.6640625" style="348"/>
  </cols>
  <sheetData>
    <row r="1" spans="1:11" ht="32.4" customHeight="1" x14ac:dyDescent="0.3">
      <c r="A1" s="591" t="s">
        <v>1278</v>
      </c>
      <c r="B1" s="591"/>
      <c r="C1" s="591"/>
      <c r="D1" s="591"/>
      <c r="E1" s="399" t="s">
        <v>1204</v>
      </c>
    </row>
    <row r="2" spans="1:11" ht="16.2" customHeight="1" x14ac:dyDescent="0.3">
      <c r="A2" s="595" t="s">
        <v>1277</v>
      </c>
      <c r="B2" s="595"/>
      <c r="C2" s="595"/>
      <c r="D2" s="595"/>
      <c r="E2" s="595"/>
    </row>
    <row r="3" spans="1:11" ht="3.6" customHeight="1" x14ac:dyDescent="0.3">
      <c r="A3" s="359"/>
      <c r="B3" s="359"/>
      <c r="C3" s="359"/>
      <c r="D3" s="359"/>
      <c r="E3" s="359"/>
      <c r="F3" s="349"/>
      <c r="G3" s="366"/>
      <c r="H3" s="366"/>
      <c r="I3" s="366"/>
      <c r="J3" s="366"/>
      <c r="K3" s="366"/>
    </row>
    <row r="4" spans="1:11" ht="18" customHeight="1" x14ac:dyDescent="0.3">
      <c r="A4" s="596" t="s">
        <v>1276</v>
      </c>
      <c r="B4" s="596"/>
      <c r="C4" s="596"/>
      <c r="D4" s="596"/>
      <c r="E4" s="596"/>
      <c r="F4" s="349"/>
      <c r="G4" s="366"/>
      <c r="H4" s="366"/>
      <c r="I4" s="366"/>
      <c r="J4" s="366"/>
      <c r="K4" s="366"/>
    </row>
    <row r="5" spans="1:11" ht="21.6" customHeight="1" thickBot="1" x14ac:dyDescent="0.35">
      <c r="A5" s="397" t="s">
        <v>49</v>
      </c>
      <c r="B5" s="398" t="s">
        <v>50</v>
      </c>
      <c r="C5" s="397" t="s">
        <v>51</v>
      </c>
      <c r="D5" s="397" t="s">
        <v>52</v>
      </c>
      <c r="E5" s="397" t="s">
        <v>53</v>
      </c>
      <c r="F5" s="349"/>
      <c r="G5" s="366"/>
      <c r="H5" s="366"/>
      <c r="I5" s="366"/>
      <c r="J5" s="366"/>
      <c r="K5" s="366"/>
    </row>
    <row r="6" spans="1:11" ht="23.4" customHeight="1" x14ac:dyDescent="0.3">
      <c r="A6" s="396">
        <v>1</v>
      </c>
      <c r="B6" s="395" t="s">
        <v>54</v>
      </c>
      <c r="C6" s="394">
        <f>SUMIF('SEMANA JANEIRO'!$B:$B,"*UNTA FACIL*",'SEMANA JANEIRO'!$I:$I)+SUMIF('SEMANA FEVEREIRO'!$B:$B,"*UNTA FACIL*",'SEMANA FEVEREIRO'!$I:$I)+SUMIF('SEMANA MARÇO'!$B:$B,"*UNTA FACIL*",'SEMANA MARÇO'!$I:$I)+SUMIF('SEMANA ABRIL'!$B:$B,"*UNTA FACIL*",'SEMANA ABRIL'!$I:$I)+SUMIF('SEMANA MAIO'!$B:$B,"*UNTA FACIL*",'SEMANA MAIO'!$I:$I)+SUMIF('SEMANA JUNHO'!$B:$B,"*UNTA FACIL*",'SEMANA JUNHO'!$I:$I)+SUMIF('SEMANA JULHO'!$B:$B,"*UNTA FACIL*",'SEMANA JULHO'!$I:$I)+SUMIF('SEMANA AGOSTO'!$B:$B,"*UNTA FACIL*",'SEMANA AGOSTO'!$I:$I)+SUMIF('SEMANA SETEMBRO'!$B:$B,"*UNTA FACIL*",'SEMANA SETEMBRO'!$I:$I)+SUMIF('SEMANA OUTUBRO'!$B:$B,"*UNTA FACIL*",'SEMANA OUTUBRO'!$I:$I)+SUMIF('SEMANA NOVEMBRO'!$B:$B,"*UNTA FACIL*",'SEMANA NOVEMBRO'!$I:$I)+SUMIF('SEMANA DEZEMBRO'!$B:$B,"*UNTA FACIL*",'SEMANA DEZEMBRO'!$I:$I)</f>
        <v>260364</v>
      </c>
      <c r="D6" s="393">
        <f t="shared" ref="D6:D15" si="0">IF($C$17=0,0,C6/$C$17)</f>
        <v>0.21463318123925759</v>
      </c>
      <c r="E6" s="392" t="s">
        <v>55</v>
      </c>
      <c r="F6" s="349"/>
      <c r="G6" s="366"/>
      <c r="H6" s="366"/>
      <c r="I6" s="366"/>
      <c r="J6" s="366"/>
      <c r="K6" s="366"/>
    </row>
    <row r="7" spans="1:11" ht="23.4" customHeight="1" x14ac:dyDescent="0.3">
      <c r="A7" s="391">
        <v>2</v>
      </c>
      <c r="B7" s="390" t="s">
        <v>56</v>
      </c>
      <c r="C7" s="389">
        <f>SUMIF('SEMANA JANEIRO'!$B:$B,"*DESTAK*",'SEMANA JANEIRO'!$I:$I)+SUMIF('SEMANA FEVEREIRO'!$B:$B,"*DESTAK*",'SEMANA FEVEREIRO'!$I:$I)+SUMIF('SEMANA MARÇO'!$B:$B,"*DESTAK*",'SEMANA MARÇO'!$I:$I)+SUMIF('SEMANA ABRIL'!$B:$B,"*DESTAK*",'SEMANA ABRIL'!$I:$I)+SUMIF('SEMANA MAIO'!$B:$B,"*DESTAK*",'SEMANA MAIO'!$I:$I)+SUMIF('SEMANA JUNHO'!$B:$B,"*DESTAK*",'SEMANA JUNHO'!$I:$I)+SUMIF('SEMANA JULHO'!$B:$B,"*DESTAK*",'SEMANA JULHO'!$I:$I)+SUMIF('SEMANA AGOSTO'!$B:$B,"*DESTAK*",'SEMANA AGOSTO'!$I:$I)+SUMIF('SEMANA SETEMBRO'!$B:$B,"*DESTAK*",'SEMANA SETEMBRO'!$I:$I)+SUMIF('SEMANA OUTUBRO'!$B:$B,"*DESTAK*",'SEMANA OUTUBRO'!$I:$I)+SUMIF('SEMANA NOVEMBRO'!$B:$B,"*DESTAK*",'SEMANA NOVEMBRO'!$I:$I)+SUMIF('SEMANA DEZEMBRO'!$B:$B,"*DESTAK*",'SEMANA DEZEMBRO'!$I:$I)+SUMIF('SEMANA JANEIRO'!$B:$B,"*NORCAU*",'SEMANA JANEIRO'!$I:$I)+SUMIF('SEMANA FEVEREIRO'!$B:$B,"*NORCAU*",'SEMANA FEVEREIRO'!$I:$I)+SUMIF('SEMANA MARÇO'!$B:$B,"*NORCAU*",'SEMANA MARÇO'!$I:$I)+SUMIF('SEMANA ABRIL'!$B:$B,"*NORCAU*",'SEMANA ABRIL'!$I:$I)+SUMIF('SEMANA MAIO'!$B:$B,"*NORCAU*",'SEMANA MAIO'!$I:$I)+SUMIF('SEMANA JUNHO'!$B:$B,"*NORCAU*",'SEMANA JUNHO'!$I:$I)+SUMIF('SEMANA JULHO'!$B:$B,"*NORCAU*",'SEMANA JULHO'!$I:$I)+SUMIF('SEMANA AGOSTO'!$B:$B,"*NORCAU*",'SEMANA AGOSTO'!$I:$I)+SUMIF('SEMANA SETEMBRO'!$B:$B,"*NORCAU*",'SEMANA SETEMBRO'!$I:$I)+SUMIF('SEMANA OUTUBRO'!$B:$B,"*NORCAU*",'SEMANA OUTUBRO'!$I:$I)+SUMIF('SEMANA NOVEMBRO'!$B:$B,"*NORCAU*",'SEMANA NOVEMBRO'!$I:$I)+SUMIF('SEMANA DEZEMBRO'!$B:$B,"*NORCAU*",'SEMANA DEZEMBRO'!$I:$I)</f>
        <v>194394</v>
      </c>
      <c r="D7" s="388">
        <f t="shared" si="0"/>
        <v>0.16025027512952728</v>
      </c>
      <c r="E7" s="387" t="s">
        <v>57</v>
      </c>
      <c r="F7" s="349"/>
      <c r="G7" s="366"/>
      <c r="H7" s="366"/>
      <c r="I7" s="366"/>
      <c r="J7" s="366"/>
      <c r="K7" s="366"/>
    </row>
    <row r="8" spans="1:11" ht="23.4" customHeight="1" x14ac:dyDescent="0.3">
      <c r="A8" s="386">
        <v>3</v>
      </c>
      <c r="B8" s="385" t="s">
        <v>58</v>
      </c>
      <c r="C8" s="384">
        <f>SUMIF('SEMANA JANEIRO'!$B:$B,"*ICEBERG*",'SEMANA JANEIRO'!$I:$I)+SUMIF('SEMANA FEVEREIRO'!$B:$B,"*ICEBERG*",'SEMANA FEVEREIRO'!$I:$I)+SUMIF('SEMANA MARÇO'!$B:$B,"*ICEBERG*",'SEMANA MARÇO'!$I:$I)+SUMIF('SEMANA ABRIL'!$B:$B,"*ICEBERG*",'SEMANA ABRIL'!$I:$I)+SUMIF('SEMANA MAIO'!$B:$B,"*ICEBERG*",'SEMANA MAIO'!$I:$I)+SUMIF('SEMANA JUNHO'!$B:$B,"*ICEBERG*",'SEMANA JUNHO'!$I:$I)+SUMIF('SEMANA JULHO'!$B:$B,"*ICEBERG*",'SEMANA JULHO'!$I:$I)+SUMIF('SEMANA AGOSTO'!$B:$B,"*ICEBERG*",'SEMANA AGOSTO'!$I:$I)+SUMIF('SEMANA SETEMBRO'!$B:$B,"*ICEBERG*",'SEMANA SETEMBRO'!$I:$I)+SUMIF('SEMANA OUTUBRO'!$B:$B,"*ICEBERG*",'SEMANA OUTUBRO'!$I:$I)+SUMIF('SEMANA NOVEMBRO'!$B:$B,"*ICEBERG*",'SEMANA NOVEMBRO'!$I:$I)+SUMIF('SEMANA DEZEMBRO'!$B:$B,"*ICEBERG*",'SEMANA DEZEMBRO'!$I:$I)</f>
        <v>110523</v>
      </c>
      <c r="D8" s="383">
        <f t="shared" si="0"/>
        <v>9.1110534060417206E-2</v>
      </c>
      <c r="E8" s="382" t="s">
        <v>59</v>
      </c>
      <c r="F8" s="349"/>
      <c r="G8" s="366"/>
      <c r="H8" s="366"/>
      <c r="I8" s="366"/>
      <c r="J8" s="366"/>
      <c r="K8" s="366"/>
    </row>
    <row r="9" spans="1:11" ht="19.95" customHeight="1" x14ac:dyDescent="0.3">
      <c r="A9" s="381">
        <v>4</v>
      </c>
      <c r="B9" s="380" t="s">
        <v>60</v>
      </c>
      <c r="C9" s="379">
        <f>SUMIF('SEMANA JANEIRO'!$B:$B,"*ADIMIX*",'SEMANA JANEIRO'!$I:$I)+SUMIF('SEMANA FEVEREIRO'!$B:$B,"*ADIMIX*",'SEMANA FEVEREIRO'!$I:$I)+SUMIF('SEMANA MARÇO'!$B:$B,"*ADIMIX*",'SEMANA MARÇO'!$I:$I)+SUMIF('SEMANA ABRIL'!$B:$B,"*ADIMIX*",'SEMANA ABRIL'!$I:$I)+SUMIF('SEMANA MAIO'!$B:$B,"*ADIMIX*",'SEMANA MAIO'!$I:$I)+SUMIF('SEMANA JUNHO'!$B:$B,"*ADIMIX*",'SEMANA JUNHO'!$I:$I)+SUMIF('SEMANA JULHO'!$B:$B,"*ADIMIX*",'SEMANA JULHO'!$I:$I)+SUMIF('SEMANA AGOSTO'!$B:$B,"*ADIMIX*",'SEMANA AGOSTO'!$I:$I)+SUMIF('SEMANA SETEMBRO'!$B:$B,"*ADIMIX*",'SEMANA SETEMBRO'!$I:$I)+SUMIF('SEMANA OUTUBRO'!$B:$B,"*ADIMIX*",'SEMANA OUTUBRO'!$I:$I)+SUMIF('SEMANA NOVEMBRO'!$B:$B,"*ADIMIX*",'SEMANA NOVEMBRO'!$I:$I)+SUMIF('SEMANA DEZEMBRO'!$B:$B,"*ADIMIX*",'SEMANA DEZEMBRO'!$I:$I)</f>
        <v>88332</v>
      </c>
      <c r="D9" s="378">
        <f t="shared" si="0"/>
        <v>7.2817202705543399E-2</v>
      </c>
      <c r="E9" s="377" t="s">
        <v>61</v>
      </c>
      <c r="F9" s="349"/>
      <c r="G9" s="366"/>
      <c r="H9" s="366"/>
      <c r="I9" s="366"/>
      <c r="J9" s="366"/>
      <c r="K9" s="366"/>
    </row>
    <row r="10" spans="1:11" ht="19.95" customHeight="1" x14ac:dyDescent="0.3">
      <c r="A10" s="376">
        <v>5</v>
      </c>
      <c r="B10" s="375" t="s">
        <v>64</v>
      </c>
      <c r="C10" s="374">
        <f>SUMIF('SEMANA JANEIRO'!$B:$B,"*FESTPAN*",'SEMANA JANEIRO'!$I:$I)+SUMIF('SEMANA FEVEREIRO'!$B:$B,"*FESTPAN*",'SEMANA FEVEREIRO'!$I:$I)+SUMIF('SEMANA MARÇO'!$B:$B,"*FESTPAN*",'SEMANA MARÇO'!$I:$I)+SUMIF('SEMANA ABRIL'!$B:$B,"*FESTPAN*",'SEMANA ABRIL'!$I:$I)+SUMIF('SEMANA MAIO'!$B:$B,"*FESTPAN*",'SEMANA MAIO'!$I:$I)+SUMIF('SEMANA JUNHO'!$B:$B,"*FESTPAN*",'SEMANA JUNHO'!$I:$I)+SUMIF('SEMANA JULHO'!$B:$B,"*FESTPAN*",'SEMANA JULHO'!$I:$I)+SUMIF('SEMANA AGOSTO'!$B:$B,"*FESTPAN*",'SEMANA AGOSTO'!$I:$I)+SUMIF('SEMANA SETEMBRO'!$B:$B,"*FESTPAN*",'SEMANA SETEMBRO'!$I:$I)+SUMIF('SEMANA OUTUBRO'!$B:$B,"*FESTPAN*",'SEMANA OUTUBRO'!$I:$I)+SUMIF('SEMANA NOVEMBRO'!$B:$B,"*FESTPAN*",'SEMANA NOVEMBRO'!$I:$I)+SUMIF('SEMANA DEZEMBRO'!$B:$B,"*FESTPAN*",'SEMANA DEZEMBRO'!$I:$I)</f>
        <v>43632</v>
      </c>
      <c r="D10" s="373">
        <f t="shared" si="0"/>
        <v>3.5968394109136777E-2</v>
      </c>
      <c r="E10" s="372" t="s">
        <v>63</v>
      </c>
      <c r="F10" s="349"/>
      <c r="G10" s="366"/>
      <c r="H10" s="366"/>
      <c r="I10" s="366"/>
      <c r="J10" s="366"/>
      <c r="K10" s="366"/>
    </row>
    <row r="11" spans="1:11" ht="19.95" customHeight="1" x14ac:dyDescent="0.3">
      <c r="A11" s="381">
        <v>6</v>
      </c>
      <c r="B11" s="380" t="s">
        <v>293</v>
      </c>
      <c r="C11" s="379">
        <f>SUMIF('SEMANA JANEIRO'!$B:$B,"*QUALICOCO*",'SEMANA JANEIRO'!$I:$I)+SUMIF('SEMANA FEVEREIRO'!$B:$B,"*QUALICOCO*",'SEMANA FEVEREIRO'!$I:$I)+SUMIF('SEMANA MARÇO'!$B:$B,"*QUALICOCO*",'SEMANA MARÇO'!$I:$I)+SUMIF('SEMANA ABRIL'!$B:$B,"*QUALICOCO*",'SEMANA ABRIL'!$I:$I)+SUMIF('SEMANA MAIO'!$B:$B,"*QUALICOCO*",'SEMANA MAIO'!$I:$I)+SUMIF('SEMANA JUNHO'!$B:$B,"*QUALICOCO*",'SEMANA JUNHO'!$I:$I)+SUMIF('SEMANA JULHO'!$B:$B,"*QUALICOCO*",'SEMANA JULHO'!$I:$I)+SUMIF('SEMANA AGOSTO'!$B:$B,"*QUALICOCO*",'SEMANA AGOSTO'!$I:$I)+SUMIF('SEMANA SETEMBRO'!$B:$B,"*QUALICOCO*",'SEMANA SETEMBRO'!$I:$I)+SUMIF('SEMANA OUTUBRO'!$B:$B,"*QUALICOCO*",'SEMANA OUTUBRO'!$I:$I)+SUMIF('SEMANA NOVEMBRO'!$B:$B,"*QUALICOCO*",'SEMANA NOVEMBRO'!$I:$I)+SUMIF('SEMANA DEZEMBRO'!$B:$B,"*QUALICOCO*",'SEMANA DEZEMBRO'!$I:$I)</f>
        <v>34008</v>
      </c>
      <c r="D11" s="378">
        <f t="shared" si="0"/>
        <v>2.8034771426098355E-2</v>
      </c>
      <c r="E11" s="377" t="s">
        <v>65</v>
      </c>
      <c r="F11" s="349"/>
      <c r="G11" s="366"/>
      <c r="H11" s="366"/>
      <c r="I11" s="366"/>
      <c r="J11" s="366"/>
      <c r="K11" s="366"/>
    </row>
    <row r="12" spans="1:11" ht="19.95" customHeight="1" x14ac:dyDescent="0.3">
      <c r="A12" s="376">
        <v>7</v>
      </c>
      <c r="B12" s="375" t="s">
        <v>62</v>
      </c>
      <c r="C12" s="374">
        <f>SUMIF('SEMANA JANEIRO'!$B:$B,"*DONA JURA*",'SEMANA JANEIRO'!$I:$I)+SUMIF('SEMANA FEVEREIRO'!$B:$B,"*DONA JURA*",'SEMANA FEVEREIRO'!$I:$I)+SUMIF('SEMANA MARÇO'!$B:$B,"*DONA JURA*",'SEMANA MARÇO'!$I:$I)+SUMIF('SEMANA ABRIL'!$B:$B,"*DONA JURA*",'SEMANA ABRIL'!$I:$I)+SUMIF('SEMANA MAIO'!$B:$B,"*DONA JURA*",'SEMANA MAIO'!$I:$I)+SUMIF('SEMANA JUNHO'!$B:$B,"*DONA JURA*",'SEMANA JUNHO'!$I:$I)+SUMIF('SEMANA JULHO'!$B:$B,"*DONA JURA*",'SEMANA JULHO'!$I:$I)+SUMIF('SEMANA AGOSTO'!$B:$B,"*DONA JURA*",'SEMANA AGOSTO'!$I:$I)+SUMIF('SEMANA SETEMBRO'!$B:$B,"*DONA JURA*",'SEMANA SETEMBRO'!$I:$I)+SUMIF('SEMANA OUTUBRO'!$B:$B,"*DONA JURA*",'SEMANA OUTUBRO'!$I:$I)+SUMIF('SEMANA NOVEMBRO'!$B:$B,"*DONA JURA*",'SEMANA NOVEMBRO'!$I:$I)+SUMIF('SEMANA DEZEMBRO'!$B:$B,"*DONA JURA*",'SEMANA DEZEMBRO'!$I:$I)</f>
        <v>24888</v>
      </c>
      <c r="D12" s="373">
        <f t="shared" si="0"/>
        <v>2.0516625242670426E-2</v>
      </c>
      <c r="E12" s="372" t="s">
        <v>67</v>
      </c>
      <c r="F12" s="349"/>
      <c r="G12" s="366"/>
      <c r="H12" s="366"/>
      <c r="I12" s="366"/>
      <c r="J12" s="366"/>
      <c r="K12" s="366"/>
    </row>
    <row r="13" spans="1:11" ht="19.95" customHeight="1" x14ac:dyDescent="0.3">
      <c r="A13" s="381">
        <v>8</v>
      </c>
      <c r="B13" s="380" t="s">
        <v>66</v>
      </c>
      <c r="C13" s="379">
        <f>SUMIF('SEMANA JANEIRO'!$B:$B,"*ALLBREAD*",'SEMANA JANEIRO'!$I:$I)+SUMIF('SEMANA FEVEREIRO'!$B:$B,"*ALLBREAD*",'SEMANA FEVEREIRO'!$I:$I)+SUMIF('SEMANA MARÇO'!$B:$B,"*ALLBREAD*",'SEMANA MARÇO'!$I:$I)+SUMIF('SEMANA ABRIL'!$B:$B,"*ALLBREAD*",'SEMANA ABRIL'!$I:$I)+SUMIF('SEMANA MAIO'!$B:$B,"*ALLBREAD*",'SEMANA MAIO'!$I:$I)+SUMIF('SEMANA JUNHO'!$B:$B,"*ALLBREAD*",'SEMANA JUNHO'!$I:$I)+SUMIF('SEMANA JULHO'!$B:$B,"*ALLBREAD*",'SEMANA JULHO'!$I:$I)+SUMIF('SEMANA AGOSTO'!$B:$B,"*ALLBREAD*",'SEMANA AGOSTO'!$I:$I)+SUMIF('SEMANA SETEMBRO'!$B:$B,"*ALLBREAD*",'SEMANA SETEMBRO'!$I:$I)+SUMIF('SEMANA OUTUBRO'!$B:$B,"*ALLBREAD*",'SEMANA OUTUBRO'!$I:$I)+SUMIF('SEMANA NOVEMBRO'!$B:$B,"*ALLBREAD*",'SEMANA NOVEMBRO'!$I:$I)+SUMIF('SEMANA DEZEMBRO'!$B:$B,"*ALLBREAD*",'SEMANA DEZEMBRO'!$I:$I)</f>
        <v>23040</v>
      </c>
      <c r="D13" s="378">
        <f t="shared" si="0"/>
        <v>1.8993211410765293E-2</v>
      </c>
      <c r="E13" s="377" t="s">
        <v>69</v>
      </c>
      <c r="F13" s="349"/>
      <c r="G13" s="366"/>
      <c r="H13" s="366"/>
      <c r="I13" s="366"/>
      <c r="J13" s="366"/>
      <c r="K13" s="366"/>
    </row>
    <row r="14" spans="1:11" ht="19.95" customHeight="1" x14ac:dyDescent="0.3">
      <c r="A14" s="376">
        <v>9</v>
      </c>
      <c r="B14" s="375" t="s">
        <v>616</v>
      </c>
      <c r="C14" s="374">
        <f>SUMIF('SEMANA JANEIRO'!$B:$B,"*DONA LELLA*",'SEMANA JANEIRO'!$I:$I)+SUMIF('SEMANA FEVEREIRO'!$B:$B,"*DONA LELLA*",'SEMANA FEVEREIRO'!$I:$I)+SUMIF('SEMANA MARÇO'!$B:$B,"*DONA LELLA*",'SEMANA MARÇO'!$I:$I)+SUMIF('SEMANA ABRIL'!$B:$B,"*DONA LELLA*",'SEMANA ABRIL'!$I:$I)+SUMIF('SEMANA MAIO'!$B:$B,"*DONA LELLA*",'SEMANA MAIO'!$I:$I)+SUMIF('SEMANA JUNHO'!$B:$B,"*DONA LELLA*",'SEMANA JUNHO'!$I:$I)+SUMIF('SEMANA JULHO'!$B:$B,"*DONA LELLA*",'SEMANA JULHO'!$I:$I)+SUMIF('SEMANA AGOSTO'!$B:$B,"*DONA LELLA*",'SEMANA AGOSTO'!$I:$I)+SUMIF('SEMANA SETEMBRO'!$B:$B,"*DONA LELLA*",'SEMANA SETEMBRO'!$I:$I)+SUMIF('SEMANA OUTUBRO'!$B:$B,"*DONA LELLA*",'SEMANA OUTUBRO'!$I:$I)+SUMIF('SEMANA NOVEMBRO'!$B:$B,"*DONA LELLA*",'SEMANA NOVEMBRO'!$I:$I)+SUMIF('SEMANA DEZEMBRO'!$B:$B,"*DONA LELLA*",'SEMANA DEZEMBRO'!$I:$I)</f>
        <v>19800</v>
      </c>
      <c r="D14" s="373">
        <f t="shared" si="0"/>
        <v>1.6322291056126422E-2</v>
      </c>
      <c r="E14" s="372" t="s">
        <v>71</v>
      </c>
      <c r="F14" s="349"/>
      <c r="G14" s="366"/>
      <c r="H14" s="366"/>
      <c r="I14" s="366"/>
      <c r="J14" s="366"/>
      <c r="K14" s="366"/>
    </row>
    <row r="15" spans="1:11" ht="19.95" customHeight="1" thickBot="1" x14ac:dyDescent="0.35">
      <c r="A15" s="371">
        <v>10</v>
      </c>
      <c r="B15" s="370" t="s">
        <v>160</v>
      </c>
      <c r="C15" s="369">
        <f>SUMIF('SEMANA JANEIRO'!$B:$B,"*ITAIQUARA*",'SEMANA JANEIRO'!$I:$I)+SUMIF('SEMANA FEVEREIRO'!$B:$B,"*ITAIQUARA*",'SEMANA FEVEREIRO'!$I:$I)+SUMIF('SEMANA MARÇO'!$B:$B,"*ITAIQUARA*",'SEMANA MARÇO'!$I:$I)+SUMIF('SEMANA ABRIL'!$B:$B,"*ITAIQUARA*",'SEMANA ABRIL'!$I:$I)+SUMIF('SEMANA MAIO'!$B:$B,"*ITAIQUARA*",'SEMANA MAIO'!$I:$I)+SUMIF('SEMANA JUNHO'!$B:$B,"*ITAIQUARA*",'SEMANA JUNHO'!$I:$I)+SUMIF('SEMANA JULHO'!$B:$B,"*ITAIQUARA*",'SEMANA JULHO'!$I:$I)+SUMIF('SEMANA AGOSTO'!$B:$B,"*ITAIQUARA*",'SEMANA AGOSTO'!$I:$I)+SUMIF('SEMANA SETEMBRO'!$B:$B,"*ITAIQUARA*",'SEMANA SETEMBRO'!$I:$I)+SUMIF('SEMANA OUTUBRO'!$B:$B,"*ITAIQUARA*",'SEMANA OUTUBRO'!$I:$I)+SUMIF('SEMANA NOVEMBRO'!$B:$B,"*ITAIQUARA*",'SEMANA NOVEMBRO'!$I:$I)+SUMIF('SEMANA DEZEMBRO'!$B:$B,"*ITAIQUARA*",'SEMANA DEZEMBRO'!$I:$I)</f>
        <v>17184</v>
      </c>
      <c r="D15" s="368">
        <f t="shared" si="0"/>
        <v>1.4165770177195782E-2</v>
      </c>
      <c r="E15" s="367" t="s">
        <v>73</v>
      </c>
      <c r="F15" s="349"/>
      <c r="G15" s="366"/>
      <c r="H15" s="366"/>
      <c r="I15" s="366"/>
      <c r="J15" s="366"/>
      <c r="K15" s="366"/>
    </row>
    <row r="16" spans="1:11" ht="7.2" customHeight="1" x14ac:dyDescent="0.3">
      <c r="A16" s="349"/>
      <c r="B16" s="349"/>
      <c r="C16" s="349"/>
      <c r="D16" s="349"/>
      <c r="E16" s="349"/>
      <c r="F16" s="349"/>
      <c r="G16" s="366"/>
      <c r="H16" s="366"/>
      <c r="I16" s="366"/>
      <c r="J16" s="366"/>
      <c r="K16" s="366"/>
    </row>
    <row r="17" spans="1:11" ht="25.2" customHeight="1" x14ac:dyDescent="0.3">
      <c r="A17" s="597" t="s">
        <v>1275</v>
      </c>
      <c r="B17" s="598"/>
      <c r="C17" s="473">
        <f>SUMIFS('SEMANA JANEIRO'!$I:$I,'SEMANA JANEIRO'!$B:$B,"&lt;&gt;",'SEMANA JANEIRO'!$B:$B,"&lt;&gt;TOTAL",'SEMANA JANEIRO'!$B:$B,"&lt;&gt;PRODUTO")+SUMIFS('SEMANA FEVEREIRO'!$I:$I,'SEMANA FEVEREIRO'!$B:$B,"&lt;&gt;",'SEMANA FEVEREIRO'!$B:$B,"&lt;&gt;TOTAL",'SEMANA FEVEREIRO'!$B:$B,"&lt;&gt;PRODUTO")+SUMIFS('SEMANA MARÇO'!$I:$I,'SEMANA MARÇO'!$B:$B,"&lt;&gt;",'SEMANA MARÇO'!$B:$B,"&lt;&gt;TOTAL",'SEMANA MARÇO'!$B:$B,"&lt;&gt;PRODUTO")+SUMIFS('SEMANA ABRIL'!$I:$I,'SEMANA ABRIL'!$B:$B,"&lt;&gt;",'SEMANA ABRIL'!$B:$B,"&lt;&gt;TOTAL",'SEMANA ABRIL'!$B:$B,"&lt;&gt;PRODUTO")+SUMIFS('SEMANA MAIO'!$I:$I,'SEMANA MAIO'!$B:$B,"&lt;&gt;",'SEMANA MAIO'!$B:$B,"&lt;&gt;TOTAL",'SEMANA MAIO'!$B:$B,"&lt;&gt;PRODUTO")+SUMIFS('SEMANA JUNHO'!$I:$I,'SEMANA JUNHO'!$B:$B,"&lt;&gt;",'SEMANA JUNHO'!$B:$B,"&lt;&gt;TOTAL",'SEMANA JUNHO'!$B:$B,"&lt;&gt;PRODUTO")+SUMIFS('SEMANA JULHO'!$I:$I,'SEMANA JULHO'!$B:$B,"&lt;&gt;",'SEMANA JULHO'!$B:$B,"&lt;&gt;TOTAL",'SEMANA JULHO'!$B:$B,"&lt;&gt;PRODUTO")+SUMIFS('SEMANA AGOSTO'!$I:$I,'SEMANA AGOSTO'!$B:$B,"&lt;&gt;",'SEMANA AGOSTO'!$B:$B,"&lt;&gt;TOTAL",'SEMANA AGOSTO'!$B:$B,"&lt;&gt;PRODUTO")+SUMIFS('SEMANA SETEMBRO'!$I:$I,'SEMANA SETEMBRO'!$B:$B,"&lt;&gt;",'SEMANA SETEMBRO'!$B:$B,"&lt;&gt;TOTAL",'SEMANA SETEMBRO'!$B:$B,"&lt;&gt;PRODUTO")+SUMIFS('SEMANA OUTUBRO'!$I:$I,'SEMANA OUTUBRO'!$B:$B,"&lt;&gt;",'SEMANA OUTUBRO'!$B:$B,"&lt;&gt;TOTAL",'SEMANA OUTUBRO'!$B:$B,"&lt;&gt;PRODUTO")+SUMIFS('SEMANA NOVEMBRO'!$I:$I,'SEMANA NOVEMBRO'!$B:$B,"&lt;&gt;",'SEMANA NOVEMBRO'!$B:$B,"&lt;&gt;TOTAL",'SEMANA NOVEMBRO'!$B:$B,"&lt;&gt;PRODUTO")+SUMIFS('SEMANA DEZEMBRO'!$I:$I,'SEMANA DEZEMBRO'!$B:$B,"&lt;&gt;",'SEMANA DEZEMBRO'!$B:$B,"&lt;&gt;TOTAL",'SEMANA DEZEMBRO'!$B:$B,"&lt;&gt;PRODUTO")</f>
        <v>1213065</v>
      </c>
      <c r="D17" s="599">
        <v>1</v>
      </c>
      <c r="E17" s="600"/>
      <c r="F17" s="349"/>
      <c r="G17" s="366"/>
      <c r="H17" s="366"/>
      <c r="I17" s="366"/>
      <c r="J17" s="366"/>
      <c r="K17" s="366"/>
    </row>
    <row r="18" spans="1:11" ht="7.2" customHeight="1" x14ac:dyDescent="0.3">
      <c r="A18" s="349"/>
      <c r="B18" s="349"/>
      <c r="C18" s="349"/>
      <c r="D18" s="349"/>
      <c r="E18" s="349"/>
      <c r="F18" s="349"/>
      <c r="G18" s="366"/>
      <c r="H18" s="366"/>
      <c r="I18" s="366"/>
      <c r="J18" s="366"/>
      <c r="K18" s="366"/>
    </row>
    <row r="19" spans="1:11" ht="16.2" customHeight="1" x14ac:dyDescent="0.3">
      <c r="A19" s="590" t="s">
        <v>1274</v>
      </c>
      <c r="B19" s="590"/>
      <c r="C19" s="590"/>
      <c r="D19" s="590"/>
      <c r="E19" s="590"/>
      <c r="F19" s="349"/>
      <c r="G19" s="366"/>
      <c r="H19" s="366"/>
      <c r="I19" s="366"/>
      <c r="J19" s="366"/>
      <c r="K19" s="366"/>
    </row>
    <row r="20" spans="1:11" ht="5.4" customHeight="1" x14ac:dyDescent="0.3">
      <c r="A20" s="349"/>
      <c r="B20" s="349"/>
      <c r="C20" s="349"/>
      <c r="D20" s="349"/>
      <c r="E20" s="349"/>
      <c r="F20" s="349"/>
      <c r="G20" s="366"/>
      <c r="H20" s="366"/>
      <c r="I20" s="366"/>
      <c r="J20" s="366"/>
      <c r="K20" s="366"/>
    </row>
    <row r="21" spans="1:11" ht="18" customHeight="1" x14ac:dyDescent="0.3">
      <c r="A21" s="592" t="s">
        <v>1273</v>
      </c>
      <c r="B21" s="593"/>
      <c r="C21" s="593"/>
      <c r="D21" s="593"/>
      <c r="E21" s="594"/>
      <c r="F21" s="349"/>
      <c r="G21" s="366"/>
      <c r="H21" s="366"/>
      <c r="I21" s="366"/>
      <c r="J21" s="366"/>
      <c r="K21" s="366"/>
    </row>
    <row r="22" spans="1:11" x14ac:dyDescent="0.3">
      <c r="A22" s="349"/>
      <c r="B22" s="349"/>
      <c r="C22" s="349"/>
      <c r="D22" s="349"/>
      <c r="E22" s="349"/>
    </row>
    <row r="23" spans="1:11" x14ac:dyDescent="0.3">
      <c r="A23" s="452" t="s">
        <v>1305</v>
      </c>
      <c r="C23" s="349"/>
      <c r="D23" s="349"/>
      <c r="E23" s="349"/>
    </row>
    <row r="24" spans="1:11" x14ac:dyDescent="0.3">
      <c r="A24" s="453" t="s">
        <v>1306</v>
      </c>
      <c r="B24" s="349"/>
      <c r="C24" s="349"/>
      <c r="D24" s="349"/>
      <c r="E24" s="349"/>
    </row>
    <row r="25" spans="1:11" ht="15" thickBot="1" x14ac:dyDescent="0.35">
      <c r="A25" s="349"/>
      <c r="B25" s="349"/>
      <c r="C25" s="349"/>
      <c r="D25" s="349"/>
      <c r="E25" s="349"/>
    </row>
    <row r="26" spans="1:11" ht="22.2" customHeight="1" thickBot="1" x14ac:dyDescent="0.35">
      <c r="A26" s="518" t="s">
        <v>49</v>
      </c>
      <c r="B26" s="519" t="s">
        <v>50</v>
      </c>
      <c r="C26" s="520" t="s">
        <v>1187</v>
      </c>
      <c r="D26" s="519" t="s">
        <v>30</v>
      </c>
      <c r="E26" s="519" t="s">
        <v>34</v>
      </c>
      <c r="F26" s="519" t="s">
        <v>1301</v>
      </c>
      <c r="G26" s="519" t="s">
        <v>1302</v>
      </c>
      <c r="H26"/>
    </row>
    <row r="27" spans="1:11" x14ac:dyDescent="0.3">
      <c r="A27" s="521" t="s">
        <v>1399</v>
      </c>
      <c r="B27" s="522" t="s">
        <v>54</v>
      </c>
      <c r="C27" s="523">
        <f>SUMIFS('SEMANA JANEIRO'!$I:$I,'SEMANA JANEIRO'!$B:$B,"*UNTA FACIL*",'SEMANA JANEIRO'!$C:$C,180)+SUMIFS('SEMANA FEVEREIRO'!$I:$I,'SEMANA FEVEREIRO'!$B:$B,"*UNTA FACIL*",'SEMANA FEVEREIRO'!$C:$C,180)+SUMIFS('SEMANA MARÇO'!$I:$I,'SEMANA MARÇO'!$B:$B,"*UNTA FACIL*",'SEMANA MARÇO'!$C:$C,180)+SUMIFS('SEMANA ABRIL'!$I:$I,'SEMANA ABRIL'!$B:$B,"*UNTA FACIL*",'SEMANA ABRIL'!$C:$C,180)+SUMIFS('SEMANA MAIO'!$I:$I,'SEMANA MAIO'!$B:$B,"*UNTA FACIL*",'SEMANA MAIO'!$C:$C,180)+SUMIFS('SEMANA JUNHO'!$I:$I,'SEMANA JUNHO'!$B:$B,"*UNTA FACIL*",'SEMANA JUNHO'!$C:$C,180)+SUMIFS('SEMANA JULHO'!$I:$I,'SEMANA JULHO'!$B:$B,"*UNTA FACIL*",'SEMANA JULHO'!$C:$C,180)+SUMIFS('SEMANA AGOSTO'!$I:$I,'SEMANA AGOSTO'!$B:$B,"*UNTA FACIL*",'SEMANA AGOSTO'!$C:$C,180)+SUMIFS('SEMANA SETEMBRO'!$I:$I,'SEMANA SETEMBRO'!$B:$B,"*UNTA FACIL*",'SEMANA SETEMBRO'!$C:$C,180)+SUMIFS('SEMANA OUTUBRO'!$I:$I,'SEMANA OUTUBRO'!$B:$B,"*UNTA FACIL*",'SEMANA OUTUBRO'!$C:$C,180)+SUMIFS('SEMANA NOVEMBRO'!$I:$I,'SEMANA NOVEMBRO'!$B:$B,"*UNTA FACIL*",'SEMANA NOVEMBRO'!$C:$C,180)+SUMIFS('SEMANA DEZEMBRO'!$I:$I,'SEMANA DEZEMBRO'!$B:$B,"*UNTA FACIL*",'SEMANA DEZEMBRO'!$C:$C,180)</f>
        <v>47472</v>
      </c>
      <c r="D27" s="523">
        <f>SUMIFS('SEMANA JANEIRO'!$I:$I,'SEMANA JANEIRO'!$B:$B,"*UNTA FACIL*",'SEMANA JANEIRO'!$C:$C,400)+SUMIFS('SEMANA FEVEREIRO'!$I:$I,'SEMANA FEVEREIRO'!$B:$B,"*UNTA FACIL*",'SEMANA FEVEREIRO'!$C:$C,400)+SUMIFS('SEMANA MARÇO'!$I:$I,'SEMANA MARÇO'!$B:$B,"*UNTA FACIL*",'SEMANA MARÇO'!$C:$C,400)+SUMIFS('SEMANA ABRIL'!$I:$I,'SEMANA ABRIL'!$B:$B,"*UNTA FACIL*",'SEMANA ABRIL'!$C:$C,400)+SUMIFS('SEMANA MAIO'!$I:$I,'SEMANA MAIO'!$B:$B,"*UNTA FACIL*",'SEMANA MAIO'!$C:$C,400)+SUMIFS('SEMANA JUNHO'!$I:$I,'SEMANA JUNHO'!$B:$B,"*UNTA FACIL*",'SEMANA JUNHO'!$C:$C,400)+SUMIFS('SEMANA JULHO'!$I:$I,'SEMANA JULHO'!$B:$B,"*UNTA FACIL*",'SEMANA JULHO'!$C:$C,400)+SUMIFS('SEMANA AGOSTO'!$I:$I,'SEMANA AGOSTO'!$B:$B,"*UNTA FACIL*",'SEMANA AGOSTO'!$C:$C,400)+SUMIFS('SEMANA SETEMBRO'!$I:$I,'SEMANA SETEMBRO'!$B:$B,"*UNTA FACIL*",'SEMANA SETEMBRO'!$C:$C,400)+SUMIFS('SEMANA OUTUBRO'!$I:$I,'SEMANA OUTUBRO'!$B:$B,"*UNTA FACIL*",'SEMANA OUTUBRO'!$C:$C,400)+SUMIFS('SEMANA NOVEMBRO'!$I:$I,'SEMANA NOVEMBRO'!$B:$B,"*UNTA FACIL*",'SEMANA NOVEMBRO'!$C:$C,400)+SUMIFS('SEMANA DEZEMBRO'!$I:$I,'SEMANA DEZEMBRO'!$B:$B,"*UNTA FACIL*",'SEMANA DEZEMBRO'!$C:$C,400)</f>
        <v>134292</v>
      </c>
      <c r="E27" s="523">
        <f>SUMIFS('SEMANA JANEIRO'!$I:$I,'SEMANA JANEIRO'!$B:$B,"*UNTA FACIL*",'SEMANA JANEIRO'!$C:$C,600)+SUMIFS('SEMANA FEVEREIRO'!$I:$I,'SEMANA FEVEREIRO'!$B:$B,"*UNTA FACIL*",'SEMANA FEVEREIRO'!$C:$C,600)+SUMIFS('SEMANA MARÇO'!$I:$I,'SEMANA MARÇO'!$B:$B,"*UNTA FACIL*",'SEMANA MARÇO'!$C:$C,600)+SUMIFS('SEMANA ABRIL'!$I:$I,'SEMANA ABRIL'!$B:$B,"*UNTA FACIL*",'SEMANA ABRIL'!$C:$C,600)+SUMIFS('SEMANA MAIO'!$I:$I,'SEMANA MAIO'!$B:$B,"*UNTA FACIL*",'SEMANA MAIO'!$C:$C,600)+SUMIFS('SEMANA JUNHO'!$I:$I,'SEMANA JUNHO'!$B:$B,"*UNTA FACIL*",'SEMANA JUNHO'!$C:$C,600)+SUMIFS('SEMANA JULHO'!$I:$I,'SEMANA JULHO'!$B:$B,"*UNTA FACIL*",'SEMANA JULHO'!$C:$C,600)+SUMIFS('SEMANA AGOSTO'!$I:$I,'SEMANA AGOSTO'!$B:$B,"*UNTA FACIL*",'SEMANA AGOSTO'!$C:$C,600)+SUMIFS('SEMANA SETEMBRO'!$I:$I,'SEMANA SETEMBRO'!$B:$B,"*UNTA FACIL*",'SEMANA SETEMBRO'!$C:$C,600)+SUMIFS('SEMANA OUTUBRO'!$I:$I,'SEMANA OUTUBRO'!$B:$B,"*UNTA FACIL*",'SEMANA OUTUBRO'!$C:$C,600)+SUMIFS('SEMANA NOVEMBRO'!$I:$I,'SEMANA NOVEMBRO'!$B:$B,"*UNTA FACIL*",'SEMANA NOVEMBRO'!$C:$C,600)+SUMIFS('SEMANA DEZEMBRO'!$I:$I,'SEMANA DEZEMBRO'!$B:$B,"*UNTA FACIL*",'SEMANA DEZEMBRO'!$C:$C,600)</f>
        <v>78600</v>
      </c>
      <c r="F27" s="523">
        <f>SUMIF('SEMANA JANEIRO'!$B:$B,"*UNTA FACIL*",'SEMANA JANEIRO'!$I:$I)+SUMIF('SEMANA FEVEREIRO'!$B:$B,"*UNTA FACIL*",'SEMANA FEVEREIRO'!$I:$I)+SUMIF('SEMANA MARÇO'!$B:$B,"*UNTA FACIL*",'SEMANA MARÇO'!$I:$I)+SUMIF('SEMANA ABRIL'!$B:$B,"*UNTA FACIL*",'SEMANA ABRIL'!$I:$I)+SUMIF('SEMANA MAIO'!$B:$B,"*UNTA FACIL*",'SEMANA MAIO'!$I:$I)+SUMIF('SEMANA JUNHO'!$B:$B,"*UNTA FACIL*",'SEMANA JUNHO'!$I:$I)+SUMIF('SEMANA JULHO'!$B:$B,"*UNTA FACIL*",'SEMANA JULHO'!$I:$I)+SUMIF('SEMANA AGOSTO'!$B:$B,"*UNTA FACIL*",'SEMANA AGOSTO'!$I:$I)+SUMIF('SEMANA SETEMBRO'!$B:$B,"*UNTA FACIL*",'SEMANA SETEMBRO'!$I:$I)+SUMIF('SEMANA OUTUBRO'!$B:$B,"*UNTA FACIL*",'SEMANA OUTUBRO'!$I:$I)+SUMIF('SEMANA NOVEMBRO'!$B:$B,"*UNTA FACIL*",'SEMANA NOVEMBRO'!$I:$I)+SUMIF('SEMANA DEZEMBRO'!$B:$B,"*UNTA FACIL*",'SEMANA DEZEMBRO'!$I:$I)-C27-D27-E27</f>
        <v>0</v>
      </c>
      <c r="G27" s="523">
        <f>C27+D27+E27+F27</f>
        <v>260364</v>
      </c>
      <c r="H27"/>
    </row>
    <row r="28" spans="1:11" ht="7.95" customHeight="1" x14ac:dyDescent="0.3">
      <c r="A28"/>
      <c r="B28"/>
      <c r="C28"/>
      <c r="D28"/>
      <c r="E28"/>
      <c r="F28"/>
      <c r="G28"/>
      <c r="H28"/>
    </row>
    <row r="29" spans="1:11" x14ac:dyDescent="0.3">
      <c r="A29" s="530" t="s">
        <v>1400</v>
      </c>
      <c r="B29" s="531" t="s">
        <v>56</v>
      </c>
      <c r="C29" s="532">
        <f>(SUMIFS('SEMANA JANEIRO'!$I:$I,'SEMANA JANEIRO'!$B:$B,"*DESTAK*",'SEMANA JANEIRO'!$C:$C,180)+SUMIFS('SEMANA FEVEREIRO'!$I:$I,'SEMANA FEVEREIRO'!$B:$B,"*DESTAK*",'SEMANA FEVEREIRO'!$C:$C,180)+SUMIFS('SEMANA MARÇO'!$I:$I,'SEMANA MARÇO'!$B:$B,"*DESTAK*",'SEMANA MARÇO'!$C:$C,180)+SUMIFS('SEMANA ABRIL'!$I:$I,'SEMANA ABRIL'!$B:$B,"*DESTAK*",'SEMANA ABRIL'!$C:$C,180)+SUMIFS('SEMANA MAIO'!$I:$I,'SEMANA MAIO'!$B:$B,"*DESTAK*",'SEMANA MAIO'!$C:$C,180)+SUMIFS('SEMANA JUNHO'!$I:$I,'SEMANA JUNHO'!$B:$B,"*DESTAK*",'SEMANA JUNHO'!$C:$C,180)+SUMIFS('SEMANA JULHO'!$I:$I,'SEMANA JULHO'!$B:$B,"*DESTAK*",'SEMANA JULHO'!$C:$C,180)+SUMIFS('SEMANA AGOSTO'!$I:$I,'SEMANA AGOSTO'!$B:$B,"*DESTAK*",'SEMANA AGOSTO'!$C:$C,180)+SUMIFS('SEMANA SETEMBRO'!$I:$I,'SEMANA SETEMBRO'!$B:$B,"*DESTAK*",'SEMANA SETEMBRO'!$C:$C,180)+SUMIFS('SEMANA OUTUBRO'!$I:$I,'SEMANA OUTUBRO'!$B:$B,"*DESTAK*",'SEMANA OUTUBRO'!$C:$C,180)+SUMIFS('SEMANA NOVEMBRO'!$I:$I,'SEMANA NOVEMBRO'!$B:$B,"*DESTAK*",'SEMANA NOVEMBRO'!$C:$C,180)+SUMIFS('SEMANA DEZEMBRO'!$I:$I,'SEMANA DEZEMBRO'!$B:$B,"*DESTAK*",'SEMANA DEZEMBRO'!$C:$C,180))+(SUMIFS('SEMANA JANEIRO'!$I:$I,'SEMANA JANEIRO'!$B:$B,"*NORCAU*",'SEMANA JANEIRO'!$C:$C,180)+SUMIFS('SEMANA FEVEREIRO'!$I:$I,'SEMANA FEVEREIRO'!$B:$B,"*NORCAU*",'SEMANA FEVEREIRO'!$C:$C,180)+SUMIFS('SEMANA MARÇO'!$I:$I,'SEMANA MARÇO'!$B:$B,"*NORCAU*",'SEMANA MARÇO'!$C:$C,180)+SUMIFS('SEMANA ABRIL'!$I:$I,'SEMANA ABRIL'!$B:$B,"*NORCAU*",'SEMANA ABRIL'!$C:$C,180)+SUMIFS('SEMANA MAIO'!$I:$I,'SEMANA MAIO'!$B:$B,"*NORCAU*",'SEMANA MAIO'!$C:$C,180)+SUMIFS('SEMANA JUNHO'!$I:$I,'SEMANA JUNHO'!$B:$B,"*NORCAU*",'SEMANA JUNHO'!$C:$C,180)+SUMIFS('SEMANA JULHO'!$I:$I,'SEMANA JULHO'!$B:$B,"*NORCAU*",'SEMANA JULHO'!$C:$C,180)+SUMIFS('SEMANA AGOSTO'!$I:$I,'SEMANA AGOSTO'!$B:$B,"*NORCAU*",'SEMANA AGOSTO'!$C:$C,180)+SUMIFS('SEMANA SETEMBRO'!$I:$I,'SEMANA SETEMBRO'!$B:$B,"*NORCAU*",'SEMANA SETEMBRO'!$C:$C,180)+SUMIFS('SEMANA OUTUBRO'!$I:$I,'SEMANA OUTUBRO'!$B:$B,"*NORCAU*",'SEMANA OUTUBRO'!$C:$C,180)+SUMIFS('SEMANA NOVEMBRO'!$I:$I,'SEMANA NOVEMBRO'!$B:$B,"*NORCAU*",'SEMANA NOVEMBRO'!$C:$C,180)+SUMIFS('SEMANA DEZEMBRO'!$I:$I,'SEMANA DEZEMBRO'!$B:$B,"*NORCAU*",'SEMANA DEZEMBRO'!$C:$C,180))</f>
        <v>0</v>
      </c>
      <c r="D29" s="532">
        <f>(SUMIFS('SEMANA JANEIRO'!$I:$I,'SEMANA JANEIRO'!$B:$B,"*DESTAK*",'SEMANA JANEIRO'!$C:$C,400)+SUMIFS('SEMANA FEVEREIRO'!$I:$I,'SEMANA FEVEREIRO'!$B:$B,"*DESTAK*",'SEMANA FEVEREIRO'!$C:$C,400)+SUMIFS('SEMANA MARÇO'!$I:$I,'SEMANA MARÇO'!$B:$B,"*DESTAK*",'SEMANA MARÇO'!$C:$C,400)+SUMIFS('SEMANA ABRIL'!$I:$I,'SEMANA ABRIL'!$B:$B,"*DESTAK*",'SEMANA ABRIL'!$C:$C,400)+SUMIFS('SEMANA MAIO'!$I:$I,'SEMANA MAIO'!$B:$B,"*DESTAK*",'SEMANA MAIO'!$C:$C,400)+SUMIFS('SEMANA JUNHO'!$I:$I,'SEMANA JUNHO'!$B:$B,"*DESTAK*",'SEMANA JUNHO'!$C:$C,400)+SUMIFS('SEMANA JULHO'!$I:$I,'SEMANA JULHO'!$B:$B,"*DESTAK*",'SEMANA JULHO'!$C:$C,400)+SUMIFS('SEMANA AGOSTO'!$I:$I,'SEMANA AGOSTO'!$B:$B,"*DESTAK*",'SEMANA AGOSTO'!$C:$C,400)+SUMIFS('SEMANA SETEMBRO'!$I:$I,'SEMANA SETEMBRO'!$B:$B,"*DESTAK*",'SEMANA SETEMBRO'!$C:$C,400)+SUMIFS('SEMANA OUTUBRO'!$I:$I,'SEMANA OUTUBRO'!$B:$B,"*DESTAK*",'SEMANA OUTUBRO'!$C:$C,400)+SUMIFS('SEMANA NOVEMBRO'!$I:$I,'SEMANA NOVEMBRO'!$B:$B,"*DESTAK*",'SEMANA NOVEMBRO'!$C:$C,400)+SUMIFS('SEMANA DEZEMBRO'!$I:$I,'SEMANA DEZEMBRO'!$B:$B,"*DESTAK*",'SEMANA DEZEMBRO'!$C:$C,400))+(SUMIFS('SEMANA JANEIRO'!$I:$I,'SEMANA JANEIRO'!$B:$B,"*NORCAU*",'SEMANA JANEIRO'!$C:$C,400)+SUMIFS('SEMANA FEVEREIRO'!$I:$I,'SEMANA FEVEREIRO'!$B:$B,"*NORCAU*",'SEMANA FEVEREIRO'!$C:$C,400)+SUMIFS('SEMANA MARÇO'!$I:$I,'SEMANA MARÇO'!$B:$B,"*NORCAU*",'SEMANA MARÇO'!$C:$C,400)+SUMIFS('SEMANA ABRIL'!$I:$I,'SEMANA ABRIL'!$B:$B,"*NORCAU*",'SEMANA ABRIL'!$C:$C,400)+SUMIFS('SEMANA MAIO'!$I:$I,'SEMANA MAIO'!$B:$B,"*NORCAU*",'SEMANA MAIO'!$C:$C,400)+SUMIFS('SEMANA JUNHO'!$I:$I,'SEMANA JUNHO'!$B:$B,"*NORCAU*",'SEMANA JUNHO'!$C:$C,400)+SUMIFS('SEMANA JULHO'!$I:$I,'SEMANA JULHO'!$B:$B,"*NORCAU*",'SEMANA JULHO'!$C:$C,400)+SUMIFS('SEMANA AGOSTO'!$I:$I,'SEMANA AGOSTO'!$B:$B,"*NORCAU*",'SEMANA AGOSTO'!$C:$C,400)+SUMIFS('SEMANA SETEMBRO'!$I:$I,'SEMANA SETEMBRO'!$B:$B,"*NORCAU*",'SEMANA SETEMBRO'!$C:$C,400)+SUMIFS('SEMANA OUTUBRO'!$I:$I,'SEMANA OUTUBRO'!$B:$B,"*NORCAU*",'SEMANA OUTUBRO'!$C:$C,400)+SUMIFS('SEMANA NOVEMBRO'!$I:$I,'SEMANA NOVEMBRO'!$B:$B,"*NORCAU*",'SEMANA NOVEMBRO'!$C:$C,400)+SUMIFS('SEMANA DEZEMBRO'!$I:$I,'SEMANA DEZEMBRO'!$B:$B,"*NORCAU*",'SEMANA DEZEMBRO'!$C:$C,400))</f>
        <v>0</v>
      </c>
      <c r="E29" s="532">
        <f>(SUMIFS('SEMANA JANEIRO'!$I:$I,'SEMANA JANEIRO'!$B:$B,"*DESTAK*",'SEMANA JANEIRO'!$C:$C,600)+SUMIFS('SEMANA FEVEREIRO'!$I:$I,'SEMANA FEVEREIRO'!$B:$B,"*DESTAK*",'SEMANA FEVEREIRO'!$C:$C,600)+SUMIFS('SEMANA MARÇO'!$I:$I,'SEMANA MARÇO'!$B:$B,"*DESTAK*",'SEMANA MARÇO'!$C:$C,600)+SUMIFS('SEMANA ABRIL'!$I:$I,'SEMANA ABRIL'!$B:$B,"*DESTAK*",'SEMANA ABRIL'!$C:$C,600)+SUMIFS('SEMANA MAIO'!$I:$I,'SEMANA MAIO'!$B:$B,"*DESTAK*",'SEMANA MAIO'!$C:$C,600)+SUMIFS('SEMANA JUNHO'!$I:$I,'SEMANA JUNHO'!$B:$B,"*DESTAK*",'SEMANA JUNHO'!$C:$C,600)+SUMIFS('SEMANA JULHO'!$I:$I,'SEMANA JULHO'!$B:$B,"*DESTAK*",'SEMANA JULHO'!$C:$C,600)+SUMIFS('SEMANA AGOSTO'!$I:$I,'SEMANA AGOSTO'!$B:$B,"*DESTAK*",'SEMANA AGOSTO'!$C:$C,600)+SUMIFS('SEMANA SETEMBRO'!$I:$I,'SEMANA SETEMBRO'!$B:$B,"*DESTAK*",'SEMANA SETEMBRO'!$C:$C,600)+SUMIFS('SEMANA OUTUBRO'!$I:$I,'SEMANA OUTUBRO'!$B:$B,"*DESTAK*",'SEMANA OUTUBRO'!$C:$C,600)+SUMIFS('SEMANA NOVEMBRO'!$I:$I,'SEMANA NOVEMBRO'!$B:$B,"*DESTAK*",'SEMANA NOVEMBRO'!$C:$C,600)+SUMIFS('SEMANA DEZEMBRO'!$I:$I,'SEMANA DEZEMBRO'!$B:$B,"*DESTAK*",'SEMANA DEZEMBRO'!$C:$C,600))+(SUMIFS('SEMANA JANEIRO'!$I:$I,'SEMANA JANEIRO'!$B:$B,"*NORCAU*",'SEMANA JANEIRO'!$C:$C,600)+SUMIFS('SEMANA FEVEREIRO'!$I:$I,'SEMANA FEVEREIRO'!$B:$B,"*NORCAU*",'SEMANA FEVEREIRO'!$C:$C,600)+SUMIFS('SEMANA MARÇO'!$I:$I,'SEMANA MARÇO'!$B:$B,"*NORCAU*",'SEMANA MARÇO'!$C:$C,600)+SUMIFS('SEMANA ABRIL'!$I:$I,'SEMANA ABRIL'!$B:$B,"*NORCAU*",'SEMANA ABRIL'!$C:$C,600)+SUMIFS('SEMANA MAIO'!$I:$I,'SEMANA MAIO'!$B:$B,"*NORCAU*",'SEMANA MAIO'!$C:$C,600)+SUMIFS('SEMANA JUNHO'!$I:$I,'SEMANA JUNHO'!$B:$B,"*NORCAU*",'SEMANA JUNHO'!$C:$C,600)+SUMIFS('SEMANA JULHO'!$I:$I,'SEMANA JULHO'!$B:$B,"*NORCAU*",'SEMANA JULHO'!$C:$C,600)+SUMIFS('SEMANA AGOSTO'!$I:$I,'SEMANA AGOSTO'!$B:$B,"*NORCAU*",'SEMANA AGOSTO'!$C:$C,600)+SUMIFS('SEMANA SETEMBRO'!$I:$I,'SEMANA SETEMBRO'!$B:$B,"*NORCAU*",'SEMANA SETEMBRO'!$C:$C,600)+SUMIFS('SEMANA OUTUBRO'!$I:$I,'SEMANA OUTUBRO'!$B:$B,"*NORCAU*",'SEMANA OUTUBRO'!$C:$C,600)+SUMIFS('SEMANA NOVEMBRO'!$I:$I,'SEMANA NOVEMBRO'!$B:$B,"*NORCAU*",'SEMANA NOVEMBRO'!$C:$C,600)+SUMIFS('SEMANA DEZEMBRO'!$I:$I,'SEMANA DEZEMBRO'!$B:$B,"*NORCAU*",'SEMANA DEZEMBRO'!$C:$C,600))</f>
        <v>180714</v>
      </c>
      <c r="F29" s="532">
        <f>(SUMIF('SEMANA JANEIRO'!$B:$B,"*DESTAK*",'SEMANA JANEIRO'!$I:$I)+SUMIF('SEMANA FEVEREIRO'!$B:$B,"*DESTAK*",'SEMANA FEVEREIRO'!$I:$I)+SUMIF('SEMANA MARÇO'!$B:$B,"*DESTAK*",'SEMANA MARÇO'!$I:$I)+SUMIF('SEMANA ABRIL'!$B:$B,"*DESTAK*",'SEMANA ABRIL'!$I:$I)+SUMIF('SEMANA MAIO'!$B:$B,"*DESTAK*",'SEMANA MAIO'!$I:$I)+SUMIF('SEMANA JUNHO'!$B:$B,"*DESTAK*",'SEMANA JUNHO'!$I:$I)+SUMIF('SEMANA JULHO'!$B:$B,"*DESTAK*",'SEMANA JULHO'!$I:$I)+SUMIF('SEMANA AGOSTO'!$B:$B,"*DESTAK*",'SEMANA AGOSTO'!$I:$I)+SUMIF('SEMANA SETEMBRO'!$B:$B,"*DESTAK*",'SEMANA SETEMBRO'!$I:$I)+SUMIF('SEMANA OUTUBRO'!$B:$B,"*DESTAK*",'SEMANA OUTUBRO'!$I:$I)+SUMIF('SEMANA NOVEMBRO'!$B:$B,"*DESTAK*",'SEMANA NOVEMBRO'!$I:$I)+SUMIF('SEMANA DEZEMBRO'!$B:$B,"*DESTAK*",'SEMANA DEZEMBRO'!$I:$I))+(SUMIF('SEMANA JANEIRO'!$B:$B,"*NORCAU*",'SEMANA JANEIRO'!$I:$I)+SUMIF('SEMANA FEVEREIRO'!$B:$B,"*NORCAU*",'SEMANA FEVEREIRO'!$I:$I)+SUMIF('SEMANA MARÇO'!$B:$B,"*NORCAU*",'SEMANA MARÇO'!$I:$I)+SUMIF('SEMANA ABRIL'!$B:$B,"*NORCAU*",'SEMANA ABRIL'!$I:$I)+SUMIF('SEMANA MAIO'!$B:$B,"*NORCAU*",'SEMANA MAIO'!$I:$I)+SUMIF('SEMANA JUNHO'!$B:$B,"*NORCAU*",'SEMANA JUNHO'!$I:$I)+SUMIF('SEMANA JULHO'!$B:$B,"*NORCAU*",'SEMANA JULHO'!$I:$I)+SUMIF('SEMANA AGOSTO'!$B:$B,"*NORCAU*",'SEMANA AGOSTO'!$I:$I)+SUMIF('SEMANA SETEMBRO'!$B:$B,"*NORCAU*",'SEMANA SETEMBRO'!$I:$I)+SUMIF('SEMANA OUTUBRO'!$B:$B,"*NORCAU*",'SEMANA OUTUBRO'!$I:$I)+SUMIF('SEMANA NOVEMBRO'!$B:$B,"*NORCAU*",'SEMANA NOVEMBRO'!$I:$I)+SUMIF('SEMANA DEZEMBRO'!$B:$B,"*NORCAU*",'SEMANA DEZEMBRO'!$I:$I))-C29-D29-E29</f>
        <v>13680</v>
      </c>
      <c r="G29" s="532">
        <f t="shared" ref="G29:G39" si="1">C29+D29+E29+F29</f>
        <v>194394</v>
      </c>
      <c r="H29"/>
    </row>
    <row r="30" spans="1:11" x14ac:dyDescent="0.3">
      <c r="A30" s="524"/>
      <c r="B30" s="525" t="s">
        <v>1394</v>
      </c>
      <c r="C30" s="526">
        <f>SUMIFS('SEMANA JANEIRO'!$I:$I,'SEMANA JANEIRO'!$B:$B,"*DESTAK*",'SEMANA JANEIRO'!$C:$C,180)+SUMIFS('SEMANA FEVEREIRO'!$I:$I,'SEMANA FEVEREIRO'!$B:$B,"*DESTAK*",'SEMANA FEVEREIRO'!$C:$C,180)+SUMIFS('SEMANA MARÇO'!$I:$I,'SEMANA MARÇO'!$B:$B,"*DESTAK*",'SEMANA MARÇO'!$C:$C,180)+SUMIFS('SEMANA ABRIL'!$I:$I,'SEMANA ABRIL'!$B:$B,"*DESTAK*",'SEMANA ABRIL'!$C:$C,180)+SUMIFS('SEMANA MAIO'!$I:$I,'SEMANA MAIO'!$B:$B,"*DESTAK*",'SEMANA MAIO'!$C:$C,180)+SUMIFS('SEMANA JUNHO'!$I:$I,'SEMANA JUNHO'!$B:$B,"*DESTAK*",'SEMANA JUNHO'!$C:$C,180)+SUMIFS('SEMANA JULHO'!$I:$I,'SEMANA JULHO'!$B:$B,"*DESTAK*",'SEMANA JULHO'!$C:$C,180)+SUMIFS('SEMANA AGOSTO'!$I:$I,'SEMANA AGOSTO'!$B:$B,"*DESTAK*",'SEMANA AGOSTO'!$C:$C,180)+SUMIFS('SEMANA SETEMBRO'!$I:$I,'SEMANA SETEMBRO'!$B:$B,"*DESTAK*",'SEMANA SETEMBRO'!$C:$C,180)+SUMIFS('SEMANA OUTUBRO'!$I:$I,'SEMANA OUTUBRO'!$B:$B,"*DESTAK*",'SEMANA OUTUBRO'!$C:$C,180)+SUMIFS('SEMANA NOVEMBRO'!$I:$I,'SEMANA NOVEMBRO'!$B:$B,"*DESTAK*",'SEMANA NOVEMBRO'!$C:$C,180)+SUMIFS('SEMANA DEZEMBRO'!$I:$I,'SEMANA DEZEMBRO'!$B:$B,"*DESTAK*",'SEMANA DEZEMBRO'!$C:$C,180)</f>
        <v>0</v>
      </c>
      <c r="D30" s="526">
        <f>SUMIFS('SEMANA JANEIRO'!$I:$I,'SEMANA JANEIRO'!$B:$B,"*DESTAK*",'SEMANA JANEIRO'!$C:$C,400)+SUMIFS('SEMANA FEVEREIRO'!$I:$I,'SEMANA FEVEREIRO'!$B:$B,"*DESTAK*",'SEMANA FEVEREIRO'!$C:$C,400)+SUMIFS('SEMANA MARÇO'!$I:$I,'SEMANA MARÇO'!$B:$B,"*DESTAK*",'SEMANA MARÇO'!$C:$C,400)+SUMIFS('SEMANA ABRIL'!$I:$I,'SEMANA ABRIL'!$B:$B,"*DESTAK*",'SEMANA ABRIL'!$C:$C,400)+SUMIFS('SEMANA MAIO'!$I:$I,'SEMANA MAIO'!$B:$B,"*DESTAK*",'SEMANA MAIO'!$C:$C,400)+SUMIFS('SEMANA JUNHO'!$I:$I,'SEMANA JUNHO'!$B:$B,"*DESTAK*",'SEMANA JUNHO'!$C:$C,400)+SUMIFS('SEMANA JULHO'!$I:$I,'SEMANA JULHO'!$B:$B,"*DESTAK*",'SEMANA JULHO'!$C:$C,400)+SUMIFS('SEMANA AGOSTO'!$I:$I,'SEMANA AGOSTO'!$B:$B,"*DESTAK*",'SEMANA AGOSTO'!$C:$C,400)+SUMIFS('SEMANA SETEMBRO'!$I:$I,'SEMANA SETEMBRO'!$B:$B,"*DESTAK*",'SEMANA SETEMBRO'!$C:$C,400)+SUMIFS('SEMANA OUTUBRO'!$I:$I,'SEMANA OUTUBRO'!$B:$B,"*DESTAK*",'SEMANA OUTUBRO'!$C:$C,400)+SUMIFS('SEMANA NOVEMBRO'!$I:$I,'SEMANA NOVEMBRO'!$B:$B,"*DESTAK*",'SEMANA NOVEMBRO'!$C:$C,400)+SUMIFS('SEMANA DEZEMBRO'!$I:$I,'SEMANA DEZEMBRO'!$B:$B,"*DESTAK*",'SEMANA DEZEMBRO'!$C:$C,400)</f>
        <v>0</v>
      </c>
      <c r="E30" s="526">
        <f>SUMIFS('SEMANA JANEIRO'!$I:$I,'SEMANA JANEIRO'!$B:$B,"*DESTAK*",'SEMANA JANEIRO'!$C:$C,600)+SUMIFS('SEMANA FEVEREIRO'!$I:$I,'SEMANA FEVEREIRO'!$B:$B,"*DESTAK*",'SEMANA FEVEREIRO'!$C:$C,600)+SUMIFS('SEMANA MARÇO'!$I:$I,'SEMANA MARÇO'!$B:$B,"*DESTAK*",'SEMANA MARÇO'!$C:$C,600)+SUMIFS('SEMANA ABRIL'!$I:$I,'SEMANA ABRIL'!$B:$B,"*DESTAK*",'SEMANA ABRIL'!$C:$C,600)+SUMIFS('SEMANA MAIO'!$I:$I,'SEMANA MAIO'!$B:$B,"*DESTAK*",'SEMANA MAIO'!$C:$C,600)+SUMIFS('SEMANA JUNHO'!$I:$I,'SEMANA JUNHO'!$B:$B,"*DESTAK*",'SEMANA JUNHO'!$C:$C,600)+SUMIFS('SEMANA JULHO'!$I:$I,'SEMANA JULHO'!$B:$B,"*DESTAK*",'SEMANA JULHO'!$C:$C,600)+SUMIFS('SEMANA AGOSTO'!$I:$I,'SEMANA AGOSTO'!$B:$B,"*DESTAK*",'SEMANA AGOSTO'!$C:$C,600)+SUMIFS('SEMANA SETEMBRO'!$I:$I,'SEMANA SETEMBRO'!$B:$B,"*DESTAK*",'SEMANA SETEMBRO'!$C:$C,600)+SUMIFS('SEMANA OUTUBRO'!$I:$I,'SEMANA OUTUBRO'!$B:$B,"*DESTAK*",'SEMANA OUTUBRO'!$C:$C,600)+SUMIFS('SEMANA NOVEMBRO'!$I:$I,'SEMANA NOVEMBRO'!$B:$B,"*DESTAK*",'SEMANA NOVEMBRO'!$C:$C,600)+SUMIFS('SEMANA DEZEMBRO'!$I:$I,'SEMANA DEZEMBRO'!$B:$B,"*DESTAK*",'SEMANA DEZEMBRO'!$C:$C,600)</f>
        <v>132546</v>
      </c>
      <c r="F30" s="526">
        <f>SUMIF('SEMANA JANEIRO'!$B:$B,"*DESTAK*",'SEMANA JANEIRO'!$I:$I)+SUMIF('SEMANA FEVEREIRO'!$B:$B,"*DESTAK*",'SEMANA FEVEREIRO'!$I:$I)+SUMIF('SEMANA MARÇO'!$B:$B,"*DESTAK*",'SEMANA MARÇO'!$I:$I)+SUMIF('SEMANA ABRIL'!$B:$B,"*DESTAK*",'SEMANA ABRIL'!$I:$I)+SUMIF('SEMANA MAIO'!$B:$B,"*DESTAK*",'SEMANA MAIO'!$I:$I)+SUMIF('SEMANA JUNHO'!$B:$B,"*DESTAK*",'SEMANA JUNHO'!$I:$I)+SUMIF('SEMANA JULHO'!$B:$B,"*DESTAK*",'SEMANA JULHO'!$I:$I)+SUMIF('SEMANA AGOSTO'!$B:$B,"*DESTAK*",'SEMANA AGOSTO'!$I:$I)+SUMIF('SEMANA SETEMBRO'!$B:$B,"*DESTAK*",'SEMANA SETEMBRO'!$I:$I)+SUMIF('SEMANA OUTUBRO'!$B:$B,"*DESTAK*",'SEMANA OUTUBRO'!$I:$I)+SUMIF('SEMANA NOVEMBRO'!$B:$B,"*DESTAK*",'SEMANA NOVEMBRO'!$I:$I)+SUMIF('SEMANA DEZEMBRO'!$B:$B,"*DESTAK*",'SEMANA DEZEMBRO'!$I:$I)-C30-D30-E30</f>
        <v>13680</v>
      </c>
      <c r="G30" s="526">
        <f t="shared" si="1"/>
        <v>146226</v>
      </c>
      <c r="H30"/>
    </row>
    <row r="31" spans="1:11" x14ac:dyDescent="0.3">
      <c r="A31" s="528"/>
      <c r="B31" s="529" t="s">
        <v>1395</v>
      </c>
      <c r="C31" s="527">
        <f>SUMIFS('SEMANA JANEIRO'!$I:$I,'SEMANA JANEIRO'!$B:$B,"*NORCAU*",'SEMANA JANEIRO'!$C:$C,180)+SUMIFS('SEMANA FEVEREIRO'!$I:$I,'SEMANA FEVEREIRO'!$B:$B,"*NORCAU*",'SEMANA FEVEREIRO'!$C:$C,180)+SUMIFS('SEMANA MARÇO'!$I:$I,'SEMANA MARÇO'!$B:$B,"*NORCAU*",'SEMANA MARÇO'!$C:$C,180)+SUMIFS('SEMANA ABRIL'!$I:$I,'SEMANA ABRIL'!$B:$B,"*NORCAU*",'SEMANA ABRIL'!$C:$C,180)+SUMIFS('SEMANA MAIO'!$I:$I,'SEMANA MAIO'!$B:$B,"*NORCAU*",'SEMANA MAIO'!$C:$C,180)+SUMIFS('SEMANA JUNHO'!$I:$I,'SEMANA JUNHO'!$B:$B,"*NORCAU*",'SEMANA JUNHO'!$C:$C,180)+SUMIFS('SEMANA JULHO'!$I:$I,'SEMANA JULHO'!$B:$B,"*NORCAU*",'SEMANA JULHO'!$C:$C,180)+SUMIFS('SEMANA AGOSTO'!$I:$I,'SEMANA AGOSTO'!$B:$B,"*NORCAU*",'SEMANA AGOSTO'!$C:$C,180)+SUMIFS('SEMANA SETEMBRO'!$I:$I,'SEMANA SETEMBRO'!$B:$B,"*NORCAU*",'SEMANA SETEMBRO'!$C:$C,180)+SUMIFS('SEMANA OUTUBRO'!$I:$I,'SEMANA OUTUBRO'!$B:$B,"*NORCAU*",'SEMANA OUTUBRO'!$C:$C,180)+SUMIFS('SEMANA NOVEMBRO'!$I:$I,'SEMANA NOVEMBRO'!$B:$B,"*NORCAU*",'SEMANA NOVEMBRO'!$C:$C,180)+SUMIFS('SEMANA DEZEMBRO'!$I:$I,'SEMANA DEZEMBRO'!$B:$B,"*NORCAU*",'SEMANA DEZEMBRO'!$C:$C,180)</f>
        <v>0</v>
      </c>
      <c r="D31" s="527">
        <f>SUMIFS('SEMANA JANEIRO'!$I:$I,'SEMANA JANEIRO'!$B:$B,"*NORCAU*",'SEMANA JANEIRO'!$C:$C,400)+SUMIFS('SEMANA FEVEREIRO'!$I:$I,'SEMANA FEVEREIRO'!$B:$B,"*NORCAU*",'SEMANA FEVEREIRO'!$C:$C,400)+SUMIFS('SEMANA MARÇO'!$I:$I,'SEMANA MARÇO'!$B:$B,"*NORCAU*",'SEMANA MARÇO'!$C:$C,400)+SUMIFS('SEMANA ABRIL'!$I:$I,'SEMANA ABRIL'!$B:$B,"*NORCAU*",'SEMANA ABRIL'!$C:$C,400)+SUMIFS('SEMANA MAIO'!$I:$I,'SEMANA MAIO'!$B:$B,"*NORCAU*",'SEMANA MAIO'!$C:$C,400)+SUMIFS('SEMANA JUNHO'!$I:$I,'SEMANA JUNHO'!$B:$B,"*NORCAU*",'SEMANA JUNHO'!$C:$C,400)+SUMIFS('SEMANA JULHO'!$I:$I,'SEMANA JULHO'!$B:$B,"*NORCAU*",'SEMANA JULHO'!$C:$C,400)+SUMIFS('SEMANA AGOSTO'!$I:$I,'SEMANA AGOSTO'!$B:$B,"*NORCAU*",'SEMANA AGOSTO'!$C:$C,400)+SUMIFS('SEMANA SETEMBRO'!$I:$I,'SEMANA SETEMBRO'!$B:$B,"*NORCAU*",'SEMANA SETEMBRO'!$C:$C,400)+SUMIFS('SEMANA OUTUBRO'!$I:$I,'SEMANA OUTUBRO'!$B:$B,"*NORCAU*",'SEMANA OUTUBRO'!$C:$C,400)+SUMIFS('SEMANA NOVEMBRO'!$I:$I,'SEMANA NOVEMBRO'!$B:$B,"*NORCAU*",'SEMANA NOVEMBRO'!$C:$C,400)+SUMIFS('SEMANA DEZEMBRO'!$I:$I,'SEMANA DEZEMBRO'!$B:$B,"*NORCAU*",'SEMANA DEZEMBRO'!$C:$C,400)</f>
        <v>0</v>
      </c>
      <c r="E31" s="527">
        <f>SUMIFS('SEMANA JANEIRO'!$I:$I,'SEMANA JANEIRO'!$B:$B,"*NORCAU*",'SEMANA JANEIRO'!$C:$C,600)+SUMIFS('SEMANA FEVEREIRO'!$I:$I,'SEMANA FEVEREIRO'!$B:$B,"*NORCAU*",'SEMANA FEVEREIRO'!$C:$C,600)+SUMIFS('SEMANA MARÇO'!$I:$I,'SEMANA MARÇO'!$B:$B,"*NORCAU*",'SEMANA MARÇO'!$C:$C,600)+SUMIFS('SEMANA ABRIL'!$I:$I,'SEMANA ABRIL'!$B:$B,"*NORCAU*",'SEMANA ABRIL'!$C:$C,600)+SUMIFS('SEMANA MAIO'!$I:$I,'SEMANA MAIO'!$B:$B,"*NORCAU*",'SEMANA MAIO'!$C:$C,600)+SUMIFS('SEMANA JUNHO'!$I:$I,'SEMANA JUNHO'!$B:$B,"*NORCAU*",'SEMANA JUNHO'!$C:$C,600)+SUMIFS('SEMANA JULHO'!$I:$I,'SEMANA JULHO'!$B:$B,"*NORCAU*",'SEMANA JULHO'!$C:$C,600)+SUMIFS('SEMANA AGOSTO'!$I:$I,'SEMANA AGOSTO'!$B:$B,"*NORCAU*",'SEMANA AGOSTO'!$C:$C,600)+SUMIFS('SEMANA SETEMBRO'!$I:$I,'SEMANA SETEMBRO'!$B:$B,"*NORCAU*",'SEMANA SETEMBRO'!$C:$C,600)+SUMIFS('SEMANA OUTUBRO'!$I:$I,'SEMANA OUTUBRO'!$B:$B,"*NORCAU*",'SEMANA OUTUBRO'!$C:$C,600)+SUMIFS('SEMANA NOVEMBRO'!$I:$I,'SEMANA NOVEMBRO'!$B:$B,"*NORCAU*",'SEMANA NOVEMBRO'!$C:$C,600)+SUMIFS('SEMANA DEZEMBRO'!$I:$I,'SEMANA DEZEMBRO'!$B:$B,"*NORCAU*",'SEMANA DEZEMBRO'!$C:$C,600)</f>
        <v>48168</v>
      </c>
      <c r="F31" s="527">
        <f>SUMIF('SEMANA JANEIRO'!$B:$B,"*NORCAU*",'SEMANA JANEIRO'!$I:$I)+SUMIF('SEMANA FEVEREIRO'!$B:$B,"*NORCAU*",'SEMANA FEVEREIRO'!$I:$I)+SUMIF('SEMANA MARÇO'!$B:$B,"*NORCAU*",'SEMANA MARÇO'!$I:$I)+SUMIF('SEMANA ABRIL'!$B:$B,"*NORCAU*",'SEMANA ABRIL'!$I:$I)+SUMIF('SEMANA MAIO'!$B:$B,"*NORCAU*",'SEMANA MAIO'!$I:$I)+SUMIF('SEMANA JUNHO'!$B:$B,"*NORCAU*",'SEMANA JUNHO'!$I:$I)+SUMIF('SEMANA JULHO'!$B:$B,"*NORCAU*",'SEMANA JULHO'!$I:$I)+SUMIF('SEMANA AGOSTO'!$B:$B,"*NORCAU*",'SEMANA AGOSTO'!$I:$I)+SUMIF('SEMANA SETEMBRO'!$B:$B,"*NORCAU*",'SEMANA SETEMBRO'!$I:$I)+SUMIF('SEMANA OUTUBRO'!$B:$B,"*NORCAU*",'SEMANA OUTUBRO'!$I:$I)+SUMIF('SEMANA NOVEMBRO'!$B:$B,"*NORCAU*",'SEMANA NOVEMBRO'!$I:$I)+SUMIF('SEMANA DEZEMBRO'!$B:$B,"*NORCAU*",'SEMANA DEZEMBRO'!$I:$I)-C31-D31-E31</f>
        <v>0</v>
      </c>
      <c r="G31" s="527">
        <f t="shared" si="1"/>
        <v>48168</v>
      </c>
      <c r="H31"/>
    </row>
    <row r="32" spans="1:11" x14ac:dyDescent="0.3">
      <c r="A32" s="534" t="s">
        <v>1401</v>
      </c>
      <c r="B32" s="535" t="s">
        <v>58</v>
      </c>
      <c r="C32" s="533">
        <f>SUMIFS('SEMANA JANEIRO'!$I:$I,'SEMANA JANEIRO'!$B:$B,"*ICEBERG*",'SEMANA JANEIRO'!$C:$C,180)+SUMIFS('SEMANA FEVEREIRO'!$I:$I,'SEMANA FEVEREIRO'!$B:$B,"*ICEBERG*",'SEMANA FEVEREIRO'!$C:$C,180)+SUMIFS('SEMANA MARÇO'!$I:$I,'SEMANA MARÇO'!$B:$B,"*ICEBERG*",'SEMANA MARÇO'!$C:$C,180)+SUMIFS('SEMANA ABRIL'!$I:$I,'SEMANA ABRIL'!$B:$B,"*ICEBERG*",'SEMANA ABRIL'!$C:$C,180)+SUMIFS('SEMANA MAIO'!$I:$I,'SEMANA MAIO'!$B:$B,"*ICEBERG*",'SEMANA MAIO'!$C:$C,180)+SUMIFS('SEMANA JUNHO'!$I:$I,'SEMANA JUNHO'!$B:$B,"*ICEBERG*",'SEMANA JUNHO'!$C:$C,180)+SUMIFS('SEMANA JULHO'!$I:$I,'SEMANA JULHO'!$B:$B,"*ICEBERG*",'SEMANA JULHO'!$C:$C,180)+SUMIFS('SEMANA AGOSTO'!$I:$I,'SEMANA AGOSTO'!$B:$B,"*ICEBERG*",'SEMANA AGOSTO'!$C:$C,180)+SUMIFS('SEMANA SETEMBRO'!$I:$I,'SEMANA SETEMBRO'!$B:$B,"*ICEBERG*",'SEMANA SETEMBRO'!$C:$C,180)+SUMIFS('SEMANA OUTUBRO'!$I:$I,'SEMANA OUTUBRO'!$B:$B,"*ICEBERG*",'SEMANA OUTUBRO'!$C:$C,180)+SUMIFS('SEMANA NOVEMBRO'!$I:$I,'SEMANA NOVEMBRO'!$B:$B,"*ICEBERG*",'SEMANA NOVEMBRO'!$C:$C,180)+SUMIFS('SEMANA DEZEMBRO'!$I:$I,'SEMANA DEZEMBRO'!$B:$B,"*ICEBERG*",'SEMANA DEZEMBRO'!$C:$C,180)</f>
        <v>0</v>
      </c>
      <c r="D32" s="533">
        <f>SUMIFS('SEMANA JANEIRO'!$I:$I,'SEMANA JANEIRO'!$B:$B,"*ICEBERG*",'SEMANA JANEIRO'!$C:$C,400)+SUMIFS('SEMANA FEVEREIRO'!$I:$I,'SEMANA FEVEREIRO'!$B:$B,"*ICEBERG*",'SEMANA FEVEREIRO'!$C:$C,400)+SUMIFS('SEMANA MARÇO'!$I:$I,'SEMANA MARÇO'!$B:$B,"*ICEBERG*",'SEMANA MARÇO'!$C:$C,400)+SUMIFS('SEMANA ABRIL'!$I:$I,'SEMANA ABRIL'!$B:$B,"*ICEBERG*",'SEMANA ABRIL'!$C:$C,400)+SUMIFS('SEMANA MAIO'!$I:$I,'SEMANA MAIO'!$B:$B,"*ICEBERG*",'SEMANA MAIO'!$C:$C,400)+SUMIFS('SEMANA JUNHO'!$I:$I,'SEMANA JUNHO'!$B:$B,"*ICEBERG*",'SEMANA JUNHO'!$C:$C,400)+SUMIFS('SEMANA JULHO'!$I:$I,'SEMANA JULHO'!$B:$B,"*ICEBERG*",'SEMANA JULHO'!$C:$C,400)+SUMIFS('SEMANA AGOSTO'!$I:$I,'SEMANA AGOSTO'!$B:$B,"*ICEBERG*",'SEMANA AGOSTO'!$C:$C,400)+SUMIFS('SEMANA SETEMBRO'!$I:$I,'SEMANA SETEMBRO'!$B:$B,"*ICEBERG*",'SEMANA SETEMBRO'!$C:$C,400)+SUMIFS('SEMANA OUTUBRO'!$I:$I,'SEMANA OUTUBRO'!$B:$B,"*ICEBERG*",'SEMANA OUTUBRO'!$C:$C,400)+SUMIFS('SEMANA NOVEMBRO'!$I:$I,'SEMANA NOVEMBRO'!$B:$B,"*ICEBERG*",'SEMANA NOVEMBRO'!$C:$C,400)+SUMIFS('SEMANA DEZEMBRO'!$I:$I,'SEMANA DEZEMBRO'!$B:$B,"*ICEBERG*",'SEMANA DEZEMBRO'!$C:$C,400)</f>
        <v>108408</v>
      </c>
      <c r="E32" s="533">
        <f>SUMIFS('SEMANA JANEIRO'!$I:$I,'SEMANA JANEIRO'!$B:$B,"*ICEBERG*",'SEMANA JANEIRO'!$C:$C,600)+SUMIFS('SEMANA FEVEREIRO'!$I:$I,'SEMANA FEVEREIRO'!$B:$B,"*ICEBERG*",'SEMANA FEVEREIRO'!$C:$C,600)+SUMIFS('SEMANA MARÇO'!$I:$I,'SEMANA MARÇO'!$B:$B,"*ICEBERG*",'SEMANA MARÇO'!$C:$C,600)+SUMIFS('SEMANA ABRIL'!$I:$I,'SEMANA ABRIL'!$B:$B,"*ICEBERG*",'SEMANA ABRIL'!$C:$C,600)+SUMIFS('SEMANA MAIO'!$I:$I,'SEMANA MAIO'!$B:$B,"*ICEBERG*",'SEMANA MAIO'!$C:$C,600)+SUMIFS('SEMANA JUNHO'!$I:$I,'SEMANA JUNHO'!$B:$B,"*ICEBERG*",'SEMANA JUNHO'!$C:$C,600)+SUMIFS('SEMANA JULHO'!$I:$I,'SEMANA JULHO'!$B:$B,"*ICEBERG*",'SEMANA JULHO'!$C:$C,600)+SUMIFS('SEMANA AGOSTO'!$I:$I,'SEMANA AGOSTO'!$B:$B,"*ICEBERG*",'SEMANA AGOSTO'!$C:$C,600)+SUMIFS('SEMANA SETEMBRO'!$I:$I,'SEMANA SETEMBRO'!$B:$B,"*ICEBERG*",'SEMANA SETEMBRO'!$C:$C,600)+SUMIFS('SEMANA OUTUBRO'!$I:$I,'SEMANA OUTUBRO'!$B:$B,"*ICEBERG*",'SEMANA OUTUBRO'!$C:$C,600)+SUMIFS('SEMANA NOVEMBRO'!$I:$I,'SEMANA NOVEMBRO'!$B:$B,"*ICEBERG*",'SEMANA NOVEMBRO'!$C:$C,600)+SUMIFS('SEMANA DEZEMBRO'!$I:$I,'SEMANA DEZEMBRO'!$B:$B,"*ICEBERG*",'SEMANA DEZEMBRO'!$C:$C,600)</f>
        <v>0</v>
      </c>
      <c r="F32" s="533">
        <f>SUMIF('SEMANA JANEIRO'!$B:$B,"*ICEBERG*",'SEMANA JANEIRO'!$I:$I)+SUMIF('SEMANA FEVEREIRO'!$B:$B,"*ICEBERG*",'SEMANA FEVEREIRO'!$I:$I)+SUMIF('SEMANA MARÇO'!$B:$B,"*ICEBERG*",'SEMANA MARÇO'!$I:$I)+SUMIF('SEMANA ABRIL'!$B:$B,"*ICEBERG*",'SEMANA ABRIL'!$I:$I)+SUMIF('SEMANA MAIO'!$B:$B,"*ICEBERG*",'SEMANA MAIO'!$I:$I)+SUMIF('SEMANA JUNHO'!$B:$B,"*ICEBERG*",'SEMANA JUNHO'!$I:$I)+SUMIF('SEMANA JULHO'!$B:$B,"*ICEBERG*",'SEMANA JULHO'!$I:$I)+SUMIF('SEMANA AGOSTO'!$B:$B,"*ICEBERG*",'SEMANA AGOSTO'!$I:$I)+SUMIF('SEMANA SETEMBRO'!$B:$B,"*ICEBERG*",'SEMANA SETEMBRO'!$I:$I)+SUMIF('SEMANA OUTUBRO'!$B:$B,"*ICEBERG*",'SEMANA OUTUBRO'!$I:$I)+SUMIF('SEMANA NOVEMBRO'!$B:$B,"*ICEBERG*",'SEMANA NOVEMBRO'!$I:$I)+SUMIF('SEMANA DEZEMBRO'!$B:$B,"*ICEBERG*",'SEMANA DEZEMBRO'!$I:$I)-C32-D32-E32</f>
        <v>2115</v>
      </c>
      <c r="G32" s="533">
        <f t="shared" si="1"/>
        <v>110523</v>
      </c>
      <c r="H32"/>
    </row>
    <row r="33" spans="1:8" x14ac:dyDescent="0.3">
      <c r="A33" s="536" t="s">
        <v>1402</v>
      </c>
      <c r="B33" s="537" t="s">
        <v>60</v>
      </c>
      <c r="C33" s="538">
        <f>SUMIFS('SEMANA JANEIRO'!$I:$I,'SEMANA JANEIRO'!$B:$B,"*ADIMIX*",'SEMANA JANEIRO'!$C:$C,180)+SUMIFS('SEMANA FEVEREIRO'!$I:$I,'SEMANA FEVEREIRO'!$B:$B,"*ADIMIX*",'SEMANA FEVEREIRO'!$C:$C,180)+SUMIFS('SEMANA MARÇO'!$I:$I,'SEMANA MARÇO'!$B:$B,"*ADIMIX*",'SEMANA MARÇO'!$C:$C,180)+SUMIFS('SEMANA ABRIL'!$I:$I,'SEMANA ABRIL'!$B:$B,"*ADIMIX*",'SEMANA ABRIL'!$C:$C,180)+SUMIFS('SEMANA MAIO'!$I:$I,'SEMANA MAIO'!$B:$B,"*ADIMIX*",'SEMANA MAIO'!$C:$C,180)+SUMIFS('SEMANA JUNHO'!$I:$I,'SEMANA JUNHO'!$B:$B,"*ADIMIX*",'SEMANA JUNHO'!$C:$C,180)+SUMIFS('SEMANA JULHO'!$I:$I,'SEMANA JULHO'!$B:$B,"*ADIMIX*",'SEMANA JULHO'!$C:$C,180)+SUMIFS('SEMANA AGOSTO'!$I:$I,'SEMANA AGOSTO'!$B:$B,"*ADIMIX*",'SEMANA AGOSTO'!$C:$C,180)+SUMIFS('SEMANA SETEMBRO'!$I:$I,'SEMANA SETEMBRO'!$B:$B,"*ADIMIX*",'SEMANA SETEMBRO'!$C:$C,180)+SUMIFS('SEMANA OUTUBRO'!$I:$I,'SEMANA OUTUBRO'!$B:$B,"*ADIMIX*",'SEMANA OUTUBRO'!$C:$C,180)+SUMIFS('SEMANA NOVEMBRO'!$I:$I,'SEMANA NOVEMBRO'!$B:$B,"*ADIMIX*",'SEMANA NOVEMBRO'!$C:$C,180)+SUMIFS('SEMANA DEZEMBRO'!$I:$I,'SEMANA DEZEMBRO'!$B:$B,"*ADIMIX*",'SEMANA DEZEMBRO'!$C:$C,180)</f>
        <v>0</v>
      </c>
      <c r="D33" s="538">
        <f>SUMIFS('SEMANA JANEIRO'!$I:$I,'SEMANA JANEIRO'!$B:$B,"*ADIMIX*",'SEMANA JANEIRO'!$C:$C,400)+SUMIFS('SEMANA FEVEREIRO'!$I:$I,'SEMANA FEVEREIRO'!$B:$B,"*ADIMIX*",'SEMANA FEVEREIRO'!$C:$C,400)+SUMIFS('SEMANA MARÇO'!$I:$I,'SEMANA MARÇO'!$B:$B,"*ADIMIX*",'SEMANA MARÇO'!$C:$C,400)+SUMIFS('SEMANA ABRIL'!$I:$I,'SEMANA ABRIL'!$B:$B,"*ADIMIX*",'SEMANA ABRIL'!$C:$C,400)+SUMIFS('SEMANA MAIO'!$I:$I,'SEMANA MAIO'!$B:$B,"*ADIMIX*",'SEMANA MAIO'!$C:$C,400)+SUMIFS('SEMANA JUNHO'!$I:$I,'SEMANA JUNHO'!$B:$B,"*ADIMIX*",'SEMANA JUNHO'!$C:$C,400)+SUMIFS('SEMANA JULHO'!$I:$I,'SEMANA JULHO'!$B:$B,"*ADIMIX*",'SEMANA JULHO'!$C:$C,400)+SUMIFS('SEMANA AGOSTO'!$I:$I,'SEMANA AGOSTO'!$B:$B,"*ADIMIX*",'SEMANA AGOSTO'!$C:$C,400)+SUMIFS('SEMANA SETEMBRO'!$I:$I,'SEMANA SETEMBRO'!$B:$B,"*ADIMIX*",'SEMANA SETEMBRO'!$C:$C,400)+SUMIFS('SEMANA OUTUBRO'!$I:$I,'SEMANA OUTUBRO'!$B:$B,"*ADIMIX*",'SEMANA OUTUBRO'!$C:$C,400)+SUMIFS('SEMANA NOVEMBRO'!$I:$I,'SEMANA NOVEMBRO'!$B:$B,"*ADIMIX*",'SEMANA NOVEMBRO'!$C:$C,400)+SUMIFS('SEMANA DEZEMBRO'!$I:$I,'SEMANA DEZEMBRO'!$B:$B,"*ADIMIX*",'SEMANA DEZEMBRO'!$C:$C,400)</f>
        <v>0</v>
      </c>
      <c r="E33" s="538">
        <f>SUMIFS('SEMANA JANEIRO'!$I:$I,'SEMANA JANEIRO'!$B:$B,"*ADIMIX*",'SEMANA JANEIRO'!$C:$C,600)+SUMIFS('SEMANA FEVEREIRO'!$I:$I,'SEMANA FEVEREIRO'!$B:$B,"*ADIMIX*",'SEMANA FEVEREIRO'!$C:$C,600)+SUMIFS('SEMANA MARÇO'!$I:$I,'SEMANA MARÇO'!$B:$B,"*ADIMIX*",'SEMANA MARÇO'!$C:$C,600)+SUMIFS('SEMANA ABRIL'!$I:$I,'SEMANA ABRIL'!$B:$B,"*ADIMIX*",'SEMANA ABRIL'!$C:$C,600)+SUMIFS('SEMANA MAIO'!$I:$I,'SEMANA MAIO'!$B:$B,"*ADIMIX*",'SEMANA MAIO'!$C:$C,600)+SUMIFS('SEMANA JUNHO'!$I:$I,'SEMANA JUNHO'!$B:$B,"*ADIMIX*",'SEMANA JUNHO'!$C:$C,600)+SUMIFS('SEMANA JULHO'!$I:$I,'SEMANA JULHO'!$B:$B,"*ADIMIX*",'SEMANA JULHO'!$C:$C,600)+SUMIFS('SEMANA AGOSTO'!$I:$I,'SEMANA AGOSTO'!$B:$B,"*ADIMIX*",'SEMANA AGOSTO'!$C:$C,600)+SUMIFS('SEMANA SETEMBRO'!$I:$I,'SEMANA SETEMBRO'!$B:$B,"*ADIMIX*",'SEMANA SETEMBRO'!$C:$C,600)+SUMIFS('SEMANA OUTUBRO'!$I:$I,'SEMANA OUTUBRO'!$B:$B,"*ADIMIX*",'SEMANA OUTUBRO'!$C:$C,600)+SUMIFS('SEMANA NOVEMBRO'!$I:$I,'SEMANA NOVEMBRO'!$B:$B,"*ADIMIX*",'SEMANA NOVEMBRO'!$C:$C,600)+SUMIFS('SEMANA DEZEMBRO'!$I:$I,'SEMANA DEZEMBRO'!$B:$B,"*ADIMIX*",'SEMANA DEZEMBRO'!$C:$C,600)</f>
        <v>88332</v>
      </c>
      <c r="F33" s="538">
        <f>SUMIF('SEMANA JANEIRO'!$B:$B,"*ADIMIX*",'SEMANA JANEIRO'!$I:$I)+SUMIF('SEMANA FEVEREIRO'!$B:$B,"*ADIMIX*",'SEMANA FEVEREIRO'!$I:$I)+SUMIF('SEMANA MARÇO'!$B:$B,"*ADIMIX*",'SEMANA MARÇO'!$I:$I)+SUMIF('SEMANA ABRIL'!$B:$B,"*ADIMIX*",'SEMANA ABRIL'!$I:$I)+SUMIF('SEMANA MAIO'!$B:$B,"*ADIMIX*",'SEMANA MAIO'!$I:$I)+SUMIF('SEMANA JUNHO'!$B:$B,"*ADIMIX*",'SEMANA JUNHO'!$I:$I)+SUMIF('SEMANA JULHO'!$B:$B,"*ADIMIX*",'SEMANA JULHO'!$I:$I)+SUMIF('SEMANA AGOSTO'!$B:$B,"*ADIMIX*",'SEMANA AGOSTO'!$I:$I)+SUMIF('SEMANA SETEMBRO'!$B:$B,"*ADIMIX*",'SEMANA SETEMBRO'!$I:$I)+SUMIF('SEMANA OUTUBRO'!$B:$B,"*ADIMIX*",'SEMANA OUTUBRO'!$I:$I)+SUMIF('SEMANA NOVEMBRO'!$B:$B,"*ADIMIX*",'SEMANA NOVEMBRO'!$I:$I)+SUMIF('SEMANA DEZEMBRO'!$B:$B,"*ADIMIX*",'SEMANA DEZEMBRO'!$I:$I)-C33-D33-E33</f>
        <v>0</v>
      </c>
      <c r="G33" s="538">
        <f t="shared" si="1"/>
        <v>88332</v>
      </c>
      <c r="H33"/>
    </row>
    <row r="34" spans="1:8" x14ac:dyDescent="0.3">
      <c r="A34" s="542" t="s">
        <v>1403</v>
      </c>
      <c r="B34" s="543" t="s">
        <v>64</v>
      </c>
      <c r="C34" s="544">
        <f>SUMIFS('SEMANA JANEIRO'!$I:$I,'SEMANA JANEIRO'!$B:$B,"*FESTPAN*",'SEMANA JANEIRO'!$C:$C,180)+SUMIFS('SEMANA FEVEREIRO'!$I:$I,'SEMANA FEVEREIRO'!$B:$B,"*FESTPAN*",'SEMANA FEVEREIRO'!$C:$C,180)+SUMIFS('SEMANA MARÇO'!$I:$I,'SEMANA MARÇO'!$B:$B,"*FESTPAN*",'SEMANA MARÇO'!$C:$C,180)+SUMIFS('SEMANA ABRIL'!$I:$I,'SEMANA ABRIL'!$B:$B,"*FESTPAN*",'SEMANA ABRIL'!$C:$C,180)+SUMIFS('SEMANA MAIO'!$I:$I,'SEMANA MAIO'!$B:$B,"*FESTPAN*",'SEMANA MAIO'!$C:$C,180)+SUMIFS('SEMANA JUNHO'!$I:$I,'SEMANA JUNHO'!$B:$B,"*FESTPAN*",'SEMANA JUNHO'!$C:$C,180)+SUMIFS('SEMANA JULHO'!$I:$I,'SEMANA JULHO'!$B:$B,"*FESTPAN*",'SEMANA JULHO'!$C:$C,180)+SUMIFS('SEMANA AGOSTO'!$I:$I,'SEMANA AGOSTO'!$B:$B,"*FESTPAN*",'SEMANA AGOSTO'!$C:$C,180)+SUMIFS('SEMANA SETEMBRO'!$I:$I,'SEMANA SETEMBRO'!$B:$B,"*FESTPAN*",'SEMANA SETEMBRO'!$C:$C,180)+SUMIFS('SEMANA OUTUBRO'!$I:$I,'SEMANA OUTUBRO'!$B:$B,"*FESTPAN*",'SEMANA OUTUBRO'!$C:$C,180)+SUMIFS('SEMANA NOVEMBRO'!$I:$I,'SEMANA NOVEMBRO'!$B:$B,"*FESTPAN*",'SEMANA NOVEMBRO'!$C:$C,180)+SUMIFS('SEMANA DEZEMBRO'!$I:$I,'SEMANA DEZEMBRO'!$B:$B,"*FESTPAN*",'SEMANA DEZEMBRO'!$C:$C,180)</f>
        <v>0</v>
      </c>
      <c r="D34" s="544">
        <f>SUMIFS('SEMANA JANEIRO'!$I:$I,'SEMANA JANEIRO'!$B:$B,"*FESTPAN*",'SEMANA JANEIRO'!$C:$C,400)+SUMIFS('SEMANA FEVEREIRO'!$I:$I,'SEMANA FEVEREIRO'!$B:$B,"*FESTPAN*",'SEMANA FEVEREIRO'!$C:$C,400)+SUMIFS('SEMANA MARÇO'!$I:$I,'SEMANA MARÇO'!$B:$B,"*FESTPAN*",'SEMANA MARÇO'!$C:$C,400)+SUMIFS('SEMANA ABRIL'!$I:$I,'SEMANA ABRIL'!$B:$B,"*FESTPAN*",'SEMANA ABRIL'!$C:$C,400)+SUMIFS('SEMANA MAIO'!$I:$I,'SEMANA MAIO'!$B:$B,"*FESTPAN*",'SEMANA MAIO'!$C:$C,400)+SUMIFS('SEMANA JUNHO'!$I:$I,'SEMANA JUNHO'!$B:$B,"*FESTPAN*",'SEMANA JUNHO'!$C:$C,400)+SUMIFS('SEMANA JULHO'!$I:$I,'SEMANA JULHO'!$B:$B,"*FESTPAN*",'SEMANA JULHO'!$C:$C,400)+SUMIFS('SEMANA AGOSTO'!$I:$I,'SEMANA AGOSTO'!$B:$B,"*FESTPAN*",'SEMANA AGOSTO'!$C:$C,400)+SUMIFS('SEMANA SETEMBRO'!$I:$I,'SEMANA SETEMBRO'!$B:$B,"*FESTPAN*",'SEMANA SETEMBRO'!$C:$C,400)+SUMIFS('SEMANA OUTUBRO'!$I:$I,'SEMANA OUTUBRO'!$B:$B,"*FESTPAN*",'SEMANA OUTUBRO'!$C:$C,400)+SUMIFS('SEMANA NOVEMBRO'!$I:$I,'SEMANA NOVEMBRO'!$B:$B,"*FESTPAN*",'SEMANA NOVEMBRO'!$C:$C,400)+SUMIFS('SEMANA DEZEMBRO'!$I:$I,'SEMANA DEZEMBRO'!$B:$B,"*FESTPAN*",'SEMANA DEZEMBRO'!$C:$C,400)</f>
        <v>43632</v>
      </c>
      <c r="E34" s="544">
        <f>SUMIFS('SEMANA JANEIRO'!$I:$I,'SEMANA JANEIRO'!$B:$B,"*FESTPAN*",'SEMANA JANEIRO'!$C:$C,600)+SUMIFS('SEMANA FEVEREIRO'!$I:$I,'SEMANA FEVEREIRO'!$B:$B,"*FESTPAN*",'SEMANA FEVEREIRO'!$C:$C,600)+SUMIFS('SEMANA MARÇO'!$I:$I,'SEMANA MARÇO'!$B:$B,"*FESTPAN*",'SEMANA MARÇO'!$C:$C,600)+SUMIFS('SEMANA ABRIL'!$I:$I,'SEMANA ABRIL'!$B:$B,"*FESTPAN*",'SEMANA ABRIL'!$C:$C,600)+SUMIFS('SEMANA MAIO'!$I:$I,'SEMANA MAIO'!$B:$B,"*FESTPAN*",'SEMANA MAIO'!$C:$C,600)+SUMIFS('SEMANA JUNHO'!$I:$I,'SEMANA JUNHO'!$B:$B,"*FESTPAN*",'SEMANA JUNHO'!$C:$C,600)+SUMIFS('SEMANA JULHO'!$I:$I,'SEMANA JULHO'!$B:$B,"*FESTPAN*",'SEMANA JULHO'!$C:$C,600)+SUMIFS('SEMANA AGOSTO'!$I:$I,'SEMANA AGOSTO'!$B:$B,"*FESTPAN*",'SEMANA AGOSTO'!$C:$C,600)+SUMIFS('SEMANA SETEMBRO'!$I:$I,'SEMANA SETEMBRO'!$B:$B,"*FESTPAN*",'SEMANA SETEMBRO'!$C:$C,600)+SUMIFS('SEMANA OUTUBRO'!$I:$I,'SEMANA OUTUBRO'!$B:$B,"*FESTPAN*",'SEMANA OUTUBRO'!$C:$C,600)+SUMIFS('SEMANA NOVEMBRO'!$I:$I,'SEMANA NOVEMBRO'!$B:$B,"*FESTPAN*",'SEMANA NOVEMBRO'!$C:$C,600)+SUMIFS('SEMANA DEZEMBRO'!$I:$I,'SEMANA DEZEMBRO'!$B:$B,"*FESTPAN*",'SEMANA DEZEMBRO'!$C:$C,600)</f>
        <v>0</v>
      </c>
      <c r="F34" s="544">
        <f>SUMIF('SEMANA JANEIRO'!$B:$B,"*FESTPAN*",'SEMANA JANEIRO'!$I:$I)+SUMIF('SEMANA FEVEREIRO'!$B:$B,"*FESTPAN*",'SEMANA FEVEREIRO'!$I:$I)+SUMIF('SEMANA MARÇO'!$B:$B,"*FESTPAN*",'SEMANA MARÇO'!$I:$I)+SUMIF('SEMANA ABRIL'!$B:$B,"*FESTPAN*",'SEMANA ABRIL'!$I:$I)+SUMIF('SEMANA MAIO'!$B:$B,"*FESTPAN*",'SEMANA MAIO'!$I:$I)+SUMIF('SEMANA JUNHO'!$B:$B,"*FESTPAN*",'SEMANA JUNHO'!$I:$I)+SUMIF('SEMANA JULHO'!$B:$B,"*FESTPAN*",'SEMANA JULHO'!$I:$I)+SUMIF('SEMANA AGOSTO'!$B:$B,"*FESTPAN*",'SEMANA AGOSTO'!$I:$I)+SUMIF('SEMANA SETEMBRO'!$B:$B,"*FESTPAN*",'SEMANA SETEMBRO'!$I:$I)+SUMIF('SEMANA OUTUBRO'!$B:$B,"*FESTPAN*",'SEMANA OUTUBRO'!$I:$I)+SUMIF('SEMANA NOVEMBRO'!$B:$B,"*FESTPAN*",'SEMANA NOVEMBRO'!$I:$I)+SUMIF('SEMANA DEZEMBRO'!$B:$B,"*FESTPAN*",'SEMANA DEZEMBRO'!$I:$I)-C34-D34-E34</f>
        <v>0</v>
      </c>
      <c r="G34" s="544">
        <f t="shared" si="1"/>
        <v>43632</v>
      </c>
      <c r="H34"/>
    </row>
    <row r="35" spans="1:8" x14ac:dyDescent="0.3">
      <c r="A35" s="536" t="s">
        <v>1404</v>
      </c>
      <c r="B35" s="537" t="s">
        <v>293</v>
      </c>
      <c r="C35" s="538">
        <f>SUMIFS('SEMANA JANEIRO'!$I:$I,'SEMANA JANEIRO'!$B:$B,"*QUALICOCO*",'SEMANA JANEIRO'!$C:$C,180)+SUMIFS('SEMANA FEVEREIRO'!$I:$I,'SEMANA FEVEREIRO'!$B:$B,"*QUALICOCO*",'SEMANA FEVEREIRO'!$C:$C,180)+SUMIFS('SEMANA MARÇO'!$I:$I,'SEMANA MARÇO'!$B:$B,"*QUALICOCO*",'SEMANA MARÇO'!$C:$C,180)+SUMIFS('SEMANA ABRIL'!$I:$I,'SEMANA ABRIL'!$B:$B,"*QUALICOCO*",'SEMANA ABRIL'!$C:$C,180)+SUMIFS('SEMANA MAIO'!$I:$I,'SEMANA MAIO'!$B:$B,"*QUALICOCO*",'SEMANA MAIO'!$C:$C,180)+SUMIFS('SEMANA JUNHO'!$I:$I,'SEMANA JUNHO'!$B:$B,"*QUALICOCO*",'SEMANA JUNHO'!$C:$C,180)+SUMIFS('SEMANA JULHO'!$I:$I,'SEMANA JULHO'!$B:$B,"*QUALICOCO*",'SEMANA JULHO'!$C:$C,180)+SUMIFS('SEMANA AGOSTO'!$I:$I,'SEMANA AGOSTO'!$B:$B,"*QUALICOCO*",'SEMANA AGOSTO'!$C:$C,180)+SUMIFS('SEMANA SETEMBRO'!$I:$I,'SEMANA SETEMBRO'!$B:$B,"*QUALICOCO*",'SEMANA SETEMBRO'!$C:$C,180)+SUMIFS('SEMANA OUTUBRO'!$I:$I,'SEMANA OUTUBRO'!$B:$B,"*QUALICOCO*",'SEMANA OUTUBRO'!$C:$C,180)+SUMIFS('SEMANA NOVEMBRO'!$I:$I,'SEMANA NOVEMBRO'!$B:$B,"*QUALICOCO*",'SEMANA NOVEMBRO'!$C:$C,180)+SUMIFS('SEMANA DEZEMBRO'!$I:$I,'SEMANA DEZEMBRO'!$B:$B,"*QUALICOCO*",'SEMANA DEZEMBRO'!$C:$C,180)</f>
        <v>0</v>
      </c>
      <c r="D35" s="538">
        <f>SUMIFS('SEMANA JANEIRO'!$I:$I,'SEMANA JANEIRO'!$B:$B,"*QUALICOCO*",'SEMANA JANEIRO'!$C:$C,400)+SUMIFS('SEMANA FEVEREIRO'!$I:$I,'SEMANA FEVEREIRO'!$B:$B,"*QUALICOCO*",'SEMANA FEVEREIRO'!$C:$C,400)+SUMIFS('SEMANA MARÇO'!$I:$I,'SEMANA MARÇO'!$B:$B,"*QUALICOCO*",'SEMANA MARÇO'!$C:$C,400)+SUMIFS('SEMANA ABRIL'!$I:$I,'SEMANA ABRIL'!$B:$B,"*QUALICOCO*",'SEMANA ABRIL'!$C:$C,400)+SUMIFS('SEMANA MAIO'!$I:$I,'SEMANA MAIO'!$B:$B,"*QUALICOCO*",'SEMANA MAIO'!$C:$C,400)+SUMIFS('SEMANA JUNHO'!$I:$I,'SEMANA JUNHO'!$B:$B,"*QUALICOCO*",'SEMANA JUNHO'!$C:$C,400)+SUMIFS('SEMANA JULHO'!$I:$I,'SEMANA JULHO'!$B:$B,"*QUALICOCO*",'SEMANA JULHO'!$C:$C,400)+SUMIFS('SEMANA AGOSTO'!$I:$I,'SEMANA AGOSTO'!$B:$B,"*QUALICOCO*",'SEMANA AGOSTO'!$C:$C,400)+SUMIFS('SEMANA SETEMBRO'!$I:$I,'SEMANA SETEMBRO'!$B:$B,"*QUALICOCO*",'SEMANA SETEMBRO'!$C:$C,400)+SUMIFS('SEMANA OUTUBRO'!$I:$I,'SEMANA OUTUBRO'!$B:$B,"*QUALICOCO*",'SEMANA OUTUBRO'!$C:$C,400)+SUMIFS('SEMANA NOVEMBRO'!$I:$I,'SEMANA NOVEMBRO'!$B:$B,"*QUALICOCO*",'SEMANA NOVEMBRO'!$C:$C,400)+SUMIFS('SEMANA DEZEMBRO'!$I:$I,'SEMANA DEZEMBRO'!$B:$B,"*QUALICOCO*",'SEMANA DEZEMBRO'!$C:$C,400)</f>
        <v>0</v>
      </c>
      <c r="E35" s="538">
        <f>SUMIFS('SEMANA JANEIRO'!$I:$I,'SEMANA JANEIRO'!$B:$B,"*QUALICOCO*",'SEMANA JANEIRO'!$C:$C,600)+SUMIFS('SEMANA FEVEREIRO'!$I:$I,'SEMANA FEVEREIRO'!$B:$B,"*QUALICOCO*",'SEMANA FEVEREIRO'!$C:$C,600)+SUMIFS('SEMANA MARÇO'!$I:$I,'SEMANA MARÇO'!$B:$B,"*QUALICOCO*",'SEMANA MARÇO'!$C:$C,600)+SUMIFS('SEMANA ABRIL'!$I:$I,'SEMANA ABRIL'!$B:$B,"*QUALICOCO*",'SEMANA ABRIL'!$C:$C,600)+SUMIFS('SEMANA MAIO'!$I:$I,'SEMANA MAIO'!$B:$B,"*QUALICOCO*",'SEMANA MAIO'!$C:$C,600)+SUMIFS('SEMANA JUNHO'!$I:$I,'SEMANA JUNHO'!$B:$B,"*QUALICOCO*",'SEMANA JUNHO'!$C:$C,600)+SUMIFS('SEMANA JULHO'!$I:$I,'SEMANA JULHO'!$B:$B,"*QUALICOCO*",'SEMANA JULHO'!$C:$C,600)+SUMIFS('SEMANA AGOSTO'!$I:$I,'SEMANA AGOSTO'!$B:$B,"*QUALICOCO*",'SEMANA AGOSTO'!$C:$C,600)+SUMIFS('SEMANA SETEMBRO'!$I:$I,'SEMANA SETEMBRO'!$B:$B,"*QUALICOCO*",'SEMANA SETEMBRO'!$C:$C,600)+SUMIFS('SEMANA OUTUBRO'!$I:$I,'SEMANA OUTUBRO'!$B:$B,"*QUALICOCO*",'SEMANA OUTUBRO'!$C:$C,600)+SUMIFS('SEMANA NOVEMBRO'!$I:$I,'SEMANA NOVEMBRO'!$B:$B,"*QUALICOCO*",'SEMANA NOVEMBRO'!$C:$C,600)+SUMIFS('SEMANA DEZEMBRO'!$I:$I,'SEMANA DEZEMBRO'!$B:$B,"*QUALICOCO*",'SEMANA DEZEMBRO'!$C:$C,600)</f>
        <v>0</v>
      </c>
      <c r="F35" s="538">
        <f>SUMIF('SEMANA JANEIRO'!$B:$B,"*QUALICOCO*",'SEMANA JANEIRO'!$I:$I)+SUMIF('SEMANA FEVEREIRO'!$B:$B,"*QUALICOCO*",'SEMANA FEVEREIRO'!$I:$I)+SUMIF('SEMANA MARÇO'!$B:$B,"*QUALICOCO*",'SEMANA MARÇO'!$I:$I)+SUMIF('SEMANA ABRIL'!$B:$B,"*QUALICOCO*",'SEMANA ABRIL'!$I:$I)+SUMIF('SEMANA MAIO'!$B:$B,"*QUALICOCO*",'SEMANA MAIO'!$I:$I)+SUMIF('SEMANA JUNHO'!$B:$B,"*QUALICOCO*",'SEMANA JUNHO'!$I:$I)+SUMIF('SEMANA JULHO'!$B:$B,"*QUALICOCO*",'SEMANA JULHO'!$I:$I)+SUMIF('SEMANA AGOSTO'!$B:$B,"*QUALICOCO*",'SEMANA AGOSTO'!$I:$I)+SUMIF('SEMANA SETEMBRO'!$B:$B,"*QUALICOCO*",'SEMANA SETEMBRO'!$I:$I)+SUMIF('SEMANA OUTUBRO'!$B:$B,"*QUALICOCO*",'SEMANA OUTUBRO'!$I:$I)+SUMIF('SEMANA NOVEMBRO'!$B:$B,"*QUALICOCO*",'SEMANA NOVEMBRO'!$I:$I)+SUMIF('SEMANA DEZEMBRO'!$B:$B,"*QUALICOCO*",'SEMANA DEZEMBRO'!$I:$I)-C35-D35-E35</f>
        <v>34008</v>
      </c>
      <c r="G35" s="538">
        <f t="shared" si="1"/>
        <v>34008</v>
      </c>
      <c r="H35"/>
    </row>
    <row r="36" spans="1:8" x14ac:dyDescent="0.3">
      <c r="A36" s="542" t="s">
        <v>1405</v>
      </c>
      <c r="B36" s="543" t="s">
        <v>62</v>
      </c>
      <c r="C36" s="544">
        <f>SUMIFS('SEMANA JANEIRO'!$I:$I,'SEMANA JANEIRO'!$B:$B,"*DONA JURA*",'SEMANA JANEIRO'!$C:$C,180)+SUMIFS('SEMANA FEVEREIRO'!$I:$I,'SEMANA FEVEREIRO'!$B:$B,"*DONA JURA*",'SEMANA FEVEREIRO'!$C:$C,180)+SUMIFS('SEMANA MARÇO'!$I:$I,'SEMANA MARÇO'!$B:$B,"*DONA JURA*",'SEMANA MARÇO'!$C:$C,180)+SUMIFS('SEMANA ABRIL'!$I:$I,'SEMANA ABRIL'!$B:$B,"*DONA JURA*",'SEMANA ABRIL'!$C:$C,180)+SUMIFS('SEMANA MAIO'!$I:$I,'SEMANA MAIO'!$B:$B,"*DONA JURA*",'SEMANA MAIO'!$C:$C,180)+SUMIFS('SEMANA JUNHO'!$I:$I,'SEMANA JUNHO'!$B:$B,"*DONA JURA*",'SEMANA JUNHO'!$C:$C,180)+SUMIFS('SEMANA JULHO'!$I:$I,'SEMANA JULHO'!$B:$B,"*DONA JURA*",'SEMANA JULHO'!$C:$C,180)+SUMIFS('SEMANA AGOSTO'!$I:$I,'SEMANA AGOSTO'!$B:$B,"*DONA JURA*",'SEMANA AGOSTO'!$C:$C,180)+SUMIFS('SEMANA SETEMBRO'!$I:$I,'SEMANA SETEMBRO'!$B:$B,"*DONA JURA*",'SEMANA SETEMBRO'!$C:$C,180)+SUMIFS('SEMANA OUTUBRO'!$I:$I,'SEMANA OUTUBRO'!$B:$B,"*DONA JURA*",'SEMANA OUTUBRO'!$C:$C,180)+SUMIFS('SEMANA NOVEMBRO'!$I:$I,'SEMANA NOVEMBRO'!$B:$B,"*DONA JURA*",'SEMANA NOVEMBRO'!$C:$C,180)+SUMIFS('SEMANA DEZEMBRO'!$I:$I,'SEMANA DEZEMBRO'!$B:$B,"*DONA JURA*",'SEMANA DEZEMBRO'!$C:$C,180)</f>
        <v>0</v>
      </c>
      <c r="D36" s="544">
        <f>SUMIFS('SEMANA JANEIRO'!$I:$I,'SEMANA JANEIRO'!$B:$B,"*DONA JURA*",'SEMANA JANEIRO'!$C:$C,400)+SUMIFS('SEMANA FEVEREIRO'!$I:$I,'SEMANA FEVEREIRO'!$B:$B,"*DONA JURA*",'SEMANA FEVEREIRO'!$C:$C,400)+SUMIFS('SEMANA MARÇO'!$I:$I,'SEMANA MARÇO'!$B:$B,"*DONA JURA*",'SEMANA MARÇO'!$C:$C,400)+SUMIFS('SEMANA ABRIL'!$I:$I,'SEMANA ABRIL'!$B:$B,"*DONA JURA*",'SEMANA ABRIL'!$C:$C,400)+SUMIFS('SEMANA MAIO'!$I:$I,'SEMANA MAIO'!$B:$B,"*DONA JURA*",'SEMANA MAIO'!$C:$C,400)+SUMIFS('SEMANA JUNHO'!$I:$I,'SEMANA JUNHO'!$B:$B,"*DONA JURA*",'SEMANA JUNHO'!$C:$C,400)+SUMIFS('SEMANA JULHO'!$I:$I,'SEMANA JULHO'!$B:$B,"*DONA JURA*",'SEMANA JULHO'!$C:$C,400)+SUMIFS('SEMANA AGOSTO'!$I:$I,'SEMANA AGOSTO'!$B:$B,"*DONA JURA*",'SEMANA AGOSTO'!$C:$C,400)+SUMIFS('SEMANA SETEMBRO'!$I:$I,'SEMANA SETEMBRO'!$B:$B,"*DONA JURA*",'SEMANA SETEMBRO'!$C:$C,400)+SUMIFS('SEMANA OUTUBRO'!$I:$I,'SEMANA OUTUBRO'!$B:$B,"*DONA JURA*",'SEMANA OUTUBRO'!$C:$C,400)+SUMIFS('SEMANA NOVEMBRO'!$I:$I,'SEMANA NOVEMBRO'!$B:$B,"*DONA JURA*",'SEMANA NOVEMBRO'!$C:$C,400)+SUMIFS('SEMANA DEZEMBRO'!$I:$I,'SEMANA DEZEMBRO'!$B:$B,"*DONA JURA*",'SEMANA DEZEMBRO'!$C:$C,400)</f>
        <v>24888</v>
      </c>
      <c r="E36" s="544">
        <f>SUMIFS('SEMANA JANEIRO'!$I:$I,'SEMANA JANEIRO'!$B:$B,"*DONA JURA*",'SEMANA JANEIRO'!$C:$C,600)+SUMIFS('SEMANA FEVEREIRO'!$I:$I,'SEMANA FEVEREIRO'!$B:$B,"*DONA JURA*",'SEMANA FEVEREIRO'!$C:$C,600)+SUMIFS('SEMANA MARÇO'!$I:$I,'SEMANA MARÇO'!$B:$B,"*DONA JURA*",'SEMANA MARÇO'!$C:$C,600)+SUMIFS('SEMANA ABRIL'!$I:$I,'SEMANA ABRIL'!$B:$B,"*DONA JURA*",'SEMANA ABRIL'!$C:$C,600)+SUMIFS('SEMANA MAIO'!$I:$I,'SEMANA MAIO'!$B:$B,"*DONA JURA*",'SEMANA MAIO'!$C:$C,600)+SUMIFS('SEMANA JUNHO'!$I:$I,'SEMANA JUNHO'!$B:$B,"*DONA JURA*",'SEMANA JUNHO'!$C:$C,600)+SUMIFS('SEMANA JULHO'!$I:$I,'SEMANA JULHO'!$B:$B,"*DONA JURA*",'SEMANA JULHO'!$C:$C,600)+SUMIFS('SEMANA AGOSTO'!$I:$I,'SEMANA AGOSTO'!$B:$B,"*DONA JURA*",'SEMANA AGOSTO'!$C:$C,600)+SUMIFS('SEMANA SETEMBRO'!$I:$I,'SEMANA SETEMBRO'!$B:$B,"*DONA JURA*",'SEMANA SETEMBRO'!$C:$C,600)+SUMIFS('SEMANA OUTUBRO'!$I:$I,'SEMANA OUTUBRO'!$B:$B,"*DONA JURA*",'SEMANA OUTUBRO'!$C:$C,600)+SUMIFS('SEMANA NOVEMBRO'!$I:$I,'SEMANA NOVEMBRO'!$B:$B,"*DONA JURA*",'SEMANA NOVEMBRO'!$C:$C,600)+SUMIFS('SEMANA DEZEMBRO'!$I:$I,'SEMANA DEZEMBRO'!$B:$B,"*DONA JURA*",'SEMANA DEZEMBRO'!$C:$C,600)</f>
        <v>0</v>
      </c>
      <c r="F36" s="544">
        <f>SUMIF('SEMANA JANEIRO'!$B:$B,"*DONA JURA*",'SEMANA JANEIRO'!$I:$I)+SUMIF('SEMANA FEVEREIRO'!$B:$B,"*DONA JURA*",'SEMANA FEVEREIRO'!$I:$I)+SUMIF('SEMANA MARÇO'!$B:$B,"*DONA JURA*",'SEMANA MARÇO'!$I:$I)+SUMIF('SEMANA ABRIL'!$B:$B,"*DONA JURA*",'SEMANA ABRIL'!$I:$I)+SUMIF('SEMANA MAIO'!$B:$B,"*DONA JURA*",'SEMANA MAIO'!$I:$I)+SUMIF('SEMANA JUNHO'!$B:$B,"*DONA JURA*",'SEMANA JUNHO'!$I:$I)+SUMIF('SEMANA JULHO'!$B:$B,"*DONA JURA*",'SEMANA JULHO'!$I:$I)+SUMIF('SEMANA AGOSTO'!$B:$B,"*DONA JURA*",'SEMANA AGOSTO'!$I:$I)+SUMIF('SEMANA SETEMBRO'!$B:$B,"*DONA JURA*",'SEMANA SETEMBRO'!$I:$I)+SUMIF('SEMANA OUTUBRO'!$B:$B,"*DONA JURA*",'SEMANA OUTUBRO'!$I:$I)+SUMIF('SEMANA NOVEMBRO'!$B:$B,"*DONA JURA*",'SEMANA NOVEMBRO'!$I:$I)+SUMIF('SEMANA DEZEMBRO'!$B:$B,"*DONA JURA*",'SEMANA DEZEMBRO'!$I:$I)-C36-D36-E36</f>
        <v>0</v>
      </c>
      <c r="G36" s="544">
        <f t="shared" si="1"/>
        <v>24888</v>
      </c>
      <c r="H36"/>
    </row>
    <row r="37" spans="1:8" x14ac:dyDescent="0.3">
      <c r="A37" s="536" t="s">
        <v>1406</v>
      </c>
      <c r="B37" s="537" t="s">
        <v>66</v>
      </c>
      <c r="C37" s="538">
        <f>SUMIFS('SEMANA JANEIRO'!$I:$I,'SEMANA JANEIRO'!$B:$B,"*ALLBREAD*",'SEMANA JANEIRO'!$C:$C,180)+SUMIFS('SEMANA FEVEREIRO'!$I:$I,'SEMANA FEVEREIRO'!$B:$B,"*ALLBREAD*",'SEMANA FEVEREIRO'!$C:$C,180)+SUMIFS('SEMANA MARÇO'!$I:$I,'SEMANA MARÇO'!$B:$B,"*ALLBREAD*",'SEMANA MARÇO'!$C:$C,180)+SUMIFS('SEMANA ABRIL'!$I:$I,'SEMANA ABRIL'!$B:$B,"*ALLBREAD*",'SEMANA ABRIL'!$C:$C,180)+SUMIFS('SEMANA MAIO'!$I:$I,'SEMANA MAIO'!$B:$B,"*ALLBREAD*",'SEMANA MAIO'!$C:$C,180)+SUMIFS('SEMANA JUNHO'!$I:$I,'SEMANA JUNHO'!$B:$B,"*ALLBREAD*",'SEMANA JUNHO'!$C:$C,180)+SUMIFS('SEMANA JULHO'!$I:$I,'SEMANA JULHO'!$B:$B,"*ALLBREAD*",'SEMANA JULHO'!$C:$C,180)+SUMIFS('SEMANA AGOSTO'!$I:$I,'SEMANA AGOSTO'!$B:$B,"*ALLBREAD*",'SEMANA AGOSTO'!$C:$C,180)+SUMIFS('SEMANA SETEMBRO'!$I:$I,'SEMANA SETEMBRO'!$B:$B,"*ALLBREAD*",'SEMANA SETEMBRO'!$C:$C,180)+SUMIFS('SEMANA OUTUBRO'!$I:$I,'SEMANA OUTUBRO'!$B:$B,"*ALLBREAD*",'SEMANA OUTUBRO'!$C:$C,180)+SUMIFS('SEMANA NOVEMBRO'!$I:$I,'SEMANA NOVEMBRO'!$B:$B,"*ALLBREAD*",'SEMANA NOVEMBRO'!$C:$C,180)+SUMIFS('SEMANA DEZEMBRO'!$I:$I,'SEMANA DEZEMBRO'!$B:$B,"*ALLBREAD*",'SEMANA DEZEMBRO'!$C:$C,180)</f>
        <v>0</v>
      </c>
      <c r="D37" s="538">
        <f>SUMIFS('SEMANA JANEIRO'!$I:$I,'SEMANA JANEIRO'!$B:$B,"*ALLBREAD*",'SEMANA JANEIRO'!$C:$C,400)+SUMIFS('SEMANA FEVEREIRO'!$I:$I,'SEMANA FEVEREIRO'!$B:$B,"*ALLBREAD*",'SEMANA FEVEREIRO'!$C:$C,400)+SUMIFS('SEMANA MARÇO'!$I:$I,'SEMANA MARÇO'!$B:$B,"*ALLBREAD*",'SEMANA MARÇO'!$C:$C,400)+SUMIFS('SEMANA ABRIL'!$I:$I,'SEMANA ABRIL'!$B:$B,"*ALLBREAD*",'SEMANA ABRIL'!$C:$C,400)+SUMIFS('SEMANA MAIO'!$I:$I,'SEMANA MAIO'!$B:$B,"*ALLBREAD*",'SEMANA MAIO'!$C:$C,400)+SUMIFS('SEMANA JUNHO'!$I:$I,'SEMANA JUNHO'!$B:$B,"*ALLBREAD*",'SEMANA JUNHO'!$C:$C,400)+SUMIFS('SEMANA JULHO'!$I:$I,'SEMANA JULHO'!$B:$B,"*ALLBREAD*",'SEMANA JULHO'!$C:$C,400)+SUMIFS('SEMANA AGOSTO'!$I:$I,'SEMANA AGOSTO'!$B:$B,"*ALLBREAD*",'SEMANA AGOSTO'!$C:$C,400)+SUMIFS('SEMANA SETEMBRO'!$I:$I,'SEMANA SETEMBRO'!$B:$B,"*ALLBREAD*",'SEMANA SETEMBRO'!$C:$C,400)+SUMIFS('SEMANA OUTUBRO'!$I:$I,'SEMANA OUTUBRO'!$B:$B,"*ALLBREAD*",'SEMANA OUTUBRO'!$C:$C,400)+SUMIFS('SEMANA NOVEMBRO'!$I:$I,'SEMANA NOVEMBRO'!$B:$B,"*ALLBREAD*",'SEMANA NOVEMBRO'!$C:$C,400)+SUMIFS('SEMANA DEZEMBRO'!$I:$I,'SEMANA DEZEMBRO'!$B:$B,"*ALLBREAD*",'SEMANA DEZEMBRO'!$C:$C,400)</f>
        <v>0</v>
      </c>
      <c r="E37" s="538">
        <f>SUMIFS('SEMANA JANEIRO'!$I:$I,'SEMANA JANEIRO'!$B:$B,"*ALLBREAD*",'SEMANA JANEIRO'!$C:$C,600)+SUMIFS('SEMANA FEVEREIRO'!$I:$I,'SEMANA FEVEREIRO'!$B:$B,"*ALLBREAD*",'SEMANA FEVEREIRO'!$C:$C,600)+SUMIFS('SEMANA MARÇO'!$I:$I,'SEMANA MARÇO'!$B:$B,"*ALLBREAD*",'SEMANA MARÇO'!$C:$C,600)+SUMIFS('SEMANA ABRIL'!$I:$I,'SEMANA ABRIL'!$B:$B,"*ALLBREAD*",'SEMANA ABRIL'!$C:$C,600)+SUMIFS('SEMANA MAIO'!$I:$I,'SEMANA MAIO'!$B:$B,"*ALLBREAD*",'SEMANA MAIO'!$C:$C,600)+SUMIFS('SEMANA JUNHO'!$I:$I,'SEMANA JUNHO'!$B:$B,"*ALLBREAD*",'SEMANA JUNHO'!$C:$C,600)+SUMIFS('SEMANA JULHO'!$I:$I,'SEMANA JULHO'!$B:$B,"*ALLBREAD*",'SEMANA JULHO'!$C:$C,600)+SUMIFS('SEMANA AGOSTO'!$I:$I,'SEMANA AGOSTO'!$B:$B,"*ALLBREAD*",'SEMANA AGOSTO'!$C:$C,600)+SUMIFS('SEMANA SETEMBRO'!$I:$I,'SEMANA SETEMBRO'!$B:$B,"*ALLBREAD*",'SEMANA SETEMBRO'!$C:$C,600)+SUMIFS('SEMANA OUTUBRO'!$I:$I,'SEMANA OUTUBRO'!$B:$B,"*ALLBREAD*",'SEMANA OUTUBRO'!$C:$C,600)+SUMIFS('SEMANA NOVEMBRO'!$I:$I,'SEMANA NOVEMBRO'!$B:$B,"*ALLBREAD*",'SEMANA NOVEMBRO'!$C:$C,600)+SUMIFS('SEMANA DEZEMBRO'!$I:$I,'SEMANA DEZEMBRO'!$B:$B,"*ALLBREAD*",'SEMANA DEZEMBRO'!$C:$C,600)</f>
        <v>23040</v>
      </c>
      <c r="F37" s="538">
        <f>SUMIF('SEMANA JANEIRO'!$B:$B,"*ALLBREAD*",'SEMANA JANEIRO'!$I:$I)+SUMIF('SEMANA FEVEREIRO'!$B:$B,"*ALLBREAD*",'SEMANA FEVEREIRO'!$I:$I)+SUMIF('SEMANA MARÇO'!$B:$B,"*ALLBREAD*",'SEMANA MARÇO'!$I:$I)+SUMIF('SEMANA ABRIL'!$B:$B,"*ALLBREAD*",'SEMANA ABRIL'!$I:$I)+SUMIF('SEMANA MAIO'!$B:$B,"*ALLBREAD*",'SEMANA MAIO'!$I:$I)+SUMIF('SEMANA JUNHO'!$B:$B,"*ALLBREAD*",'SEMANA JUNHO'!$I:$I)+SUMIF('SEMANA JULHO'!$B:$B,"*ALLBREAD*",'SEMANA JULHO'!$I:$I)+SUMIF('SEMANA AGOSTO'!$B:$B,"*ALLBREAD*",'SEMANA AGOSTO'!$I:$I)+SUMIF('SEMANA SETEMBRO'!$B:$B,"*ALLBREAD*",'SEMANA SETEMBRO'!$I:$I)+SUMIF('SEMANA OUTUBRO'!$B:$B,"*ALLBREAD*",'SEMANA OUTUBRO'!$I:$I)+SUMIF('SEMANA NOVEMBRO'!$B:$B,"*ALLBREAD*",'SEMANA NOVEMBRO'!$I:$I)+SUMIF('SEMANA DEZEMBRO'!$B:$B,"*ALLBREAD*",'SEMANA DEZEMBRO'!$I:$I)-C37-D37-E37</f>
        <v>0</v>
      </c>
      <c r="G37" s="538">
        <f t="shared" si="1"/>
        <v>23040</v>
      </c>
      <c r="H37"/>
    </row>
    <row r="38" spans="1:8" x14ac:dyDescent="0.3">
      <c r="A38" s="545" t="s">
        <v>1407</v>
      </c>
      <c r="B38" s="546" t="s">
        <v>616</v>
      </c>
      <c r="C38" s="547">
        <f>SUMIFS('SEMANA JANEIRO'!$I:$I,'SEMANA JANEIRO'!$B:$B,"*DONA LELLA*",'SEMANA JANEIRO'!$C:$C,180)+SUMIFS('SEMANA FEVEREIRO'!$I:$I,'SEMANA FEVEREIRO'!$B:$B,"*DONA LELLA*",'SEMANA FEVEREIRO'!$C:$C,180)+SUMIFS('SEMANA MARÇO'!$I:$I,'SEMANA MARÇO'!$B:$B,"*DONA LELLA*",'SEMANA MARÇO'!$C:$C,180)+SUMIFS('SEMANA ABRIL'!$I:$I,'SEMANA ABRIL'!$B:$B,"*DONA LELLA*",'SEMANA ABRIL'!$C:$C,180)+SUMIFS('SEMANA MAIO'!$I:$I,'SEMANA MAIO'!$B:$B,"*DONA LELLA*",'SEMANA MAIO'!$C:$C,180)+SUMIFS('SEMANA JUNHO'!$I:$I,'SEMANA JUNHO'!$B:$B,"*DONA LELLA*",'SEMANA JUNHO'!$C:$C,180)+SUMIFS('SEMANA JULHO'!$I:$I,'SEMANA JULHO'!$B:$B,"*DONA LELLA*",'SEMANA JULHO'!$C:$C,180)+SUMIFS('SEMANA AGOSTO'!$I:$I,'SEMANA AGOSTO'!$B:$B,"*DONA LELLA*",'SEMANA AGOSTO'!$C:$C,180)+SUMIFS('SEMANA SETEMBRO'!$I:$I,'SEMANA SETEMBRO'!$B:$B,"*DONA LELLA*",'SEMANA SETEMBRO'!$C:$C,180)+SUMIFS('SEMANA OUTUBRO'!$I:$I,'SEMANA OUTUBRO'!$B:$B,"*DONA LELLA*",'SEMANA OUTUBRO'!$C:$C,180)+SUMIFS('SEMANA NOVEMBRO'!$I:$I,'SEMANA NOVEMBRO'!$B:$B,"*DONA LELLA*",'SEMANA NOVEMBRO'!$C:$C,180)+SUMIFS('SEMANA DEZEMBRO'!$I:$I,'SEMANA DEZEMBRO'!$B:$B,"*DONA LELLA*",'SEMANA DEZEMBRO'!$C:$C,180)</f>
        <v>0</v>
      </c>
      <c r="D38" s="547">
        <f>SUMIFS('SEMANA JANEIRO'!$I:$I,'SEMANA JANEIRO'!$B:$B,"*DONA LELLA*",'SEMANA JANEIRO'!$C:$C,400)+SUMIFS('SEMANA FEVEREIRO'!$I:$I,'SEMANA FEVEREIRO'!$B:$B,"*DONA LELLA*",'SEMANA FEVEREIRO'!$C:$C,400)+SUMIFS('SEMANA MARÇO'!$I:$I,'SEMANA MARÇO'!$B:$B,"*DONA LELLA*",'SEMANA MARÇO'!$C:$C,400)+SUMIFS('SEMANA ABRIL'!$I:$I,'SEMANA ABRIL'!$B:$B,"*DONA LELLA*",'SEMANA ABRIL'!$C:$C,400)+SUMIFS('SEMANA MAIO'!$I:$I,'SEMANA MAIO'!$B:$B,"*DONA LELLA*",'SEMANA MAIO'!$C:$C,400)+SUMIFS('SEMANA JUNHO'!$I:$I,'SEMANA JUNHO'!$B:$B,"*DONA LELLA*",'SEMANA JUNHO'!$C:$C,400)+SUMIFS('SEMANA JULHO'!$I:$I,'SEMANA JULHO'!$B:$B,"*DONA LELLA*",'SEMANA JULHO'!$C:$C,400)+SUMIFS('SEMANA AGOSTO'!$I:$I,'SEMANA AGOSTO'!$B:$B,"*DONA LELLA*",'SEMANA AGOSTO'!$C:$C,400)+SUMIFS('SEMANA SETEMBRO'!$I:$I,'SEMANA SETEMBRO'!$B:$B,"*DONA LELLA*",'SEMANA SETEMBRO'!$C:$C,400)+SUMIFS('SEMANA OUTUBRO'!$I:$I,'SEMANA OUTUBRO'!$B:$B,"*DONA LELLA*",'SEMANA OUTUBRO'!$C:$C,400)+SUMIFS('SEMANA NOVEMBRO'!$I:$I,'SEMANA NOVEMBRO'!$B:$B,"*DONA LELLA*",'SEMANA NOVEMBRO'!$C:$C,400)+SUMIFS('SEMANA DEZEMBRO'!$I:$I,'SEMANA DEZEMBRO'!$B:$B,"*DONA LELLA*",'SEMANA DEZEMBRO'!$C:$C,400)</f>
        <v>19800</v>
      </c>
      <c r="E38" s="547">
        <f>SUMIFS('SEMANA JANEIRO'!$I:$I,'SEMANA JANEIRO'!$B:$B,"*DONA LELLA*",'SEMANA JANEIRO'!$C:$C,600)+SUMIFS('SEMANA FEVEREIRO'!$I:$I,'SEMANA FEVEREIRO'!$B:$B,"*DONA LELLA*",'SEMANA FEVEREIRO'!$C:$C,600)+SUMIFS('SEMANA MARÇO'!$I:$I,'SEMANA MARÇO'!$B:$B,"*DONA LELLA*",'SEMANA MARÇO'!$C:$C,600)+SUMIFS('SEMANA ABRIL'!$I:$I,'SEMANA ABRIL'!$B:$B,"*DONA LELLA*",'SEMANA ABRIL'!$C:$C,600)+SUMIFS('SEMANA MAIO'!$I:$I,'SEMANA MAIO'!$B:$B,"*DONA LELLA*",'SEMANA MAIO'!$C:$C,600)+SUMIFS('SEMANA JUNHO'!$I:$I,'SEMANA JUNHO'!$B:$B,"*DONA LELLA*",'SEMANA JUNHO'!$C:$C,600)+SUMIFS('SEMANA JULHO'!$I:$I,'SEMANA JULHO'!$B:$B,"*DONA LELLA*",'SEMANA JULHO'!$C:$C,600)+SUMIFS('SEMANA AGOSTO'!$I:$I,'SEMANA AGOSTO'!$B:$B,"*DONA LELLA*",'SEMANA AGOSTO'!$C:$C,600)+SUMIFS('SEMANA SETEMBRO'!$I:$I,'SEMANA SETEMBRO'!$B:$B,"*DONA LELLA*",'SEMANA SETEMBRO'!$C:$C,600)+SUMIFS('SEMANA OUTUBRO'!$I:$I,'SEMANA OUTUBRO'!$B:$B,"*DONA LELLA*",'SEMANA OUTUBRO'!$C:$C,600)+SUMIFS('SEMANA NOVEMBRO'!$I:$I,'SEMANA NOVEMBRO'!$B:$B,"*DONA LELLA*",'SEMANA NOVEMBRO'!$C:$C,600)+SUMIFS('SEMANA DEZEMBRO'!$I:$I,'SEMANA DEZEMBRO'!$B:$B,"*DONA LELLA*",'SEMANA DEZEMBRO'!$C:$C,600)</f>
        <v>0</v>
      </c>
      <c r="F38" s="547">
        <f>SUMIF('SEMANA JANEIRO'!$B:$B,"*DONA LELLA*",'SEMANA JANEIRO'!$I:$I)+SUMIF('SEMANA FEVEREIRO'!$B:$B,"*DONA LELLA*",'SEMANA FEVEREIRO'!$I:$I)+SUMIF('SEMANA MARÇO'!$B:$B,"*DONA LELLA*",'SEMANA MARÇO'!$I:$I)+SUMIF('SEMANA ABRIL'!$B:$B,"*DONA LELLA*",'SEMANA ABRIL'!$I:$I)+SUMIF('SEMANA MAIO'!$B:$B,"*DONA LELLA*",'SEMANA MAIO'!$I:$I)+SUMIF('SEMANA JUNHO'!$B:$B,"*DONA LELLA*",'SEMANA JUNHO'!$I:$I)+SUMIF('SEMANA JULHO'!$B:$B,"*DONA LELLA*",'SEMANA JULHO'!$I:$I)+SUMIF('SEMANA AGOSTO'!$B:$B,"*DONA LELLA*",'SEMANA AGOSTO'!$I:$I)+SUMIF('SEMANA SETEMBRO'!$B:$B,"*DONA LELLA*",'SEMANA SETEMBRO'!$I:$I)+SUMIF('SEMANA OUTUBRO'!$B:$B,"*DONA LELLA*",'SEMANA OUTUBRO'!$I:$I)+SUMIF('SEMANA NOVEMBRO'!$B:$B,"*DONA LELLA*",'SEMANA NOVEMBRO'!$I:$I)+SUMIF('SEMANA DEZEMBRO'!$B:$B,"*DONA LELLA*",'SEMANA DEZEMBRO'!$I:$I)-C38-D38-E38</f>
        <v>0</v>
      </c>
      <c r="G38" s="547">
        <f t="shared" si="1"/>
        <v>19800</v>
      </c>
      <c r="H38"/>
    </row>
    <row r="39" spans="1:8" ht="15" thickBot="1" x14ac:dyDescent="0.35">
      <c r="A39" s="539" t="s">
        <v>1408</v>
      </c>
      <c r="B39" s="540" t="s">
        <v>160</v>
      </c>
      <c r="C39" s="541">
        <f>SUMIFS('SEMANA JANEIRO'!$I:$I,'SEMANA JANEIRO'!$B:$B,"*ITAIQUARA*",'SEMANA JANEIRO'!$C:$C,180)+SUMIFS('SEMANA FEVEREIRO'!$I:$I,'SEMANA FEVEREIRO'!$B:$B,"*ITAIQUARA*",'SEMANA FEVEREIRO'!$C:$C,180)+SUMIFS('SEMANA MARÇO'!$I:$I,'SEMANA MARÇO'!$B:$B,"*ITAIQUARA*",'SEMANA MARÇO'!$C:$C,180)+SUMIFS('SEMANA ABRIL'!$I:$I,'SEMANA ABRIL'!$B:$B,"*ITAIQUARA*",'SEMANA ABRIL'!$C:$C,180)+SUMIFS('SEMANA MAIO'!$I:$I,'SEMANA MAIO'!$B:$B,"*ITAIQUARA*",'SEMANA MAIO'!$C:$C,180)+SUMIFS('SEMANA JUNHO'!$I:$I,'SEMANA JUNHO'!$B:$B,"*ITAIQUARA*",'SEMANA JUNHO'!$C:$C,180)+SUMIFS('SEMANA JULHO'!$I:$I,'SEMANA JULHO'!$B:$B,"*ITAIQUARA*",'SEMANA JULHO'!$C:$C,180)+SUMIFS('SEMANA AGOSTO'!$I:$I,'SEMANA AGOSTO'!$B:$B,"*ITAIQUARA*",'SEMANA AGOSTO'!$C:$C,180)+SUMIFS('SEMANA SETEMBRO'!$I:$I,'SEMANA SETEMBRO'!$B:$B,"*ITAIQUARA*",'SEMANA SETEMBRO'!$C:$C,180)+SUMIFS('SEMANA OUTUBRO'!$I:$I,'SEMANA OUTUBRO'!$B:$B,"*ITAIQUARA*",'SEMANA OUTUBRO'!$C:$C,180)+SUMIFS('SEMANA NOVEMBRO'!$I:$I,'SEMANA NOVEMBRO'!$B:$B,"*ITAIQUARA*",'SEMANA NOVEMBRO'!$C:$C,180)+SUMIFS('SEMANA DEZEMBRO'!$I:$I,'SEMANA DEZEMBRO'!$B:$B,"*ITAIQUARA*",'SEMANA DEZEMBRO'!$C:$C,180)</f>
        <v>0</v>
      </c>
      <c r="D39" s="541">
        <f>SUMIFS('SEMANA JANEIRO'!$I:$I,'SEMANA JANEIRO'!$B:$B,"*ITAIQUARA*",'SEMANA JANEIRO'!$C:$C,400)+SUMIFS('SEMANA FEVEREIRO'!$I:$I,'SEMANA FEVEREIRO'!$B:$B,"*ITAIQUARA*",'SEMANA FEVEREIRO'!$C:$C,400)+SUMIFS('SEMANA MARÇO'!$I:$I,'SEMANA MARÇO'!$B:$B,"*ITAIQUARA*",'SEMANA MARÇO'!$C:$C,400)+SUMIFS('SEMANA ABRIL'!$I:$I,'SEMANA ABRIL'!$B:$B,"*ITAIQUARA*",'SEMANA ABRIL'!$C:$C,400)+SUMIFS('SEMANA MAIO'!$I:$I,'SEMANA MAIO'!$B:$B,"*ITAIQUARA*",'SEMANA MAIO'!$C:$C,400)+SUMIFS('SEMANA JUNHO'!$I:$I,'SEMANA JUNHO'!$B:$B,"*ITAIQUARA*",'SEMANA JUNHO'!$C:$C,400)+SUMIFS('SEMANA JULHO'!$I:$I,'SEMANA JULHO'!$B:$B,"*ITAIQUARA*",'SEMANA JULHO'!$C:$C,400)+SUMIFS('SEMANA AGOSTO'!$I:$I,'SEMANA AGOSTO'!$B:$B,"*ITAIQUARA*",'SEMANA AGOSTO'!$C:$C,400)+SUMIFS('SEMANA SETEMBRO'!$I:$I,'SEMANA SETEMBRO'!$B:$B,"*ITAIQUARA*",'SEMANA SETEMBRO'!$C:$C,400)+SUMIFS('SEMANA OUTUBRO'!$I:$I,'SEMANA OUTUBRO'!$B:$B,"*ITAIQUARA*",'SEMANA OUTUBRO'!$C:$C,400)+SUMIFS('SEMANA NOVEMBRO'!$I:$I,'SEMANA NOVEMBRO'!$B:$B,"*ITAIQUARA*",'SEMANA NOVEMBRO'!$C:$C,400)+SUMIFS('SEMANA DEZEMBRO'!$I:$I,'SEMANA DEZEMBRO'!$B:$B,"*ITAIQUARA*",'SEMANA DEZEMBRO'!$C:$C,400)</f>
        <v>0</v>
      </c>
      <c r="E39" s="541">
        <f>SUMIFS('SEMANA JANEIRO'!$I:$I,'SEMANA JANEIRO'!$B:$B,"*ITAIQUARA*",'SEMANA JANEIRO'!$C:$C,600)+SUMIFS('SEMANA FEVEREIRO'!$I:$I,'SEMANA FEVEREIRO'!$B:$B,"*ITAIQUARA*",'SEMANA FEVEREIRO'!$C:$C,600)+SUMIFS('SEMANA MARÇO'!$I:$I,'SEMANA MARÇO'!$B:$B,"*ITAIQUARA*",'SEMANA MARÇO'!$C:$C,600)+SUMIFS('SEMANA ABRIL'!$I:$I,'SEMANA ABRIL'!$B:$B,"*ITAIQUARA*",'SEMANA ABRIL'!$C:$C,600)+SUMIFS('SEMANA MAIO'!$I:$I,'SEMANA MAIO'!$B:$B,"*ITAIQUARA*",'SEMANA MAIO'!$C:$C,600)+SUMIFS('SEMANA JUNHO'!$I:$I,'SEMANA JUNHO'!$B:$B,"*ITAIQUARA*",'SEMANA JUNHO'!$C:$C,600)+SUMIFS('SEMANA JULHO'!$I:$I,'SEMANA JULHO'!$B:$B,"*ITAIQUARA*",'SEMANA JULHO'!$C:$C,600)+SUMIFS('SEMANA AGOSTO'!$I:$I,'SEMANA AGOSTO'!$B:$B,"*ITAIQUARA*",'SEMANA AGOSTO'!$C:$C,600)+SUMIFS('SEMANA SETEMBRO'!$I:$I,'SEMANA SETEMBRO'!$B:$B,"*ITAIQUARA*",'SEMANA SETEMBRO'!$C:$C,600)+SUMIFS('SEMANA OUTUBRO'!$I:$I,'SEMANA OUTUBRO'!$B:$B,"*ITAIQUARA*",'SEMANA OUTUBRO'!$C:$C,600)+SUMIFS('SEMANA NOVEMBRO'!$I:$I,'SEMANA NOVEMBRO'!$B:$B,"*ITAIQUARA*",'SEMANA NOVEMBRO'!$C:$C,600)+SUMIFS('SEMANA DEZEMBRO'!$I:$I,'SEMANA DEZEMBRO'!$B:$B,"*ITAIQUARA*",'SEMANA DEZEMBRO'!$C:$C,600)</f>
        <v>17184</v>
      </c>
      <c r="F39" s="541">
        <f>SUMIF('SEMANA JANEIRO'!$B:$B,"*ITAIQUARA*",'SEMANA JANEIRO'!$I:$I)+SUMIF('SEMANA FEVEREIRO'!$B:$B,"*ITAIQUARA*",'SEMANA FEVEREIRO'!$I:$I)+SUMIF('SEMANA MARÇO'!$B:$B,"*ITAIQUARA*",'SEMANA MARÇO'!$I:$I)+SUMIF('SEMANA ABRIL'!$B:$B,"*ITAIQUARA*",'SEMANA ABRIL'!$I:$I)+SUMIF('SEMANA MAIO'!$B:$B,"*ITAIQUARA*",'SEMANA MAIO'!$I:$I)+SUMIF('SEMANA JUNHO'!$B:$B,"*ITAIQUARA*",'SEMANA JUNHO'!$I:$I)+SUMIF('SEMANA JULHO'!$B:$B,"*ITAIQUARA*",'SEMANA JULHO'!$I:$I)+SUMIF('SEMANA AGOSTO'!$B:$B,"*ITAIQUARA*",'SEMANA AGOSTO'!$I:$I)+SUMIF('SEMANA SETEMBRO'!$B:$B,"*ITAIQUARA*",'SEMANA SETEMBRO'!$I:$I)+SUMIF('SEMANA OUTUBRO'!$B:$B,"*ITAIQUARA*",'SEMANA OUTUBRO'!$I:$I)+SUMIF('SEMANA NOVEMBRO'!$B:$B,"*ITAIQUARA*",'SEMANA NOVEMBRO'!$I:$I)+SUMIF('SEMANA DEZEMBRO'!$B:$B,"*ITAIQUARA*",'SEMANA DEZEMBRO'!$I:$I)-C39-D39-E39</f>
        <v>0</v>
      </c>
      <c r="G39" s="541">
        <f t="shared" si="1"/>
        <v>17184</v>
      </c>
      <c r="H39"/>
    </row>
    <row r="40" spans="1:8" x14ac:dyDescent="0.3">
      <c r="A40" s="349"/>
      <c r="B40"/>
      <c r="C40"/>
      <c r="D40"/>
      <c r="E40"/>
      <c r="F40"/>
      <c r="G40"/>
    </row>
    <row r="41" spans="1:8" x14ac:dyDescent="0.3">
      <c r="A41" s="349"/>
      <c r="B41" s="548" t="s">
        <v>1396</v>
      </c>
      <c r="C41"/>
      <c r="D41"/>
      <c r="E41"/>
      <c r="F41"/>
      <c r="G41"/>
    </row>
    <row r="42" spans="1:8" x14ac:dyDescent="0.3">
      <c r="B42" s="588" t="s">
        <v>1397</v>
      </c>
      <c r="C42" s="588"/>
      <c r="D42" s="588"/>
      <c r="E42" s="588"/>
      <c r="F42" s="588"/>
      <c r="G42" s="588"/>
    </row>
    <row r="43" spans="1:8" x14ac:dyDescent="0.3">
      <c r="B43" s="588" t="s">
        <v>1398</v>
      </c>
      <c r="C43" s="588"/>
      <c r="D43" s="588"/>
      <c r="E43" s="588"/>
      <c r="F43" s="588"/>
      <c r="G43" s="588"/>
    </row>
    <row r="44" spans="1:8" x14ac:dyDescent="0.3">
      <c r="B44" s="589" t="s">
        <v>1409</v>
      </c>
      <c r="C44" s="589"/>
      <c r="D44" s="589"/>
      <c r="E44" s="589"/>
      <c r="F44" s="589"/>
      <c r="G44" s="589"/>
    </row>
  </sheetData>
  <mergeCells count="10">
    <mergeCell ref="B42:G42"/>
    <mergeCell ref="B43:G43"/>
    <mergeCell ref="B44:G44"/>
    <mergeCell ref="A19:E19"/>
    <mergeCell ref="A1:D1"/>
    <mergeCell ref="A21:E21"/>
    <mergeCell ref="A2:E2"/>
    <mergeCell ref="A4:E4"/>
    <mergeCell ref="A17:B17"/>
    <mergeCell ref="D17:E17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96B0A"/>
  </sheetPr>
  <dimension ref="B1:R300"/>
  <sheetViews>
    <sheetView showGridLines="0" zoomScaleNormal="100" workbookViewId="0"/>
  </sheetViews>
  <sheetFormatPr defaultColWidth="8.6640625" defaultRowHeight="17.399999999999999" x14ac:dyDescent="0.3"/>
  <cols>
    <col min="1" max="1" width="2.5546875" customWidth="1"/>
    <col min="2" max="2" width="13.5546875" style="5" customWidth="1"/>
    <col min="3" max="3" width="7.6640625" style="6" customWidth="1"/>
    <col min="4" max="4" width="12.6640625" style="6" customWidth="1"/>
    <col min="5" max="5" width="9.109375" style="7" customWidth="1"/>
    <col min="6" max="6" width="13.5546875" style="7" customWidth="1"/>
    <col min="7" max="7" width="6.6640625" style="7" customWidth="1"/>
    <col min="8" max="8" width="8" style="7" customWidth="1"/>
    <col min="9" max="9" width="7.5546875" style="7" customWidth="1"/>
    <col min="10" max="10" width="20" style="7" customWidth="1"/>
    <col min="11" max="11" width="9.109375" style="7" customWidth="1"/>
    <col min="12" max="12" width="21" style="7" customWidth="1"/>
    <col min="13" max="13" width="18.109375" style="6" customWidth="1"/>
    <col min="14" max="14" width="17.109375" style="441" customWidth="1"/>
    <col min="15" max="15" width="10.5546875" customWidth="1"/>
  </cols>
  <sheetData>
    <row r="1" spans="2:15" ht="21.75" customHeight="1" x14ac:dyDescent="0.3">
      <c r="B1" s="561" t="s">
        <v>74</v>
      </c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561"/>
    </row>
    <row r="2" spans="2:15" ht="15" customHeight="1" x14ac:dyDescent="0.3"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</row>
    <row r="3" spans="2:15" ht="17.25" customHeight="1" x14ac:dyDescent="0.3">
      <c r="B3" s="9" t="s">
        <v>75</v>
      </c>
      <c r="C3" s="603" t="s">
        <v>76</v>
      </c>
      <c r="D3" s="603"/>
      <c r="E3" s="603" t="s">
        <v>77</v>
      </c>
      <c r="F3" s="603"/>
      <c r="G3" s="603" t="s">
        <v>78</v>
      </c>
      <c r="H3" s="603"/>
      <c r="I3" s="603"/>
      <c r="J3" s="603"/>
      <c r="K3" s="603" t="s">
        <v>79</v>
      </c>
      <c r="L3" s="603"/>
      <c r="M3" s="9" t="s">
        <v>80</v>
      </c>
      <c r="N3" s="438" t="s">
        <v>81</v>
      </c>
    </row>
    <row r="4" spans="2:15" ht="18" customHeight="1" x14ac:dyDescent="0.3">
      <c r="B4" s="604" t="s">
        <v>82</v>
      </c>
      <c r="C4" s="563">
        <v>26010001</v>
      </c>
      <c r="D4" s="563"/>
      <c r="E4" s="605"/>
      <c r="F4" s="605"/>
      <c r="G4" s="563" t="s">
        <v>83</v>
      </c>
      <c r="H4" s="563"/>
      <c r="I4" s="563"/>
      <c r="J4" s="563"/>
      <c r="K4" s="563" t="s">
        <v>60</v>
      </c>
      <c r="L4" s="563"/>
      <c r="M4" s="11" t="s">
        <v>84</v>
      </c>
      <c r="N4" s="439">
        <v>46027</v>
      </c>
    </row>
    <row r="5" spans="2:15" ht="18" customHeight="1" x14ac:dyDescent="0.3">
      <c r="B5" s="604"/>
      <c r="C5" s="556">
        <v>26010002</v>
      </c>
      <c r="D5" s="556"/>
      <c r="E5" s="552"/>
      <c r="F5" s="552"/>
      <c r="G5" s="556" t="s">
        <v>83</v>
      </c>
      <c r="H5" s="556"/>
      <c r="I5" s="556"/>
      <c r="J5" s="556"/>
      <c r="K5" s="563"/>
      <c r="L5" s="563"/>
      <c r="M5" s="12" t="s">
        <v>84</v>
      </c>
      <c r="N5" s="439">
        <v>46028</v>
      </c>
    </row>
    <row r="6" spans="2:15" ht="17.25" customHeight="1" x14ac:dyDescent="0.3">
      <c r="B6" s="13" t="s">
        <v>85</v>
      </c>
      <c r="C6" s="555">
        <v>26010003</v>
      </c>
      <c r="D6" s="555"/>
      <c r="E6" s="553"/>
      <c r="F6" s="553"/>
      <c r="G6" s="555" t="s">
        <v>86</v>
      </c>
      <c r="H6" s="555"/>
      <c r="I6" s="555"/>
      <c r="J6" s="555"/>
      <c r="K6" s="555" t="s">
        <v>87</v>
      </c>
      <c r="L6" s="555"/>
      <c r="M6" s="14" t="s">
        <v>88</v>
      </c>
      <c r="N6" s="439">
        <v>46037</v>
      </c>
    </row>
    <row r="7" spans="2:15" ht="18" customHeight="1" x14ac:dyDescent="0.3">
      <c r="B7" s="557" t="s">
        <v>89</v>
      </c>
      <c r="C7" s="556">
        <v>26010004</v>
      </c>
      <c r="D7" s="556"/>
      <c r="E7" s="552"/>
      <c r="F7" s="552"/>
      <c r="G7" s="556" t="s">
        <v>90</v>
      </c>
      <c r="H7" s="556"/>
      <c r="I7" s="556"/>
      <c r="J7" s="556"/>
      <c r="K7" s="556" t="s">
        <v>91</v>
      </c>
      <c r="L7" s="556"/>
      <c r="M7" s="12" t="s">
        <v>92</v>
      </c>
      <c r="N7" s="439">
        <v>46029</v>
      </c>
    </row>
    <row r="8" spans="2:15" ht="18" customHeight="1" x14ac:dyDescent="0.3">
      <c r="B8" s="557"/>
      <c r="C8" s="555">
        <v>26010005</v>
      </c>
      <c r="D8" s="555"/>
      <c r="E8" s="553"/>
      <c r="F8" s="553"/>
      <c r="G8" s="555" t="s">
        <v>93</v>
      </c>
      <c r="H8" s="555"/>
      <c r="I8" s="555"/>
      <c r="J8" s="555"/>
      <c r="K8" s="556"/>
      <c r="L8" s="556"/>
      <c r="M8" s="16" t="s">
        <v>94</v>
      </c>
      <c r="N8" s="439">
        <v>46041</v>
      </c>
      <c r="O8" t="s">
        <v>95</v>
      </c>
    </row>
    <row r="9" spans="2:15" ht="17.25" customHeight="1" x14ac:dyDescent="0.3">
      <c r="B9" s="15" t="s">
        <v>96</v>
      </c>
      <c r="C9" s="556">
        <v>26010006</v>
      </c>
      <c r="D9" s="556"/>
      <c r="E9" s="552"/>
      <c r="F9" s="552"/>
      <c r="G9" s="556" t="s">
        <v>97</v>
      </c>
      <c r="H9" s="556"/>
      <c r="I9" s="556"/>
      <c r="J9" s="556"/>
      <c r="K9" s="556" t="s">
        <v>56</v>
      </c>
      <c r="L9" s="556"/>
      <c r="M9" s="12" t="s">
        <v>98</v>
      </c>
      <c r="N9" s="439">
        <v>46031</v>
      </c>
    </row>
    <row r="10" spans="2:15" ht="17.25" customHeight="1" x14ac:dyDescent="0.3">
      <c r="B10" s="13" t="s">
        <v>99</v>
      </c>
      <c r="C10" s="555">
        <v>26010007</v>
      </c>
      <c r="D10" s="555"/>
      <c r="E10" s="553"/>
      <c r="F10" s="553"/>
      <c r="G10" s="555" t="s">
        <v>100</v>
      </c>
      <c r="H10" s="555"/>
      <c r="I10" s="555"/>
      <c r="J10" s="555"/>
      <c r="K10" s="555" t="s">
        <v>101</v>
      </c>
      <c r="L10" s="555"/>
      <c r="M10" s="14" t="s">
        <v>102</v>
      </c>
      <c r="N10" s="439">
        <v>46041</v>
      </c>
    </row>
    <row r="11" spans="2:15" ht="18" customHeight="1" x14ac:dyDescent="0.3">
      <c r="B11" s="557" t="s">
        <v>103</v>
      </c>
      <c r="C11" s="556">
        <v>26010008</v>
      </c>
      <c r="D11" s="556"/>
      <c r="E11" s="552"/>
      <c r="F11" s="552"/>
      <c r="G11" s="556" t="s">
        <v>104</v>
      </c>
      <c r="H11" s="556"/>
      <c r="I11" s="556"/>
      <c r="J11" s="556"/>
      <c r="K11" s="556" t="s">
        <v>105</v>
      </c>
      <c r="L11" s="556"/>
      <c r="M11" s="17" t="s">
        <v>106</v>
      </c>
      <c r="N11" s="439">
        <v>46027</v>
      </c>
    </row>
    <row r="12" spans="2:15" ht="18" customHeight="1" x14ac:dyDescent="0.3">
      <c r="B12" s="557"/>
      <c r="C12" s="555">
        <v>26010009</v>
      </c>
      <c r="D12" s="555"/>
      <c r="E12" s="553"/>
      <c r="F12" s="553"/>
      <c r="G12" s="555" t="s">
        <v>104</v>
      </c>
      <c r="H12" s="555"/>
      <c r="I12" s="555"/>
      <c r="J12" s="555"/>
      <c r="K12" s="556"/>
      <c r="L12" s="556"/>
      <c r="M12" s="14" t="s">
        <v>106</v>
      </c>
      <c r="N12" s="439">
        <v>46027</v>
      </c>
    </row>
    <row r="13" spans="2:15" ht="18" customHeight="1" x14ac:dyDescent="0.3">
      <c r="B13" s="557"/>
      <c r="C13" s="556">
        <v>26010010</v>
      </c>
      <c r="D13" s="556"/>
      <c r="E13" s="552"/>
      <c r="F13" s="552"/>
      <c r="G13" s="556" t="s">
        <v>104</v>
      </c>
      <c r="H13" s="556"/>
      <c r="I13" s="556"/>
      <c r="J13" s="556"/>
      <c r="K13" s="556"/>
      <c r="L13" s="556"/>
      <c r="M13" s="17" t="s">
        <v>106</v>
      </c>
      <c r="N13" s="439">
        <v>46027</v>
      </c>
    </row>
    <row r="14" spans="2:15" ht="18" customHeight="1" x14ac:dyDescent="0.3">
      <c r="B14" s="557"/>
      <c r="C14" s="555">
        <v>26010011</v>
      </c>
      <c r="D14" s="555"/>
      <c r="E14" s="553"/>
      <c r="F14" s="553"/>
      <c r="G14" s="555" t="s">
        <v>104</v>
      </c>
      <c r="H14" s="555"/>
      <c r="I14" s="555"/>
      <c r="J14" s="555"/>
      <c r="K14" s="556"/>
      <c r="L14" s="556"/>
      <c r="M14" s="14" t="s">
        <v>106</v>
      </c>
      <c r="N14" s="439">
        <v>46027</v>
      </c>
    </row>
    <row r="15" spans="2:15" ht="18" customHeight="1" x14ac:dyDescent="0.3">
      <c r="B15" s="557"/>
      <c r="C15" s="556">
        <v>26010012</v>
      </c>
      <c r="D15" s="556"/>
      <c r="E15" s="552"/>
      <c r="F15" s="552"/>
      <c r="G15" s="556" t="s">
        <v>104</v>
      </c>
      <c r="H15" s="556"/>
      <c r="I15" s="556"/>
      <c r="J15" s="556"/>
      <c r="K15" s="556"/>
      <c r="L15" s="556"/>
      <c r="M15" s="17" t="s">
        <v>106</v>
      </c>
      <c r="N15" s="439">
        <v>46027</v>
      </c>
    </row>
    <row r="16" spans="2:15" ht="18" customHeight="1" x14ac:dyDescent="0.3">
      <c r="B16" s="557"/>
      <c r="C16" s="555">
        <v>26010013</v>
      </c>
      <c r="D16" s="555"/>
      <c r="E16" s="553"/>
      <c r="F16" s="553"/>
      <c r="G16" s="555" t="s">
        <v>104</v>
      </c>
      <c r="H16" s="555"/>
      <c r="I16" s="555"/>
      <c r="J16" s="555"/>
      <c r="K16" s="556"/>
      <c r="L16" s="556"/>
      <c r="M16" s="14" t="s">
        <v>106</v>
      </c>
      <c r="N16" s="439">
        <v>46027</v>
      </c>
    </row>
    <row r="17" spans="2:14" ht="18" customHeight="1" x14ac:dyDescent="0.3">
      <c r="B17" s="557"/>
      <c r="C17" s="556">
        <v>26010014</v>
      </c>
      <c r="D17" s="556"/>
      <c r="E17" s="552"/>
      <c r="F17" s="552"/>
      <c r="G17" s="556" t="s">
        <v>104</v>
      </c>
      <c r="H17" s="556"/>
      <c r="I17" s="556"/>
      <c r="J17" s="556"/>
      <c r="K17" s="556"/>
      <c r="L17" s="556"/>
      <c r="M17" s="17" t="s">
        <v>106</v>
      </c>
      <c r="N17" s="439">
        <v>46028</v>
      </c>
    </row>
    <row r="18" spans="2:14" ht="18" customHeight="1" x14ac:dyDescent="0.5">
      <c r="B18" s="557"/>
      <c r="C18" s="555">
        <v>26010015</v>
      </c>
      <c r="D18" s="555"/>
      <c r="E18" s="560"/>
      <c r="F18" s="560"/>
      <c r="G18" s="555" t="s">
        <v>104</v>
      </c>
      <c r="H18" s="555"/>
      <c r="I18" s="555"/>
      <c r="J18" s="555"/>
      <c r="K18" s="556"/>
      <c r="L18" s="556"/>
      <c r="M18" s="14" t="s">
        <v>106</v>
      </c>
      <c r="N18" s="439">
        <v>46028</v>
      </c>
    </row>
    <row r="19" spans="2:14" ht="18" customHeight="1" x14ac:dyDescent="0.3">
      <c r="B19" s="557"/>
      <c r="C19" s="556">
        <v>26010016</v>
      </c>
      <c r="D19" s="556"/>
      <c r="E19" s="552"/>
      <c r="F19" s="552"/>
      <c r="G19" s="556" t="s">
        <v>104</v>
      </c>
      <c r="H19" s="556"/>
      <c r="I19" s="556"/>
      <c r="J19" s="556"/>
      <c r="K19" s="556"/>
      <c r="L19" s="556"/>
      <c r="M19" s="17" t="s">
        <v>106</v>
      </c>
      <c r="N19" s="439">
        <v>46029</v>
      </c>
    </row>
    <row r="20" spans="2:14" ht="18" customHeight="1" x14ac:dyDescent="0.3">
      <c r="B20" s="557"/>
      <c r="C20" s="555">
        <v>26010017</v>
      </c>
      <c r="D20" s="555"/>
      <c r="E20" s="553"/>
      <c r="F20" s="553"/>
      <c r="G20" s="555" t="s">
        <v>104</v>
      </c>
      <c r="H20" s="555"/>
      <c r="I20" s="555"/>
      <c r="J20" s="555"/>
      <c r="K20" s="556"/>
      <c r="L20" s="556"/>
      <c r="M20" s="14" t="s">
        <v>106</v>
      </c>
      <c r="N20" s="439">
        <v>46029</v>
      </c>
    </row>
    <row r="21" spans="2:14" ht="18" customHeight="1" x14ac:dyDescent="0.3">
      <c r="B21" s="557"/>
      <c r="C21" s="556">
        <v>26010018</v>
      </c>
      <c r="D21" s="556"/>
      <c r="E21" s="552"/>
      <c r="F21" s="552"/>
      <c r="G21" s="556" t="s">
        <v>104</v>
      </c>
      <c r="H21" s="556"/>
      <c r="I21" s="556"/>
      <c r="J21" s="556"/>
      <c r="K21" s="556"/>
      <c r="L21" s="556"/>
      <c r="M21" s="17" t="s">
        <v>106</v>
      </c>
      <c r="N21" s="439">
        <v>46029</v>
      </c>
    </row>
    <row r="22" spans="2:14" ht="18" customHeight="1" x14ac:dyDescent="0.3">
      <c r="B22" s="557"/>
      <c r="C22" s="555">
        <v>26010019</v>
      </c>
      <c r="D22" s="555"/>
      <c r="E22" s="553"/>
      <c r="F22" s="553"/>
      <c r="G22" s="555" t="s">
        <v>104</v>
      </c>
      <c r="H22" s="555"/>
      <c r="I22" s="555"/>
      <c r="J22" s="555"/>
      <c r="K22" s="556"/>
      <c r="L22" s="556"/>
      <c r="M22" s="14" t="s">
        <v>106</v>
      </c>
      <c r="N22" s="439">
        <v>46029</v>
      </c>
    </row>
    <row r="23" spans="2:14" ht="18" customHeight="1" x14ac:dyDescent="0.3">
      <c r="B23" s="557"/>
      <c r="C23" s="556">
        <v>26010020</v>
      </c>
      <c r="D23" s="556"/>
      <c r="E23" s="552"/>
      <c r="F23" s="552"/>
      <c r="G23" s="556" t="s">
        <v>104</v>
      </c>
      <c r="H23" s="556"/>
      <c r="I23" s="556"/>
      <c r="J23" s="556"/>
      <c r="K23" s="556"/>
      <c r="L23" s="556"/>
      <c r="M23" s="17" t="s">
        <v>106</v>
      </c>
      <c r="N23" s="439">
        <v>46029</v>
      </c>
    </row>
    <row r="24" spans="2:14" ht="18" customHeight="1" x14ac:dyDescent="0.3">
      <c r="B24" s="557"/>
      <c r="C24" s="555">
        <v>26010021</v>
      </c>
      <c r="D24" s="555"/>
      <c r="E24" s="553"/>
      <c r="F24" s="553"/>
      <c r="G24" s="555" t="s">
        <v>104</v>
      </c>
      <c r="H24" s="555"/>
      <c r="I24" s="555"/>
      <c r="J24" s="555"/>
      <c r="K24" s="556"/>
      <c r="L24" s="556"/>
      <c r="M24" s="14" t="s">
        <v>106</v>
      </c>
      <c r="N24" s="439">
        <v>46029</v>
      </c>
    </row>
    <row r="25" spans="2:14" ht="18" customHeight="1" x14ac:dyDescent="0.3">
      <c r="B25" s="557"/>
      <c r="C25" s="556">
        <v>26010022</v>
      </c>
      <c r="D25" s="556"/>
      <c r="E25" s="552"/>
      <c r="F25" s="552"/>
      <c r="G25" s="556" t="s">
        <v>104</v>
      </c>
      <c r="H25" s="556"/>
      <c r="I25" s="556"/>
      <c r="J25" s="556"/>
      <c r="K25" s="556"/>
      <c r="L25" s="556"/>
      <c r="M25" s="17" t="s">
        <v>106</v>
      </c>
      <c r="N25" s="439">
        <v>46029</v>
      </c>
    </row>
    <row r="26" spans="2:14" ht="18" customHeight="1" x14ac:dyDescent="0.5">
      <c r="B26" s="557"/>
      <c r="C26" s="555">
        <v>26010023</v>
      </c>
      <c r="D26" s="555"/>
      <c r="E26" s="560"/>
      <c r="F26" s="560"/>
      <c r="G26" s="555" t="s">
        <v>104</v>
      </c>
      <c r="H26" s="555"/>
      <c r="I26" s="555"/>
      <c r="J26" s="555"/>
      <c r="K26" s="556"/>
      <c r="L26" s="556"/>
      <c r="M26" s="14" t="s">
        <v>106</v>
      </c>
      <c r="N26" s="439">
        <v>46029</v>
      </c>
    </row>
    <row r="27" spans="2:14" ht="18" customHeight="1" x14ac:dyDescent="0.3">
      <c r="B27" s="557"/>
      <c r="C27" s="556">
        <v>26010024</v>
      </c>
      <c r="D27" s="556"/>
      <c r="E27" s="552"/>
      <c r="F27" s="552"/>
      <c r="G27" s="556" t="s">
        <v>104</v>
      </c>
      <c r="H27" s="556"/>
      <c r="I27" s="556"/>
      <c r="J27" s="556"/>
      <c r="K27" s="556"/>
      <c r="L27" s="556"/>
      <c r="M27" s="17" t="s">
        <v>106</v>
      </c>
      <c r="N27" s="439">
        <v>46030</v>
      </c>
    </row>
    <row r="28" spans="2:14" ht="18" customHeight="1" x14ac:dyDescent="0.3">
      <c r="B28" s="557"/>
      <c r="C28" s="555">
        <v>26010025</v>
      </c>
      <c r="D28" s="555"/>
      <c r="E28" s="553"/>
      <c r="F28" s="553"/>
      <c r="G28" s="555" t="s">
        <v>104</v>
      </c>
      <c r="H28" s="555"/>
      <c r="I28" s="555"/>
      <c r="J28" s="555"/>
      <c r="K28" s="556"/>
      <c r="L28" s="556"/>
      <c r="M28" s="14" t="s">
        <v>106</v>
      </c>
      <c r="N28" s="439">
        <v>46030</v>
      </c>
    </row>
    <row r="29" spans="2:14" ht="18" customHeight="1" x14ac:dyDescent="0.3">
      <c r="B29" s="557"/>
      <c r="C29" s="556">
        <v>26010026</v>
      </c>
      <c r="D29" s="556"/>
      <c r="E29" s="552"/>
      <c r="F29" s="552"/>
      <c r="G29" s="556" t="s">
        <v>104</v>
      </c>
      <c r="H29" s="556"/>
      <c r="I29" s="556"/>
      <c r="J29" s="556"/>
      <c r="K29" s="556"/>
      <c r="L29" s="556"/>
      <c r="M29" s="17" t="s">
        <v>106</v>
      </c>
      <c r="N29" s="439">
        <v>46030</v>
      </c>
    </row>
    <row r="30" spans="2:14" ht="18" customHeight="1" x14ac:dyDescent="0.3">
      <c r="B30" s="557"/>
      <c r="C30" s="555">
        <v>26010027</v>
      </c>
      <c r="D30" s="555"/>
      <c r="E30" s="553"/>
      <c r="F30" s="553"/>
      <c r="G30" s="555" t="s">
        <v>104</v>
      </c>
      <c r="H30" s="555"/>
      <c r="I30" s="555"/>
      <c r="J30" s="555"/>
      <c r="K30" s="556"/>
      <c r="L30" s="556"/>
      <c r="M30" s="14" t="s">
        <v>106</v>
      </c>
      <c r="N30" s="439">
        <v>46030</v>
      </c>
    </row>
    <row r="31" spans="2:14" ht="18" customHeight="1" x14ac:dyDescent="0.3">
      <c r="B31" s="557"/>
      <c r="C31" s="556">
        <v>26010028</v>
      </c>
      <c r="D31" s="556"/>
      <c r="E31" s="552"/>
      <c r="F31" s="552"/>
      <c r="G31" s="556" t="s">
        <v>104</v>
      </c>
      <c r="H31" s="556"/>
      <c r="I31" s="556"/>
      <c r="J31" s="556"/>
      <c r="K31" s="556"/>
      <c r="L31" s="556"/>
      <c r="M31" s="17" t="s">
        <v>106</v>
      </c>
      <c r="N31" s="439">
        <v>46030</v>
      </c>
    </row>
    <row r="32" spans="2:14" ht="18" customHeight="1" x14ac:dyDescent="0.3">
      <c r="B32" s="557"/>
      <c r="C32" s="555">
        <v>26010029</v>
      </c>
      <c r="D32" s="555"/>
      <c r="E32" s="553"/>
      <c r="F32" s="553"/>
      <c r="G32" s="555" t="s">
        <v>104</v>
      </c>
      <c r="H32" s="555"/>
      <c r="I32" s="555"/>
      <c r="J32" s="555"/>
      <c r="K32" s="556"/>
      <c r="L32" s="556"/>
      <c r="M32" s="14" t="s">
        <v>106</v>
      </c>
      <c r="N32" s="439">
        <v>46030</v>
      </c>
    </row>
    <row r="33" spans="2:14" ht="18" customHeight="1" x14ac:dyDescent="0.3">
      <c r="B33" s="557"/>
      <c r="C33" s="556">
        <v>26010030</v>
      </c>
      <c r="D33" s="556"/>
      <c r="E33" s="552"/>
      <c r="F33" s="552"/>
      <c r="G33" s="556" t="s">
        <v>104</v>
      </c>
      <c r="H33" s="556"/>
      <c r="I33" s="556"/>
      <c r="J33" s="556"/>
      <c r="K33" s="556"/>
      <c r="L33" s="556"/>
      <c r="M33" s="17" t="s">
        <v>106</v>
      </c>
      <c r="N33" s="439">
        <v>46030</v>
      </c>
    </row>
    <row r="34" spans="2:14" ht="18" customHeight="1" x14ac:dyDescent="0.5">
      <c r="B34" s="557"/>
      <c r="C34" s="555">
        <v>26010031</v>
      </c>
      <c r="D34" s="555"/>
      <c r="E34" s="560"/>
      <c r="F34" s="560"/>
      <c r="G34" s="555" t="s">
        <v>104</v>
      </c>
      <c r="H34" s="555"/>
      <c r="I34" s="555"/>
      <c r="J34" s="555"/>
      <c r="K34" s="556"/>
      <c r="L34" s="556"/>
      <c r="M34" s="14" t="s">
        <v>106</v>
      </c>
      <c r="N34" s="439">
        <v>46030</v>
      </c>
    </row>
    <row r="35" spans="2:14" ht="18" customHeight="1" x14ac:dyDescent="0.3">
      <c r="B35" s="557"/>
      <c r="C35" s="556">
        <v>26010032</v>
      </c>
      <c r="D35" s="556"/>
      <c r="E35" s="552"/>
      <c r="F35" s="552"/>
      <c r="G35" s="556" t="s">
        <v>104</v>
      </c>
      <c r="H35" s="556"/>
      <c r="I35" s="556"/>
      <c r="J35" s="556"/>
      <c r="K35" s="556"/>
      <c r="L35" s="556"/>
      <c r="M35" s="17" t="s">
        <v>106</v>
      </c>
      <c r="N35" s="439">
        <v>46030</v>
      </c>
    </row>
    <row r="36" spans="2:14" ht="18" customHeight="1" x14ac:dyDescent="0.3">
      <c r="B36" s="557"/>
      <c r="C36" s="555">
        <v>26010033</v>
      </c>
      <c r="D36" s="555"/>
      <c r="E36" s="553"/>
      <c r="F36" s="553"/>
      <c r="G36" s="555" t="s">
        <v>104</v>
      </c>
      <c r="H36" s="555"/>
      <c r="I36" s="555"/>
      <c r="J36" s="555"/>
      <c r="K36" s="556"/>
      <c r="L36" s="556"/>
      <c r="M36" s="14" t="s">
        <v>106</v>
      </c>
      <c r="N36" s="439">
        <v>46030</v>
      </c>
    </row>
    <row r="37" spans="2:14" ht="18" customHeight="1" x14ac:dyDescent="0.3">
      <c r="B37" s="557"/>
      <c r="C37" s="556">
        <v>26010034</v>
      </c>
      <c r="D37" s="556"/>
      <c r="E37" s="552"/>
      <c r="F37" s="552"/>
      <c r="G37" s="556" t="s">
        <v>104</v>
      </c>
      <c r="H37" s="556"/>
      <c r="I37" s="556"/>
      <c r="J37" s="556"/>
      <c r="K37" s="556"/>
      <c r="L37" s="556"/>
      <c r="M37" s="17" t="s">
        <v>106</v>
      </c>
      <c r="N37" s="439">
        <v>46031</v>
      </c>
    </row>
    <row r="38" spans="2:14" ht="18" customHeight="1" x14ac:dyDescent="0.3">
      <c r="B38" s="557"/>
      <c r="C38" s="555">
        <v>26010035</v>
      </c>
      <c r="D38" s="555"/>
      <c r="E38" s="553"/>
      <c r="F38" s="553"/>
      <c r="G38" s="555" t="s">
        <v>104</v>
      </c>
      <c r="H38" s="555"/>
      <c r="I38" s="555"/>
      <c r="J38" s="555"/>
      <c r="K38" s="556"/>
      <c r="L38" s="556"/>
      <c r="M38" s="14" t="s">
        <v>106</v>
      </c>
      <c r="N38" s="439">
        <v>46031</v>
      </c>
    </row>
    <row r="39" spans="2:14" ht="18" customHeight="1" x14ac:dyDescent="0.3">
      <c r="B39" s="557"/>
      <c r="C39" s="556">
        <v>26010036</v>
      </c>
      <c r="D39" s="556"/>
      <c r="E39" s="552"/>
      <c r="F39" s="552"/>
      <c r="G39" s="556" t="s">
        <v>104</v>
      </c>
      <c r="H39" s="556"/>
      <c r="I39" s="556"/>
      <c r="J39" s="556"/>
      <c r="K39" s="556"/>
      <c r="L39" s="556"/>
      <c r="M39" s="17" t="s">
        <v>106</v>
      </c>
      <c r="N39" s="439">
        <v>46031</v>
      </c>
    </row>
    <row r="40" spans="2:14" ht="18" customHeight="1" x14ac:dyDescent="0.3">
      <c r="B40" s="557"/>
      <c r="C40" s="555">
        <v>26010037</v>
      </c>
      <c r="D40" s="555"/>
      <c r="E40" s="553"/>
      <c r="F40" s="553"/>
      <c r="G40" s="555" t="s">
        <v>104</v>
      </c>
      <c r="H40" s="555"/>
      <c r="I40" s="555"/>
      <c r="J40" s="555"/>
      <c r="K40" s="556"/>
      <c r="L40" s="556"/>
      <c r="M40" s="14" t="s">
        <v>106</v>
      </c>
      <c r="N40" s="439">
        <v>46031</v>
      </c>
    </row>
    <row r="41" spans="2:14" ht="18" customHeight="1" x14ac:dyDescent="0.3">
      <c r="B41" s="557"/>
      <c r="C41" s="556">
        <v>26010038</v>
      </c>
      <c r="D41" s="556"/>
      <c r="E41" s="552"/>
      <c r="F41" s="552"/>
      <c r="G41" s="556" t="s">
        <v>104</v>
      </c>
      <c r="H41" s="556"/>
      <c r="I41" s="556"/>
      <c r="J41" s="556"/>
      <c r="K41" s="556"/>
      <c r="L41" s="556"/>
      <c r="M41" s="17" t="s">
        <v>106</v>
      </c>
      <c r="N41" s="439">
        <v>46031</v>
      </c>
    </row>
    <row r="42" spans="2:14" ht="18" customHeight="1" x14ac:dyDescent="0.3">
      <c r="B42" s="557"/>
      <c r="C42" s="555">
        <v>26010039</v>
      </c>
      <c r="D42" s="555"/>
      <c r="E42" s="553"/>
      <c r="F42" s="553"/>
      <c r="G42" s="555" t="s">
        <v>104</v>
      </c>
      <c r="H42" s="555"/>
      <c r="I42" s="555"/>
      <c r="J42" s="555"/>
      <c r="K42" s="556"/>
      <c r="L42" s="556"/>
      <c r="M42" s="14" t="s">
        <v>106</v>
      </c>
      <c r="N42" s="439">
        <v>46031</v>
      </c>
    </row>
    <row r="43" spans="2:14" ht="18" customHeight="1" x14ac:dyDescent="0.3">
      <c r="B43" s="557"/>
      <c r="C43" s="556">
        <v>26010040</v>
      </c>
      <c r="D43" s="556"/>
      <c r="E43" s="552"/>
      <c r="F43" s="552"/>
      <c r="G43" s="556" t="s">
        <v>104</v>
      </c>
      <c r="H43" s="556"/>
      <c r="I43" s="556"/>
      <c r="J43" s="556"/>
      <c r="K43" s="556"/>
      <c r="L43" s="556"/>
      <c r="M43" s="17" t="s">
        <v>106</v>
      </c>
      <c r="N43" s="439">
        <v>46031</v>
      </c>
    </row>
    <row r="44" spans="2:14" ht="18" customHeight="1" x14ac:dyDescent="0.5">
      <c r="B44" s="557"/>
      <c r="C44" s="555">
        <v>26010041</v>
      </c>
      <c r="D44" s="555"/>
      <c r="E44" s="560"/>
      <c r="F44" s="560"/>
      <c r="G44" s="555" t="s">
        <v>104</v>
      </c>
      <c r="H44" s="555"/>
      <c r="I44" s="555"/>
      <c r="J44" s="555"/>
      <c r="K44" s="556"/>
      <c r="L44" s="556"/>
      <c r="M44" s="14" t="s">
        <v>106</v>
      </c>
      <c r="N44" s="439">
        <v>46034</v>
      </c>
    </row>
    <row r="45" spans="2:14" ht="18" customHeight="1" x14ac:dyDescent="0.3">
      <c r="B45" s="557"/>
      <c r="C45" s="556">
        <v>26010042</v>
      </c>
      <c r="D45" s="556"/>
      <c r="E45" s="552"/>
      <c r="F45" s="552"/>
      <c r="G45" s="556" t="s">
        <v>104</v>
      </c>
      <c r="H45" s="556"/>
      <c r="I45" s="556"/>
      <c r="J45" s="556"/>
      <c r="K45" s="556"/>
      <c r="L45" s="556"/>
      <c r="M45" s="17" t="s">
        <v>106</v>
      </c>
      <c r="N45" s="439">
        <v>46034</v>
      </c>
    </row>
    <row r="46" spans="2:14" ht="18" customHeight="1" x14ac:dyDescent="0.3">
      <c r="B46" s="557"/>
      <c r="C46" s="555">
        <v>26060043</v>
      </c>
      <c r="D46" s="555"/>
      <c r="E46" s="553"/>
      <c r="F46" s="553"/>
      <c r="G46" s="555" t="s">
        <v>107</v>
      </c>
      <c r="H46" s="555"/>
      <c r="I46" s="555"/>
      <c r="J46" s="555"/>
      <c r="K46" s="556"/>
      <c r="L46" s="556"/>
      <c r="M46" s="14" t="s">
        <v>108</v>
      </c>
      <c r="N46" s="439">
        <v>46028</v>
      </c>
    </row>
    <row r="47" spans="2:14" ht="17.25" customHeight="1" x14ac:dyDescent="0.3">
      <c r="B47" s="15" t="s">
        <v>109</v>
      </c>
      <c r="C47" s="556">
        <v>26060044</v>
      </c>
      <c r="D47" s="556"/>
      <c r="E47" s="556" t="s">
        <v>110</v>
      </c>
      <c r="F47" s="556"/>
      <c r="G47" s="556" t="s">
        <v>111</v>
      </c>
      <c r="H47" s="556"/>
      <c r="I47" s="556"/>
      <c r="J47" s="556"/>
      <c r="K47" s="556" t="s">
        <v>112</v>
      </c>
      <c r="L47" s="556"/>
      <c r="M47" s="17" t="s">
        <v>113</v>
      </c>
      <c r="N47" s="439">
        <v>46028</v>
      </c>
    </row>
    <row r="48" spans="2:14" ht="18" customHeight="1" x14ac:dyDescent="0.3">
      <c r="B48" s="558" t="s">
        <v>114</v>
      </c>
      <c r="C48" s="555">
        <v>26010045</v>
      </c>
      <c r="D48" s="555"/>
      <c r="E48" s="553"/>
      <c r="F48" s="553"/>
      <c r="G48" s="555" t="s">
        <v>115</v>
      </c>
      <c r="H48" s="555"/>
      <c r="I48" s="555"/>
      <c r="J48" s="555"/>
      <c r="K48" s="555" t="s">
        <v>56</v>
      </c>
      <c r="L48" s="555"/>
      <c r="M48" s="14" t="s">
        <v>116</v>
      </c>
      <c r="N48" s="439">
        <v>46035</v>
      </c>
    </row>
    <row r="49" spans="2:18" ht="18" customHeight="1" x14ac:dyDescent="0.3">
      <c r="B49" s="558"/>
      <c r="C49" s="556">
        <v>26010046</v>
      </c>
      <c r="D49" s="556"/>
      <c r="E49" s="552"/>
      <c r="F49" s="552"/>
      <c r="G49" s="556" t="s">
        <v>115</v>
      </c>
      <c r="H49" s="556"/>
      <c r="I49" s="556"/>
      <c r="J49" s="556"/>
      <c r="K49" s="555"/>
      <c r="L49" s="555"/>
      <c r="M49" s="17" t="s">
        <v>117</v>
      </c>
      <c r="N49" s="439">
        <v>46036</v>
      </c>
    </row>
    <row r="50" spans="2:18" ht="18" customHeight="1" x14ac:dyDescent="0.3">
      <c r="B50" s="558"/>
      <c r="C50" s="555">
        <v>26010047</v>
      </c>
      <c r="D50" s="555"/>
      <c r="E50" s="553"/>
      <c r="F50" s="553"/>
      <c r="G50" s="555" t="s">
        <v>115</v>
      </c>
      <c r="H50" s="555"/>
      <c r="I50" s="555"/>
      <c r="J50" s="555"/>
      <c r="K50" s="555"/>
      <c r="L50" s="555"/>
      <c r="M50" s="14" t="s">
        <v>118</v>
      </c>
      <c r="N50" s="439">
        <v>46037</v>
      </c>
    </row>
    <row r="51" spans="2:18" ht="18" customHeight="1" x14ac:dyDescent="0.3">
      <c r="B51" s="558"/>
      <c r="C51" s="556">
        <v>26010048</v>
      </c>
      <c r="D51" s="556"/>
      <c r="E51" s="552"/>
      <c r="F51" s="552"/>
      <c r="G51" s="556" t="s">
        <v>115</v>
      </c>
      <c r="H51" s="556"/>
      <c r="I51" s="556"/>
      <c r="J51" s="556"/>
      <c r="K51" s="555"/>
      <c r="L51" s="555"/>
      <c r="M51" s="17" t="s">
        <v>119</v>
      </c>
      <c r="N51" s="439"/>
      <c r="O51" s="602" t="s">
        <v>120</v>
      </c>
      <c r="P51" s="602"/>
      <c r="Q51" s="602"/>
      <c r="R51" s="602"/>
    </row>
    <row r="52" spans="2:18" ht="18" customHeight="1" x14ac:dyDescent="0.3">
      <c r="B52" s="558" t="s">
        <v>121</v>
      </c>
      <c r="C52" s="555">
        <v>26030050</v>
      </c>
      <c r="D52" s="555"/>
      <c r="E52" s="553"/>
      <c r="F52" s="553"/>
      <c r="G52" s="555" t="s">
        <v>122</v>
      </c>
      <c r="H52" s="555"/>
      <c r="I52" s="555"/>
      <c r="J52" s="555"/>
      <c r="K52" s="555" t="s">
        <v>105</v>
      </c>
      <c r="L52" s="555"/>
      <c r="M52" s="14" t="s">
        <v>123</v>
      </c>
      <c r="N52" s="439">
        <v>46045</v>
      </c>
    </row>
    <row r="53" spans="2:18" ht="18" customHeight="1" x14ac:dyDescent="0.3">
      <c r="B53" s="558"/>
      <c r="C53" s="556">
        <v>26030051</v>
      </c>
      <c r="D53" s="556"/>
      <c r="E53" s="552"/>
      <c r="F53" s="552"/>
      <c r="G53" s="556" t="s">
        <v>124</v>
      </c>
      <c r="H53" s="556"/>
      <c r="I53" s="556"/>
      <c r="J53" s="556"/>
      <c r="K53" s="555"/>
      <c r="L53" s="555"/>
      <c r="M53" s="17" t="s">
        <v>125</v>
      </c>
      <c r="N53" s="439">
        <v>46073</v>
      </c>
    </row>
    <row r="54" spans="2:18" ht="18" customHeight="1" x14ac:dyDescent="0.3">
      <c r="B54" s="558"/>
      <c r="C54" s="555">
        <v>26030052</v>
      </c>
      <c r="D54" s="555"/>
      <c r="E54" s="553"/>
      <c r="F54" s="553"/>
      <c r="G54" s="555" t="s">
        <v>126</v>
      </c>
      <c r="H54" s="555"/>
      <c r="I54" s="555"/>
      <c r="J54" s="555"/>
      <c r="K54" s="555"/>
      <c r="L54" s="555"/>
      <c r="M54" s="14" t="s">
        <v>127</v>
      </c>
      <c r="N54" s="439">
        <v>46045</v>
      </c>
    </row>
    <row r="55" spans="2:18" ht="18" customHeight="1" x14ac:dyDescent="0.3">
      <c r="B55" s="558"/>
      <c r="C55" s="556">
        <v>26030053</v>
      </c>
      <c r="D55" s="556"/>
      <c r="E55" s="552"/>
      <c r="F55" s="552"/>
      <c r="G55" s="556" t="s">
        <v>128</v>
      </c>
      <c r="H55" s="556"/>
      <c r="I55" s="556"/>
      <c r="J55" s="556"/>
      <c r="K55" s="555"/>
      <c r="L55" s="555"/>
      <c r="M55" s="17" t="s">
        <v>129</v>
      </c>
      <c r="N55" s="439">
        <v>46073</v>
      </c>
    </row>
    <row r="56" spans="2:18" ht="18" customHeight="1" x14ac:dyDescent="0.3">
      <c r="B56" s="558"/>
      <c r="C56" s="555">
        <v>26030054</v>
      </c>
      <c r="D56" s="555"/>
      <c r="E56" s="553"/>
      <c r="F56" s="553"/>
      <c r="G56" s="555" t="s">
        <v>130</v>
      </c>
      <c r="H56" s="555"/>
      <c r="I56" s="555"/>
      <c r="J56" s="555"/>
      <c r="K56" s="555"/>
      <c r="L56" s="555"/>
      <c r="M56" s="14" t="s">
        <v>123</v>
      </c>
      <c r="N56" s="439">
        <v>46045</v>
      </c>
    </row>
    <row r="57" spans="2:18" ht="18" customHeight="1" x14ac:dyDescent="0.3">
      <c r="B57" s="557" t="s">
        <v>131</v>
      </c>
      <c r="C57" s="552"/>
      <c r="D57" s="552"/>
      <c r="E57" s="556">
        <v>26030050</v>
      </c>
      <c r="F57" s="556"/>
      <c r="G57" s="556" t="s">
        <v>122</v>
      </c>
      <c r="H57" s="556"/>
      <c r="I57" s="556"/>
      <c r="J57" s="556"/>
      <c r="K57" s="556" t="s">
        <v>132</v>
      </c>
      <c r="L57" s="556"/>
      <c r="M57" s="17" t="s">
        <v>133</v>
      </c>
      <c r="N57" s="439">
        <v>46045</v>
      </c>
    </row>
    <row r="58" spans="2:18" ht="18" customHeight="1" x14ac:dyDescent="0.3">
      <c r="B58" s="557"/>
      <c r="C58" s="553"/>
      <c r="D58" s="553"/>
      <c r="E58" s="555">
        <v>26030051</v>
      </c>
      <c r="F58" s="555"/>
      <c r="G58" s="555" t="s">
        <v>124</v>
      </c>
      <c r="H58" s="555"/>
      <c r="I58" s="555"/>
      <c r="J58" s="555"/>
      <c r="K58" s="556"/>
      <c r="L58" s="556"/>
      <c r="M58" s="14" t="s">
        <v>133</v>
      </c>
      <c r="N58" s="439">
        <v>46045</v>
      </c>
    </row>
    <row r="59" spans="2:18" ht="18" customHeight="1" x14ac:dyDescent="0.3">
      <c r="B59" s="557"/>
      <c r="C59" s="552"/>
      <c r="D59" s="552"/>
      <c r="E59" s="556">
        <v>26030052</v>
      </c>
      <c r="F59" s="556"/>
      <c r="G59" s="556" t="s">
        <v>126</v>
      </c>
      <c r="H59" s="556"/>
      <c r="I59" s="556"/>
      <c r="J59" s="556"/>
      <c r="K59" s="556"/>
      <c r="L59" s="556"/>
      <c r="M59" s="17" t="s">
        <v>133</v>
      </c>
      <c r="N59" s="439">
        <v>46045</v>
      </c>
    </row>
    <row r="60" spans="2:18" ht="18" customHeight="1" x14ac:dyDescent="0.3">
      <c r="B60" s="557"/>
      <c r="C60" s="553"/>
      <c r="D60" s="553"/>
      <c r="E60" s="555">
        <v>26030053</v>
      </c>
      <c r="F60" s="555"/>
      <c r="G60" s="555" t="s">
        <v>128</v>
      </c>
      <c r="H60" s="555"/>
      <c r="I60" s="555"/>
      <c r="J60" s="555"/>
      <c r="K60" s="556"/>
      <c r="L60" s="556"/>
      <c r="M60" s="14" t="s">
        <v>133</v>
      </c>
      <c r="N60" s="448"/>
    </row>
    <row r="61" spans="2:18" ht="18" customHeight="1" x14ac:dyDescent="0.3">
      <c r="B61" s="557"/>
      <c r="C61" s="552"/>
      <c r="D61" s="552"/>
      <c r="E61" s="556">
        <v>26030054</v>
      </c>
      <c r="F61" s="556"/>
      <c r="G61" s="556" t="s">
        <v>130</v>
      </c>
      <c r="H61" s="556"/>
      <c r="I61" s="556"/>
      <c r="J61" s="556"/>
      <c r="K61" s="556"/>
      <c r="L61" s="556"/>
      <c r="M61" s="17" t="s">
        <v>133</v>
      </c>
      <c r="N61" s="439">
        <v>46045</v>
      </c>
    </row>
    <row r="62" spans="2:18" ht="17.25" customHeight="1" x14ac:dyDescent="0.3">
      <c r="B62" s="13" t="s">
        <v>134</v>
      </c>
      <c r="C62" s="553"/>
      <c r="D62" s="553"/>
      <c r="E62" s="555">
        <v>26030051</v>
      </c>
      <c r="F62" s="555"/>
      <c r="G62" s="555" t="s">
        <v>124</v>
      </c>
      <c r="H62" s="555"/>
      <c r="I62" s="555"/>
      <c r="J62" s="555"/>
      <c r="K62" s="555" t="s">
        <v>91</v>
      </c>
      <c r="L62" s="555"/>
      <c r="M62" s="14" t="s">
        <v>135</v>
      </c>
      <c r="N62" s="439">
        <v>46078</v>
      </c>
    </row>
    <row r="63" spans="2:18" ht="18" customHeight="1" x14ac:dyDescent="0.3">
      <c r="B63" s="557" t="s">
        <v>136</v>
      </c>
      <c r="C63" s="556">
        <v>26020055</v>
      </c>
      <c r="D63" s="556"/>
      <c r="E63" s="552"/>
      <c r="F63" s="552"/>
      <c r="G63" s="556" t="s">
        <v>137</v>
      </c>
      <c r="H63" s="556"/>
      <c r="I63" s="556"/>
      <c r="J63" s="556"/>
      <c r="K63" s="556" t="s">
        <v>105</v>
      </c>
      <c r="L63" s="556"/>
      <c r="M63" s="17" t="s">
        <v>138</v>
      </c>
      <c r="N63" s="439">
        <v>46042</v>
      </c>
    </row>
    <row r="64" spans="2:18" ht="18" customHeight="1" x14ac:dyDescent="0.3">
      <c r="B64" s="557"/>
      <c r="C64" s="555">
        <v>26020056</v>
      </c>
      <c r="D64" s="555"/>
      <c r="E64" s="553"/>
      <c r="F64" s="553"/>
      <c r="G64" s="555" t="s">
        <v>139</v>
      </c>
      <c r="H64" s="555"/>
      <c r="I64" s="555"/>
      <c r="J64" s="555"/>
      <c r="K64" s="556"/>
      <c r="L64" s="556"/>
      <c r="M64" s="14" t="s">
        <v>140</v>
      </c>
      <c r="N64" s="439">
        <v>46044</v>
      </c>
    </row>
    <row r="65" spans="2:15" ht="18" customHeight="1" x14ac:dyDescent="0.3">
      <c r="B65" s="557"/>
      <c r="C65" s="556">
        <v>26020057</v>
      </c>
      <c r="D65" s="556"/>
      <c r="E65" s="552"/>
      <c r="F65" s="552"/>
      <c r="G65" s="556" t="s">
        <v>141</v>
      </c>
      <c r="H65" s="556"/>
      <c r="I65" s="556"/>
      <c r="J65" s="556"/>
      <c r="K65" s="556"/>
      <c r="L65" s="556"/>
      <c r="M65" s="17" t="s">
        <v>142</v>
      </c>
      <c r="N65" s="439">
        <v>46044</v>
      </c>
    </row>
    <row r="66" spans="2:15" ht="18" customHeight="1" x14ac:dyDescent="0.3">
      <c r="B66" s="557"/>
      <c r="C66" s="555">
        <v>26020058</v>
      </c>
      <c r="D66" s="555"/>
      <c r="E66" s="553"/>
      <c r="F66" s="553"/>
      <c r="G66" s="555" t="s">
        <v>143</v>
      </c>
      <c r="H66" s="555"/>
      <c r="I66" s="555"/>
      <c r="J66" s="555"/>
      <c r="K66" s="556"/>
      <c r="L66" s="556"/>
      <c r="M66" s="14" t="s">
        <v>144</v>
      </c>
      <c r="N66" s="439">
        <v>46044</v>
      </c>
      <c r="O66" s="18" t="s">
        <v>145</v>
      </c>
    </row>
    <row r="67" spans="2:15" ht="18" customHeight="1" x14ac:dyDescent="0.3">
      <c r="B67" s="557" t="s">
        <v>146</v>
      </c>
      <c r="C67" s="556">
        <v>26010059</v>
      </c>
      <c r="D67" s="556"/>
      <c r="E67" s="552"/>
      <c r="F67" s="552"/>
      <c r="G67" s="556" t="s">
        <v>104</v>
      </c>
      <c r="H67" s="556"/>
      <c r="I67" s="556"/>
      <c r="J67" s="556"/>
      <c r="K67" s="556" t="s">
        <v>105</v>
      </c>
      <c r="L67" s="556"/>
      <c r="M67" s="17" t="s">
        <v>106</v>
      </c>
      <c r="N67" s="439">
        <v>46035</v>
      </c>
    </row>
    <row r="68" spans="2:15" ht="18" customHeight="1" x14ac:dyDescent="0.3">
      <c r="B68" s="557"/>
      <c r="C68" s="555">
        <v>26010060</v>
      </c>
      <c r="D68" s="555"/>
      <c r="E68" s="553"/>
      <c r="F68" s="553"/>
      <c r="G68" s="555" t="s">
        <v>104</v>
      </c>
      <c r="H68" s="555"/>
      <c r="I68" s="555"/>
      <c r="J68" s="555"/>
      <c r="K68" s="556"/>
      <c r="L68" s="556"/>
      <c r="M68" s="14" t="s">
        <v>106</v>
      </c>
      <c r="N68" s="439">
        <v>46037</v>
      </c>
    </row>
    <row r="69" spans="2:15" ht="18" customHeight="1" x14ac:dyDescent="0.3">
      <c r="B69" s="557"/>
      <c r="C69" s="556">
        <v>26010061</v>
      </c>
      <c r="D69" s="556"/>
      <c r="E69" s="552"/>
      <c r="F69" s="552"/>
      <c r="G69" s="556" t="s">
        <v>104</v>
      </c>
      <c r="H69" s="556"/>
      <c r="I69" s="556"/>
      <c r="J69" s="556"/>
      <c r="K69" s="556"/>
      <c r="L69" s="556"/>
      <c r="M69" s="17" t="s">
        <v>106</v>
      </c>
      <c r="N69" s="439">
        <v>46037</v>
      </c>
    </row>
    <row r="70" spans="2:15" ht="18" customHeight="1" x14ac:dyDescent="0.3">
      <c r="B70" s="557"/>
      <c r="C70" s="555">
        <v>26010062</v>
      </c>
      <c r="D70" s="555"/>
      <c r="E70" s="553"/>
      <c r="F70" s="553"/>
      <c r="G70" s="555" t="s">
        <v>104</v>
      </c>
      <c r="H70" s="555"/>
      <c r="I70" s="555"/>
      <c r="J70" s="555"/>
      <c r="K70" s="556"/>
      <c r="L70" s="556"/>
      <c r="M70" s="14" t="s">
        <v>106</v>
      </c>
      <c r="N70" s="439">
        <v>46037</v>
      </c>
    </row>
    <row r="71" spans="2:15" ht="18" customHeight="1" x14ac:dyDescent="0.3">
      <c r="B71" s="557"/>
      <c r="C71" s="556">
        <v>26010063</v>
      </c>
      <c r="D71" s="556"/>
      <c r="E71" s="552"/>
      <c r="F71" s="552"/>
      <c r="G71" s="556" t="s">
        <v>104</v>
      </c>
      <c r="H71" s="556"/>
      <c r="I71" s="556"/>
      <c r="J71" s="556"/>
      <c r="K71" s="556"/>
      <c r="L71" s="556"/>
      <c r="M71" s="17" t="s">
        <v>106</v>
      </c>
      <c r="N71" s="439">
        <v>46037</v>
      </c>
    </row>
    <row r="72" spans="2:15" ht="18" customHeight="1" x14ac:dyDescent="0.3">
      <c r="B72" s="557"/>
      <c r="C72" s="555">
        <v>26010064</v>
      </c>
      <c r="D72" s="555"/>
      <c r="E72" s="553"/>
      <c r="F72" s="553"/>
      <c r="G72" s="555" t="s">
        <v>104</v>
      </c>
      <c r="H72" s="555"/>
      <c r="I72" s="555"/>
      <c r="J72" s="555"/>
      <c r="K72" s="556"/>
      <c r="L72" s="556"/>
      <c r="M72" s="14" t="s">
        <v>106</v>
      </c>
      <c r="N72" s="439">
        <v>46037</v>
      </c>
    </row>
    <row r="73" spans="2:15" ht="18" customHeight="1" x14ac:dyDescent="0.5">
      <c r="B73" s="557"/>
      <c r="C73" s="556">
        <v>26010065</v>
      </c>
      <c r="D73" s="556"/>
      <c r="E73" s="559"/>
      <c r="F73" s="559"/>
      <c r="G73" s="556" t="s">
        <v>104</v>
      </c>
      <c r="H73" s="556"/>
      <c r="I73" s="556"/>
      <c r="J73" s="556"/>
      <c r="K73" s="556"/>
      <c r="L73" s="556"/>
      <c r="M73" s="17" t="s">
        <v>106</v>
      </c>
      <c r="N73" s="439">
        <v>46037</v>
      </c>
    </row>
    <row r="74" spans="2:15" ht="18" customHeight="1" x14ac:dyDescent="0.5">
      <c r="B74" s="557"/>
      <c r="C74" s="555">
        <v>26010066</v>
      </c>
      <c r="D74" s="555"/>
      <c r="E74" s="560"/>
      <c r="F74" s="560"/>
      <c r="G74" s="555" t="s">
        <v>104</v>
      </c>
      <c r="H74" s="555"/>
      <c r="I74" s="555"/>
      <c r="J74" s="555"/>
      <c r="K74" s="556"/>
      <c r="L74" s="556"/>
      <c r="M74" s="14" t="s">
        <v>106</v>
      </c>
      <c r="N74" s="439">
        <v>46038</v>
      </c>
    </row>
    <row r="75" spans="2:15" ht="18" customHeight="1" x14ac:dyDescent="0.3">
      <c r="B75" s="557"/>
      <c r="C75" s="556">
        <v>26010067</v>
      </c>
      <c r="D75" s="556"/>
      <c r="E75" s="552"/>
      <c r="F75" s="552"/>
      <c r="G75" s="556" t="s">
        <v>104</v>
      </c>
      <c r="H75" s="556"/>
      <c r="I75" s="556"/>
      <c r="J75" s="556"/>
      <c r="K75" s="556"/>
      <c r="L75" s="556"/>
      <c r="M75" s="17" t="s">
        <v>106</v>
      </c>
      <c r="N75" s="439">
        <v>46038</v>
      </c>
    </row>
    <row r="76" spans="2:15" ht="18" customHeight="1" x14ac:dyDescent="0.3">
      <c r="B76" s="557"/>
      <c r="C76" s="555">
        <v>26010068</v>
      </c>
      <c r="D76" s="555"/>
      <c r="E76" s="553"/>
      <c r="F76" s="553"/>
      <c r="G76" s="555" t="s">
        <v>104</v>
      </c>
      <c r="H76" s="555"/>
      <c r="I76" s="555"/>
      <c r="J76" s="555"/>
      <c r="K76" s="556"/>
      <c r="L76" s="556"/>
      <c r="M76" s="14" t="s">
        <v>106</v>
      </c>
      <c r="N76" s="439">
        <v>46038</v>
      </c>
    </row>
    <row r="77" spans="2:15" ht="18" customHeight="1" x14ac:dyDescent="0.3">
      <c r="B77" s="557"/>
      <c r="C77" s="556">
        <v>26010069</v>
      </c>
      <c r="D77" s="556"/>
      <c r="E77" s="552"/>
      <c r="F77" s="552"/>
      <c r="G77" s="556" t="s">
        <v>104</v>
      </c>
      <c r="H77" s="556"/>
      <c r="I77" s="556"/>
      <c r="J77" s="556"/>
      <c r="K77" s="556"/>
      <c r="L77" s="556"/>
      <c r="M77" s="17" t="s">
        <v>106</v>
      </c>
      <c r="N77" s="439">
        <v>46038</v>
      </c>
    </row>
    <row r="78" spans="2:15" ht="18" customHeight="1" x14ac:dyDescent="0.3">
      <c r="B78" s="557"/>
      <c r="C78" s="555">
        <v>26010070</v>
      </c>
      <c r="D78" s="555"/>
      <c r="E78" s="553"/>
      <c r="F78" s="553"/>
      <c r="G78" s="555" t="s">
        <v>104</v>
      </c>
      <c r="H78" s="555"/>
      <c r="I78" s="555"/>
      <c r="J78" s="555"/>
      <c r="K78" s="556"/>
      <c r="L78" s="556"/>
      <c r="M78" s="14" t="s">
        <v>106</v>
      </c>
      <c r="N78" s="439">
        <v>46038</v>
      </c>
    </row>
    <row r="79" spans="2:15" ht="18" customHeight="1" x14ac:dyDescent="0.3">
      <c r="B79" s="557"/>
      <c r="C79" s="556">
        <v>26010071</v>
      </c>
      <c r="D79" s="556"/>
      <c r="E79" s="552"/>
      <c r="F79" s="552"/>
      <c r="G79" s="556" t="s">
        <v>104</v>
      </c>
      <c r="H79" s="556"/>
      <c r="I79" s="556"/>
      <c r="J79" s="556"/>
      <c r="K79" s="556"/>
      <c r="L79" s="556"/>
      <c r="M79" s="17" t="s">
        <v>106</v>
      </c>
      <c r="N79" s="439">
        <v>46038</v>
      </c>
    </row>
    <row r="80" spans="2:15" ht="18" customHeight="1" x14ac:dyDescent="0.3">
      <c r="B80" s="557"/>
      <c r="C80" s="555">
        <v>26010072</v>
      </c>
      <c r="D80" s="555"/>
      <c r="E80" s="553"/>
      <c r="F80" s="553"/>
      <c r="G80" s="555" t="s">
        <v>104</v>
      </c>
      <c r="H80" s="555"/>
      <c r="I80" s="555"/>
      <c r="J80" s="555"/>
      <c r="K80" s="556"/>
      <c r="L80" s="556"/>
      <c r="M80" s="14" t="s">
        <v>106</v>
      </c>
      <c r="N80" s="439">
        <v>46038</v>
      </c>
    </row>
    <row r="81" spans="2:15" ht="18" customHeight="1" x14ac:dyDescent="0.5">
      <c r="B81" s="557"/>
      <c r="C81" s="556">
        <v>26010073</v>
      </c>
      <c r="D81" s="556"/>
      <c r="E81" s="559"/>
      <c r="F81" s="559"/>
      <c r="G81" s="556" t="s">
        <v>104</v>
      </c>
      <c r="H81" s="556"/>
      <c r="I81" s="556"/>
      <c r="J81" s="556"/>
      <c r="K81" s="556"/>
      <c r="L81" s="556"/>
      <c r="M81" s="17" t="s">
        <v>106</v>
      </c>
      <c r="N81" s="439">
        <v>46038</v>
      </c>
    </row>
    <row r="82" spans="2:15" ht="18" customHeight="1" x14ac:dyDescent="0.3">
      <c r="B82" s="557"/>
      <c r="C82" s="555">
        <v>26010074</v>
      </c>
      <c r="D82" s="555"/>
      <c r="E82" s="553"/>
      <c r="F82" s="553"/>
      <c r="G82" s="555" t="s">
        <v>147</v>
      </c>
      <c r="H82" s="555"/>
      <c r="I82" s="555"/>
      <c r="J82" s="555"/>
      <c r="K82" s="556"/>
      <c r="L82" s="556"/>
      <c r="M82" s="14" t="s">
        <v>106</v>
      </c>
      <c r="N82" s="439">
        <v>46041</v>
      </c>
    </row>
    <row r="83" spans="2:15" ht="18" customHeight="1" x14ac:dyDescent="0.3">
      <c r="B83" s="557"/>
      <c r="C83" s="556">
        <v>26010075</v>
      </c>
      <c r="D83" s="556"/>
      <c r="E83" s="552"/>
      <c r="F83" s="552"/>
      <c r="G83" s="556" t="s">
        <v>147</v>
      </c>
      <c r="H83" s="556"/>
      <c r="I83" s="556"/>
      <c r="J83" s="556"/>
      <c r="K83" s="556"/>
      <c r="L83" s="556"/>
      <c r="M83" s="17" t="s">
        <v>106</v>
      </c>
      <c r="N83" s="439">
        <v>46041</v>
      </c>
    </row>
    <row r="84" spans="2:15" ht="18" customHeight="1" x14ac:dyDescent="0.3">
      <c r="B84" s="557"/>
      <c r="C84" s="555">
        <v>26010076</v>
      </c>
      <c r="D84" s="555"/>
      <c r="E84" s="553"/>
      <c r="F84" s="553"/>
      <c r="G84" s="555" t="s">
        <v>147</v>
      </c>
      <c r="H84" s="555"/>
      <c r="I84" s="555"/>
      <c r="J84" s="555"/>
      <c r="K84" s="556"/>
      <c r="L84" s="556"/>
      <c r="M84" s="14" t="s">
        <v>106</v>
      </c>
      <c r="N84" s="439">
        <v>46041</v>
      </c>
    </row>
    <row r="85" spans="2:15" ht="18" customHeight="1" x14ac:dyDescent="0.5">
      <c r="B85" s="557"/>
      <c r="C85" s="556">
        <v>26010077</v>
      </c>
      <c r="D85" s="556"/>
      <c r="E85" s="559"/>
      <c r="F85" s="559"/>
      <c r="G85" s="556" t="s">
        <v>147</v>
      </c>
      <c r="H85" s="556"/>
      <c r="I85" s="556"/>
      <c r="J85" s="556"/>
      <c r="K85" s="556"/>
      <c r="L85" s="556"/>
      <c r="M85" s="17" t="s">
        <v>106</v>
      </c>
      <c r="N85" s="439">
        <v>46041</v>
      </c>
    </row>
    <row r="86" spans="2:15" ht="18" customHeight="1" x14ac:dyDescent="0.3">
      <c r="B86" s="557"/>
      <c r="C86" s="555">
        <v>26010078</v>
      </c>
      <c r="D86" s="555"/>
      <c r="E86" s="553"/>
      <c r="F86" s="553"/>
      <c r="G86" s="555" t="s">
        <v>147</v>
      </c>
      <c r="H86" s="555"/>
      <c r="I86" s="555"/>
      <c r="J86" s="555"/>
      <c r="K86" s="556"/>
      <c r="L86" s="556"/>
      <c r="M86" s="14" t="s">
        <v>106</v>
      </c>
      <c r="N86" s="439">
        <v>46041</v>
      </c>
    </row>
    <row r="87" spans="2:15" ht="18" customHeight="1" x14ac:dyDescent="0.3">
      <c r="B87" s="557"/>
      <c r="C87" s="556">
        <v>26010079</v>
      </c>
      <c r="D87" s="556"/>
      <c r="E87" s="552"/>
      <c r="F87" s="552"/>
      <c r="G87" s="556" t="s">
        <v>147</v>
      </c>
      <c r="H87" s="556"/>
      <c r="I87" s="556"/>
      <c r="J87" s="556"/>
      <c r="K87" s="556"/>
      <c r="L87" s="556"/>
      <c r="M87" s="17" t="s">
        <v>106</v>
      </c>
      <c r="N87" s="439">
        <v>46041</v>
      </c>
    </row>
    <row r="88" spans="2:15" ht="18" customHeight="1" x14ac:dyDescent="0.5">
      <c r="B88" s="557"/>
      <c r="C88" s="555">
        <v>26010080</v>
      </c>
      <c r="D88" s="555"/>
      <c r="E88" s="560"/>
      <c r="F88" s="560"/>
      <c r="G88" s="555" t="s">
        <v>147</v>
      </c>
      <c r="H88" s="555"/>
      <c r="I88" s="555"/>
      <c r="J88" s="555"/>
      <c r="K88" s="556"/>
      <c r="L88" s="556"/>
      <c r="M88" s="14" t="s">
        <v>106</v>
      </c>
      <c r="N88" s="439">
        <v>46041</v>
      </c>
    </row>
    <row r="89" spans="2:15" ht="18" customHeight="1" x14ac:dyDescent="0.3">
      <c r="B89" s="557"/>
      <c r="C89" s="556">
        <v>26010081</v>
      </c>
      <c r="D89" s="556"/>
      <c r="E89" s="552"/>
      <c r="F89" s="552"/>
      <c r="G89" s="556" t="s">
        <v>104</v>
      </c>
      <c r="H89" s="556"/>
      <c r="I89" s="556"/>
      <c r="J89" s="556"/>
      <c r="K89" s="556"/>
      <c r="L89" s="556"/>
      <c r="M89" s="17" t="s">
        <v>106</v>
      </c>
      <c r="N89" s="439">
        <v>46042</v>
      </c>
    </row>
    <row r="90" spans="2:15" ht="18" customHeight="1" x14ac:dyDescent="0.3">
      <c r="B90" s="557"/>
      <c r="C90" s="555">
        <v>26010082</v>
      </c>
      <c r="D90" s="555"/>
      <c r="E90" s="553"/>
      <c r="F90" s="553"/>
      <c r="G90" s="555" t="s">
        <v>104</v>
      </c>
      <c r="H90" s="555"/>
      <c r="I90" s="555"/>
      <c r="J90" s="555"/>
      <c r="K90" s="556"/>
      <c r="L90" s="556"/>
      <c r="M90" s="14" t="s">
        <v>106</v>
      </c>
      <c r="N90" s="439">
        <v>46042</v>
      </c>
    </row>
    <row r="91" spans="2:15" ht="18" customHeight="1" x14ac:dyDescent="0.3">
      <c r="B91" s="557"/>
      <c r="C91" s="556">
        <v>26010083</v>
      </c>
      <c r="D91" s="556"/>
      <c r="E91" s="552"/>
      <c r="F91" s="552"/>
      <c r="G91" s="556" t="s">
        <v>104</v>
      </c>
      <c r="H91" s="556"/>
      <c r="I91" s="556"/>
      <c r="J91" s="556"/>
      <c r="K91" s="556"/>
      <c r="L91" s="556"/>
      <c r="M91" s="17" t="s">
        <v>106</v>
      </c>
      <c r="N91" s="439">
        <v>46042</v>
      </c>
    </row>
    <row r="92" spans="2:15" ht="18" customHeight="1" x14ac:dyDescent="0.3">
      <c r="B92" s="558" t="s">
        <v>148</v>
      </c>
      <c r="C92" s="553"/>
      <c r="D92" s="553"/>
      <c r="E92" s="555">
        <v>26020055</v>
      </c>
      <c r="F92" s="555"/>
      <c r="G92" s="555" t="s">
        <v>137</v>
      </c>
      <c r="H92" s="555"/>
      <c r="I92" s="555"/>
      <c r="J92" s="555"/>
      <c r="K92" s="555" t="s">
        <v>149</v>
      </c>
      <c r="L92" s="555"/>
      <c r="M92" s="16" t="s">
        <v>150</v>
      </c>
      <c r="N92" s="439">
        <v>46043</v>
      </c>
    </row>
    <row r="93" spans="2:15" ht="18" customHeight="1" x14ac:dyDescent="0.3">
      <c r="B93" s="558"/>
      <c r="C93" s="552"/>
      <c r="D93" s="552"/>
      <c r="E93" s="556">
        <v>26020056</v>
      </c>
      <c r="F93" s="556"/>
      <c r="G93" s="556" t="s">
        <v>139</v>
      </c>
      <c r="H93" s="556"/>
      <c r="I93" s="556"/>
      <c r="J93" s="556"/>
      <c r="K93" s="555"/>
      <c r="L93" s="555"/>
      <c r="M93" s="12" t="s">
        <v>151</v>
      </c>
      <c r="N93" s="439">
        <v>46044</v>
      </c>
    </row>
    <row r="94" spans="2:15" ht="18" customHeight="1" x14ac:dyDescent="0.3">
      <c r="B94" s="558"/>
      <c r="C94" s="553"/>
      <c r="D94" s="553"/>
      <c r="E94" s="555">
        <v>26020057</v>
      </c>
      <c r="F94" s="555"/>
      <c r="G94" s="555" t="s">
        <v>141</v>
      </c>
      <c r="H94" s="555"/>
      <c r="I94" s="555"/>
      <c r="J94" s="555"/>
      <c r="K94" s="555"/>
      <c r="L94" s="555"/>
      <c r="M94" s="16" t="s">
        <v>152</v>
      </c>
      <c r="N94" s="439">
        <v>46044</v>
      </c>
    </row>
    <row r="95" spans="2:15" ht="18" customHeight="1" x14ac:dyDescent="0.3">
      <c r="B95" s="558"/>
      <c r="C95" s="552"/>
      <c r="D95" s="552"/>
      <c r="E95" s="556">
        <v>26020058</v>
      </c>
      <c r="F95" s="556"/>
      <c r="G95" s="556" t="s">
        <v>143</v>
      </c>
      <c r="H95" s="556"/>
      <c r="I95" s="556"/>
      <c r="J95" s="556"/>
      <c r="K95" s="555"/>
      <c r="L95" s="555"/>
      <c r="M95" s="12" t="s">
        <v>150</v>
      </c>
      <c r="N95" s="439">
        <v>46045</v>
      </c>
      <c r="O95" s="18" t="s">
        <v>153</v>
      </c>
    </row>
    <row r="96" spans="2:15" ht="17.25" customHeight="1" x14ac:dyDescent="0.3">
      <c r="B96" s="13" t="s">
        <v>154</v>
      </c>
      <c r="C96" s="553"/>
      <c r="D96" s="553"/>
      <c r="E96" s="555">
        <v>26020055</v>
      </c>
      <c r="F96" s="555"/>
      <c r="G96" s="555" t="s">
        <v>137</v>
      </c>
      <c r="H96" s="555"/>
      <c r="I96" s="555"/>
      <c r="J96" s="555"/>
      <c r="K96" s="555" t="s">
        <v>155</v>
      </c>
      <c r="L96" s="555"/>
      <c r="M96" s="16" t="s">
        <v>156</v>
      </c>
      <c r="N96" s="448"/>
    </row>
    <row r="97" spans="2:14" ht="17.25" customHeight="1" x14ac:dyDescent="0.3">
      <c r="B97" s="15" t="s">
        <v>157</v>
      </c>
      <c r="C97" s="552"/>
      <c r="D97" s="552"/>
      <c r="E97" s="556">
        <v>26020055</v>
      </c>
      <c r="F97" s="556"/>
      <c r="G97" s="556" t="s">
        <v>137</v>
      </c>
      <c r="H97" s="556"/>
      <c r="I97" s="556"/>
      <c r="J97" s="556"/>
      <c r="K97" s="556" t="s">
        <v>91</v>
      </c>
      <c r="L97" s="556"/>
      <c r="M97" s="12" t="s">
        <v>156</v>
      </c>
      <c r="N97" s="439">
        <v>46043</v>
      </c>
    </row>
    <row r="98" spans="2:14" ht="17.25" customHeight="1" x14ac:dyDescent="0.3">
      <c r="B98" s="13" t="s">
        <v>158</v>
      </c>
      <c r="C98" s="555">
        <v>26010049</v>
      </c>
      <c r="D98" s="555"/>
      <c r="E98" s="553"/>
      <c r="F98" s="553"/>
      <c r="G98" s="555" t="s">
        <v>159</v>
      </c>
      <c r="H98" s="555"/>
      <c r="I98" s="555"/>
      <c r="J98" s="555"/>
      <c r="K98" s="555" t="s">
        <v>160</v>
      </c>
      <c r="L98" s="555"/>
      <c r="M98" s="14" t="s">
        <v>161</v>
      </c>
      <c r="N98" s="439">
        <v>46037</v>
      </c>
    </row>
    <row r="99" spans="2:14" ht="17.25" customHeight="1" x14ac:dyDescent="0.3">
      <c r="B99" s="15" t="s">
        <v>162</v>
      </c>
      <c r="C99" s="556">
        <v>26010084</v>
      </c>
      <c r="D99" s="556"/>
      <c r="E99" s="552"/>
      <c r="F99" s="552"/>
      <c r="G99" s="556" t="s">
        <v>163</v>
      </c>
      <c r="H99" s="556"/>
      <c r="I99" s="556"/>
      <c r="J99" s="556"/>
      <c r="K99" s="556" t="s">
        <v>164</v>
      </c>
      <c r="L99" s="556"/>
      <c r="M99" s="12" t="s">
        <v>165</v>
      </c>
      <c r="N99" s="439">
        <v>46042</v>
      </c>
    </row>
    <row r="100" spans="2:14" ht="17.25" customHeight="1" x14ac:dyDescent="0.3">
      <c r="B100" s="13" t="s">
        <v>166</v>
      </c>
      <c r="C100" s="555">
        <v>26010085</v>
      </c>
      <c r="D100" s="555"/>
      <c r="E100" s="553"/>
      <c r="F100" s="553"/>
      <c r="G100" s="555" t="s">
        <v>167</v>
      </c>
      <c r="H100" s="555"/>
      <c r="I100" s="555"/>
      <c r="J100" s="555"/>
      <c r="K100" s="555" t="s">
        <v>168</v>
      </c>
      <c r="L100" s="555"/>
      <c r="M100" s="14" t="s">
        <v>169</v>
      </c>
      <c r="N100" s="439">
        <v>46042</v>
      </c>
    </row>
    <row r="101" spans="2:14" ht="18" customHeight="1" x14ac:dyDescent="0.3">
      <c r="B101" s="557" t="s">
        <v>170</v>
      </c>
      <c r="C101" s="556">
        <v>26010086</v>
      </c>
      <c r="D101" s="556"/>
      <c r="E101" s="552"/>
      <c r="F101" s="552"/>
      <c r="G101" s="556" t="s">
        <v>104</v>
      </c>
      <c r="H101" s="556"/>
      <c r="I101" s="556"/>
      <c r="J101" s="556"/>
      <c r="K101" s="556" t="s">
        <v>105</v>
      </c>
      <c r="L101" s="556"/>
      <c r="M101" s="17" t="s">
        <v>106</v>
      </c>
      <c r="N101" s="439">
        <v>46042</v>
      </c>
    </row>
    <row r="102" spans="2:14" ht="18" customHeight="1" x14ac:dyDescent="0.3">
      <c r="B102" s="557"/>
      <c r="C102" s="555">
        <v>26010087</v>
      </c>
      <c r="D102" s="555"/>
      <c r="E102" s="553"/>
      <c r="F102" s="553"/>
      <c r="G102" s="555" t="s">
        <v>104</v>
      </c>
      <c r="H102" s="555"/>
      <c r="I102" s="555"/>
      <c r="J102" s="555"/>
      <c r="K102" s="556"/>
      <c r="L102" s="556"/>
      <c r="M102" s="14" t="s">
        <v>106</v>
      </c>
      <c r="N102" s="439">
        <v>46050</v>
      </c>
    </row>
    <row r="103" spans="2:14" ht="18" customHeight="1" x14ac:dyDescent="0.5">
      <c r="B103" s="557"/>
      <c r="C103" s="556">
        <v>26010088</v>
      </c>
      <c r="D103" s="556"/>
      <c r="E103" s="559"/>
      <c r="F103" s="559"/>
      <c r="G103" s="556" t="s">
        <v>104</v>
      </c>
      <c r="H103" s="556"/>
      <c r="I103" s="556"/>
      <c r="J103" s="556"/>
      <c r="K103" s="556"/>
      <c r="L103" s="556"/>
      <c r="M103" s="17" t="s">
        <v>106</v>
      </c>
      <c r="N103" s="439">
        <v>46050</v>
      </c>
    </row>
    <row r="104" spans="2:14" ht="18" customHeight="1" x14ac:dyDescent="0.3">
      <c r="B104" s="557"/>
      <c r="C104" s="555">
        <v>26010089</v>
      </c>
      <c r="D104" s="555"/>
      <c r="E104" s="553"/>
      <c r="F104" s="553"/>
      <c r="G104" s="555" t="s">
        <v>104</v>
      </c>
      <c r="H104" s="555"/>
      <c r="I104" s="555"/>
      <c r="J104" s="555"/>
      <c r="K104" s="556"/>
      <c r="L104" s="556"/>
      <c r="M104" s="14" t="s">
        <v>106</v>
      </c>
      <c r="N104" s="439">
        <v>46051</v>
      </c>
    </row>
    <row r="105" spans="2:14" ht="18" customHeight="1" x14ac:dyDescent="0.5">
      <c r="B105" s="557"/>
      <c r="C105" s="556">
        <v>26010090</v>
      </c>
      <c r="D105" s="556"/>
      <c r="E105" s="559"/>
      <c r="F105" s="559"/>
      <c r="G105" s="556" t="s">
        <v>104</v>
      </c>
      <c r="H105" s="556"/>
      <c r="I105" s="556"/>
      <c r="J105" s="556"/>
      <c r="K105" s="556"/>
      <c r="L105" s="556"/>
      <c r="M105" s="17" t="s">
        <v>106</v>
      </c>
      <c r="N105" s="439">
        <v>46051</v>
      </c>
    </row>
    <row r="106" spans="2:14" ht="18" customHeight="1" x14ac:dyDescent="0.3">
      <c r="B106" s="557"/>
      <c r="C106" s="555">
        <v>26010091</v>
      </c>
      <c r="D106" s="555"/>
      <c r="E106" s="553"/>
      <c r="F106" s="553"/>
      <c r="G106" s="555" t="s">
        <v>104</v>
      </c>
      <c r="H106" s="555"/>
      <c r="I106" s="555"/>
      <c r="J106" s="555"/>
      <c r="K106" s="556"/>
      <c r="L106" s="556"/>
      <c r="M106" s="14" t="s">
        <v>106</v>
      </c>
      <c r="N106" s="439">
        <v>46051</v>
      </c>
    </row>
    <row r="107" spans="2:14" ht="18" customHeight="1" x14ac:dyDescent="0.3">
      <c r="B107" s="557"/>
      <c r="C107" s="556">
        <v>26010092</v>
      </c>
      <c r="D107" s="556"/>
      <c r="E107" s="552"/>
      <c r="F107" s="552"/>
      <c r="G107" s="556" t="s">
        <v>104</v>
      </c>
      <c r="H107" s="556"/>
      <c r="I107" s="556"/>
      <c r="J107" s="556"/>
      <c r="K107" s="556"/>
      <c r="L107" s="556"/>
      <c r="M107" s="17" t="s">
        <v>106</v>
      </c>
      <c r="N107" s="439">
        <v>46051</v>
      </c>
    </row>
    <row r="108" spans="2:14" ht="18" customHeight="1" x14ac:dyDescent="0.3">
      <c r="B108" s="557"/>
      <c r="C108" s="555">
        <v>26010093</v>
      </c>
      <c r="D108" s="555"/>
      <c r="E108" s="553"/>
      <c r="F108" s="553"/>
      <c r="G108" s="555" t="s">
        <v>104</v>
      </c>
      <c r="H108" s="555"/>
      <c r="I108" s="555"/>
      <c r="J108" s="555"/>
      <c r="K108" s="556"/>
      <c r="L108" s="556"/>
      <c r="M108" s="14" t="s">
        <v>106</v>
      </c>
      <c r="N108" s="439">
        <v>46051</v>
      </c>
    </row>
    <row r="109" spans="2:14" ht="18" customHeight="1" x14ac:dyDescent="0.3">
      <c r="B109" s="557"/>
      <c r="C109" s="556">
        <v>26010094</v>
      </c>
      <c r="D109" s="556"/>
      <c r="E109" s="552"/>
      <c r="F109" s="552"/>
      <c r="G109" s="556" t="s">
        <v>104</v>
      </c>
      <c r="H109" s="556"/>
      <c r="I109" s="556"/>
      <c r="J109" s="556"/>
      <c r="K109" s="556"/>
      <c r="L109" s="556"/>
      <c r="M109" s="17" t="s">
        <v>106</v>
      </c>
      <c r="N109" s="439">
        <v>46051</v>
      </c>
    </row>
    <row r="110" spans="2:14" ht="18" customHeight="1" x14ac:dyDescent="0.3">
      <c r="B110" s="557"/>
      <c r="C110" s="555">
        <v>26010095</v>
      </c>
      <c r="D110" s="555"/>
      <c r="E110" s="553"/>
      <c r="F110" s="553"/>
      <c r="G110" s="555" t="s">
        <v>104</v>
      </c>
      <c r="H110" s="555"/>
      <c r="I110" s="555"/>
      <c r="J110" s="555"/>
      <c r="K110" s="556"/>
      <c r="L110" s="556"/>
      <c r="M110" s="14" t="s">
        <v>106</v>
      </c>
      <c r="N110" s="439">
        <v>46051</v>
      </c>
    </row>
    <row r="111" spans="2:14" ht="18" customHeight="1" x14ac:dyDescent="0.3">
      <c r="B111" s="557"/>
      <c r="C111" s="556">
        <v>26010096</v>
      </c>
      <c r="D111" s="556"/>
      <c r="E111" s="552"/>
      <c r="F111" s="552"/>
      <c r="G111" s="556" t="s">
        <v>104</v>
      </c>
      <c r="H111" s="556"/>
      <c r="I111" s="556"/>
      <c r="J111" s="556"/>
      <c r="K111" s="556"/>
      <c r="L111" s="556"/>
      <c r="M111" s="17" t="s">
        <v>106</v>
      </c>
      <c r="N111" s="439">
        <v>46051</v>
      </c>
    </row>
    <row r="112" spans="2:14" ht="18" customHeight="1" x14ac:dyDescent="0.3">
      <c r="B112" s="557"/>
      <c r="C112" s="555">
        <v>26010097</v>
      </c>
      <c r="D112" s="555"/>
      <c r="E112" s="553"/>
      <c r="F112" s="553"/>
      <c r="G112" s="555" t="s">
        <v>104</v>
      </c>
      <c r="H112" s="555"/>
      <c r="I112" s="555"/>
      <c r="J112" s="555"/>
      <c r="K112" s="556"/>
      <c r="L112" s="556"/>
      <c r="M112" s="14" t="s">
        <v>106</v>
      </c>
      <c r="N112" s="439">
        <v>46052</v>
      </c>
    </row>
    <row r="113" spans="2:14" ht="18" customHeight="1" x14ac:dyDescent="0.5">
      <c r="B113" s="557"/>
      <c r="C113" s="556">
        <v>26010098</v>
      </c>
      <c r="D113" s="556"/>
      <c r="E113" s="559"/>
      <c r="F113" s="559"/>
      <c r="G113" s="556" t="s">
        <v>104</v>
      </c>
      <c r="H113" s="556"/>
      <c r="I113" s="556"/>
      <c r="J113" s="556"/>
      <c r="K113" s="556"/>
      <c r="L113" s="556"/>
      <c r="M113" s="17" t="s">
        <v>106</v>
      </c>
      <c r="N113" s="439">
        <v>46052</v>
      </c>
    </row>
    <row r="114" spans="2:14" ht="18" customHeight="1" x14ac:dyDescent="0.3">
      <c r="B114" s="557"/>
      <c r="C114" s="555">
        <v>26010099</v>
      </c>
      <c r="D114" s="555"/>
      <c r="E114" s="553"/>
      <c r="F114" s="553"/>
      <c r="G114" s="555" t="s">
        <v>104</v>
      </c>
      <c r="H114" s="555"/>
      <c r="I114" s="555"/>
      <c r="J114" s="555"/>
      <c r="K114" s="556"/>
      <c r="L114" s="556"/>
      <c r="M114" s="14" t="s">
        <v>106</v>
      </c>
      <c r="N114" s="439">
        <v>46052</v>
      </c>
    </row>
    <row r="115" spans="2:14" ht="18" customHeight="1" x14ac:dyDescent="0.3">
      <c r="B115" s="557"/>
      <c r="C115" s="556">
        <v>26010100</v>
      </c>
      <c r="D115" s="556"/>
      <c r="E115" s="552"/>
      <c r="F115" s="552"/>
      <c r="G115" s="556" t="s">
        <v>104</v>
      </c>
      <c r="H115" s="556"/>
      <c r="I115" s="556"/>
      <c r="J115" s="556"/>
      <c r="K115" s="556"/>
      <c r="L115" s="556"/>
      <c r="M115" s="17" t="s">
        <v>106</v>
      </c>
      <c r="N115" s="439">
        <v>46052</v>
      </c>
    </row>
    <row r="116" spans="2:14" ht="18" customHeight="1" x14ac:dyDescent="0.3">
      <c r="B116" s="557"/>
      <c r="C116" s="555">
        <v>26010101</v>
      </c>
      <c r="D116" s="555"/>
      <c r="E116" s="553"/>
      <c r="F116" s="553"/>
      <c r="G116" s="555" t="s">
        <v>104</v>
      </c>
      <c r="H116" s="555"/>
      <c r="I116" s="555"/>
      <c r="J116" s="555"/>
      <c r="K116" s="556"/>
      <c r="L116" s="556"/>
      <c r="M116" s="14" t="s">
        <v>106</v>
      </c>
      <c r="N116" s="439">
        <v>46052</v>
      </c>
    </row>
    <row r="117" spans="2:14" ht="18" customHeight="1" x14ac:dyDescent="0.5">
      <c r="B117" s="557"/>
      <c r="C117" s="556">
        <v>26010102</v>
      </c>
      <c r="D117" s="556"/>
      <c r="E117" s="559"/>
      <c r="F117" s="559"/>
      <c r="G117" s="556" t="s">
        <v>104</v>
      </c>
      <c r="H117" s="556"/>
      <c r="I117" s="556"/>
      <c r="J117" s="556"/>
      <c r="K117" s="556"/>
      <c r="L117" s="556"/>
      <c r="M117" s="17" t="s">
        <v>106</v>
      </c>
      <c r="N117" s="439">
        <v>46052</v>
      </c>
    </row>
    <row r="118" spans="2:14" ht="18" customHeight="1" x14ac:dyDescent="0.3">
      <c r="B118" s="557"/>
      <c r="C118" s="555">
        <v>26010103</v>
      </c>
      <c r="D118" s="555"/>
      <c r="E118" s="553"/>
      <c r="F118" s="553"/>
      <c r="G118" s="555" t="s">
        <v>104</v>
      </c>
      <c r="H118" s="555"/>
      <c r="I118" s="555"/>
      <c r="J118" s="555"/>
      <c r="K118" s="556"/>
      <c r="L118" s="556"/>
      <c r="M118" s="14" t="s">
        <v>106</v>
      </c>
      <c r="N118" s="439">
        <v>46052</v>
      </c>
    </row>
    <row r="119" spans="2:14" ht="18" customHeight="1" x14ac:dyDescent="0.3">
      <c r="B119" s="557"/>
      <c r="C119" s="556">
        <v>26010104</v>
      </c>
      <c r="D119" s="556"/>
      <c r="E119" s="552"/>
      <c r="F119" s="552"/>
      <c r="G119" s="556" t="s">
        <v>104</v>
      </c>
      <c r="H119" s="556"/>
      <c r="I119" s="556"/>
      <c r="J119" s="556"/>
      <c r="K119" s="556"/>
      <c r="L119" s="556"/>
      <c r="M119" s="17" t="s">
        <v>106</v>
      </c>
      <c r="N119" s="439">
        <v>46052</v>
      </c>
    </row>
    <row r="120" spans="2:14" ht="18" customHeight="1" x14ac:dyDescent="0.3">
      <c r="B120" s="557"/>
      <c r="C120" s="555">
        <v>26010105</v>
      </c>
      <c r="D120" s="555"/>
      <c r="E120" s="553"/>
      <c r="F120" s="553"/>
      <c r="G120" s="555" t="s">
        <v>104</v>
      </c>
      <c r="H120" s="555"/>
      <c r="I120" s="555"/>
      <c r="J120" s="555"/>
      <c r="K120" s="556"/>
      <c r="L120" s="556"/>
      <c r="M120" s="14" t="s">
        <v>106</v>
      </c>
      <c r="N120" s="439">
        <v>46055</v>
      </c>
    </row>
    <row r="121" spans="2:14" ht="18" customHeight="1" x14ac:dyDescent="0.3">
      <c r="B121" s="557"/>
      <c r="C121" s="556">
        <v>26010106</v>
      </c>
      <c r="D121" s="556"/>
      <c r="E121" s="552"/>
      <c r="F121" s="552"/>
      <c r="G121" s="556" t="s">
        <v>104</v>
      </c>
      <c r="H121" s="556"/>
      <c r="I121" s="556"/>
      <c r="J121" s="556"/>
      <c r="K121" s="556"/>
      <c r="L121" s="556"/>
      <c r="M121" s="17" t="s">
        <v>106</v>
      </c>
      <c r="N121" s="439">
        <v>46055</v>
      </c>
    </row>
    <row r="122" spans="2:14" ht="18" customHeight="1" x14ac:dyDescent="0.3">
      <c r="B122" s="557"/>
      <c r="C122" s="555">
        <v>26010107</v>
      </c>
      <c r="D122" s="555"/>
      <c r="E122" s="553"/>
      <c r="F122" s="553"/>
      <c r="G122" s="555" t="s">
        <v>104</v>
      </c>
      <c r="H122" s="555"/>
      <c r="I122" s="555"/>
      <c r="J122" s="555"/>
      <c r="K122" s="556"/>
      <c r="L122" s="556"/>
      <c r="M122" s="14" t="s">
        <v>106</v>
      </c>
      <c r="N122" s="439">
        <v>46055</v>
      </c>
    </row>
    <row r="123" spans="2:14" ht="18" customHeight="1" x14ac:dyDescent="0.5">
      <c r="B123" s="557"/>
      <c r="C123" s="556">
        <v>26010108</v>
      </c>
      <c r="D123" s="556"/>
      <c r="E123" s="559"/>
      <c r="F123" s="559"/>
      <c r="G123" s="556" t="s">
        <v>104</v>
      </c>
      <c r="H123" s="556"/>
      <c r="I123" s="556"/>
      <c r="J123" s="556"/>
      <c r="K123" s="556"/>
      <c r="L123" s="556"/>
      <c r="M123" s="17" t="s">
        <v>106</v>
      </c>
      <c r="N123" s="439">
        <v>46055</v>
      </c>
    </row>
    <row r="124" spans="2:14" ht="18" customHeight="1" x14ac:dyDescent="0.3">
      <c r="B124" s="557"/>
      <c r="C124" s="555">
        <v>26010109</v>
      </c>
      <c r="D124" s="555"/>
      <c r="E124" s="553"/>
      <c r="F124" s="553"/>
      <c r="G124" s="555" t="s">
        <v>104</v>
      </c>
      <c r="H124" s="555"/>
      <c r="I124" s="555"/>
      <c r="J124" s="555"/>
      <c r="K124" s="556"/>
      <c r="L124" s="556"/>
      <c r="M124" s="14" t="s">
        <v>106</v>
      </c>
      <c r="N124" s="439">
        <v>46055</v>
      </c>
    </row>
    <row r="125" spans="2:14" ht="18" customHeight="1" x14ac:dyDescent="0.5">
      <c r="B125" s="557"/>
      <c r="C125" s="556">
        <v>26010110</v>
      </c>
      <c r="D125" s="556"/>
      <c r="E125" s="559"/>
      <c r="F125" s="559"/>
      <c r="G125" s="556" t="s">
        <v>104</v>
      </c>
      <c r="H125" s="556"/>
      <c r="I125" s="556"/>
      <c r="J125" s="556"/>
      <c r="K125" s="556"/>
      <c r="L125" s="556"/>
      <c r="M125" s="17" t="s">
        <v>106</v>
      </c>
      <c r="N125" s="439">
        <v>46055</v>
      </c>
    </row>
    <row r="126" spans="2:14" ht="18" customHeight="1" x14ac:dyDescent="0.3">
      <c r="B126" s="558" t="s">
        <v>171</v>
      </c>
      <c r="C126" s="555">
        <v>26010111</v>
      </c>
      <c r="D126" s="555"/>
      <c r="E126" s="553"/>
      <c r="F126" s="553"/>
      <c r="G126" s="555" t="s">
        <v>172</v>
      </c>
      <c r="H126" s="555"/>
      <c r="I126" s="555"/>
      <c r="J126" s="555"/>
      <c r="K126" s="555" t="s">
        <v>91</v>
      </c>
      <c r="L126" s="555"/>
      <c r="M126" s="16" t="s">
        <v>173</v>
      </c>
      <c r="N126" s="439">
        <v>46048</v>
      </c>
    </row>
    <row r="127" spans="2:14" ht="18" customHeight="1" x14ac:dyDescent="0.3">
      <c r="B127" s="558"/>
      <c r="C127" s="556">
        <v>26010112</v>
      </c>
      <c r="D127" s="556"/>
      <c r="E127" s="552"/>
      <c r="F127" s="552"/>
      <c r="G127" s="556" t="s">
        <v>174</v>
      </c>
      <c r="H127" s="556"/>
      <c r="I127" s="556"/>
      <c r="J127" s="556"/>
      <c r="K127" s="555"/>
      <c r="L127" s="555"/>
      <c r="M127" s="17" t="s">
        <v>175</v>
      </c>
      <c r="N127" s="439">
        <v>46048</v>
      </c>
    </row>
    <row r="128" spans="2:14" ht="17.25" customHeight="1" x14ac:dyDescent="0.3">
      <c r="B128" s="13" t="s">
        <v>176</v>
      </c>
      <c r="C128" s="553"/>
      <c r="D128" s="553"/>
      <c r="E128" s="555">
        <v>2630773</v>
      </c>
      <c r="F128" s="555"/>
      <c r="G128" s="555" t="s">
        <v>177</v>
      </c>
      <c r="H128" s="555"/>
      <c r="I128" s="555"/>
      <c r="J128" s="555"/>
      <c r="K128" s="555" t="s">
        <v>178</v>
      </c>
      <c r="L128" s="555"/>
      <c r="M128" s="14" t="s">
        <v>179</v>
      </c>
      <c r="N128" s="439">
        <v>46048</v>
      </c>
    </row>
    <row r="129" spans="2:14" ht="17.25" customHeight="1" x14ac:dyDescent="0.3">
      <c r="B129" s="15" t="s">
        <v>180</v>
      </c>
      <c r="C129" s="556">
        <v>26010113</v>
      </c>
      <c r="D129" s="556"/>
      <c r="E129" s="552"/>
      <c r="F129" s="552"/>
      <c r="G129" s="556" t="s">
        <v>181</v>
      </c>
      <c r="H129" s="556"/>
      <c r="I129" s="556"/>
      <c r="J129" s="556"/>
      <c r="K129" s="556" t="s">
        <v>182</v>
      </c>
      <c r="L129" s="556"/>
      <c r="M129" s="12" t="s">
        <v>183</v>
      </c>
      <c r="N129" s="439">
        <v>46051</v>
      </c>
    </row>
    <row r="130" spans="2:14" ht="18" customHeight="1" x14ac:dyDescent="0.3">
      <c r="B130" s="558" t="s">
        <v>184</v>
      </c>
      <c r="C130" s="555">
        <v>26010114</v>
      </c>
      <c r="D130" s="555"/>
      <c r="E130" s="553"/>
      <c r="F130" s="553"/>
      <c r="G130" s="555" t="s">
        <v>83</v>
      </c>
      <c r="H130" s="555"/>
      <c r="I130" s="555"/>
      <c r="J130" s="555"/>
      <c r="K130" s="555" t="s">
        <v>60</v>
      </c>
      <c r="L130" s="555"/>
      <c r="M130" s="14" t="s">
        <v>84</v>
      </c>
      <c r="N130" s="439">
        <v>46050</v>
      </c>
    </row>
    <row r="131" spans="2:14" ht="18" customHeight="1" x14ac:dyDescent="0.3">
      <c r="B131" s="558"/>
      <c r="C131" s="556">
        <v>26010115</v>
      </c>
      <c r="D131" s="556"/>
      <c r="E131" s="552"/>
      <c r="F131" s="552"/>
      <c r="G131" s="556" t="s">
        <v>83</v>
      </c>
      <c r="H131" s="556"/>
      <c r="I131" s="556"/>
      <c r="J131" s="556"/>
      <c r="K131" s="555"/>
      <c r="L131" s="555"/>
      <c r="M131" s="17" t="s">
        <v>84</v>
      </c>
      <c r="N131" s="439">
        <v>46050</v>
      </c>
    </row>
    <row r="132" spans="2:14" ht="17.25" customHeight="1" x14ac:dyDescent="0.3">
      <c r="B132" s="13" t="s">
        <v>185</v>
      </c>
      <c r="C132" s="555">
        <v>26010116</v>
      </c>
      <c r="D132" s="555"/>
      <c r="E132" s="553"/>
      <c r="F132" s="553"/>
      <c r="G132" s="555" t="s">
        <v>186</v>
      </c>
      <c r="H132" s="555"/>
      <c r="I132" s="555"/>
      <c r="J132" s="555"/>
      <c r="K132" s="555" t="s">
        <v>87</v>
      </c>
      <c r="L132" s="555"/>
      <c r="M132" s="16" t="s">
        <v>187</v>
      </c>
      <c r="N132" s="439">
        <v>46052</v>
      </c>
    </row>
    <row r="133" spans="2:14" ht="17.25" customHeight="1" x14ac:dyDescent="0.3">
      <c r="B133" s="15" t="s">
        <v>188</v>
      </c>
      <c r="C133" s="556">
        <v>26010117</v>
      </c>
      <c r="D133" s="556"/>
      <c r="E133" s="552"/>
      <c r="F133" s="552"/>
      <c r="G133" s="556" t="s">
        <v>90</v>
      </c>
      <c r="H133" s="556"/>
      <c r="I133" s="556"/>
      <c r="J133" s="556"/>
      <c r="K133" s="556" t="s">
        <v>91</v>
      </c>
      <c r="L133" s="556"/>
      <c r="M133" s="17" t="s">
        <v>92</v>
      </c>
      <c r="N133" s="439">
        <v>46055</v>
      </c>
    </row>
    <row r="134" spans="2:14" ht="17.25" customHeight="1" x14ac:dyDescent="0.3">
      <c r="B134" s="13" t="s">
        <v>189</v>
      </c>
      <c r="C134" s="555">
        <v>26010118</v>
      </c>
      <c r="D134" s="555"/>
      <c r="E134" s="553"/>
      <c r="F134" s="553"/>
      <c r="G134" s="555" t="s">
        <v>97</v>
      </c>
      <c r="H134" s="555"/>
      <c r="I134" s="555"/>
      <c r="J134" s="555"/>
      <c r="K134" s="555" t="s">
        <v>56</v>
      </c>
      <c r="L134" s="555"/>
      <c r="M134" s="14" t="s">
        <v>84</v>
      </c>
      <c r="N134" s="439">
        <v>46057</v>
      </c>
    </row>
    <row r="135" spans="2:14" ht="17.25" customHeight="1" x14ac:dyDescent="0.3">
      <c r="B135" s="15" t="s">
        <v>190</v>
      </c>
      <c r="C135" s="556">
        <v>26010119</v>
      </c>
      <c r="D135" s="556"/>
      <c r="E135" s="552"/>
      <c r="F135" s="552"/>
      <c r="G135" s="556" t="s">
        <v>191</v>
      </c>
      <c r="H135" s="556"/>
      <c r="I135" s="556"/>
      <c r="J135" s="556"/>
      <c r="K135" s="556" t="s">
        <v>192</v>
      </c>
      <c r="L135" s="556"/>
      <c r="M135" s="12" t="s">
        <v>183</v>
      </c>
      <c r="N135" s="439">
        <v>46058</v>
      </c>
    </row>
    <row r="136" spans="2:14" ht="17.25" customHeight="1" x14ac:dyDescent="0.3">
      <c r="B136" s="13" t="s">
        <v>193</v>
      </c>
      <c r="C136" s="555">
        <v>26010120</v>
      </c>
      <c r="D136" s="555"/>
      <c r="E136" s="553"/>
      <c r="F136" s="553"/>
      <c r="G136" s="555" t="s">
        <v>194</v>
      </c>
      <c r="H136" s="555"/>
      <c r="I136" s="555"/>
      <c r="J136" s="555"/>
      <c r="K136" s="555" t="s">
        <v>160</v>
      </c>
      <c r="L136" s="555"/>
      <c r="M136" s="14" t="s">
        <v>161</v>
      </c>
      <c r="N136" s="439">
        <v>46058</v>
      </c>
    </row>
    <row r="137" spans="2:14" ht="18" customHeight="1" x14ac:dyDescent="0.3">
      <c r="B137" s="557" t="s">
        <v>195</v>
      </c>
      <c r="C137" s="556">
        <v>26010121</v>
      </c>
      <c r="D137" s="556"/>
      <c r="E137" s="552"/>
      <c r="F137" s="552"/>
      <c r="G137" s="556" t="s">
        <v>104</v>
      </c>
      <c r="H137" s="556"/>
      <c r="I137" s="556"/>
      <c r="J137" s="556"/>
      <c r="K137" s="556" t="s">
        <v>105</v>
      </c>
      <c r="L137" s="556"/>
      <c r="M137" s="12" t="s">
        <v>106</v>
      </c>
      <c r="N137" s="439">
        <v>46055</v>
      </c>
    </row>
    <row r="138" spans="2:14" ht="18" customHeight="1" x14ac:dyDescent="0.3">
      <c r="B138" s="557"/>
      <c r="C138" s="555">
        <v>26010122</v>
      </c>
      <c r="D138" s="555"/>
      <c r="E138" s="553"/>
      <c r="F138" s="553"/>
      <c r="G138" s="555" t="s">
        <v>104</v>
      </c>
      <c r="H138" s="555"/>
      <c r="I138" s="555"/>
      <c r="J138" s="555"/>
      <c r="K138" s="556"/>
      <c r="L138" s="556"/>
      <c r="M138" s="16" t="s">
        <v>106</v>
      </c>
      <c r="N138" s="439">
        <v>46055</v>
      </c>
    </row>
    <row r="139" spans="2:14" ht="18" customHeight="1" x14ac:dyDescent="0.3">
      <c r="B139" s="557"/>
      <c r="C139" s="556">
        <v>26010123</v>
      </c>
      <c r="D139" s="556"/>
      <c r="E139" s="552"/>
      <c r="F139" s="552"/>
      <c r="G139" s="556" t="s">
        <v>104</v>
      </c>
      <c r="H139" s="556"/>
      <c r="I139" s="556"/>
      <c r="J139" s="556"/>
      <c r="K139" s="556"/>
      <c r="L139" s="556"/>
      <c r="M139" s="12" t="s">
        <v>106</v>
      </c>
      <c r="N139" s="439">
        <v>46055</v>
      </c>
    </row>
    <row r="140" spans="2:14" ht="18" customHeight="1" x14ac:dyDescent="0.5">
      <c r="B140" s="557"/>
      <c r="C140" s="555">
        <v>26010124</v>
      </c>
      <c r="D140" s="555"/>
      <c r="E140" s="560"/>
      <c r="F140" s="560"/>
      <c r="G140" s="555" t="s">
        <v>104</v>
      </c>
      <c r="H140" s="555"/>
      <c r="I140" s="555"/>
      <c r="J140" s="555"/>
      <c r="K140" s="556"/>
      <c r="L140" s="556"/>
      <c r="M140" s="16" t="s">
        <v>106</v>
      </c>
      <c r="N140" s="439">
        <v>46056</v>
      </c>
    </row>
    <row r="141" spans="2:14" ht="18" customHeight="1" x14ac:dyDescent="0.3">
      <c r="B141" s="557"/>
      <c r="C141" s="556">
        <v>26010125</v>
      </c>
      <c r="D141" s="556"/>
      <c r="E141" s="552"/>
      <c r="F141" s="552"/>
      <c r="G141" s="556" t="s">
        <v>104</v>
      </c>
      <c r="H141" s="556"/>
      <c r="I141" s="556"/>
      <c r="J141" s="556"/>
      <c r="K141" s="556"/>
      <c r="L141" s="556"/>
      <c r="M141" s="12" t="s">
        <v>106</v>
      </c>
      <c r="N141" s="439">
        <v>46056</v>
      </c>
    </row>
    <row r="142" spans="2:14" ht="18" customHeight="1" x14ac:dyDescent="0.3">
      <c r="B142" s="557"/>
      <c r="C142" s="555">
        <v>26010126</v>
      </c>
      <c r="D142" s="555"/>
      <c r="E142" s="553"/>
      <c r="F142" s="553"/>
      <c r="G142" s="555" t="s">
        <v>104</v>
      </c>
      <c r="H142" s="555"/>
      <c r="I142" s="555"/>
      <c r="J142" s="555"/>
      <c r="K142" s="556"/>
      <c r="L142" s="556"/>
      <c r="M142" s="16" t="s">
        <v>106</v>
      </c>
      <c r="N142" s="439">
        <v>46056</v>
      </c>
    </row>
    <row r="143" spans="2:14" ht="18" customHeight="1" x14ac:dyDescent="0.3">
      <c r="B143" s="557"/>
      <c r="C143" s="556">
        <v>26010127</v>
      </c>
      <c r="D143" s="556"/>
      <c r="E143" s="552"/>
      <c r="F143" s="552"/>
      <c r="G143" s="556" t="s">
        <v>104</v>
      </c>
      <c r="H143" s="556"/>
      <c r="I143" s="556"/>
      <c r="J143" s="556"/>
      <c r="K143" s="556"/>
      <c r="L143" s="556"/>
      <c r="M143" s="12" t="s">
        <v>106</v>
      </c>
      <c r="N143" s="439">
        <v>46057</v>
      </c>
    </row>
    <row r="144" spans="2:14" ht="18" customHeight="1" x14ac:dyDescent="0.3">
      <c r="B144" s="557"/>
      <c r="C144" s="555">
        <v>26010128</v>
      </c>
      <c r="D144" s="555"/>
      <c r="E144" s="553"/>
      <c r="F144" s="553"/>
      <c r="G144" s="555" t="s">
        <v>104</v>
      </c>
      <c r="H144" s="555"/>
      <c r="I144" s="555"/>
      <c r="J144" s="555"/>
      <c r="K144" s="556"/>
      <c r="L144" s="556"/>
      <c r="M144" s="16" t="s">
        <v>106</v>
      </c>
      <c r="N144" s="439">
        <v>46057</v>
      </c>
    </row>
    <row r="145" spans="2:14" ht="18" customHeight="1" x14ac:dyDescent="0.3">
      <c r="B145" s="557"/>
      <c r="C145" s="556">
        <v>26010129</v>
      </c>
      <c r="D145" s="556"/>
      <c r="E145" s="552"/>
      <c r="F145" s="552"/>
      <c r="G145" s="556" t="s">
        <v>104</v>
      </c>
      <c r="H145" s="556"/>
      <c r="I145" s="556"/>
      <c r="J145" s="556"/>
      <c r="K145" s="556"/>
      <c r="L145" s="556"/>
      <c r="M145" s="12" t="s">
        <v>106</v>
      </c>
      <c r="N145" s="439">
        <v>46057</v>
      </c>
    </row>
    <row r="146" spans="2:14" ht="18" customHeight="1" x14ac:dyDescent="0.5">
      <c r="B146" s="557"/>
      <c r="C146" s="555">
        <v>26010130</v>
      </c>
      <c r="D146" s="555"/>
      <c r="E146" s="560"/>
      <c r="F146" s="560"/>
      <c r="G146" s="555" t="s">
        <v>104</v>
      </c>
      <c r="H146" s="555"/>
      <c r="I146" s="555"/>
      <c r="J146" s="555"/>
      <c r="K146" s="556"/>
      <c r="L146" s="556"/>
      <c r="M146" s="16" t="s">
        <v>106</v>
      </c>
      <c r="N146" s="439">
        <v>46057</v>
      </c>
    </row>
    <row r="147" spans="2:14" ht="18" customHeight="1" x14ac:dyDescent="0.3">
      <c r="B147" s="557"/>
      <c r="C147" s="556">
        <v>26010131</v>
      </c>
      <c r="D147" s="556"/>
      <c r="E147" s="552"/>
      <c r="F147" s="552"/>
      <c r="G147" s="556" t="s">
        <v>196</v>
      </c>
      <c r="H147" s="556"/>
      <c r="I147" s="556"/>
      <c r="J147" s="556"/>
      <c r="K147" s="556"/>
      <c r="L147" s="556"/>
      <c r="M147" s="12" t="s">
        <v>106</v>
      </c>
      <c r="N147" s="439">
        <v>46055</v>
      </c>
    </row>
    <row r="148" spans="2:14" ht="18" customHeight="1" x14ac:dyDescent="0.3">
      <c r="B148" s="557"/>
      <c r="C148" s="555">
        <v>26010132</v>
      </c>
      <c r="D148" s="555"/>
      <c r="E148" s="553"/>
      <c r="F148" s="553"/>
      <c r="G148" s="555" t="s">
        <v>196</v>
      </c>
      <c r="H148" s="555"/>
      <c r="I148" s="555"/>
      <c r="J148" s="555"/>
      <c r="K148" s="556"/>
      <c r="L148" s="556"/>
      <c r="M148" s="16" t="s">
        <v>106</v>
      </c>
      <c r="N148" s="439">
        <v>46055</v>
      </c>
    </row>
    <row r="149" spans="2:14" ht="18" customHeight="1" x14ac:dyDescent="0.3">
      <c r="B149" s="557"/>
      <c r="C149" s="556">
        <v>26010133</v>
      </c>
      <c r="D149" s="556"/>
      <c r="E149" s="552"/>
      <c r="F149" s="552"/>
      <c r="G149" s="556" t="s">
        <v>196</v>
      </c>
      <c r="H149" s="556"/>
      <c r="I149" s="556"/>
      <c r="J149" s="556"/>
      <c r="K149" s="556"/>
      <c r="L149" s="556"/>
      <c r="M149" s="12" t="s">
        <v>106</v>
      </c>
      <c r="N149" s="439">
        <v>46056</v>
      </c>
    </row>
    <row r="150" spans="2:14" ht="18" customHeight="1" x14ac:dyDescent="0.5">
      <c r="B150" s="557"/>
      <c r="C150" s="555">
        <v>26010134</v>
      </c>
      <c r="D150" s="555"/>
      <c r="E150" s="560"/>
      <c r="F150" s="560"/>
      <c r="G150" s="555" t="s">
        <v>196</v>
      </c>
      <c r="H150" s="555"/>
      <c r="I150" s="555"/>
      <c r="J150" s="555"/>
      <c r="K150" s="556"/>
      <c r="L150" s="556"/>
      <c r="M150" s="16" t="s">
        <v>106</v>
      </c>
      <c r="N150" s="439">
        <v>46056</v>
      </c>
    </row>
    <row r="151" spans="2:14" ht="18" customHeight="1" x14ac:dyDescent="0.5">
      <c r="B151" s="557"/>
      <c r="C151" s="556">
        <v>26010135</v>
      </c>
      <c r="D151" s="556"/>
      <c r="E151" s="559"/>
      <c r="F151" s="559"/>
      <c r="G151" s="556" t="s">
        <v>196</v>
      </c>
      <c r="H151" s="556"/>
      <c r="I151" s="556"/>
      <c r="J151" s="556"/>
      <c r="K151" s="556"/>
      <c r="L151" s="556"/>
      <c r="M151" s="12" t="s">
        <v>106</v>
      </c>
      <c r="N151" s="439">
        <v>46056</v>
      </c>
    </row>
    <row r="152" spans="2:14" ht="18" customHeight="1" x14ac:dyDescent="0.3">
      <c r="B152" s="557"/>
      <c r="C152" s="555">
        <v>26010136</v>
      </c>
      <c r="D152" s="555"/>
      <c r="E152" s="553"/>
      <c r="F152" s="553"/>
      <c r="G152" s="555" t="s">
        <v>104</v>
      </c>
      <c r="H152" s="555"/>
      <c r="I152" s="555"/>
      <c r="J152" s="555"/>
      <c r="K152" s="556"/>
      <c r="L152" s="556"/>
      <c r="M152" s="16" t="s">
        <v>106</v>
      </c>
      <c r="N152" s="439">
        <v>46057</v>
      </c>
    </row>
    <row r="153" spans="2:14" ht="18" customHeight="1" x14ac:dyDescent="0.3">
      <c r="B153" s="557"/>
      <c r="C153" s="556">
        <v>26010137</v>
      </c>
      <c r="D153" s="556"/>
      <c r="E153" s="552"/>
      <c r="F153" s="552"/>
      <c r="G153" s="556" t="s">
        <v>104</v>
      </c>
      <c r="H153" s="556"/>
      <c r="I153" s="556"/>
      <c r="J153" s="556"/>
      <c r="K153" s="556"/>
      <c r="L153" s="556"/>
      <c r="M153" s="12" t="s">
        <v>106</v>
      </c>
      <c r="N153" s="439">
        <v>46057</v>
      </c>
    </row>
    <row r="154" spans="2:14" ht="18" customHeight="1" x14ac:dyDescent="0.3">
      <c r="B154" s="557"/>
      <c r="C154" s="555">
        <v>26010138</v>
      </c>
      <c r="D154" s="555"/>
      <c r="E154" s="553"/>
      <c r="F154" s="553"/>
      <c r="G154" s="555" t="s">
        <v>104</v>
      </c>
      <c r="H154" s="555"/>
      <c r="I154" s="555"/>
      <c r="J154" s="555"/>
      <c r="K154" s="556"/>
      <c r="L154" s="556"/>
      <c r="M154" s="16" t="s">
        <v>106</v>
      </c>
      <c r="N154" s="439">
        <v>46057</v>
      </c>
    </row>
    <row r="155" spans="2:14" ht="18" customHeight="1" x14ac:dyDescent="0.5">
      <c r="B155" s="557"/>
      <c r="C155" s="556">
        <v>26010139</v>
      </c>
      <c r="D155" s="556"/>
      <c r="E155" s="559"/>
      <c r="F155" s="559"/>
      <c r="G155" s="556" t="s">
        <v>104</v>
      </c>
      <c r="H155" s="556"/>
      <c r="I155" s="556"/>
      <c r="J155" s="556"/>
      <c r="K155" s="556"/>
      <c r="L155" s="556"/>
      <c r="M155" s="12" t="s">
        <v>106</v>
      </c>
      <c r="N155" s="439">
        <v>46057</v>
      </c>
    </row>
    <row r="156" spans="2:14" ht="18" customHeight="1" x14ac:dyDescent="0.3">
      <c r="B156" s="557"/>
      <c r="C156" s="555">
        <v>26010140</v>
      </c>
      <c r="D156" s="555"/>
      <c r="E156" s="553"/>
      <c r="F156" s="553"/>
      <c r="G156" s="555" t="s">
        <v>104</v>
      </c>
      <c r="H156" s="555"/>
      <c r="I156" s="555"/>
      <c r="J156" s="555"/>
      <c r="K156" s="556"/>
      <c r="L156" s="556"/>
      <c r="M156" s="16" t="s">
        <v>106</v>
      </c>
      <c r="N156" s="439">
        <v>46057</v>
      </c>
    </row>
    <row r="157" spans="2:14" ht="18" customHeight="1" x14ac:dyDescent="0.3">
      <c r="B157" s="557"/>
      <c r="C157" s="556">
        <v>26010141</v>
      </c>
      <c r="D157" s="556"/>
      <c r="E157" s="552"/>
      <c r="F157" s="552"/>
      <c r="G157" s="556" t="s">
        <v>104</v>
      </c>
      <c r="H157" s="556"/>
      <c r="I157" s="556"/>
      <c r="J157" s="556"/>
      <c r="K157" s="556"/>
      <c r="L157" s="556"/>
      <c r="M157" s="12" t="s">
        <v>106</v>
      </c>
      <c r="N157" s="439">
        <v>46057</v>
      </c>
    </row>
    <row r="158" spans="2:14" ht="18" customHeight="1" x14ac:dyDescent="0.3">
      <c r="B158" s="557"/>
      <c r="C158" s="555">
        <v>26010142</v>
      </c>
      <c r="D158" s="555"/>
      <c r="E158" s="553"/>
      <c r="F158" s="553"/>
      <c r="G158" s="555" t="s">
        <v>104</v>
      </c>
      <c r="H158" s="555"/>
      <c r="I158" s="555"/>
      <c r="J158" s="555"/>
      <c r="K158" s="556"/>
      <c r="L158" s="556"/>
      <c r="M158" s="16" t="s">
        <v>106</v>
      </c>
      <c r="N158" s="439">
        <v>46057</v>
      </c>
    </row>
    <row r="159" spans="2:14" ht="18" customHeight="1" x14ac:dyDescent="0.3">
      <c r="B159" s="557"/>
      <c r="C159" s="556">
        <v>26010143</v>
      </c>
      <c r="D159" s="556"/>
      <c r="E159" s="552"/>
      <c r="F159" s="552"/>
      <c r="G159" s="556" t="s">
        <v>104</v>
      </c>
      <c r="H159" s="556"/>
      <c r="I159" s="556"/>
      <c r="J159" s="556"/>
      <c r="K159" s="556"/>
      <c r="L159" s="556"/>
      <c r="M159" s="12" t="s">
        <v>106</v>
      </c>
      <c r="N159" s="439">
        <v>46057</v>
      </c>
    </row>
    <row r="160" spans="2:14" ht="18" customHeight="1" x14ac:dyDescent="0.3">
      <c r="B160" s="557"/>
      <c r="C160" s="555">
        <v>26010144</v>
      </c>
      <c r="D160" s="555"/>
      <c r="E160" s="553"/>
      <c r="F160" s="553"/>
      <c r="G160" s="555" t="s">
        <v>104</v>
      </c>
      <c r="H160" s="555"/>
      <c r="I160" s="555"/>
      <c r="J160" s="555"/>
      <c r="K160" s="556"/>
      <c r="L160" s="556"/>
      <c r="M160" s="16" t="s">
        <v>106</v>
      </c>
      <c r="N160" s="439">
        <v>46057</v>
      </c>
    </row>
    <row r="161" spans="2:14" ht="18" customHeight="1" x14ac:dyDescent="0.5">
      <c r="B161" s="557"/>
      <c r="C161" s="556">
        <v>26010145</v>
      </c>
      <c r="D161" s="556"/>
      <c r="E161" s="559"/>
      <c r="F161" s="559"/>
      <c r="G161" s="556" t="s">
        <v>104</v>
      </c>
      <c r="H161" s="556"/>
      <c r="I161" s="556"/>
      <c r="J161" s="556"/>
      <c r="K161" s="556"/>
      <c r="L161" s="556"/>
      <c r="M161" s="12" t="s">
        <v>106</v>
      </c>
      <c r="N161" s="439">
        <v>46058</v>
      </c>
    </row>
    <row r="162" spans="2:14" ht="17.25" customHeight="1" x14ac:dyDescent="0.3">
      <c r="B162" s="19"/>
      <c r="C162" s="553"/>
      <c r="D162" s="553"/>
      <c r="E162" s="553"/>
      <c r="F162" s="553"/>
      <c r="G162" s="553"/>
      <c r="H162" s="553"/>
      <c r="I162" s="553"/>
      <c r="J162" s="553"/>
      <c r="K162" s="553"/>
      <c r="L162" s="553"/>
      <c r="M162" s="20"/>
      <c r="N162" s="438"/>
    </row>
    <row r="163" spans="2:14" ht="17.25" customHeight="1" x14ac:dyDescent="0.3">
      <c r="B163" s="21"/>
      <c r="C163" s="552"/>
      <c r="D163" s="552"/>
      <c r="E163" s="552"/>
      <c r="F163" s="552"/>
      <c r="G163" s="552"/>
      <c r="H163" s="552"/>
      <c r="I163" s="552"/>
      <c r="J163" s="552"/>
      <c r="K163" s="552"/>
      <c r="L163" s="552"/>
      <c r="M163" s="22"/>
      <c r="N163" s="438"/>
    </row>
    <row r="164" spans="2:14" ht="17.25" customHeight="1" x14ac:dyDescent="0.3">
      <c r="B164" s="19"/>
      <c r="C164" s="553"/>
      <c r="D164" s="553"/>
      <c r="E164" s="553"/>
      <c r="F164" s="553"/>
      <c r="G164" s="553"/>
      <c r="H164" s="553"/>
      <c r="I164" s="553"/>
      <c r="J164" s="553"/>
      <c r="K164" s="553"/>
      <c r="L164" s="553"/>
      <c r="M164" s="23"/>
      <c r="N164" s="438"/>
    </row>
    <row r="165" spans="2:14" ht="17.25" customHeight="1" x14ac:dyDescent="0.3">
      <c r="B165" s="21"/>
      <c r="C165" s="552"/>
      <c r="D165" s="552"/>
      <c r="E165" s="552"/>
      <c r="F165" s="552"/>
      <c r="G165" s="552"/>
      <c r="H165" s="552"/>
      <c r="I165" s="552"/>
      <c r="J165" s="552"/>
      <c r="K165" s="552"/>
      <c r="L165" s="552"/>
      <c r="M165" s="22"/>
      <c r="N165" s="438"/>
    </row>
    <row r="166" spans="2:14" ht="17.25" customHeight="1" x14ac:dyDescent="0.3">
      <c r="B166" s="19"/>
      <c r="C166" s="553"/>
      <c r="D166" s="553"/>
      <c r="E166" s="553"/>
      <c r="F166" s="553"/>
      <c r="G166" s="553"/>
      <c r="H166" s="553"/>
      <c r="I166" s="553"/>
      <c r="J166" s="553"/>
      <c r="K166" s="553"/>
      <c r="L166" s="553"/>
      <c r="M166" s="20"/>
      <c r="N166" s="438"/>
    </row>
    <row r="167" spans="2:14" ht="17.25" customHeight="1" x14ac:dyDescent="0.3">
      <c r="B167" s="21"/>
      <c r="C167" s="552"/>
      <c r="D167" s="552"/>
      <c r="E167" s="552"/>
      <c r="F167" s="552"/>
      <c r="G167" s="552"/>
      <c r="H167" s="552"/>
      <c r="I167" s="552"/>
      <c r="J167" s="552"/>
      <c r="K167" s="552"/>
      <c r="L167" s="552"/>
      <c r="M167" s="24"/>
      <c r="N167" s="438"/>
    </row>
    <row r="168" spans="2:14" ht="17.25" customHeight="1" x14ac:dyDescent="0.3">
      <c r="B168" s="19"/>
      <c r="C168" s="553"/>
      <c r="D168" s="553"/>
      <c r="E168" s="553"/>
      <c r="F168" s="553"/>
      <c r="G168" s="553"/>
      <c r="H168" s="553"/>
      <c r="I168" s="553"/>
      <c r="J168" s="553"/>
      <c r="K168" s="553"/>
      <c r="L168" s="553"/>
      <c r="M168" s="20"/>
      <c r="N168" s="438"/>
    </row>
    <row r="169" spans="2:14" ht="17.25" customHeight="1" x14ac:dyDescent="0.3">
      <c r="B169" s="21"/>
      <c r="C169" s="552"/>
      <c r="D169" s="552"/>
      <c r="E169" s="552"/>
      <c r="F169" s="552"/>
      <c r="G169" s="552"/>
      <c r="H169" s="552"/>
      <c r="I169" s="552"/>
      <c r="J169" s="552"/>
      <c r="K169" s="552"/>
      <c r="L169" s="552"/>
      <c r="M169" s="22"/>
      <c r="N169" s="438"/>
    </row>
    <row r="170" spans="2:14" ht="17.25" customHeight="1" x14ac:dyDescent="0.3">
      <c r="B170" s="19"/>
      <c r="C170" s="553"/>
      <c r="D170" s="553"/>
      <c r="E170" s="553"/>
      <c r="F170" s="553"/>
      <c r="G170" s="553"/>
      <c r="H170" s="553"/>
      <c r="I170" s="553"/>
      <c r="J170" s="553"/>
      <c r="K170" s="553"/>
      <c r="L170" s="553"/>
      <c r="M170" s="23"/>
      <c r="N170" s="438"/>
    </row>
    <row r="171" spans="2:14" ht="17.25" customHeight="1" x14ac:dyDescent="0.3">
      <c r="B171" s="21"/>
      <c r="C171" s="552"/>
      <c r="D171" s="552"/>
      <c r="E171" s="552"/>
      <c r="F171" s="552"/>
      <c r="G171" s="552"/>
      <c r="H171" s="552"/>
      <c r="I171" s="552"/>
      <c r="J171" s="552"/>
      <c r="K171" s="552"/>
      <c r="L171" s="552"/>
      <c r="M171" s="22"/>
      <c r="N171" s="438"/>
    </row>
    <row r="172" spans="2:14" ht="17.25" customHeight="1" x14ac:dyDescent="0.3">
      <c r="B172" s="19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20"/>
      <c r="N172" s="438"/>
    </row>
    <row r="173" spans="2:14" ht="17.25" customHeight="1" x14ac:dyDescent="0.3">
      <c r="B173" s="21"/>
      <c r="C173" s="552"/>
      <c r="D173" s="552"/>
      <c r="E173" s="552"/>
      <c r="F173" s="552"/>
      <c r="G173" s="552"/>
      <c r="H173" s="552"/>
      <c r="I173" s="552"/>
      <c r="J173" s="552"/>
      <c r="K173" s="552"/>
      <c r="L173" s="552"/>
      <c r="M173" s="24"/>
      <c r="N173" s="438"/>
    </row>
    <row r="174" spans="2:14" ht="17.25" customHeight="1" x14ac:dyDescent="0.3">
      <c r="B174" s="19"/>
      <c r="C174" s="553"/>
      <c r="D174" s="553"/>
      <c r="E174" s="553"/>
      <c r="F174" s="553"/>
      <c r="G174" s="553"/>
      <c r="H174" s="553"/>
      <c r="I174" s="553"/>
      <c r="J174" s="553"/>
      <c r="K174" s="553"/>
      <c r="L174" s="553"/>
      <c r="M174" s="20"/>
      <c r="N174" s="438"/>
    </row>
    <row r="175" spans="2:14" ht="17.25" customHeight="1" x14ac:dyDescent="0.3">
      <c r="B175" s="21"/>
      <c r="C175" s="552"/>
      <c r="D175" s="552"/>
      <c r="E175" s="552"/>
      <c r="F175" s="552"/>
      <c r="G175" s="552"/>
      <c r="H175" s="552"/>
      <c r="I175" s="552"/>
      <c r="J175" s="552"/>
      <c r="K175" s="552"/>
      <c r="L175" s="552"/>
      <c r="M175" s="22"/>
      <c r="N175" s="438"/>
    </row>
    <row r="176" spans="2:14" ht="17.25" customHeight="1" x14ac:dyDescent="0.3">
      <c r="B176" s="19"/>
      <c r="C176" s="553"/>
      <c r="D176" s="553"/>
      <c r="E176" s="553"/>
      <c r="F176" s="553"/>
      <c r="G176" s="553"/>
      <c r="H176" s="553"/>
      <c r="I176" s="553"/>
      <c r="J176" s="553"/>
      <c r="K176" s="553"/>
      <c r="L176" s="553"/>
      <c r="M176" s="23"/>
      <c r="N176" s="438"/>
    </row>
    <row r="177" spans="2:14" ht="17.25" customHeight="1" x14ac:dyDescent="0.3">
      <c r="B177" s="21"/>
      <c r="C177" s="552"/>
      <c r="D177" s="552"/>
      <c r="E177" s="552"/>
      <c r="F177" s="552"/>
      <c r="G177" s="552"/>
      <c r="H177" s="552"/>
      <c r="I177" s="552"/>
      <c r="J177" s="552"/>
      <c r="K177" s="552"/>
      <c r="L177" s="552"/>
      <c r="M177" s="22"/>
      <c r="N177" s="438"/>
    </row>
    <row r="178" spans="2:14" ht="17.25" customHeight="1" x14ac:dyDescent="0.3">
      <c r="B178" s="19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20"/>
      <c r="N178" s="438"/>
    </row>
    <row r="179" spans="2:14" ht="17.25" customHeight="1" x14ac:dyDescent="0.3">
      <c r="B179" s="21"/>
      <c r="C179" s="552"/>
      <c r="D179" s="552"/>
      <c r="E179" s="552"/>
      <c r="F179" s="552"/>
      <c r="G179" s="552"/>
      <c r="H179" s="552"/>
      <c r="I179" s="552"/>
      <c r="J179" s="552"/>
      <c r="K179" s="552"/>
      <c r="L179" s="552"/>
      <c r="M179" s="24"/>
      <c r="N179" s="438"/>
    </row>
    <row r="180" spans="2:14" ht="17.25" customHeight="1" x14ac:dyDescent="0.3">
      <c r="B180" s="19"/>
      <c r="C180" s="553"/>
      <c r="D180" s="553"/>
      <c r="E180" s="553"/>
      <c r="F180" s="553"/>
      <c r="G180" s="553"/>
      <c r="H180" s="553"/>
      <c r="I180" s="553"/>
      <c r="J180" s="553"/>
      <c r="K180" s="553"/>
      <c r="L180" s="553"/>
      <c r="M180" s="20"/>
      <c r="N180" s="438"/>
    </row>
    <row r="181" spans="2:14" ht="17.25" customHeight="1" x14ac:dyDescent="0.3">
      <c r="B181" s="21"/>
      <c r="C181" s="552"/>
      <c r="D181" s="552"/>
      <c r="E181" s="552"/>
      <c r="F181" s="552"/>
      <c r="G181" s="552"/>
      <c r="H181" s="552"/>
      <c r="I181" s="552"/>
      <c r="J181" s="552"/>
      <c r="K181" s="552"/>
      <c r="L181" s="552"/>
      <c r="M181" s="22"/>
      <c r="N181" s="438"/>
    </row>
    <row r="182" spans="2:14" ht="17.25" customHeight="1" x14ac:dyDescent="0.3">
      <c r="B182" s="19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23"/>
      <c r="N182" s="438"/>
    </row>
    <row r="183" spans="2:14" ht="17.25" customHeight="1" x14ac:dyDescent="0.3">
      <c r="B183" s="21"/>
      <c r="C183" s="552"/>
      <c r="D183" s="552"/>
      <c r="E183" s="552"/>
      <c r="F183" s="552"/>
      <c r="G183" s="552"/>
      <c r="H183" s="552"/>
      <c r="I183" s="552"/>
      <c r="J183" s="552"/>
      <c r="K183" s="552"/>
      <c r="L183" s="552"/>
      <c r="M183" s="22"/>
      <c r="N183" s="438"/>
    </row>
    <row r="184" spans="2:14" ht="17.25" customHeight="1" x14ac:dyDescent="0.3">
      <c r="B184" s="19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20"/>
      <c r="N184" s="438"/>
    </row>
    <row r="185" spans="2:14" ht="17.25" customHeight="1" x14ac:dyDescent="0.3">
      <c r="B185" s="21"/>
      <c r="C185" s="552"/>
      <c r="D185" s="552"/>
      <c r="E185" s="552"/>
      <c r="F185" s="552"/>
      <c r="G185" s="552"/>
      <c r="H185" s="552"/>
      <c r="I185" s="552"/>
      <c r="J185" s="552"/>
      <c r="K185" s="552"/>
      <c r="L185" s="552"/>
      <c r="M185" s="24"/>
      <c r="N185" s="438"/>
    </row>
    <row r="186" spans="2:14" ht="17.25" customHeight="1" x14ac:dyDescent="0.3">
      <c r="B186" s="25"/>
      <c r="C186" s="601"/>
      <c r="D186" s="601"/>
      <c r="E186" s="601"/>
      <c r="F186" s="601"/>
      <c r="G186" s="601"/>
      <c r="H186" s="601"/>
      <c r="I186" s="601"/>
      <c r="J186" s="601"/>
      <c r="K186" s="601"/>
      <c r="L186" s="601"/>
      <c r="M186" s="26"/>
      <c r="N186" s="438"/>
    </row>
    <row r="187" spans="2:14" ht="18" customHeight="1" x14ac:dyDescent="0.3">
      <c r="N187" s="437"/>
    </row>
    <row r="188" spans="2:14" ht="18" customHeight="1" x14ac:dyDescent="0.3">
      <c r="N188" s="437"/>
    </row>
    <row r="189" spans="2:14" ht="18" customHeight="1" x14ac:dyDescent="0.3">
      <c r="N189" s="437"/>
    </row>
    <row r="190" spans="2:14" ht="18" customHeight="1" x14ac:dyDescent="0.3">
      <c r="N190" s="437"/>
    </row>
    <row r="191" spans="2:14" ht="18" customHeight="1" x14ac:dyDescent="0.3">
      <c r="N191" s="437"/>
    </row>
    <row r="192" spans="2:14" ht="18" customHeight="1" x14ac:dyDescent="0.3">
      <c r="N192" s="437"/>
    </row>
    <row r="193" spans="14:14" ht="18" customHeight="1" x14ac:dyDescent="0.3">
      <c r="N193" s="437"/>
    </row>
    <row r="194" spans="14:14" ht="18" customHeight="1" x14ac:dyDescent="0.3">
      <c r="N194" s="437"/>
    </row>
    <row r="195" spans="14:14" ht="18" customHeight="1" x14ac:dyDescent="0.3">
      <c r="N195" s="437"/>
    </row>
    <row r="196" spans="14:14" ht="18" customHeight="1" x14ac:dyDescent="0.3">
      <c r="N196" s="437"/>
    </row>
    <row r="197" spans="14:14" ht="18" customHeight="1" x14ac:dyDescent="0.3">
      <c r="N197" s="437"/>
    </row>
    <row r="198" spans="14:14" ht="18" customHeight="1" x14ac:dyDescent="0.3">
      <c r="N198" s="437"/>
    </row>
    <row r="199" spans="14:14" ht="18" customHeight="1" x14ac:dyDescent="0.3">
      <c r="N199" s="437"/>
    </row>
    <row r="200" spans="14:14" ht="18" customHeight="1" x14ac:dyDescent="0.3">
      <c r="N200" s="437"/>
    </row>
    <row r="201" spans="14:14" ht="18" customHeight="1" x14ac:dyDescent="0.3">
      <c r="N201" s="437"/>
    </row>
    <row r="202" spans="14:14" ht="18" customHeight="1" x14ac:dyDescent="0.3">
      <c r="N202" s="437"/>
    </row>
    <row r="203" spans="14:14" ht="18" customHeight="1" x14ac:dyDescent="0.3">
      <c r="N203" s="437"/>
    </row>
    <row r="204" spans="14:14" ht="18" customHeight="1" x14ac:dyDescent="0.3">
      <c r="N204" s="437"/>
    </row>
    <row r="205" spans="14:14" ht="18" customHeight="1" x14ac:dyDescent="0.3">
      <c r="N205" s="437"/>
    </row>
    <row r="206" spans="14:14" ht="18" customHeight="1" x14ac:dyDescent="0.3">
      <c r="N206" s="437"/>
    </row>
    <row r="207" spans="14:14" ht="18" customHeight="1" x14ac:dyDescent="0.3">
      <c r="N207" s="437"/>
    </row>
    <row r="208" spans="14:14" ht="18" customHeight="1" x14ac:dyDescent="0.3">
      <c r="N208" s="437"/>
    </row>
    <row r="209" spans="14:14" ht="18" customHeight="1" x14ac:dyDescent="0.3">
      <c r="N209" s="437"/>
    </row>
    <row r="210" spans="14:14" ht="18" customHeight="1" x14ac:dyDescent="0.3">
      <c r="N210" s="437"/>
    </row>
    <row r="211" spans="14:14" ht="18" customHeight="1" x14ac:dyDescent="0.3">
      <c r="N211" s="437"/>
    </row>
    <row r="212" spans="14:14" ht="18" customHeight="1" x14ac:dyDescent="0.3">
      <c r="N212" s="437"/>
    </row>
    <row r="213" spans="14:14" ht="18" customHeight="1" x14ac:dyDescent="0.3">
      <c r="N213" s="437"/>
    </row>
    <row r="214" spans="14:14" ht="18" customHeight="1" x14ac:dyDescent="0.3">
      <c r="N214" s="437"/>
    </row>
    <row r="215" spans="14:14" ht="18" customHeight="1" x14ac:dyDescent="0.3">
      <c r="N215" s="437"/>
    </row>
    <row r="216" spans="14:14" ht="18" customHeight="1" x14ac:dyDescent="0.3">
      <c r="N216" s="437"/>
    </row>
    <row r="217" spans="14:14" ht="18" customHeight="1" x14ac:dyDescent="0.3">
      <c r="N217" s="437"/>
    </row>
    <row r="218" spans="14:14" ht="18" customHeight="1" x14ac:dyDescent="0.3">
      <c r="N218" s="437"/>
    </row>
    <row r="219" spans="14:14" ht="18" customHeight="1" x14ac:dyDescent="0.3">
      <c r="N219" s="437"/>
    </row>
    <row r="220" spans="14:14" ht="18" customHeight="1" x14ac:dyDescent="0.3">
      <c r="N220" s="437"/>
    </row>
    <row r="221" spans="14:14" ht="18" customHeight="1" x14ac:dyDescent="0.3">
      <c r="N221" s="437"/>
    </row>
    <row r="222" spans="14:14" ht="18" customHeight="1" x14ac:dyDescent="0.3">
      <c r="N222" s="437"/>
    </row>
    <row r="223" spans="14:14" ht="18" customHeight="1" x14ac:dyDescent="0.3">
      <c r="N223" s="437"/>
    </row>
    <row r="224" spans="14:14" ht="18" customHeight="1" x14ac:dyDescent="0.3">
      <c r="N224" s="437"/>
    </row>
    <row r="225" spans="14:14" ht="18" customHeight="1" x14ac:dyDescent="0.3">
      <c r="N225" s="437"/>
    </row>
    <row r="226" spans="14:14" ht="18" customHeight="1" x14ac:dyDescent="0.3">
      <c r="N226" s="437"/>
    </row>
    <row r="227" spans="14:14" ht="18" customHeight="1" x14ac:dyDescent="0.3">
      <c r="N227" s="437"/>
    </row>
    <row r="228" spans="14:14" ht="18" customHeight="1" x14ac:dyDescent="0.3">
      <c r="N228" s="437"/>
    </row>
    <row r="229" spans="14:14" ht="18" customHeight="1" x14ac:dyDescent="0.3">
      <c r="N229" s="437"/>
    </row>
    <row r="230" spans="14:14" ht="18" customHeight="1" x14ac:dyDescent="0.3">
      <c r="N230" s="437"/>
    </row>
    <row r="231" spans="14:14" ht="18" customHeight="1" x14ac:dyDescent="0.3">
      <c r="N231" s="437"/>
    </row>
    <row r="232" spans="14:14" ht="18" customHeight="1" x14ac:dyDescent="0.3">
      <c r="N232" s="437"/>
    </row>
    <row r="233" spans="14:14" ht="18" customHeight="1" x14ac:dyDescent="0.3">
      <c r="N233" s="437"/>
    </row>
    <row r="234" spans="14:14" ht="18" customHeight="1" x14ac:dyDescent="0.3">
      <c r="N234" s="437"/>
    </row>
    <row r="235" spans="14:14" ht="18" customHeight="1" x14ac:dyDescent="0.3">
      <c r="N235" s="437"/>
    </row>
    <row r="236" spans="14:14" ht="18" customHeight="1" x14ac:dyDescent="0.3">
      <c r="N236" s="437"/>
    </row>
    <row r="237" spans="14:14" ht="18" customHeight="1" x14ac:dyDescent="0.3">
      <c r="N237" s="437"/>
    </row>
    <row r="238" spans="14:14" ht="18" customHeight="1" x14ac:dyDescent="0.3">
      <c r="N238" s="437"/>
    </row>
    <row r="239" spans="14:14" ht="18" customHeight="1" x14ac:dyDescent="0.3">
      <c r="N239" s="437"/>
    </row>
    <row r="240" spans="14:14" ht="18" customHeight="1" x14ac:dyDescent="0.3">
      <c r="N240" s="437"/>
    </row>
    <row r="241" spans="14:14" ht="18" customHeight="1" x14ac:dyDescent="0.3">
      <c r="N241" s="437"/>
    </row>
    <row r="242" spans="14:14" ht="18" customHeight="1" x14ac:dyDescent="0.3">
      <c r="N242" s="437"/>
    </row>
    <row r="243" spans="14:14" ht="18" customHeight="1" x14ac:dyDescent="0.3">
      <c r="N243" s="437"/>
    </row>
    <row r="244" spans="14:14" ht="18" customHeight="1" x14ac:dyDescent="0.3">
      <c r="N244" s="437"/>
    </row>
    <row r="245" spans="14:14" ht="18" customHeight="1" x14ac:dyDescent="0.3">
      <c r="N245" s="437"/>
    </row>
    <row r="246" spans="14:14" ht="18" customHeight="1" x14ac:dyDescent="0.3">
      <c r="N246" s="437"/>
    </row>
    <row r="247" spans="14:14" ht="18" customHeight="1" x14ac:dyDescent="0.3">
      <c r="N247" s="437"/>
    </row>
    <row r="248" spans="14:14" ht="18" customHeight="1" x14ac:dyDescent="0.3">
      <c r="N248" s="437"/>
    </row>
    <row r="249" spans="14:14" ht="18" customHeight="1" x14ac:dyDescent="0.3">
      <c r="N249" s="437"/>
    </row>
    <row r="250" spans="14:14" ht="18" customHeight="1" x14ac:dyDescent="0.3">
      <c r="N250" s="437"/>
    </row>
    <row r="251" spans="14:14" ht="18" customHeight="1" x14ac:dyDescent="0.3">
      <c r="N251" s="437"/>
    </row>
    <row r="252" spans="14:14" ht="18" customHeight="1" x14ac:dyDescent="0.3">
      <c r="N252" s="437"/>
    </row>
    <row r="253" spans="14:14" ht="18" customHeight="1" x14ac:dyDescent="0.3">
      <c r="N253" s="437"/>
    </row>
    <row r="254" spans="14:14" ht="18" customHeight="1" x14ac:dyDescent="0.3">
      <c r="N254" s="437"/>
    </row>
    <row r="255" spans="14:14" ht="18" customHeight="1" x14ac:dyDescent="0.3">
      <c r="N255" s="437"/>
    </row>
    <row r="256" spans="14:14" ht="18" customHeight="1" x14ac:dyDescent="0.3">
      <c r="N256" s="437"/>
    </row>
    <row r="257" spans="14:14" ht="18" customHeight="1" x14ac:dyDescent="0.3">
      <c r="N257" s="437"/>
    </row>
    <row r="258" spans="14:14" ht="18" customHeight="1" x14ac:dyDescent="0.3">
      <c r="N258" s="437"/>
    </row>
    <row r="259" spans="14:14" ht="18" customHeight="1" x14ac:dyDescent="0.3">
      <c r="N259" s="437"/>
    </row>
    <row r="260" spans="14:14" ht="18" customHeight="1" x14ac:dyDescent="0.3">
      <c r="N260" s="437"/>
    </row>
    <row r="261" spans="14:14" ht="18" customHeight="1" x14ac:dyDescent="0.3">
      <c r="N261" s="437"/>
    </row>
    <row r="262" spans="14:14" ht="18" customHeight="1" x14ac:dyDescent="0.3">
      <c r="N262" s="437"/>
    </row>
    <row r="263" spans="14:14" ht="18" customHeight="1" x14ac:dyDescent="0.3">
      <c r="N263" s="437"/>
    </row>
    <row r="264" spans="14:14" ht="18" customHeight="1" x14ac:dyDescent="0.3">
      <c r="N264" s="437"/>
    </row>
    <row r="265" spans="14:14" ht="18" customHeight="1" x14ac:dyDescent="0.3">
      <c r="N265" s="437"/>
    </row>
    <row r="266" spans="14:14" ht="18" customHeight="1" x14ac:dyDescent="0.3">
      <c r="N266" s="437"/>
    </row>
    <row r="267" spans="14:14" ht="18" customHeight="1" x14ac:dyDescent="0.3">
      <c r="N267" s="437"/>
    </row>
    <row r="268" spans="14:14" ht="18" customHeight="1" x14ac:dyDescent="0.3">
      <c r="N268" s="437"/>
    </row>
    <row r="269" spans="14:14" ht="18" customHeight="1" x14ac:dyDescent="0.3">
      <c r="N269" s="437"/>
    </row>
    <row r="270" spans="14:14" ht="18" customHeight="1" x14ac:dyDescent="0.3">
      <c r="N270" s="437"/>
    </row>
    <row r="271" spans="14:14" ht="18" customHeight="1" x14ac:dyDescent="0.3">
      <c r="N271" s="437"/>
    </row>
    <row r="272" spans="14:14" ht="18" customHeight="1" x14ac:dyDescent="0.3">
      <c r="N272" s="437"/>
    </row>
    <row r="273" spans="14:14" ht="18" customHeight="1" x14ac:dyDescent="0.3">
      <c r="N273" s="437"/>
    </row>
    <row r="274" spans="14:14" ht="18" customHeight="1" x14ac:dyDescent="0.3">
      <c r="N274" s="437"/>
    </row>
    <row r="275" spans="14:14" ht="18" customHeight="1" x14ac:dyDescent="0.3">
      <c r="N275" s="437"/>
    </row>
    <row r="276" spans="14:14" ht="18" customHeight="1" x14ac:dyDescent="0.3">
      <c r="N276" s="437"/>
    </row>
    <row r="277" spans="14:14" ht="18" customHeight="1" x14ac:dyDescent="0.3">
      <c r="N277" s="437"/>
    </row>
    <row r="278" spans="14:14" ht="18" customHeight="1" x14ac:dyDescent="0.3">
      <c r="N278" s="437"/>
    </row>
    <row r="279" spans="14:14" ht="18" customHeight="1" x14ac:dyDescent="0.3">
      <c r="N279" s="437"/>
    </row>
    <row r="280" spans="14:14" ht="18" customHeight="1" x14ac:dyDescent="0.3">
      <c r="N280" s="437"/>
    </row>
    <row r="281" spans="14:14" ht="18" customHeight="1" x14ac:dyDescent="0.3">
      <c r="N281" s="437"/>
    </row>
    <row r="282" spans="14:14" ht="18" customHeight="1" x14ac:dyDescent="0.3">
      <c r="N282" s="437"/>
    </row>
    <row r="283" spans="14:14" ht="18" customHeight="1" x14ac:dyDescent="0.3">
      <c r="N283" s="437"/>
    </row>
    <row r="284" spans="14:14" ht="18" customHeight="1" x14ac:dyDescent="0.3">
      <c r="N284" s="437"/>
    </row>
    <row r="285" spans="14:14" ht="18" customHeight="1" x14ac:dyDescent="0.3">
      <c r="N285" s="437"/>
    </row>
    <row r="286" spans="14:14" ht="18" customHeight="1" x14ac:dyDescent="0.3">
      <c r="N286" s="437"/>
    </row>
    <row r="287" spans="14:14" ht="18" customHeight="1" x14ac:dyDescent="0.3">
      <c r="N287" s="437"/>
    </row>
    <row r="288" spans="14:14" ht="18" customHeight="1" x14ac:dyDescent="0.3">
      <c r="N288" s="437"/>
    </row>
    <row r="289" spans="14:14" ht="18" customHeight="1" x14ac:dyDescent="0.3">
      <c r="N289" s="437"/>
    </row>
    <row r="290" spans="14:14" ht="18" customHeight="1" x14ac:dyDescent="0.3">
      <c r="N290" s="437"/>
    </row>
    <row r="291" spans="14:14" ht="18" customHeight="1" x14ac:dyDescent="0.3">
      <c r="N291" s="437"/>
    </row>
    <row r="292" spans="14:14" ht="18" customHeight="1" x14ac:dyDescent="0.3">
      <c r="N292" s="437"/>
    </row>
    <row r="293" spans="14:14" ht="18" customHeight="1" x14ac:dyDescent="0.3">
      <c r="N293" s="437"/>
    </row>
    <row r="294" spans="14:14" ht="18" customHeight="1" x14ac:dyDescent="0.3">
      <c r="N294" s="437"/>
    </row>
    <row r="295" spans="14:14" ht="18" customHeight="1" x14ac:dyDescent="0.3">
      <c r="N295" s="437"/>
    </row>
    <row r="296" spans="14:14" ht="18" customHeight="1" x14ac:dyDescent="0.3">
      <c r="N296" s="437"/>
    </row>
    <row r="297" spans="14:14" ht="18" customHeight="1" x14ac:dyDescent="0.3">
      <c r="N297" s="437"/>
    </row>
    <row r="298" spans="14:14" ht="18" customHeight="1" x14ac:dyDescent="0.3">
      <c r="N298" s="437"/>
    </row>
    <row r="299" spans="14:14" ht="18" customHeight="1" x14ac:dyDescent="0.3">
      <c r="N299" s="437"/>
    </row>
    <row r="300" spans="14:14" ht="18" customHeight="1" x14ac:dyDescent="0.3">
      <c r="N300" s="437"/>
    </row>
  </sheetData>
  <mergeCells count="623">
    <mergeCell ref="B1:N2"/>
    <mergeCell ref="C3:D3"/>
    <mergeCell ref="E3:F3"/>
    <mergeCell ref="G3:J3"/>
    <mergeCell ref="K3:L3"/>
    <mergeCell ref="B4:B5"/>
    <mergeCell ref="C4:D4"/>
    <mergeCell ref="E4:F4"/>
    <mergeCell ref="G4:J4"/>
    <mergeCell ref="K4:L5"/>
    <mergeCell ref="C5:D5"/>
    <mergeCell ref="E5:F5"/>
    <mergeCell ref="G5:J5"/>
    <mergeCell ref="C6:D6"/>
    <mergeCell ref="E6:F6"/>
    <mergeCell ref="G6:J6"/>
    <mergeCell ref="K6:L6"/>
    <mergeCell ref="B7:B8"/>
    <mergeCell ref="C7:D7"/>
    <mergeCell ref="E7:F7"/>
    <mergeCell ref="G7:J7"/>
    <mergeCell ref="K7:L8"/>
    <mergeCell ref="C8:D8"/>
    <mergeCell ref="E8:F8"/>
    <mergeCell ref="G8:J8"/>
    <mergeCell ref="C9:D9"/>
    <mergeCell ref="E9:F9"/>
    <mergeCell ref="G9:J9"/>
    <mergeCell ref="K9:L9"/>
    <mergeCell ref="C10:D10"/>
    <mergeCell ref="E10:F10"/>
    <mergeCell ref="G10:J10"/>
    <mergeCell ref="K10:L10"/>
    <mergeCell ref="B11:B46"/>
    <mergeCell ref="C11:D11"/>
    <mergeCell ref="E11:F11"/>
    <mergeCell ref="G11:J11"/>
    <mergeCell ref="K11:L46"/>
    <mergeCell ref="C12:D12"/>
    <mergeCell ref="E12:F12"/>
    <mergeCell ref="G12:J12"/>
    <mergeCell ref="C13:D13"/>
    <mergeCell ref="E13:F13"/>
    <mergeCell ref="G13:J13"/>
    <mergeCell ref="C14:D14"/>
    <mergeCell ref="E14:F14"/>
    <mergeCell ref="G14:J14"/>
    <mergeCell ref="C15:D15"/>
    <mergeCell ref="E15:F15"/>
    <mergeCell ref="G15:J15"/>
    <mergeCell ref="C16:D16"/>
    <mergeCell ref="E16:F16"/>
    <mergeCell ref="G16:J16"/>
    <mergeCell ref="C17:D17"/>
    <mergeCell ref="E17:F17"/>
    <mergeCell ref="G17:J17"/>
    <mergeCell ref="C18:D18"/>
    <mergeCell ref="E18:F18"/>
    <mergeCell ref="G18:J18"/>
    <mergeCell ref="C19:D19"/>
    <mergeCell ref="E19:F19"/>
    <mergeCell ref="G19:J19"/>
    <mergeCell ref="C20:D20"/>
    <mergeCell ref="E20:F20"/>
    <mergeCell ref="G20:J20"/>
    <mergeCell ref="C21:D21"/>
    <mergeCell ref="E21:F21"/>
    <mergeCell ref="G21:J21"/>
    <mergeCell ref="C22:D22"/>
    <mergeCell ref="E22:F22"/>
    <mergeCell ref="G22:J22"/>
    <mergeCell ref="C23:D23"/>
    <mergeCell ref="E23:F23"/>
    <mergeCell ref="G23:J23"/>
    <mergeCell ref="C24:D24"/>
    <mergeCell ref="E24:F24"/>
    <mergeCell ref="G24:J24"/>
    <mergeCell ref="C25:D25"/>
    <mergeCell ref="E25:F25"/>
    <mergeCell ref="G25:J25"/>
    <mergeCell ref="C26:D26"/>
    <mergeCell ref="E26:F26"/>
    <mergeCell ref="G26:J26"/>
    <mergeCell ref="C27:D27"/>
    <mergeCell ref="E27:F27"/>
    <mergeCell ref="G27:J27"/>
    <mergeCell ref="C28:D28"/>
    <mergeCell ref="E28:F28"/>
    <mergeCell ref="G28:J28"/>
    <mergeCell ref="C29:D29"/>
    <mergeCell ref="E29:F29"/>
    <mergeCell ref="G29:J29"/>
    <mergeCell ref="C30:D30"/>
    <mergeCell ref="E30:F30"/>
    <mergeCell ref="G30:J30"/>
    <mergeCell ref="C31:D31"/>
    <mergeCell ref="E31:F31"/>
    <mergeCell ref="G31:J31"/>
    <mergeCell ref="C32:D32"/>
    <mergeCell ref="E32:F32"/>
    <mergeCell ref="G32:J32"/>
    <mergeCell ref="C33:D33"/>
    <mergeCell ref="E33:F33"/>
    <mergeCell ref="G33:J33"/>
    <mergeCell ref="C34:D34"/>
    <mergeCell ref="E34:F34"/>
    <mergeCell ref="G34:J34"/>
    <mergeCell ref="C35:D35"/>
    <mergeCell ref="E35:F35"/>
    <mergeCell ref="G35:J35"/>
    <mergeCell ref="C36:D36"/>
    <mergeCell ref="E36:F36"/>
    <mergeCell ref="G36:J36"/>
    <mergeCell ref="C37:D37"/>
    <mergeCell ref="E37:F37"/>
    <mergeCell ref="G37:J37"/>
    <mergeCell ref="C38:D38"/>
    <mergeCell ref="E38:F38"/>
    <mergeCell ref="G38:J38"/>
    <mergeCell ref="C39:D39"/>
    <mergeCell ref="E39:F39"/>
    <mergeCell ref="G39:J39"/>
    <mergeCell ref="C40:D40"/>
    <mergeCell ref="E40:F40"/>
    <mergeCell ref="G40:J40"/>
    <mergeCell ref="C41:D41"/>
    <mergeCell ref="E41:F41"/>
    <mergeCell ref="G41:J41"/>
    <mergeCell ref="C42:D42"/>
    <mergeCell ref="E42:F42"/>
    <mergeCell ref="G42:J42"/>
    <mergeCell ref="C43:D43"/>
    <mergeCell ref="E43:F43"/>
    <mergeCell ref="G43:J43"/>
    <mergeCell ref="C44:D44"/>
    <mergeCell ref="E44:F44"/>
    <mergeCell ref="G44:J44"/>
    <mergeCell ref="C45:D45"/>
    <mergeCell ref="E45:F45"/>
    <mergeCell ref="G45:J45"/>
    <mergeCell ref="C46:D46"/>
    <mergeCell ref="E46:F46"/>
    <mergeCell ref="G46:J46"/>
    <mergeCell ref="C47:D47"/>
    <mergeCell ref="E47:F47"/>
    <mergeCell ref="G47:J47"/>
    <mergeCell ref="K47:L47"/>
    <mergeCell ref="B48:B51"/>
    <mergeCell ref="C48:D48"/>
    <mergeCell ref="E48:F48"/>
    <mergeCell ref="G48:J48"/>
    <mergeCell ref="K48:L51"/>
    <mergeCell ref="C49:D49"/>
    <mergeCell ref="E49:F49"/>
    <mergeCell ref="G49:J49"/>
    <mergeCell ref="C50:D50"/>
    <mergeCell ref="E50:F50"/>
    <mergeCell ref="G50:J50"/>
    <mergeCell ref="C51:D51"/>
    <mergeCell ref="E51:F51"/>
    <mergeCell ref="G51:J51"/>
    <mergeCell ref="O51:R51"/>
    <mergeCell ref="B52:B56"/>
    <mergeCell ref="C52:D52"/>
    <mergeCell ref="E52:F52"/>
    <mergeCell ref="G52:J52"/>
    <mergeCell ref="K52:L56"/>
    <mergeCell ref="C53:D53"/>
    <mergeCell ref="E53:F53"/>
    <mergeCell ref="G53:J53"/>
    <mergeCell ref="C54:D54"/>
    <mergeCell ref="E54:F54"/>
    <mergeCell ref="G54:J54"/>
    <mergeCell ref="C55:D55"/>
    <mergeCell ref="E55:F55"/>
    <mergeCell ref="G55:J55"/>
    <mergeCell ref="C56:D56"/>
    <mergeCell ref="E56:F56"/>
    <mergeCell ref="G56:J56"/>
    <mergeCell ref="B57:B61"/>
    <mergeCell ref="C57:D57"/>
    <mergeCell ref="E57:F57"/>
    <mergeCell ref="G57:J57"/>
    <mergeCell ref="K57:L61"/>
    <mergeCell ref="C58:D58"/>
    <mergeCell ref="E58:F58"/>
    <mergeCell ref="G58:J58"/>
    <mergeCell ref="C59:D59"/>
    <mergeCell ref="E59:F59"/>
    <mergeCell ref="G59:J59"/>
    <mergeCell ref="C60:D60"/>
    <mergeCell ref="E60:F60"/>
    <mergeCell ref="G60:J60"/>
    <mergeCell ref="C61:D61"/>
    <mergeCell ref="E61:F61"/>
    <mergeCell ref="G61:J61"/>
    <mergeCell ref="C62:D62"/>
    <mergeCell ref="E62:F62"/>
    <mergeCell ref="G62:J62"/>
    <mergeCell ref="K62:L62"/>
    <mergeCell ref="B63:B66"/>
    <mergeCell ref="C63:D63"/>
    <mergeCell ref="E63:F63"/>
    <mergeCell ref="G63:J63"/>
    <mergeCell ref="K63:L66"/>
    <mergeCell ref="C64:D64"/>
    <mergeCell ref="E64:F64"/>
    <mergeCell ref="G64:J64"/>
    <mergeCell ref="C65:D65"/>
    <mergeCell ref="E65:F65"/>
    <mergeCell ref="G65:J65"/>
    <mergeCell ref="C66:D66"/>
    <mergeCell ref="E66:F66"/>
    <mergeCell ref="G66:J66"/>
    <mergeCell ref="K67:L91"/>
    <mergeCell ref="C68:D68"/>
    <mergeCell ref="E68:F68"/>
    <mergeCell ref="G68:J68"/>
    <mergeCell ref="C69:D69"/>
    <mergeCell ref="E69:F69"/>
    <mergeCell ref="G69:J69"/>
    <mergeCell ref="C70:D70"/>
    <mergeCell ref="E70:F70"/>
    <mergeCell ref="G70:J70"/>
    <mergeCell ref="C71:D71"/>
    <mergeCell ref="E71:F71"/>
    <mergeCell ref="G71:J71"/>
    <mergeCell ref="C72:D72"/>
    <mergeCell ref="E72:F72"/>
    <mergeCell ref="G72:J72"/>
    <mergeCell ref="C73:D73"/>
    <mergeCell ref="E73:F73"/>
    <mergeCell ref="G73:J73"/>
    <mergeCell ref="C74:D74"/>
    <mergeCell ref="E74:F74"/>
    <mergeCell ref="G74:J74"/>
    <mergeCell ref="C75:D75"/>
    <mergeCell ref="E75:F75"/>
    <mergeCell ref="G75:J75"/>
    <mergeCell ref="C76:D76"/>
    <mergeCell ref="E76:F76"/>
    <mergeCell ref="G76:J76"/>
    <mergeCell ref="C77:D77"/>
    <mergeCell ref="E77:F77"/>
    <mergeCell ref="G77:J77"/>
    <mergeCell ref="C78:D78"/>
    <mergeCell ref="E78:F78"/>
    <mergeCell ref="G78:J78"/>
    <mergeCell ref="C79:D79"/>
    <mergeCell ref="E79:F79"/>
    <mergeCell ref="G79:J79"/>
    <mergeCell ref="C80:D80"/>
    <mergeCell ref="E80:F80"/>
    <mergeCell ref="G80:J80"/>
    <mergeCell ref="C81:D81"/>
    <mergeCell ref="E81:F81"/>
    <mergeCell ref="G81:J81"/>
    <mergeCell ref="E86:F86"/>
    <mergeCell ref="G86:J86"/>
    <mergeCell ref="C87:D87"/>
    <mergeCell ref="E87:F87"/>
    <mergeCell ref="G87:J87"/>
    <mergeCell ref="C82:D82"/>
    <mergeCell ref="E82:F82"/>
    <mergeCell ref="G82:J82"/>
    <mergeCell ref="C83:D83"/>
    <mergeCell ref="E83:F83"/>
    <mergeCell ref="G83:J83"/>
    <mergeCell ref="C84:D84"/>
    <mergeCell ref="E84:F84"/>
    <mergeCell ref="G84:J84"/>
    <mergeCell ref="C91:D91"/>
    <mergeCell ref="E91:F91"/>
    <mergeCell ref="G91:J91"/>
    <mergeCell ref="B92:B95"/>
    <mergeCell ref="C92:D92"/>
    <mergeCell ref="E92:F92"/>
    <mergeCell ref="G92:J92"/>
    <mergeCell ref="B67:B91"/>
    <mergeCell ref="C67:D67"/>
    <mergeCell ref="E67:F67"/>
    <mergeCell ref="G67:J67"/>
    <mergeCell ref="C88:D88"/>
    <mergeCell ref="E88:F88"/>
    <mergeCell ref="G88:J88"/>
    <mergeCell ref="C89:D89"/>
    <mergeCell ref="E89:F89"/>
    <mergeCell ref="G89:J89"/>
    <mergeCell ref="C90:D90"/>
    <mergeCell ref="E90:F90"/>
    <mergeCell ref="G90:J90"/>
    <mergeCell ref="C85:D85"/>
    <mergeCell ref="E85:F85"/>
    <mergeCell ref="G85:J85"/>
    <mergeCell ref="C86:D86"/>
    <mergeCell ref="K92:L95"/>
    <mergeCell ref="C93:D93"/>
    <mergeCell ref="E93:F93"/>
    <mergeCell ref="G93:J93"/>
    <mergeCell ref="C94:D94"/>
    <mergeCell ref="E94:F94"/>
    <mergeCell ref="G94:J94"/>
    <mergeCell ref="C95:D95"/>
    <mergeCell ref="E95:F95"/>
    <mergeCell ref="G95:J95"/>
    <mergeCell ref="C96:D96"/>
    <mergeCell ref="E96:F96"/>
    <mergeCell ref="G96:J96"/>
    <mergeCell ref="K96:L96"/>
    <mergeCell ref="C97:D97"/>
    <mergeCell ref="E97:F97"/>
    <mergeCell ref="G97:J97"/>
    <mergeCell ref="K97:L97"/>
    <mergeCell ref="C98:D98"/>
    <mergeCell ref="E98:F98"/>
    <mergeCell ref="G98:J98"/>
    <mergeCell ref="K98:L98"/>
    <mergeCell ref="C99:D99"/>
    <mergeCell ref="E99:F99"/>
    <mergeCell ref="G99:J99"/>
    <mergeCell ref="K99:L99"/>
    <mergeCell ref="C100:D100"/>
    <mergeCell ref="E100:F100"/>
    <mergeCell ref="G100:J100"/>
    <mergeCell ref="K100:L100"/>
    <mergeCell ref="B101:B125"/>
    <mergeCell ref="C101:D101"/>
    <mergeCell ref="E101:F101"/>
    <mergeCell ref="G101:J101"/>
    <mergeCell ref="K101:L125"/>
    <mergeCell ref="C102:D102"/>
    <mergeCell ref="E102:F102"/>
    <mergeCell ref="G102:J102"/>
    <mergeCell ref="C103:D103"/>
    <mergeCell ref="E103:F103"/>
    <mergeCell ref="G103:J103"/>
    <mergeCell ref="C104:D104"/>
    <mergeCell ref="E104:F104"/>
    <mergeCell ref="G104:J104"/>
    <mergeCell ref="C105:D105"/>
    <mergeCell ref="E105:F105"/>
    <mergeCell ref="G105:J105"/>
    <mergeCell ref="C106:D106"/>
    <mergeCell ref="E106:F106"/>
    <mergeCell ref="G106:J106"/>
    <mergeCell ref="C107:D107"/>
    <mergeCell ref="E107:F107"/>
    <mergeCell ref="G107:J107"/>
    <mergeCell ref="C108:D108"/>
    <mergeCell ref="E108:F108"/>
    <mergeCell ref="G108:J108"/>
    <mergeCell ref="C109:D109"/>
    <mergeCell ref="E109:F109"/>
    <mergeCell ref="G109:J109"/>
    <mergeCell ref="C110:D110"/>
    <mergeCell ref="E110:F110"/>
    <mergeCell ref="G110:J110"/>
    <mergeCell ref="C111:D111"/>
    <mergeCell ref="E111:F111"/>
    <mergeCell ref="G111:J111"/>
    <mergeCell ref="C112:D112"/>
    <mergeCell ref="E112:F112"/>
    <mergeCell ref="G112:J112"/>
    <mergeCell ref="C113:D113"/>
    <mergeCell ref="E113:F113"/>
    <mergeCell ref="G113:J113"/>
    <mergeCell ref="C114:D114"/>
    <mergeCell ref="E114:F114"/>
    <mergeCell ref="G114:J114"/>
    <mergeCell ref="C115:D115"/>
    <mergeCell ref="E115:F115"/>
    <mergeCell ref="G115:J115"/>
    <mergeCell ref="C116:D116"/>
    <mergeCell ref="E116:F116"/>
    <mergeCell ref="G116:J116"/>
    <mergeCell ref="C117:D117"/>
    <mergeCell ref="E117:F117"/>
    <mergeCell ref="G117:J117"/>
    <mergeCell ref="C118:D118"/>
    <mergeCell ref="E118:F118"/>
    <mergeCell ref="G118:J118"/>
    <mergeCell ref="C119:D119"/>
    <mergeCell ref="E119:F119"/>
    <mergeCell ref="G119:J119"/>
    <mergeCell ref="C120:D120"/>
    <mergeCell ref="E120:F120"/>
    <mergeCell ref="G120:J120"/>
    <mergeCell ref="C121:D121"/>
    <mergeCell ref="E121:F121"/>
    <mergeCell ref="G121:J121"/>
    <mergeCell ref="C122:D122"/>
    <mergeCell ref="E122:F122"/>
    <mergeCell ref="G122:J122"/>
    <mergeCell ref="C123:D123"/>
    <mergeCell ref="E123:F123"/>
    <mergeCell ref="G123:J123"/>
    <mergeCell ref="C124:D124"/>
    <mergeCell ref="E124:F124"/>
    <mergeCell ref="G124:J124"/>
    <mergeCell ref="C125:D125"/>
    <mergeCell ref="E125:F125"/>
    <mergeCell ref="G125:J125"/>
    <mergeCell ref="B126:B127"/>
    <mergeCell ref="C126:D126"/>
    <mergeCell ref="E126:F126"/>
    <mergeCell ref="G126:J126"/>
    <mergeCell ref="K126:L127"/>
    <mergeCell ref="C127:D127"/>
    <mergeCell ref="E127:F127"/>
    <mergeCell ref="G127:J127"/>
    <mergeCell ref="C128:D128"/>
    <mergeCell ref="E128:F128"/>
    <mergeCell ref="G128:J128"/>
    <mergeCell ref="K128:L128"/>
    <mergeCell ref="C129:D129"/>
    <mergeCell ref="E129:F129"/>
    <mergeCell ref="G129:J129"/>
    <mergeCell ref="K129:L129"/>
    <mergeCell ref="B130:B131"/>
    <mergeCell ref="C130:D130"/>
    <mergeCell ref="E130:F130"/>
    <mergeCell ref="G130:J130"/>
    <mergeCell ref="K130:L131"/>
    <mergeCell ref="C131:D131"/>
    <mergeCell ref="E131:F131"/>
    <mergeCell ref="G131:J131"/>
    <mergeCell ref="C132:D132"/>
    <mergeCell ref="E132:F132"/>
    <mergeCell ref="G132:J132"/>
    <mergeCell ref="K132:L132"/>
    <mergeCell ref="C133:D133"/>
    <mergeCell ref="E133:F133"/>
    <mergeCell ref="G133:J133"/>
    <mergeCell ref="K133:L133"/>
    <mergeCell ref="C134:D134"/>
    <mergeCell ref="E134:F134"/>
    <mergeCell ref="G134:J134"/>
    <mergeCell ref="K134:L134"/>
    <mergeCell ref="C135:D135"/>
    <mergeCell ref="E135:F135"/>
    <mergeCell ref="G135:J135"/>
    <mergeCell ref="K135:L135"/>
    <mergeCell ref="C136:D136"/>
    <mergeCell ref="E136:F136"/>
    <mergeCell ref="G136:J136"/>
    <mergeCell ref="K136:L136"/>
    <mergeCell ref="B137:B161"/>
    <mergeCell ref="C137:D137"/>
    <mergeCell ref="E137:F137"/>
    <mergeCell ref="G137:J137"/>
    <mergeCell ref="K137:L161"/>
    <mergeCell ref="C138:D138"/>
    <mergeCell ref="E138:F138"/>
    <mergeCell ref="G138:J138"/>
    <mergeCell ref="C139:D139"/>
    <mergeCell ref="E139:F139"/>
    <mergeCell ref="G139:J139"/>
    <mergeCell ref="C140:D140"/>
    <mergeCell ref="E140:F140"/>
    <mergeCell ref="G140:J140"/>
    <mergeCell ref="C141:D141"/>
    <mergeCell ref="E141:F141"/>
    <mergeCell ref="G141:J141"/>
    <mergeCell ref="C142:D142"/>
    <mergeCell ref="E142:F142"/>
    <mergeCell ref="G142:J142"/>
    <mergeCell ref="C143:D143"/>
    <mergeCell ref="E143:F143"/>
    <mergeCell ref="G143:J143"/>
    <mergeCell ref="C144:D144"/>
    <mergeCell ref="E144:F144"/>
    <mergeCell ref="G144:J144"/>
    <mergeCell ref="C145:D145"/>
    <mergeCell ref="E145:F145"/>
    <mergeCell ref="G145:J145"/>
    <mergeCell ref="C146:D146"/>
    <mergeCell ref="E146:F146"/>
    <mergeCell ref="G146:J146"/>
    <mergeCell ref="C147:D147"/>
    <mergeCell ref="E147:F147"/>
    <mergeCell ref="G147:J147"/>
    <mergeCell ref="C148:D148"/>
    <mergeCell ref="E148:F148"/>
    <mergeCell ref="G148:J148"/>
    <mergeCell ref="C149:D149"/>
    <mergeCell ref="E149:F149"/>
    <mergeCell ref="G149:J149"/>
    <mergeCell ref="C150:D150"/>
    <mergeCell ref="E150:F150"/>
    <mergeCell ref="G150:J150"/>
    <mergeCell ref="C151:D151"/>
    <mergeCell ref="E151:F151"/>
    <mergeCell ref="G151:J151"/>
    <mergeCell ref="C152:D152"/>
    <mergeCell ref="E152:F152"/>
    <mergeCell ref="G152:J152"/>
    <mergeCell ref="C153:D153"/>
    <mergeCell ref="E153:F153"/>
    <mergeCell ref="G153:J153"/>
    <mergeCell ref="C154:D154"/>
    <mergeCell ref="E154:F154"/>
    <mergeCell ref="G154:J154"/>
    <mergeCell ref="C155:D155"/>
    <mergeCell ref="E155:F155"/>
    <mergeCell ref="G155:J155"/>
    <mergeCell ref="C156:D156"/>
    <mergeCell ref="E156:F156"/>
    <mergeCell ref="G156:J156"/>
    <mergeCell ref="C157:D157"/>
    <mergeCell ref="E157:F157"/>
    <mergeCell ref="G157:J157"/>
    <mergeCell ref="C158:D158"/>
    <mergeCell ref="E158:F158"/>
    <mergeCell ref="G158:J158"/>
    <mergeCell ref="C159:D159"/>
    <mergeCell ref="E159:F159"/>
    <mergeCell ref="G159:J159"/>
    <mergeCell ref="C160:D160"/>
    <mergeCell ref="E160:F160"/>
    <mergeCell ref="G160:J160"/>
    <mergeCell ref="C161:D161"/>
    <mergeCell ref="E161:F161"/>
    <mergeCell ref="G161:J161"/>
    <mergeCell ref="C162:D162"/>
    <mergeCell ref="E162:F162"/>
    <mergeCell ref="G162:J162"/>
    <mergeCell ref="K162:L162"/>
    <mergeCell ref="C163:D163"/>
    <mergeCell ref="E163:F163"/>
    <mergeCell ref="G163:J163"/>
    <mergeCell ref="K163:L163"/>
    <mergeCell ref="C164:D164"/>
    <mergeCell ref="E164:F164"/>
    <mergeCell ref="G164:J164"/>
    <mergeCell ref="K164:L164"/>
    <mergeCell ref="C165:D165"/>
    <mergeCell ref="E165:F165"/>
    <mergeCell ref="G165:J165"/>
    <mergeCell ref="K165:L165"/>
    <mergeCell ref="C166:D166"/>
    <mergeCell ref="E166:F166"/>
    <mergeCell ref="G166:J166"/>
    <mergeCell ref="K166:L166"/>
    <mergeCell ref="C167:D167"/>
    <mergeCell ref="E167:F167"/>
    <mergeCell ref="G167:J167"/>
    <mergeCell ref="K167:L167"/>
    <mergeCell ref="C168:D168"/>
    <mergeCell ref="E168:F168"/>
    <mergeCell ref="G168:J168"/>
    <mergeCell ref="K168:L168"/>
    <mergeCell ref="C169:D169"/>
    <mergeCell ref="E169:F169"/>
    <mergeCell ref="G169:J169"/>
    <mergeCell ref="K169:L169"/>
    <mergeCell ref="C170:D170"/>
    <mergeCell ref="E170:F170"/>
    <mergeCell ref="G170:J170"/>
    <mergeCell ref="K170:L170"/>
    <mergeCell ref="C171:D171"/>
    <mergeCell ref="E171:F171"/>
    <mergeCell ref="G171:J171"/>
    <mergeCell ref="K171:L171"/>
    <mergeCell ref="C172:D172"/>
    <mergeCell ref="E172:F172"/>
    <mergeCell ref="G172:J172"/>
    <mergeCell ref="K172:L172"/>
    <mergeCell ref="C173:D173"/>
    <mergeCell ref="E173:F173"/>
    <mergeCell ref="G173:J173"/>
    <mergeCell ref="K173:L173"/>
    <mergeCell ref="C174:D174"/>
    <mergeCell ref="E174:F174"/>
    <mergeCell ref="G174:J174"/>
    <mergeCell ref="K174:L174"/>
    <mergeCell ref="C175:D175"/>
    <mergeCell ref="E175:F175"/>
    <mergeCell ref="G175:J175"/>
    <mergeCell ref="K175:L175"/>
    <mergeCell ref="C176:D176"/>
    <mergeCell ref="E176:F176"/>
    <mergeCell ref="G176:J176"/>
    <mergeCell ref="K176:L176"/>
    <mergeCell ref="C177:D177"/>
    <mergeCell ref="E177:F177"/>
    <mergeCell ref="G177:J177"/>
    <mergeCell ref="K177:L177"/>
    <mergeCell ref="C178:D178"/>
    <mergeCell ref="E178:F178"/>
    <mergeCell ref="G178:J178"/>
    <mergeCell ref="K178:L178"/>
    <mergeCell ref="C179:D179"/>
    <mergeCell ref="E179:F179"/>
    <mergeCell ref="G179:J179"/>
    <mergeCell ref="K179:L179"/>
    <mergeCell ref="C180:D180"/>
    <mergeCell ref="E180:F180"/>
    <mergeCell ref="G180:J180"/>
    <mergeCell ref="K180:L180"/>
    <mergeCell ref="C181:D181"/>
    <mergeCell ref="E181:F181"/>
    <mergeCell ref="G181:J181"/>
    <mergeCell ref="K181:L181"/>
    <mergeCell ref="C185:D185"/>
    <mergeCell ref="E185:F185"/>
    <mergeCell ref="G185:J185"/>
    <mergeCell ref="K185:L185"/>
    <mergeCell ref="C186:D186"/>
    <mergeCell ref="E186:F186"/>
    <mergeCell ref="G186:J186"/>
    <mergeCell ref="K186:L186"/>
    <mergeCell ref="C182:D182"/>
    <mergeCell ref="E182:F182"/>
    <mergeCell ref="G182:J182"/>
    <mergeCell ref="K182:L182"/>
    <mergeCell ref="C183:D183"/>
    <mergeCell ref="E183:F183"/>
    <mergeCell ref="G183:J183"/>
    <mergeCell ref="K183:L183"/>
    <mergeCell ref="C184:D184"/>
    <mergeCell ref="E184:F184"/>
    <mergeCell ref="G184:J184"/>
    <mergeCell ref="K184:L18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3A4A"/>
  </sheetPr>
  <dimension ref="A1:U199"/>
  <sheetViews>
    <sheetView showGridLines="0" zoomScaleNormal="100" workbookViewId="0">
      <selection sqref="A1:I1"/>
    </sheetView>
  </sheetViews>
  <sheetFormatPr defaultColWidth="8.6640625" defaultRowHeight="14.4" x14ac:dyDescent="0.3"/>
  <cols>
    <col min="1" max="1" width="35.6640625" style="27" customWidth="1"/>
    <col min="2" max="2" width="28" customWidth="1"/>
    <col min="3" max="3" width="14" customWidth="1"/>
    <col min="4" max="6" width="13" customWidth="1"/>
    <col min="7" max="7" width="14.88671875" customWidth="1"/>
    <col min="8" max="8" width="13" customWidth="1"/>
    <col min="9" max="9" width="13.5546875" customWidth="1"/>
    <col min="10" max="13" width="12" hidden="1" customWidth="1"/>
    <col min="14" max="14" width="14" hidden="1" customWidth="1"/>
    <col min="15" max="15" width="13" style="28" hidden="1" customWidth="1"/>
    <col min="16" max="16" width="45" customWidth="1"/>
    <col min="17" max="21" width="13" customWidth="1"/>
  </cols>
  <sheetData>
    <row r="1" spans="1:19" ht="21.75" customHeight="1" x14ac:dyDescent="0.3">
      <c r="A1" s="609" t="s">
        <v>197</v>
      </c>
      <c r="B1" s="609"/>
      <c r="C1" s="609"/>
      <c r="D1" s="609"/>
      <c r="E1" s="609"/>
      <c r="F1" s="609"/>
      <c r="G1" s="609"/>
      <c r="H1" s="609"/>
      <c r="I1" s="609"/>
      <c r="J1" t="s">
        <v>198</v>
      </c>
      <c r="K1" t="s">
        <v>199</v>
      </c>
      <c r="L1" t="s">
        <v>200</v>
      </c>
      <c r="M1" t="s">
        <v>201</v>
      </c>
    </row>
    <row r="2" spans="1:19" ht="14.25" customHeight="1" x14ac:dyDescent="0.3">
      <c r="A2" s="610" t="s">
        <v>202</v>
      </c>
      <c r="B2" s="610"/>
      <c r="C2" s="610"/>
      <c r="D2" s="610"/>
      <c r="E2" s="610"/>
      <c r="F2" s="610"/>
      <c r="G2" s="607" t="s">
        <v>203</v>
      </c>
      <c r="H2" s="607"/>
      <c r="I2" s="607"/>
      <c r="P2" s="29" t="s">
        <v>204</v>
      </c>
    </row>
    <row r="3" spans="1:19" ht="19.5" customHeight="1" x14ac:dyDescent="0.3">
      <c r="A3" s="30">
        <v>46027</v>
      </c>
      <c r="B3" s="31" t="s">
        <v>78</v>
      </c>
      <c r="C3" s="32" t="s">
        <v>205</v>
      </c>
      <c r="D3" s="33" t="s">
        <v>206</v>
      </c>
      <c r="E3" s="33" t="s">
        <v>207</v>
      </c>
      <c r="F3" s="34" t="s">
        <v>208</v>
      </c>
      <c r="G3" s="33" t="s">
        <v>209</v>
      </c>
      <c r="H3" s="33" t="s">
        <v>210</v>
      </c>
      <c r="I3" s="35" t="s">
        <v>211</v>
      </c>
      <c r="J3" s="36"/>
      <c r="K3" s="36"/>
      <c r="L3" s="37"/>
      <c r="M3" s="36"/>
      <c r="N3" s="37"/>
      <c r="P3" s="607" t="s">
        <v>212</v>
      </c>
      <c r="Q3" s="607"/>
      <c r="R3" s="607"/>
      <c r="S3" s="607"/>
    </row>
    <row r="4" spans="1:19" ht="14.25" customHeight="1" x14ac:dyDescent="0.3">
      <c r="A4" s="38"/>
      <c r="B4" s="39"/>
      <c r="C4" s="40"/>
      <c r="D4" s="41"/>
      <c r="E4" s="42"/>
      <c r="G4" s="43"/>
      <c r="H4" s="44"/>
      <c r="I4" s="45"/>
      <c r="J4" s="46"/>
      <c r="L4" s="44" t="str">
        <f>IF(H4="","",H4)</f>
        <v/>
      </c>
      <c r="N4" s="45" t="str">
        <f t="shared" ref="N4:N10" si="0">IF(I4="","",I4)</f>
        <v/>
      </c>
      <c r="P4" s="607"/>
      <c r="Q4" s="607"/>
      <c r="R4" s="607"/>
      <c r="S4" s="607"/>
    </row>
    <row r="5" spans="1:19" ht="14.25" customHeight="1" x14ac:dyDescent="0.3">
      <c r="A5" s="47"/>
      <c r="B5" s="48" t="s">
        <v>213</v>
      </c>
      <c r="C5" s="49">
        <v>600</v>
      </c>
      <c r="D5" s="50">
        <v>665</v>
      </c>
      <c r="E5" s="51" t="s">
        <v>214</v>
      </c>
      <c r="F5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>95</v>
      </c>
      <c r="G5" s="52">
        <f>IFERROR(ROUNDUP(D5/F5,0),"")</f>
        <v>7</v>
      </c>
      <c r="H5" s="53">
        <v>667</v>
      </c>
      <c r="I5" s="54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>8004</v>
      </c>
      <c r="J5" s="55">
        <f>IF(D5="","",ROUNDUP(D5/IF(AND(C5="600 ml",ISNUMBER(SEARCH("NORCAU",B5))),95,IF(AND(C5="600 ml",ISNUMBER(SEARCH("APURATOS",B5))),190,IF(C5="600 ml",95,IF(C5="400 ml",125,IF(C5="200 ml",330,IF(C5="180 ml",240,1)))))),0))</f>
        <v>665</v>
      </c>
      <c r="L5" s="56">
        <f>IF(H5="","",H5)</f>
        <v>667</v>
      </c>
      <c r="M5" s="57"/>
      <c r="N5" s="58">
        <f t="shared" si="0"/>
        <v>8004</v>
      </c>
      <c r="P5" s="607"/>
      <c r="Q5" s="607"/>
      <c r="R5" s="607"/>
      <c r="S5" s="607"/>
    </row>
    <row r="6" spans="1:19" ht="14.25" customHeight="1" x14ac:dyDescent="0.3">
      <c r="B6" s="39" t="s">
        <v>215</v>
      </c>
      <c r="C6" s="40">
        <v>600</v>
      </c>
      <c r="D6" s="41">
        <v>665</v>
      </c>
      <c r="E6" s="42" t="s">
        <v>214</v>
      </c>
      <c r="F6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>95</v>
      </c>
      <c r="G6" s="59">
        <f>IFERROR(ROUNDUP(D6/F6,0),"")</f>
        <v>7</v>
      </c>
      <c r="H6" s="44">
        <v>29</v>
      </c>
      <c r="I6" s="45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>348</v>
      </c>
      <c r="J6" s="46">
        <f>IF(D6="","",ROUNDUP(D6/IF(AND(C6="600 ml",ISNUMBER(SEARCH("NORCAU",B6))),95,IF(AND(C6="600 ml",ISNUMBER(SEARCH("APURATOS",B6))),190,IF(C6="600 ml",95,IF(C6="400 ml",125,IF(C6="200 ml",330,IF(C6="180 ml",240,1)))))),0))</f>
        <v>665</v>
      </c>
      <c r="L6" s="44">
        <f>IF(H6="","",H6)</f>
        <v>29</v>
      </c>
      <c r="M6" s="57"/>
      <c r="N6" s="45">
        <f t="shared" si="0"/>
        <v>348</v>
      </c>
    </row>
    <row r="7" spans="1:19" ht="14.25" customHeight="1" x14ac:dyDescent="0.3">
      <c r="A7" s="38"/>
      <c r="B7" s="48"/>
      <c r="C7" s="49"/>
      <c r="D7" s="50"/>
      <c r="E7" s="51" t="s">
        <v>214</v>
      </c>
      <c r="F7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52" t="str">
        <f>IFERROR(ROUNDUP(D7/F7,0),"")</f>
        <v/>
      </c>
      <c r="H7" s="53"/>
      <c r="I7" s="54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  <c r="J7" s="55" t="str">
        <f>IF(D7="","",ROUNDUP(D7/IF(AND(C7="600 ml",ISNUMBER(SEARCH("NORCAU",B7))),95,IF(AND(C7="600 ml",ISNUMBER(SEARCH("APURATOS",B7))),190,IF(C7="600 ml",95,IF(C7="400 ml",125,IF(C7="200 ml",330,IF(C7="180 ml",240,1)))))),0))</f>
        <v/>
      </c>
      <c r="L7" s="56" t="str">
        <f>IF(H7="","",H7)</f>
        <v/>
      </c>
      <c r="N7" s="58" t="str">
        <f t="shared" si="0"/>
        <v/>
      </c>
    </row>
    <row r="8" spans="1:19" ht="14.25" customHeight="1" x14ac:dyDescent="0.3">
      <c r="A8" s="38"/>
      <c r="B8" s="39"/>
      <c r="C8" s="40"/>
      <c r="D8" s="41"/>
      <c r="E8" s="42"/>
      <c r="G8" s="43"/>
      <c r="H8" s="44"/>
      <c r="I8" s="45"/>
      <c r="J8" s="46" t="str">
        <f>IF(D8="","",ROUNDUP(D8/IF(AND(C8="600 ml",ISNUMBER(SEARCH("NORCAU",B8))),95,IF(AND(C8="600 ml",ISNUMBER(SEARCH("APURATOS",B8))),190,IF(C8="600 ml",95,IF(C8="400 ml",125,IF(C8="200 ml",330,IF(C8="180 ml",240,1)))))),0))</f>
        <v/>
      </c>
      <c r="L8" s="44" t="str">
        <f>IF(H8="","",H8)</f>
        <v/>
      </c>
      <c r="N8" s="45" t="str">
        <f t="shared" si="0"/>
        <v/>
      </c>
    </row>
    <row r="9" spans="1:19" ht="14.25" customHeight="1" x14ac:dyDescent="0.3">
      <c r="A9" s="38"/>
      <c r="B9" s="60" t="s">
        <v>216</v>
      </c>
      <c r="C9" s="61"/>
      <c r="D9" s="62">
        <f>SUM(D2:D8)</f>
        <v>1330</v>
      </c>
      <c r="E9" s="63"/>
      <c r="F9" s="64"/>
      <c r="G9" s="65">
        <f>SUM(G2:G8)</f>
        <v>14</v>
      </c>
      <c r="H9" s="62">
        <f>SUM(H2:H8)</f>
        <v>696</v>
      </c>
      <c r="I9" s="66">
        <f>SUM(I2:I8)</f>
        <v>8352</v>
      </c>
      <c r="J9" s="67">
        <f>SUM(D4:D8)</f>
        <v>1330</v>
      </c>
      <c r="K9" s="68">
        <f>SUM(G4:G8)</f>
        <v>14</v>
      </c>
      <c r="L9" s="69">
        <f>SUM(H4:H8)</f>
        <v>696</v>
      </c>
      <c r="M9" s="68">
        <f>SUM(I4:I8)</f>
        <v>8352</v>
      </c>
      <c r="N9" s="70">
        <f t="shared" si="0"/>
        <v>8352</v>
      </c>
      <c r="O9" s="28">
        <f>SUM(N5:N8)</f>
        <v>8352</v>
      </c>
    </row>
    <row r="10" spans="1:19" ht="14.25" customHeight="1" x14ac:dyDescent="0.3">
      <c r="B10" s="71"/>
      <c r="C10" s="72"/>
      <c r="J10" t="str">
        <f>IF(D10="","",ROUNDUP(D10/IF(AND(C10="600 ml",ISNUMBER(SEARCH("NORCAU",B10))),95,IF(AND(C10="600 ml",ISNUMBER(SEARCH("APURATOS",B10))),190,IF(C10="600 ml",95,IF(C10="400 ml",125,IF(C10="200 ml",330,IF(C10="180 ml",240,1)))))),0))</f>
        <v/>
      </c>
      <c r="L10" t="str">
        <f>IF(H10="","",H10)</f>
        <v/>
      </c>
      <c r="N10" t="str">
        <f t="shared" si="0"/>
        <v/>
      </c>
    </row>
    <row r="11" spans="1:19" ht="19.5" customHeight="1" x14ac:dyDescent="0.3">
      <c r="A11" s="30">
        <v>46028</v>
      </c>
      <c r="B11" s="31" t="s">
        <v>78</v>
      </c>
      <c r="C11" s="32" t="s">
        <v>205</v>
      </c>
      <c r="D11" s="33" t="s">
        <v>206</v>
      </c>
      <c r="E11" s="33" t="s">
        <v>207</v>
      </c>
      <c r="F11" s="34" t="s">
        <v>208</v>
      </c>
      <c r="G11" s="33" t="s">
        <v>209</v>
      </c>
      <c r="H11" s="33" t="s">
        <v>210</v>
      </c>
      <c r="I11" s="35" t="s">
        <v>211</v>
      </c>
      <c r="J11" s="36"/>
      <c r="K11" s="36"/>
      <c r="L11" s="37"/>
      <c r="M11" s="36"/>
      <c r="N11" s="37"/>
    </row>
    <row r="12" spans="1:19" ht="15" customHeight="1" x14ac:dyDescent="0.3">
      <c r="A12" s="38"/>
      <c r="B12" s="39"/>
      <c r="C12" s="40"/>
      <c r="D12" s="41"/>
      <c r="E12" s="42"/>
      <c r="G12" s="43"/>
      <c r="H12" s="44"/>
      <c r="I12" s="45"/>
      <c r="J12" s="46" t="str">
        <f>IF(D12="","",ROUNDUP(D12/IF(AND(C12="600 ml",ISNUMBER(SEARCH("NORCAU",B12))),95,IF(AND(C12="600 ml",ISNUMBER(SEARCH("APURATOS",B12))),190,IF(C12="600 ml",95,IF(C12="400 ml",125,IF(C12="200 ml",330,IF(C12="180 ml",240,1)))))),0))</f>
        <v/>
      </c>
      <c r="L12" s="44" t="str">
        <f>IF(H12="","",H12)</f>
        <v/>
      </c>
      <c r="N12" s="45" t="str">
        <f t="shared" ref="N12:N17" si="1">IF(I12="","",I12)</f>
        <v/>
      </c>
      <c r="P12" s="611" t="s">
        <v>217</v>
      </c>
      <c r="Q12" s="611"/>
      <c r="R12" s="611"/>
      <c r="S12" s="611"/>
    </row>
    <row r="13" spans="1:19" ht="14.25" customHeight="1" x14ac:dyDescent="0.3">
      <c r="A13" s="47"/>
      <c r="B13" s="48" t="s">
        <v>215</v>
      </c>
      <c r="C13" s="49">
        <v>600</v>
      </c>
      <c r="D13" s="50">
        <f>D6-L6</f>
        <v>636</v>
      </c>
      <c r="E13" s="51" t="s">
        <v>214</v>
      </c>
      <c r="F13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>95</v>
      </c>
      <c r="G13" s="52">
        <f>IFERROR(ROUNDUP(D13/F13,0),"")</f>
        <v>7</v>
      </c>
      <c r="H13" s="53">
        <v>156</v>
      </c>
      <c r="I13" s="54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>1872</v>
      </c>
      <c r="J13" s="55">
        <f>IF(D13="","",ROUNDUP(D13/IF(AND(C13="600 ml",ISNUMBER(SEARCH("NORCAU",B13))),95,IF(AND(C13="600 ml",ISNUMBER(SEARCH("APURATOS",B13))),190,IF(C13="600 ml",95,IF(C13="400 ml",125,IF(C13="200 ml",330,IF(C13="180 ml",240,1)))))),0))</f>
        <v>636</v>
      </c>
      <c r="L13" s="56">
        <f>IF(H13="","",H13)</f>
        <v>156</v>
      </c>
      <c r="M13" s="57"/>
      <c r="N13" s="58">
        <f t="shared" si="1"/>
        <v>1872</v>
      </c>
      <c r="P13" s="611"/>
      <c r="Q13" s="611"/>
      <c r="R13" s="611"/>
      <c r="S13" s="611"/>
    </row>
    <row r="14" spans="1:19" ht="14.25" customHeight="1" x14ac:dyDescent="0.3">
      <c r="B14" s="39"/>
      <c r="C14" s="40"/>
      <c r="D14" s="41"/>
      <c r="E14" s="42" t="s">
        <v>214</v>
      </c>
      <c r="F14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59" t="str">
        <f>IFERROR(ROUNDUP(D14/F14,0),"")</f>
        <v/>
      </c>
      <c r="H14" s="44"/>
      <c r="I14" s="45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  <c r="J14" s="46" t="str">
        <f>IF(D14="","",ROUNDUP(D14/IF(AND(C14="600 ml",ISNUMBER(SEARCH("NORCAU",B14))),95,IF(AND(C14="600 ml",ISNUMBER(SEARCH("APURATOS",B14))),190,IF(C14="600 ml",95,IF(C14="400 ml",125,IF(C14="200 ml",330,IF(C14="180 ml",240,1)))))),0))</f>
        <v/>
      </c>
      <c r="L14" s="44" t="str">
        <f>IF(H14="","",H14)</f>
        <v/>
      </c>
      <c r="M14" s="57"/>
      <c r="N14" s="45" t="str">
        <f t="shared" si="1"/>
        <v/>
      </c>
      <c r="P14" s="74"/>
      <c r="Q14" s="68"/>
      <c r="R14" s="68"/>
      <c r="S14" s="75"/>
    </row>
    <row r="15" spans="1:19" ht="14.25" customHeight="1" x14ac:dyDescent="0.3">
      <c r="A15" s="38"/>
      <c r="B15" s="48"/>
      <c r="C15" s="49"/>
      <c r="D15" s="50"/>
      <c r="E15" s="51"/>
      <c r="G15" s="52"/>
      <c r="H15" s="53"/>
      <c r="I15" s="54"/>
      <c r="J15" s="55" t="str">
        <f>IF(D15="","",ROUNDUP(D15/IF(AND(C15="600 ml",ISNUMBER(SEARCH("NORCAU",B15))),95,IF(AND(C15="600 ml",ISNUMBER(SEARCH("APURATOS",B15))),190,IF(C15="600 ml",95,IF(C15="400 ml",125,IF(C15="200 ml",330,IF(C15="180 ml",240,1)))))),0))</f>
        <v/>
      </c>
      <c r="L15" s="56" t="str">
        <f>IF(H15="","",H15)</f>
        <v/>
      </c>
      <c r="N15" s="58" t="str">
        <f t="shared" si="1"/>
        <v/>
      </c>
    </row>
    <row r="16" spans="1:19" ht="14.25" customHeight="1" x14ac:dyDescent="0.3">
      <c r="A16" s="38"/>
      <c r="B16" s="76" t="s">
        <v>216</v>
      </c>
      <c r="C16" s="77"/>
      <c r="D16" s="78">
        <f>SUM(D9:D15)</f>
        <v>1966</v>
      </c>
      <c r="E16" s="79"/>
      <c r="F16" s="80"/>
      <c r="G16" s="81">
        <f>SUM(G9:G15)</f>
        <v>21</v>
      </c>
      <c r="H16" s="82">
        <f>SUM(H9:H15)</f>
        <v>852</v>
      </c>
      <c r="I16" s="83">
        <f>SUM(I9:I15)</f>
        <v>10224</v>
      </c>
      <c r="J16" s="46">
        <f>SUM(D12:D15)</f>
        <v>636</v>
      </c>
      <c r="K16">
        <f>SUM(G12:G15)</f>
        <v>7</v>
      </c>
      <c r="L16" s="44">
        <f>SUM(H12:H15)</f>
        <v>156</v>
      </c>
      <c r="M16">
        <f>SUM(I12:I15)</f>
        <v>1872</v>
      </c>
      <c r="N16" s="45">
        <f t="shared" si="1"/>
        <v>10224</v>
      </c>
      <c r="O16" s="28">
        <f>SUM(N13:N15)</f>
        <v>1872</v>
      </c>
    </row>
    <row r="17" spans="1:19" ht="14.25" customHeight="1" x14ac:dyDescent="0.3">
      <c r="A17" s="38"/>
      <c r="B17" s="60"/>
      <c r="C17" s="61"/>
      <c r="D17" s="84"/>
      <c r="E17" s="63"/>
      <c r="F17" s="64"/>
      <c r="G17" s="85"/>
      <c r="H17" s="84"/>
      <c r="I17" s="86"/>
      <c r="J17" s="67" t="str">
        <f>IF(D17="","",ROUNDUP(D17/IF(AND(C17="600 ml",ISNUMBER(SEARCH("NORCAU",B17))),95,IF(AND(C17="600 ml",ISNUMBER(SEARCH("APURATOS",B17))),190,IF(C17="600 ml",95,IF(C17="400 ml",125,IF(C17="200 ml",330,IF(C17="180 ml",240,1)))))),0))</f>
        <v/>
      </c>
      <c r="K17" s="68"/>
      <c r="L17" s="69" t="str">
        <f>IF(H17="","",H17)</f>
        <v/>
      </c>
      <c r="M17" s="68"/>
      <c r="N17" s="70" t="str">
        <f t="shared" si="1"/>
        <v/>
      </c>
    </row>
    <row r="18" spans="1:19" ht="14.25" customHeight="1" x14ac:dyDescent="0.3">
      <c r="A18" s="30">
        <v>46029</v>
      </c>
      <c r="B18" s="87" t="s">
        <v>78</v>
      </c>
      <c r="C18" s="88" t="s">
        <v>205</v>
      </c>
      <c r="D18" s="36" t="s">
        <v>206</v>
      </c>
      <c r="E18" s="36" t="s">
        <v>207</v>
      </c>
      <c r="F18" s="36" t="s">
        <v>208</v>
      </c>
      <c r="G18" s="36" t="s">
        <v>209</v>
      </c>
      <c r="H18" s="36" t="s">
        <v>210</v>
      </c>
      <c r="I18" s="89" t="s">
        <v>211</v>
      </c>
    </row>
    <row r="19" spans="1:19" ht="19.5" customHeight="1" x14ac:dyDescent="0.3">
      <c r="A19" s="38"/>
      <c r="B19" s="31"/>
      <c r="C19" s="32"/>
      <c r="D19" s="33"/>
      <c r="E19" s="33"/>
      <c r="F19" s="34"/>
      <c r="G19" s="33"/>
      <c r="H19" s="33"/>
      <c r="I19" s="35"/>
      <c r="J19" s="36" t="str">
        <f>IF(D19="","",ROUNDUP(D19/IF(AND(C19="600 ml",ISNUMBER(SEARCH("NORCAU",B19))),95,IF(AND(C19="600 ml",ISNUMBER(SEARCH("APURATOS",B19))),190,IF(C19="600 ml",95,IF(C19="400 ml",125,IF(C19="200 ml",330,IF(C19="180 ml",240,1)))))),0))</f>
        <v/>
      </c>
      <c r="K19" s="36"/>
      <c r="L19" s="37" t="str">
        <f>IF(H19="","",H19)</f>
        <v/>
      </c>
      <c r="M19" s="36"/>
      <c r="N19" s="37" t="str">
        <f t="shared" ref="N19:N25" si="2">IF(I19="","",I19)</f>
        <v/>
      </c>
    </row>
    <row r="20" spans="1:19" ht="15" customHeight="1" x14ac:dyDescent="0.3">
      <c r="A20" s="38"/>
      <c r="B20" s="39" t="s">
        <v>60</v>
      </c>
      <c r="C20" s="40">
        <v>600</v>
      </c>
      <c r="D20" s="41">
        <f>D13-L13</f>
        <v>480</v>
      </c>
      <c r="E20" s="42" t="s">
        <v>214</v>
      </c>
      <c r="F20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>95</v>
      </c>
      <c r="G20" s="43">
        <f>IFERROR(ROUNDUP(D20/F20,0),"")</f>
        <v>6</v>
      </c>
      <c r="H20" s="44">
        <v>494</v>
      </c>
      <c r="I20" s="45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>5928</v>
      </c>
      <c r="J20" s="46">
        <f>IF(D20="","",ROUNDUP(D20/IF(AND(C20="600 ml",ISNUMBER(SEARCH("NORCAU",B20))),95,IF(AND(C20="600 ml",ISNUMBER(SEARCH("APURATOS",B20))),190,IF(C20="600 ml",95,IF(C20="400 ml",125,IF(C20="200 ml",330,IF(C20="180 ml",240,1)))))),0))</f>
        <v>480</v>
      </c>
      <c r="L20" s="44">
        <f>IF(H20="","",H20)</f>
        <v>494</v>
      </c>
      <c r="N20" s="45">
        <f t="shared" si="2"/>
        <v>5928</v>
      </c>
      <c r="P20" s="73"/>
      <c r="Q20" s="36"/>
      <c r="R20" s="36"/>
      <c r="S20" s="89"/>
    </row>
    <row r="21" spans="1:19" ht="14.25" customHeight="1" x14ac:dyDescent="0.3">
      <c r="A21" s="47"/>
      <c r="B21" s="48" t="s">
        <v>54</v>
      </c>
      <c r="C21" s="49">
        <v>600</v>
      </c>
      <c r="D21" s="50">
        <v>1348</v>
      </c>
      <c r="E21" s="51" t="s">
        <v>214</v>
      </c>
      <c r="F21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>95</v>
      </c>
      <c r="G21" s="52">
        <f>IFERROR(ROUNDUP(D21/F21,0),"")</f>
        <v>15</v>
      </c>
      <c r="H21" s="53">
        <v>509</v>
      </c>
      <c r="I21" s="54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>6108</v>
      </c>
      <c r="J21" s="55">
        <f>IF(D21="","",ROUNDUP(D21/IF(AND(C21="600 ml",ISNUMBER(SEARCH("NORCAU",B21))),95,IF(AND(C21="600 ml",ISNUMBER(SEARCH("APURATOS",B21))),190,IF(C21="600 ml",95,IF(C21="400 ml",125,IF(C21="200 ml",330,IF(C21="180 ml",240,1)))))),0))</f>
        <v>1348</v>
      </c>
      <c r="L21" s="56">
        <f>IF(H21="","",H21)</f>
        <v>509</v>
      </c>
      <c r="M21" s="57"/>
      <c r="N21" s="58">
        <f t="shared" si="2"/>
        <v>6108</v>
      </c>
      <c r="P21" s="90"/>
      <c r="S21" s="91"/>
    </row>
    <row r="22" spans="1:19" ht="14.25" customHeight="1" x14ac:dyDescent="0.3">
      <c r="B22" s="39"/>
      <c r="C22" s="40"/>
      <c r="D22" s="41"/>
      <c r="E22" s="42" t="s">
        <v>214</v>
      </c>
      <c r="F22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59" t="str">
        <f>IFERROR(ROUNDUP(D22/F22,0),"")</f>
        <v/>
      </c>
      <c r="H22" s="44"/>
      <c r="I22" s="45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  <c r="J22" s="46" t="str">
        <f>IF(D22="","",ROUNDUP(D22/IF(AND(C22="600 ml",ISNUMBER(SEARCH("NORCAU",B22))),95,IF(AND(C22="600 ml",ISNUMBER(SEARCH("APURATOS",B22))),190,IF(C22="600 ml",95,IF(C22="400 ml",125,IF(C22="200 ml",330,IF(C22="180 ml",240,1)))))),0))</f>
        <v/>
      </c>
      <c r="L22" s="44" t="str">
        <f>IF(H22="","",H22)</f>
        <v/>
      </c>
      <c r="M22" s="57"/>
      <c r="N22" s="45" t="str">
        <f t="shared" si="2"/>
        <v/>
      </c>
      <c r="P22" s="74"/>
      <c r="Q22" s="68"/>
      <c r="R22" s="68"/>
      <c r="S22" s="75"/>
    </row>
    <row r="23" spans="1:19" ht="14.25" customHeight="1" x14ac:dyDescent="0.3">
      <c r="A23" s="38"/>
      <c r="B23" s="48"/>
      <c r="C23" s="49"/>
      <c r="D23" s="50"/>
      <c r="E23" s="51"/>
      <c r="G23" s="52"/>
      <c r="H23" s="53"/>
      <c r="I23" s="54"/>
      <c r="J23" s="55" t="str">
        <f>IF(D23="","",ROUNDUP(D23/IF(AND(C23="600 ml",ISNUMBER(SEARCH("NORCAU",B23))),95,IF(AND(C23="600 ml",ISNUMBER(SEARCH("APURATOS",B23))),190,IF(C23="600 ml",95,IF(C23="400 ml",125,IF(C23="200 ml",330,IF(C23="180 ml",240,1)))))),0))</f>
        <v/>
      </c>
      <c r="L23" s="56" t="str">
        <f>IF(H23="","",H23)</f>
        <v/>
      </c>
      <c r="N23" s="58" t="str">
        <f t="shared" si="2"/>
        <v/>
      </c>
    </row>
    <row r="24" spans="1:19" ht="14.25" customHeight="1" x14ac:dyDescent="0.3">
      <c r="A24" s="38"/>
      <c r="B24" s="76" t="s">
        <v>216</v>
      </c>
      <c r="C24" s="77"/>
      <c r="D24" s="78">
        <f>SUM(D17:D23)</f>
        <v>1828</v>
      </c>
      <c r="E24" s="79"/>
      <c r="F24" s="80"/>
      <c r="G24" s="81">
        <f>SUM(G17:G23)</f>
        <v>21</v>
      </c>
      <c r="H24" s="82">
        <f>SUM(H17:H23)</f>
        <v>1003</v>
      </c>
      <c r="I24" s="83">
        <f>SUM(I17:I23)</f>
        <v>12036</v>
      </c>
      <c r="J24" s="46">
        <f>SUM(D19:D23)</f>
        <v>1828</v>
      </c>
      <c r="K24">
        <f>SUM(G19:G23)</f>
        <v>21</v>
      </c>
      <c r="L24" s="44">
        <f>SUM(H19:H23)</f>
        <v>1003</v>
      </c>
      <c r="M24">
        <f>SUM(I19:I23)</f>
        <v>12036</v>
      </c>
      <c r="N24" s="45">
        <f t="shared" si="2"/>
        <v>12036</v>
      </c>
      <c r="O24" s="28">
        <f>SUM(N20:N23)</f>
        <v>12036</v>
      </c>
    </row>
    <row r="25" spans="1:19" ht="14.25" customHeight="1" x14ac:dyDescent="0.3">
      <c r="A25" s="38"/>
      <c r="B25" s="60"/>
      <c r="C25" s="61"/>
      <c r="D25" s="84"/>
      <c r="E25" s="63"/>
      <c r="F25" s="64"/>
      <c r="G25" s="85"/>
      <c r="H25" s="84"/>
      <c r="I25" s="86"/>
      <c r="J25" s="67" t="str">
        <f>IF(D25="","",ROUNDUP(D25/IF(AND(C25="600 ml",ISNUMBER(SEARCH("NORCAU",B25))),95,IF(AND(C25="600 ml",ISNUMBER(SEARCH("APURATOS",B25))),190,IF(C25="600 ml",95,IF(C25="400 ml",125,IF(C25="200 ml",330,IF(C25="180 ml",240,1)))))),0))</f>
        <v/>
      </c>
      <c r="K25" s="68"/>
      <c r="L25" s="69" t="str">
        <f>IF(H25="","",H25)</f>
        <v/>
      </c>
      <c r="M25" s="68"/>
      <c r="N25" s="70" t="str">
        <f t="shared" si="2"/>
        <v/>
      </c>
    </row>
    <row r="26" spans="1:19" ht="14.25" customHeight="1" x14ac:dyDescent="0.3">
      <c r="A26" s="30">
        <v>46030</v>
      </c>
      <c r="B26" s="71" t="s">
        <v>78</v>
      </c>
      <c r="C26" s="72" t="s">
        <v>205</v>
      </c>
      <c r="D26" t="s">
        <v>206</v>
      </c>
      <c r="E26" t="s">
        <v>207</v>
      </c>
      <c r="F26" t="s">
        <v>208</v>
      </c>
      <c r="G26" t="s">
        <v>209</v>
      </c>
      <c r="H26" t="s">
        <v>210</v>
      </c>
      <c r="I26" t="s">
        <v>211</v>
      </c>
      <c r="P26" s="606" t="s">
        <v>218</v>
      </c>
      <c r="Q26" s="606"/>
      <c r="R26" s="606"/>
      <c r="S26" s="606"/>
    </row>
    <row r="27" spans="1:19" ht="19.5" customHeight="1" x14ac:dyDescent="0.3">
      <c r="A27" s="38"/>
      <c r="B27" s="31"/>
      <c r="C27" s="32"/>
      <c r="D27" s="33"/>
      <c r="E27" s="33"/>
      <c r="F27" s="34"/>
      <c r="G27" s="33"/>
      <c r="H27" s="33"/>
      <c r="I27" s="35"/>
      <c r="J27" s="36" t="str">
        <f>IF(D27="","",ROUNDUP(D27/IF(AND(C27="600 ml",ISNUMBER(SEARCH("NORCAU",B27))),95,IF(AND(C27="600 ml",ISNUMBER(SEARCH("APURATOS",B27))),190,IF(C27="600 ml",95,IF(C27="400 ml",125,IF(C27="200 ml",330,IF(C27="180 ml",240,1)))))),0))</f>
        <v/>
      </c>
      <c r="K27" s="36"/>
      <c r="L27" s="37" t="str">
        <f>IF(H27="","",H27)</f>
        <v/>
      </c>
      <c r="M27" s="36"/>
      <c r="N27" s="37" t="str">
        <f t="shared" ref="N27:N33" si="3">IF(I27="","",I27)</f>
        <v/>
      </c>
      <c r="P27" s="606"/>
      <c r="Q27" s="606"/>
      <c r="R27" s="606"/>
      <c r="S27" s="606"/>
    </row>
    <row r="28" spans="1:19" ht="15" customHeight="1" x14ac:dyDescent="0.3">
      <c r="A28" s="38"/>
      <c r="B28" s="39" t="s">
        <v>54</v>
      </c>
      <c r="C28" s="40">
        <v>600</v>
      </c>
      <c r="D28" s="41">
        <f>D21-L21</f>
        <v>839</v>
      </c>
      <c r="E28" s="42" t="s">
        <v>214</v>
      </c>
      <c r="F28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>95</v>
      </c>
      <c r="G28" s="43">
        <f>IFERROR(ROUNDUP(D28/F28,0),"")</f>
        <v>9</v>
      </c>
      <c r="H28" s="44">
        <v>821</v>
      </c>
      <c r="I28" s="45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>9852</v>
      </c>
      <c r="J28" s="46">
        <f>IF(D28="","",ROUNDUP(D28/IF(AND(C28="600 ml",ISNUMBER(SEARCH("NORCAU",B28))),95,IF(AND(C28="600 ml",ISNUMBER(SEARCH("APURATOS",B28))),190,IF(C28="600 ml",95,IF(C28="400 ml",125,IF(C28="200 ml",330,IF(C28="180 ml",240,1)))))),0))</f>
        <v>839</v>
      </c>
      <c r="L28" s="44">
        <f>IF(H28="","",H28)</f>
        <v>821</v>
      </c>
      <c r="N28" s="45">
        <f t="shared" si="3"/>
        <v>9852</v>
      </c>
      <c r="P28" s="606"/>
      <c r="Q28" s="606"/>
      <c r="R28" s="606"/>
      <c r="S28" s="606"/>
    </row>
    <row r="29" spans="1:19" ht="15" customHeight="1" x14ac:dyDescent="0.3">
      <c r="A29" s="47"/>
      <c r="B29" s="48"/>
      <c r="C29" s="49"/>
      <c r="D29" s="50"/>
      <c r="E29" s="51" t="s">
        <v>214</v>
      </c>
      <c r="F29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52" t="str">
        <f>IFERROR(ROUNDUP(D29/F29,0),"")</f>
        <v/>
      </c>
      <c r="H29" s="53"/>
      <c r="I29" s="54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  <c r="J29" s="55" t="str">
        <f>IF(D29="","",ROUNDUP(D29/IF(AND(C29="600 ml",ISNUMBER(SEARCH("NORCAU",B29))),95,IF(AND(C29="600 ml",ISNUMBER(SEARCH("APURATOS",B29))),190,IF(C29="600 ml",95,IF(C29="400 ml",125,IF(C29="200 ml",330,IF(C29="180 ml",240,1)))))),0))</f>
        <v/>
      </c>
      <c r="L29" s="56" t="str">
        <f>IF(H29="","",H29)</f>
        <v/>
      </c>
      <c r="M29" s="57"/>
      <c r="N29" s="58" t="str">
        <f t="shared" si="3"/>
        <v/>
      </c>
      <c r="P29" s="90"/>
      <c r="S29" s="91"/>
    </row>
    <row r="30" spans="1:19" ht="15" customHeight="1" x14ac:dyDescent="0.3">
      <c r="B30" s="39"/>
      <c r="C30" s="40"/>
      <c r="D30" s="41"/>
      <c r="E30" s="42" t="s">
        <v>214</v>
      </c>
      <c r="F30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59" t="str">
        <f>IFERROR(ROUNDUP(D30/F30,0),"")</f>
        <v/>
      </c>
      <c r="H30" s="44"/>
      <c r="I30" s="45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  <c r="J30" s="46" t="str">
        <f>IF(D30="","",ROUNDUP(D30/IF(AND(C30="600 ml",ISNUMBER(SEARCH("NORCAU",B30))),95,IF(AND(C30="600 ml",ISNUMBER(SEARCH("APURATOS",B30))),190,IF(C30="600 ml",95,IF(C30="400 ml",125,IF(C30="200 ml",330,IF(C30="180 ml",240,1)))))),0))</f>
        <v/>
      </c>
      <c r="L30" s="44" t="str">
        <f>IF(H30="","",H30)</f>
        <v/>
      </c>
      <c r="M30" s="57"/>
      <c r="N30" s="45" t="str">
        <f t="shared" si="3"/>
        <v/>
      </c>
      <c r="P30" s="74"/>
      <c r="Q30" s="68"/>
      <c r="R30" s="68"/>
      <c r="S30" s="75"/>
    </row>
    <row r="31" spans="1:19" ht="14.25" customHeight="1" x14ac:dyDescent="0.3">
      <c r="A31" s="38"/>
      <c r="B31" s="48"/>
      <c r="C31" s="49"/>
      <c r="D31" s="50"/>
      <c r="E31" s="51"/>
      <c r="G31" s="52"/>
      <c r="H31" s="53"/>
      <c r="I31" s="54"/>
      <c r="J31" s="55" t="str">
        <f>IF(D31="","",ROUNDUP(D31/IF(AND(C31="600 ml",ISNUMBER(SEARCH("NORCAU",B31))),95,IF(AND(C31="600 ml",ISNUMBER(SEARCH("APURATOS",B31))),190,IF(C31="600 ml",95,IF(C31="400 ml",125,IF(C31="200 ml",330,IF(C31="180 ml",240,1)))))),0))</f>
        <v/>
      </c>
      <c r="L31" s="56" t="str">
        <f>IF(H31="","",H31)</f>
        <v/>
      </c>
      <c r="M31" s="57"/>
      <c r="N31" s="58" t="str">
        <f t="shared" si="3"/>
        <v/>
      </c>
    </row>
    <row r="32" spans="1:19" ht="14.25" customHeight="1" x14ac:dyDescent="0.3">
      <c r="A32" s="38"/>
      <c r="B32" s="76" t="s">
        <v>216</v>
      </c>
      <c r="C32" s="77"/>
      <c r="D32" s="78">
        <f>SUM(D25:D31)</f>
        <v>839</v>
      </c>
      <c r="E32" s="79"/>
      <c r="F32" s="80"/>
      <c r="G32" s="92">
        <f>SUM(G25:G31)</f>
        <v>9</v>
      </c>
      <c r="H32" s="82">
        <f>SUM(H25:H31)</f>
        <v>821</v>
      </c>
      <c r="I32" s="83">
        <f>SUM(I25:I31)</f>
        <v>9852</v>
      </c>
      <c r="J32" s="46">
        <f>SUM(D27:D31)</f>
        <v>839</v>
      </c>
      <c r="K32">
        <f>SUM(G27:G31)</f>
        <v>9</v>
      </c>
      <c r="L32" s="44">
        <f>SUM(H27:H31)</f>
        <v>821</v>
      </c>
      <c r="M32" s="57">
        <f>SUM(I27:I31)</f>
        <v>9852</v>
      </c>
      <c r="N32" s="45">
        <f t="shared" si="3"/>
        <v>9852</v>
      </c>
      <c r="O32" s="28">
        <f>SUM(N28:N31)</f>
        <v>9852</v>
      </c>
    </row>
    <row r="33" spans="1:19" ht="14.25" customHeight="1" x14ac:dyDescent="0.3">
      <c r="A33" s="38"/>
      <c r="B33" s="48"/>
      <c r="C33" s="49"/>
      <c r="D33" s="50"/>
      <c r="E33" s="51"/>
      <c r="G33" s="52"/>
      <c r="H33" s="53"/>
      <c r="I33" s="54"/>
      <c r="J33" s="55" t="str">
        <f>IF(D33="","",ROUNDUP(D33/IF(AND(C33="600 ml",ISNUMBER(SEARCH("NORCAU",B33))),95,IF(AND(C33="600 ml",ISNUMBER(SEARCH("APURATOS",B33))),190,IF(C33="600 ml",95,IF(C33="400 ml",125,IF(C33="200 ml",330,IF(C33="180 ml",240,1)))))),0))</f>
        <v/>
      </c>
      <c r="L33" s="56" t="str">
        <f>IF(H33="","",H33)</f>
        <v/>
      </c>
      <c r="N33" s="58" t="str">
        <f t="shared" si="3"/>
        <v/>
      </c>
    </row>
    <row r="34" spans="1:19" ht="14.25" customHeight="1" x14ac:dyDescent="0.3">
      <c r="A34" s="30">
        <v>46031</v>
      </c>
      <c r="B34" s="93" t="s">
        <v>78</v>
      </c>
      <c r="C34" s="72" t="s">
        <v>205</v>
      </c>
      <c r="D34" t="s">
        <v>206</v>
      </c>
      <c r="E34" t="s">
        <v>207</v>
      </c>
      <c r="F34" t="s">
        <v>208</v>
      </c>
      <c r="G34" t="s">
        <v>209</v>
      </c>
      <c r="H34" s="57" t="s">
        <v>210</v>
      </c>
      <c r="I34" s="91" t="s">
        <v>211</v>
      </c>
      <c r="L34" s="57"/>
      <c r="N34" s="91"/>
    </row>
    <row r="35" spans="1:19" ht="14.25" customHeight="1" x14ac:dyDescent="0.3">
      <c r="A35" s="38"/>
      <c r="B35" s="60"/>
      <c r="C35" s="61"/>
      <c r="D35" s="84"/>
      <c r="E35" s="63"/>
      <c r="F35" s="64"/>
      <c r="G35" s="85"/>
      <c r="H35" s="84"/>
      <c r="I35" s="86"/>
      <c r="J35" s="68" t="str">
        <f t="shared" ref="J35:J40" si="4">IF(D35="","",ROUNDUP(D35/IF(AND(C35="600 ml",ISNUMBER(SEARCH("NORCAU",B35))),95,IF(AND(C35="600 ml",ISNUMBER(SEARCH("APURATOS",B35))),190,IF(C35="600 ml",95,IF(C35="400 ml",125,IF(C35="200 ml",330,IF(C35="180 ml",240,1)))))),0))</f>
        <v/>
      </c>
      <c r="K35" s="68"/>
      <c r="L35" s="94" t="str">
        <f t="shared" ref="L35:L40" si="5">IF(H35="","",H35)</f>
        <v/>
      </c>
      <c r="M35" s="68"/>
      <c r="N35" s="95" t="str">
        <f t="shared" ref="N35:N42" si="6">IF(I35="","",I35)</f>
        <v/>
      </c>
      <c r="P35" s="607" t="s">
        <v>219</v>
      </c>
      <c r="Q35" s="607"/>
      <c r="R35" s="607"/>
      <c r="S35" s="607"/>
    </row>
    <row r="36" spans="1:19" ht="14.25" customHeight="1" x14ac:dyDescent="0.3">
      <c r="B36" s="71" t="s">
        <v>54</v>
      </c>
      <c r="C36" s="72">
        <v>600</v>
      </c>
      <c r="D36">
        <f>D28-L28</f>
        <v>18</v>
      </c>
      <c r="E36" t="s">
        <v>214</v>
      </c>
      <c r="F36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>95</v>
      </c>
      <c r="G36">
        <f>IFERROR(ROUNDUP(D36/F36,0),"")</f>
        <v>1</v>
      </c>
      <c r="H36">
        <v>13</v>
      </c>
      <c r="I36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>156</v>
      </c>
      <c r="J36">
        <f t="shared" si="4"/>
        <v>18</v>
      </c>
      <c r="L36">
        <f t="shared" si="5"/>
        <v>13</v>
      </c>
      <c r="N36">
        <f t="shared" si="6"/>
        <v>156</v>
      </c>
      <c r="P36" s="607"/>
      <c r="Q36" s="607"/>
      <c r="R36" s="607"/>
      <c r="S36" s="607"/>
    </row>
    <row r="37" spans="1:19" ht="19.5" customHeight="1" x14ac:dyDescent="0.3">
      <c r="A37" s="38"/>
      <c r="B37" s="31" t="s">
        <v>537</v>
      </c>
      <c r="C37" s="32">
        <v>600</v>
      </c>
      <c r="D37" s="33">
        <v>2660</v>
      </c>
      <c r="E37" s="33" t="s">
        <v>214</v>
      </c>
      <c r="F37" s="34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>190</v>
      </c>
      <c r="G37" s="33">
        <f>IFERROR(ROUNDUP(D37/F37,0),"")</f>
        <v>14</v>
      </c>
      <c r="H37" s="33">
        <v>1057</v>
      </c>
      <c r="I37" s="35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>6342</v>
      </c>
      <c r="J37" s="36">
        <f t="shared" si="4"/>
        <v>2660</v>
      </c>
      <c r="K37" s="36"/>
      <c r="L37" s="37">
        <f t="shared" si="5"/>
        <v>1057</v>
      </c>
      <c r="M37" s="36"/>
      <c r="N37" s="37">
        <f t="shared" si="6"/>
        <v>6342</v>
      </c>
      <c r="P37" s="607"/>
      <c r="Q37" s="607"/>
      <c r="R37" s="607"/>
      <c r="S37" s="607"/>
    </row>
    <row r="38" spans="1:19" ht="14.25" customHeight="1" x14ac:dyDescent="0.3">
      <c r="A38" s="38"/>
      <c r="B38" s="39"/>
      <c r="C38" s="40"/>
      <c r="D38" s="41"/>
      <c r="E38" s="42" t="s">
        <v>214</v>
      </c>
      <c r="F38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43" t="str">
        <f>IFERROR(ROUNDUP(D38/F38,0),"")</f>
        <v/>
      </c>
      <c r="H38" s="44"/>
      <c r="I38" s="45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  <c r="J38" s="46" t="str">
        <f t="shared" si="4"/>
        <v/>
      </c>
      <c r="L38" s="44" t="str">
        <f t="shared" si="5"/>
        <v/>
      </c>
      <c r="N38" s="45" t="str">
        <f t="shared" si="6"/>
        <v/>
      </c>
    </row>
    <row r="39" spans="1:19" ht="15" customHeight="1" x14ac:dyDescent="0.3">
      <c r="A39" s="47"/>
      <c r="B39" s="48"/>
      <c r="C39" s="49"/>
      <c r="D39" s="50"/>
      <c r="E39" s="51" t="s">
        <v>214</v>
      </c>
      <c r="F39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52" t="str">
        <f>IFERROR(ROUNDUP(D39/F39,0),"")</f>
        <v/>
      </c>
      <c r="H39" s="53"/>
      <c r="I39" s="54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  <c r="J39" s="55" t="str">
        <f t="shared" si="4"/>
        <v/>
      </c>
      <c r="L39" s="56" t="str">
        <f t="shared" si="5"/>
        <v/>
      </c>
      <c r="M39" s="57"/>
      <c r="N39" s="58" t="str">
        <f t="shared" si="6"/>
        <v/>
      </c>
      <c r="P39" s="73"/>
      <c r="Q39" s="36"/>
      <c r="R39" s="36"/>
      <c r="S39" s="89"/>
    </row>
    <row r="40" spans="1:19" ht="14.25" customHeight="1" x14ac:dyDescent="0.3">
      <c r="B40" s="39"/>
      <c r="C40" s="40"/>
      <c r="D40" s="41"/>
      <c r="E40" s="42"/>
      <c r="G40" s="59"/>
      <c r="H40" s="44"/>
      <c r="I40" s="45"/>
      <c r="J40" s="46" t="str">
        <f t="shared" si="4"/>
        <v/>
      </c>
      <c r="L40" s="44" t="str">
        <f t="shared" si="5"/>
        <v/>
      </c>
      <c r="M40" s="57"/>
      <c r="N40" s="45" t="str">
        <f t="shared" si="6"/>
        <v/>
      </c>
      <c r="P40" s="90"/>
      <c r="S40" s="91"/>
    </row>
    <row r="41" spans="1:19" ht="14.25" customHeight="1" x14ac:dyDescent="0.3">
      <c r="A41" s="38"/>
      <c r="B41" s="76" t="s">
        <v>216</v>
      </c>
      <c r="C41" s="77"/>
      <c r="D41" s="78">
        <f>SUM(D34:D40)</f>
        <v>2678</v>
      </c>
      <c r="E41" s="79"/>
      <c r="F41" s="80"/>
      <c r="G41" s="92">
        <f>SUM(G34:G40)</f>
        <v>15</v>
      </c>
      <c r="H41" s="82">
        <f>SUM(H34:H40)</f>
        <v>1070</v>
      </c>
      <c r="I41" s="83">
        <f>SUM(I34:I40)</f>
        <v>6498</v>
      </c>
      <c r="J41" s="55">
        <f>SUM(D35:D40)</f>
        <v>2678</v>
      </c>
      <c r="K41">
        <f>SUM(G35:G40)</f>
        <v>15</v>
      </c>
      <c r="L41" s="56">
        <f>SUM(H35:H40)</f>
        <v>1070</v>
      </c>
      <c r="M41">
        <f>SUM(I35:I40)</f>
        <v>6498</v>
      </c>
      <c r="N41" s="58">
        <f t="shared" si="6"/>
        <v>6498</v>
      </c>
      <c r="O41" s="28">
        <f>SUM(N36:N40)</f>
        <v>6498</v>
      </c>
      <c r="P41" s="74"/>
      <c r="Q41" s="68"/>
      <c r="R41" s="68"/>
      <c r="S41" s="75"/>
    </row>
    <row r="42" spans="1:19" ht="14.25" customHeight="1" x14ac:dyDescent="0.3">
      <c r="A42" s="38"/>
      <c r="B42" s="39"/>
      <c r="C42" s="40"/>
      <c r="D42" s="41"/>
      <c r="E42" s="42"/>
      <c r="G42" s="59"/>
      <c r="H42" s="44"/>
      <c r="I42" s="45"/>
      <c r="J42" s="46" t="str">
        <f>IF(D42="","",ROUNDUP(D42/IF(AND(C42="600 ml",ISNUMBER(SEARCH("NORCAU",B42))),95,IF(AND(C42="600 ml",ISNUMBER(SEARCH("APURATOS",B42))),190,IF(C42="600 ml",95,IF(C42="400 ml",125,IF(C42="200 ml",330,IF(C42="180 ml",240,1)))))),0))</f>
        <v/>
      </c>
      <c r="L42" s="44" t="str">
        <f>IF(H42="","",H42)</f>
        <v/>
      </c>
      <c r="N42" s="45" t="str">
        <f t="shared" si="6"/>
        <v/>
      </c>
    </row>
    <row r="43" spans="1:19" ht="14.25" customHeight="1" x14ac:dyDescent="0.3">
      <c r="A43" s="30">
        <v>46034</v>
      </c>
      <c r="B43" s="48" t="s">
        <v>78</v>
      </c>
      <c r="C43" s="49" t="s">
        <v>205</v>
      </c>
      <c r="D43" s="50" t="s">
        <v>206</v>
      </c>
      <c r="E43" s="51" t="s">
        <v>207</v>
      </c>
      <c r="F43" t="s">
        <v>208</v>
      </c>
      <c r="G43" s="96" t="s">
        <v>209</v>
      </c>
      <c r="H43" s="53" t="s">
        <v>210</v>
      </c>
      <c r="I43" s="54" t="s">
        <v>211</v>
      </c>
      <c r="J43" s="55"/>
      <c r="L43" s="56"/>
      <c r="N43" s="58"/>
    </row>
    <row r="44" spans="1:19" ht="14.25" customHeight="1" x14ac:dyDescent="0.3">
      <c r="A44" s="38"/>
      <c r="B44" s="60"/>
      <c r="C44" s="61"/>
      <c r="D44" s="84"/>
      <c r="E44" s="63"/>
      <c r="F44" s="64"/>
      <c r="G44" s="85"/>
      <c r="H44" s="84"/>
      <c r="I44" s="86"/>
      <c r="J44" s="68" t="str">
        <f>IF(D44="","",ROUNDUP(D44/IF(AND(C44="600 ml",ISNUMBER(SEARCH("NORCAU",B44))),95,IF(AND(C44="600 ml",ISNUMBER(SEARCH("APURATOS",B44))),190,IF(C44="600 ml",95,IF(C44="400 ml",125,IF(C44="200 ml",330,IF(C44="180 ml",240,1)))))),0))</f>
        <v/>
      </c>
      <c r="K44" s="68"/>
      <c r="L44" s="94" t="str">
        <f>IF(H44="","",H44)</f>
        <v/>
      </c>
      <c r="M44" s="68"/>
      <c r="N44" s="95" t="str">
        <f t="shared" ref="N44:N50" si="7">IF(I44="","",I44)</f>
        <v/>
      </c>
      <c r="P44" s="607" t="s">
        <v>220</v>
      </c>
      <c r="Q44" s="607"/>
      <c r="R44" s="607"/>
      <c r="S44" s="607"/>
    </row>
    <row r="45" spans="1:19" ht="14.25" customHeight="1" x14ac:dyDescent="0.3">
      <c r="B45" s="71" t="s">
        <v>537</v>
      </c>
      <c r="C45" s="72">
        <v>600</v>
      </c>
      <c r="D45">
        <f>D37-L37</f>
        <v>1603</v>
      </c>
      <c r="E45" t="s">
        <v>214</v>
      </c>
      <c r="F45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>190</v>
      </c>
      <c r="G45">
        <f>IFERROR(ROUNDUP(D45/F45,0),"")</f>
        <v>9</v>
      </c>
      <c r="H45">
        <v>1072</v>
      </c>
      <c r="I45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>6432</v>
      </c>
      <c r="J45">
        <f>IF(D45="","",ROUNDUP(D45/IF(AND(C45="600 ml",ISNUMBER(SEARCH("NORCAU",B45))),95,IF(AND(C45="600 ml",ISNUMBER(SEARCH("APURATOS",B45))),190,IF(C45="600 ml",95,IF(C45="400 ml",125,IF(C45="200 ml",330,IF(C45="180 ml",240,1)))))),0))</f>
        <v>1603</v>
      </c>
      <c r="L45">
        <f>IF(H45="","",H45)</f>
        <v>1072</v>
      </c>
      <c r="N45">
        <f t="shared" si="7"/>
        <v>6432</v>
      </c>
      <c r="P45" s="607"/>
      <c r="Q45" s="607"/>
      <c r="R45" s="607"/>
      <c r="S45" s="607"/>
    </row>
    <row r="46" spans="1:19" ht="19.5" customHeight="1" x14ac:dyDescent="0.3">
      <c r="A46" s="38"/>
      <c r="B46" s="31"/>
      <c r="C46" s="32"/>
      <c r="D46" s="33"/>
      <c r="E46" s="33" t="s">
        <v>214</v>
      </c>
      <c r="F46" s="34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33" t="str">
        <f>IFERROR(ROUNDUP(D46/F46,0),"")</f>
        <v/>
      </c>
      <c r="H46" s="33"/>
      <c r="I46" s="35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  <c r="J46" s="36" t="str">
        <f>IF(D46="","",ROUNDUP(D46/IF(AND(C46="600 ml",ISNUMBER(SEARCH("NORCAU",B46))),95,IF(AND(C46="600 ml",ISNUMBER(SEARCH("APURATOS",B46))),190,IF(C46="600 ml",95,IF(C46="400 ml",125,IF(C46="200 ml",330,IF(C46="180 ml",240,1)))))),0))</f>
        <v/>
      </c>
      <c r="K46" s="36"/>
      <c r="L46" s="37" t="str">
        <f>IF(H46="","",H46)</f>
        <v/>
      </c>
      <c r="M46" s="36"/>
      <c r="N46" s="37" t="str">
        <f t="shared" si="7"/>
        <v/>
      </c>
      <c r="P46" s="607"/>
      <c r="Q46" s="607"/>
      <c r="R46" s="607"/>
      <c r="S46" s="607"/>
    </row>
    <row r="47" spans="1:19" ht="14.25" customHeight="1" x14ac:dyDescent="0.3">
      <c r="A47" s="38"/>
      <c r="B47" s="97"/>
      <c r="C47" s="98"/>
      <c r="D47" s="99"/>
      <c r="E47" s="100" t="s">
        <v>214</v>
      </c>
      <c r="F47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101" t="str">
        <f>IFERROR(ROUNDUP(D47/F47,0),"")</f>
        <v/>
      </c>
      <c r="H47" s="102"/>
      <c r="I47" s="103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  <c r="J47" s="55" t="str">
        <f>IF(D47="","",ROUNDUP(D47/IF(AND(C47="600 ml",ISNUMBER(SEARCH("NORCAU",B47))),95,IF(AND(C47="600 ml",ISNUMBER(SEARCH("APURATOS",B47))),190,IF(C47="600 ml",95,IF(C47="400 ml",125,IF(C47="200 ml",330,IF(C47="180 ml",240,1)))))),0))</f>
        <v/>
      </c>
      <c r="L47" s="56" t="str">
        <f>IF(H47="","",H47)</f>
        <v/>
      </c>
      <c r="N47" s="58" t="str">
        <f t="shared" si="7"/>
        <v/>
      </c>
    </row>
    <row r="48" spans="1:19" ht="14.25" customHeight="1" x14ac:dyDescent="0.3">
      <c r="A48" s="47"/>
      <c r="B48" s="48"/>
      <c r="C48" s="49"/>
      <c r="D48" s="50"/>
      <c r="E48" s="51"/>
      <c r="G48" s="52"/>
      <c r="H48" s="53"/>
      <c r="I48" s="54"/>
      <c r="J48" s="46" t="str">
        <f>IF(D48="","",ROUNDUP(D48/IF(AND(C48="600 ml",ISNUMBER(SEARCH("NORCAU",B48))),95,IF(AND(C48="600 ml",ISNUMBER(SEARCH("APURATOS",B48))),190,IF(C48="600 ml",95,IF(C48="400 ml",125,IF(C48="200 ml",330,IF(C48="180 ml",240,1)))))),0))</f>
        <v/>
      </c>
      <c r="L48" s="44" t="str">
        <f>IF(H48="","",H48)</f>
        <v/>
      </c>
      <c r="M48" s="57"/>
      <c r="N48" s="45" t="str">
        <f t="shared" si="7"/>
        <v/>
      </c>
    </row>
    <row r="49" spans="1:19" ht="14.25" customHeight="1" x14ac:dyDescent="0.3">
      <c r="B49" s="76" t="s">
        <v>216</v>
      </c>
      <c r="C49" s="77"/>
      <c r="D49" s="78">
        <f>SUM(D42:D48)</f>
        <v>1603</v>
      </c>
      <c r="E49" s="79"/>
      <c r="F49" s="80"/>
      <c r="G49" s="92">
        <f>SUM(G42:G48)</f>
        <v>9</v>
      </c>
      <c r="H49" s="82">
        <f>SUM(H42:H48)</f>
        <v>1072</v>
      </c>
      <c r="I49" s="83">
        <f>SUM(I42:I48)</f>
        <v>6432</v>
      </c>
      <c r="J49" s="55">
        <f>SUM(D44:D48)</f>
        <v>1603</v>
      </c>
      <c r="K49">
        <f>SUM(G44:G48)</f>
        <v>9</v>
      </c>
      <c r="L49" s="56">
        <f>SUM(H44:H48)</f>
        <v>1072</v>
      </c>
      <c r="M49" s="57">
        <f>SUM(I44:I48)</f>
        <v>6432</v>
      </c>
      <c r="N49" s="58">
        <f t="shared" si="7"/>
        <v>6432</v>
      </c>
      <c r="O49" s="28">
        <f>SUM(N45:N48)</f>
        <v>6432</v>
      </c>
    </row>
    <row r="50" spans="1:19" ht="14.25" customHeight="1" x14ac:dyDescent="0.3">
      <c r="A50" s="38"/>
      <c r="B50" s="48"/>
      <c r="C50" s="49"/>
      <c r="D50" s="50"/>
      <c r="E50" s="51"/>
      <c r="G50" s="52"/>
      <c r="H50" s="53"/>
      <c r="I50" s="54"/>
      <c r="J50" s="46" t="str">
        <f>IF(D50="","",ROUNDUP(D50/IF(AND(C50="600 ml",ISNUMBER(SEARCH("NORCAU",B50))),95,IF(AND(C50="600 ml",ISNUMBER(SEARCH("APURATOS",B50))),190,IF(C50="600 ml",95,IF(C50="400 ml",125,IF(C50="200 ml",330,IF(C50="180 ml",240,1)))))),0))</f>
        <v/>
      </c>
      <c r="L50" s="44" t="str">
        <f>IF(H50="","",H50)</f>
        <v/>
      </c>
      <c r="N50" s="45" t="str">
        <f t="shared" si="7"/>
        <v/>
      </c>
    </row>
    <row r="51" spans="1:19" ht="14.25" customHeight="1" x14ac:dyDescent="0.3">
      <c r="A51" s="30">
        <v>46035</v>
      </c>
      <c r="B51" s="97" t="s">
        <v>78</v>
      </c>
      <c r="C51" s="98" t="s">
        <v>205</v>
      </c>
      <c r="D51" s="99" t="s">
        <v>206</v>
      </c>
      <c r="E51" s="100" t="s">
        <v>207</v>
      </c>
      <c r="F51" t="s">
        <v>208</v>
      </c>
      <c r="G51" s="104" t="s">
        <v>209</v>
      </c>
      <c r="H51" s="102" t="s">
        <v>210</v>
      </c>
      <c r="I51" s="103" t="s">
        <v>211</v>
      </c>
      <c r="J51" s="55"/>
      <c r="L51" s="56"/>
      <c r="N51" s="58"/>
    </row>
    <row r="52" spans="1:19" ht="14.25" customHeight="1" x14ac:dyDescent="0.3">
      <c r="A52" s="38"/>
      <c r="B52" s="48"/>
      <c r="C52" s="49"/>
      <c r="D52" s="50"/>
      <c r="E52" s="51"/>
      <c r="F52" s="105"/>
      <c r="G52" s="96"/>
      <c r="H52" s="53"/>
      <c r="I52" s="54"/>
      <c r="J52" s="46" t="str">
        <f>IF(D52="","",ROUNDUP(D52/IF(AND(C52="600 ml",ISNUMBER(SEARCH("NORCAU",B52))),95,IF(AND(C52="600 ml",ISNUMBER(SEARCH("APURATOS",B52))),190,IF(C52="600 ml",95,IF(C52="400 ml",125,IF(C52="200 ml",330,IF(C52="180 ml",240,1)))))),0))</f>
        <v/>
      </c>
      <c r="L52" s="44" t="str">
        <f>IF(H52="","",H52)</f>
        <v/>
      </c>
      <c r="N52" s="45" t="str">
        <f t="shared" ref="N52:N58" si="8">IF(I52="","",I52)</f>
        <v/>
      </c>
    </row>
    <row r="53" spans="1:19" ht="14.25" customHeight="1" x14ac:dyDescent="0.3">
      <c r="A53" s="38"/>
      <c r="B53" s="60" t="s">
        <v>537</v>
      </c>
      <c r="C53" s="61">
        <v>600</v>
      </c>
      <c r="D53" s="84">
        <f>D45-L45</f>
        <v>531</v>
      </c>
      <c r="E53" s="63" t="s">
        <v>214</v>
      </c>
      <c r="F53" s="64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>190</v>
      </c>
      <c r="G53" s="85">
        <f>IFERROR(ROUNDUP(D53/F53,0),"")</f>
        <v>3</v>
      </c>
      <c r="H53" s="84">
        <v>562</v>
      </c>
      <c r="I53" s="86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>3372</v>
      </c>
      <c r="J53" s="68">
        <f>IF(D53="","",ROUNDUP(D53/IF(AND(C53="600 ml",ISNUMBER(SEARCH("NORCAU",B53))),95,IF(AND(C53="600 ml",ISNUMBER(SEARCH("APURATOS",B53))),190,IF(C53="600 ml",95,IF(C53="400 ml",125,IF(C53="200 ml",330,IF(C53="180 ml",240,1)))))),0))</f>
        <v>531</v>
      </c>
      <c r="K53" s="68"/>
      <c r="L53" s="94">
        <f>IF(H53="","",H53)</f>
        <v>562</v>
      </c>
      <c r="M53" s="68"/>
      <c r="N53" s="95">
        <f t="shared" si="8"/>
        <v>3372</v>
      </c>
    </row>
    <row r="54" spans="1:19" ht="14.25" customHeight="1" x14ac:dyDescent="0.3">
      <c r="B54" s="71"/>
      <c r="C54" s="72"/>
      <c r="E54" t="s">
        <v>214</v>
      </c>
      <c r="F54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t="str">
        <f>IFERROR(ROUNDUP(D54/F54,0),"")</f>
        <v/>
      </c>
      <c r="I54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  <c r="J54" t="str">
        <f>IF(D54="","",ROUNDUP(D54/IF(AND(C54="600 ml",ISNUMBER(SEARCH("NORCAU",B54))),95,IF(AND(C54="600 ml",ISNUMBER(SEARCH("APURATOS",B54))),190,IF(C54="600 ml",95,IF(C54="400 ml",125,IF(C54="200 ml",330,IF(C54="180 ml",240,1)))))),0))</f>
        <v/>
      </c>
      <c r="L54" t="str">
        <f>IF(H54="","",H54)</f>
        <v/>
      </c>
      <c r="N54" t="str">
        <f t="shared" si="8"/>
        <v/>
      </c>
    </row>
    <row r="55" spans="1:19" ht="19.5" customHeight="1" x14ac:dyDescent="0.3">
      <c r="A55" s="38"/>
      <c r="B55" t="s">
        <v>537</v>
      </c>
      <c r="C55" s="32" t="s">
        <v>221</v>
      </c>
      <c r="D55" s="33">
        <v>1140</v>
      </c>
      <c r="E55" s="33" t="s">
        <v>214</v>
      </c>
      <c r="F55" s="34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33" t="str">
        <f>IFERROR(ROUNDUP(D55/F55,0),"")</f>
        <v/>
      </c>
      <c r="H55" s="33">
        <v>240</v>
      </c>
      <c r="I55" s="35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>2880</v>
      </c>
      <c r="J55" s="36">
        <f>IF(D55="","",ROUNDUP(D55/IF(AND(C55="600 ml",ISNUMBER(SEARCH("NORCAU",B55))),95,IF(AND(C55="600 ml",ISNUMBER(SEARCH("APURATOS",B55))),190,IF(C55="600 ml",95,IF(C55="400 ml",125,IF(C55="200 ml",330,IF(C55="180 ml",240,1)))))),0))</f>
        <v>1140</v>
      </c>
      <c r="K55" s="36"/>
      <c r="L55" s="37">
        <f>IF(H55="","",H55)</f>
        <v>240</v>
      </c>
      <c r="M55" s="36"/>
      <c r="N55" s="37">
        <f t="shared" si="8"/>
        <v>2880</v>
      </c>
    </row>
    <row r="56" spans="1:19" ht="15" customHeight="1" x14ac:dyDescent="0.3">
      <c r="A56" s="38"/>
      <c r="B56" s="39"/>
      <c r="C56" s="40"/>
      <c r="D56" s="41"/>
      <c r="E56" s="42"/>
      <c r="G56" s="43"/>
      <c r="H56" s="44"/>
      <c r="I56" s="45"/>
      <c r="J56" s="46" t="str">
        <f>IF(D56="","",ROUNDUP(D56/IF(AND(C56="600 ml",ISNUMBER(SEARCH("NORCAU",B56))),95,IF(AND(C56="600 ml",ISNUMBER(SEARCH("APURATOS",B56))),190,IF(C56="600 ml",95,IF(C56="400 ml",125,IF(C56="200 ml",330,IF(C56="180 ml",240,1)))))),0))</f>
        <v/>
      </c>
      <c r="L56" s="44" t="str">
        <f>IF(H56="","",H56)</f>
        <v/>
      </c>
      <c r="N56" s="45" t="str">
        <f t="shared" si="8"/>
        <v/>
      </c>
      <c r="P56" s="73"/>
      <c r="Q56" s="36"/>
      <c r="R56" s="36"/>
      <c r="S56" s="89"/>
    </row>
    <row r="57" spans="1:19" ht="14.25" customHeight="1" x14ac:dyDescent="0.3">
      <c r="A57" s="47"/>
      <c r="B57" s="76" t="s">
        <v>216</v>
      </c>
      <c r="C57" s="77"/>
      <c r="D57" s="78">
        <f>SUM(D50:D56)</f>
        <v>1671</v>
      </c>
      <c r="E57" s="79"/>
      <c r="F57" s="80"/>
      <c r="G57" s="92">
        <f>SUM(G50:G56)</f>
        <v>3</v>
      </c>
      <c r="H57" s="82">
        <f>SUM(H50:H56)</f>
        <v>802</v>
      </c>
      <c r="I57" s="83">
        <f>SUM(I50:I56)</f>
        <v>6252</v>
      </c>
      <c r="J57" s="55">
        <f>SUM(D52:D56)</f>
        <v>1671</v>
      </c>
      <c r="K57">
        <f>SUM(G52:G56)</f>
        <v>3</v>
      </c>
      <c r="L57" s="56">
        <f>SUM(H52:H56)</f>
        <v>802</v>
      </c>
      <c r="M57" s="57">
        <f>SUM(I52:I56)</f>
        <v>6252</v>
      </c>
      <c r="N57" s="58">
        <f t="shared" si="8"/>
        <v>6252</v>
      </c>
      <c r="O57" s="28">
        <f>SUM(N53:N56)</f>
        <v>6252</v>
      </c>
      <c r="P57" s="90"/>
      <c r="S57" s="91"/>
    </row>
    <row r="58" spans="1:19" ht="14.25" customHeight="1" x14ac:dyDescent="0.3">
      <c r="B58" s="39"/>
      <c r="C58" s="40"/>
      <c r="D58" s="41"/>
      <c r="E58" s="42"/>
      <c r="G58" s="59"/>
      <c r="H58" s="44"/>
      <c r="I58" s="45"/>
      <c r="J58" s="46" t="str">
        <f>IF(D58="","",ROUNDUP(D58/IF(AND(C58="600 ml",ISNUMBER(SEARCH("NORCAU",B58))),95,IF(AND(C58="600 ml",ISNUMBER(SEARCH("APURATOS",B58))),190,IF(C58="600 ml",95,IF(C58="400 ml",125,IF(C58="200 ml",330,IF(C58="180 ml",240,1)))))),0))</f>
        <v/>
      </c>
      <c r="L58" s="44" t="str">
        <f>IF(H58="","",H58)</f>
        <v/>
      </c>
      <c r="M58" s="57"/>
      <c r="N58" s="45" t="str">
        <f t="shared" si="8"/>
        <v/>
      </c>
      <c r="P58" s="74"/>
      <c r="Q58" s="68"/>
      <c r="R58" s="68"/>
      <c r="S58" s="75"/>
    </row>
    <row r="59" spans="1:19" ht="14.25" customHeight="1" x14ac:dyDescent="0.3">
      <c r="A59" s="30">
        <v>46036</v>
      </c>
      <c r="B59" s="48" t="s">
        <v>78</v>
      </c>
      <c r="C59" s="49" t="s">
        <v>205</v>
      </c>
      <c r="D59" s="50" t="s">
        <v>206</v>
      </c>
      <c r="E59" s="51" t="s">
        <v>207</v>
      </c>
      <c r="F59" t="s">
        <v>208</v>
      </c>
      <c r="G59" s="52" t="s">
        <v>209</v>
      </c>
      <c r="H59" s="53" t="s">
        <v>210</v>
      </c>
      <c r="I59" s="54" t="s">
        <v>211</v>
      </c>
      <c r="J59" s="55"/>
      <c r="L59" s="56"/>
      <c r="N59" s="58"/>
    </row>
    <row r="60" spans="1:19" ht="14.25" customHeight="1" x14ac:dyDescent="0.3">
      <c r="A60" s="38"/>
      <c r="B60" s="39"/>
      <c r="C60" s="40"/>
      <c r="D60" s="41"/>
      <c r="E60" s="42"/>
      <c r="G60" s="43"/>
      <c r="H60" s="44"/>
      <c r="I60" s="45"/>
      <c r="J60" s="46" t="str">
        <f>IF(D60="","",ROUNDUP(D60/IF(AND(C60="600 ml",ISNUMBER(SEARCH("NORCAU",B60))),95,IF(AND(C60="600 ml",ISNUMBER(SEARCH("APURATOS",B60))),190,IF(C60="600 ml",95,IF(C60="400 ml",125,IF(C60="200 ml",330,IF(C60="180 ml",240,1)))))),0))</f>
        <v/>
      </c>
      <c r="L60" s="44" t="str">
        <f>IF(H60="","",H60)</f>
        <v/>
      </c>
      <c r="N60" s="45" t="str">
        <f t="shared" ref="N60:N66" si="9">IF(I60="","",I60)</f>
        <v/>
      </c>
    </row>
    <row r="61" spans="1:19" ht="14.25" customHeight="1" x14ac:dyDescent="0.3">
      <c r="A61" s="38"/>
      <c r="B61" s="60" t="s">
        <v>537</v>
      </c>
      <c r="C61" s="61" t="s">
        <v>221</v>
      </c>
      <c r="D61" s="84">
        <f>D55-L55</f>
        <v>900</v>
      </c>
      <c r="E61" s="63" t="s">
        <v>214</v>
      </c>
      <c r="F61" s="64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85" t="str">
        <f>IFERROR(ROUNDUP(D61/F61,0),"")</f>
        <v/>
      </c>
      <c r="H61" s="84">
        <v>900</v>
      </c>
      <c r="I61" s="86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>10800</v>
      </c>
      <c r="J61" s="67">
        <f>IF(D61="","",ROUNDUP(D61/IF(AND(C61="600 ml",ISNUMBER(SEARCH("NORCAU",B61))),95,IF(AND(C61="600 ml",ISNUMBER(SEARCH("APURATOS",B61))),190,IF(C61="600 ml",95,IF(C61="400 ml",125,IF(C61="200 ml",330,IF(C61="180 ml",240,1)))))),0))</f>
        <v>900</v>
      </c>
      <c r="K61" s="68"/>
      <c r="L61" s="69">
        <f>IF(H61="","",H61)</f>
        <v>900</v>
      </c>
      <c r="M61" s="68"/>
      <c r="N61" s="70">
        <f t="shared" si="9"/>
        <v>10800</v>
      </c>
    </row>
    <row r="62" spans="1:19" ht="14.25" customHeight="1" x14ac:dyDescent="0.3">
      <c r="B62" s="71"/>
      <c r="C62" s="72"/>
      <c r="E62" t="s">
        <v>214</v>
      </c>
      <c r="F62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t="str">
        <f>IFERROR(ROUNDUP(D62/F62,0),"")</f>
        <v/>
      </c>
      <c r="I62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  <c r="J62" t="str">
        <f>IF(D62="","",ROUNDUP(D62/IF(AND(C62="600 ml",ISNUMBER(SEARCH("NORCAU",B62))),95,IF(AND(C62="600 ml",ISNUMBER(SEARCH("APURATOS",B62))),190,IF(C62="600 ml",95,IF(C62="400 ml",125,IF(C62="200 ml",330,IF(C62="180 ml",240,1)))))),0))</f>
        <v/>
      </c>
      <c r="L62" t="str">
        <f>IF(H62="","",H62)</f>
        <v/>
      </c>
      <c r="N62" t="str">
        <f t="shared" si="9"/>
        <v/>
      </c>
    </row>
    <row r="63" spans="1:19" ht="19.5" customHeight="1" x14ac:dyDescent="0.3">
      <c r="A63" s="38"/>
      <c r="B63" s="31"/>
      <c r="C63" s="32"/>
      <c r="D63" s="33"/>
      <c r="E63" s="33" t="s">
        <v>214</v>
      </c>
      <c r="F63" s="34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33" t="str">
        <f>IFERROR(ROUNDUP(D63/F63,0),"")</f>
        <v/>
      </c>
      <c r="H63" s="33"/>
      <c r="I63" s="35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  <c r="J63" s="36" t="str">
        <f>IF(D63="","",ROUNDUP(D63/IF(AND(C63="600 ml",ISNUMBER(SEARCH("NORCAU",B63))),95,IF(AND(C63="600 ml",ISNUMBER(SEARCH("APURATOS",B63))),190,IF(C63="600 ml",95,IF(C63="400 ml",125,IF(C63="200 ml",330,IF(C63="180 ml",240,1)))))),0))</f>
        <v/>
      </c>
      <c r="K63" s="36"/>
      <c r="L63" s="37" t="str">
        <f>IF(H63="","",H63)</f>
        <v/>
      </c>
      <c r="M63" s="36"/>
      <c r="N63" s="37" t="str">
        <f t="shared" si="9"/>
        <v/>
      </c>
    </row>
    <row r="64" spans="1:19" ht="15" customHeight="1" x14ac:dyDescent="0.3">
      <c r="A64" s="38"/>
      <c r="B64" s="39"/>
      <c r="C64" s="40"/>
      <c r="D64" s="41"/>
      <c r="E64" s="42"/>
      <c r="G64" s="43"/>
      <c r="H64" s="44"/>
      <c r="I64" s="45"/>
      <c r="J64" s="46" t="str">
        <f>IF(D64="","",ROUNDUP(D64/IF(AND(C64="600 ml",ISNUMBER(SEARCH("NORCAU",B64))),95,IF(AND(C64="600 ml",ISNUMBER(SEARCH("APURATOS",B64))),190,IF(C64="600 ml",95,IF(C64="400 ml",125,IF(C64="200 ml",330,IF(C64="180 ml",240,1)))))),0))</f>
        <v/>
      </c>
      <c r="L64" s="44" t="str">
        <f>IF(H64="","",H64)</f>
        <v/>
      </c>
      <c r="N64" s="45" t="str">
        <f t="shared" si="9"/>
        <v/>
      </c>
      <c r="P64" s="73"/>
      <c r="Q64" s="36"/>
      <c r="R64" s="36"/>
      <c r="S64" s="89"/>
    </row>
    <row r="65" spans="1:19" ht="14.25" customHeight="1" x14ac:dyDescent="0.3">
      <c r="A65" s="47"/>
      <c r="B65" s="76" t="s">
        <v>216</v>
      </c>
      <c r="C65" s="77"/>
      <c r="D65" s="78">
        <f>SUM(D58:D64)</f>
        <v>900</v>
      </c>
      <c r="E65" s="79"/>
      <c r="F65" s="80"/>
      <c r="G65" s="92">
        <f>SUM(G58:G64)</f>
        <v>0</v>
      </c>
      <c r="H65" s="82">
        <f>SUM(H58:H64)</f>
        <v>900</v>
      </c>
      <c r="I65" s="83">
        <f>SUM(I58:I64)</f>
        <v>10800</v>
      </c>
      <c r="J65" s="55">
        <f>SUM(D60:D64)</f>
        <v>900</v>
      </c>
      <c r="K65">
        <f>SUM(G60:G64)</f>
        <v>0</v>
      </c>
      <c r="L65" s="56">
        <f>SUM(H60:H64)</f>
        <v>900</v>
      </c>
      <c r="M65" s="57">
        <f>SUM(I60:I64)</f>
        <v>10800</v>
      </c>
      <c r="N65" s="58">
        <f t="shared" si="9"/>
        <v>10800</v>
      </c>
      <c r="O65" s="28">
        <f>SUM(N61:N64)</f>
        <v>10800</v>
      </c>
      <c r="P65" s="90"/>
      <c r="S65" s="91"/>
    </row>
    <row r="66" spans="1:19" ht="14.25" customHeight="1" x14ac:dyDescent="0.3">
      <c r="B66" s="39"/>
      <c r="C66" s="40"/>
      <c r="D66" s="41"/>
      <c r="E66" s="42"/>
      <c r="G66" s="59"/>
      <c r="H66" s="44"/>
      <c r="I66" s="45"/>
      <c r="J66" s="46" t="str">
        <f>IF(D66="","",ROUNDUP(D66/IF(AND(C66="600 ml",ISNUMBER(SEARCH("NORCAU",B66))),95,IF(AND(C66="600 ml",ISNUMBER(SEARCH("APURATOS",B66))),190,IF(C66="600 ml",95,IF(C66="400 ml",125,IF(C66="200 ml",330,IF(C66="180 ml",240,1)))))),0))</f>
        <v/>
      </c>
      <c r="L66" s="44" t="str">
        <f>IF(H66="","",H66)</f>
        <v/>
      </c>
      <c r="M66" s="57"/>
      <c r="N66" s="45" t="str">
        <f t="shared" si="9"/>
        <v/>
      </c>
      <c r="P66" s="74"/>
      <c r="Q66" s="68"/>
      <c r="R66" s="68"/>
      <c r="S66" s="75"/>
    </row>
    <row r="67" spans="1:19" ht="14.25" customHeight="1" x14ac:dyDescent="0.3">
      <c r="A67" s="30">
        <v>46037</v>
      </c>
      <c r="B67" s="48" t="s">
        <v>78</v>
      </c>
      <c r="C67" s="49" t="s">
        <v>205</v>
      </c>
      <c r="D67" s="50" t="s">
        <v>206</v>
      </c>
      <c r="E67" s="51" t="s">
        <v>207</v>
      </c>
      <c r="F67" t="s">
        <v>208</v>
      </c>
      <c r="G67" s="52" t="s">
        <v>209</v>
      </c>
      <c r="H67" s="53" t="s">
        <v>210</v>
      </c>
      <c r="I67" s="54" t="s">
        <v>211</v>
      </c>
      <c r="J67" s="55"/>
      <c r="L67" s="56"/>
      <c r="N67" s="58"/>
    </row>
    <row r="68" spans="1:19" ht="14.25" customHeight="1" x14ac:dyDescent="0.3">
      <c r="A68" s="38"/>
      <c r="B68" s="39"/>
      <c r="C68" s="40"/>
      <c r="D68" s="41"/>
      <c r="E68" s="42"/>
      <c r="G68" s="43"/>
      <c r="H68" s="44"/>
      <c r="I68" s="45"/>
      <c r="J68" s="46" t="str">
        <f t="shared" ref="J68:J73" si="10">IF(D68="","",ROUNDUP(D68/IF(AND(C68="600 ml",ISNUMBER(SEARCH("NORCAU",B68))),95,IF(AND(C68="600 ml",ISNUMBER(SEARCH("APURATOS",B68))),190,IF(C68="600 ml",95,IF(C68="400 ml",125,IF(C68="200 ml",330,IF(C68="180 ml",240,1)))))),0))</f>
        <v/>
      </c>
      <c r="L68" s="44" t="str">
        <f t="shared" ref="L68:L73" si="11">IF(H68="","",H68)</f>
        <v/>
      </c>
      <c r="N68" s="45" t="str">
        <f t="shared" ref="N68:N75" si="12">IF(I68="","",I68)</f>
        <v/>
      </c>
    </row>
    <row r="69" spans="1:19" ht="14.25" customHeight="1" x14ac:dyDescent="0.3">
      <c r="A69" s="38"/>
      <c r="B69" s="60" t="s">
        <v>160</v>
      </c>
      <c r="C69" s="61">
        <v>600</v>
      </c>
      <c r="D69" s="84">
        <v>190</v>
      </c>
      <c r="E69" s="63" t="s">
        <v>214</v>
      </c>
      <c r="F69" s="64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>95</v>
      </c>
      <c r="G69" s="85">
        <f>IFERROR(ROUNDUP(D69/F69,0),"")</f>
        <v>2</v>
      </c>
      <c r="H69" s="84">
        <v>190</v>
      </c>
      <c r="I69" s="86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>2280</v>
      </c>
      <c r="J69" s="67">
        <f t="shared" si="10"/>
        <v>190</v>
      </c>
      <c r="K69" s="68"/>
      <c r="L69" s="69">
        <f t="shared" si="11"/>
        <v>190</v>
      </c>
      <c r="M69" s="68"/>
      <c r="N69" s="70">
        <f t="shared" si="12"/>
        <v>2280</v>
      </c>
    </row>
    <row r="70" spans="1:19" ht="14.25" customHeight="1" x14ac:dyDescent="0.3">
      <c r="B70" s="71" t="s">
        <v>66</v>
      </c>
      <c r="C70" s="72">
        <v>600</v>
      </c>
      <c r="D70">
        <v>768</v>
      </c>
      <c r="E70" t="s">
        <v>214</v>
      </c>
      <c r="F70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>95</v>
      </c>
      <c r="G70">
        <f>IFERROR(ROUNDUP(D70/F70,0),"")</f>
        <v>9</v>
      </c>
      <c r="H70">
        <v>216</v>
      </c>
      <c r="I70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>2592</v>
      </c>
      <c r="J70">
        <f t="shared" si="10"/>
        <v>768</v>
      </c>
      <c r="L70">
        <f t="shared" si="11"/>
        <v>216</v>
      </c>
      <c r="N70">
        <f t="shared" si="12"/>
        <v>2592</v>
      </c>
    </row>
    <row r="71" spans="1:19" ht="19.5" customHeight="1" x14ac:dyDescent="0.3">
      <c r="A71" s="38"/>
      <c r="B71" s="31"/>
      <c r="C71" s="32"/>
      <c r="D71" s="33"/>
      <c r="E71" s="33" t="s">
        <v>214</v>
      </c>
      <c r="F71" s="34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33" t="str">
        <f>IFERROR(ROUNDUP(D71/F71,0),"")</f>
        <v/>
      </c>
      <c r="H71" s="33"/>
      <c r="I71" s="35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  <c r="J71" s="36" t="str">
        <f t="shared" si="10"/>
        <v/>
      </c>
      <c r="K71" s="36"/>
      <c r="L71" s="37" t="str">
        <f t="shared" si="11"/>
        <v/>
      </c>
      <c r="M71" s="36"/>
      <c r="N71" s="37" t="str">
        <f t="shared" si="12"/>
        <v/>
      </c>
    </row>
    <row r="72" spans="1:19" ht="14.25" customHeight="1" x14ac:dyDescent="0.3">
      <c r="A72" s="38"/>
      <c r="B72" s="39"/>
      <c r="C72" s="40"/>
      <c r="D72" s="41"/>
      <c r="E72" s="42" t="s">
        <v>214</v>
      </c>
      <c r="F72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43" t="str">
        <f>IFERROR(ROUNDUP(D72/F72,0),"")</f>
        <v/>
      </c>
      <c r="H72" s="44"/>
      <c r="I72" s="45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  <c r="J72" s="46" t="str">
        <f t="shared" si="10"/>
        <v/>
      </c>
      <c r="L72" s="44" t="str">
        <f t="shared" si="11"/>
        <v/>
      </c>
      <c r="N72" s="45" t="str">
        <f t="shared" si="12"/>
        <v/>
      </c>
    </row>
    <row r="73" spans="1:19" ht="14.25" customHeight="1" x14ac:dyDescent="0.3">
      <c r="A73" s="47"/>
      <c r="B73" s="48"/>
      <c r="C73" s="49"/>
      <c r="D73" s="50"/>
      <c r="E73" s="51"/>
      <c r="G73" s="52"/>
      <c r="H73" s="53"/>
      <c r="I73" s="54"/>
      <c r="J73" s="55" t="str">
        <f t="shared" si="10"/>
        <v/>
      </c>
      <c r="L73" s="56" t="str">
        <f t="shared" si="11"/>
        <v/>
      </c>
      <c r="M73" s="57"/>
      <c r="N73" s="58" t="str">
        <f t="shared" si="12"/>
        <v/>
      </c>
    </row>
    <row r="74" spans="1:19" ht="14.25" customHeight="1" x14ac:dyDescent="0.3">
      <c r="B74" s="76" t="s">
        <v>216</v>
      </c>
      <c r="C74" s="77"/>
      <c r="D74" s="78">
        <f>SUM(D67:D73)</f>
        <v>958</v>
      </c>
      <c r="E74" s="79"/>
      <c r="F74" s="80"/>
      <c r="G74" s="92">
        <f>SUM(G67:G73)</f>
        <v>11</v>
      </c>
      <c r="H74" s="82">
        <f>SUM(H67:H73)</f>
        <v>406</v>
      </c>
      <c r="I74" s="83">
        <f>SUM(I67:I73)</f>
        <v>4872</v>
      </c>
      <c r="J74" s="46">
        <f>SUM(D68:D73)</f>
        <v>958</v>
      </c>
      <c r="K74">
        <f>SUM(G68:G73)</f>
        <v>11</v>
      </c>
      <c r="L74" s="44">
        <f>SUM(H68:H73)</f>
        <v>406</v>
      </c>
      <c r="M74" s="57">
        <f>SUM(I68:I73)</f>
        <v>4872</v>
      </c>
      <c r="N74" s="45">
        <f t="shared" si="12"/>
        <v>4872</v>
      </c>
      <c r="O74" s="28">
        <f>SUM(N69:N73)</f>
        <v>4872</v>
      </c>
    </row>
    <row r="75" spans="1:19" ht="14.25" customHeight="1" x14ac:dyDescent="0.3">
      <c r="A75" s="38"/>
      <c r="B75" s="48"/>
      <c r="C75" s="49"/>
      <c r="D75" s="50"/>
      <c r="E75" s="51"/>
      <c r="G75" s="52"/>
      <c r="H75" s="53"/>
      <c r="I75" s="54"/>
      <c r="J75" s="55" t="str">
        <f>IF(D75="","",ROUNDUP(D75/IF(AND(C75="600 ml",ISNUMBER(SEARCH("NORCAU",B75))),95,IF(AND(C75="600 ml",ISNUMBER(SEARCH("APURATOS",B75))),190,IF(C75="600 ml",95,IF(C75="400 ml",125,IF(C75="200 ml",330,IF(C75="180 ml",240,1)))))),0))</f>
        <v/>
      </c>
      <c r="L75" s="56" t="str">
        <f>IF(H75="","",H75)</f>
        <v/>
      </c>
      <c r="N75" s="58" t="str">
        <f t="shared" si="12"/>
        <v/>
      </c>
    </row>
    <row r="76" spans="1:19" ht="14.25" customHeight="1" x14ac:dyDescent="0.3">
      <c r="A76" s="30">
        <v>46038</v>
      </c>
      <c r="B76" s="39" t="s">
        <v>78</v>
      </c>
      <c r="C76" s="40" t="s">
        <v>205</v>
      </c>
      <c r="D76" s="41" t="s">
        <v>206</v>
      </c>
      <c r="E76" s="42" t="s">
        <v>207</v>
      </c>
      <c r="F76" t="s">
        <v>208</v>
      </c>
      <c r="G76" s="43" t="s">
        <v>209</v>
      </c>
      <c r="H76" s="44" t="s">
        <v>210</v>
      </c>
      <c r="I76" s="45" t="s">
        <v>211</v>
      </c>
      <c r="J76" s="46"/>
      <c r="L76" s="44"/>
      <c r="N76" s="45"/>
    </row>
    <row r="77" spans="1:19" ht="14.25" customHeight="1" x14ac:dyDescent="0.3">
      <c r="A77" s="38"/>
      <c r="B77" s="60"/>
      <c r="C77" s="61"/>
      <c r="D77" s="84"/>
      <c r="E77" s="63"/>
      <c r="F77" s="64"/>
      <c r="G77" s="85"/>
      <c r="H77" s="84"/>
      <c r="I77" s="86"/>
      <c r="J77" s="67" t="str">
        <f>IF(D77="","",ROUNDUP(D77/IF(AND(C77="600 ml",ISNUMBER(SEARCH("NORCAU",B77))),95,IF(AND(C77="600 ml",ISNUMBER(SEARCH("APURATOS",B77))),190,IF(C77="600 ml",95,IF(C77="400 ml",125,IF(C77="200 ml",330,IF(C77="180 ml",240,1)))))),0))</f>
        <v/>
      </c>
      <c r="K77" s="68"/>
      <c r="L77" s="69" t="str">
        <f>IF(H77="","",H77)</f>
        <v/>
      </c>
      <c r="M77" s="68"/>
      <c r="N77" s="70" t="str">
        <f t="shared" ref="N77:N83" si="13">IF(I77="","",I77)</f>
        <v/>
      </c>
    </row>
    <row r="78" spans="1:19" ht="14.25" customHeight="1" x14ac:dyDescent="0.3">
      <c r="B78" s="71" t="s">
        <v>66</v>
      </c>
      <c r="C78" s="72">
        <v>600</v>
      </c>
      <c r="D78">
        <f>D70-L70</f>
        <v>552</v>
      </c>
      <c r="E78" t="s">
        <v>214</v>
      </c>
      <c r="F78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>95</v>
      </c>
      <c r="G78">
        <f>IFERROR(ROUNDUP(D78/F78,0),"")</f>
        <v>6</v>
      </c>
      <c r="H78">
        <v>552</v>
      </c>
      <c r="I78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>6624</v>
      </c>
      <c r="J78">
        <f>IF(D78="","",ROUNDUP(D78/IF(AND(C78="600 ml",ISNUMBER(SEARCH("NORCAU",B78))),95,IF(AND(C78="600 ml",ISNUMBER(SEARCH("APURATOS",B78))),190,IF(C78="600 ml",95,IF(C78="400 ml",125,IF(C78="200 ml",330,IF(C78="180 ml",240,1)))))),0))</f>
        <v>552</v>
      </c>
      <c r="L78">
        <f>IF(H78="","",H78)</f>
        <v>552</v>
      </c>
      <c r="N78">
        <f t="shared" si="13"/>
        <v>6624</v>
      </c>
    </row>
    <row r="79" spans="1:19" ht="19.5" customHeight="1" x14ac:dyDescent="0.3">
      <c r="A79" s="38"/>
      <c r="B79" s="31" t="s">
        <v>537</v>
      </c>
      <c r="C79" s="32">
        <v>600</v>
      </c>
      <c r="D79" s="33">
        <v>950</v>
      </c>
      <c r="E79" s="33" t="s">
        <v>214</v>
      </c>
      <c r="F79" s="34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>190</v>
      </c>
      <c r="G79" s="33">
        <f>IFERROR(ROUNDUP(D79/F79,0),"")</f>
        <v>5</v>
      </c>
      <c r="H79" s="33">
        <v>559</v>
      </c>
      <c r="I79" s="35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>3354</v>
      </c>
      <c r="J79" s="36">
        <f>IF(D79="","",ROUNDUP(D79/IF(AND(C79="600 ml",ISNUMBER(SEARCH("NORCAU",B79))),95,IF(AND(C79="600 ml",ISNUMBER(SEARCH("APURATOS",B79))),190,IF(C79="600 ml",95,IF(C79="400 ml",125,IF(C79="200 ml",330,IF(C79="180 ml",240,1)))))),0))</f>
        <v>950</v>
      </c>
      <c r="K79" s="36"/>
      <c r="L79" s="37">
        <f>IF(H79="","",H79)</f>
        <v>559</v>
      </c>
      <c r="M79" s="36"/>
      <c r="N79" s="37">
        <f t="shared" si="13"/>
        <v>3354</v>
      </c>
    </row>
    <row r="80" spans="1:19" ht="14.25" customHeight="1" x14ac:dyDescent="0.3">
      <c r="A80" s="38"/>
      <c r="B80" s="39"/>
      <c r="C80" s="40"/>
      <c r="D80" s="41"/>
      <c r="E80" s="42" t="s">
        <v>214</v>
      </c>
      <c r="F80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43" t="str">
        <f>IFERROR(ROUNDUP(D80/F80,0),"")</f>
        <v/>
      </c>
      <c r="H80" s="44"/>
      <c r="I80" s="45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  <c r="J80" s="46" t="str">
        <f>IF(D80="","",ROUNDUP(D80/IF(AND(C80="600 ml",ISNUMBER(SEARCH("NORCAU",B80))),95,IF(AND(C80="600 ml",ISNUMBER(SEARCH("APURATOS",B80))),190,IF(C80="600 ml",95,IF(C80="400 ml",125,IF(C80="200 ml",330,IF(C80="180 ml",240,1)))))),0))</f>
        <v/>
      </c>
      <c r="L80" s="44" t="str">
        <f>IF(H80="","",H80)</f>
        <v/>
      </c>
      <c r="N80" s="45" t="str">
        <f t="shared" si="13"/>
        <v/>
      </c>
    </row>
    <row r="81" spans="1:19" ht="15" customHeight="1" x14ac:dyDescent="0.3">
      <c r="A81" s="47"/>
      <c r="B81" s="48"/>
      <c r="C81" s="49"/>
      <c r="D81" s="50"/>
      <c r="E81" s="51"/>
      <c r="G81" s="52"/>
      <c r="H81" s="53"/>
      <c r="I81" s="54"/>
      <c r="J81" s="55" t="str">
        <f>IF(D81="","",ROUNDUP(D81/IF(AND(C81="600 ml",ISNUMBER(SEARCH("NORCAU",B81))),95,IF(AND(C81="600 ml",ISNUMBER(SEARCH("APURATOS",B81))),190,IF(C81="600 ml",95,IF(C81="400 ml",125,IF(C81="200 ml",330,IF(C81="180 ml",240,1)))))),0))</f>
        <v/>
      </c>
      <c r="L81" s="56" t="str">
        <f>IF(H81="","",H81)</f>
        <v/>
      </c>
      <c r="M81" s="57"/>
      <c r="N81" s="58" t="str">
        <f t="shared" si="13"/>
        <v/>
      </c>
      <c r="P81" s="73"/>
      <c r="Q81" s="36"/>
      <c r="R81" s="36"/>
      <c r="S81" s="89"/>
    </row>
    <row r="82" spans="1:19" ht="14.25" customHeight="1" x14ac:dyDescent="0.3">
      <c r="B82" s="76" t="s">
        <v>216</v>
      </c>
      <c r="C82" s="77"/>
      <c r="D82" s="78">
        <f>SUM(D75:D81)</f>
        <v>1502</v>
      </c>
      <c r="E82" s="79"/>
      <c r="F82" s="80"/>
      <c r="G82" s="92">
        <f>SUM(G75:G81)</f>
        <v>11</v>
      </c>
      <c r="H82" s="82">
        <f>SUM(H75:H81)</f>
        <v>1111</v>
      </c>
      <c r="I82" s="83">
        <f>SUM(I75:I81)</f>
        <v>9978</v>
      </c>
      <c r="J82" s="46">
        <f>SUM(D77:D81)</f>
        <v>1502</v>
      </c>
      <c r="K82">
        <f>SUM(G77:G81)</f>
        <v>11</v>
      </c>
      <c r="L82" s="44">
        <f>SUM(H77:H81)</f>
        <v>1111</v>
      </c>
      <c r="M82" s="57">
        <f>SUM(I77:I81)</f>
        <v>9978</v>
      </c>
      <c r="N82" s="45">
        <f t="shared" si="13"/>
        <v>9978</v>
      </c>
      <c r="O82" s="28">
        <f>SUM(N78:N81)</f>
        <v>9978</v>
      </c>
      <c r="P82" s="90"/>
      <c r="S82" s="91"/>
    </row>
    <row r="83" spans="1:19" ht="14.25" customHeight="1" x14ac:dyDescent="0.3">
      <c r="A83" s="38"/>
      <c r="B83" s="48"/>
      <c r="C83" s="49"/>
      <c r="D83" s="50"/>
      <c r="E83" s="51"/>
      <c r="G83" s="52"/>
      <c r="H83" s="53"/>
      <c r="I83" s="54"/>
      <c r="J83" s="55" t="str">
        <f>IF(D83="","",ROUNDUP(D83/IF(AND(C83="600 ml",ISNUMBER(SEARCH("NORCAU",B83))),95,IF(AND(C83="600 ml",ISNUMBER(SEARCH("APURATOS",B83))),190,IF(C83="600 ml",95,IF(C83="400 ml",125,IF(C83="200 ml",330,IF(C83="180 ml",240,1)))))),0))</f>
        <v/>
      </c>
      <c r="L83" s="56" t="str">
        <f>IF(H83="","",H83)</f>
        <v/>
      </c>
      <c r="N83" s="58" t="str">
        <f t="shared" si="13"/>
        <v/>
      </c>
      <c r="P83" s="74"/>
      <c r="Q83" s="68"/>
      <c r="R83" s="68"/>
      <c r="S83" s="75"/>
    </row>
    <row r="84" spans="1:19" ht="14.25" customHeight="1" x14ac:dyDescent="0.3">
      <c r="A84" s="30">
        <v>46041</v>
      </c>
      <c r="B84" s="39" t="s">
        <v>78</v>
      </c>
      <c r="C84" s="40" t="s">
        <v>205</v>
      </c>
      <c r="D84" s="41" t="s">
        <v>206</v>
      </c>
      <c r="E84" s="42" t="s">
        <v>207</v>
      </c>
      <c r="F84" t="s">
        <v>208</v>
      </c>
      <c r="G84" s="59" t="s">
        <v>209</v>
      </c>
      <c r="H84" s="44" t="s">
        <v>210</v>
      </c>
      <c r="I84" s="45" t="s">
        <v>211</v>
      </c>
      <c r="J84" s="46"/>
      <c r="L84" s="44"/>
      <c r="N84" s="45"/>
    </row>
    <row r="85" spans="1:19" ht="14.25" customHeight="1" x14ac:dyDescent="0.3">
      <c r="A85" s="38"/>
      <c r="B85" s="48"/>
      <c r="C85" s="49"/>
      <c r="D85" s="50"/>
      <c r="E85" s="51"/>
      <c r="G85" s="52"/>
      <c r="H85" s="53"/>
      <c r="I85" s="54"/>
      <c r="J85" s="55" t="str">
        <f t="shared" ref="J85:J91" si="14">IF(D85="","",ROUNDUP(D85/IF(AND(C85="600 ml",ISNUMBER(SEARCH("NORCAU",B85))),95,IF(AND(C85="600 ml",ISNUMBER(SEARCH("APURATOS",B85))),190,IF(C85="600 ml",95,IF(C85="400 ml",125,IF(C85="200 ml",330,IF(C85="180 ml",240,1)))))),0))</f>
        <v/>
      </c>
      <c r="L85" s="56" t="str">
        <f t="shared" ref="L85:L91" si="15">IF(H85="","",H85)</f>
        <v/>
      </c>
      <c r="N85" s="58" t="str">
        <f t="shared" ref="N85:N93" si="16">IF(I85="","",I85)</f>
        <v/>
      </c>
    </row>
    <row r="86" spans="1:19" ht="14.25" customHeight="1" x14ac:dyDescent="0.3">
      <c r="A86" s="38"/>
      <c r="B86" s="93" t="s">
        <v>537</v>
      </c>
      <c r="C86" s="72">
        <v>600</v>
      </c>
      <c r="D86">
        <f>D79-L79</f>
        <v>391</v>
      </c>
      <c r="E86" t="s">
        <v>214</v>
      </c>
      <c r="F86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>190</v>
      </c>
      <c r="G86" s="106">
        <f>IFERROR(ROUNDUP(D86/F86,0),"")</f>
        <v>3</v>
      </c>
      <c r="H86" s="57">
        <v>400</v>
      </c>
      <c r="I86" s="91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>2400</v>
      </c>
      <c r="J86">
        <f t="shared" si="14"/>
        <v>391</v>
      </c>
      <c r="L86" s="57">
        <f t="shared" si="15"/>
        <v>400</v>
      </c>
      <c r="N86" s="91">
        <f t="shared" si="16"/>
        <v>2400</v>
      </c>
    </row>
    <row r="87" spans="1:19" ht="14.25" customHeight="1" x14ac:dyDescent="0.3">
      <c r="A87" s="38"/>
      <c r="B87" s="48" t="s">
        <v>222</v>
      </c>
      <c r="C87" s="107">
        <v>600</v>
      </c>
      <c r="D87" s="105">
        <v>308</v>
      </c>
      <c r="E87" s="105" t="s">
        <v>214</v>
      </c>
      <c r="F87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>95</v>
      </c>
      <c r="G87" s="105">
        <f>IFERROR(ROUNDUP(D87/F87,0),"")</f>
        <v>4</v>
      </c>
      <c r="H87" s="108">
        <v>308</v>
      </c>
      <c r="I87" s="109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>3696</v>
      </c>
      <c r="J87">
        <f t="shared" si="14"/>
        <v>308</v>
      </c>
      <c r="L87" s="57">
        <f t="shared" si="15"/>
        <v>308</v>
      </c>
      <c r="N87" s="91">
        <f t="shared" si="16"/>
        <v>3696</v>
      </c>
    </row>
    <row r="88" spans="1:19" ht="14.25" customHeight="1" x14ac:dyDescent="0.3">
      <c r="A88" s="38"/>
      <c r="B88" s="93" t="s">
        <v>101</v>
      </c>
      <c r="C88" s="72">
        <v>600</v>
      </c>
      <c r="D88">
        <v>461</v>
      </c>
      <c r="E88" t="s">
        <v>214</v>
      </c>
      <c r="F88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>95</v>
      </c>
      <c r="G88">
        <f>IFERROR(ROUNDUP(D88/F88,0),"")</f>
        <v>5</v>
      </c>
      <c r="H88" s="57">
        <v>379</v>
      </c>
      <c r="I88" s="91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>4548</v>
      </c>
      <c r="J88">
        <f t="shared" si="14"/>
        <v>461</v>
      </c>
      <c r="L88" s="57">
        <f t="shared" si="15"/>
        <v>379</v>
      </c>
      <c r="N88" s="91">
        <f t="shared" si="16"/>
        <v>4548</v>
      </c>
    </row>
    <row r="89" spans="1:19" ht="14.25" customHeight="1" x14ac:dyDescent="0.3">
      <c r="A89" s="38"/>
      <c r="B89" s="60"/>
      <c r="C89" s="61"/>
      <c r="D89" s="84"/>
      <c r="E89" s="63" t="s">
        <v>214</v>
      </c>
      <c r="F89" s="64" t="str">
        <f>IF($B89="","",IF(SUMIFS(CONFIG_PALLETS!$C:$C,CONFIG_PALLETS!$A:$A,TRIM($B89),CONFIG_PALLETS!$B:$B,$C89&amp;" ml")&gt;0,SUMIFS(CONFIG_PALLETS!$C:$C,CONFIG_PALLETS!$A:$A,TRIM($B89),CONFIG_PALLETS!$B:$B,$C89&amp;" ml"),IF(SUMIFS(CONFIG_PALLETS!$C:$C,CONFIG_PALLETS!$A:$A,"GERAL",CONFIG_PALLETS!$B:$B,$C89&amp;" ml")&gt;0,SUMIFS(CONFIG_PALLETS!$C:$C,CONFIG_PALLETS!$A:$A,"GERAL",CONFIG_PALLETS!$B:$B,$C89&amp;" ml"),"")))</f>
        <v/>
      </c>
      <c r="G89" s="85" t="str">
        <f>IFERROR(ROUNDUP(D89/F89,0),"")</f>
        <v/>
      </c>
      <c r="H89" s="84"/>
      <c r="I89" s="86" t="str">
        <f>IF(H89="","",H89*IF(SUMIFS(CONFIG_PALLETS!$D:$D,CONFIG_PALLETS!$A:$A,IF(ISNUMBER(SEARCH("ESPUMA",$B89)),"ESPUMA",IF(OR(ISNUMBER(SEARCH("OLEO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ml")&gt;0,SUMIFS(CONFIG_PALLETS!$D:$D,CONFIG_PALLETS!$A:$A,IF(ISNUMBER(SEARCH("ESPUMA",$B89)),"ESPUMA",IF(OR(ISNUMBER(SEARCH("OLEO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ml"),IF(SUMIFS(CONFIG_PALLETS!$D:$D,CONFIG_PALLETS!$A:$A,"GERAL",CONFIG_PALLETS!$B:$B,$C89&amp;" ml")&gt;0,SUMIFS(CONFIG_PALLETS!$D:$D,CONFIG_PALLETS!$A:$A,"GERAL",CONFIG_PALLETS!$B:$B,$C89&amp;" ml"),12)))</f>
        <v/>
      </c>
      <c r="J89" s="68" t="str">
        <f t="shared" si="14"/>
        <v/>
      </c>
      <c r="K89" s="68"/>
      <c r="L89" s="94" t="str">
        <f t="shared" si="15"/>
        <v/>
      </c>
      <c r="M89" s="68"/>
      <c r="N89" s="95" t="str">
        <f t="shared" si="16"/>
        <v/>
      </c>
    </row>
    <row r="90" spans="1:19" ht="14.25" customHeight="1" x14ac:dyDescent="0.3">
      <c r="B90" s="71"/>
      <c r="C90" s="72"/>
      <c r="E90" t="s">
        <v>214</v>
      </c>
      <c r="F90" t="str">
        <f>IF($B90="","",IF(SUMIFS(CONFIG_PALLETS!$C:$C,CONFIG_PALLETS!$A:$A,TRIM($B90),CONFIG_PALLETS!$B:$B,$C90&amp;" ml")&gt;0,SUMIFS(CONFIG_PALLETS!$C:$C,CONFIG_PALLETS!$A:$A,TRIM($B90),CONFIG_PALLETS!$B:$B,$C90&amp;" ml"),IF(SUMIFS(CONFIG_PALLETS!$C:$C,CONFIG_PALLETS!$A:$A,"GERAL",CONFIG_PALLETS!$B:$B,$C90&amp;" ml")&gt;0,SUMIFS(CONFIG_PALLETS!$C:$C,CONFIG_PALLETS!$A:$A,"GERAL",CONFIG_PALLETS!$B:$B,$C90&amp;" ml"),"")))</f>
        <v/>
      </c>
      <c r="G90" t="str">
        <f>IFERROR(ROUNDUP(D90/F90,0),"")</f>
        <v/>
      </c>
      <c r="I90" t="str">
        <f>IF(H90="","",H90*IF(SUMIFS(CONFIG_PALLETS!$D:$D,CONFIG_PALLETS!$A:$A,IF(ISNUMBER(SEARCH("ESPUMA",$B90)),"ESPUMA",IF(OR(ISNUMBER(SEARCH("OLEO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ml")&gt;0,SUMIFS(CONFIG_PALLETS!$D:$D,CONFIG_PALLETS!$A:$A,IF(ISNUMBER(SEARCH("ESPUMA",$B90)),"ESPUMA",IF(OR(ISNUMBER(SEARCH("OLEO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ml"),IF(SUMIFS(CONFIG_PALLETS!$D:$D,CONFIG_PALLETS!$A:$A,"GERAL",CONFIG_PALLETS!$B:$B,$C90&amp;" ml")&gt;0,SUMIFS(CONFIG_PALLETS!$D:$D,CONFIG_PALLETS!$A:$A,"GERAL",CONFIG_PALLETS!$B:$B,$C90&amp;" ml"),12)))</f>
        <v/>
      </c>
      <c r="J90" t="str">
        <f t="shared" si="14"/>
        <v/>
      </c>
      <c r="L90" t="str">
        <f t="shared" si="15"/>
        <v/>
      </c>
      <c r="N90" t="str">
        <f t="shared" si="16"/>
        <v/>
      </c>
    </row>
    <row r="91" spans="1:19" ht="19.5" customHeight="1" x14ac:dyDescent="0.3">
      <c r="A91" s="38"/>
      <c r="B91" s="31"/>
      <c r="C91" s="32"/>
      <c r="D91" s="33"/>
      <c r="E91" s="33"/>
      <c r="F91" s="34"/>
      <c r="G91" s="33"/>
      <c r="H91" s="33"/>
      <c r="I91" s="35"/>
      <c r="J91" s="36" t="str">
        <f t="shared" si="14"/>
        <v/>
      </c>
      <c r="K91" s="36"/>
      <c r="L91" s="37" t="str">
        <f t="shared" si="15"/>
        <v/>
      </c>
      <c r="M91" s="36"/>
      <c r="N91" s="37" t="str">
        <f t="shared" si="16"/>
        <v/>
      </c>
    </row>
    <row r="92" spans="1:19" ht="14.25" customHeight="1" x14ac:dyDescent="0.3">
      <c r="A92" s="38"/>
      <c r="B92" s="76" t="s">
        <v>216</v>
      </c>
      <c r="C92" s="77"/>
      <c r="D92" s="78">
        <f>SUM(D85:D91)</f>
        <v>1160</v>
      </c>
      <c r="E92" s="79"/>
      <c r="F92" s="80"/>
      <c r="G92" s="81">
        <f>SUM(G85:G91)</f>
        <v>12</v>
      </c>
      <c r="H92" s="82">
        <f>SUM(H85:H91)</f>
        <v>1087</v>
      </c>
      <c r="I92" s="83">
        <f>SUM(I85:I91)</f>
        <v>10644</v>
      </c>
      <c r="J92" s="46">
        <f>SUM(D85:D91)</f>
        <v>1160</v>
      </c>
      <c r="K92">
        <f>SUM(G85:G91)</f>
        <v>12</v>
      </c>
      <c r="L92" s="44">
        <f>SUM(H85:H91)</f>
        <v>1087</v>
      </c>
      <c r="M92">
        <f>SUM(I85:I91)</f>
        <v>10644</v>
      </c>
      <c r="N92" s="45">
        <f t="shared" si="16"/>
        <v>10644</v>
      </c>
      <c r="O92" s="28">
        <f>SUM(N86:N91)</f>
        <v>10644</v>
      </c>
    </row>
    <row r="93" spans="1:19" ht="15" customHeight="1" x14ac:dyDescent="0.3">
      <c r="A93" s="47"/>
      <c r="B93" s="48"/>
      <c r="C93" s="49"/>
      <c r="D93" s="50"/>
      <c r="E93" s="51"/>
      <c r="G93" s="52"/>
      <c r="H93" s="53"/>
      <c r="I93" s="54"/>
      <c r="J93" s="55" t="str">
        <f>IF(D93="","",ROUNDUP(D93/IF(AND(C93="600 ml",ISNUMBER(SEARCH("NORCAU",B93))),95,IF(AND(C93="600 ml",ISNUMBER(SEARCH("APURATOS",B93))),190,IF(C93="600 ml",95,IF(C93="400 ml",125,IF(C93="200 ml",330,IF(C93="180 ml",240,1)))))),0))</f>
        <v/>
      </c>
      <c r="L93" s="56" t="str">
        <f>IF(H93="","",H93)</f>
        <v/>
      </c>
      <c r="N93" s="58" t="str">
        <f t="shared" si="16"/>
        <v/>
      </c>
      <c r="P93" s="73"/>
      <c r="Q93" s="36"/>
      <c r="R93" s="36"/>
      <c r="S93" s="89"/>
    </row>
    <row r="94" spans="1:19" ht="14.25" customHeight="1" x14ac:dyDescent="0.3">
      <c r="A94" s="30">
        <v>46042</v>
      </c>
      <c r="B94" s="39" t="s">
        <v>78</v>
      </c>
      <c r="C94" s="40" t="s">
        <v>205</v>
      </c>
      <c r="D94" s="41" t="s">
        <v>206</v>
      </c>
      <c r="E94" s="42" t="s">
        <v>207</v>
      </c>
      <c r="F94" t="s">
        <v>208</v>
      </c>
      <c r="G94" s="59" t="s">
        <v>209</v>
      </c>
      <c r="H94" s="44" t="s">
        <v>210</v>
      </c>
      <c r="I94" s="45" t="s">
        <v>211</v>
      </c>
      <c r="J94" s="46"/>
      <c r="L94" s="44"/>
      <c r="N94" s="45"/>
      <c r="P94" s="90"/>
      <c r="S94" s="91"/>
    </row>
    <row r="95" spans="1:19" ht="14.25" customHeight="1" x14ac:dyDescent="0.3">
      <c r="B95" s="48"/>
      <c r="C95" s="49"/>
      <c r="D95" s="50"/>
      <c r="E95" s="51"/>
      <c r="G95" s="52"/>
      <c r="H95" s="53"/>
      <c r="I95" s="54"/>
      <c r="J95" s="55" t="str">
        <f t="shared" ref="J95:J101" si="17">IF(D95="","",ROUNDUP(D95/IF(AND(C95="600 ml",ISNUMBER(SEARCH("NORCAU",B95))),95,IF(AND(C95="600 ml",ISNUMBER(SEARCH("APURATOS",B95))),190,IF(C95="600 ml",95,IF(C95="400 ml",125,IF(C95="200 ml",330,IF(C95="180 ml",240,1)))))),0))</f>
        <v/>
      </c>
      <c r="L95" s="56" t="str">
        <f t="shared" ref="L95:L101" si="18">IF(H95="","",H95)</f>
        <v/>
      </c>
      <c r="N95" s="58" t="str">
        <f t="shared" ref="N95:N103" si="19">IF(I95="","",I95)</f>
        <v/>
      </c>
      <c r="P95" s="74"/>
      <c r="Q95" s="68"/>
      <c r="R95" s="68"/>
      <c r="S95" s="75"/>
    </row>
    <row r="96" spans="1:19" ht="14.25" customHeight="1" x14ac:dyDescent="0.3">
      <c r="B96" s="39" t="s">
        <v>101</v>
      </c>
      <c r="C96" s="40">
        <v>600</v>
      </c>
      <c r="D96" s="41">
        <f>D88-L88</f>
        <v>82</v>
      </c>
      <c r="E96" s="42" t="s">
        <v>214</v>
      </c>
      <c r="F96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>95</v>
      </c>
      <c r="G96" s="59">
        <f>IFERROR(ROUNDUP(D96/F96,0),"")</f>
        <v>1</v>
      </c>
      <c r="H96" s="44">
        <v>82</v>
      </c>
      <c r="I96" s="45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>984</v>
      </c>
      <c r="J96" s="46">
        <f t="shared" si="17"/>
        <v>82</v>
      </c>
      <c r="L96" s="44">
        <f t="shared" si="18"/>
        <v>82</v>
      </c>
      <c r="M96" s="57"/>
      <c r="N96" s="45">
        <f t="shared" si="19"/>
        <v>984</v>
      </c>
    </row>
    <row r="97" spans="1:15" ht="14.25" customHeight="1" x14ac:dyDescent="0.3">
      <c r="A97" s="38"/>
      <c r="B97" s="48" t="s">
        <v>164</v>
      </c>
      <c r="C97" s="49">
        <v>400</v>
      </c>
      <c r="D97" s="50">
        <v>250</v>
      </c>
      <c r="E97" s="51" t="s">
        <v>214</v>
      </c>
      <c r="F97">
        <f>IF($B97="","",IF(SUMIFS(CONFIG_PALLETS!$C:$C,CONFIG_PALLETS!$A:$A,TRIM($B97),CONFIG_PALLETS!$B:$B,$C97&amp;" ml")&gt;0,SUMIFS(CONFIG_PALLETS!$C:$C,CONFIG_PALLETS!$A:$A,TRIM($B97),CONFIG_PALLETS!$B:$B,$C97&amp;" ml"),IF(SUMIFS(CONFIG_PALLETS!$C:$C,CONFIG_PALLETS!$A:$A,"GERAL",CONFIG_PALLETS!$B:$B,$C97&amp;" ml")&gt;0,SUMIFS(CONFIG_PALLETS!$C:$C,CONFIG_PALLETS!$A:$A,"GERAL",CONFIG_PALLETS!$B:$B,$C97&amp;" ml"),"")))</f>
        <v>125</v>
      </c>
      <c r="G97" s="52">
        <f>IFERROR(ROUNDUP(D97/F97,0),"")</f>
        <v>2</v>
      </c>
      <c r="H97" s="53">
        <v>250</v>
      </c>
      <c r="I97" s="54">
        <f>IF(H97="","",H97*IF(SUMIFS(CONFIG_PALLETS!$D:$D,CONFIG_PALLETS!$A:$A,IF(ISNUMBER(SEARCH("ESPUMA",$B97)),"ESPUMA",IF(OR(ISNUMBER(SEARCH("OLEO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ml")&gt;0,SUMIFS(CONFIG_PALLETS!$D:$D,CONFIG_PALLETS!$A:$A,IF(ISNUMBER(SEARCH("ESPUMA",$B97)),"ESPUMA",IF(OR(ISNUMBER(SEARCH("OLEO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ml"),IF(SUMIFS(CONFIG_PALLETS!$D:$D,CONFIG_PALLETS!$A:$A,"GERAL",CONFIG_PALLETS!$B:$B,$C97&amp;" ml")&gt;0,SUMIFS(CONFIG_PALLETS!$D:$D,CONFIG_PALLETS!$A:$A,"GERAL",CONFIG_PALLETS!$B:$B,$C97&amp;" ml"),12)))</f>
        <v>3000</v>
      </c>
      <c r="J97" s="55">
        <f t="shared" si="17"/>
        <v>250</v>
      </c>
      <c r="L97" s="56">
        <f t="shared" si="18"/>
        <v>250</v>
      </c>
      <c r="N97" s="58">
        <f t="shared" si="19"/>
        <v>3000</v>
      </c>
    </row>
    <row r="98" spans="1:15" ht="14.25" customHeight="1" x14ac:dyDescent="0.3">
      <c r="A98" s="38"/>
      <c r="B98" s="93" t="s">
        <v>223</v>
      </c>
      <c r="C98" s="72">
        <v>400</v>
      </c>
      <c r="D98">
        <v>200</v>
      </c>
      <c r="E98" t="s">
        <v>214</v>
      </c>
      <c r="F98">
        <f>IF($B98="","",IF(SUMIFS(CONFIG_PALLETS!$C:$C,CONFIG_PALLETS!$A:$A,TRIM($B98),CONFIG_PALLETS!$B:$B,$C98&amp;" ml")&gt;0,SUMIFS(CONFIG_PALLETS!$C:$C,CONFIG_PALLETS!$A:$A,TRIM($B98),CONFIG_PALLETS!$B:$B,$C98&amp;" ml"),IF(SUMIFS(CONFIG_PALLETS!$C:$C,CONFIG_PALLETS!$A:$A,"GERAL",CONFIG_PALLETS!$B:$B,$C98&amp;" ml")&gt;0,SUMIFS(CONFIG_PALLETS!$C:$C,CONFIG_PALLETS!$A:$A,"GERAL",CONFIG_PALLETS!$B:$B,$C98&amp;" ml"),"")))</f>
        <v>125</v>
      </c>
      <c r="G98">
        <f>IFERROR(ROUNDUP(D98/F98,0),"")</f>
        <v>2</v>
      </c>
      <c r="H98" s="57">
        <v>201</v>
      </c>
      <c r="I98" s="91">
        <f>IF(H98="","",H98*IF(SUMIFS(CONFIG_PALLETS!$D:$D,CONFIG_PALLETS!$A:$A,IF(ISNUMBER(SEARCH("ESPUMA",$B98)),"ESPUMA",IF(OR(ISNUMBER(SEARCH("OLEO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ml")&gt;0,SUMIFS(CONFIG_PALLETS!$D:$D,CONFIG_PALLETS!$A:$A,IF(ISNUMBER(SEARCH("ESPUMA",$B98)),"ESPUMA",IF(OR(ISNUMBER(SEARCH("OLEO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ml"),IF(SUMIFS(CONFIG_PALLETS!$D:$D,CONFIG_PALLETS!$A:$A,"GERAL",CONFIG_PALLETS!$B:$B,$C98&amp;" ml")&gt;0,SUMIFS(CONFIG_PALLETS!$D:$D,CONFIG_PALLETS!$A:$A,"GERAL",CONFIG_PALLETS!$B:$B,$C98&amp;" ml"),12)))</f>
        <v>2412</v>
      </c>
      <c r="J98">
        <f t="shared" si="17"/>
        <v>200</v>
      </c>
      <c r="L98" s="57">
        <f t="shared" si="18"/>
        <v>201</v>
      </c>
      <c r="N98" s="91">
        <f t="shared" si="19"/>
        <v>2412</v>
      </c>
    </row>
    <row r="99" spans="1:15" ht="14.25" customHeight="1" x14ac:dyDescent="0.3">
      <c r="A99" s="38"/>
      <c r="B99" s="60"/>
      <c r="C99" s="61"/>
      <c r="D99" s="84"/>
      <c r="E99" s="63" t="s">
        <v>214</v>
      </c>
      <c r="F99" s="64" t="str">
        <f>IF($B99="","",IF(SUMIFS(CONFIG_PALLETS!$C:$C,CONFIG_PALLETS!$A:$A,TRIM($B99),CONFIG_PALLETS!$B:$B,$C99&amp;" ml")&gt;0,SUMIFS(CONFIG_PALLETS!$C:$C,CONFIG_PALLETS!$A:$A,TRIM($B99),CONFIG_PALLETS!$B:$B,$C99&amp;" ml"),IF(SUMIFS(CONFIG_PALLETS!$C:$C,CONFIG_PALLETS!$A:$A,"GERAL",CONFIG_PALLETS!$B:$B,$C99&amp;" ml")&gt;0,SUMIFS(CONFIG_PALLETS!$C:$C,CONFIG_PALLETS!$A:$A,"GERAL",CONFIG_PALLETS!$B:$B,$C99&amp;" ml"),"")))</f>
        <v/>
      </c>
      <c r="G99" s="85" t="str">
        <f>IFERROR(ROUNDUP(D99/F99,0),"")</f>
        <v/>
      </c>
      <c r="H99" s="84"/>
      <c r="I99" s="86" t="str">
        <f>IF(H99="","",H99*IF(SUMIFS(CONFIG_PALLETS!$D:$D,CONFIG_PALLETS!$A:$A,IF(ISNUMBER(SEARCH("ESPUMA",$B99)),"ESPUMA",IF(OR(ISNUMBER(SEARCH("OLEO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ml")&gt;0,SUMIFS(CONFIG_PALLETS!$D:$D,CONFIG_PALLETS!$A:$A,IF(ISNUMBER(SEARCH("ESPUMA",$B99)),"ESPUMA",IF(OR(ISNUMBER(SEARCH("OLEO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ml"),IF(SUMIFS(CONFIG_PALLETS!$D:$D,CONFIG_PALLETS!$A:$A,"GERAL",CONFIG_PALLETS!$B:$B,$C99&amp;" ml")&gt;0,SUMIFS(CONFIG_PALLETS!$D:$D,CONFIG_PALLETS!$A:$A,"GERAL",CONFIG_PALLETS!$B:$B,$C99&amp;" ml"),12)))</f>
        <v/>
      </c>
      <c r="J99" s="68" t="str">
        <f t="shared" si="17"/>
        <v/>
      </c>
      <c r="K99" s="68"/>
      <c r="L99" s="94" t="str">
        <f t="shared" si="18"/>
        <v/>
      </c>
      <c r="M99" s="68"/>
      <c r="N99" s="95" t="str">
        <f t="shared" si="19"/>
        <v/>
      </c>
    </row>
    <row r="100" spans="1:15" ht="14.25" customHeight="1" x14ac:dyDescent="0.3">
      <c r="B100" s="71"/>
      <c r="C100" s="72"/>
      <c r="E100" t="s">
        <v>214</v>
      </c>
      <c r="F100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t="str">
        <f>IFERROR(ROUNDUP(D100/F100,0),"")</f>
        <v/>
      </c>
      <c r="I100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  <c r="J100" t="str">
        <f t="shared" si="17"/>
        <v/>
      </c>
      <c r="L100" t="str">
        <f t="shared" si="18"/>
        <v/>
      </c>
      <c r="N100" t="str">
        <f t="shared" si="19"/>
        <v/>
      </c>
    </row>
    <row r="101" spans="1:15" ht="19.5" customHeight="1" x14ac:dyDescent="0.3">
      <c r="A101" s="38"/>
      <c r="B101" s="110"/>
      <c r="C101" s="111"/>
      <c r="D101" s="112"/>
      <c r="E101" s="112"/>
      <c r="F101" s="34"/>
      <c r="G101" s="112"/>
      <c r="H101" s="112"/>
      <c r="I101" s="112"/>
      <c r="J101" s="36" t="str">
        <f t="shared" si="17"/>
        <v/>
      </c>
      <c r="K101" s="36"/>
      <c r="L101" s="37" t="str">
        <f t="shared" si="18"/>
        <v/>
      </c>
      <c r="M101" s="36"/>
      <c r="N101" s="37" t="str">
        <f t="shared" si="19"/>
        <v/>
      </c>
    </row>
    <row r="102" spans="1:15" ht="14.25" customHeight="1" x14ac:dyDescent="0.3">
      <c r="A102" s="38"/>
      <c r="B102" s="76" t="s">
        <v>216</v>
      </c>
      <c r="C102" s="77"/>
      <c r="D102" s="78">
        <f>SUM(D95:D101)</f>
        <v>532</v>
      </c>
      <c r="E102" s="79"/>
      <c r="F102" s="80"/>
      <c r="G102" s="81">
        <f>SUM(G95:G101)</f>
        <v>5</v>
      </c>
      <c r="H102" s="82">
        <f>SUM(H95:H101)</f>
        <v>533</v>
      </c>
      <c r="I102" s="83">
        <f>SUM(I95:I101)</f>
        <v>6396</v>
      </c>
      <c r="J102" s="46">
        <f>SUM(D95:D101)</f>
        <v>532</v>
      </c>
      <c r="K102">
        <f>SUM(G95:G101)</f>
        <v>5</v>
      </c>
      <c r="L102" s="44">
        <f>SUM(H95:H101)</f>
        <v>533</v>
      </c>
      <c r="M102">
        <f>SUM(I95:I101)</f>
        <v>6396</v>
      </c>
      <c r="N102" s="45">
        <f t="shared" si="19"/>
        <v>6396</v>
      </c>
      <c r="O102" s="28">
        <f>SUM(N96:N101)</f>
        <v>6396</v>
      </c>
    </row>
    <row r="103" spans="1:15" ht="14.25" customHeight="1" x14ac:dyDescent="0.3">
      <c r="A103" s="113"/>
      <c r="B103" s="48"/>
      <c r="C103" s="49"/>
      <c r="D103" s="50"/>
      <c r="E103" s="51"/>
      <c r="G103" s="52"/>
      <c r="H103" s="53"/>
      <c r="I103" s="54"/>
      <c r="J103" s="55" t="str">
        <f>IF(D103="","",ROUNDUP(D103/IF(AND(C103="600 ml",ISNUMBER(SEARCH("NORCAU",B103))),95,IF(AND(C103="600 ml",ISNUMBER(SEARCH("APURATOS",B103))),190,IF(C103="600 ml",95,IF(C103="400 ml",125,IF(C103="200 ml",330,IF(C103="180 ml",240,1)))))),0))</f>
        <v/>
      </c>
      <c r="L103" s="56" t="str">
        <f>IF(H103="","",H103)</f>
        <v/>
      </c>
      <c r="M103" s="57"/>
      <c r="N103" s="58" t="str">
        <f t="shared" si="19"/>
        <v/>
      </c>
    </row>
    <row r="104" spans="1:15" ht="14.25" customHeight="1" x14ac:dyDescent="0.3">
      <c r="A104" s="91">
        <v>46043</v>
      </c>
      <c r="B104" s="39" t="s">
        <v>78</v>
      </c>
      <c r="C104" s="40" t="s">
        <v>205</v>
      </c>
      <c r="D104" s="41" t="s">
        <v>206</v>
      </c>
      <c r="E104" s="42" t="s">
        <v>207</v>
      </c>
      <c r="F104" t="s">
        <v>208</v>
      </c>
      <c r="G104" s="59" t="s">
        <v>209</v>
      </c>
      <c r="H104" s="44" t="s">
        <v>210</v>
      </c>
      <c r="I104" s="45" t="s">
        <v>211</v>
      </c>
      <c r="J104" s="46"/>
      <c r="L104" s="44"/>
      <c r="M104" s="57"/>
      <c r="N104" s="45"/>
    </row>
    <row r="105" spans="1:15" ht="14.25" customHeight="1" x14ac:dyDescent="0.3">
      <c r="A105" s="91"/>
      <c r="B105" s="48"/>
      <c r="C105" s="49"/>
      <c r="D105" s="50"/>
      <c r="E105" s="51"/>
      <c r="G105" s="52"/>
      <c r="H105" s="53"/>
      <c r="I105" s="54"/>
      <c r="J105" s="55" t="str">
        <f>IF(D105="","",ROUNDUP(D105/IF(AND(C105="600 ml",ISNUMBER(SEARCH("NORCAU",B105))),95,IF(AND(C105="600 ml",ISNUMBER(SEARCH("APURATOS",B105))),190,IF(C105="600 ml",95,IF(C105="400 ml",125,IF(C105="200 ml",330,IF(C105="180 ml",240,1)))))),0))</f>
        <v/>
      </c>
      <c r="L105" s="56" t="str">
        <f>IF(H105="","",H105)</f>
        <v/>
      </c>
      <c r="N105" s="58" t="str">
        <f t="shared" ref="N105:N111" si="20">IF(I105="","",I105)</f>
        <v/>
      </c>
    </row>
    <row r="106" spans="1:15" ht="14.25" customHeight="1" x14ac:dyDescent="0.3">
      <c r="A106" s="91"/>
      <c r="B106" s="39" t="s">
        <v>224</v>
      </c>
      <c r="C106" s="40">
        <v>200</v>
      </c>
      <c r="D106" s="41">
        <v>660</v>
      </c>
      <c r="E106" s="42" t="s">
        <v>214</v>
      </c>
      <c r="F106">
        <f>IF($B106="","",IF(SUMIFS(CONFIG_PALLETS!$C:$C,CONFIG_PALLETS!$A:$A,TRIM($B106),CONFIG_PALLETS!$B:$B,$C106&amp;" ml")&gt;0,SUMIFS(CONFIG_PALLETS!$C:$C,CONFIG_PALLETS!$A:$A,TRIM($B106),CONFIG_PALLETS!$B:$B,$C106&amp;" ml"),IF(SUMIFS(CONFIG_PALLETS!$C:$C,CONFIG_PALLETS!$A:$A,"GERAL",CONFIG_PALLETS!$B:$B,$C106&amp;" ml")&gt;0,SUMIFS(CONFIG_PALLETS!$C:$C,CONFIG_PALLETS!$A:$A,"GERAL",CONFIG_PALLETS!$B:$B,$C106&amp;" ml"),"")))</f>
        <v>330</v>
      </c>
      <c r="G106" s="59">
        <f>IFERROR(ROUNDUP(D106/F106,0),"")</f>
        <v>2</v>
      </c>
      <c r="H106" s="44">
        <v>660</v>
      </c>
      <c r="I106" s="45">
        <f>IF(H106="","",H106*IF(SUMIFS(CONFIG_PALLETS!$D:$D,CONFIG_PALLETS!$A:$A,IF(ISNUMBER(SEARCH("ESPUMA",$B106)),"ESPUMA",IF(OR(ISNUMBER(SEARCH("OLEO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ml")&gt;0,SUMIFS(CONFIG_PALLETS!$D:$D,CONFIG_PALLETS!$A:$A,IF(ISNUMBER(SEARCH("ESPUMA",$B106)),"ESPUMA",IF(OR(ISNUMBER(SEARCH("OLEO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ml"),IF(SUMIFS(CONFIG_PALLETS!$D:$D,CONFIG_PALLETS!$A:$A,"GERAL",CONFIG_PALLETS!$B:$B,$C106&amp;" ml")&gt;0,SUMIFS(CONFIG_PALLETS!$D:$D,CONFIG_PALLETS!$A:$A,"GERAL",CONFIG_PALLETS!$B:$B,$C106&amp;" ml"),12)))</f>
        <v>3960</v>
      </c>
      <c r="J106" s="46">
        <f>IF(D106="","",ROUNDUP(D106/IF(AND(C106="600 ml",ISNUMBER(SEARCH("NORCAU",B106))),95,IF(AND(C106="600 ml",ISNUMBER(SEARCH("APURATOS",B106))),190,IF(C106="600 ml",95,IF(C106="400 ml",125,IF(C106="200 ml",330,IF(C106="180 ml",240,1)))))),0))</f>
        <v>660</v>
      </c>
      <c r="L106" s="44">
        <f>IF(H106="","",H106)</f>
        <v>660</v>
      </c>
      <c r="M106" s="57"/>
      <c r="N106" s="45">
        <f t="shared" si="20"/>
        <v>3960</v>
      </c>
    </row>
    <row r="107" spans="1:15" ht="14.25" customHeight="1" x14ac:dyDescent="0.3">
      <c r="A107" s="38"/>
      <c r="B107" s="48" t="s">
        <v>225</v>
      </c>
      <c r="C107" s="49">
        <v>200</v>
      </c>
      <c r="D107" s="50">
        <v>1320</v>
      </c>
      <c r="E107" s="51" t="s">
        <v>214</v>
      </c>
      <c r="F107" s="105">
        <f>IF($B107="","",IF(SUMIFS(CONFIG_PALLETS!$C:$C,CONFIG_PALLETS!$A:$A,TRIM($B107),CONFIG_PALLETS!$B:$B,$C107&amp;" ml")&gt;0,SUMIFS(CONFIG_PALLETS!$C:$C,CONFIG_PALLETS!$A:$A,TRIM($B107),CONFIG_PALLETS!$B:$B,$C107&amp;" ml"),IF(SUMIFS(CONFIG_PALLETS!$C:$C,CONFIG_PALLETS!$A:$A,"GERAL",CONFIG_PALLETS!$B:$B,$C107&amp;" ml")&gt;0,SUMIFS(CONFIG_PALLETS!$C:$C,CONFIG_PALLETS!$A:$A,"GERAL",CONFIG_PALLETS!$B:$B,$C107&amp;" ml"),"")))</f>
        <v>330</v>
      </c>
      <c r="G107" s="52">
        <f>IFERROR(ROUNDUP(D107/F107,0),"")</f>
        <v>4</v>
      </c>
      <c r="H107" s="53">
        <v>1020</v>
      </c>
      <c r="I107" s="54">
        <f>IF(H107="","",H107*IF(SUMIFS(CONFIG_PALLETS!$D:$D,CONFIG_PALLETS!$A:$A,IF(ISNUMBER(SEARCH("ESPUMA",$B107)),"ESPUMA",IF(OR(ISNUMBER(SEARCH("OLEO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ml")&gt;0,SUMIFS(CONFIG_PALLETS!$D:$D,CONFIG_PALLETS!$A:$A,IF(ISNUMBER(SEARCH("ESPUMA",$B107)),"ESPUMA",IF(OR(ISNUMBER(SEARCH("OLEO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ml"),IF(SUMIFS(CONFIG_PALLETS!$D:$D,CONFIG_PALLETS!$A:$A,"GERAL",CONFIG_PALLETS!$B:$B,$C107&amp;" ml")&gt;0,SUMIFS(CONFIG_PALLETS!$D:$D,CONFIG_PALLETS!$A:$A,"GERAL",CONFIG_PALLETS!$B:$B,$C107&amp;" ml"),12)))</f>
        <v>6120</v>
      </c>
      <c r="J107" s="55">
        <f>IF(D107="","",ROUNDUP(D107/IF(AND(C107="600 ml",ISNUMBER(SEARCH("NORCAU",B107))),95,IF(AND(C107="600 ml",ISNUMBER(SEARCH("APURATOS",B107))),190,IF(C107="600 ml",95,IF(C107="400 ml",125,IF(C107="200 ml",330,IF(C107="180 ml",240,1)))))),0))</f>
        <v>1320</v>
      </c>
      <c r="L107" s="56">
        <f>IF(H107="","",H107)</f>
        <v>1020</v>
      </c>
      <c r="N107" s="58">
        <f t="shared" si="20"/>
        <v>6120</v>
      </c>
    </row>
    <row r="108" spans="1:15" ht="14.25" customHeight="1" x14ac:dyDescent="0.3">
      <c r="A108" s="38"/>
      <c r="B108" s="93"/>
      <c r="C108" s="72"/>
      <c r="E108" t="s">
        <v>214</v>
      </c>
      <c r="F108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t="str">
        <f>IFERROR(ROUNDUP(D108/F108,0),"")</f>
        <v/>
      </c>
      <c r="H108" s="57"/>
      <c r="I108" s="91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  <c r="J108" t="str">
        <f>IF(D108="","",ROUNDUP(D108/IF(AND(C108="600 ml",ISNUMBER(SEARCH("NORCAU",B108))),95,IF(AND(C108="600 ml",ISNUMBER(SEARCH("APURATOS",B108))),190,IF(C108="600 ml",95,IF(C108="400 ml",125,IF(C108="200 ml",330,IF(C108="180 ml",240,1)))))),0))</f>
        <v/>
      </c>
      <c r="L108" s="57" t="str">
        <f>IF(H108="","",H108)</f>
        <v/>
      </c>
      <c r="N108" s="91" t="str">
        <f t="shared" si="20"/>
        <v/>
      </c>
    </row>
    <row r="109" spans="1:15" ht="14.25" customHeight="1" x14ac:dyDescent="0.3">
      <c r="A109" s="38"/>
      <c r="B109" s="114"/>
      <c r="C109" s="115"/>
      <c r="D109" s="116"/>
      <c r="E109" s="117"/>
      <c r="F109" s="118"/>
      <c r="G109" s="119"/>
      <c r="H109" s="116"/>
      <c r="I109" s="120"/>
      <c r="J109" s="68" t="str">
        <f>IF(D109="","",ROUNDUP(D109/IF(AND(C109="600 ml",ISNUMBER(SEARCH("NORCAU",B109))),95,IF(AND(C109="600 ml",ISNUMBER(SEARCH("APURATOS",B109))),190,IF(C109="600 ml",95,IF(C109="400 ml",125,IF(C109="200 ml",330,IF(C109="180 ml",240,1)))))),0))</f>
        <v/>
      </c>
      <c r="K109" s="68"/>
      <c r="L109" s="94" t="str">
        <f>IF(H109="","",H109)</f>
        <v/>
      </c>
      <c r="M109" s="68"/>
      <c r="N109" s="95" t="str">
        <f t="shared" si="20"/>
        <v/>
      </c>
    </row>
    <row r="110" spans="1:15" ht="14.25" customHeight="1" x14ac:dyDescent="0.3">
      <c r="B110" s="121" t="s">
        <v>216</v>
      </c>
      <c r="C110" s="122"/>
      <c r="D110" s="123">
        <f>SUM(D103:D109)</f>
        <v>1980</v>
      </c>
      <c r="E110" s="80"/>
      <c r="F110" s="80"/>
      <c r="G110" s="123">
        <f>SUM(G103:G109)</f>
        <v>6</v>
      </c>
      <c r="H110" s="123">
        <f>SUM(H103:H109)</f>
        <v>1680</v>
      </c>
      <c r="I110" s="123">
        <f>SUM(I103:I109)</f>
        <v>10080</v>
      </c>
      <c r="J110">
        <f>SUM(D105:D109)</f>
        <v>1980</v>
      </c>
      <c r="K110">
        <f>SUM(G105:G109)</f>
        <v>6</v>
      </c>
      <c r="L110">
        <f>SUM(H105:H109)</f>
        <v>1680</v>
      </c>
      <c r="M110">
        <f>SUM(I105:I109)</f>
        <v>10080</v>
      </c>
      <c r="N110">
        <f t="shared" si="20"/>
        <v>10080</v>
      </c>
      <c r="O110" s="28">
        <f>SUM(N106:N109)</f>
        <v>10080</v>
      </c>
    </row>
    <row r="111" spans="1:15" ht="19.5" customHeight="1" x14ac:dyDescent="0.3">
      <c r="A111" s="38"/>
      <c r="B111" s="31"/>
      <c r="C111" s="32"/>
      <c r="D111" s="33"/>
      <c r="E111" s="33"/>
      <c r="F111" s="34"/>
      <c r="G111" s="33"/>
      <c r="H111" s="33"/>
      <c r="I111" s="35"/>
      <c r="J111" s="36" t="str">
        <f>IF(D111="","",ROUNDUP(D111/IF(AND(C111="600 ml",ISNUMBER(SEARCH("NORCAU",B111))),95,IF(AND(C111="600 ml",ISNUMBER(SEARCH("APURATOS",B111))),190,IF(C111="600 ml",95,IF(C111="400 ml",125,IF(C111="200 ml",330,IF(C111="180 ml",240,1)))))),0))</f>
        <v/>
      </c>
      <c r="K111" s="36"/>
      <c r="L111" s="37" t="str">
        <f>IF(H111="","",H111)</f>
        <v/>
      </c>
      <c r="M111" s="36"/>
      <c r="N111" s="37" t="str">
        <f t="shared" si="20"/>
        <v/>
      </c>
    </row>
    <row r="112" spans="1:15" ht="14.25" customHeight="1" x14ac:dyDescent="0.3">
      <c r="A112" s="30">
        <v>46044</v>
      </c>
      <c r="B112" s="39" t="s">
        <v>78</v>
      </c>
      <c r="C112" s="40" t="s">
        <v>205</v>
      </c>
      <c r="D112" s="41" t="s">
        <v>206</v>
      </c>
      <c r="E112" s="42" t="s">
        <v>207</v>
      </c>
      <c r="F112" t="s">
        <v>208</v>
      </c>
      <c r="G112" s="43" t="s">
        <v>209</v>
      </c>
      <c r="H112" s="44" t="s">
        <v>210</v>
      </c>
      <c r="I112" s="45" t="s">
        <v>211</v>
      </c>
      <c r="J112" s="46"/>
      <c r="L112" s="44"/>
      <c r="N112" s="45"/>
    </row>
    <row r="113" spans="1:15" ht="14.25" customHeight="1" x14ac:dyDescent="0.3">
      <c r="A113" s="47"/>
      <c r="B113" s="48"/>
      <c r="C113" s="49"/>
      <c r="D113" s="50"/>
      <c r="E113" s="51"/>
      <c r="G113" s="52"/>
      <c r="H113" s="53"/>
      <c r="I113" s="54"/>
      <c r="J113" s="55" t="str">
        <f t="shared" ref="J113:J119" si="21">IF(D113="","",ROUNDUP(D113/IF(AND(C113="600 ml",ISNUMBER(SEARCH("NORCAU",B113))),95,IF(AND(C113="600 ml",ISNUMBER(SEARCH("APURATOS",B113))),190,IF(C113="600 ml",95,IF(C113="400 ml",125,IF(C113="200 ml",330,IF(C113="180 ml",240,1)))))),0))</f>
        <v/>
      </c>
      <c r="L113" s="56" t="str">
        <f t="shared" ref="L113:L119" si="22">IF(H113="","",H113)</f>
        <v/>
      </c>
      <c r="M113" s="57"/>
      <c r="N113" s="58" t="str">
        <f t="shared" ref="N113:N121" si="23">IF(I113="","",I113)</f>
        <v/>
      </c>
    </row>
    <row r="114" spans="1:15" ht="14.25" customHeight="1" x14ac:dyDescent="0.3">
      <c r="B114" s="39" t="s">
        <v>225</v>
      </c>
      <c r="C114" s="40">
        <v>200</v>
      </c>
      <c r="D114" s="41">
        <f>D107-L107</f>
        <v>300</v>
      </c>
      <c r="E114" s="42" t="s">
        <v>214</v>
      </c>
      <c r="F114">
        <f>IF($B114="","",IF(SUMIFS(CONFIG_PALLETS!$C:$C,CONFIG_PALLETS!$A:$A,TRIM($B114),CONFIG_PALLETS!$B:$B,$C114&amp;" ml")&gt;0,SUMIFS(CONFIG_PALLETS!$C:$C,CONFIG_PALLETS!$A:$A,TRIM($B114),CONFIG_PALLETS!$B:$B,$C114&amp;" ml"),IF(SUMIFS(CONFIG_PALLETS!$C:$C,CONFIG_PALLETS!$A:$A,"GERAL",CONFIG_PALLETS!$B:$B,$C114&amp;" ml")&gt;0,SUMIFS(CONFIG_PALLETS!$C:$C,CONFIG_PALLETS!$A:$A,"GERAL",CONFIG_PALLETS!$B:$B,$C114&amp;" ml"),"")))</f>
        <v>330</v>
      </c>
      <c r="G114" s="59">
        <f>IFERROR(ROUNDUP(D114/F114,0),"")</f>
        <v>1</v>
      </c>
      <c r="H114" s="44">
        <v>382</v>
      </c>
      <c r="I114" s="45">
        <f>IF(H114="","",H114*IF(SUMIFS(CONFIG_PALLETS!$D:$D,CONFIG_PALLETS!$A:$A,IF(ISNUMBER(SEARCH("ESPUMA",$B114)),"ESPUMA",IF(OR(ISNUMBER(SEARCH("OLEO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ml")&gt;0,SUMIFS(CONFIG_PALLETS!$D:$D,CONFIG_PALLETS!$A:$A,IF(ISNUMBER(SEARCH("ESPUMA",$B114)),"ESPUMA",IF(OR(ISNUMBER(SEARCH("OLEO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ml"),IF(SUMIFS(CONFIG_PALLETS!$D:$D,CONFIG_PALLETS!$A:$A,"GERAL",CONFIG_PALLETS!$B:$B,$C114&amp;" ml")&gt;0,SUMIFS(CONFIG_PALLETS!$D:$D,CONFIG_PALLETS!$A:$A,"GERAL",CONFIG_PALLETS!$B:$B,$C114&amp;" ml"),12)))</f>
        <v>2292</v>
      </c>
      <c r="J114" s="46">
        <f t="shared" si="21"/>
        <v>300</v>
      </c>
      <c r="L114" s="44">
        <f t="shared" si="22"/>
        <v>382</v>
      </c>
      <c r="M114" s="57"/>
      <c r="N114" s="45">
        <f t="shared" si="23"/>
        <v>2292</v>
      </c>
    </row>
    <row r="115" spans="1:15" ht="14.25" customHeight="1" x14ac:dyDescent="0.3">
      <c r="A115" s="38"/>
      <c r="B115" s="48" t="s">
        <v>226</v>
      </c>
      <c r="C115" s="49">
        <v>200</v>
      </c>
      <c r="D115" s="50">
        <v>990</v>
      </c>
      <c r="E115" s="51" t="s">
        <v>214</v>
      </c>
      <c r="F115">
        <f>IF($B115="","",IF(SUMIFS(CONFIG_PALLETS!$C:$C,CONFIG_PALLETS!$A:$A,TRIM($B115),CONFIG_PALLETS!$B:$B,$C115&amp;" ml")&gt;0,SUMIFS(CONFIG_PALLETS!$C:$C,CONFIG_PALLETS!$A:$A,TRIM($B115),CONFIG_PALLETS!$B:$B,$C115&amp;" ml"),IF(SUMIFS(CONFIG_PALLETS!$C:$C,CONFIG_PALLETS!$A:$A,"GERAL",CONFIG_PALLETS!$B:$B,$C115&amp;" ml")&gt;0,SUMIFS(CONFIG_PALLETS!$C:$C,CONFIG_PALLETS!$A:$A,"GERAL",CONFIG_PALLETS!$B:$B,$C115&amp;" ml"),"")))</f>
        <v>330</v>
      </c>
      <c r="G115" s="52">
        <f>IFERROR(ROUNDUP(D115/F115,0),"")</f>
        <v>3</v>
      </c>
      <c r="H115" s="53">
        <v>853</v>
      </c>
      <c r="I115" s="54">
        <f>IF(H115="","",H115*IF(SUMIFS(CONFIG_PALLETS!$D:$D,CONFIG_PALLETS!$A:$A,IF(ISNUMBER(SEARCH("ESPUMA",$B115)),"ESPUMA",IF(OR(ISNUMBER(SEARCH("OLEO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ml")&gt;0,SUMIFS(CONFIG_PALLETS!$D:$D,CONFIG_PALLETS!$A:$A,IF(ISNUMBER(SEARCH("ESPUMA",$B115)),"ESPUMA",IF(OR(ISNUMBER(SEARCH("OLEO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ml"),IF(SUMIFS(CONFIG_PALLETS!$D:$D,CONFIG_PALLETS!$A:$A,"GERAL",CONFIG_PALLETS!$B:$B,$C115&amp;" ml")&gt;0,SUMIFS(CONFIG_PALLETS!$D:$D,CONFIG_PALLETS!$A:$A,"GERAL",CONFIG_PALLETS!$B:$B,$C115&amp;" ml"),12)))</f>
        <v>5118</v>
      </c>
      <c r="J115" s="55">
        <f t="shared" si="21"/>
        <v>990</v>
      </c>
      <c r="L115" s="56">
        <f t="shared" si="22"/>
        <v>853</v>
      </c>
      <c r="N115" s="58">
        <f t="shared" si="23"/>
        <v>5118</v>
      </c>
    </row>
    <row r="116" spans="1:15" ht="14.25" customHeight="1" x14ac:dyDescent="0.3">
      <c r="A116" s="38"/>
      <c r="B116" s="39" t="s">
        <v>227</v>
      </c>
      <c r="C116" s="40">
        <v>200</v>
      </c>
      <c r="D116" s="41">
        <v>990</v>
      </c>
      <c r="E116" s="42" t="s">
        <v>214</v>
      </c>
      <c r="F116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>330</v>
      </c>
      <c r="G116" s="59">
        <f>IFERROR(ROUNDUP(D116/F116,0),"")</f>
        <v>3</v>
      </c>
      <c r="H116" s="44">
        <v>813</v>
      </c>
      <c r="I116" s="45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>4878</v>
      </c>
      <c r="J116" s="46">
        <f t="shared" si="21"/>
        <v>990</v>
      </c>
      <c r="L116" s="44">
        <f t="shared" si="22"/>
        <v>813</v>
      </c>
      <c r="N116" s="45">
        <f t="shared" si="23"/>
        <v>4878</v>
      </c>
    </row>
    <row r="117" spans="1:15" ht="14.25" customHeight="1" x14ac:dyDescent="0.3">
      <c r="A117" s="38"/>
      <c r="B117" s="48"/>
      <c r="C117" s="49"/>
      <c r="D117" s="50"/>
      <c r="E117" s="51" t="s">
        <v>214</v>
      </c>
      <c r="F117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96" t="str">
        <f>IFERROR(ROUNDUP(D117/F117,0),"")</f>
        <v/>
      </c>
      <c r="H117" s="53"/>
      <c r="I117" s="54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  <c r="J117" s="55" t="str">
        <f t="shared" si="21"/>
        <v/>
      </c>
      <c r="L117" s="56" t="str">
        <f t="shared" si="22"/>
        <v/>
      </c>
      <c r="N117" s="58" t="str">
        <f t="shared" si="23"/>
        <v/>
      </c>
    </row>
    <row r="118" spans="1:15" ht="14.25" customHeight="1" x14ac:dyDescent="0.3">
      <c r="A118" s="38"/>
      <c r="B118" s="60"/>
      <c r="C118" s="61"/>
      <c r="D118" s="84"/>
      <c r="E118" s="63" t="s">
        <v>214</v>
      </c>
      <c r="F118" s="64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85" t="str">
        <f>IFERROR(ROUNDUP(D118/F118,0),"")</f>
        <v/>
      </c>
      <c r="H118" s="84"/>
      <c r="I118" s="86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  <c r="J118" s="68" t="str">
        <f t="shared" si="21"/>
        <v/>
      </c>
      <c r="K118" s="68"/>
      <c r="L118" s="94" t="str">
        <f t="shared" si="22"/>
        <v/>
      </c>
      <c r="M118" s="68"/>
      <c r="N118" s="95" t="str">
        <f t="shared" si="23"/>
        <v/>
      </c>
    </row>
    <row r="119" spans="1:15" ht="14.25" customHeight="1" x14ac:dyDescent="0.3">
      <c r="B119" s="71"/>
      <c r="C119" s="72"/>
      <c r="J119" t="str">
        <f t="shared" si="21"/>
        <v/>
      </c>
      <c r="L119" t="str">
        <f t="shared" si="22"/>
        <v/>
      </c>
      <c r="N119" t="str">
        <f t="shared" si="23"/>
        <v/>
      </c>
    </row>
    <row r="120" spans="1:15" ht="19.5" customHeight="1" x14ac:dyDescent="0.3">
      <c r="A120" s="38"/>
      <c r="B120" s="31" t="s">
        <v>216</v>
      </c>
      <c r="C120" s="32"/>
      <c r="D120" s="33">
        <f>SUM(D113:D119)</f>
        <v>2280</v>
      </c>
      <c r="E120" s="33"/>
      <c r="F120" s="124"/>
      <c r="G120" s="33">
        <f>SUM(G113:G119)</f>
        <v>7</v>
      </c>
      <c r="H120" s="33">
        <f>SUM(H113:H119)</f>
        <v>2048</v>
      </c>
      <c r="I120" s="35">
        <f>SUM(I113:I119)</f>
        <v>12288</v>
      </c>
      <c r="J120" s="36">
        <f>SUM(D113:D119)</f>
        <v>2280</v>
      </c>
      <c r="K120" s="36">
        <f>SUM(G113:G119)</f>
        <v>7</v>
      </c>
      <c r="L120" s="37">
        <f>SUM(H113:H119)</f>
        <v>2048</v>
      </c>
      <c r="M120" s="36">
        <f>SUM(I113:I119)</f>
        <v>12288</v>
      </c>
      <c r="N120" s="37">
        <f t="shared" si="23"/>
        <v>12288</v>
      </c>
      <c r="O120" s="28">
        <f>SUM(N114:N119)</f>
        <v>12288</v>
      </c>
    </row>
    <row r="121" spans="1:15" ht="14.25" customHeight="1" x14ac:dyDescent="0.3">
      <c r="A121" s="38"/>
      <c r="B121" s="97"/>
      <c r="C121" s="98"/>
      <c r="D121" s="99"/>
      <c r="E121" s="100"/>
      <c r="G121" s="101"/>
      <c r="H121" s="102"/>
      <c r="I121" s="103"/>
      <c r="J121" s="55" t="str">
        <f>IF(D121="","",ROUNDUP(D121/IF(AND(C121="600 ml",ISNUMBER(SEARCH("NORCAU",B121))),95,IF(AND(C121="600 ml",ISNUMBER(SEARCH("APURATOS",B121))),190,IF(C121="600 ml",95,IF(C121="400 ml",125,IF(C121="200 ml",330,IF(C121="180 ml",240,1)))))),0))</f>
        <v/>
      </c>
      <c r="L121" s="56" t="str">
        <f>IF(H121="","",H121)</f>
        <v/>
      </c>
      <c r="N121" s="58" t="str">
        <f t="shared" si="23"/>
        <v/>
      </c>
    </row>
    <row r="122" spans="1:15" ht="14.25" customHeight="1" x14ac:dyDescent="0.3">
      <c r="A122" s="47">
        <v>46045</v>
      </c>
      <c r="B122" s="48" t="s">
        <v>78</v>
      </c>
      <c r="C122" s="49" t="s">
        <v>205</v>
      </c>
      <c r="D122" s="50" t="s">
        <v>206</v>
      </c>
      <c r="E122" s="51" t="s">
        <v>207</v>
      </c>
      <c r="F122" t="s">
        <v>208</v>
      </c>
      <c r="G122" s="52" t="s">
        <v>209</v>
      </c>
      <c r="H122" s="53" t="s">
        <v>210</v>
      </c>
      <c r="I122" s="54" t="s">
        <v>211</v>
      </c>
      <c r="J122" s="46"/>
      <c r="L122" s="44"/>
      <c r="M122" s="57"/>
      <c r="N122" s="45"/>
    </row>
    <row r="123" spans="1:15" ht="14.25" customHeight="1" x14ac:dyDescent="0.3">
      <c r="B123" s="97"/>
      <c r="C123" s="98"/>
      <c r="D123" s="99"/>
      <c r="E123" s="100"/>
      <c r="G123" s="104"/>
      <c r="H123" s="102"/>
      <c r="I123" s="103"/>
      <c r="J123" s="55" t="str">
        <f t="shared" ref="J123:J131" si="24">IF(D123="","",ROUNDUP(D123/IF(AND(C123="600 ml",ISNUMBER(SEARCH("NORCAU",B123))),95,IF(AND(C123="600 ml",ISNUMBER(SEARCH("APURATOS",B123))),190,IF(C123="600 ml",95,IF(C123="400 ml",125,IF(C123="200 ml",330,IF(C123="180 ml",240,1)))))),0))</f>
        <v/>
      </c>
      <c r="L123" s="56" t="str">
        <f t="shared" ref="L123:L131" si="25">IF(H123="","",H123)</f>
        <v/>
      </c>
      <c r="M123" s="57"/>
      <c r="N123" s="58" t="str">
        <f t="shared" ref="N123:N133" si="26">IF(I123="","",I123)</f>
        <v/>
      </c>
    </row>
    <row r="124" spans="1:15" ht="14.25" customHeight="1" x14ac:dyDescent="0.3">
      <c r="A124" s="38"/>
      <c r="B124" s="48" t="s">
        <v>227</v>
      </c>
      <c r="C124" s="49">
        <v>200</v>
      </c>
      <c r="D124" s="50">
        <f>D116-L116</f>
        <v>177</v>
      </c>
      <c r="E124" s="51" t="s">
        <v>214</v>
      </c>
      <c r="F124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>330</v>
      </c>
      <c r="G124" s="52">
        <f t="shared" ref="G124:G130" si="27">IFERROR(ROUNDUP(D124/F124,0),"")</f>
        <v>1</v>
      </c>
      <c r="H124" s="53">
        <v>184</v>
      </c>
      <c r="I124" s="54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>1104</v>
      </c>
      <c r="J124" s="46">
        <f t="shared" si="24"/>
        <v>177</v>
      </c>
      <c r="L124" s="44">
        <f t="shared" si="25"/>
        <v>184</v>
      </c>
      <c r="N124" s="45">
        <f t="shared" si="26"/>
        <v>1104</v>
      </c>
    </row>
    <row r="125" spans="1:15" ht="14.25" customHeight="1" x14ac:dyDescent="0.3">
      <c r="A125" s="38"/>
      <c r="B125" s="97" t="s">
        <v>228</v>
      </c>
      <c r="C125" s="98">
        <v>200</v>
      </c>
      <c r="D125" s="99">
        <v>330</v>
      </c>
      <c r="E125" s="100" t="s">
        <v>214</v>
      </c>
      <c r="F125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>330</v>
      </c>
      <c r="G125" s="101">
        <f t="shared" si="27"/>
        <v>1</v>
      </c>
      <c r="H125" s="102">
        <v>197</v>
      </c>
      <c r="I125" s="103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>1182</v>
      </c>
      <c r="J125" s="55">
        <f t="shared" si="24"/>
        <v>330</v>
      </c>
      <c r="L125" s="56">
        <f t="shared" si="25"/>
        <v>197</v>
      </c>
      <c r="N125" s="58">
        <f t="shared" si="26"/>
        <v>1182</v>
      </c>
    </row>
    <row r="126" spans="1:15" ht="14.25" customHeight="1" x14ac:dyDescent="0.3">
      <c r="A126" s="38"/>
      <c r="B126" s="60" t="s">
        <v>122</v>
      </c>
      <c r="C126" s="61">
        <v>70</v>
      </c>
      <c r="D126" s="84">
        <v>120</v>
      </c>
      <c r="E126" s="63" t="s">
        <v>214</v>
      </c>
      <c r="F126" s="64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>240</v>
      </c>
      <c r="G126" s="85">
        <f t="shared" si="27"/>
        <v>1</v>
      </c>
      <c r="H126" s="84">
        <v>123</v>
      </c>
      <c r="I126" s="86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>1476</v>
      </c>
      <c r="J126" s="125">
        <f t="shared" si="24"/>
        <v>120</v>
      </c>
      <c r="K126" s="68"/>
      <c r="L126" s="126">
        <f t="shared" si="25"/>
        <v>123</v>
      </c>
      <c r="M126" s="68"/>
      <c r="N126" s="127">
        <f t="shared" si="26"/>
        <v>1476</v>
      </c>
    </row>
    <row r="127" spans="1:15" ht="14.25" customHeight="1" x14ac:dyDescent="0.3">
      <c r="B127" s="71" t="s">
        <v>124</v>
      </c>
      <c r="C127" s="72">
        <v>70</v>
      </c>
      <c r="D127">
        <v>120</v>
      </c>
      <c r="E127" t="s">
        <v>214</v>
      </c>
      <c r="F127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>240</v>
      </c>
      <c r="G127">
        <f t="shared" si="27"/>
        <v>1</v>
      </c>
      <c r="H127">
        <v>121</v>
      </c>
      <c r="I127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>1452</v>
      </c>
      <c r="J127">
        <f t="shared" si="24"/>
        <v>120</v>
      </c>
      <c r="L127">
        <f t="shared" si="25"/>
        <v>121</v>
      </c>
      <c r="N127">
        <f t="shared" si="26"/>
        <v>1452</v>
      </c>
    </row>
    <row r="128" spans="1:15" ht="19.5" customHeight="1" x14ac:dyDescent="0.3">
      <c r="A128" s="38"/>
      <c r="B128" s="31" t="s">
        <v>126</v>
      </c>
      <c r="C128" s="32">
        <v>70</v>
      </c>
      <c r="D128" s="33">
        <v>120</v>
      </c>
      <c r="E128" s="33" t="s">
        <v>214</v>
      </c>
      <c r="F128" s="34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>240</v>
      </c>
      <c r="G128" s="33">
        <f t="shared" si="27"/>
        <v>1</v>
      </c>
      <c r="H128" s="33">
        <v>121</v>
      </c>
      <c r="I128" s="35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>1452</v>
      </c>
      <c r="J128" s="36">
        <f t="shared" si="24"/>
        <v>120</v>
      </c>
      <c r="K128" s="36"/>
      <c r="L128" s="37">
        <f t="shared" si="25"/>
        <v>121</v>
      </c>
      <c r="M128" s="36"/>
      <c r="N128" s="37">
        <f t="shared" si="26"/>
        <v>1452</v>
      </c>
    </row>
    <row r="129" spans="1:15" ht="14.25" customHeight="1" x14ac:dyDescent="0.3">
      <c r="A129" s="38"/>
      <c r="B129" s="97" t="s">
        <v>130</v>
      </c>
      <c r="C129" s="98">
        <v>70</v>
      </c>
      <c r="D129" s="99">
        <v>120</v>
      </c>
      <c r="E129" s="100" t="s">
        <v>214</v>
      </c>
      <c r="F129">
        <f>IF($B129="","",IF(SUMIFS(CONFIG_PALLETS!$C:$C,CONFIG_PALLETS!$A:$A,TRIM($B129),CONFIG_PALLETS!$B:$B,$C129&amp;" ml")&gt;0,SUMIFS(CONFIG_PALLETS!$C:$C,CONFIG_PALLETS!$A:$A,TRIM($B129),CONFIG_PALLETS!$B:$B,$C129&amp;" ml"),IF(SUMIFS(CONFIG_PALLETS!$C:$C,CONFIG_PALLETS!$A:$A,"GERAL",CONFIG_PALLETS!$B:$B,$C129&amp;" ml")&gt;0,SUMIFS(CONFIG_PALLETS!$C:$C,CONFIG_PALLETS!$A:$A,"GERAL",CONFIG_PALLETS!$B:$B,$C129&amp;" ml"),"")))</f>
        <v>240</v>
      </c>
      <c r="G129" s="101">
        <f t="shared" si="27"/>
        <v>1</v>
      </c>
      <c r="H129" s="102">
        <v>122</v>
      </c>
      <c r="I129" s="103">
        <f>IF(H129="","",H129*IF(SUMIFS(CONFIG_PALLETS!$D:$D,CONFIG_PALLETS!$A:$A,IF(ISNUMBER(SEARCH("ESPUMA",$B129)),"ESPUMA",IF(OR(ISNUMBER(SEARCH("OLEO DE COCO",$B129)),ISNUMBER(SEARCH("ÓLEO DE COCO",$B129)),ISNUMBER(SEARCH("COPRA",$B129))),"ÓLEO DE COCO",IF(ISNUMBER(SEARCH("CORANTE",$B129)),"CORANTE",TRIM($B129)))),CONFIG_PALLETS!$B:$B,$C129&amp;" ml")&gt;0,SUMIFS(CONFIG_PALLETS!$D:$D,CONFIG_PALLETS!$A:$A,IF(ISNUMBER(SEARCH("ESPUMA",$B129)),"ESPUMA",IF(OR(ISNUMBER(SEARCH("OLEO DE COCO",$B129)),ISNUMBER(SEARCH("ÓLEO DE COCO",$B129)),ISNUMBER(SEARCH("COPRA",$B129))),"ÓLEO DE COCO",IF(ISNUMBER(SEARCH("CORANTE",$B129)),"CORANTE",TRIM($B129)))),CONFIG_PALLETS!$B:$B,$C129&amp;" ml"),IF(SUMIFS(CONFIG_PALLETS!$D:$D,CONFIG_PALLETS!$A:$A,"GERAL",CONFIG_PALLETS!$B:$B,$C129&amp;" ml")&gt;0,SUMIFS(CONFIG_PALLETS!$D:$D,CONFIG_PALLETS!$A:$A,"GERAL",CONFIG_PALLETS!$B:$B,$C129&amp;" ml"),12)))</f>
        <v>1464</v>
      </c>
      <c r="J129" s="55">
        <f t="shared" si="24"/>
        <v>120</v>
      </c>
      <c r="L129" s="56">
        <f t="shared" si="25"/>
        <v>122</v>
      </c>
      <c r="N129" s="58">
        <f t="shared" si="26"/>
        <v>1464</v>
      </c>
    </row>
    <row r="130" spans="1:15" ht="14.25" customHeight="1" x14ac:dyDescent="0.3">
      <c r="A130" s="47"/>
      <c r="B130" s="48"/>
      <c r="C130" s="49"/>
      <c r="D130" s="50"/>
      <c r="E130" s="51" t="s">
        <v>214</v>
      </c>
      <c r="F130" t="str">
        <f>IF($B130="","",IF(SUMIFS(CONFIG_PALLETS!$C:$C,CONFIG_PALLETS!$A:$A,TRIM($B130),CONFIG_PALLETS!$B:$B,$C130&amp;" ml")&gt;0,SUMIFS(CONFIG_PALLETS!$C:$C,CONFIG_PALLETS!$A:$A,TRIM($B130),CONFIG_PALLETS!$B:$B,$C130&amp;" ml"),IF(SUMIFS(CONFIG_PALLETS!$C:$C,CONFIG_PALLETS!$A:$A,"GERAL",CONFIG_PALLETS!$B:$B,$C130&amp;" ml")&gt;0,SUMIFS(CONFIG_PALLETS!$C:$C,CONFIG_PALLETS!$A:$A,"GERAL",CONFIG_PALLETS!$B:$B,$C130&amp;" ml"),"")))</f>
        <v/>
      </c>
      <c r="G130" s="52" t="str">
        <f t="shared" si="27"/>
        <v/>
      </c>
      <c r="H130" s="53"/>
      <c r="I130" s="54" t="str">
        <f>IF(H130="","",H130*IF(SUMIFS(CONFIG_PALLETS!$D:$D,CONFIG_PALLETS!$A:$A,IF(ISNUMBER(SEARCH("ESPUMA",$B130)),"ESPUMA",IF(OR(ISNUMBER(SEARCH("OLEO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ml")&gt;0,SUMIFS(CONFIG_PALLETS!$D:$D,CONFIG_PALLETS!$A:$A,IF(ISNUMBER(SEARCH("ESPUMA",$B130)),"ESPUMA",IF(OR(ISNUMBER(SEARCH("OLEO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ml"),IF(SUMIFS(CONFIG_PALLETS!$D:$D,CONFIG_PALLETS!$A:$A,"GERAL",CONFIG_PALLETS!$B:$B,$C130&amp;" ml")&gt;0,SUMIFS(CONFIG_PALLETS!$D:$D,CONFIG_PALLETS!$A:$A,"GERAL",CONFIG_PALLETS!$B:$B,$C130&amp;" ml"),12)))</f>
        <v/>
      </c>
      <c r="J130" s="46" t="str">
        <f t="shared" si="24"/>
        <v/>
      </c>
      <c r="L130" s="44" t="str">
        <f t="shared" si="25"/>
        <v/>
      </c>
      <c r="M130" s="57"/>
      <c r="N130" s="45" t="str">
        <f t="shared" si="26"/>
        <v/>
      </c>
    </row>
    <row r="131" spans="1:15" ht="14.25" customHeight="1" x14ac:dyDescent="0.3">
      <c r="B131" s="97"/>
      <c r="C131" s="98"/>
      <c r="D131" s="99"/>
      <c r="E131" s="100"/>
      <c r="G131" s="104"/>
      <c r="H131" s="102"/>
      <c r="I131" s="103"/>
      <c r="J131" s="55" t="str">
        <f t="shared" si="24"/>
        <v/>
      </c>
      <c r="L131" s="56" t="str">
        <f t="shared" si="25"/>
        <v/>
      </c>
      <c r="M131" s="57"/>
      <c r="N131" s="58" t="str">
        <f t="shared" si="26"/>
        <v/>
      </c>
    </row>
    <row r="132" spans="1:15" ht="14.25" customHeight="1" x14ac:dyDescent="0.3">
      <c r="A132" s="38"/>
      <c r="B132" s="76" t="s">
        <v>216</v>
      </c>
      <c r="C132" s="77"/>
      <c r="D132" s="78">
        <f>SUM(D125:D131)</f>
        <v>810</v>
      </c>
      <c r="E132" s="79"/>
      <c r="F132" s="80"/>
      <c r="G132" s="92">
        <f>SUM(G125:G131)</f>
        <v>5</v>
      </c>
      <c r="H132" s="82">
        <f>SUM(H125:H131)</f>
        <v>684</v>
      </c>
      <c r="I132" s="83">
        <f>SUM(I125:I131)</f>
        <v>7026</v>
      </c>
      <c r="J132" s="46">
        <f>SUM(D123:D131)</f>
        <v>987</v>
      </c>
      <c r="K132">
        <f>SUM(G123:G131)</f>
        <v>6</v>
      </c>
      <c r="L132" s="44">
        <f>SUM(H123:H131)</f>
        <v>868</v>
      </c>
      <c r="M132">
        <f>SUM(I123:I131)</f>
        <v>8130</v>
      </c>
      <c r="N132" s="45">
        <f t="shared" si="26"/>
        <v>7026</v>
      </c>
      <c r="O132" s="28">
        <f>SUM(N124:N131)</f>
        <v>8130</v>
      </c>
    </row>
    <row r="133" spans="1:15" ht="14.25" customHeight="1" x14ac:dyDescent="0.3">
      <c r="A133" s="38"/>
      <c r="B133" s="97"/>
      <c r="C133" s="98"/>
      <c r="D133" s="99"/>
      <c r="E133" s="100"/>
      <c r="G133" s="104"/>
      <c r="H133" s="102"/>
      <c r="I133" s="103"/>
      <c r="J133" s="55" t="str">
        <f>IF(D133="","",ROUNDUP(D133/IF(AND(C133="600 ml",ISNUMBER(SEARCH("NORCAU",B133))),95,IF(AND(C133="600 ml",ISNUMBER(SEARCH("APURATOS",B133))),190,IF(C133="600 ml",95,IF(C133="400 ml",125,IF(C133="200 ml",330,IF(C133="180 ml",240,1)))))),0))</f>
        <v/>
      </c>
      <c r="L133" s="56" t="str">
        <f>IF(H133="","",H133)</f>
        <v/>
      </c>
      <c r="N133" s="58" t="str">
        <f t="shared" si="26"/>
        <v/>
      </c>
    </row>
    <row r="134" spans="1:15" ht="14.25" customHeight="1" x14ac:dyDescent="0.3">
      <c r="A134" s="30">
        <v>46048</v>
      </c>
      <c r="B134" s="48" t="s">
        <v>78</v>
      </c>
      <c r="C134" s="49" t="s">
        <v>205</v>
      </c>
      <c r="D134" s="50" t="s">
        <v>206</v>
      </c>
      <c r="E134" s="51" t="s">
        <v>207</v>
      </c>
      <c r="F134" t="s">
        <v>208</v>
      </c>
      <c r="G134" s="96" t="s">
        <v>209</v>
      </c>
      <c r="H134" s="53" t="s">
        <v>210</v>
      </c>
      <c r="I134" s="54" t="s">
        <v>211</v>
      </c>
      <c r="J134" s="46"/>
      <c r="L134" s="44"/>
      <c r="N134" s="45"/>
    </row>
    <row r="135" spans="1:15" ht="14.25" customHeight="1" x14ac:dyDescent="0.3">
      <c r="A135" s="38"/>
      <c r="B135" s="60"/>
      <c r="C135" s="61"/>
      <c r="D135" s="84"/>
      <c r="E135" s="63"/>
      <c r="F135" s="64"/>
      <c r="G135" s="85"/>
      <c r="H135" s="84"/>
      <c r="I135" s="86"/>
      <c r="J135" s="68" t="str">
        <f t="shared" ref="J135:J141" si="28">IF(D135="","",ROUNDUP(D135/IF(AND(C135="600 ml",ISNUMBER(SEARCH("NORCAU",B135))),95,IF(AND(C135="600 ml",ISNUMBER(SEARCH("APURATOS",B135))),190,IF(C135="600 ml",95,IF(C135="400 ml",125,IF(C135="200 ml",330,IF(C135="180 ml",240,1)))))),0))</f>
        <v/>
      </c>
      <c r="K135" s="68"/>
      <c r="L135" s="94" t="str">
        <f t="shared" ref="L135:L141" si="29">IF(H135="","",H135)</f>
        <v/>
      </c>
      <c r="M135" s="68"/>
      <c r="N135" s="95" t="str">
        <f t="shared" ref="N135:N143" si="30">IF(I135="","",I135)</f>
        <v/>
      </c>
    </row>
    <row r="136" spans="1:15" ht="14.25" customHeight="1" x14ac:dyDescent="0.3">
      <c r="B136" s="71"/>
      <c r="C136" s="72"/>
      <c r="E136" t="s">
        <v>214</v>
      </c>
      <c r="F136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t="str">
        <f>IFERROR(ROUNDUP(D136/F136,0),"")</f>
        <v/>
      </c>
      <c r="I136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  <c r="J136" t="str">
        <f t="shared" si="28"/>
        <v/>
      </c>
      <c r="L136" t="str">
        <f t="shared" si="29"/>
        <v/>
      </c>
      <c r="N136" t="str">
        <f t="shared" si="30"/>
        <v/>
      </c>
    </row>
    <row r="137" spans="1:15" ht="19.5" customHeight="1" x14ac:dyDescent="0.3">
      <c r="A137" s="38"/>
      <c r="B137" s="31" t="s">
        <v>229</v>
      </c>
      <c r="C137" s="32">
        <v>180</v>
      </c>
      <c r="D137" s="33">
        <v>720</v>
      </c>
      <c r="E137" s="33" t="s">
        <v>214</v>
      </c>
      <c r="F137" s="34">
        <f>IF($B137="","",IF(SUMIFS(CONFIG_PALLETS!$C:$C,CONFIG_PALLETS!$A:$A,TRIM($B137),CONFIG_PALLETS!$B:$B,$C137&amp;" ml")&gt;0,SUMIFS(CONFIG_PALLETS!$C:$C,CONFIG_PALLETS!$A:$A,TRIM($B137),CONFIG_PALLETS!$B:$B,$C137&amp;" ml"),IF(SUMIFS(CONFIG_PALLETS!$C:$C,CONFIG_PALLETS!$A:$A,"GERAL",CONFIG_PALLETS!$B:$B,$C137&amp;" ml")&gt;0,SUMIFS(CONFIG_PALLETS!$C:$C,CONFIG_PALLETS!$A:$A,"GERAL",CONFIG_PALLETS!$B:$B,$C137&amp;" ml"),"")))</f>
        <v>240</v>
      </c>
      <c r="G137" s="33">
        <f>IFERROR(ROUNDUP(D137/F137,0),"")</f>
        <v>3</v>
      </c>
      <c r="H137" s="33">
        <v>722</v>
      </c>
      <c r="I137" s="35">
        <f>IF(H137="","",H137*IF(SUMIFS(CONFIG_PALLETS!$D:$D,CONFIG_PALLETS!$A:$A,IF(ISNUMBER(SEARCH("ESPUMA",$B137)),"ESPUMA",IF(OR(ISNUMBER(SEARCH("OLEO DE COCO",$B137)),ISNUMBER(SEARCH("ÓLEO DE COCO",$B137)),ISNUMBER(SEARCH("COPRA",$B137))),"ÓLEO DE COCO",IF(ISNUMBER(SEARCH("CORANTE",$B137)),"CORANTE",TRIM($B137)))),CONFIG_PALLETS!$B:$B,$C137&amp;" ml")&gt;0,SUMIFS(CONFIG_PALLETS!$D:$D,CONFIG_PALLETS!$A:$A,IF(ISNUMBER(SEARCH("ESPUMA",$B137)),"ESPUMA",IF(OR(ISNUMBER(SEARCH("OLEO DE COCO",$B137)),ISNUMBER(SEARCH("ÓLEO DE COCO",$B137)),ISNUMBER(SEARCH("COPRA",$B137))),"ÓLEO DE COCO",IF(ISNUMBER(SEARCH("CORANTE",$B137)),"CORANTE",TRIM($B137)))),CONFIG_PALLETS!$B:$B,$C137&amp;" ml"),IF(SUMIFS(CONFIG_PALLETS!$D:$D,CONFIG_PALLETS!$A:$A,"GERAL",CONFIG_PALLETS!$B:$B,$C137&amp;" ml")&gt;0,SUMIFS(CONFIG_PALLETS!$D:$D,CONFIG_PALLETS!$A:$A,"GERAL",CONFIG_PALLETS!$B:$B,$C137&amp;" ml"),12)))</f>
        <v>8664</v>
      </c>
      <c r="J137" s="36">
        <f t="shared" si="28"/>
        <v>720</v>
      </c>
      <c r="K137" s="36"/>
      <c r="L137" s="37">
        <f t="shared" si="29"/>
        <v>722</v>
      </c>
      <c r="M137" s="36"/>
      <c r="N137" s="37">
        <f t="shared" si="30"/>
        <v>8664</v>
      </c>
    </row>
    <row r="138" spans="1:15" ht="14.25" customHeight="1" x14ac:dyDescent="0.3">
      <c r="A138" s="38"/>
      <c r="B138" s="39" t="s">
        <v>230</v>
      </c>
      <c r="C138" s="40">
        <v>210</v>
      </c>
      <c r="D138" s="41">
        <v>233</v>
      </c>
      <c r="E138" s="42" t="s">
        <v>214</v>
      </c>
      <c r="F138" t="str">
        <f>IF($B138="","",IF(SUMIFS(CONFIG_PALLETS!$C:$C,CONFIG_PALLETS!$A:$A,TRIM($B138),CONFIG_PALLETS!$B:$B,$C138&amp;" ml")&gt;0,SUMIFS(CONFIG_PALLETS!$C:$C,CONFIG_PALLETS!$A:$A,TRIM($B138),CONFIG_PALLETS!$B:$B,$C138&amp;" ml"),IF(SUMIFS(CONFIG_PALLETS!$C:$C,CONFIG_PALLETS!$A:$A,"GERAL",CONFIG_PALLETS!$B:$B,$C138&amp;" ml")&gt;0,SUMIFS(CONFIG_PALLETS!$C:$C,CONFIG_PALLETS!$A:$A,"GERAL",CONFIG_PALLETS!$B:$B,$C138&amp;" ml"),"")))</f>
        <v/>
      </c>
      <c r="G138" s="43" t="str">
        <f>IFERROR(ROUNDUP(D138/F138,0),"")</f>
        <v/>
      </c>
      <c r="H138" s="44">
        <v>176.25</v>
      </c>
      <c r="I138" s="45">
        <f>IF(H138="","",H138*IF(SUMIFS(CONFIG_PALLETS!$D:$D,CONFIG_PALLETS!$A:$A,IF(ISNUMBER(SEARCH("ESPUMA",$B138)),"ESPUMA",IF(OR(ISNUMBER(SEARCH("OLEO DE COCO",$B138)),ISNUMBER(SEARCH("ÓLEO DE COCO",$B138)),ISNUMBER(SEARCH("COPRA",$B138))),"ÓLEO DE COCO",IF(ISNUMBER(SEARCH("CORANTE",$B138)),"CORANTE",TRIM($B138)))),CONFIG_PALLETS!$B:$B,$C138&amp;" ml")&gt;0,SUMIFS(CONFIG_PALLETS!$D:$D,CONFIG_PALLETS!$A:$A,IF(ISNUMBER(SEARCH("ESPUMA",$B138)),"ESPUMA",IF(OR(ISNUMBER(SEARCH("OLEO DE COCO",$B138)),ISNUMBER(SEARCH("ÓLEO DE COCO",$B138)),ISNUMBER(SEARCH("COPRA",$B138))),"ÓLEO DE COCO",IF(ISNUMBER(SEARCH("CORANTE",$B138)),"CORANTE",TRIM($B138)))),CONFIG_PALLETS!$B:$B,$C138&amp;" ml"),IF(SUMIFS(CONFIG_PALLETS!$D:$D,CONFIG_PALLETS!$A:$A,"GERAL",CONFIG_PALLETS!$B:$B,$C138&amp;" ml")&gt;0,SUMIFS(CONFIG_PALLETS!$D:$D,CONFIG_PALLETS!$A:$A,"GERAL",CONFIG_PALLETS!$B:$B,$C138&amp;" ml"),12)))</f>
        <v>2115</v>
      </c>
      <c r="J138" s="46">
        <f t="shared" si="28"/>
        <v>233</v>
      </c>
      <c r="L138" s="44">
        <f t="shared" si="29"/>
        <v>176.25</v>
      </c>
      <c r="N138" s="45">
        <f t="shared" si="30"/>
        <v>2115</v>
      </c>
    </row>
    <row r="139" spans="1:15" ht="14.25" customHeight="1" x14ac:dyDescent="0.3">
      <c r="A139" s="47"/>
      <c r="B139" s="48" t="s">
        <v>229</v>
      </c>
      <c r="C139" s="49">
        <v>400</v>
      </c>
      <c r="D139" s="50">
        <v>1000</v>
      </c>
      <c r="E139" s="51" t="s">
        <v>214</v>
      </c>
      <c r="F139">
        <f>IF($B139="","",IF(SUMIFS(CONFIG_PALLETS!$C:$C,CONFIG_PALLETS!$A:$A,TRIM($B139),CONFIG_PALLETS!$B:$B,$C139&amp;" ml")&gt;0,SUMIFS(CONFIG_PALLETS!$C:$C,CONFIG_PALLETS!$A:$A,TRIM($B139),CONFIG_PALLETS!$B:$B,$C139&amp;" ml"),IF(SUMIFS(CONFIG_PALLETS!$C:$C,CONFIG_PALLETS!$A:$A,"GERAL",CONFIG_PALLETS!$B:$B,$C139&amp;" ml")&gt;0,SUMIFS(CONFIG_PALLETS!$C:$C,CONFIG_PALLETS!$A:$A,"GERAL",CONFIG_PALLETS!$B:$B,$C139&amp;" ml"),"")))</f>
        <v>125</v>
      </c>
      <c r="G139" s="52">
        <f>IFERROR(ROUNDUP(D139/F139,0),"")</f>
        <v>8</v>
      </c>
      <c r="H139" s="53">
        <v>346</v>
      </c>
      <c r="I139" s="54">
        <f>IF(H139="","",H139*IF(SUMIFS(CONFIG_PALLETS!$D:$D,CONFIG_PALLETS!$A:$A,IF(ISNUMBER(SEARCH("ESPUMA",$B139)),"ESPUMA",IF(OR(ISNUMBER(SEARCH("OLEO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ml")&gt;0,SUMIFS(CONFIG_PALLETS!$D:$D,CONFIG_PALLETS!$A:$A,IF(ISNUMBER(SEARCH("ESPUMA",$B139)),"ESPUMA",IF(OR(ISNUMBER(SEARCH("OLEO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ml"),IF(SUMIFS(CONFIG_PALLETS!$D:$D,CONFIG_PALLETS!$A:$A,"GERAL",CONFIG_PALLETS!$B:$B,$C139&amp;" ml")&gt;0,SUMIFS(CONFIG_PALLETS!$D:$D,CONFIG_PALLETS!$A:$A,"GERAL",CONFIG_PALLETS!$B:$B,$C139&amp;" ml"),12)))</f>
        <v>4152</v>
      </c>
      <c r="J139" s="55">
        <f t="shared" si="28"/>
        <v>1000</v>
      </c>
      <c r="L139" s="56">
        <f t="shared" si="29"/>
        <v>346</v>
      </c>
      <c r="M139" s="57"/>
      <c r="N139" s="58">
        <f t="shared" si="30"/>
        <v>4152</v>
      </c>
    </row>
    <row r="140" spans="1:15" ht="14.25" customHeight="1" x14ac:dyDescent="0.3">
      <c r="B140" s="39"/>
      <c r="C140" s="40"/>
      <c r="D140" s="41"/>
      <c r="E140" s="42" t="s">
        <v>214</v>
      </c>
      <c r="F140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59" t="str">
        <f>IFERROR(ROUNDUP(D140/F140,0),"")</f>
        <v/>
      </c>
      <c r="H140" s="44"/>
      <c r="I140" s="45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  <c r="J140" s="46" t="str">
        <f t="shared" si="28"/>
        <v/>
      </c>
      <c r="L140" s="44" t="str">
        <f t="shared" si="29"/>
        <v/>
      </c>
      <c r="M140" s="57"/>
      <c r="N140" s="45" t="str">
        <f t="shared" si="30"/>
        <v/>
      </c>
    </row>
    <row r="141" spans="1:15" ht="14.25" customHeight="1" x14ac:dyDescent="0.3">
      <c r="A141" s="38"/>
      <c r="B141" s="48"/>
      <c r="C141" s="49"/>
      <c r="D141" s="50"/>
      <c r="E141" s="51"/>
      <c r="G141" s="52"/>
      <c r="H141" s="53"/>
      <c r="I141" s="54"/>
      <c r="J141" s="55" t="str">
        <f t="shared" si="28"/>
        <v/>
      </c>
      <c r="L141" s="56" t="str">
        <f t="shared" si="29"/>
        <v/>
      </c>
      <c r="N141" s="58" t="str">
        <f t="shared" si="30"/>
        <v/>
      </c>
    </row>
    <row r="142" spans="1:15" ht="14.25" customHeight="1" x14ac:dyDescent="0.3">
      <c r="A142" s="38"/>
      <c r="B142" s="76" t="s">
        <v>216</v>
      </c>
      <c r="C142" s="77"/>
      <c r="D142" s="78">
        <f>SUM(D135:D141)</f>
        <v>1953</v>
      </c>
      <c r="E142" s="79"/>
      <c r="F142" s="80"/>
      <c r="G142" s="92">
        <f>SUM(G135:G141)</f>
        <v>11</v>
      </c>
      <c r="H142" s="82">
        <f>SUM(H135:H141)</f>
        <v>1244.25</v>
      </c>
      <c r="I142" s="83">
        <f>SUM(I135:I141)</f>
        <v>14931</v>
      </c>
      <c r="J142" s="46">
        <f>SUM(D135:D141)</f>
        <v>1953</v>
      </c>
      <c r="K142">
        <f>SUM(G135:G141)</f>
        <v>11</v>
      </c>
      <c r="L142" s="44">
        <f>SUM(H135:H141)</f>
        <v>1244.25</v>
      </c>
      <c r="M142">
        <f>SUM(I135:I141)</f>
        <v>14931</v>
      </c>
      <c r="N142" s="45">
        <f t="shared" si="30"/>
        <v>14931</v>
      </c>
      <c r="O142" s="28">
        <f>SUM(N136:N141)</f>
        <v>14931</v>
      </c>
    </row>
    <row r="143" spans="1:15" ht="14.25" customHeight="1" x14ac:dyDescent="0.3">
      <c r="A143" s="38"/>
      <c r="B143" s="48"/>
      <c r="C143" s="49"/>
      <c r="D143" s="50"/>
      <c r="E143" s="51"/>
      <c r="G143" s="52"/>
      <c r="H143" s="53"/>
      <c r="I143" s="54"/>
      <c r="J143" s="55" t="str">
        <f>IF(D143="","",ROUNDUP(D143/IF(AND(C143="600 ml",ISNUMBER(SEARCH("NORCAU",B143))),95,IF(AND(C143="600 ml",ISNUMBER(SEARCH("APURATOS",B143))),190,IF(C143="600 ml",95,IF(C143="400 ml",125,IF(C143="200 ml",330,IF(C143="180 ml",240,1)))))),0))</f>
        <v/>
      </c>
      <c r="L143" s="56" t="str">
        <f>IF(H143="","",H143)</f>
        <v/>
      </c>
      <c r="N143" s="58" t="str">
        <f t="shared" si="30"/>
        <v/>
      </c>
    </row>
    <row r="144" spans="1:15" ht="14.25" customHeight="1" x14ac:dyDescent="0.3">
      <c r="A144" s="30">
        <v>46049</v>
      </c>
      <c r="B144" s="93" t="s">
        <v>78</v>
      </c>
      <c r="C144" s="98" t="s">
        <v>205</v>
      </c>
      <c r="D144" s="128" t="s">
        <v>206</v>
      </c>
      <c r="E144" s="128" t="s">
        <v>207</v>
      </c>
      <c r="F144" t="s">
        <v>208</v>
      </c>
      <c r="G144" s="106" t="s">
        <v>209</v>
      </c>
      <c r="H144" s="129" t="s">
        <v>210</v>
      </c>
      <c r="I144" s="130" t="s">
        <v>211</v>
      </c>
      <c r="J144" s="131"/>
      <c r="L144" s="129"/>
      <c r="N144" s="130"/>
    </row>
    <row r="145" spans="1:21" ht="14.25" customHeight="1" x14ac:dyDescent="0.3">
      <c r="A145" s="38"/>
      <c r="B145" s="48"/>
      <c r="C145" s="49"/>
      <c r="D145" s="50"/>
      <c r="E145" s="51"/>
      <c r="G145" s="52"/>
      <c r="H145" s="108"/>
      <c r="I145" s="132"/>
      <c r="J145" s="55" t="str">
        <f>IF(D145="","",ROUNDUP(D145/IF(AND(C145="600 ml",ISNUMBER(SEARCH("NORCAU",B145))),95,IF(AND(C145="600 ml",ISNUMBER(SEARCH("APURATOS",B145))),190,IF(C145="600 ml",95,IF(C145="400 ml",125,IF(C145="200 ml",330,IF(C145="180 ml",240,1)))))),0))</f>
        <v/>
      </c>
      <c r="L145" s="57" t="str">
        <f>IF(H145="","",H145)</f>
        <v/>
      </c>
      <c r="N145" s="130" t="str">
        <f t="shared" ref="N145:N151" si="31">IF(I145="","",I145)</f>
        <v/>
      </c>
      <c r="Q145" s="608" t="s">
        <v>231</v>
      </c>
      <c r="R145" s="608"/>
      <c r="S145" s="608"/>
      <c r="T145" s="608"/>
      <c r="U145" s="608"/>
    </row>
    <row r="146" spans="1:21" ht="14.25" customHeight="1" x14ac:dyDescent="0.3">
      <c r="A146" s="38"/>
      <c r="B146" s="93" t="s">
        <v>229</v>
      </c>
      <c r="C146" s="72">
        <v>400</v>
      </c>
      <c r="D146">
        <f>D139-L139</f>
        <v>654</v>
      </c>
      <c r="E146" t="s">
        <v>214</v>
      </c>
      <c r="F146">
        <f>IF($B146="","",IF(SUMIFS(CONFIG_PALLETS!$C:$C,CONFIG_PALLETS!$A:$A,TRIM($B146),CONFIG_PALLETS!$B:$B,$C146&amp;" ml")&gt;0,SUMIFS(CONFIG_PALLETS!$C:$C,CONFIG_PALLETS!$A:$A,TRIM($B146),CONFIG_PALLETS!$B:$B,$C146&amp;" ml"),IF(SUMIFS(CONFIG_PALLETS!$C:$C,CONFIG_PALLETS!$A:$A,"GERAL",CONFIG_PALLETS!$B:$B,$C146&amp;" ml")&gt;0,SUMIFS(CONFIG_PALLETS!$C:$C,CONFIG_PALLETS!$A:$A,"GERAL",CONFIG_PALLETS!$B:$B,$C146&amp;" ml"),"")))</f>
        <v>125</v>
      </c>
      <c r="G146">
        <f>IFERROR(ROUNDUP(D146/F146,0),"")</f>
        <v>6</v>
      </c>
      <c r="H146" s="57">
        <v>654</v>
      </c>
      <c r="I146" s="91">
        <f>IF(H146="","",H146*IF(SUMIFS(CONFIG_PALLETS!$D:$D,CONFIG_PALLETS!$A:$A,IF(ISNUMBER(SEARCH("ESPUMA",$B146)),"ESPUMA",IF(OR(ISNUMBER(SEARCH("OLEO DE COCO",$B146)),ISNUMBER(SEARCH("ÓLEO DE COCO",$B146)),ISNUMBER(SEARCH("COPRA",$B146))),"ÓLEO DE COCO",IF(ISNUMBER(SEARCH("CORANTE",$B146)),"CORANTE",TRIM($B146)))),CONFIG_PALLETS!$B:$B,$C146&amp;" ml")&gt;0,SUMIFS(CONFIG_PALLETS!$D:$D,CONFIG_PALLETS!$A:$A,IF(ISNUMBER(SEARCH("ESPUMA",$B146)),"ESPUMA",IF(OR(ISNUMBER(SEARCH("OLEO DE COCO",$B146)),ISNUMBER(SEARCH("ÓLEO DE COCO",$B146)),ISNUMBER(SEARCH("COPRA",$B146))),"ÓLEO DE COCO",IF(ISNUMBER(SEARCH("CORANTE",$B146)),"CORANTE",TRIM($B146)))),CONFIG_PALLETS!$B:$B,$C146&amp;" ml"),IF(SUMIFS(CONFIG_PALLETS!$D:$D,CONFIG_PALLETS!$A:$A,"GERAL",CONFIG_PALLETS!$B:$B,$C146&amp;" ml")&gt;0,SUMIFS(CONFIG_PALLETS!$D:$D,CONFIG_PALLETS!$A:$A,"GERAL",CONFIG_PALLETS!$B:$B,$C146&amp;" ml"),12)))</f>
        <v>7848</v>
      </c>
      <c r="J146">
        <f>IF(D146="","",ROUNDUP(D146/IF(AND(C146="600 ml",ISNUMBER(SEARCH("NORCAU",B146))),95,IF(AND(C146="600 ml",ISNUMBER(SEARCH("APURATOS",B146))),190,IF(C146="600 ml",95,IF(C146="400 ml",125,IF(C146="200 ml",330,IF(C146="180 ml",240,1)))))),0))</f>
        <v>654</v>
      </c>
      <c r="L146" s="57">
        <f>IF(H146="","",H146)</f>
        <v>654</v>
      </c>
      <c r="N146" s="91">
        <f t="shared" si="31"/>
        <v>7848</v>
      </c>
      <c r="Q146" s="608"/>
      <c r="R146" s="608"/>
      <c r="S146" s="608"/>
      <c r="T146" s="608"/>
      <c r="U146" s="608"/>
    </row>
    <row r="147" spans="1:21" ht="14.25" customHeight="1" x14ac:dyDescent="0.3">
      <c r="B147" s="60"/>
      <c r="C147" s="61"/>
      <c r="D147" s="84"/>
      <c r="E147" s="63" t="s">
        <v>214</v>
      </c>
      <c r="F147" s="64" t="str">
        <f>IF($B147="","",IF(SUMIFS(CONFIG_PALLETS!$C:$C,CONFIG_PALLETS!$A:$A,TRIM($B147),CONFIG_PALLETS!$B:$B,$C147&amp;" ml")&gt;0,SUMIFS(CONFIG_PALLETS!$C:$C,CONFIG_PALLETS!$A:$A,TRIM($B147),CONFIG_PALLETS!$B:$B,$C147&amp;" ml"),IF(SUMIFS(CONFIG_PALLETS!$C:$C,CONFIG_PALLETS!$A:$A,"GERAL",CONFIG_PALLETS!$B:$B,$C147&amp;" ml")&gt;0,SUMIFS(CONFIG_PALLETS!$C:$C,CONFIG_PALLETS!$A:$A,"GERAL",CONFIG_PALLETS!$B:$B,$C147&amp;" ml"),"")))</f>
        <v/>
      </c>
      <c r="G147" s="85" t="str">
        <f>IFERROR(ROUNDUP(D147/F147,0),"")</f>
        <v/>
      </c>
      <c r="H147" s="84"/>
      <c r="I147" s="86" t="str">
        <f>IF(H147="","",H147*IF(SUMIFS(CONFIG_PALLETS!$D:$D,CONFIG_PALLETS!$A:$A,IF(ISNUMBER(SEARCH("ESPUMA",$B147)),"ESPUMA",IF(OR(ISNUMBER(SEARCH("OLEO DE COCO",$B147)),ISNUMBER(SEARCH("ÓLEO DE COCO",$B147)),ISNUMBER(SEARCH("COPRA",$B147))),"ÓLEO DE COCO",IF(ISNUMBER(SEARCH("CORANTE",$B147)),"CORANTE",TRIM($B147)))),CONFIG_PALLETS!$B:$B,$C147&amp;" ml")&gt;0,SUMIFS(CONFIG_PALLETS!$D:$D,CONFIG_PALLETS!$A:$A,IF(ISNUMBER(SEARCH("ESPUMA",$B147)),"ESPUMA",IF(OR(ISNUMBER(SEARCH("OLEO DE COCO",$B147)),ISNUMBER(SEARCH("ÓLEO DE COCO",$B147)),ISNUMBER(SEARCH("COPRA",$B147))),"ÓLEO DE COCO",IF(ISNUMBER(SEARCH("CORANTE",$B147)),"CORANTE",TRIM($B147)))),CONFIG_PALLETS!$B:$B,$C147&amp;" ml"),IF(SUMIFS(CONFIG_PALLETS!$D:$D,CONFIG_PALLETS!$A:$A,"GERAL",CONFIG_PALLETS!$B:$B,$C147&amp;" ml")&gt;0,SUMIFS(CONFIG_PALLETS!$D:$D,CONFIG_PALLETS!$A:$A,"GERAL",CONFIG_PALLETS!$B:$B,$C147&amp;" ml"),12)))</f>
        <v/>
      </c>
      <c r="J147" s="68" t="str">
        <f>IF(D147="","",ROUNDUP(D147/IF(AND(C147="600 ml",ISNUMBER(SEARCH("NORCAU",B147))),95,IF(AND(C147="600 ml",ISNUMBER(SEARCH("APURATOS",B147))),190,IF(C147="600 ml",95,IF(C147="400 ml",125,IF(C147="200 ml",330,IF(C147="180 ml",240,1)))))),0))</f>
        <v/>
      </c>
      <c r="K147" s="68"/>
      <c r="L147" s="94" t="str">
        <f>IF(H147="","",H147)</f>
        <v/>
      </c>
      <c r="M147" s="68"/>
      <c r="N147" s="95" t="str">
        <f t="shared" si="31"/>
        <v/>
      </c>
      <c r="Q147" s="608"/>
      <c r="R147" s="608"/>
      <c r="S147" s="608"/>
      <c r="T147" s="608"/>
      <c r="U147" s="608"/>
    </row>
    <row r="148" spans="1:21" ht="14.25" customHeight="1" x14ac:dyDescent="0.3">
      <c r="B148" s="71"/>
      <c r="C148" s="72"/>
      <c r="E148" t="s">
        <v>214</v>
      </c>
      <c r="F148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t="str">
        <f>IFERROR(ROUNDUP(D148/F148,0),"")</f>
        <v/>
      </c>
      <c r="I148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  <c r="J148" t="str">
        <f>IF(D148="","",ROUNDUP(D148/IF(AND(C148="600 ml",ISNUMBER(SEARCH("NORCAU",B148))),95,IF(AND(C148="600 ml",ISNUMBER(SEARCH("APURATOS",B148))),190,IF(C148="600 ml",95,IF(C148="400 ml",125,IF(C148="200 ml",330,IF(C148="180 ml",240,1)))))),0))</f>
        <v/>
      </c>
      <c r="L148" t="str">
        <f>IF(H148="","",H148)</f>
        <v/>
      </c>
      <c r="N148" t="str">
        <f t="shared" si="31"/>
        <v/>
      </c>
      <c r="Q148" s="608"/>
      <c r="R148" s="608"/>
      <c r="S148" s="608"/>
      <c r="T148" s="608"/>
      <c r="U148" s="608"/>
    </row>
    <row r="149" spans="1:21" ht="19.5" customHeight="1" x14ac:dyDescent="0.3">
      <c r="A149" s="38"/>
      <c r="B149" s="31"/>
      <c r="C149" s="32"/>
      <c r="D149" s="33"/>
      <c r="E149" s="33"/>
      <c r="F149" s="34"/>
      <c r="G149" s="33"/>
      <c r="H149" s="33"/>
      <c r="I149" s="35"/>
      <c r="J149" s="36" t="str">
        <f>IF(D149="","",ROUNDUP(D149/IF(AND(C149="600 ml",ISNUMBER(SEARCH("NORCAU",B149))),95,IF(AND(C149="600 ml",ISNUMBER(SEARCH("APURATOS",B149))),190,IF(C149="600 ml",95,IF(C149="400 ml",125,IF(C149="200 ml",330,IF(C149="180 ml",240,1)))))),0))</f>
        <v/>
      </c>
      <c r="K149" s="36"/>
      <c r="L149" s="37" t="str">
        <f>IF(H149="","",H149)</f>
        <v/>
      </c>
      <c r="M149" s="36"/>
      <c r="N149" s="37" t="str">
        <f t="shared" si="31"/>
        <v/>
      </c>
    </row>
    <row r="150" spans="1:21" ht="14.25" customHeight="1" x14ac:dyDescent="0.3">
      <c r="A150" s="38"/>
      <c r="B150" s="76" t="s">
        <v>216</v>
      </c>
      <c r="C150" s="77"/>
      <c r="D150" s="78">
        <f>SUM(D143:D149)</f>
        <v>654</v>
      </c>
      <c r="E150" s="79"/>
      <c r="F150" s="80"/>
      <c r="G150" s="81">
        <f>SUM(G143:G149)</f>
        <v>6</v>
      </c>
      <c r="H150" s="82">
        <f>SUM(H143:H149)</f>
        <v>654</v>
      </c>
      <c r="I150" s="83">
        <f>SUM(I143:I149)</f>
        <v>7848</v>
      </c>
      <c r="J150" s="46">
        <f>SUM(D145:D149)</f>
        <v>654</v>
      </c>
      <c r="K150">
        <f>SUM(G145:G149)</f>
        <v>6</v>
      </c>
      <c r="L150" s="44">
        <f>SUM(H145:H149)</f>
        <v>654</v>
      </c>
      <c r="M150">
        <f>SUM(I145:I149)</f>
        <v>7848</v>
      </c>
      <c r="N150" s="45">
        <f t="shared" si="31"/>
        <v>7848</v>
      </c>
      <c r="O150" s="28">
        <f>SUM(N146:N149)</f>
        <v>7848</v>
      </c>
    </row>
    <row r="151" spans="1:21" ht="14.25" customHeight="1" x14ac:dyDescent="0.3">
      <c r="A151" s="47"/>
      <c r="B151" s="48"/>
      <c r="C151" s="49"/>
      <c r="D151" s="50"/>
      <c r="E151" s="51"/>
      <c r="G151" s="52"/>
      <c r="H151" s="53"/>
      <c r="I151" s="54"/>
      <c r="J151" s="55" t="str">
        <f>IF(D151="","",ROUNDUP(D151/IF(AND(C151="600 ml",ISNUMBER(SEARCH("NORCAU",B151))),95,IF(AND(C151="600 ml",ISNUMBER(SEARCH("APURATOS",B151))),190,IF(C151="600 ml",95,IF(C151="400 ml",125,IF(C151="200 ml",330,IF(C151="180 ml",240,1)))))),0))</f>
        <v/>
      </c>
      <c r="L151" s="56" t="str">
        <f>IF(H151="","",H151)</f>
        <v/>
      </c>
      <c r="M151" s="57"/>
      <c r="N151" s="58" t="str">
        <f t="shared" si="31"/>
        <v/>
      </c>
    </row>
    <row r="152" spans="1:21" ht="14.25" customHeight="1" x14ac:dyDescent="0.3">
      <c r="A152" s="30">
        <v>46050</v>
      </c>
      <c r="B152" s="39" t="s">
        <v>78</v>
      </c>
      <c r="C152" s="40" t="s">
        <v>205</v>
      </c>
      <c r="D152" s="41" t="s">
        <v>206</v>
      </c>
      <c r="E152" s="42" t="s">
        <v>207</v>
      </c>
      <c r="F152" t="s">
        <v>208</v>
      </c>
      <c r="G152" s="59" t="s">
        <v>209</v>
      </c>
      <c r="H152" s="44" t="s">
        <v>210</v>
      </c>
      <c r="I152" s="45" t="s">
        <v>211</v>
      </c>
      <c r="J152" s="46"/>
      <c r="L152" s="44"/>
      <c r="M152" s="57"/>
      <c r="N152" s="45"/>
    </row>
    <row r="153" spans="1:21" ht="14.25" customHeight="1" x14ac:dyDescent="0.3">
      <c r="A153" s="38"/>
      <c r="B153" s="48"/>
      <c r="C153" s="49"/>
      <c r="D153" s="50"/>
      <c r="E153" s="51"/>
      <c r="G153" s="52"/>
      <c r="H153" s="53"/>
      <c r="I153" s="54"/>
      <c r="J153" s="55" t="str">
        <f t="shared" ref="J153:J160" si="32">IF(D153="","",ROUNDUP(D153/IF(AND(C153="600 ml",ISNUMBER(SEARCH("NORCAU",B153))),95,IF(AND(C153="600 ml",ISNUMBER(SEARCH("APURATOS",B153))),190,IF(C153="600 ml",95,IF(C153="400 ml",125,IF(C153="200 ml",330,IF(C153="180 ml",240,1)))))),0))</f>
        <v/>
      </c>
      <c r="L153" s="56" t="str">
        <f t="shared" ref="L153:L160" si="33">IF(H153="","",H153)</f>
        <v/>
      </c>
      <c r="N153" s="58" t="str">
        <f t="shared" ref="N153:N162" si="34">IF(I153="","",I153)</f>
        <v/>
      </c>
    </row>
    <row r="154" spans="1:21" ht="14.25" customHeight="1" x14ac:dyDescent="0.3">
      <c r="A154" s="38"/>
      <c r="B154" s="39"/>
      <c r="C154" s="40"/>
      <c r="D154" s="41"/>
      <c r="E154" s="42" t="s">
        <v>214</v>
      </c>
      <c r="F154" t="str">
        <f>IF($B154="","",IF(SUMIFS(CONFIG_PALLETS!$C:$C,CONFIG_PALLETS!$A:$A,TRIM($B154),CONFIG_PALLETS!$B:$B,$C154&amp;" ml")&gt;0,SUMIFS(CONFIG_PALLETS!$C:$C,CONFIG_PALLETS!$A:$A,TRIM($B154),CONFIG_PALLETS!$B:$B,$C154&amp;" ml"),IF(SUMIFS(CONFIG_PALLETS!$C:$C,CONFIG_PALLETS!$A:$A,"GERAL",CONFIG_PALLETS!$B:$B,$C154&amp;" ml")&gt;0,SUMIFS(CONFIG_PALLETS!$C:$C,CONFIG_PALLETS!$A:$A,"GERAL",CONFIG_PALLETS!$B:$B,$C154&amp;" ml"),"")))</f>
        <v/>
      </c>
      <c r="G154" s="59" t="str">
        <f t="shared" ref="G154:G159" si="35">IFERROR(ROUNDUP(D154/F154,0),"")</f>
        <v/>
      </c>
      <c r="H154" s="44"/>
      <c r="I154" s="45" t="str">
        <f>IF(H154="","",H154*IF(SUMIFS(CONFIG_PALLETS!$D:$D,CONFIG_PALLETS!$A:$A,IF(ISNUMBER(SEARCH("ESPUMA",$B154)),"ESPUMA",IF(OR(ISNUMBER(SEARCH("OLEO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ml")&gt;0,SUMIFS(CONFIG_PALLETS!$D:$D,CONFIG_PALLETS!$A:$A,IF(ISNUMBER(SEARCH("ESPUMA",$B154)),"ESPUMA",IF(OR(ISNUMBER(SEARCH("OLEO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ml"),IF(SUMIFS(CONFIG_PALLETS!$D:$D,CONFIG_PALLETS!$A:$A,"GERAL",CONFIG_PALLETS!$B:$B,$C154&amp;" ml")&gt;0,SUMIFS(CONFIG_PALLETS!$D:$D,CONFIG_PALLETS!$A:$A,"GERAL",CONFIG_PALLETS!$B:$B,$C154&amp;" ml"),12)))</f>
        <v/>
      </c>
      <c r="J154" s="46" t="str">
        <f t="shared" si="32"/>
        <v/>
      </c>
      <c r="L154" s="44" t="str">
        <f t="shared" si="33"/>
        <v/>
      </c>
      <c r="N154" s="45" t="str">
        <f t="shared" si="34"/>
        <v/>
      </c>
      <c r="Q154" s="608" t="s">
        <v>231</v>
      </c>
      <c r="R154" s="608"/>
      <c r="S154" s="608"/>
      <c r="T154" s="608"/>
      <c r="U154" s="608"/>
    </row>
    <row r="155" spans="1:21" ht="14.25" customHeight="1" x14ac:dyDescent="0.3">
      <c r="A155" s="38"/>
      <c r="B155" s="48"/>
      <c r="C155" s="49"/>
      <c r="D155" s="50"/>
      <c r="E155" s="51" t="s">
        <v>214</v>
      </c>
      <c r="F155" t="str">
        <f>IF($B155="","",IF(SUMIFS(CONFIG_PALLETS!$C:$C,CONFIG_PALLETS!$A:$A,TRIM($B155),CONFIG_PALLETS!$B:$B,$C155&amp;" ml")&gt;0,SUMIFS(CONFIG_PALLETS!$C:$C,CONFIG_PALLETS!$A:$A,TRIM($B155),CONFIG_PALLETS!$B:$B,$C155&amp;" ml"),IF(SUMIFS(CONFIG_PALLETS!$C:$C,CONFIG_PALLETS!$A:$A,"GERAL",CONFIG_PALLETS!$B:$B,$C155&amp;" ml")&gt;0,SUMIFS(CONFIG_PALLETS!$C:$C,CONFIG_PALLETS!$A:$A,"GERAL",CONFIG_PALLETS!$B:$B,$C155&amp;" ml"),"")))</f>
        <v/>
      </c>
      <c r="G155" s="96" t="str">
        <f t="shared" si="35"/>
        <v/>
      </c>
      <c r="H155" s="53"/>
      <c r="I155" s="54" t="str">
        <f>IF(H155="","",H155*IF(SUMIFS(CONFIG_PALLETS!$D:$D,CONFIG_PALLETS!$A:$A,IF(ISNUMBER(SEARCH("ESPUMA",$B155)),"ESPUMA",IF(OR(ISNUMBER(SEARCH("OLEO DE COCO",$B155)),ISNUMBER(SEARCH("ÓLEO DE COCO",$B155)),ISNUMBER(SEARCH("COPRA",$B155))),"ÓLEO DE COCO",IF(ISNUMBER(SEARCH("CORANTE",$B155)),"CORANTE",TRIM($B155)))),CONFIG_PALLETS!$B:$B,$C155&amp;" ml")&gt;0,SUMIFS(CONFIG_PALLETS!$D:$D,CONFIG_PALLETS!$A:$A,IF(ISNUMBER(SEARCH("ESPUMA",$B155)),"ESPUMA",IF(OR(ISNUMBER(SEARCH("OLEO DE COCO",$B155)),ISNUMBER(SEARCH("ÓLEO DE COCO",$B155)),ISNUMBER(SEARCH("COPRA",$B155))),"ÓLEO DE COCO",IF(ISNUMBER(SEARCH("CORANTE",$B155)),"CORANTE",TRIM($B155)))),CONFIG_PALLETS!$B:$B,$C155&amp;" ml"),IF(SUMIFS(CONFIG_PALLETS!$D:$D,CONFIG_PALLETS!$A:$A,"GERAL",CONFIG_PALLETS!$B:$B,$C155&amp;" ml")&gt;0,SUMIFS(CONFIG_PALLETS!$D:$D,CONFIG_PALLETS!$A:$A,"GERAL",CONFIG_PALLETS!$B:$B,$C155&amp;" ml"),12)))</f>
        <v/>
      </c>
      <c r="J155" s="55" t="str">
        <f t="shared" si="32"/>
        <v/>
      </c>
      <c r="L155" s="56" t="str">
        <f t="shared" si="33"/>
        <v/>
      </c>
      <c r="N155" s="58" t="str">
        <f t="shared" si="34"/>
        <v/>
      </c>
      <c r="Q155" s="608"/>
      <c r="R155" s="608"/>
      <c r="S155" s="608"/>
      <c r="T155" s="608"/>
      <c r="U155" s="608"/>
    </row>
    <row r="156" spans="1:21" ht="14.25" customHeight="1" x14ac:dyDescent="0.3">
      <c r="A156" s="38"/>
      <c r="B156" s="60"/>
      <c r="C156" s="61"/>
      <c r="D156" s="84"/>
      <c r="E156" s="63" t="s">
        <v>214</v>
      </c>
      <c r="F156" s="64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85" t="str">
        <f t="shared" si="35"/>
        <v/>
      </c>
      <c r="H156" s="84"/>
      <c r="I156" s="86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  <c r="J156" s="68" t="str">
        <f t="shared" si="32"/>
        <v/>
      </c>
      <c r="K156" s="68"/>
      <c r="L156" s="94" t="str">
        <f t="shared" si="33"/>
        <v/>
      </c>
      <c r="M156" s="68"/>
      <c r="N156" s="95" t="str">
        <f t="shared" si="34"/>
        <v/>
      </c>
      <c r="Q156" s="608"/>
      <c r="R156" s="608"/>
      <c r="S156" s="608"/>
      <c r="T156" s="608"/>
      <c r="U156" s="608"/>
    </row>
    <row r="157" spans="1:21" ht="14.25" customHeight="1" x14ac:dyDescent="0.3">
      <c r="B157" s="71"/>
      <c r="C157" s="72"/>
      <c r="E157" t="s">
        <v>214</v>
      </c>
      <c r="F157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t="str">
        <f t="shared" si="35"/>
        <v/>
      </c>
      <c r="I157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  <c r="J157" t="str">
        <f t="shared" si="32"/>
        <v/>
      </c>
      <c r="L157" t="str">
        <f t="shared" si="33"/>
        <v/>
      </c>
      <c r="N157" t="str">
        <f t="shared" si="34"/>
        <v/>
      </c>
      <c r="Q157" s="608"/>
      <c r="R157" s="608"/>
      <c r="S157" s="608"/>
      <c r="T157" s="608"/>
      <c r="U157" s="608"/>
    </row>
    <row r="158" spans="1:21" ht="19.5" customHeight="1" x14ac:dyDescent="0.3">
      <c r="A158" s="38"/>
      <c r="B158" s="31"/>
      <c r="C158" s="32"/>
      <c r="D158" s="33"/>
      <c r="E158" s="33" t="s">
        <v>214</v>
      </c>
      <c r="F158" s="34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33" t="str">
        <f t="shared" si="35"/>
        <v/>
      </c>
      <c r="H158" s="33"/>
      <c r="I158" s="35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  <c r="J158" s="36" t="str">
        <f t="shared" si="32"/>
        <v/>
      </c>
      <c r="K158" s="36"/>
      <c r="L158" s="37" t="str">
        <f t="shared" si="33"/>
        <v/>
      </c>
      <c r="M158" s="36"/>
      <c r="N158" s="37" t="str">
        <f t="shared" si="34"/>
        <v/>
      </c>
    </row>
    <row r="159" spans="1:21" ht="14.25" customHeight="1" x14ac:dyDescent="0.3">
      <c r="A159" s="38"/>
      <c r="B159" s="97"/>
      <c r="C159" s="98"/>
      <c r="D159" s="99"/>
      <c r="E159" s="100" t="s">
        <v>214</v>
      </c>
      <c r="F159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101" t="str">
        <f t="shared" si="35"/>
        <v/>
      </c>
      <c r="H159" s="102"/>
      <c r="I159" s="103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  <c r="J159" s="55" t="str">
        <f t="shared" si="32"/>
        <v/>
      </c>
      <c r="L159" s="56" t="str">
        <f t="shared" si="33"/>
        <v/>
      </c>
      <c r="N159" s="58" t="str">
        <f t="shared" si="34"/>
        <v/>
      </c>
    </row>
    <row r="160" spans="1:21" ht="14.25" customHeight="1" x14ac:dyDescent="0.3">
      <c r="A160" s="47"/>
      <c r="B160" s="48"/>
      <c r="C160" s="49"/>
      <c r="D160" s="50"/>
      <c r="E160" s="51"/>
      <c r="G160" s="52"/>
      <c r="H160" s="53"/>
      <c r="I160" s="54"/>
      <c r="J160" s="46" t="str">
        <f t="shared" si="32"/>
        <v/>
      </c>
      <c r="L160" s="44" t="str">
        <f t="shared" si="33"/>
        <v/>
      </c>
      <c r="M160" s="57"/>
      <c r="N160" s="45" t="str">
        <f t="shared" si="34"/>
        <v/>
      </c>
    </row>
    <row r="161" spans="1:21" ht="14.25" customHeight="1" x14ac:dyDescent="0.3">
      <c r="B161" s="76" t="s">
        <v>216</v>
      </c>
      <c r="C161" s="77"/>
      <c r="D161" s="78">
        <f>SUM(D154:D160)</f>
        <v>0</v>
      </c>
      <c r="E161" s="79"/>
      <c r="F161" s="80"/>
      <c r="G161" s="92">
        <f>SUM(G154:G160)</f>
        <v>0</v>
      </c>
      <c r="H161" s="82">
        <f>SUM(H154:H160)</f>
        <v>0</v>
      </c>
      <c r="I161" s="83">
        <f>SUM(I154:I160)</f>
        <v>0</v>
      </c>
      <c r="J161" s="55">
        <f>SUM(D153:D160)</f>
        <v>0</v>
      </c>
      <c r="K161">
        <f>SUM(G153:G160)</f>
        <v>0</v>
      </c>
      <c r="L161" s="56">
        <f>SUM(H153:H160)</f>
        <v>0</v>
      </c>
      <c r="M161" s="57">
        <f>SUM(I153:I160)</f>
        <v>0</v>
      </c>
      <c r="N161" s="58">
        <f t="shared" si="34"/>
        <v>0</v>
      </c>
      <c r="O161" s="28">
        <f>SUM(N154:N160)</f>
        <v>0</v>
      </c>
    </row>
    <row r="162" spans="1:21" ht="14.25" customHeight="1" x14ac:dyDescent="0.3">
      <c r="A162" s="38"/>
      <c r="B162" s="39"/>
      <c r="C162" s="40"/>
      <c r="D162" s="41"/>
      <c r="E162" s="42"/>
      <c r="G162" s="59"/>
      <c r="H162" s="44"/>
      <c r="I162" s="45"/>
      <c r="J162" s="46" t="str">
        <f>IF(D162="","",ROUNDUP(D162/IF(AND(C162="600 ml",ISNUMBER(SEARCH("NORCAU",B162))),95,IF(AND(C162="600 ml",ISNUMBER(SEARCH("APURATOS",B162))),190,IF(C162="600 ml",95,IF(C162="400 ml",125,IF(C162="200 ml",330,IF(C162="180 ml",240,1)))))),0))</f>
        <v/>
      </c>
      <c r="L162" s="44" t="str">
        <f>IF(H162="","",H162)</f>
        <v/>
      </c>
      <c r="N162" s="45" t="str">
        <f t="shared" si="34"/>
        <v/>
      </c>
    </row>
    <row r="163" spans="1:21" ht="14.25" customHeight="1" x14ac:dyDescent="0.3">
      <c r="A163" s="30">
        <v>46051</v>
      </c>
      <c r="B163" s="48" t="s">
        <v>78</v>
      </c>
      <c r="C163" s="49" t="s">
        <v>205</v>
      </c>
      <c r="D163" s="50" t="s">
        <v>206</v>
      </c>
      <c r="E163" s="51" t="s">
        <v>207</v>
      </c>
      <c r="F163" t="s">
        <v>208</v>
      </c>
      <c r="G163" s="96" t="s">
        <v>209</v>
      </c>
      <c r="H163" s="53" t="s">
        <v>210</v>
      </c>
      <c r="I163" s="54" t="s">
        <v>211</v>
      </c>
      <c r="J163" s="55"/>
      <c r="L163" s="56"/>
      <c r="N163" s="58"/>
    </row>
    <row r="164" spans="1:21" ht="14.25" customHeight="1" x14ac:dyDescent="0.3">
      <c r="A164" s="38"/>
      <c r="B164" s="60"/>
      <c r="C164" s="61"/>
      <c r="D164" s="84"/>
      <c r="E164" s="63" t="s">
        <v>214</v>
      </c>
      <c r="F164" s="64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85" t="str">
        <f>IFERROR(ROUNDUP(D164/F164,0),"")</f>
        <v/>
      </c>
      <c r="H164" s="84"/>
      <c r="I164" s="86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  <c r="J164" s="125" t="str">
        <f>IF(D164="","",ROUNDUP(D164/IF(AND(C164="600 ml",ISNUMBER(SEARCH("NORCAU",B164))),95,IF(AND(C164="600 ml",ISNUMBER(SEARCH("APURATOS",B164))),190,IF(C164="600 ml",95,IF(C164="400 ml",125,IF(C164="200 ml",330,IF(C164="180 ml",240,1)))))),0))</f>
        <v/>
      </c>
      <c r="K164" s="68"/>
      <c r="L164" s="126" t="str">
        <f>IF(H164="","",H164)</f>
        <v/>
      </c>
      <c r="M164" s="68"/>
      <c r="N164" s="127" t="str">
        <f t="shared" ref="N164:N170" si="36">IF(I164="","",I164)</f>
        <v/>
      </c>
    </row>
    <row r="165" spans="1:21" ht="14.25" customHeight="1" x14ac:dyDescent="0.3">
      <c r="B165" s="71" t="s">
        <v>232</v>
      </c>
      <c r="C165" s="72">
        <v>400</v>
      </c>
      <c r="D165">
        <v>100</v>
      </c>
      <c r="E165" t="s">
        <v>214</v>
      </c>
      <c r="F165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>125</v>
      </c>
      <c r="G165">
        <f>IFERROR(ROUNDUP(D165/F165,0),"")</f>
        <v>1</v>
      </c>
      <c r="H165">
        <v>101</v>
      </c>
      <c r="I165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>1212</v>
      </c>
      <c r="J165">
        <f>IF(D165="","",ROUNDUP(D165/IF(AND(C165="600 ml",ISNUMBER(SEARCH("NORCAU",B165))),95,IF(AND(C165="600 ml",ISNUMBER(SEARCH("APURATOS",B165))),190,IF(C165="600 ml",95,IF(C165="400 ml",125,IF(C165="200 ml",330,IF(C165="180 ml",240,1)))))),0))</f>
        <v>100</v>
      </c>
      <c r="L165">
        <f>IF(H165="","",H165)</f>
        <v>101</v>
      </c>
      <c r="N165">
        <f t="shared" si="36"/>
        <v>1212</v>
      </c>
      <c r="T165" s="133"/>
      <c r="U165" s="133"/>
    </row>
    <row r="166" spans="1:21" ht="14.25" customHeight="1" x14ac:dyDescent="0.3">
      <c r="A166" s="38"/>
      <c r="B166" s="87" t="s">
        <v>60</v>
      </c>
      <c r="C166" s="88">
        <v>600</v>
      </c>
      <c r="D166" s="36">
        <v>665</v>
      </c>
      <c r="E166" s="36" t="s">
        <v>214</v>
      </c>
      <c r="F166" s="34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>95</v>
      </c>
      <c r="G166" s="36">
        <f>IFERROR(ROUNDUP(D166/F166,0),"")</f>
        <v>7</v>
      </c>
      <c r="H166" s="134">
        <v>665</v>
      </c>
      <c r="I166" s="89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>7980</v>
      </c>
      <c r="J166" s="34">
        <f>IF(D166="","",ROUNDUP(D166/IF(AND(C166="600 ml",ISNUMBER(SEARCH("NORCAU",B166))),95,IF(AND(C166="600 ml",ISNUMBER(SEARCH("APURATOS",B166))),190,IF(C166="600 ml",95,IF(C166="400 ml",125,IF(C166="200 ml",330,IF(C166="180 ml",240,1)))))),0))</f>
        <v>665</v>
      </c>
      <c r="K166" s="36"/>
      <c r="L166" s="134">
        <f>IF(H166="","",H166)</f>
        <v>665</v>
      </c>
      <c r="M166" s="36"/>
      <c r="N166" s="89">
        <f t="shared" si="36"/>
        <v>7980</v>
      </c>
      <c r="T166" s="133"/>
      <c r="U166" s="133"/>
    </row>
    <row r="167" spans="1:21" ht="14.25" customHeight="1" x14ac:dyDescent="0.3">
      <c r="A167" s="38"/>
      <c r="B167" s="93" t="s">
        <v>60</v>
      </c>
      <c r="C167" s="72">
        <v>600</v>
      </c>
      <c r="D167">
        <v>665</v>
      </c>
      <c r="E167" t="s">
        <v>214</v>
      </c>
      <c r="F167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>95</v>
      </c>
      <c r="G167" s="135">
        <f>IFERROR(ROUNDUP(D167/F167,0),"")</f>
        <v>7</v>
      </c>
      <c r="H167" s="57">
        <v>256</v>
      </c>
      <c r="I167" s="91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>3072</v>
      </c>
      <c r="J167">
        <f>IF(D167="","",ROUNDUP(D167/IF(AND(C167="600 ml",ISNUMBER(SEARCH("NORCAU",B167))),95,IF(AND(C167="600 ml",ISNUMBER(SEARCH("APURATOS",B167))),190,IF(C167="600 ml",95,IF(C167="400 ml",125,IF(C167="200 ml",330,IF(C167="180 ml",240,1)))))),0))</f>
        <v>665</v>
      </c>
      <c r="L167" s="57">
        <f>IF(H167="","",H167)</f>
        <v>256</v>
      </c>
      <c r="N167" s="91">
        <f t="shared" si="36"/>
        <v>3072</v>
      </c>
      <c r="T167" s="133"/>
      <c r="U167" s="133"/>
    </row>
    <row r="168" spans="1:21" ht="14.25" customHeight="1" x14ac:dyDescent="0.3">
      <c r="A168" s="38"/>
      <c r="B168" s="93"/>
      <c r="C168" s="72"/>
      <c r="E168" t="s">
        <v>214</v>
      </c>
      <c r="F168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t="str">
        <f>IFERROR(ROUNDUP(D168/F168,0),"")</f>
        <v/>
      </c>
      <c r="H168" s="57"/>
      <c r="I168" s="91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  <c r="J168" t="str">
        <f>IF(D168="","",ROUNDUP(D168/IF(AND(C168="600 ml",ISNUMBER(SEARCH("NORCAU",B168))),95,IF(AND(C168="600 ml",ISNUMBER(SEARCH("APURATOS",B168))),190,IF(C168="600 ml",95,IF(C168="400 ml",125,IF(C168="200 ml",330,IF(C168="180 ml",240,1)))))),0))</f>
        <v/>
      </c>
      <c r="L168" s="57" t="str">
        <f>IF(H168="","",H168)</f>
        <v/>
      </c>
      <c r="M168" s="57"/>
      <c r="N168" s="91" t="str">
        <f t="shared" si="36"/>
        <v/>
      </c>
      <c r="T168" s="133"/>
      <c r="U168" s="133"/>
    </row>
    <row r="169" spans="1:21" ht="14.25" customHeight="1" x14ac:dyDescent="0.3">
      <c r="A169" s="38"/>
      <c r="B169" s="76" t="s">
        <v>216</v>
      </c>
      <c r="C169" s="122"/>
      <c r="D169" s="123">
        <f>SUM(D162:D168)</f>
        <v>1430</v>
      </c>
      <c r="E169" s="80"/>
      <c r="F169" s="80"/>
      <c r="G169" s="123">
        <f>SUM(G162:G168)</f>
        <v>15</v>
      </c>
      <c r="H169" s="136">
        <f>SUM(H162:H168)</f>
        <v>1022</v>
      </c>
      <c r="I169" s="137">
        <f>SUM(I162:I168)</f>
        <v>12264</v>
      </c>
      <c r="J169">
        <f>SUM(D164:D168)</f>
        <v>1430</v>
      </c>
      <c r="K169">
        <f>SUM(G164:G168)</f>
        <v>15</v>
      </c>
      <c r="L169" s="57">
        <f>SUM(H164:H168)</f>
        <v>1022</v>
      </c>
      <c r="M169" s="57">
        <f>SUM(I164:I168)</f>
        <v>12264</v>
      </c>
      <c r="N169" s="91">
        <f t="shared" si="36"/>
        <v>12264</v>
      </c>
      <c r="O169" s="28">
        <f>SUM(N165:N168)</f>
        <v>12264</v>
      </c>
    </row>
    <row r="170" spans="1:21" ht="14.25" customHeight="1" x14ac:dyDescent="0.3">
      <c r="A170" s="38"/>
      <c r="B170" s="93"/>
      <c r="C170" s="72"/>
      <c r="H170" s="57"/>
      <c r="I170" s="91"/>
      <c r="J170" t="str">
        <f>IF(D170="","",ROUNDUP(D170/IF(AND(C170="600 ml",ISNUMBER(SEARCH("NORCAU",B170))),95,IF(AND(C170="600 ml",ISNUMBER(SEARCH("APURATOS",B170))),190,IF(C170="600 ml",95,IF(C170="400 ml",125,IF(C170="200 ml",330,IF(C170="180 ml",240,1)))))),0))</f>
        <v/>
      </c>
      <c r="L170" s="57" t="str">
        <f>IF(H170="","",H170)</f>
        <v/>
      </c>
      <c r="N170" s="91" t="str">
        <f t="shared" si="36"/>
        <v/>
      </c>
    </row>
    <row r="171" spans="1:21" ht="14.25" customHeight="1" x14ac:dyDescent="0.3">
      <c r="A171" s="30">
        <v>46052</v>
      </c>
      <c r="B171" s="93" t="s">
        <v>78</v>
      </c>
      <c r="C171" s="72" t="s">
        <v>205</v>
      </c>
      <c r="D171" t="s">
        <v>206</v>
      </c>
      <c r="E171" t="s">
        <v>207</v>
      </c>
      <c r="F171" t="s">
        <v>208</v>
      </c>
      <c r="G171" t="s">
        <v>209</v>
      </c>
      <c r="H171" s="57" t="s">
        <v>210</v>
      </c>
      <c r="I171" s="91" t="s">
        <v>211</v>
      </c>
      <c r="L171" s="57"/>
      <c r="N171" s="91"/>
    </row>
    <row r="172" spans="1:21" ht="14.25" customHeight="1" x14ac:dyDescent="0.3">
      <c r="A172" s="38"/>
      <c r="B172" s="138"/>
      <c r="C172" s="139"/>
      <c r="D172" s="68"/>
      <c r="E172" s="68"/>
      <c r="F172" s="68"/>
      <c r="G172" s="68"/>
      <c r="H172" s="140"/>
      <c r="I172" s="75"/>
      <c r="J172" s="68" t="str">
        <f t="shared" ref="J172:J197" si="37">IF(D172="","",ROUNDUP(D172/IF(AND(C172="600 ml",ISNUMBER(SEARCH("NORCAU",B172))),95,IF(AND(C172="600 ml",ISNUMBER(SEARCH("APURATOS",B172))),190,IF(C172="600 ml",95,IF(C172="400 ml",125,IF(C172="200 ml",330,IF(C172="180 ml",240,1)))))),0))</f>
        <v/>
      </c>
      <c r="K172" s="68"/>
      <c r="L172" s="140" t="str">
        <f t="shared" ref="L172:L197" si="38">IF(H172="","",H172)</f>
        <v/>
      </c>
      <c r="M172" s="68"/>
      <c r="N172" s="75" t="str">
        <f t="shared" ref="N172:N199" si="39">IF(I172="","",I172)</f>
        <v/>
      </c>
    </row>
    <row r="173" spans="1:21" ht="14.25" customHeight="1" x14ac:dyDescent="0.3">
      <c r="B173" s="71" t="s">
        <v>60</v>
      </c>
      <c r="C173" s="72">
        <v>600</v>
      </c>
      <c r="D173">
        <f>D167-L167</f>
        <v>409</v>
      </c>
      <c r="E173" t="s">
        <v>214</v>
      </c>
      <c r="F173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>95</v>
      </c>
      <c r="G173">
        <f>IFERROR(ROUNDUP(D173/F173,0),"")</f>
        <v>5</v>
      </c>
      <c r="H173">
        <v>424</v>
      </c>
      <c r="I173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>5088</v>
      </c>
      <c r="J173">
        <f t="shared" si="37"/>
        <v>409</v>
      </c>
      <c r="L173">
        <f t="shared" si="38"/>
        <v>424</v>
      </c>
      <c r="N173">
        <f t="shared" si="39"/>
        <v>5088</v>
      </c>
    </row>
    <row r="174" spans="1:21" ht="14.25" customHeight="1" x14ac:dyDescent="0.3">
      <c r="A174" s="38"/>
      <c r="B174" s="87" t="s">
        <v>66</v>
      </c>
      <c r="C174" s="88">
        <v>600</v>
      </c>
      <c r="D174" s="36">
        <v>768</v>
      </c>
      <c r="E174" s="36" t="s">
        <v>214</v>
      </c>
      <c r="F174" s="34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>95</v>
      </c>
      <c r="G174" s="36">
        <f>IFERROR(ROUNDUP(D174/F174,0),"")</f>
        <v>9</v>
      </c>
      <c r="H174" s="134">
        <v>330</v>
      </c>
      <c r="I174" s="89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>3960</v>
      </c>
      <c r="J174" s="34">
        <f t="shared" si="37"/>
        <v>768</v>
      </c>
      <c r="K174" s="36"/>
      <c r="L174" s="134">
        <f t="shared" si="38"/>
        <v>330</v>
      </c>
      <c r="M174" s="36"/>
      <c r="N174" s="89">
        <f t="shared" si="39"/>
        <v>3960</v>
      </c>
    </row>
    <row r="175" spans="1:21" ht="14.25" customHeight="1" x14ac:dyDescent="0.3">
      <c r="A175" s="38"/>
      <c r="B175" s="93"/>
      <c r="C175" s="72"/>
      <c r="E175" t="s">
        <v>214</v>
      </c>
      <c r="F175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135" t="str">
        <f>IFERROR(ROUNDUP(D175/F175,0),"")</f>
        <v/>
      </c>
      <c r="H175" s="57"/>
      <c r="I175" s="91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  <c r="J175" t="str">
        <f t="shared" si="37"/>
        <v/>
      </c>
      <c r="L175" s="57" t="str">
        <f t="shared" si="38"/>
        <v/>
      </c>
      <c r="N175" s="91" t="str">
        <f t="shared" si="39"/>
        <v/>
      </c>
    </row>
    <row r="176" spans="1:21" ht="14.25" customHeight="1" x14ac:dyDescent="0.3">
      <c r="A176" s="38"/>
      <c r="B176" s="93"/>
      <c r="C176" s="72"/>
      <c r="E176" t="s">
        <v>214</v>
      </c>
      <c r="F176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t="str">
        <f>IFERROR(ROUNDUP(D176/F176,0),"")</f>
        <v/>
      </c>
      <c r="H176" s="57"/>
      <c r="I176" s="91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  <c r="J176" t="str">
        <f t="shared" si="37"/>
        <v/>
      </c>
      <c r="L176" s="57" t="str">
        <f t="shared" si="38"/>
        <v/>
      </c>
      <c r="M176" s="57"/>
      <c r="N176" s="91" t="str">
        <f t="shared" si="39"/>
        <v/>
      </c>
    </row>
    <row r="177" spans="1:15" ht="14.25" customHeight="1" x14ac:dyDescent="0.3">
      <c r="A177" s="38"/>
      <c r="B177" s="93"/>
      <c r="C177" s="72"/>
      <c r="H177" s="57"/>
      <c r="I177" s="91"/>
      <c r="J177" t="str">
        <f t="shared" si="37"/>
        <v/>
      </c>
      <c r="L177" s="57" t="str">
        <f t="shared" si="38"/>
        <v/>
      </c>
      <c r="M177" s="57"/>
      <c r="N177" s="91" t="str">
        <f t="shared" si="39"/>
        <v/>
      </c>
    </row>
    <row r="178" spans="1:15" ht="14.25" customHeight="1" x14ac:dyDescent="0.3">
      <c r="A178" s="38"/>
      <c r="B178" s="93"/>
      <c r="C178" s="72"/>
      <c r="H178" s="57"/>
      <c r="I178" s="91"/>
      <c r="J178" t="str">
        <f t="shared" si="37"/>
        <v/>
      </c>
      <c r="L178" s="57" t="str">
        <f t="shared" si="38"/>
        <v/>
      </c>
      <c r="N178" s="91" t="str">
        <f t="shared" si="39"/>
        <v/>
      </c>
      <c r="O178" s="28">
        <f>SUM(N173:N177)</f>
        <v>9048</v>
      </c>
    </row>
    <row r="179" spans="1:15" ht="14.25" customHeight="1" x14ac:dyDescent="0.3">
      <c r="A179" s="38"/>
      <c r="B179" s="93"/>
      <c r="C179" s="72"/>
      <c r="H179" s="57"/>
      <c r="I179" s="91"/>
      <c r="J179" t="str">
        <f t="shared" si="37"/>
        <v/>
      </c>
      <c r="L179" s="57" t="str">
        <f t="shared" si="38"/>
        <v/>
      </c>
      <c r="N179" s="91" t="str">
        <f t="shared" si="39"/>
        <v/>
      </c>
    </row>
    <row r="180" spans="1:15" ht="14.25" customHeight="1" x14ac:dyDescent="0.3">
      <c r="A180" s="38"/>
      <c r="B180" s="138"/>
      <c r="C180" s="139"/>
      <c r="D180" s="68"/>
      <c r="E180" s="68"/>
      <c r="F180" s="68"/>
      <c r="G180" s="68"/>
      <c r="H180" s="140"/>
      <c r="I180" s="75"/>
      <c r="J180" s="68" t="str">
        <f t="shared" si="37"/>
        <v/>
      </c>
      <c r="K180" s="68"/>
      <c r="L180" s="140" t="str">
        <f t="shared" si="38"/>
        <v/>
      </c>
      <c r="M180" s="68"/>
      <c r="N180" s="75" t="str">
        <f t="shared" si="39"/>
        <v/>
      </c>
    </row>
    <row r="181" spans="1:15" ht="14.25" customHeight="1" x14ac:dyDescent="0.3">
      <c r="B181" s="71"/>
      <c r="C181" s="72"/>
      <c r="J181" t="str">
        <f t="shared" si="37"/>
        <v/>
      </c>
      <c r="L181" t="str">
        <f t="shared" si="38"/>
        <v/>
      </c>
      <c r="N181" t="str">
        <f t="shared" si="39"/>
        <v/>
      </c>
      <c r="O181" s="28">
        <f>SUM(O1:O179)</f>
        <v>168573</v>
      </c>
    </row>
    <row r="182" spans="1:15" ht="14.25" customHeight="1" x14ac:dyDescent="0.3">
      <c r="B182" s="71"/>
      <c r="C182" s="72"/>
      <c r="J182" t="str">
        <f t="shared" si="37"/>
        <v/>
      </c>
      <c r="L182" t="str">
        <f t="shared" si="38"/>
        <v/>
      </c>
      <c r="N182" t="str">
        <f t="shared" si="39"/>
        <v/>
      </c>
    </row>
    <row r="183" spans="1:15" ht="15" customHeight="1" x14ac:dyDescent="0.3">
      <c r="C183" s="72"/>
      <c r="J183" t="str">
        <f t="shared" si="37"/>
        <v/>
      </c>
      <c r="L183" t="str">
        <f t="shared" si="38"/>
        <v/>
      </c>
      <c r="N183" t="str">
        <f t="shared" si="39"/>
        <v/>
      </c>
    </row>
    <row r="184" spans="1:15" ht="15" customHeight="1" x14ac:dyDescent="0.3">
      <c r="C184" s="72"/>
      <c r="J184" t="str">
        <f t="shared" si="37"/>
        <v/>
      </c>
      <c r="L184" t="str">
        <f t="shared" si="38"/>
        <v/>
      </c>
      <c r="N184" t="str">
        <f t="shared" si="39"/>
        <v/>
      </c>
    </row>
    <row r="185" spans="1:15" ht="15" customHeight="1" x14ac:dyDescent="0.3">
      <c r="C185" s="72"/>
      <c r="J185" t="str">
        <f t="shared" si="37"/>
        <v/>
      </c>
      <c r="L185" t="str">
        <f t="shared" si="38"/>
        <v/>
      </c>
      <c r="N185" t="str">
        <f t="shared" si="39"/>
        <v/>
      </c>
    </row>
    <row r="186" spans="1:15" ht="15" customHeight="1" x14ac:dyDescent="0.3">
      <c r="C186" s="72"/>
      <c r="J186" t="str">
        <f t="shared" si="37"/>
        <v/>
      </c>
      <c r="L186" t="str">
        <f t="shared" si="38"/>
        <v/>
      </c>
      <c r="N186" t="str">
        <f t="shared" si="39"/>
        <v/>
      </c>
    </row>
    <row r="187" spans="1:15" ht="15" customHeight="1" x14ac:dyDescent="0.3">
      <c r="C187" s="72"/>
      <c r="J187" t="str">
        <f t="shared" si="37"/>
        <v/>
      </c>
      <c r="L187" t="str">
        <f t="shared" si="38"/>
        <v/>
      </c>
      <c r="N187" t="str">
        <f t="shared" si="39"/>
        <v/>
      </c>
    </row>
    <row r="188" spans="1:15" ht="15" customHeight="1" x14ac:dyDescent="0.3">
      <c r="C188" s="72"/>
      <c r="J188" t="str">
        <f t="shared" si="37"/>
        <v/>
      </c>
      <c r="L188" t="str">
        <f t="shared" si="38"/>
        <v/>
      </c>
      <c r="N188" t="str">
        <f t="shared" si="39"/>
        <v/>
      </c>
    </row>
    <row r="189" spans="1:15" ht="15" customHeight="1" x14ac:dyDescent="0.3">
      <c r="C189" s="72"/>
      <c r="J189" t="str">
        <f t="shared" si="37"/>
        <v/>
      </c>
      <c r="L189" t="str">
        <f t="shared" si="38"/>
        <v/>
      </c>
      <c r="N189" t="str">
        <f t="shared" si="39"/>
        <v/>
      </c>
    </row>
    <row r="190" spans="1:15" ht="15" customHeight="1" x14ac:dyDescent="0.3">
      <c r="C190" s="72"/>
      <c r="J190" t="str">
        <f t="shared" si="37"/>
        <v/>
      </c>
      <c r="L190" t="str">
        <f t="shared" si="38"/>
        <v/>
      </c>
      <c r="N190" t="str">
        <f t="shared" si="39"/>
        <v/>
      </c>
    </row>
    <row r="191" spans="1:15" ht="15" customHeight="1" x14ac:dyDescent="0.3">
      <c r="C191" s="72"/>
      <c r="J191" t="str">
        <f t="shared" si="37"/>
        <v/>
      </c>
      <c r="L191" t="str">
        <f t="shared" si="38"/>
        <v/>
      </c>
      <c r="N191" t="str">
        <f t="shared" si="39"/>
        <v/>
      </c>
    </row>
    <row r="192" spans="1:15" ht="15" customHeight="1" x14ac:dyDescent="0.3">
      <c r="C192" s="72"/>
      <c r="J192" t="str">
        <f t="shared" si="37"/>
        <v/>
      </c>
      <c r="L192" t="str">
        <f t="shared" si="38"/>
        <v/>
      </c>
      <c r="N192" t="str">
        <f t="shared" si="39"/>
        <v/>
      </c>
    </row>
    <row r="193" spans="2:14" ht="15" customHeight="1" x14ac:dyDescent="0.3">
      <c r="C193" s="72"/>
      <c r="J193" t="str">
        <f t="shared" si="37"/>
        <v/>
      </c>
      <c r="L193" t="str">
        <f t="shared" si="38"/>
        <v/>
      </c>
      <c r="N193" t="str">
        <f t="shared" si="39"/>
        <v/>
      </c>
    </row>
    <row r="194" spans="2:14" ht="15" customHeight="1" x14ac:dyDescent="0.3">
      <c r="C194" s="72"/>
      <c r="J194" t="str">
        <f t="shared" si="37"/>
        <v/>
      </c>
      <c r="L194" t="str">
        <f t="shared" si="38"/>
        <v/>
      </c>
      <c r="N194" t="str">
        <f t="shared" si="39"/>
        <v/>
      </c>
    </row>
    <row r="195" spans="2:14" ht="15" customHeight="1" x14ac:dyDescent="0.3">
      <c r="C195" s="72"/>
      <c r="J195" t="str">
        <f t="shared" si="37"/>
        <v/>
      </c>
      <c r="L195" t="str">
        <f t="shared" si="38"/>
        <v/>
      </c>
      <c r="N195" t="str">
        <f t="shared" si="39"/>
        <v/>
      </c>
    </row>
    <row r="196" spans="2:14" ht="15" customHeight="1" x14ac:dyDescent="0.3">
      <c r="C196" s="72"/>
      <c r="J196" t="str">
        <f t="shared" si="37"/>
        <v/>
      </c>
      <c r="L196" t="str">
        <f t="shared" si="38"/>
        <v/>
      </c>
      <c r="N196" t="str">
        <f t="shared" si="39"/>
        <v/>
      </c>
    </row>
    <row r="197" spans="2:14" ht="15" customHeight="1" x14ac:dyDescent="0.3">
      <c r="C197" s="72"/>
      <c r="J197" t="str">
        <f t="shared" si="37"/>
        <v/>
      </c>
      <c r="L197" t="str">
        <f t="shared" si="38"/>
        <v/>
      </c>
      <c r="N197" t="str">
        <f t="shared" si="39"/>
        <v/>
      </c>
    </row>
    <row r="198" spans="2:14" ht="15" customHeight="1" x14ac:dyDescent="0.3">
      <c r="B198" s="141" t="s">
        <v>216</v>
      </c>
      <c r="C198" s="142"/>
      <c r="D198" s="143">
        <f>SUM(D191:D197)</f>
        <v>0</v>
      </c>
      <c r="E198" s="144"/>
      <c r="F198" s="145"/>
      <c r="G198" s="146">
        <f>SUM(G191:G197)</f>
        <v>0</v>
      </c>
      <c r="H198" s="143">
        <f>SUM(H191:H197)</f>
        <v>0</v>
      </c>
      <c r="I198" s="147">
        <f>SUM(I191:I197)</f>
        <v>0</v>
      </c>
      <c r="J198">
        <f>SUM(D172:D197)</f>
        <v>1177</v>
      </c>
      <c r="K198">
        <f>SUM(G172:G197)</f>
        <v>14</v>
      </c>
      <c r="L198" s="28">
        <f>SUM(H172:H197)</f>
        <v>754</v>
      </c>
      <c r="M198">
        <f>SUM(I172:I197)</f>
        <v>9048</v>
      </c>
      <c r="N198" s="28">
        <f t="shared" si="39"/>
        <v>0</v>
      </c>
    </row>
    <row r="199" spans="2:14" ht="15" customHeight="1" x14ac:dyDescent="0.3">
      <c r="C199" s="72"/>
      <c r="J199" t="str">
        <f>IF(D199="","",ROUNDUP(D199/IF(AND(C199="600 ml",ISNUMBER(SEARCH("NORCAU",B199))),95,IF(AND(C199="600 ml",ISNUMBER(SEARCH("APURATOS",B199))),190,IF(C199="600 ml",95,IF(C199="400 ml",125,IF(C199="200 ml",330,IF(C199="180 ml",240,1)))))),0))</f>
        <v/>
      </c>
      <c r="L199" t="str">
        <f>IF(H199="","",H199)</f>
        <v/>
      </c>
      <c r="N199" t="str">
        <f t="shared" si="39"/>
        <v/>
      </c>
    </row>
  </sheetData>
  <mergeCells count="10">
    <mergeCell ref="A1:I1"/>
    <mergeCell ref="A2:F2"/>
    <mergeCell ref="G2:I2"/>
    <mergeCell ref="P3:S5"/>
    <mergeCell ref="P12:S13"/>
    <mergeCell ref="P26:S28"/>
    <mergeCell ref="P35:S37"/>
    <mergeCell ref="P44:S46"/>
    <mergeCell ref="Q145:U148"/>
    <mergeCell ref="Q154:U157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98" xr:uid="{00000000-0002-0000-04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F766E"/>
  </sheetPr>
  <dimension ref="A1:Y30"/>
  <sheetViews>
    <sheetView showGridLines="0" zoomScaleNormal="100" workbookViewId="0">
      <selection activeCell="F16" sqref="F16"/>
    </sheetView>
  </sheetViews>
  <sheetFormatPr defaultColWidth="8.6640625" defaultRowHeight="14.4" x14ac:dyDescent="0.3"/>
  <cols>
    <col min="1" max="1" width="12" style="437" customWidth="1"/>
    <col min="2" max="2" width="15" customWidth="1"/>
    <col min="3" max="3" width="14" customWidth="1"/>
    <col min="4" max="4" width="13.664062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24" max="25" width="13" hidden="1" customWidth="1"/>
  </cols>
  <sheetData>
    <row r="1" spans="1:25" ht="19.5" customHeight="1" x14ac:dyDescent="0.4">
      <c r="A1" s="612" t="s">
        <v>233</v>
      </c>
      <c r="B1" s="612"/>
      <c r="C1" s="612"/>
      <c r="D1" s="612"/>
      <c r="E1" s="612"/>
      <c r="F1" s="612"/>
    </row>
    <row r="3" spans="1:25" ht="14.25" customHeight="1" x14ac:dyDescent="0.3">
      <c r="B3" s="148" t="s">
        <v>234</v>
      </c>
      <c r="D3" s="148" t="s">
        <v>235</v>
      </c>
      <c r="F3" s="149" t="s">
        <v>236</v>
      </c>
      <c r="H3" s="148" t="s">
        <v>237</v>
      </c>
      <c r="J3" s="150" t="s">
        <v>238</v>
      </c>
      <c r="K3" s="151" t="s">
        <v>239</v>
      </c>
      <c r="L3" s="151" t="s">
        <v>240</v>
      </c>
    </row>
    <row r="4" spans="1:25" ht="15.75" customHeight="1" x14ac:dyDescent="0.3">
      <c r="B4" s="152">
        <f>SUM(C9:C30)</f>
        <v>150363</v>
      </c>
      <c r="D4" s="152">
        <f>COUNTA(A9:A30)*CONFIG!$B$3</f>
        <v>242000</v>
      </c>
      <c r="F4" s="152">
        <f ca="1">IFERROR(SUMIFS(C9:C30,A9:A30,"&lt;="&amp;TODAY(),F9:F30,"&lt;&gt;*Feriado*")/COUNTIFS(A9:A30,"&lt;="&amp;TODAY(),F9:F30,"&lt;&gt;*Feriado*"),0)</f>
        <v>7160.1428571428569</v>
      </c>
      <c r="H4" s="152">
        <f>IFERROR(MAX(C9:C30),0)</f>
        <v>14931</v>
      </c>
      <c r="J4" s="153">
        <f>IFERROR(B4/D4,0)</f>
        <v>0.62133471074380164</v>
      </c>
      <c r="K4" s="154" t="s">
        <v>241</v>
      </c>
      <c r="L4" s="155" t="s">
        <v>242</v>
      </c>
    </row>
    <row r="5" spans="1:25" ht="15" customHeight="1" x14ac:dyDescent="0.3">
      <c r="K5" s="156" t="s">
        <v>243</v>
      </c>
      <c r="L5" s="157" t="s">
        <v>244</v>
      </c>
    </row>
    <row r="6" spans="1:25" ht="15" customHeight="1" x14ac:dyDescent="0.3">
      <c r="K6" s="158" t="s">
        <v>245</v>
      </c>
      <c r="L6" s="159" t="s">
        <v>246</v>
      </c>
    </row>
    <row r="8" spans="1:25" ht="14.25" customHeight="1" x14ac:dyDescent="0.3">
      <c r="A8" s="442" t="s">
        <v>247</v>
      </c>
      <c r="B8" s="204" t="s">
        <v>248</v>
      </c>
      <c r="C8" s="204" t="s">
        <v>249</v>
      </c>
      <c r="D8" s="204" t="s">
        <v>250</v>
      </c>
      <c r="E8" s="204" t="s">
        <v>251</v>
      </c>
      <c r="F8" s="424" t="s">
        <v>252</v>
      </c>
      <c r="X8" t="s">
        <v>253</v>
      </c>
      <c r="Y8" t="s">
        <v>254</v>
      </c>
    </row>
    <row r="9" spans="1:25" ht="14.25" customHeight="1" x14ac:dyDescent="0.3">
      <c r="A9" s="443">
        <v>46023</v>
      </c>
      <c r="B9" s="219">
        <v>1</v>
      </c>
      <c r="C9" s="221">
        <v>0</v>
      </c>
      <c r="D9" s="221">
        <f>CONFIG!$B$3</f>
        <v>11000</v>
      </c>
      <c r="E9" s="221">
        <f t="shared" ref="E9:E30" si="0">C9-D9</f>
        <v>-11000</v>
      </c>
      <c r="F9" s="425" t="s">
        <v>255</v>
      </c>
      <c r="X9" t="e">
        <f t="shared" ref="X9:X30" si="1">IF(COUNTIF($F9,"*Feriado*")&gt;0,NA(),$C9)</f>
        <v>#N/A</v>
      </c>
      <c r="Y9" t="e">
        <f t="shared" ref="Y9:Y30" si="2">IF(COUNTIF($F9,"*Feriado*")&gt;0,NA(),$D9)</f>
        <v>#N/A</v>
      </c>
    </row>
    <row r="10" spans="1:25" ht="14.25" customHeight="1" x14ac:dyDescent="0.3">
      <c r="A10" s="444">
        <v>46024</v>
      </c>
      <c r="B10" s="427">
        <v>2</v>
      </c>
      <c r="C10" s="428">
        <v>0</v>
      </c>
      <c r="D10" s="428">
        <f>CONFIG!$B$3</f>
        <v>11000</v>
      </c>
      <c r="E10" s="428">
        <f t="shared" si="0"/>
        <v>-11000</v>
      </c>
      <c r="F10" s="426"/>
      <c r="X10" s="28">
        <f t="shared" si="1"/>
        <v>0</v>
      </c>
      <c r="Y10" s="28">
        <f t="shared" si="2"/>
        <v>11000</v>
      </c>
    </row>
    <row r="11" spans="1:25" ht="14.25" customHeight="1" x14ac:dyDescent="0.3">
      <c r="A11" s="443">
        <v>46027</v>
      </c>
      <c r="B11" s="219">
        <v>3</v>
      </c>
      <c r="C11" s="221">
        <f>'SEMANA JANEIRO'!$M$9</f>
        <v>8352</v>
      </c>
      <c r="D11" s="221">
        <f>CONFIG!$B$3</f>
        <v>11000</v>
      </c>
      <c r="E11" s="221">
        <f t="shared" si="0"/>
        <v>-2648</v>
      </c>
      <c r="F11" s="426"/>
      <c r="X11" s="28">
        <f t="shared" si="1"/>
        <v>8352</v>
      </c>
      <c r="Y11" s="28">
        <f t="shared" si="2"/>
        <v>11000</v>
      </c>
    </row>
    <row r="12" spans="1:25" ht="14.25" customHeight="1" x14ac:dyDescent="0.3">
      <c r="A12" s="444">
        <v>46028</v>
      </c>
      <c r="B12" s="427">
        <v>4</v>
      </c>
      <c r="C12" s="428">
        <f>'SEMANA JANEIRO'!$M$16</f>
        <v>1872</v>
      </c>
      <c r="D12" s="428">
        <f>CONFIG!$B$3</f>
        <v>11000</v>
      </c>
      <c r="E12" s="428">
        <f t="shared" si="0"/>
        <v>-9128</v>
      </c>
      <c r="F12" s="426"/>
      <c r="X12" s="28">
        <f t="shared" si="1"/>
        <v>1872</v>
      </c>
      <c r="Y12" s="28">
        <f t="shared" si="2"/>
        <v>11000</v>
      </c>
    </row>
    <row r="13" spans="1:25" ht="14.25" customHeight="1" x14ac:dyDescent="0.3">
      <c r="A13" s="443">
        <v>46029</v>
      </c>
      <c r="B13" s="219">
        <v>5</v>
      </c>
      <c r="C13" s="221">
        <f>'SEMANA JANEIRO'!$M$24</f>
        <v>12036</v>
      </c>
      <c r="D13" s="221">
        <f>CONFIG!$B$3</f>
        <v>11000</v>
      </c>
      <c r="E13" s="221">
        <f t="shared" si="0"/>
        <v>1036</v>
      </c>
      <c r="F13" s="426"/>
      <c r="X13" s="28">
        <f t="shared" si="1"/>
        <v>12036</v>
      </c>
      <c r="Y13" s="28">
        <f t="shared" si="2"/>
        <v>11000</v>
      </c>
    </row>
    <row r="14" spans="1:25" ht="14.25" customHeight="1" x14ac:dyDescent="0.3">
      <c r="A14" s="444">
        <v>46030</v>
      </c>
      <c r="B14" s="427">
        <v>6</v>
      </c>
      <c r="C14" s="428">
        <f>'SEMANA JANEIRO'!$M$32</f>
        <v>9852</v>
      </c>
      <c r="D14" s="428">
        <f>CONFIG!$B$3</f>
        <v>11000</v>
      </c>
      <c r="E14" s="428">
        <f t="shared" si="0"/>
        <v>-1148</v>
      </c>
      <c r="F14" s="426"/>
      <c r="X14" s="28">
        <f t="shared" si="1"/>
        <v>9852</v>
      </c>
      <c r="Y14" s="28">
        <f t="shared" si="2"/>
        <v>11000</v>
      </c>
    </row>
    <row r="15" spans="1:25" ht="14.25" customHeight="1" x14ac:dyDescent="0.3">
      <c r="A15" s="443">
        <v>46031</v>
      </c>
      <c r="B15" s="219">
        <v>7</v>
      </c>
      <c r="C15" s="221">
        <f>'SEMANA JANEIRO'!$M$41</f>
        <v>6498</v>
      </c>
      <c r="D15" s="221">
        <f>CONFIG!$B$3</f>
        <v>11000</v>
      </c>
      <c r="E15" s="221">
        <f t="shared" si="0"/>
        <v>-4502</v>
      </c>
      <c r="F15" s="426"/>
      <c r="X15" s="28">
        <f t="shared" si="1"/>
        <v>6498</v>
      </c>
      <c r="Y15" s="28">
        <f t="shared" si="2"/>
        <v>11000</v>
      </c>
    </row>
    <row r="16" spans="1:25" ht="14.25" customHeight="1" x14ac:dyDescent="0.3">
      <c r="A16" s="444">
        <v>46034</v>
      </c>
      <c r="B16" s="427">
        <v>8</v>
      </c>
      <c r="C16" s="428">
        <f>'SEMANA JANEIRO'!$M$49</f>
        <v>6432</v>
      </c>
      <c r="D16" s="428">
        <f>CONFIG!$B$3</f>
        <v>11000</v>
      </c>
      <c r="E16" s="428">
        <f t="shared" si="0"/>
        <v>-4568</v>
      </c>
      <c r="F16" s="426"/>
      <c r="X16" s="28">
        <f t="shared" si="1"/>
        <v>6432</v>
      </c>
      <c r="Y16" s="28">
        <f t="shared" si="2"/>
        <v>11000</v>
      </c>
    </row>
    <row r="17" spans="1:25" ht="14.25" customHeight="1" x14ac:dyDescent="0.3">
      <c r="A17" s="443">
        <v>46035</v>
      </c>
      <c r="B17" s="219">
        <v>9</v>
      </c>
      <c r="C17" s="221">
        <f>'SEMANA JANEIRO'!$M$57</f>
        <v>6252</v>
      </c>
      <c r="D17" s="221">
        <f>CONFIG!$B$3</f>
        <v>11000</v>
      </c>
      <c r="E17" s="221">
        <f t="shared" si="0"/>
        <v>-4748</v>
      </c>
      <c r="F17" s="426"/>
      <c r="X17" s="28">
        <f t="shared" si="1"/>
        <v>6252</v>
      </c>
      <c r="Y17" s="28">
        <f t="shared" si="2"/>
        <v>11000</v>
      </c>
    </row>
    <row r="18" spans="1:25" ht="14.25" customHeight="1" x14ac:dyDescent="0.3">
      <c r="A18" s="444">
        <v>46036</v>
      </c>
      <c r="B18" s="427">
        <v>10</v>
      </c>
      <c r="C18" s="428">
        <f>'SEMANA JANEIRO'!$M$65</f>
        <v>10800</v>
      </c>
      <c r="D18" s="428">
        <f>CONFIG!$B$3</f>
        <v>11000</v>
      </c>
      <c r="E18" s="428">
        <f t="shared" si="0"/>
        <v>-200</v>
      </c>
      <c r="F18" s="426"/>
      <c r="X18" s="28">
        <f t="shared" si="1"/>
        <v>10800</v>
      </c>
      <c r="Y18" s="28">
        <f t="shared" si="2"/>
        <v>11000</v>
      </c>
    </row>
    <row r="19" spans="1:25" ht="14.25" customHeight="1" x14ac:dyDescent="0.3">
      <c r="A19" s="443">
        <v>46037</v>
      </c>
      <c r="B19" s="219">
        <v>11</v>
      </c>
      <c r="C19" s="221">
        <f>'SEMANA JANEIRO'!$M$74</f>
        <v>4872</v>
      </c>
      <c r="D19" s="221">
        <f>CONFIG!$B$3</f>
        <v>11000</v>
      </c>
      <c r="E19" s="221">
        <f t="shared" si="0"/>
        <v>-6128</v>
      </c>
      <c r="F19" s="426"/>
      <c r="X19" s="28">
        <f t="shared" si="1"/>
        <v>4872</v>
      </c>
      <c r="Y19" s="28">
        <f t="shared" si="2"/>
        <v>11000</v>
      </c>
    </row>
    <row r="20" spans="1:25" ht="14.25" customHeight="1" x14ac:dyDescent="0.3">
      <c r="A20" s="444">
        <v>46038</v>
      </c>
      <c r="B20" s="427">
        <v>12</v>
      </c>
      <c r="C20" s="428">
        <f>'SEMANA JANEIRO'!$M$82</f>
        <v>9978</v>
      </c>
      <c r="D20" s="428">
        <f>CONFIG!$B$3</f>
        <v>11000</v>
      </c>
      <c r="E20" s="428">
        <f t="shared" si="0"/>
        <v>-1022</v>
      </c>
      <c r="F20" s="426"/>
      <c r="X20" s="28">
        <f t="shared" si="1"/>
        <v>9978</v>
      </c>
      <c r="Y20" s="28">
        <f t="shared" si="2"/>
        <v>11000</v>
      </c>
    </row>
    <row r="21" spans="1:25" ht="14.25" customHeight="1" x14ac:dyDescent="0.3">
      <c r="A21" s="443">
        <v>46041</v>
      </c>
      <c r="B21" s="219">
        <v>13</v>
      </c>
      <c r="C21" s="221">
        <f>'SEMANA JANEIRO'!$M$92</f>
        <v>10644</v>
      </c>
      <c r="D21" s="221">
        <f>CONFIG!$B$3</f>
        <v>11000</v>
      </c>
      <c r="E21" s="221">
        <f t="shared" si="0"/>
        <v>-356</v>
      </c>
      <c r="F21" s="426"/>
      <c r="X21" s="28">
        <f t="shared" si="1"/>
        <v>10644</v>
      </c>
      <c r="Y21" s="28">
        <f t="shared" si="2"/>
        <v>11000</v>
      </c>
    </row>
    <row r="22" spans="1:25" ht="14.25" customHeight="1" x14ac:dyDescent="0.3">
      <c r="A22" s="444">
        <v>46042</v>
      </c>
      <c r="B22" s="427">
        <v>14</v>
      </c>
      <c r="C22" s="428">
        <f>'SEMANA JANEIRO'!$M$102</f>
        <v>6396</v>
      </c>
      <c r="D22" s="428">
        <f>CONFIG!$B$3</f>
        <v>11000</v>
      </c>
      <c r="E22" s="428">
        <f t="shared" si="0"/>
        <v>-4604</v>
      </c>
      <c r="F22" s="426"/>
      <c r="X22" s="28">
        <f t="shared" si="1"/>
        <v>6396</v>
      </c>
      <c r="Y22" s="28">
        <f t="shared" si="2"/>
        <v>11000</v>
      </c>
    </row>
    <row r="23" spans="1:25" ht="14.25" customHeight="1" x14ac:dyDescent="0.3">
      <c r="A23" s="443">
        <v>46043</v>
      </c>
      <c r="B23" s="219">
        <v>15</v>
      </c>
      <c r="C23" s="221">
        <v>0</v>
      </c>
      <c r="D23" s="221">
        <f>CONFIG!$B$3</f>
        <v>11000</v>
      </c>
      <c r="E23" s="221">
        <f t="shared" si="0"/>
        <v>-11000</v>
      </c>
      <c r="F23" s="426"/>
      <c r="X23" s="28">
        <f t="shared" si="1"/>
        <v>0</v>
      </c>
      <c r="Y23" s="28">
        <f t="shared" si="2"/>
        <v>11000</v>
      </c>
    </row>
    <row r="24" spans="1:25" ht="14.25" customHeight="1" x14ac:dyDescent="0.3">
      <c r="A24" s="444">
        <v>46044</v>
      </c>
      <c r="B24" s="427">
        <v>16</v>
      </c>
      <c r="C24" s="428">
        <f>'SEMANA JANEIRO'!$M$120</f>
        <v>12288</v>
      </c>
      <c r="D24" s="428">
        <f>CONFIG!$B$3</f>
        <v>11000</v>
      </c>
      <c r="E24" s="428">
        <f t="shared" si="0"/>
        <v>1288</v>
      </c>
      <c r="F24" s="426"/>
      <c r="X24" s="28">
        <f t="shared" si="1"/>
        <v>12288</v>
      </c>
      <c r="Y24" s="28">
        <f t="shared" si="2"/>
        <v>11000</v>
      </c>
    </row>
    <row r="25" spans="1:25" ht="14.25" customHeight="1" x14ac:dyDescent="0.3">
      <c r="A25" s="443">
        <v>46045</v>
      </c>
      <c r="B25" s="219">
        <v>17</v>
      </c>
      <c r="C25" s="221">
        <v>0</v>
      </c>
      <c r="D25" s="221">
        <f>CONFIG!$B$3</f>
        <v>11000</v>
      </c>
      <c r="E25" s="221">
        <f t="shared" si="0"/>
        <v>-11000</v>
      </c>
      <c r="F25" s="426"/>
      <c r="X25" s="28">
        <f t="shared" si="1"/>
        <v>0</v>
      </c>
      <c r="Y25" s="28">
        <f t="shared" si="2"/>
        <v>11000</v>
      </c>
    </row>
    <row r="26" spans="1:25" ht="14.25" customHeight="1" x14ac:dyDescent="0.3">
      <c r="A26" s="444">
        <v>46048</v>
      </c>
      <c r="B26" s="427">
        <v>18</v>
      </c>
      <c r="C26" s="428">
        <f>'SEMANA JANEIRO'!$M$142</f>
        <v>14931</v>
      </c>
      <c r="D26" s="428">
        <f>CONFIG!$B$3</f>
        <v>11000</v>
      </c>
      <c r="E26" s="428">
        <f t="shared" si="0"/>
        <v>3931</v>
      </c>
      <c r="F26" s="426"/>
      <c r="X26" s="28">
        <f t="shared" si="1"/>
        <v>14931</v>
      </c>
      <c r="Y26" s="28">
        <f t="shared" si="2"/>
        <v>11000</v>
      </c>
    </row>
    <row r="27" spans="1:25" ht="14.25" customHeight="1" x14ac:dyDescent="0.3">
      <c r="A27" s="443">
        <v>46049</v>
      </c>
      <c r="B27" s="219">
        <v>19</v>
      </c>
      <c r="C27" s="221">
        <f>'SEMANA JANEIRO'!$M$150</f>
        <v>7848</v>
      </c>
      <c r="D27" s="221">
        <f>CONFIG!$B$3</f>
        <v>11000</v>
      </c>
      <c r="E27" s="221">
        <f t="shared" si="0"/>
        <v>-3152</v>
      </c>
      <c r="F27" s="426"/>
      <c r="X27" s="28">
        <f t="shared" si="1"/>
        <v>7848</v>
      </c>
      <c r="Y27" s="28">
        <f t="shared" si="2"/>
        <v>11000</v>
      </c>
    </row>
    <row r="28" spans="1:25" ht="14.25" customHeight="1" x14ac:dyDescent="0.3">
      <c r="A28" s="444">
        <v>46050</v>
      </c>
      <c r="B28" s="427">
        <v>20</v>
      </c>
      <c r="C28" s="428">
        <f>'SEMANA JANEIRO'!$M$161</f>
        <v>0</v>
      </c>
      <c r="D28" s="428">
        <f>CONFIG!$B$3</f>
        <v>11000</v>
      </c>
      <c r="E28" s="428">
        <f t="shared" si="0"/>
        <v>-11000</v>
      </c>
      <c r="F28" s="426"/>
      <c r="X28" s="28">
        <f t="shared" si="1"/>
        <v>0</v>
      </c>
      <c r="Y28" s="28">
        <f t="shared" si="2"/>
        <v>11000</v>
      </c>
    </row>
    <row r="29" spans="1:25" ht="14.25" customHeight="1" x14ac:dyDescent="0.3">
      <c r="A29" s="443">
        <v>46051</v>
      </c>
      <c r="B29" s="223">
        <v>21</v>
      </c>
      <c r="C29" s="225">
        <f>'SEMANA JANEIRO'!$M$169</f>
        <v>12264</v>
      </c>
      <c r="D29" s="225">
        <f>CONFIG!$B$3</f>
        <v>11000</v>
      </c>
      <c r="E29" s="225">
        <f t="shared" si="0"/>
        <v>1264</v>
      </c>
      <c r="F29" s="426"/>
      <c r="X29" s="28">
        <f t="shared" si="1"/>
        <v>12264</v>
      </c>
      <c r="Y29" s="28">
        <f t="shared" si="2"/>
        <v>11000</v>
      </c>
    </row>
    <row r="30" spans="1:25" ht="14.25" customHeight="1" x14ac:dyDescent="0.3">
      <c r="A30" s="444">
        <v>46052</v>
      </c>
      <c r="B30" s="429">
        <v>22</v>
      </c>
      <c r="C30" s="430">
        <f>'SEMANA JANEIRO'!$M$198</f>
        <v>9048</v>
      </c>
      <c r="D30" s="430">
        <f>CONFIG!$B$3</f>
        <v>11000</v>
      </c>
      <c r="E30" s="430">
        <f t="shared" si="0"/>
        <v>-1952</v>
      </c>
      <c r="F30" s="426"/>
      <c r="X30" s="28">
        <f t="shared" si="1"/>
        <v>9048</v>
      </c>
      <c r="Y30" s="28">
        <f t="shared" si="2"/>
        <v>11000</v>
      </c>
    </row>
  </sheetData>
  <mergeCells count="1">
    <mergeCell ref="A1:F1"/>
  </mergeCells>
  <conditionalFormatting sqref="E9:E30">
    <cfRule type="cellIs" dxfId="53" priority="2" operator="greaterThan">
      <formula>0</formula>
    </cfRule>
    <cfRule type="cellIs" dxfId="52" priority="3" operator="lessThan">
      <formula>0</formula>
    </cfRule>
    <cfRule type="cellIs" dxfId="51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96B0A"/>
  </sheetPr>
  <dimension ref="B1:N300"/>
  <sheetViews>
    <sheetView showGridLines="0" tabSelected="1" zoomScaleNormal="100" workbookViewId="0">
      <selection activeCell="B1" sqref="B1:N2"/>
    </sheetView>
  </sheetViews>
  <sheetFormatPr defaultColWidth="8.6640625" defaultRowHeight="17.399999999999999" x14ac:dyDescent="0.3"/>
  <cols>
    <col min="1" max="1" width="2.5546875" customWidth="1"/>
    <col min="2" max="2" width="13.5546875" style="5" customWidth="1"/>
    <col min="3" max="3" width="7.6640625" style="6" customWidth="1"/>
    <col min="4" max="4" width="12.6640625" style="6" customWidth="1"/>
    <col min="5" max="5" width="9.109375" style="7" customWidth="1"/>
    <col min="6" max="6" width="13.5546875" style="7" customWidth="1"/>
    <col min="7" max="7" width="6.6640625" style="7" customWidth="1"/>
    <col min="8" max="8" width="8" style="7" customWidth="1"/>
    <col min="9" max="9" width="7.5546875" style="7" customWidth="1"/>
    <col min="10" max="10" width="20" style="7" customWidth="1"/>
    <col min="11" max="11" width="9.109375" style="7" customWidth="1"/>
    <col min="12" max="12" width="21" style="7" customWidth="1"/>
    <col min="13" max="13" width="18.109375" style="6" customWidth="1"/>
    <col min="14" max="14" width="17.109375" style="441" customWidth="1"/>
  </cols>
  <sheetData>
    <row r="1" spans="2:14" ht="21.75" customHeight="1" x14ac:dyDescent="0.3">
      <c r="B1" s="561" t="s">
        <v>256</v>
      </c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561"/>
    </row>
    <row r="2" spans="2:14" ht="15" customHeight="1" x14ac:dyDescent="0.3"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</row>
    <row r="3" spans="2:14" ht="17.25" customHeight="1" x14ac:dyDescent="0.3">
      <c r="B3" s="163" t="s">
        <v>75</v>
      </c>
      <c r="C3" s="562" t="s">
        <v>76</v>
      </c>
      <c r="D3" s="562"/>
      <c r="E3" s="562" t="s">
        <v>77</v>
      </c>
      <c r="F3" s="562"/>
      <c r="G3" s="562" t="s">
        <v>78</v>
      </c>
      <c r="H3" s="562"/>
      <c r="I3" s="562"/>
      <c r="J3" s="562"/>
      <c r="K3" s="562" t="s">
        <v>79</v>
      </c>
      <c r="L3" s="562"/>
      <c r="M3" s="164" t="s">
        <v>80</v>
      </c>
      <c r="N3" s="438" t="s">
        <v>81</v>
      </c>
    </row>
    <row r="4" spans="2:14" ht="17.25" customHeight="1" x14ac:dyDescent="0.3">
      <c r="B4" s="10" t="s">
        <v>257</v>
      </c>
      <c r="C4" s="563">
        <v>26010146</v>
      </c>
      <c r="D4" s="563"/>
      <c r="E4" s="563" t="s">
        <v>258</v>
      </c>
      <c r="F4" s="563"/>
      <c r="G4" s="563" t="s">
        <v>259</v>
      </c>
      <c r="H4" s="563"/>
      <c r="I4" s="563"/>
      <c r="J4" s="563"/>
      <c r="K4" s="563" t="s">
        <v>260</v>
      </c>
      <c r="L4" s="563"/>
      <c r="M4" s="11" t="s">
        <v>261</v>
      </c>
      <c r="N4" s="439">
        <v>46055</v>
      </c>
    </row>
    <row r="5" spans="2:14" ht="17.25" customHeight="1" x14ac:dyDescent="0.3">
      <c r="B5" s="15" t="s">
        <v>262</v>
      </c>
      <c r="C5" s="556">
        <v>26010147</v>
      </c>
      <c r="D5" s="556"/>
      <c r="E5" s="552"/>
      <c r="F5" s="552"/>
      <c r="G5" s="556" t="s">
        <v>174</v>
      </c>
      <c r="H5" s="556"/>
      <c r="I5" s="556"/>
      <c r="J5" s="556"/>
      <c r="K5" s="556" t="s">
        <v>91</v>
      </c>
      <c r="L5" s="556"/>
      <c r="M5" s="17" t="s">
        <v>263</v>
      </c>
      <c r="N5" s="439">
        <v>46062</v>
      </c>
    </row>
    <row r="6" spans="2:14" ht="17.25" customHeight="1" x14ac:dyDescent="0.3">
      <c r="B6" s="13" t="s">
        <v>264</v>
      </c>
      <c r="C6" s="555">
        <v>26010148</v>
      </c>
      <c r="D6" s="555"/>
      <c r="E6" s="553"/>
      <c r="F6" s="553"/>
      <c r="G6" s="555" t="s">
        <v>167</v>
      </c>
      <c r="H6" s="555"/>
      <c r="I6" s="555"/>
      <c r="J6" s="555"/>
      <c r="K6" s="555" t="s">
        <v>168</v>
      </c>
      <c r="L6" s="555"/>
      <c r="M6" s="16" t="s">
        <v>169</v>
      </c>
      <c r="N6" s="439">
        <v>46066</v>
      </c>
    </row>
    <row r="7" spans="2:14" ht="17.25" customHeight="1" x14ac:dyDescent="0.3">
      <c r="B7" s="15" t="s">
        <v>265</v>
      </c>
      <c r="C7" s="556">
        <v>26010149</v>
      </c>
      <c r="D7" s="556"/>
      <c r="E7" s="552"/>
      <c r="F7" s="552"/>
      <c r="G7" s="556" t="s">
        <v>266</v>
      </c>
      <c r="H7" s="556"/>
      <c r="I7" s="556"/>
      <c r="J7" s="556"/>
      <c r="K7" s="556" t="s">
        <v>132</v>
      </c>
      <c r="L7" s="556"/>
      <c r="M7" s="12" t="s">
        <v>165</v>
      </c>
      <c r="N7" s="439">
        <v>46066</v>
      </c>
    </row>
    <row r="8" spans="2:14" ht="17.25" customHeight="1" x14ac:dyDescent="0.3">
      <c r="B8" s="13" t="s">
        <v>267</v>
      </c>
      <c r="C8" s="555">
        <v>26010150</v>
      </c>
      <c r="D8" s="555"/>
      <c r="E8" s="553"/>
      <c r="F8" s="553"/>
      <c r="G8" s="555" t="s">
        <v>163</v>
      </c>
      <c r="H8" s="555"/>
      <c r="I8" s="555"/>
      <c r="J8" s="555"/>
      <c r="K8" s="555" t="s">
        <v>164</v>
      </c>
      <c r="L8" s="555"/>
      <c r="M8" s="16" t="s">
        <v>165</v>
      </c>
      <c r="N8" s="439">
        <v>46066</v>
      </c>
    </row>
    <row r="9" spans="2:14" ht="17.25" customHeight="1" x14ac:dyDescent="0.3">
      <c r="B9" s="15" t="s">
        <v>268</v>
      </c>
      <c r="C9" s="556">
        <v>26010151</v>
      </c>
      <c r="D9" s="556"/>
      <c r="E9" s="552"/>
      <c r="F9" s="552"/>
      <c r="G9" s="556" t="s">
        <v>269</v>
      </c>
      <c r="H9" s="556"/>
      <c r="I9" s="556"/>
      <c r="J9" s="556"/>
      <c r="K9" s="556" t="s">
        <v>270</v>
      </c>
      <c r="L9" s="556"/>
      <c r="M9" s="17" t="s">
        <v>271</v>
      </c>
      <c r="N9" s="439">
        <v>46071</v>
      </c>
    </row>
    <row r="10" spans="2:14" ht="17.25" customHeight="1" x14ac:dyDescent="0.3">
      <c r="B10" s="13" t="s">
        <v>272</v>
      </c>
      <c r="C10" s="555">
        <v>26010152</v>
      </c>
      <c r="D10" s="555"/>
      <c r="E10" s="553"/>
      <c r="F10" s="553"/>
      <c r="G10" s="555" t="s">
        <v>269</v>
      </c>
      <c r="H10" s="555"/>
      <c r="I10" s="555"/>
      <c r="J10" s="555"/>
      <c r="K10" s="555" t="s">
        <v>101</v>
      </c>
      <c r="L10" s="555"/>
      <c r="M10" s="14" t="s">
        <v>271</v>
      </c>
      <c r="N10" s="439">
        <v>46071</v>
      </c>
    </row>
    <row r="11" spans="2:14" ht="17.25" customHeight="1" x14ac:dyDescent="0.3">
      <c r="B11" s="15" t="s">
        <v>273</v>
      </c>
      <c r="C11" s="556">
        <v>26010153</v>
      </c>
      <c r="D11" s="556"/>
      <c r="E11" s="552"/>
      <c r="F11" s="552"/>
      <c r="G11" s="556" t="s">
        <v>269</v>
      </c>
      <c r="H11" s="556"/>
      <c r="I11" s="556"/>
      <c r="J11" s="556"/>
      <c r="K11" s="556" t="s">
        <v>274</v>
      </c>
      <c r="L11" s="556"/>
      <c r="M11" s="17" t="s">
        <v>275</v>
      </c>
      <c r="N11" s="439">
        <v>46072</v>
      </c>
    </row>
    <row r="12" spans="2:14" ht="17.25" customHeight="1" x14ac:dyDescent="0.3">
      <c r="B12" s="13" t="s">
        <v>276</v>
      </c>
      <c r="C12" s="553"/>
      <c r="D12" s="553"/>
      <c r="E12" s="555">
        <v>2631392</v>
      </c>
      <c r="F12" s="555"/>
      <c r="G12" s="555" t="s">
        <v>277</v>
      </c>
      <c r="H12" s="555"/>
      <c r="I12" s="555"/>
      <c r="J12" s="555"/>
      <c r="K12" s="555" t="s">
        <v>178</v>
      </c>
      <c r="L12" s="555"/>
      <c r="M12" s="14" t="s">
        <v>278</v>
      </c>
      <c r="N12" s="439">
        <v>46064</v>
      </c>
    </row>
    <row r="13" spans="2:14" ht="18" customHeight="1" x14ac:dyDescent="0.3">
      <c r="B13" s="557" t="s">
        <v>279</v>
      </c>
      <c r="C13" s="556">
        <v>26010154</v>
      </c>
      <c r="D13" s="556"/>
      <c r="E13" s="552"/>
      <c r="F13" s="552"/>
      <c r="G13" s="556" t="s">
        <v>104</v>
      </c>
      <c r="H13" s="556"/>
      <c r="I13" s="556"/>
      <c r="J13" s="556"/>
      <c r="K13" s="556" t="s">
        <v>105</v>
      </c>
      <c r="L13" s="556"/>
      <c r="M13" s="12" t="s">
        <v>106</v>
      </c>
      <c r="N13" s="439">
        <v>46058</v>
      </c>
    </row>
    <row r="14" spans="2:14" ht="18" customHeight="1" x14ac:dyDescent="0.3">
      <c r="B14" s="557"/>
      <c r="C14" s="555">
        <v>26010155</v>
      </c>
      <c r="D14" s="555"/>
      <c r="E14" s="553"/>
      <c r="F14" s="553"/>
      <c r="G14" s="555" t="s">
        <v>104</v>
      </c>
      <c r="H14" s="555"/>
      <c r="I14" s="555"/>
      <c r="J14" s="555"/>
      <c r="K14" s="556"/>
      <c r="L14" s="556"/>
      <c r="M14" s="16" t="s">
        <v>106</v>
      </c>
      <c r="N14" s="439">
        <v>46058</v>
      </c>
    </row>
    <row r="15" spans="2:14" ht="18" customHeight="1" x14ac:dyDescent="0.5">
      <c r="B15" s="557"/>
      <c r="C15" s="556">
        <v>26010156</v>
      </c>
      <c r="D15" s="556"/>
      <c r="E15" s="559"/>
      <c r="F15" s="559"/>
      <c r="G15" s="556" t="s">
        <v>104</v>
      </c>
      <c r="H15" s="556"/>
      <c r="I15" s="556"/>
      <c r="J15" s="556"/>
      <c r="K15" s="556"/>
      <c r="L15" s="556"/>
      <c r="M15" s="12" t="s">
        <v>106</v>
      </c>
      <c r="N15" s="439">
        <v>46062</v>
      </c>
    </row>
    <row r="16" spans="2:14" ht="18" customHeight="1" x14ac:dyDescent="0.3">
      <c r="B16" s="557"/>
      <c r="C16" s="555">
        <v>26010157</v>
      </c>
      <c r="D16" s="555"/>
      <c r="E16" s="553"/>
      <c r="F16" s="553"/>
      <c r="G16" s="555" t="s">
        <v>147</v>
      </c>
      <c r="H16" s="555"/>
      <c r="I16" s="555"/>
      <c r="J16" s="555"/>
      <c r="K16" s="556"/>
      <c r="L16" s="556"/>
      <c r="M16" s="16" t="s">
        <v>106</v>
      </c>
      <c r="N16" s="439">
        <v>46058</v>
      </c>
    </row>
    <row r="17" spans="2:14" ht="18" customHeight="1" x14ac:dyDescent="0.3">
      <c r="B17" s="557"/>
      <c r="C17" s="556">
        <v>26010158</v>
      </c>
      <c r="D17" s="556"/>
      <c r="E17" s="552"/>
      <c r="F17" s="552"/>
      <c r="G17" s="556" t="s">
        <v>147</v>
      </c>
      <c r="H17" s="556"/>
      <c r="I17" s="556"/>
      <c r="J17" s="556"/>
      <c r="K17" s="556"/>
      <c r="L17" s="556"/>
      <c r="M17" s="12" t="s">
        <v>106</v>
      </c>
      <c r="N17" s="439">
        <v>46058</v>
      </c>
    </row>
    <row r="18" spans="2:14" ht="18" customHeight="1" x14ac:dyDescent="0.3">
      <c r="B18" s="557"/>
      <c r="C18" s="555">
        <v>26010159</v>
      </c>
      <c r="D18" s="555"/>
      <c r="E18" s="553"/>
      <c r="F18" s="553"/>
      <c r="G18" s="555" t="s">
        <v>147</v>
      </c>
      <c r="H18" s="555"/>
      <c r="I18" s="555"/>
      <c r="J18" s="555"/>
      <c r="K18" s="556"/>
      <c r="L18" s="556"/>
      <c r="M18" s="16" t="s">
        <v>106</v>
      </c>
      <c r="N18" s="439">
        <v>46058</v>
      </c>
    </row>
    <row r="19" spans="2:14" ht="18" customHeight="1" x14ac:dyDescent="0.5">
      <c r="B19" s="557"/>
      <c r="C19" s="556">
        <v>26010160</v>
      </c>
      <c r="D19" s="556"/>
      <c r="E19" s="559"/>
      <c r="F19" s="559"/>
      <c r="G19" s="556" t="s">
        <v>147</v>
      </c>
      <c r="H19" s="556"/>
      <c r="I19" s="556"/>
      <c r="J19" s="556"/>
      <c r="K19" s="556"/>
      <c r="L19" s="556"/>
      <c r="M19" s="12" t="s">
        <v>106</v>
      </c>
      <c r="N19" s="439">
        <v>46058</v>
      </c>
    </row>
    <row r="20" spans="2:14" ht="18" customHeight="1" x14ac:dyDescent="0.3">
      <c r="B20" s="557"/>
      <c r="C20" s="555">
        <v>26010161</v>
      </c>
      <c r="D20" s="555"/>
      <c r="E20" s="553"/>
      <c r="F20" s="553"/>
      <c r="G20" s="555" t="s">
        <v>104</v>
      </c>
      <c r="H20" s="555"/>
      <c r="I20" s="555"/>
      <c r="J20" s="555"/>
      <c r="K20" s="556"/>
      <c r="L20" s="556"/>
      <c r="M20" s="16" t="s">
        <v>106</v>
      </c>
      <c r="N20" s="439">
        <v>46062</v>
      </c>
    </row>
    <row r="21" spans="2:14" ht="18" customHeight="1" x14ac:dyDescent="0.3">
      <c r="B21" s="557"/>
      <c r="C21" s="556">
        <v>26010162</v>
      </c>
      <c r="D21" s="556"/>
      <c r="E21" s="552"/>
      <c r="F21" s="552"/>
      <c r="G21" s="556" t="s">
        <v>104</v>
      </c>
      <c r="H21" s="556"/>
      <c r="I21" s="556"/>
      <c r="J21" s="556"/>
      <c r="K21" s="556"/>
      <c r="L21" s="556"/>
      <c r="M21" s="12" t="s">
        <v>106</v>
      </c>
      <c r="N21" s="439">
        <v>46062</v>
      </c>
    </row>
    <row r="22" spans="2:14" ht="18" customHeight="1" x14ac:dyDescent="0.3">
      <c r="B22" s="557"/>
      <c r="C22" s="555">
        <v>26010163</v>
      </c>
      <c r="D22" s="555"/>
      <c r="E22" s="553"/>
      <c r="F22" s="553"/>
      <c r="G22" s="555" t="s">
        <v>104</v>
      </c>
      <c r="H22" s="555"/>
      <c r="I22" s="555"/>
      <c r="J22" s="555"/>
      <c r="K22" s="556"/>
      <c r="L22" s="556"/>
      <c r="M22" s="16" t="s">
        <v>106</v>
      </c>
      <c r="N22" s="439">
        <v>46062</v>
      </c>
    </row>
    <row r="23" spans="2:14" ht="18" customHeight="1" x14ac:dyDescent="0.3">
      <c r="B23" s="557"/>
      <c r="C23" s="556">
        <v>26010164</v>
      </c>
      <c r="D23" s="556"/>
      <c r="E23" s="552"/>
      <c r="F23" s="552"/>
      <c r="G23" s="556" t="s">
        <v>104</v>
      </c>
      <c r="H23" s="556"/>
      <c r="I23" s="556"/>
      <c r="J23" s="556"/>
      <c r="K23" s="556"/>
      <c r="L23" s="556"/>
      <c r="M23" s="12" t="s">
        <v>106</v>
      </c>
      <c r="N23" s="439">
        <v>46062</v>
      </c>
    </row>
    <row r="24" spans="2:14" ht="18" customHeight="1" x14ac:dyDescent="0.3">
      <c r="B24" s="557"/>
      <c r="C24" s="555">
        <v>26010165</v>
      </c>
      <c r="D24" s="555"/>
      <c r="E24" s="553"/>
      <c r="F24" s="553"/>
      <c r="G24" s="555" t="s">
        <v>104</v>
      </c>
      <c r="H24" s="555"/>
      <c r="I24" s="555"/>
      <c r="J24" s="555"/>
      <c r="K24" s="556"/>
      <c r="L24" s="556"/>
      <c r="M24" s="16" t="s">
        <v>106</v>
      </c>
      <c r="N24" s="439">
        <v>46063</v>
      </c>
    </row>
    <row r="25" spans="2:14" ht="18" customHeight="1" x14ac:dyDescent="0.5">
      <c r="B25" s="557"/>
      <c r="C25" s="556">
        <v>26010166</v>
      </c>
      <c r="D25" s="556"/>
      <c r="E25" s="559"/>
      <c r="F25" s="559"/>
      <c r="G25" s="556" t="s">
        <v>104</v>
      </c>
      <c r="H25" s="556"/>
      <c r="I25" s="556"/>
      <c r="J25" s="556"/>
      <c r="K25" s="556"/>
      <c r="L25" s="556"/>
      <c r="M25" s="12" t="s">
        <v>106</v>
      </c>
      <c r="N25" s="439">
        <v>46063</v>
      </c>
    </row>
    <row r="26" spans="2:14" ht="18" customHeight="1" x14ac:dyDescent="0.5">
      <c r="B26" s="557"/>
      <c r="C26" s="555">
        <v>26010167</v>
      </c>
      <c r="D26" s="555"/>
      <c r="E26" s="560"/>
      <c r="F26" s="560"/>
      <c r="G26" s="555" t="s">
        <v>104</v>
      </c>
      <c r="H26" s="555"/>
      <c r="I26" s="555"/>
      <c r="J26" s="555"/>
      <c r="K26" s="556"/>
      <c r="L26" s="556"/>
      <c r="M26" s="16" t="s">
        <v>106</v>
      </c>
      <c r="N26" s="439">
        <v>46063</v>
      </c>
    </row>
    <row r="27" spans="2:14" ht="18" customHeight="1" x14ac:dyDescent="0.3">
      <c r="B27" s="557"/>
      <c r="C27" s="556">
        <v>26010168</v>
      </c>
      <c r="D27" s="556"/>
      <c r="E27" s="552"/>
      <c r="F27" s="552"/>
      <c r="G27" s="556" t="s">
        <v>104</v>
      </c>
      <c r="H27" s="556"/>
      <c r="I27" s="556"/>
      <c r="J27" s="556"/>
      <c r="K27" s="556"/>
      <c r="L27" s="556"/>
      <c r="M27" s="12" t="s">
        <v>106</v>
      </c>
      <c r="N27" s="439">
        <v>46063</v>
      </c>
    </row>
    <row r="28" spans="2:14" ht="18" customHeight="1" x14ac:dyDescent="0.3">
      <c r="B28" s="557"/>
      <c r="C28" s="555">
        <v>26010169</v>
      </c>
      <c r="D28" s="555"/>
      <c r="E28" s="553"/>
      <c r="F28" s="553"/>
      <c r="G28" s="555" t="s">
        <v>104</v>
      </c>
      <c r="H28" s="555"/>
      <c r="I28" s="555"/>
      <c r="J28" s="555"/>
      <c r="K28" s="556"/>
      <c r="L28" s="556"/>
      <c r="M28" s="16" t="s">
        <v>106</v>
      </c>
      <c r="N28" s="439">
        <v>46063</v>
      </c>
    </row>
    <row r="29" spans="2:14" ht="18" customHeight="1" x14ac:dyDescent="0.3">
      <c r="B29" s="557"/>
      <c r="C29" s="556">
        <v>26010170</v>
      </c>
      <c r="D29" s="556"/>
      <c r="E29" s="552"/>
      <c r="F29" s="552"/>
      <c r="G29" s="556" t="s">
        <v>104</v>
      </c>
      <c r="H29" s="556"/>
      <c r="I29" s="556"/>
      <c r="J29" s="556"/>
      <c r="K29" s="556"/>
      <c r="L29" s="556"/>
      <c r="M29" s="12" t="s">
        <v>106</v>
      </c>
      <c r="N29" s="439">
        <v>46063</v>
      </c>
    </row>
    <row r="30" spans="2:14" ht="18" customHeight="1" x14ac:dyDescent="0.5">
      <c r="B30" s="557"/>
      <c r="C30" s="555">
        <v>26010171</v>
      </c>
      <c r="D30" s="555"/>
      <c r="E30" s="560"/>
      <c r="F30" s="560"/>
      <c r="G30" s="555" t="s">
        <v>104</v>
      </c>
      <c r="H30" s="555"/>
      <c r="I30" s="555"/>
      <c r="J30" s="555"/>
      <c r="K30" s="556"/>
      <c r="L30" s="556"/>
      <c r="M30" s="16" t="s">
        <v>106</v>
      </c>
      <c r="N30" s="439">
        <v>46063</v>
      </c>
    </row>
    <row r="31" spans="2:14" ht="18" customHeight="1" x14ac:dyDescent="0.5">
      <c r="B31" s="557"/>
      <c r="C31" s="556">
        <v>26010172</v>
      </c>
      <c r="D31" s="556"/>
      <c r="E31" s="559"/>
      <c r="F31" s="559"/>
      <c r="G31" s="556" t="s">
        <v>104</v>
      </c>
      <c r="H31" s="556"/>
      <c r="I31" s="556"/>
      <c r="J31" s="556"/>
      <c r="K31" s="556"/>
      <c r="L31" s="556"/>
      <c r="M31" s="12" t="s">
        <v>106</v>
      </c>
      <c r="N31" s="439">
        <v>46064</v>
      </c>
    </row>
    <row r="32" spans="2:14" ht="17.25" customHeight="1" x14ac:dyDescent="0.3">
      <c r="B32" s="13" t="s">
        <v>280</v>
      </c>
      <c r="C32" s="555" t="s">
        <v>281</v>
      </c>
      <c r="D32" s="555"/>
      <c r="E32" s="553"/>
      <c r="F32" s="553"/>
      <c r="G32" s="555" t="s">
        <v>83</v>
      </c>
      <c r="H32" s="555"/>
      <c r="I32" s="555"/>
      <c r="J32" s="555"/>
      <c r="K32" s="555" t="s">
        <v>60</v>
      </c>
      <c r="L32" s="555"/>
      <c r="M32" s="14" t="s">
        <v>84</v>
      </c>
      <c r="N32" s="439">
        <v>46084</v>
      </c>
    </row>
    <row r="33" spans="2:14" ht="18" customHeight="1" x14ac:dyDescent="0.5">
      <c r="B33" s="557" t="s">
        <v>282</v>
      </c>
      <c r="C33" s="556">
        <v>26010174</v>
      </c>
      <c r="D33" s="556"/>
      <c r="E33" s="559"/>
      <c r="F33" s="559"/>
      <c r="G33" s="556" t="s">
        <v>104</v>
      </c>
      <c r="H33" s="556"/>
      <c r="I33" s="556"/>
      <c r="J33" s="556"/>
      <c r="K33" s="556" t="s">
        <v>105</v>
      </c>
      <c r="L33" s="556"/>
      <c r="M33" s="17" t="s">
        <v>106</v>
      </c>
      <c r="N33" s="439">
        <v>46064</v>
      </c>
    </row>
    <row r="34" spans="2:14" ht="18" customHeight="1" x14ac:dyDescent="0.3">
      <c r="B34" s="557"/>
      <c r="C34" s="555">
        <v>26010175</v>
      </c>
      <c r="D34" s="555"/>
      <c r="E34" s="553"/>
      <c r="F34" s="553"/>
      <c r="G34" s="555" t="s">
        <v>104</v>
      </c>
      <c r="H34" s="555"/>
      <c r="I34" s="555"/>
      <c r="J34" s="555"/>
      <c r="K34" s="556"/>
      <c r="L34" s="556"/>
      <c r="M34" s="14" t="s">
        <v>106</v>
      </c>
      <c r="N34" s="439">
        <v>46064</v>
      </c>
    </row>
    <row r="35" spans="2:14" ht="18" customHeight="1" x14ac:dyDescent="0.3">
      <c r="B35" s="557"/>
      <c r="C35" s="556">
        <v>26010176</v>
      </c>
      <c r="D35" s="556"/>
      <c r="E35" s="552"/>
      <c r="F35" s="552"/>
      <c r="G35" s="556" t="s">
        <v>104</v>
      </c>
      <c r="H35" s="556"/>
      <c r="I35" s="556"/>
      <c r="J35" s="556"/>
      <c r="K35" s="556"/>
      <c r="L35" s="556"/>
      <c r="M35" s="17" t="s">
        <v>106</v>
      </c>
      <c r="N35" s="439">
        <v>46064</v>
      </c>
    </row>
    <row r="36" spans="2:14" ht="18" customHeight="1" x14ac:dyDescent="0.3">
      <c r="B36" s="557"/>
      <c r="C36" s="555">
        <v>26010177</v>
      </c>
      <c r="D36" s="555"/>
      <c r="E36" s="553"/>
      <c r="F36" s="553"/>
      <c r="G36" s="555" t="s">
        <v>104</v>
      </c>
      <c r="H36" s="555"/>
      <c r="I36" s="555"/>
      <c r="J36" s="555"/>
      <c r="K36" s="556"/>
      <c r="L36" s="556"/>
      <c r="M36" s="14" t="s">
        <v>106</v>
      </c>
      <c r="N36" s="439">
        <v>46064</v>
      </c>
    </row>
    <row r="37" spans="2:14" ht="18" customHeight="1" x14ac:dyDescent="0.3">
      <c r="B37" s="557"/>
      <c r="C37" s="556">
        <v>26010178</v>
      </c>
      <c r="D37" s="556"/>
      <c r="E37" s="552"/>
      <c r="F37" s="552"/>
      <c r="G37" s="556" t="s">
        <v>104</v>
      </c>
      <c r="H37" s="556"/>
      <c r="I37" s="556"/>
      <c r="J37" s="556"/>
      <c r="K37" s="556"/>
      <c r="L37" s="556"/>
      <c r="M37" s="17" t="s">
        <v>106</v>
      </c>
      <c r="N37" s="439">
        <v>46065</v>
      </c>
    </row>
    <row r="38" spans="2:14" ht="18" customHeight="1" x14ac:dyDescent="0.5">
      <c r="B38" s="557"/>
      <c r="C38" s="555">
        <v>26010179</v>
      </c>
      <c r="D38" s="555"/>
      <c r="E38" s="560"/>
      <c r="F38" s="560"/>
      <c r="G38" s="555" t="s">
        <v>104</v>
      </c>
      <c r="H38" s="555"/>
      <c r="I38" s="555"/>
      <c r="J38" s="555"/>
      <c r="K38" s="556"/>
      <c r="L38" s="556"/>
      <c r="M38" s="14" t="s">
        <v>106</v>
      </c>
      <c r="N38" s="439">
        <v>46065</v>
      </c>
    </row>
    <row r="39" spans="2:14" ht="18" customHeight="1" x14ac:dyDescent="0.5">
      <c r="B39" s="557"/>
      <c r="C39" s="556">
        <v>26010180</v>
      </c>
      <c r="D39" s="556"/>
      <c r="E39" s="559"/>
      <c r="F39" s="559"/>
      <c r="G39" s="556" t="s">
        <v>104</v>
      </c>
      <c r="H39" s="556"/>
      <c r="I39" s="556"/>
      <c r="J39" s="556"/>
      <c r="K39" s="556"/>
      <c r="L39" s="556"/>
      <c r="M39" s="17" t="s">
        <v>106</v>
      </c>
      <c r="N39" s="439">
        <v>46065</v>
      </c>
    </row>
    <row r="40" spans="2:14" ht="18" customHeight="1" x14ac:dyDescent="0.3">
      <c r="B40" s="557"/>
      <c r="C40" s="555">
        <v>26010181</v>
      </c>
      <c r="D40" s="555"/>
      <c r="E40" s="553"/>
      <c r="F40" s="553"/>
      <c r="G40" s="555" t="s">
        <v>104</v>
      </c>
      <c r="H40" s="555"/>
      <c r="I40" s="555"/>
      <c r="J40" s="555"/>
      <c r="K40" s="556"/>
      <c r="L40" s="556"/>
      <c r="M40" s="14" t="s">
        <v>106</v>
      </c>
      <c r="N40" s="439">
        <v>46065</v>
      </c>
    </row>
    <row r="41" spans="2:14" ht="18" customHeight="1" x14ac:dyDescent="0.3">
      <c r="B41" s="557"/>
      <c r="C41" s="556">
        <v>26010182</v>
      </c>
      <c r="D41" s="556"/>
      <c r="E41" s="552"/>
      <c r="F41" s="552"/>
      <c r="G41" s="556" t="s">
        <v>104</v>
      </c>
      <c r="H41" s="556"/>
      <c r="I41" s="556"/>
      <c r="J41" s="556"/>
      <c r="K41" s="556"/>
      <c r="L41" s="556"/>
      <c r="M41" s="17" t="s">
        <v>106</v>
      </c>
      <c r="N41" s="439">
        <v>46065</v>
      </c>
    </row>
    <row r="42" spans="2:14" ht="18" customHeight="1" x14ac:dyDescent="0.3">
      <c r="B42" s="557"/>
      <c r="C42" s="555">
        <v>26010183</v>
      </c>
      <c r="D42" s="555"/>
      <c r="E42" s="553"/>
      <c r="F42" s="553"/>
      <c r="G42" s="555" t="s">
        <v>104</v>
      </c>
      <c r="H42" s="555"/>
      <c r="I42" s="555"/>
      <c r="J42" s="555"/>
      <c r="K42" s="556"/>
      <c r="L42" s="556"/>
      <c r="M42" s="14" t="s">
        <v>106</v>
      </c>
      <c r="N42" s="439">
        <v>46066</v>
      </c>
    </row>
    <row r="43" spans="2:14" ht="18" customHeight="1" x14ac:dyDescent="0.3">
      <c r="B43" s="557"/>
      <c r="C43" s="556">
        <v>26010184</v>
      </c>
      <c r="D43" s="556"/>
      <c r="E43" s="552"/>
      <c r="F43" s="552"/>
      <c r="G43" s="556" t="s">
        <v>104</v>
      </c>
      <c r="H43" s="556"/>
      <c r="I43" s="556"/>
      <c r="J43" s="556"/>
      <c r="K43" s="556"/>
      <c r="L43" s="556"/>
      <c r="M43" s="17" t="s">
        <v>106</v>
      </c>
      <c r="N43" s="439">
        <v>46066</v>
      </c>
    </row>
    <row r="44" spans="2:14" ht="18" customHeight="1" x14ac:dyDescent="0.3">
      <c r="B44" s="557"/>
      <c r="C44" s="555">
        <v>26010185</v>
      </c>
      <c r="D44" s="555"/>
      <c r="E44" s="553"/>
      <c r="F44" s="553"/>
      <c r="G44" s="555" t="s">
        <v>104</v>
      </c>
      <c r="H44" s="555"/>
      <c r="I44" s="555"/>
      <c r="J44" s="555"/>
      <c r="K44" s="556"/>
      <c r="L44" s="556"/>
      <c r="M44" s="14" t="s">
        <v>106</v>
      </c>
      <c r="N44" s="439">
        <v>46066</v>
      </c>
    </row>
    <row r="45" spans="2:14" ht="18" customHeight="1" x14ac:dyDescent="0.5">
      <c r="B45" s="557"/>
      <c r="C45" s="556">
        <v>26010186</v>
      </c>
      <c r="D45" s="556"/>
      <c r="E45" s="559"/>
      <c r="F45" s="559"/>
      <c r="G45" s="556" t="s">
        <v>104</v>
      </c>
      <c r="H45" s="556"/>
      <c r="I45" s="556"/>
      <c r="J45" s="556"/>
      <c r="K45" s="556"/>
      <c r="L45" s="556"/>
      <c r="M45" s="17" t="s">
        <v>106</v>
      </c>
      <c r="N45" s="439">
        <v>46066</v>
      </c>
    </row>
    <row r="46" spans="2:14" ht="18" customHeight="1" x14ac:dyDescent="0.3">
      <c r="B46" s="557"/>
      <c r="C46" s="555">
        <v>26010187</v>
      </c>
      <c r="D46" s="555"/>
      <c r="E46" s="553"/>
      <c r="F46" s="553"/>
      <c r="G46" s="555" t="s">
        <v>196</v>
      </c>
      <c r="H46" s="555"/>
      <c r="I46" s="555"/>
      <c r="J46" s="555"/>
      <c r="K46" s="556"/>
      <c r="L46" s="556"/>
      <c r="M46" s="14" t="s">
        <v>106</v>
      </c>
      <c r="N46" s="439">
        <v>46065</v>
      </c>
    </row>
    <row r="47" spans="2:14" ht="18" customHeight="1" x14ac:dyDescent="0.3">
      <c r="B47" s="557"/>
      <c r="C47" s="556">
        <v>26010188</v>
      </c>
      <c r="D47" s="556"/>
      <c r="E47" s="552"/>
      <c r="F47" s="552"/>
      <c r="G47" s="556" t="s">
        <v>196</v>
      </c>
      <c r="H47" s="556"/>
      <c r="I47" s="556"/>
      <c r="J47" s="556"/>
      <c r="K47" s="556"/>
      <c r="L47" s="556"/>
      <c r="M47" s="17" t="s">
        <v>106</v>
      </c>
      <c r="N47" s="439">
        <v>46065</v>
      </c>
    </row>
    <row r="48" spans="2:14" ht="18" customHeight="1" x14ac:dyDescent="0.3">
      <c r="B48" s="557"/>
      <c r="C48" s="555">
        <v>26010189</v>
      </c>
      <c r="D48" s="555"/>
      <c r="E48" s="553"/>
      <c r="F48" s="553"/>
      <c r="G48" s="555" t="s">
        <v>196</v>
      </c>
      <c r="H48" s="555"/>
      <c r="I48" s="555"/>
      <c r="J48" s="555"/>
      <c r="K48" s="556"/>
      <c r="L48" s="556"/>
      <c r="M48" s="14" t="s">
        <v>106</v>
      </c>
      <c r="N48" s="439">
        <v>46065</v>
      </c>
    </row>
    <row r="49" spans="2:14" ht="18" customHeight="1" x14ac:dyDescent="0.3">
      <c r="B49" s="557"/>
      <c r="C49" s="556">
        <v>26010190</v>
      </c>
      <c r="D49" s="556"/>
      <c r="E49" s="552"/>
      <c r="F49" s="552"/>
      <c r="G49" s="556" t="s">
        <v>196</v>
      </c>
      <c r="H49" s="556"/>
      <c r="I49" s="556"/>
      <c r="J49" s="556"/>
      <c r="K49" s="556"/>
      <c r="L49" s="556"/>
      <c r="M49" s="17" t="s">
        <v>106</v>
      </c>
      <c r="N49" s="439">
        <v>46065</v>
      </c>
    </row>
    <row r="50" spans="2:14" ht="18" customHeight="1" x14ac:dyDescent="0.3">
      <c r="B50" s="557"/>
      <c r="C50" s="555">
        <v>26010191</v>
      </c>
      <c r="D50" s="555"/>
      <c r="E50" s="553"/>
      <c r="F50" s="553"/>
      <c r="G50" s="555" t="s">
        <v>196</v>
      </c>
      <c r="H50" s="555"/>
      <c r="I50" s="555"/>
      <c r="J50" s="555"/>
      <c r="K50" s="556"/>
      <c r="L50" s="556"/>
      <c r="M50" s="14" t="s">
        <v>106</v>
      </c>
      <c r="N50" s="439">
        <v>46066</v>
      </c>
    </row>
    <row r="51" spans="2:14" ht="18" customHeight="1" x14ac:dyDescent="0.3">
      <c r="B51" s="557"/>
      <c r="C51" s="556">
        <v>26010192</v>
      </c>
      <c r="D51" s="556"/>
      <c r="E51" s="552"/>
      <c r="F51" s="552"/>
      <c r="G51" s="556" t="s">
        <v>196</v>
      </c>
      <c r="H51" s="556"/>
      <c r="I51" s="556"/>
      <c r="J51" s="556"/>
      <c r="K51" s="556"/>
      <c r="L51" s="556"/>
      <c r="M51" s="17" t="s">
        <v>106</v>
      </c>
      <c r="N51" s="439">
        <v>46066</v>
      </c>
    </row>
    <row r="52" spans="2:14" ht="18" customHeight="1" x14ac:dyDescent="0.3">
      <c r="B52" s="557"/>
      <c r="C52" s="555">
        <v>26010193</v>
      </c>
      <c r="D52" s="555"/>
      <c r="E52" s="553"/>
      <c r="F52" s="553"/>
      <c r="G52" s="555" t="s">
        <v>196</v>
      </c>
      <c r="H52" s="555"/>
      <c r="I52" s="555"/>
      <c r="J52" s="555"/>
      <c r="K52" s="556"/>
      <c r="L52" s="556"/>
      <c r="M52" s="14" t="s">
        <v>106</v>
      </c>
      <c r="N52" s="439">
        <v>46066</v>
      </c>
    </row>
    <row r="53" spans="2:14" ht="18" customHeight="1" x14ac:dyDescent="0.3">
      <c r="B53" s="557"/>
      <c r="C53" s="556">
        <v>26010194</v>
      </c>
      <c r="D53" s="556"/>
      <c r="E53" s="552"/>
      <c r="F53" s="552"/>
      <c r="G53" s="556" t="s">
        <v>196</v>
      </c>
      <c r="H53" s="556"/>
      <c r="I53" s="556"/>
      <c r="J53" s="556"/>
      <c r="K53" s="556"/>
      <c r="L53" s="556"/>
      <c r="M53" s="17" t="s">
        <v>106</v>
      </c>
      <c r="N53" s="439">
        <v>46066</v>
      </c>
    </row>
    <row r="54" spans="2:14" ht="18" customHeight="1" x14ac:dyDescent="0.3">
      <c r="B54" s="557"/>
      <c r="C54" s="555">
        <v>26010195</v>
      </c>
      <c r="D54" s="555"/>
      <c r="E54" s="553"/>
      <c r="F54" s="553"/>
      <c r="G54" s="555" t="s">
        <v>196</v>
      </c>
      <c r="H54" s="555"/>
      <c r="I54" s="555"/>
      <c r="J54" s="555"/>
      <c r="K54" s="556"/>
      <c r="L54" s="556"/>
      <c r="M54" s="14" t="s">
        <v>106</v>
      </c>
      <c r="N54" s="439">
        <v>46071</v>
      </c>
    </row>
    <row r="55" spans="2:14" ht="18" customHeight="1" x14ac:dyDescent="0.5">
      <c r="B55" s="557"/>
      <c r="C55" s="556">
        <v>26010196</v>
      </c>
      <c r="D55" s="556"/>
      <c r="E55" s="559"/>
      <c r="F55" s="559"/>
      <c r="G55" s="556" t="s">
        <v>196</v>
      </c>
      <c r="H55" s="556"/>
      <c r="I55" s="556"/>
      <c r="J55" s="556"/>
      <c r="K55" s="556"/>
      <c r="L55" s="556"/>
      <c r="M55" s="17" t="s">
        <v>106</v>
      </c>
      <c r="N55" s="439">
        <v>46071</v>
      </c>
    </row>
    <row r="56" spans="2:14" ht="18" customHeight="1" x14ac:dyDescent="0.3">
      <c r="B56" s="557"/>
      <c r="C56" s="555">
        <v>26010197</v>
      </c>
      <c r="D56" s="555"/>
      <c r="E56" s="553"/>
      <c r="F56" s="553"/>
      <c r="G56" s="555" t="s">
        <v>104</v>
      </c>
      <c r="H56" s="555"/>
      <c r="I56" s="555"/>
      <c r="J56" s="555"/>
      <c r="K56" s="556"/>
      <c r="L56" s="556"/>
      <c r="M56" s="14" t="s">
        <v>106</v>
      </c>
      <c r="N56" s="439">
        <v>46071</v>
      </c>
    </row>
    <row r="57" spans="2:14" ht="18" customHeight="1" x14ac:dyDescent="0.5">
      <c r="B57" s="557"/>
      <c r="C57" s="556">
        <v>26010198</v>
      </c>
      <c r="D57" s="556"/>
      <c r="E57" s="559"/>
      <c r="F57" s="559"/>
      <c r="G57" s="556" t="s">
        <v>104</v>
      </c>
      <c r="H57" s="556"/>
      <c r="I57" s="556"/>
      <c r="J57" s="556"/>
      <c r="K57" s="556"/>
      <c r="L57" s="556"/>
      <c r="M57" s="17" t="s">
        <v>106</v>
      </c>
      <c r="N57" s="439">
        <v>46071</v>
      </c>
    </row>
    <row r="58" spans="2:14" ht="17.25" customHeight="1" x14ac:dyDescent="0.3">
      <c r="B58" s="13" t="s">
        <v>283</v>
      </c>
      <c r="C58" s="555">
        <v>26010199</v>
      </c>
      <c r="D58" s="555"/>
      <c r="E58" s="553"/>
      <c r="F58" s="553"/>
      <c r="G58" s="555" t="s">
        <v>259</v>
      </c>
      <c r="H58" s="555"/>
      <c r="I58" s="555"/>
      <c r="J58" s="555"/>
      <c r="K58" s="555" t="s">
        <v>274</v>
      </c>
      <c r="L58" s="555"/>
      <c r="M58" s="14" t="s">
        <v>284</v>
      </c>
      <c r="N58" s="439">
        <v>46065</v>
      </c>
    </row>
    <row r="59" spans="2:14" ht="18" customHeight="1" x14ac:dyDescent="0.3">
      <c r="B59" s="557" t="s">
        <v>285</v>
      </c>
      <c r="C59" s="556">
        <v>26010200</v>
      </c>
      <c r="D59" s="556"/>
      <c r="E59" s="552"/>
      <c r="F59" s="552"/>
      <c r="G59" s="556" t="s">
        <v>104</v>
      </c>
      <c r="H59" s="556"/>
      <c r="I59" s="556"/>
      <c r="J59" s="556"/>
      <c r="K59" s="556" t="s">
        <v>105</v>
      </c>
      <c r="L59" s="556"/>
      <c r="M59" s="17" t="s">
        <v>106</v>
      </c>
      <c r="N59" s="439">
        <v>46071</v>
      </c>
    </row>
    <row r="60" spans="2:14" ht="18" customHeight="1" x14ac:dyDescent="0.3">
      <c r="B60" s="557"/>
      <c r="C60" s="555">
        <v>26010201</v>
      </c>
      <c r="D60" s="555"/>
      <c r="E60" s="553"/>
      <c r="F60" s="553"/>
      <c r="G60" s="555" t="s">
        <v>104</v>
      </c>
      <c r="H60" s="555"/>
      <c r="I60" s="555"/>
      <c r="J60" s="555"/>
      <c r="K60" s="556"/>
      <c r="L60" s="556"/>
      <c r="M60" s="14" t="s">
        <v>106</v>
      </c>
      <c r="N60" s="439">
        <v>46071</v>
      </c>
    </row>
    <row r="61" spans="2:14" ht="18" customHeight="1" x14ac:dyDescent="0.3">
      <c r="B61" s="557"/>
      <c r="C61" s="556">
        <v>26010202</v>
      </c>
      <c r="D61" s="556"/>
      <c r="E61" s="552"/>
      <c r="F61" s="552"/>
      <c r="G61" s="556" t="s">
        <v>104</v>
      </c>
      <c r="H61" s="556"/>
      <c r="I61" s="556"/>
      <c r="J61" s="556"/>
      <c r="K61" s="556"/>
      <c r="L61" s="556"/>
      <c r="M61" s="17" t="s">
        <v>106</v>
      </c>
      <c r="N61" s="439">
        <v>46072</v>
      </c>
    </row>
    <row r="62" spans="2:14" ht="18" customHeight="1" x14ac:dyDescent="0.3">
      <c r="B62" s="557"/>
      <c r="C62" s="555">
        <v>26010203</v>
      </c>
      <c r="D62" s="555"/>
      <c r="E62" s="553"/>
      <c r="F62" s="553"/>
      <c r="G62" s="555" t="s">
        <v>104</v>
      </c>
      <c r="H62" s="555"/>
      <c r="I62" s="555"/>
      <c r="J62" s="555"/>
      <c r="K62" s="556"/>
      <c r="L62" s="556"/>
      <c r="M62" s="14" t="s">
        <v>106</v>
      </c>
      <c r="N62" s="439">
        <v>46072</v>
      </c>
    </row>
    <row r="63" spans="2:14" ht="18" customHeight="1" x14ac:dyDescent="0.5">
      <c r="B63" s="557"/>
      <c r="C63" s="556">
        <v>26010204</v>
      </c>
      <c r="D63" s="556"/>
      <c r="E63" s="559"/>
      <c r="F63" s="559"/>
      <c r="G63" s="556" t="s">
        <v>104</v>
      </c>
      <c r="H63" s="556"/>
      <c r="I63" s="556"/>
      <c r="J63" s="556"/>
      <c r="K63" s="556"/>
      <c r="L63" s="556"/>
      <c r="M63" s="17" t="s">
        <v>106</v>
      </c>
      <c r="N63" s="439">
        <v>46072</v>
      </c>
    </row>
    <row r="64" spans="2:14" ht="18" customHeight="1" x14ac:dyDescent="0.3">
      <c r="B64" s="557"/>
      <c r="C64" s="555">
        <v>26010205</v>
      </c>
      <c r="D64" s="555"/>
      <c r="E64" s="553"/>
      <c r="F64" s="553"/>
      <c r="G64" s="555" t="s">
        <v>104</v>
      </c>
      <c r="H64" s="555"/>
      <c r="I64" s="555"/>
      <c r="J64" s="555"/>
      <c r="K64" s="556"/>
      <c r="L64" s="556"/>
      <c r="M64" s="14" t="s">
        <v>106</v>
      </c>
      <c r="N64" s="439">
        <v>46072</v>
      </c>
    </row>
    <row r="65" spans="2:14" ht="18" customHeight="1" x14ac:dyDescent="0.3">
      <c r="B65" s="557"/>
      <c r="C65" s="556">
        <v>26010206</v>
      </c>
      <c r="D65" s="556"/>
      <c r="E65" s="552"/>
      <c r="F65" s="552"/>
      <c r="G65" s="556" t="s">
        <v>104</v>
      </c>
      <c r="H65" s="556"/>
      <c r="I65" s="556"/>
      <c r="J65" s="556"/>
      <c r="K65" s="556"/>
      <c r="L65" s="556"/>
      <c r="M65" s="17" t="s">
        <v>106</v>
      </c>
      <c r="N65" s="439">
        <v>46072</v>
      </c>
    </row>
    <row r="66" spans="2:14" ht="18" customHeight="1" x14ac:dyDescent="0.5">
      <c r="B66" s="557"/>
      <c r="C66" s="555">
        <v>26010207</v>
      </c>
      <c r="D66" s="555"/>
      <c r="E66" s="560"/>
      <c r="F66" s="560"/>
      <c r="G66" s="555" t="s">
        <v>104</v>
      </c>
      <c r="H66" s="555"/>
      <c r="I66" s="555"/>
      <c r="J66" s="555"/>
      <c r="K66" s="556"/>
      <c r="L66" s="556"/>
      <c r="M66" s="14" t="s">
        <v>106</v>
      </c>
      <c r="N66" s="439">
        <v>46072</v>
      </c>
    </row>
    <row r="67" spans="2:14" ht="18" customHeight="1" x14ac:dyDescent="0.3">
      <c r="B67" s="557"/>
      <c r="C67" s="556">
        <v>26010208</v>
      </c>
      <c r="D67" s="556"/>
      <c r="E67" s="552"/>
      <c r="F67" s="552"/>
      <c r="G67" s="556" t="s">
        <v>104</v>
      </c>
      <c r="H67" s="556"/>
      <c r="I67" s="556"/>
      <c r="J67" s="556"/>
      <c r="K67" s="556"/>
      <c r="L67" s="556"/>
      <c r="M67" s="17" t="s">
        <v>106</v>
      </c>
      <c r="N67" s="439">
        <v>46080</v>
      </c>
    </row>
    <row r="68" spans="2:14" ht="18" customHeight="1" x14ac:dyDescent="0.3">
      <c r="B68" s="557"/>
      <c r="C68" s="555">
        <v>26010209</v>
      </c>
      <c r="D68" s="555"/>
      <c r="E68" s="553"/>
      <c r="F68" s="553"/>
      <c r="G68" s="555" t="s">
        <v>104</v>
      </c>
      <c r="H68" s="555"/>
      <c r="I68" s="555"/>
      <c r="J68" s="555"/>
      <c r="K68" s="556"/>
      <c r="L68" s="556"/>
      <c r="M68" s="14" t="s">
        <v>106</v>
      </c>
      <c r="N68" s="439">
        <v>46080</v>
      </c>
    </row>
    <row r="69" spans="2:14" ht="18" customHeight="1" x14ac:dyDescent="0.3">
      <c r="B69" s="557"/>
      <c r="C69" s="556">
        <v>26010210</v>
      </c>
      <c r="D69" s="556"/>
      <c r="E69" s="552"/>
      <c r="F69" s="552"/>
      <c r="G69" s="556" t="s">
        <v>104</v>
      </c>
      <c r="H69" s="556"/>
      <c r="I69" s="556"/>
      <c r="J69" s="556"/>
      <c r="K69" s="556"/>
      <c r="L69" s="556"/>
      <c r="M69" s="17" t="s">
        <v>106</v>
      </c>
      <c r="N69" s="439">
        <v>46080</v>
      </c>
    </row>
    <row r="70" spans="2:14" ht="18" customHeight="1" x14ac:dyDescent="0.3">
      <c r="B70" s="557"/>
      <c r="C70" s="555">
        <v>26010211</v>
      </c>
      <c r="D70" s="555"/>
      <c r="E70" s="553"/>
      <c r="F70" s="553"/>
      <c r="G70" s="555" t="s">
        <v>104</v>
      </c>
      <c r="H70" s="555"/>
      <c r="I70" s="555"/>
      <c r="J70" s="555"/>
      <c r="K70" s="556"/>
      <c r="L70" s="556"/>
      <c r="M70" s="14" t="s">
        <v>106</v>
      </c>
      <c r="N70" s="439">
        <v>46080</v>
      </c>
    </row>
    <row r="71" spans="2:14" ht="18" customHeight="1" x14ac:dyDescent="0.3">
      <c r="B71" s="557"/>
      <c r="C71" s="556">
        <v>26010212</v>
      </c>
      <c r="D71" s="556"/>
      <c r="E71" s="552"/>
      <c r="F71" s="552"/>
      <c r="G71" s="556" t="s">
        <v>104</v>
      </c>
      <c r="H71" s="556"/>
      <c r="I71" s="556"/>
      <c r="J71" s="556"/>
      <c r="K71" s="556"/>
      <c r="L71" s="556"/>
      <c r="M71" s="17" t="s">
        <v>106</v>
      </c>
      <c r="N71" s="439">
        <v>46080</v>
      </c>
    </row>
    <row r="72" spans="2:14" ht="18" customHeight="1" x14ac:dyDescent="0.5">
      <c r="B72" s="557"/>
      <c r="C72" s="555">
        <v>26010213</v>
      </c>
      <c r="D72" s="555"/>
      <c r="E72" s="560"/>
      <c r="F72" s="560"/>
      <c r="G72" s="555" t="s">
        <v>104</v>
      </c>
      <c r="H72" s="555"/>
      <c r="I72" s="555"/>
      <c r="J72" s="555"/>
      <c r="K72" s="556"/>
      <c r="L72" s="556"/>
      <c r="M72" s="14" t="s">
        <v>106</v>
      </c>
      <c r="N72" s="439">
        <v>46080</v>
      </c>
    </row>
    <row r="73" spans="2:14" ht="18" customHeight="1" x14ac:dyDescent="0.3">
      <c r="B73" s="557"/>
      <c r="C73" s="556">
        <v>26010214</v>
      </c>
      <c r="D73" s="556"/>
      <c r="E73" s="552"/>
      <c r="F73" s="552"/>
      <c r="G73" s="556" t="s">
        <v>104</v>
      </c>
      <c r="H73" s="556"/>
      <c r="I73" s="556"/>
      <c r="J73" s="556"/>
      <c r="K73" s="556"/>
      <c r="L73" s="556"/>
      <c r="M73" s="17" t="s">
        <v>106</v>
      </c>
      <c r="N73" s="439">
        <v>46083</v>
      </c>
    </row>
    <row r="74" spans="2:14" ht="18" customHeight="1" x14ac:dyDescent="0.3">
      <c r="B74" s="557"/>
      <c r="C74" s="555">
        <v>26010215</v>
      </c>
      <c r="D74" s="555"/>
      <c r="E74" s="553"/>
      <c r="F74" s="553"/>
      <c r="G74" s="555" t="s">
        <v>104</v>
      </c>
      <c r="H74" s="555"/>
      <c r="I74" s="555"/>
      <c r="J74" s="555"/>
      <c r="K74" s="556"/>
      <c r="L74" s="556"/>
      <c r="M74" s="14" t="s">
        <v>106</v>
      </c>
      <c r="N74" s="439">
        <v>46083</v>
      </c>
    </row>
    <row r="75" spans="2:14" ht="18" customHeight="1" x14ac:dyDescent="0.3">
      <c r="B75" s="557"/>
      <c r="C75" s="556">
        <v>26010216</v>
      </c>
      <c r="D75" s="556"/>
      <c r="E75" s="552"/>
      <c r="F75" s="552"/>
      <c r="G75" s="556" t="s">
        <v>104</v>
      </c>
      <c r="H75" s="556"/>
      <c r="I75" s="556"/>
      <c r="J75" s="556"/>
      <c r="K75" s="556"/>
      <c r="L75" s="556"/>
      <c r="M75" s="17" t="s">
        <v>106</v>
      </c>
      <c r="N75" s="439">
        <v>46083</v>
      </c>
    </row>
    <row r="76" spans="2:14" ht="18" customHeight="1" x14ac:dyDescent="0.3">
      <c r="B76" s="557"/>
      <c r="C76" s="555">
        <v>26010217</v>
      </c>
      <c r="D76" s="555"/>
      <c r="E76" s="553"/>
      <c r="F76" s="553"/>
      <c r="G76" s="555" t="s">
        <v>104</v>
      </c>
      <c r="H76" s="555"/>
      <c r="I76" s="555"/>
      <c r="J76" s="555"/>
      <c r="K76" s="556"/>
      <c r="L76" s="556"/>
      <c r="M76" s="14" t="s">
        <v>106</v>
      </c>
      <c r="N76" s="439">
        <v>46083</v>
      </c>
    </row>
    <row r="77" spans="2:14" ht="18" customHeight="1" x14ac:dyDescent="0.3">
      <c r="B77" s="557"/>
      <c r="C77" s="556">
        <v>26010218</v>
      </c>
      <c r="D77" s="556"/>
      <c r="E77" s="552"/>
      <c r="F77" s="552"/>
      <c r="G77" s="556" t="s">
        <v>104</v>
      </c>
      <c r="H77" s="556"/>
      <c r="I77" s="556"/>
      <c r="J77" s="556"/>
      <c r="K77" s="556"/>
      <c r="L77" s="556"/>
      <c r="M77" s="17" t="s">
        <v>106</v>
      </c>
      <c r="N77" s="439">
        <v>46083</v>
      </c>
    </row>
    <row r="78" spans="2:14" ht="18" customHeight="1" x14ac:dyDescent="0.3">
      <c r="B78" s="557"/>
      <c r="C78" s="555">
        <v>26010219</v>
      </c>
      <c r="D78" s="555"/>
      <c r="E78" s="553"/>
      <c r="F78" s="553"/>
      <c r="G78" s="555" t="s">
        <v>104</v>
      </c>
      <c r="H78" s="555"/>
      <c r="I78" s="555"/>
      <c r="J78" s="555"/>
      <c r="K78" s="556"/>
      <c r="L78" s="556"/>
      <c r="M78" s="14" t="s">
        <v>106</v>
      </c>
      <c r="N78" s="439">
        <v>46083</v>
      </c>
    </row>
    <row r="79" spans="2:14" ht="18" customHeight="1" x14ac:dyDescent="0.3">
      <c r="B79" s="557"/>
      <c r="C79" s="556">
        <v>26010220</v>
      </c>
      <c r="D79" s="556"/>
      <c r="E79" s="552"/>
      <c r="F79" s="552"/>
      <c r="G79" s="556" t="s">
        <v>104</v>
      </c>
      <c r="H79" s="556"/>
      <c r="I79" s="556"/>
      <c r="J79" s="556"/>
      <c r="K79" s="556"/>
      <c r="L79" s="556"/>
      <c r="M79" s="17" t="s">
        <v>106</v>
      </c>
      <c r="N79" s="439">
        <v>46083</v>
      </c>
    </row>
    <row r="80" spans="2:14" ht="18" customHeight="1" x14ac:dyDescent="0.5">
      <c r="B80" s="557"/>
      <c r="C80" s="555">
        <v>26010221</v>
      </c>
      <c r="D80" s="555"/>
      <c r="E80" s="560"/>
      <c r="F80" s="560"/>
      <c r="G80" s="555" t="s">
        <v>104</v>
      </c>
      <c r="H80" s="555"/>
      <c r="I80" s="555"/>
      <c r="J80" s="555"/>
      <c r="K80" s="556"/>
      <c r="L80" s="556"/>
      <c r="M80" s="14" t="s">
        <v>106</v>
      </c>
      <c r="N80" s="439">
        <v>46084</v>
      </c>
    </row>
    <row r="81" spans="2:14" ht="18" customHeight="1" x14ac:dyDescent="0.3">
      <c r="B81" s="557"/>
      <c r="C81" s="556">
        <v>26010222</v>
      </c>
      <c r="D81" s="556"/>
      <c r="E81" s="552"/>
      <c r="F81" s="552"/>
      <c r="G81" s="556" t="s">
        <v>104</v>
      </c>
      <c r="H81" s="556"/>
      <c r="I81" s="556"/>
      <c r="J81" s="556"/>
      <c r="K81" s="556"/>
      <c r="L81" s="556"/>
      <c r="M81" s="17" t="s">
        <v>106</v>
      </c>
      <c r="N81" s="439">
        <v>46084</v>
      </c>
    </row>
    <row r="82" spans="2:14" ht="18" customHeight="1" x14ac:dyDescent="0.3">
      <c r="B82" s="557"/>
      <c r="C82" s="555">
        <v>26010223</v>
      </c>
      <c r="D82" s="555"/>
      <c r="E82" s="553"/>
      <c r="F82" s="553"/>
      <c r="G82" s="555" t="s">
        <v>104</v>
      </c>
      <c r="H82" s="555"/>
      <c r="I82" s="555"/>
      <c r="J82" s="555"/>
      <c r="K82" s="556"/>
      <c r="L82" s="556"/>
      <c r="M82" s="14" t="s">
        <v>106</v>
      </c>
      <c r="N82" s="439">
        <v>46084</v>
      </c>
    </row>
    <row r="83" spans="2:14" ht="18" customHeight="1" x14ac:dyDescent="0.5">
      <c r="B83" s="557"/>
      <c r="C83" s="556">
        <v>26010224</v>
      </c>
      <c r="D83" s="556"/>
      <c r="E83" s="559"/>
      <c r="F83" s="559"/>
      <c r="G83" s="556" t="s">
        <v>104</v>
      </c>
      <c r="H83" s="556"/>
      <c r="I83" s="556"/>
      <c r="J83" s="556"/>
      <c r="K83" s="556"/>
      <c r="L83" s="556"/>
      <c r="M83" s="17" t="s">
        <v>106</v>
      </c>
      <c r="N83" s="439">
        <v>46084</v>
      </c>
    </row>
    <row r="84" spans="2:14" ht="17.25" customHeight="1" x14ac:dyDescent="0.3">
      <c r="B84" s="13" t="s">
        <v>286</v>
      </c>
      <c r="C84" s="555">
        <v>26010225</v>
      </c>
      <c r="D84" s="555"/>
      <c r="E84" s="553"/>
      <c r="F84" s="553"/>
      <c r="G84" s="555" t="s">
        <v>287</v>
      </c>
      <c r="H84" s="555"/>
      <c r="I84" s="555"/>
      <c r="J84" s="555"/>
      <c r="K84" s="555" t="s">
        <v>288</v>
      </c>
      <c r="L84" s="555"/>
      <c r="M84" s="14" t="s">
        <v>135</v>
      </c>
      <c r="N84" s="439">
        <v>46072</v>
      </c>
    </row>
    <row r="85" spans="2:14" ht="17.25" customHeight="1" x14ac:dyDescent="0.3">
      <c r="B85" s="15" t="s">
        <v>289</v>
      </c>
      <c r="C85" s="556">
        <v>26010226</v>
      </c>
      <c r="D85" s="556"/>
      <c r="E85" s="552"/>
      <c r="F85" s="552"/>
      <c r="G85" s="556" t="s">
        <v>172</v>
      </c>
      <c r="H85" s="556"/>
      <c r="I85" s="556"/>
      <c r="J85" s="556"/>
      <c r="K85" s="556" t="s">
        <v>91</v>
      </c>
      <c r="L85" s="556"/>
      <c r="M85" s="17" t="s">
        <v>290</v>
      </c>
      <c r="N85" s="439">
        <v>46072</v>
      </c>
    </row>
    <row r="86" spans="2:14" ht="18" customHeight="1" x14ac:dyDescent="0.3">
      <c r="B86" s="558" t="s">
        <v>291</v>
      </c>
      <c r="C86" s="555">
        <v>26040227</v>
      </c>
      <c r="D86" s="555"/>
      <c r="E86" s="553"/>
      <c r="F86" s="553"/>
      <c r="G86" s="555" t="s">
        <v>292</v>
      </c>
      <c r="H86" s="555"/>
      <c r="I86" s="555"/>
      <c r="J86" s="555"/>
      <c r="K86" s="555" t="s">
        <v>293</v>
      </c>
      <c r="L86" s="555"/>
      <c r="M86" s="14" t="s">
        <v>173</v>
      </c>
      <c r="N86" s="439">
        <v>46072</v>
      </c>
    </row>
    <row r="87" spans="2:14" ht="18" customHeight="1" x14ac:dyDescent="0.3">
      <c r="B87" s="558"/>
      <c r="C87" s="556">
        <v>26040228</v>
      </c>
      <c r="D87" s="556"/>
      <c r="E87" s="552"/>
      <c r="F87" s="552"/>
      <c r="G87" s="556" t="s">
        <v>294</v>
      </c>
      <c r="H87" s="556"/>
      <c r="I87" s="556"/>
      <c r="J87" s="556"/>
      <c r="K87" s="555"/>
      <c r="L87" s="555"/>
      <c r="M87" s="17" t="s">
        <v>173</v>
      </c>
      <c r="N87" s="439">
        <v>46076</v>
      </c>
    </row>
    <row r="88" spans="2:14" ht="18" customHeight="1" x14ac:dyDescent="0.3">
      <c r="B88" s="558" t="s">
        <v>295</v>
      </c>
      <c r="C88" s="555">
        <v>26040229</v>
      </c>
      <c r="D88" s="555"/>
      <c r="E88" s="553"/>
      <c r="F88" s="553"/>
      <c r="G88" s="555" t="s">
        <v>294</v>
      </c>
      <c r="H88" s="555"/>
      <c r="I88" s="555"/>
      <c r="J88" s="555"/>
      <c r="K88" s="555" t="s">
        <v>296</v>
      </c>
      <c r="L88" s="555"/>
      <c r="M88" s="14" t="s">
        <v>173</v>
      </c>
      <c r="N88" s="439">
        <v>46077</v>
      </c>
    </row>
    <row r="89" spans="2:14" ht="18" customHeight="1" x14ac:dyDescent="0.3">
      <c r="B89" s="558"/>
      <c r="C89" s="556">
        <v>26040230</v>
      </c>
      <c r="D89" s="556"/>
      <c r="E89" s="552"/>
      <c r="F89" s="552"/>
      <c r="G89" s="556" t="s">
        <v>297</v>
      </c>
      <c r="H89" s="556"/>
      <c r="I89" s="556"/>
      <c r="J89" s="556"/>
      <c r="K89" s="555"/>
      <c r="L89" s="555"/>
      <c r="M89" s="17" t="s">
        <v>173</v>
      </c>
      <c r="N89" s="439">
        <v>46077</v>
      </c>
    </row>
    <row r="90" spans="2:14" ht="18" customHeight="1" x14ac:dyDescent="0.3">
      <c r="B90" s="558" t="s">
        <v>298</v>
      </c>
      <c r="C90" s="555">
        <v>26040231</v>
      </c>
      <c r="D90" s="555"/>
      <c r="E90" s="553"/>
      <c r="F90" s="553"/>
      <c r="G90" s="555" t="s">
        <v>294</v>
      </c>
      <c r="H90" s="555"/>
      <c r="I90" s="555"/>
      <c r="J90" s="555"/>
      <c r="K90" s="555" t="s">
        <v>299</v>
      </c>
      <c r="L90" s="555"/>
      <c r="M90" s="14" t="s">
        <v>300</v>
      </c>
      <c r="N90" s="439">
        <v>46076</v>
      </c>
    </row>
    <row r="91" spans="2:14" ht="18" customHeight="1" x14ac:dyDescent="0.3">
      <c r="B91" s="558"/>
      <c r="C91" s="556">
        <v>26040232</v>
      </c>
      <c r="D91" s="556"/>
      <c r="E91" s="552"/>
      <c r="F91" s="552"/>
      <c r="G91" s="556" t="s">
        <v>297</v>
      </c>
      <c r="H91" s="556"/>
      <c r="I91" s="556"/>
      <c r="J91" s="556"/>
      <c r="K91" s="555"/>
      <c r="L91" s="555"/>
      <c r="M91" s="17" t="s">
        <v>301</v>
      </c>
      <c r="N91" s="439">
        <v>46076</v>
      </c>
    </row>
    <row r="92" spans="2:14" ht="18" customHeight="1" x14ac:dyDescent="0.3">
      <c r="B92" s="165" t="s">
        <v>302</v>
      </c>
      <c r="C92" s="555">
        <v>26030233</v>
      </c>
      <c r="D92" s="555"/>
      <c r="E92" s="553"/>
      <c r="F92" s="553"/>
      <c r="G92" s="555" t="s">
        <v>303</v>
      </c>
      <c r="H92" s="555"/>
      <c r="I92" s="555"/>
      <c r="J92" s="555"/>
      <c r="K92" s="555" t="s">
        <v>105</v>
      </c>
      <c r="L92" s="555"/>
      <c r="M92" s="16" t="s">
        <v>129</v>
      </c>
      <c r="N92" s="439">
        <v>46072</v>
      </c>
    </row>
    <row r="93" spans="2:14" ht="18" customHeight="1" x14ac:dyDescent="0.3">
      <c r="B93" s="557" t="s">
        <v>304</v>
      </c>
      <c r="C93" s="552"/>
      <c r="D93" s="552"/>
      <c r="E93" s="556">
        <v>25030938</v>
      </c>
      <c r="F93" s="556"/>
      <c r="G93" s="556" t="s">
        <v>305</v>
      </c>
      <c r="H93" s="556"/>
      <c r="I93" s="556"/>
      <c r="J93" s="556"/>
      <c r="K93" s="556" t="s">
        <v>132</v>
      </c>
      <c r="L93" s="556"/>
      <c r="M93" s="17" t="s">
        <v>133</v>
      </c>
      <c r="N93" s="439">
        <v>46078</v>
      </c>
    </row>
    <row r="94" spans="2:14" ht="18" customHeight="1" x14ac:dyDescent="0.3">
      <c r="B94" s="557"/>
      <c r="C94" s="553"/>
      <c r="D94" s="553"/>
      <c r="E94" s="555">
        <v>26030233</v>
      </c>
      <c r="F94" s="555"/>
      <c r="G94" s="555" t="s">
        <v>303</v>
      </c>
      <c r="H94" s="555"/>
      <c r="I94" s="555"/>
      <c r="J94" s="555"/>
      <c r="K94" s="556"/>
      <c r="L94" s="556"/>
      <c r="M94" s="14" t="s">
        <v>133</v>
      </c>
      <c r="N94" s="439">
        <v>46078</v>
      </c>
    </row>
    <row r="95" spans="2:14" ht="18" customHeight="1" x14ac:dyDescent="0.3">
      <c r="B95" s="557"/>
      <c r="C95" s="552"/>
      <c r="D95" s="552"/>
      <c r="E95" s="556">
        <v>26030054</v>
      </c>
      <c r="F95" s="556"/>
      <c r="G95" s="556" t="s">
        <v>130</v>
      </c>
      <c r="H95" s="556"/>
      <c r="I95" s="556"/>
      <c r="J95" s="556"/>
      <c r="K95" s="556"/>
      <c r="L95" s="556"/>
      <c r="M95" s="17" t="s">
        <v>133</v>
      </c>
      <c r="N95" s="439">
        <v>46078</v>
      </c>
    </row>
    <row r="96" spans="2:14" ht="18" customHeight="1" x14ac:dyDescent="0.3">
      <c r="B96" s="557"/>
      <c r="C96" s="553"/>
      <c r="D96" s="553"/>
      <c r="E96" s="555">
        <v>26030053</v>
      </c>
      <c r="F96" s="555"/>
      <c r="G96" s="555" t="s">
        <v>128</v>
      </c>
      <c r="H96" s="555"/>
      <c r="I96" s="555"/>
      <c r="J96" s="555"/>
      <c r="K96" s="556"/>
      <c r="L96" s="556"/>
      <c r="M96" s="14" t="s">
        <v>133</v>
      </c>
      <c r="N96" s="439">
        <v>46078</v>
      </c>
    </row>
    <row r="97" spans="2:14" ht="18" customHeight="1" x14ac:dyDescent="0.3">
      <c r="B97" s="15" t="s">
        <v>306</v>
      </c>
      <c r="C97" s="556">
        <v>26020234</v>
      </c>
      <c r="D97" s="556"/>
      <c r="E97" s="552"/>
      <c r="F97" s="552"/>
      <c r="G97" s="556" t="s">
        <v>307</v>
      </c>
      <c r="H97" s="556"/>
      <c r="I97" s="556"/>
      <c r="J97" s="556"/>
      <c r="K97" s="556" t="s">
        <v>105</v>
      </c>
      <c r="L97" s="556"/>
      <c r="M97" s="17" t="s">
        <v>308</v>
      </c>
      <c r="N97" s="439">
        <v>46079</v>
      </c>
    </row>
    <row r="98" spans="2:14" ht="17.25" customHeight="1" x14ac:dyDescent="0.3">
      <c r="B98" s="13" t="s">
        <v>309</v>
      </c>
      <c r="C98" s="553"/>
      <c r="D98" s="553"/>
      <c r="E98" s="555">
        <v>26020234</v>
      </c>
      <c r="F98" s="555"/>
      <c r="G98" s="555" t="s">
        <v>307</v>
      </c>
      <c r="H98" s="555"/>
      <c r="I98" s="555"/>
      <c r="J98" s="555"/>
      <c r="K98" s="555" t="s">
        <v>149</v>
      </c>
      <c r="L98" s="555"/>
      <c r="M98" s="16" t="s">
        <v>156</v>
      </c>
      <c r="N98" s="439">
        <v>46079</v>
      </c>
    </row>
    <row r="99" spans="2:14" ht="17.25" customHeight="1" x14ac:dyDescent="0.3">
      <c r="B99" s="15" t="s">
        <v>310</v>
      </c>
      <c r="C99" s="556">
        <v>26010235</v>
      </c>
      <c r="D99" s="556"/>
      <c r="E99" s="552"/>
      <c r="F99" s="552"/>
      <c r="G99" s="556" t="s">
        <v>191</v>
      </c>
      <c r="H99" s="556"/>
      <c r="I99" s="556"/>
      <c r="J99" s="556"/>
      <c r="K99" s="556" t="s">
        <v>192</v>
      </c>
      <c r="L99" s="556"/>
      <c r="M99" s="17" t="s">
        <v>311</v>
      </c>
      <c r="N99" s="439">
        <v>46080</v>
      </c>
    </row>
    <row r="100" spans="2:14" ht="17.25" customHeight="1" x14ac:dyDescent="0.3">
      <c r="B100" s="13" t="s">
        <v>312</v>
      </c>
      <c r="C100" s="555">
        <v>26010236</v>
      </c>
      <c r="D100" s="555"/>
      <c r="E100" s="553"/>
      <c r="F100" s="553"/>
      <c r="G100" s="555" t="s">
        <v>90</v>
      </c>
      <c r="H100" s="555"/>
      <c r="I100" s="555"/>
      <c r="J100" s="555"/>
      <c r="K100" s="555" t="s">
        <v>91</v>
      </c>
      <c r="L100" s="555"/>
      <c r="M100" s="16" t="s">
        <v>92</v>
      </c>
      <c r="N100" s="439">
        <v>46080</v>
      </c>
    </row>
    <row r="101" spans="2:14" ht="17.25" customHeight="1" x14ac:dyDescent="0.3">
      <c r="B101" s="15" t="s">
        <v>313</v>
      </c>
      <c r="C101" s="552"/>
      <c r="D101" s="552"/>
      <c r="E101" s="556">
        <v>26010118</v>
      </c>
      <c r="F101" s="556"/>
      <c r="G101" s="556" t="s">
        <v>97</v>
      </c>
      <c r="H101" s="556"/>
      <c r="I101" s="556"/>
      <c r="J101" s="556"/>
      <c r="K101" s="556" t="s">
        <v>56</v>
      </c>
      <c r="L101" s="556"/>
      <c r="M101" s="17" t="s">
        <v>84</v>
      </c>
      <c r="N101" s="439">
        <v>46083</v>
      </c>
    </row>
    <row r="102" spans="2:14" ht="17.25" customHeight="1" x14ac:dyDescent="0.3">
      <c r="B102" s="19"/>
      <c r="C102" s="553"/>
      <c r="D102" s="553"/>
      <c r="E102" s="553"/>
      <c r="F102" s="553"/>
      <c r="G102" s="553"/>
      <c r="H102" s="553"/>
      <c r="I102" s="553"/>
      <c r="J102" s="553"/>
      <c r="K102" s="553"/>
      <c r="L102" s="553"/>
      <c r="M102" s="20"/>
      <c r="N102" s="438"/>
    </row>
    <row r="103" spans="2:14" ht="17.25" customHeight="1" x14ac:dyDescent="0.3">
      <c r="B103" s="21"/>
      <c r="C103" s="552"/>
      <c r="D103" s="552"/>
      <c r="E103" s="552"/>
      <c r="F103" s="552"/>
      <c r="G103" s="552"/>
      <c r="H103" s="552"/>
      <c r="I103" s="552"/>
      <c r="J103" s="552"/>
      <c r="K103" s="552"/>
      <c r="L103" s="552"/>
      <c r="M103" s="22"/>
      <c r="N103" s="438"/>
    </row>
    <row r="104" spans="2:14" ht="17.25" customHeight="1" x14ac:dyDescent="0.3">
      <c r="B104" s="19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20"/>
      <c r="N104" s="438"/>
    </row>
    <row r="105" spans="2:14" ht="17.25" customHeight="1" x14ac:dyDescent="0.3">
      <c r="B105" s="21"/>
      <c r="C105" s="552"/>
      <c r="D105" s="552"/>
      <c r="E105" s="552"/>
      <c r="F105" s="552"/>
      <c r="G105" s="552"/>
      <c r="H105" s="552"/>
      <c r="I105" s="552"/>
      <c r="J105" s="552"/>
      <c r="K105" s="552"/>
      <c r="L105" s="552"/>
      <c r="M105" s="24"/>
      <c r="N105" s="438"/>
    </row>
    <row r="106" spans="2:14" ht="17.25" customHeight="1" x14ac:dyDescent="0.3">
      <c r="B106" s="19"/>
      <c r="C106" s="553"/>
      <c r="D106" s="553"/>
      <c r="E106" s="553"/>
      <c r="F106" s="553"/>
      <c r="G106" s="553"/>
      <c r="H106" s="553"/>
      <c r="I106" s="553"/>
      <c r="J106" s="553"/>
      <c r="K106" s="553"/>
      <c r="L106" s="553"/>
      <c r="M106" s="20"/>
      <c r="N106" s="438"/>
    </row>
    <row r="107" spans="2:14" ht="17.25" customHeight="1" x14ac:dyDescent="0.3">
      <c r="B107" s="21"/>
      <c r="C107" s="552"/>
      <c r="D107" s="552"/>
      <c r="E107" s="552"/>
      <c r="F107" s="552"/>
      <c r="G107" s="552"/>
      <c r="H107" s="552"/>
      <c r="I107" s="552"/>
      <c r="J107" s="552"/>
      <c r="K107" s="552"/>
      <c r="L107" s="552"/>
      <c r="M107" s="22"/>
      <c r="N107" s="438"/>
    </row>
    <row r="108" spans="2:14" ht="17.25" customHeight="1" x14ac:dyDescent="0.3">
      <c r="B108" s="19"/>
      <c r="C108" s="553"/>
      <c r="D108" s="553"/>
      <c r="E108" s="553"/>
      <c r="F108" s="553"/>
      <c r="G108" s="553"/>
      <c r="H108" s="553"/>
      <c r="I108" s="553"/>
      <c r="J108" s="553"/>
      <c r="K108" s="553"/>
      <c r="L108" s="553"/>
      <c r="M108" s="20"/>
      <c r="N108" s="438"/>
    </row>
    <row r="109" spans="2:14" ht="17.25" customHeight="1" x14ac:dyDescent="0.3">
      <c r="B109" s="21"/>
      <c r="C109" s="552"/>
      <c r="D109" s="552"/>
      <c r="E109" s="552"/>
      <c r="F109" s="552"/>
      <c r="G109" s="552"/>
      <c r="H109" s="552"/>
      <c r="I109" s="552"/>
      <c r="J109" s="552"/>
      <c r="K109" s="552"/>
      <c r="L109" s="552"/>
      <c r="M109" s="22"/>
      <c r="N109" s="438"/>
    </row>
    <row r="110" spans="2:14" ht="17.25" customHeight="1" x14ac:dyDescent="0.3">
      <c r="B110" s="19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23"/>
      <c r="N110" s="438"/>
    </row>
    <row r="111" spans="2:14" ht="17.25" customHeight="1" x14ac:dyDescent="0.3">
      <c r="B111" s="21"/>
      <c r="C111" s="552"/>
      <c r="D111" s="552"/>
      <c r="E111" s="552"/>
      <c r="F111" s="552"/>
      <c r="G111" s="552"/>
      <c r="H111" s="552"/>
      <c r="I111" s="552"/>
      <c r="J111" s="552"/>
      <c r="K111" s="552"/>
      <c r="L111" s="552"/>
      <c r="M111" s="22"/>
      <c r="N111" s="438"/>
    </row>
    <row r="112" spans="2:14" ht="17.25" customHeight="1" x14ac:dyDescent="0.3">
      <c r="B112" s="19"/>
      <c r="C112" s="553"/>
      <c r="D112" s="553"/>
      <c r="E112" s="553"/>
      <c r="F112" s="553"/>
      <c r="G112" s="553"/>
      <c r="H112" s="553"/>
      <c r="I112" s="553"/>
      <c r="J112" s="553"/>
      <c r="K112" s="553"/>
      <c r="L112" s="553"/>
      <c r="M112" s="20"/>
      <c r="N112" s="438"/>
    </row>
    <row r="113" spans="2:14" ht="17.25" customHeight="1" x14ac:dyDescent="0.3">
      <c r="B113" s="21"/>
      <c r="C113" s="552"/>
      <c r="D113" s="552"/>
      <c r="E113" s="552"/>
      <c r="F113" s="552"/>
      <c r="G113" s="552"/>
      <c r="H113" s="552"/>
      <c r="I113" s="552"/>
      <c r="J113" s="552"/>
      <c r="K113" s="552"/>
      <c r="L113" s="552"/>
      <c r="M113" s="22"/>
      <c r="N113" s="438"/>
    </row>
    <row r="114" spans="2:14" ht="17.25" customHeight="1" x14ac:dyDescent="0.3">
      <c r="B114" s="19"/>
      <c r="C114" s="553"/>
      <c r="D114" s="553"/>
      <c r="E114" s="553"/>
      <c r="F114" s="553"/>
      <c r="G114" s="553"/>
      <c r="H114" s="553"/>
      <c r="I114" s="553"/>
      <c r="J114" s="553"/>
      <c r="K114" s="553"/>
      <c r="L114" s="553"/>
      <c r="M114" s="20"/>
      <c r="N114" s="438"/>
    </row>
    <row r="115" spans="2:14" ht="17.25" customHeight="1" x14ac:dyDescent="0.3">
      <c r="B115" s="21"/>
      <c r="C115" s="552"/>
      <c r="D115" s="552"/>
      <c r="E115" s="552"/>
      <c r="F115" s="552"/>
      <c r="G115" s="552"/>
      <c r="H115" s="552"/>
      <c r="I115" s="552"/>
      <c r="J115" s="552"/>
      <c r="K115" s="552"/>
      <c r="L115" s="552"/>
      <c r="M115" s="24"/>
      <c r="N115" s="438"/>
    </row>
    <row r="116" spans="2:14" ht="17.25" customHeight="1" x14ac:dyDescent="0.3">
      <c r="B116" s="19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20"/>
      <c r="N116" s="438"/>
    </row>
    <row r="117" spans="2:14" ht="17.25" customHeight="1" x14ac:dyDescent="0.3">
      <c r="B117" s="21"/>
      <c r="C117" s="552"/>
      <c r="D117" s="552"/>
      <c r="E117" s="552"/>
      <c r="F117" s="552"/>
      <c r="G117" s="552"/>
      <c r="H117" s="552"/>
      <c r="I117" s="552"/>
      <c r="J117" s="552"/>
      <c r="K117" s="552"/>
      <c r="L117" s="552"/>
      <c r="M117" s="22"/>
      <c r="N117" s="438"/>
    </row>
    <row r="118" spans="2:14" ht="17.25" customHeight="1" x14ac:dyDescent="0.3">
      <c r="B118" s="19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20"/>
      <c r="N118" s="438"/>
    </row>
    <row r="119" spans="2:14" ht="17.25" customHeight="1" x14ac:dyDescent="0.3">
      <c r="B119" s="21"/>
      <c r="C119" s="552"/>
      <c r="D119" s="552"/>
      <c r="E119" s="552"/>
      <c r="F119" s="552"/>
      <c r="G119" s="552"/>
      <c r="H119" s="552"/>
      <c r="I119" s="552"/>
      <c r="J119" s="552"/>
      <c r="K119" s="552"/>
      <c r="L119" s="552"/>
      <c r="M119" s="22"/>
      <c r="N119" s="438"/>
    </row>
    <row r="120" spans="2:14" ht="17.25" customHeight="1" x14ac:dyDescent="0.3">
      <c r="B120" s="19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23"/>
      <c r="N120" s="438"/>
    </row>
    <row r="121" spans="2:14" ht="17.25" customHeight="1" x14ac:dyDescent="0.3">
      <c r="B121" s="21"/>
      <c r="C121" s="552"/>
      <c r="D121" s="552"/>
      <c r="E121" s="552"/>
      <c r="F121" s="552"/>
      <c r="G121" s="552"/>
      <c r="H121" s="552"/>
      <c r="I121" s="552"/>
      <c r="J121" s="552"/>
      <c r="K121" s="552"/>
      <c r="L121" s="552"/>
      <c r="M121" s="22"/>
      <c r="N121" s="438"/>
    </row>
    <row r="122" spans="2:14" ht="17.25" customHeight="1" x14ac:dyDescent="0.3">
      <c r="B122" s="19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20"/>
      <c r="N122" s="438"/>
    </row>
    <row r="123" spans="2:14" ht="17.25" customHeight="1" x14ac:dyDescent="0.3">
      <c r="B123" s="21"/>
      <c r="C123" s="552"/>
      <c r="D123" s="552"/>
      <c r="E123" s="552"/>
      <c r="F123" s="552"/>
      <c r="G123" s="552"/>
      <c r="H123" s="552"/>
      <c r="I123" s="552"/>
      <c r="J123" s="552"/>
      <c r="K123" s="552"/>
      <c r="L123" s="552"/>
      <c r="M123" s="22"/>
      <c r="N123" s="438"/>
    </row>
    <row r="124" spans="2:14" ht="17.25" customHeight="1" x14ac:dyDescent="0.3">
      <c r="B124" s="19"/>
      <c r="C124" s="553"/>
      <c r="D124" s="553"/>
      <c r="E124" s="553"/>
      <c r="F124" s="553"/>
      <c r="G124" s="553"/>
      <c r="H124" s="553"/>
      <c r="I124" s="553"/>
      <c r="J124" s="553"/>
      <c r="K124" s="553"/>
      <c r="L124" s="553"/>
      <c r="M124" s="20"/>
      <c r="N124" s="438"/>
    </row>
    <row r="125" spans="2:14" ht="17.25" customHeight="1" x14ac:dyDescent="0.3">
      <c r="B125" s="21"/>
      <c r="C125" s="552"/>
      <c r="D125" s="552"/>
      <c r="E125" s="552"/>
      <c r="F125" s="552"/>
      <c r="G125" s="552"/>
      <c r="H125" s="552"/>
      <c r="I125" s="552"/>
      <c r="J125" s="552"/>
      <c r="K125" s="552"/>
      <c r="L125" s="552"/>
      <c r="M125" s="24"/>
      <c r="N125" s="438"/>
    </row>
    <row r="126" spans="2:14" ht="17.25" customHeight="1" x14ac:dyDescent="0.3">
      <c r="B126" s="19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20"/>
      <c r="N126" s="438"/>
    </row>
    <row r="127" spans="2:14" ht="17.25" customHeight="1" x14ac:dyDescent="0.3">
      <c r="B127" s="21"/>
      <c r="C127" s="552"/>
      <c r="D127" s="552"/>
      <c r="E127" s="552"/>
      <c r="F127" s="552"/>
      <c r="G127" s="552"/>
      <c r="H127" s="552"/>
      <c r="I127" s="552"/>
      <c r="J127" s="552"/>
      <c r="K127" s="552"/>
      <c r="L127" s="552"/>
      <c r="M127" s="22"/>
      <c r="N127" s="438"/>
    </row>
    <row r="128" spans="2:14" ht="17.25" customHeight="1" x14ac:dyDescent="0.3">
      <c r="B128" s="19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20"/>
      <c r="N128" s="438"/>
    </row>
    <row r="129" spans="2:14" ht="17.25" customHeight="1" x14ac:dyDescent="0.3">
      <c r="B129" s="21"/>
      <c r="C129" s="552"/>
      <c r="D129" s="552"/>
      <c r="E129" s="552"/>
      <c r="F129" s="552"/>
      <c r="G129" s="552"/>
      <c r="H129" s="552"/>
      <c r="I129" s="552"/>
      <c r="J129" s="552"/>
      <c r="K129" s="552"/>
      <c r="L129" s="552"/>
      <c r="M129" s="22"/>
      <c r="N129" s="438"/>
    </row>
    <row r="130" spans="2:14" ht="17.25" customHeight="1" x14ac:dyDescent="0.3">
      <c r="B130" s="19"/>
      <c r="C130" s="553"/>
      <c r="D130" s="553"/>
      <c r="E130" s="553"/>
      <c r="F130" s="553"/>
      <c r="G130" s="553"/>
      <c r="H130" s="553"/>
      <c r="I130" s="553"/>
      <c r="J130" s="553"/>
      <c r="K130" s="553"/>
      <c r="L130" s="553"/>
      <c r="M130" s="23"/>
      <c r="N130" s="438"/>
    </row>
    <row r="131" spans="2:14" ht="17.25" customHeight="1" x14ac:dyDescent="0.3">
      <c r="B131" s="21"/>
      <c r="C131" s="552"/>
      <c r="D131" s="552"/>
      <c r="E131" s="552"/>
      <c r="F131" s="552"/>
      <c r="G131" s="552"/>
      <c r="H131" s="552"/>
      <c r="I131" s="552"/>
      <c r="J131" s="552"/>
      <c r="K131" s="552"/>
      <c r="L131" s="552"/>
      <c r="M131" s="22"/>
      <c r="N131" s="438"/>
    </row>
    <row r="132" spans="2:14" ht="17.25" customHeight="1" x14ac:dyDescent="0.3">
      <c r="B132" s="19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20"/>
      <c r="N132" s="438"/>
    </row>
    <row r="133" spans="2:14" ht="17.25" customHeight="1" x14ac:dyDescent="0.3">
      <c r="B133" s="21"/>
      <c r="C133" s="552"/>
      <c r="D133" s="552"/>
      <c r="E133" s="552"/>
      <c r="F133" s="552"/>
      <c r="G133" s="552"/>
      <c r="H133" s="552"/>
      <c r="I133" s="552"/>
      <c r="J133" s="552"/>
      <c r="K133" s="552"/>
      <c r="L133" s="552"/>
      <c r="M133" s="22"/>
      <c r="N133" s="438"/>
    </row>
    <row r="134" spans="2:14" ht="17.25" customHeight="1" x14ac:dyDescent="0.3">
      <c r="B134" s="19"/>
      <c r="C134" s="553"/>
      <c r="D134" s="553"/>
      <c r="E134" s="553"/>
      <c r="F134" s="553"/>
      <c r="G134" s="553"/>
      <c r="H134" s="553"/>
      <c r="I134" s="553"/>
      <c r="J134" s="553"/>
      <c r="K134" s="553"/>
      <c r="L134" s="553"/>
      <c r="M134" s="20"/>
      <c r="N134" s="438"/>
    </row>
    <row r="135" spans="2:14" ht="17.25" customHeight="1" x14ac:dyDescent="0.3">
      <c r="B135" s="21"/>
      <c r="C135" s="552"/>
      <c r="D135" s="552"/>
      <c r="E135" s="552"/>
      <c r="F135" s="552"/>
      <c r="G135" s="552"/>
      <c r="H135" s="552"/>
      <c r="I135" s="552"/>
      <c r="J135" s="552"/>
      <c r="K135" s="552"/>
      <c r="L135" s="552"/>
      <c r="M135" s="24"/>
      <c r="N135" s="438"/>
    </row>
    <row r="136" spans="2:14" ht="17.25" customHeight="1" x14ac:dyDescent="0.3">
      <c r="B136" s="19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20"/>
      <c r="N136" s="438"/>
    </row>
    <row r="137" spans="2:14" ht="17.25" customHeight="1" x14ac:dyDescent="0.3">
      <c r="B137" s="21"/>
      <c r="C137" s="552"/>
      <c r="D137" s="552"/>
      <c r="E137" s="552"/>
      <c r="F137" s="552"/>
      <c r="G137" s="552"/>
      <c r="H137" s="552"/>
      <c r="I137" s="552"/>
      <c r="J137" s="552"/>
      <c r="K137" s="552"/>
      <c r="L137" s="552"/>
      <c r="M137" s="22"/>
      <c r="N137" s="438"/>
    </row>
    <row r="138" spans="2:14" ht="17.25" customHeight="1" x14ac:dyDescent="0.3">
      <c r="B138" s="19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20"/>
      <c r="N138" s="438"/>
    </row>
    <row r="139" spans="2:14" ht="17.25" customHeight="1" x14ac:dyDescent="0.3">
      <c r="B139" s="21"/>
      <c r="C139" s="552"/>
      <c r="D139" s="552"/>
      <c r="E139" s="552"/>
      <c r="F139" s="552"/>
      <c r="G139" s="552"/>
      <c r="H139" s="552"/>
      <c r="I139" s="552"/>
      <c r="J139" s="552"/>
      <c r="K139" s="552"/>
      <c r="L139" s="552"/>
      <c r="M139" s="22"/>
      <c r="N139" s="438"/>
    </row>
    <row r="140" spans="2:14" ht="17.25" customHeight="1" x14ac:dyDescent="0.3">
      <c r="B140" s="19"/>
      <c r="C140" s="553"/>
      <c r="D140" s="553"/>
      <c r="E140" s="553"/>
      <c r="F140" s="553"/>
      <c r="G140" s="553"/>
      <c r="H140" s="553"/>
      <c r="I140" s="553"/>
      <c r="J140" s="553"/>
      <c r="K140" s="553"/>
      <c r="L140" s="553"/>
      <c r="M140" s="23"/>
      <c r="N140" s="438"/>
    </row>
    <row r="141" spans="2:14" ht="17.25" customHeight="1" x14ac:dyDescent="0.3">
      <c r="B141" s="166"/>
      <c r="C141" s="554"/>
      <c r="D141" s="554"/>
      <c r="E141" s="554"/>
      <c r="F141" s="554"/>
      <c r="G141" s="554"/>
      <c r="H141" s="554"/>
      <c r="I141" s="554"/>
      <c r="J141" s="554"/>
      <c r="K141" s="554"/>
      <c r="L141" s="554"/>
      <c r="M141" s="167"/>
      <c r="N141" s="438"/>
    </row>
    <row r="142" spans="2:14" ht="18" customHeight="1" x14ac:dyDescent="0.3">
      <c r="N142" s="437"/>
    </row>
    <row r="143" spans="2:14" ht="18" customHeight="1" x14ac:dyDescent="0.3">
      <c r="N143" s="437"/>
    </row>
    <row r="144" spans="2:14" ht="18" customHeight="1" x14ac:dyDescent="0.3">
      <c r="N144" s="437"/>
    </row>
    <row r="145" spans="14:14" ht="18" customHeight="1" x14ac:dyDescent="0.3">
      <c r="N145" s="437"/>
    </row>
    <row r="146" spans="14:14" ht="18" customHeight="1" x14ac:dyDescent="0.3">
      <c r="N146" s="437"/>
    </row>
    <row r="147" spans="14:14" ht="18" customHeight="1" x14ac:dyDescent="0.3">
      <c r="N147" s="437"/>
    </row>
    <row r="148" spans="14:14" ht="18" customHeight="1" x14ac:dyDescent="0.3">
      <c r="N148" s="437"/>
    </row>
    <row r="149" spans="14:14" ht="18" customHeight="1" x14ac:dyDescent="0.3">
      <c r="N149" s="437"/>
    </row>
    <row r="150" spans="14:14" ht="18" customHeight="1" x14ac:dyDescent="0.3">
      <c r="N150" s="437"/>
    </row>
    <row r="151" spans="14:14" ht="18" customHeight="1" x14ac:dyDescent="0.3">
      <c r="N151" s="437"/>
    </row>
    <row r="152" spans="14:14" ht="18" customHeight="1" x14ac:dyDescent="0.3">
      <c r="N152" s="437"/>
    </row>
    <row r="153" spans="14:14" ht="18" customHeight="1" x14ac:dyDescent="0.3">
      <c r="N153" s="437"/>
    </row>
    <row r="154" spans="14:14" ht="18" customHeight="1" x14ac:dyDescent="0.3">
      <c r="N154" s="437"/>
    </row>
    <row r="155" spans="14:14" ht="18" customHeight="1" x14ac:dyDescent="0.3">
      <c r="N155" s="437"/>
    </row>
    <row r="156" spans="14:14" ht="18" customHeight="1" x14ac:dyDescent="0.3">
      <c r="N156" s="437"/>
    </row>
    <row r="157" spans="14:14" ht="18" customHeight="1" x14ac:dyDescent="0.3">
      <c r="N157" s="437"/>
    </row>
    <row r="158" spans="14:14" ht="18" customHeight="1" x14ac:dyDescent="0.3">
      <c r="N158" s="437"/>
    </row>
    <row r="159" spans="14:14" ht="18" customHeight="1" x14ac:dyDescent="0.3">
      <c r="N159" s="437"/>
    </row>
    <row r="160" spans="14:14" ht="18" customHeight="1" x14ac:dyDescent="0.3">
      <c r="N160" s="437"/>
    </row>
    <row r="161" spans="14:14" ht="18" customHeight="1" x14ac:dyDescent="0.3">
      <c r="N161" s="437"/>
    </row>
    <row r="162" spans="14:14" ht="18" customHeight="1" x14ac:dyDescent="0.3">
      <c r="N162" s="437"/>
    </row>
    <row r="163" spans="14:14" ht="18" customHeight="1" x14ac:dyDescent="0.3">
      <c r="N163" s="437"/>
    </row>
    <row r="164" spans="14:14" ht="18" customHeight="1" x14ac:dyDescent="0.3">
      <c r="N164" s="437"/>
    </row>
    <row r="165" spans="14:14" ht="18" customHeight="1" x14ac:dyDescent="0.3">
      <c r="N165" s="437"/>
    </row>
    <row r="166" spans="14:14" ht="18" customHeight="1" x14ac:dyDescent="0.3">
      <c r="N166" s="437"/>
    </row>
    <row r="167" spans="14:14" ht="18" customHeight="1" x14ac:dyDescent="0.3">
      <c r="N167" s="437"/>
    </row>
    <row r="168" spans="14:14" ht="18" customHeight="1" x14ac:dyDescent="0.3">
      <c r="N168" s="437"/>
    </row>
    <row r="169" spans="14:14" ht="18" customHeight="1" x14ac:dyDescent="0.3">
      <c r="N169" s="437"/>
    </row>
    <row r="170" spans="14:14" ht="18" customHeight="1" x14ac:dyDescent="0.3">
      <c r="N170" s="437"/>
    </row>
    <row r="171" spans="14:14" ht="18" customHeight="1" x14ac:dyDescent="0.3">
      <c r="N171" s="437"/>
    </row>
    <row r="172" spans="14:14" ht="18" customHeight="1" x14ac:dyDescent="0.3">
      <c r="N172" s="437"/>
    </row>
    <row r="173" spans="14:14" ht="18" customHeight="1" x14ac:dyDescent="0.3">
      <c r="N173" s="437"/>
    </row>
    <row r="174" spans="14:14" ht="18" customHeight="1" x14ac:dyDescent="0.3">
      <c r="N174" s="437"/>
    </row>
    <row r="175" spans="14:14" ht="18" customHeight="1" x14ac:dyDescent="0.3">
      <c r="N175" s="437"/>
    </row>
    <row r="176" spans="14:14" ht="18" customHeight="1" x14ac:dyDescent="0.3">
      <c r="N176" s="437"/>
    </row>
    <row r="177" spans="14:14" ht="18" customHeight="1" x14ac:dyDescent="0.3">
      <c r="N177" s="437"/>
    </row>
    <row r="178" spans="14:14" ht="18" customHeight="1" x14ac:dyDescent="0.3">
      <c r="N178" s="437"/>
    </row>
    <row r="179" spans="14:14" ht="18" customHeight="1" x14ac:dyDescent="0.3">
      <c r="N179" s="437"/>
    </row>
    <row r="180" spans="14:14" ht="18" customHeight="1" x14ac:dyDescent="0.3">
      <c r="N180" s="437"/>
    </row>
    <row r="181" spans="14:14" ht="18" customHeight="1" x14ac:dyDescent="0.3">
      <c r="N181" s="437"/>
    </row>
    <row r="182" spans="14:14" ht="18" customHeight="1" x14ac:dyDescent="0.3">
      <c r="N182" s="437"/>
    </row>
    <row r="183" spans="14:14" ht="18" customHeight="1" x14ac:dyDescent="0.3">
      <c r="N183" s="437"/>
    </row>
    <row r="184" spans="14:14" ht="18" customHeight="1" x14ac:dyDescent="0.3">
      <c r="N184" s="437"/>
    </row>
    <row r="185" spans="14:14" ht="18" customHeight="1" x14ac:dyDescent="0.3">
      <c r="N185" s="437"/>
    </row>
    <row r="186" spans="14:14" ht="18" customHeight="1" x14ac:dyDescent="0.3">
      <c r="N186" s="437"/>
    </row>
    <row r="187" spans="14:14" ht="18" customHeight="1" x14ac:dyDescent="0.3">
      <c r="N187" s="437"/>
    </row>
    <row r="188" spans="14:14" ht="18" customHeight="1" x14ac:dyDescent="0.3">
      <c r="N188" s="437"/>
    </row>
    <row r="189" spans="14:14" ht="18" customHeight="1" x14ac:dyDescent="0.3">
      <c r="N189" s="437"/>
    </row>
    <row r="190" spans="14:14" ht="18" customHeight="1" x14ac:dyDescent="0.3">
      <c r="N190" s="437"/>
    </row>
    <row r="191" spans="14:14" ht="18" customHeight="1" x14ac:dyDescent="0.3">
      <c r="N191" s="437"/>
    </row>
    <row r="192" spans="14:14" ht="18" customHeight="1" x14ac:dyDescent="0.3">
      <c r="N192" s="437"/>
    </row>
    <row r="193" spans="14:14" ht="18" customHeight="1" x14ac:dyDescent="0.3">
      <c r="N193" s="437"/>
    </row>
    <row r="194" spans="14:14" ht="18" customHeight="1" x14ac:dyDescent="0.3">
      <c r="N194" s="437"/>
    </row>
    <row r="195" spans="14:14" ht="18" customHeight="1" x14ac:dyDescent="0.3">
      <c r="N195" s="437"/>
    </row>
    <row r="196" spans="14:14" ht="18" customHeight="1" x14ac:dyDescent="0.3">
      <c r="N196" s="437"/>
    </row>
    <row r="197" spans="14:14" ht="18" customHeight="1" x14ac:dyDescent="0.3">
      <c r="N197" s="437"/>
    </row>
    <row r="198" spans="14:14" ht="18" customHeight="1" x14ac:dyDescent="0.3">
      <c r="N198" s="437"/>
    </row>
    <row r="199" spans="14:14" ht="18" customHeight="1" x14ac:dyDescent="0.3">
      <c r="N199" s="437"/>
    </row>
    <row r="200" spans="14:14" ht="18" customHeight="1" x14ac:dyDescent="0.3">
      <c r="N200" s="437"/>
    </row>
    <row r="201" spans="14:14" ht="18" customHeight="1" x14ac:dyDescent="0.3">
      <c r="N201" s="437"/>
    </row>
    <row r="202" spans="14:14" ht="18" customHeight="1" x14ac:dyDescent="0.3">
      <c r="N202" s="437"/>
    </row>
    <row r="203" spans="14:14" ht="18" customHeight="1" x14ac:dyDescent="0.3">
      <c r="N203" s="437"/>
    </row>
    <row r="204" spans="14:14" ht="18" customHeight="1" x14ac:dyDescent="0.3">
      <c r="N204" s="437"/>
    </row>
    <row r="205" spans="14:14" ht="18" customHeight="1" x14ac:dyDescent="0.3">
      <c r="N205" s="437"/>
    </row>
    <row r="206" spans="14:14" ht="18" customHeight="1" x14ac:dyDescent="0.3">
      <c r="N206" s="437"/>
    </row>
    <row r="207" spans="14:14" ht="18" customHeight="1" x14ac:dyDescent="0.3">
      <c r="N207" s="437"/>
    </row>
    <row r="208" spans="14:14" ht="18" customHeight="1" x14ac:dyDescent="0.3">
      <c r="N208" s="437"/>
    </row>
    <row r="209" spans="14:14" ht="18" customHeight="1" x14ac:dyDescent="0.3">
      <c r="N209" s="437"/>
    </row>
    <row r="210" spans="14:14" ht="18" customHeight="1" x14ac:dyDescent="0.3">
      <c r="N210" s="437"/>
    </row>
    <row r="211" spans="14:14" ht="18" customHeight="1" x14ac:dyDescent="0.3">
      <c r="N211" s="437"/>
    </row>
    <row r="212" spans="14:14" ht="18" customHeight="1" x14ac:dyDescent="0.3">
      <c r="N212" s="437"/>
    </row>
    <row r="213" spans="14:14" ht="18" customHeight="1" x14ac:dyDescent="0.3">
      <c r="N213" s="437"/>
    </row>
    <row r="214" spans="14:14" ht="18" customHeight="1" x14ac:dyDescent="0.3">
      <c r="N214" s="437"/>
    </row>
    <row r="215" spans="14:14" ht="18" customHeight="1" x14ac:dyDescent="0.3">
      <c r="N215" s="437"/>
    </row>
    <row r="216" spans="14:14" ht="18" customHeight="1" x14ac:dyDescent="0.3">
      <c r="N216" s="437"/>
    </row>
    <row r="217" spans="14:14" ht="18" customHeight="1" x14ac:dyDescent="0.3">
      <c r="N217" s="437"/>
    </row>
    <row r="218" spans="14:14" ht="18" customHeight="1" x14ac:dyDescent="0.3">
      <c r="N218" s="437"/>
    </row>
    <row r="219" spans="14:14" ht="18" customHeight="1" x14ac:dyDescent="0.3">
      <c r="N219" s="437"/>
    </row>
    <row r="220" spans="14:14" ht="18" customHeight="1" x14ac:dyDescent="0.3">
      <c r="N220" s="437"/>
    </row>
    <row r="221" spans="14:14" ht="18" customHeight="1" x14ac:dyDescent="0.3">
      <c r="N221" s="437"/>
    </row>
    <row r="222" spans="14:14" ht="18" customHeight="1" x14ac:dyDescent="0.3">
      <c r="N222" s="437"/>
    </row>
    <row r="223" spans="14:14" ht="18" customHeight="1" x14ac:dyDescent="0.3">
      <c r="N223" s="437"/>
    </row>
    <row r="224" spans="14:14" ht="18" customHeight="1" x14ac:dyDescent="0.3">
      <c r="N224" s="437"/>
    </row>
    <row r="225" spans="14:14" ht="18" customHeight="1" x14ac:dyDescent="0.3">
      <c r="N225" s="437"/>
    </row>
    <row r="226" spans="14:14" ht="18" customHeight="1" x14ac:dyDescent="0.3">
      <c r="N226" s="437"/>
    </row>
    <row r="227" spans="14:14" ht="18" customHeight="1" x14ac:dyDescent="0.3">
      <c r="N227" s="437"/>
    </row>
    <row r="228" spans="14:14" ht="18" customHeight="1" x14ac:dyDescent="0.3">
      <c r="N228" s="437"/>
    </row>
    <row r="229" spans="14:14" ht="18" customHeight="1" x14ac:dyDescent="0.3">
      <c r="N229" s="437"/>
    </row>
    <row r="230" spans="14:14" ht="18" customHeight="1" x14ac:dyDescent="0.3">
      <c r="N230" s="437"/>
    </row>
    <row r="231" spans="14:14" ht="18" customHeight="1" x14ac:dyDescent="0.3">
      <c r="N231" s="437"/>
    </row>
    <row r="232" spans="14:14" ht="18" customHeight="1" x14ac:dyDescent="0.3">
      <c r="N232" s="437"/>
    </row>
    <row r="233" spans="14:14" ht="18" customHeight="1" x14ac:dyDescent="0.3">
      <c r="N233" s="437"/>
    </row>
    <row r="234" spans="14:14" ht="18" customHeight="1" x14ac:dyDescent="0.3">
      <c r="N234" s="437"/>
    </row>
    <row r="235" spans="14:14" ht="18" customHeight="1" x14ac:dyDescent="0.3">
      <c r="N235" s="437"/>
    </row>
    <row r="236" spans="14:14" ht="18" customHeight="1" x14ac:dyDescent="0.3">
      <c r="N236" s="437"/>
    </row>
    <row r="237" spans="14:14" ht="18" customHeight="1" x14ac:dyDescent="0.3">
      <c r="N237" s="437"/>
    </row>
    <row r="238" spans="14:14" ht="18" customHeight="1" x14ac:dyDescent="0.3">
      <c r="N238" s="437"/>
    </row>
    <row r="239" spans="14:14" ht="18" customHeight="1" x14ac:dyDescent="0.3">
      <c r="N239" s="437"/>
    </row>
    <row r="240" spans="14:14" ht="18" customHeight="1" x14ac:dyDescent="0.3">
      <c r="N240" s="437"/>
    </row>
    <row r="241" spans="14:14" ht="18" customHeight="1" x14ac:dyDescent="0.3">
      <c r="N241" s="437"/>
    </row>
    <row r="242" spans="14:14" ht="18" customHeight="1" x14ac:dyDescent="0.3">
      <c r="N242" s="437"/>
    </row>
    <row r="243" spans="14:14" ht="18" customHeight="1" x14ac:dyDescent="0.3">
      <c r="N243" s="437"/>
    </row>
    <row r="244" spans="14:14" ht="18" customHeight="1" x14ac:dyDescent="0.3">
      <c r="N244" s="437"/>
    </row>
    <row r="245" spans="14:14" ht="18" customHeight="1" x14ac:dyDescent="0.3">
      <c r="N245" s="437"/>
    </row>
    <row r="246" spans="14:14" ht="18" customHeight="1" x14ac:dyDescent="0.3">
      <c r="N246" s="437"/>
    </row>
    <row r="247" spans="14:14" ht="18" customHeight="1" x14ac:dyDescent="0.3">
      <c r="N247" s="437"/>
    </row>
    <row r="248" spans="14:14" ht="18" customHeight="1" x14ac:dyDescent="0.3">
      <c r="N248" s="437"/>
    </row>
    <row r="249" spans="14:14" ht="18" customHeight="1" x14ac:dyDescent="0.3">
      <c r="N249" s="437"/>
    </row>
    <row r="250" spans="14:14" ht="18" customHeight="1" x14ac:dyDescent="0.3">
      <c r="N250" s="437"/>
    </row>
    <row r="251" spans="14:14" ht="18" customHeight="1" x14ac:dyDescent="0.3">
      <c r="N251" s="437"/>
    </row>
    <row r="252" spans="14:14" ht="18" customHeight="1" x14ac:dyDescent="0.3">
      <c r="N252" s="437"/>
    </row>
    <row r="253" spans="14:14" ht="18" customHeight="1" x14ac:dyDescent="0.3">
      <c r="N253" s="437"/>
    </row>
    <row r="254" spans="14:14" ht="18" customHeight="1" x14ac:dyDescent="0.3">
      <c r="N254" s="437"/>
    </row>
    <row r="255" spans="14:14" ht="18" customHeight="1" x14ac:dyDescent="0.3">
      <c r="N255" s="437"/>
    </row>
    <row r="256" spans="14:14" ht="18" customHeight="1" x14ac:dyDescent="0.3">
      <c r="N256" s="437"/>
    </row>
    <row r="257" spans="14:14" ht="18" customHeight="1" x14ac:dyDescent="0.3">
      <c r="N257" s="437"/>
    </row>
    <row r="258" spans="14:14" ht="18" customHeight="1" x14ac:dyDescent="0.3">
      <c r="N258" s="437"/>
    </row>
    <row r="259" spans="14:14" ht="18" customHeight="1" x14ac:dyDescent="0.3">
      <c r="N259" s="437"/>
    </row>
    <row r="260" spans="14:14" ht="18" customHeight="1" x14ac:dyDescent="0.3">
      <c r="N260" s="437"/>
    </row>
    <row r="261" spans="14:14" ht="18" customHeight="1" x14ac:dyDescent="0.3">
      <c r="N261" s="437"/>
    </row>
    <row r="262" spans="14:14" ht="18" customHeight="1" x14ac:dyDescent="0.3">
      <c r="N262" s="437"/>
    </row>
    <row r="263" spans="14:14" ht="18" customHeight="1" x14ac:dyDescent="0.3">
      <c r="N263" s="437"/>
    </row>
    <row r="264" spans="14:14" ht="18" customHeight="1" x14ac:dyDescent="0.3">
      <c r="N264" s="437"/>
    </row>
    <row r="265" spans="14:14" ht="18" customHeight="1" x14ac:dyDescent="0.3">
      <c r="N265" s="437"/>
    </row>
    <row r="266" spans="14:14" ht="18" customHeight="1" x14ac:dyDescent="0.3">
      <c r="N266" s="437"/>
    </row>
    <row r="267" spans="14:14" ht="18" customHeight="1" x14ac:dyDescent="0.3">
      <c r="N267" s="437"/>
    </row>
    <row r="268" spans="14:14" ht="18" customHeight="1" x14ac:dyDescent="0.3">
      <c r="N268" s="437"/>
    </row>
    <row r="269" spans="14:14" ht="18" customHeight="1" x14ac:dyDescent="0.3">
      <c r="N269" s="437"/>
    </row>
    <row r="270" spans="14:14" ht="18" customHeight="1" x14ac:dyDescent="0.3">
      <c r="N270" s="437"/>
    </row>
    <row r="271" spans="14:14" ht="18" customHeight="1" x14ac:dyDescent="0.3">
      <c r="N271" s="437"/>
    </row>
    <row r="272" spans="14:14" ht="18" customHeight="1" x14ac:dyDescent="0.3">
      <c r="N272" s="437"/>
    </row>
    <row r="273" spans="14:14" ht="18" customHeight="1" x14ac:dyDescent="0.3">
      <c r="N273" s="437"/>
    </row>
    <row r="274" spans="14:14" ht="18" customHeight="1" x14ac:dyDescent="0.3">
      <c r="N274" s="437"/>
    </row>
    <row r="275" spans="14:14" ht="18" customHeight="1" x14ac:dyDescent="0.3">
      <c r="N275" s="437"/>
    </row>
    <row r="276" spans="14:14" ht="18" customHeight="1" x14ac:dyDescent="0.3">
      <c r="N276" s="437"/>
    </row>
    <row r="277" spans="14:14" ht="18" customHeight="1" x14ac:dyDescent="0.3">
      <c r="N277" s="437"/>
    </row>
    <row r="278" spans="14:14" ht="18" customHeight="1" x14ac:dyDescent="0.3">
      <c r="N278" s="437"/>
    </row>
    <row r="279" spans="14:14" ht="18" customHeight="1" x14ac:dyDescent="0.3">
      <c r="N279" s="437"/>
    </row>
    <row r="280" spans="14:14" ht="18" customHeight="1" x14ac:dyDescent="0.3">
      <c r="N280" s="437"/>
    </row>
    <row r="281" spans="14:14" ht="18" customHeight="1" x14ac:dyDescent="0.3">
      <c r="N281" s="437"/>
    </row>
    <row r="282" spans="14:14" ht="18" customHeight="1" x14ac:dyDescent="0.3">
      <c r="N282" s="437"/>
    </row>
    <row r="283" spans="14:14" ht="18" customHeight="1" x14ac:dyDescent="0.3">
      <c r="N283" s="437"/>
    </row>
    <row r="284" spans="14:14" ht="18" customHeight="1" x14ac:dyDescent="0.3">
      <c r="N284" s="437"/>
    </row>
    <row r="285" spans="14:14" ht="18" customHeight="1" x14ac:dyDescent="0.3">
      <c r="N285" s="437"/>
    </row>
    <row r="286" spans="14:14" ht="18" customHeight="1" x14ac:dyDescent="0.3">
      <c r="N286" s="437"/>
    </row>
    <row r="287" spans="14:14" ht="18" customHeight="1" x14ac:dyDescent="0.3">
      <c r="N287" s="437"/>
    </row>
    <row r="288" spans="14:14" ht="18" customHeight="1" x14ac:dyDescent="0.3">
      <c r="N288" s="437"/>
    </row>
    <row r="289" spans="14:14" ht="18" customHeight="1" x14ac:dyDescent="0.3">
      <c r="N289" s="437"/>
    </row>
    <row r="290" spans="14:14" ht="18" customHeight="1" x14ac:dyDescent="0.3">
      <c r="N290" s="437"/>
    </row>
    <row r="291" spans="14:14" ht="18" customHeight="1" x14ac:dyDescent="0.3">
      <c r="N291" s="437"/>
    </row>
    <row r="292" spans="14:14" ht="18" customHeight="1" x14ac:dyDescent="0.3">
      <c r="N292" s="437"/>
    </row>
    <row r="293" spans="14:14" ht="18" customHeight="1" x14ac:dyDescent="0.3">
      <c r="N293" s="437"/>
    </row>
    <row r="294" spans="14:14" ht="18" customHeight="1" x14ac:dyDescent="0.3">
      <c r="N294" s="437"/>
    </row>
    <row r="295" spans="14:14" ht="18" customHeight="1" x14ac:dyDescent="0.3">
      <c r="N295" s="437"/>
    </row>
    <row r="296" spans="14:14" ht="18" customHeight="1" x14ac:dyDescent="0.3">
      <c r="N296" s="437"/>
    </row>
    <row r="297" spans="14:14" ht="18" customHeight="1" x14ac:dyDescent="0.3">
      <c r="N297" s="437"/>
    </row>
    <row r="298" spans="14:14" ht="18" customHeight="1" x14ac:dyDescent="0.3">
      <c r="N298" s="437"/>
    </row>
    <row r="299" spans="14:14" ht="18" customHeight="1" x14ac:dyDescent="0.3">
      <c r="N299" s="437"/>
    </row>
    <row r="300" spans="14:14" ht="18" customHeight="1" x14ac:dyDescent="0.3">
      <c r="N300" s="437"/>
    </row>
  </sheetData>
  <mergeCells count="492">
    <mergeCell ref="B1:N2"/>
    <mergeCell ref="C3:D3"/>
    <mergeCell ref="E3:F3"/>
    <mergeCell ref="G3:J3"/>
    <mergeCell ref="K3:L3"/>
    <mergeCell ref="C4:D4"/>
    <mergeCell ref="E4:F4"/>
    <mergeCell ref="G4:J4"/>
    <mergeCell ref="K4:L4"/>
    <mergeCell ref="C5:D5"/>
    <mergeCell ref="E5:F5"/>
    <mergeCell ref="G5:J5"/>
    <mergeCell ref="K5:L5"/>
    <mergeCell ref="C6:D6"/>
    <mergeCell ref="E6:F6"/>
    <mergeCell ref="G6:J6"/>
    <mergeCell ref="K6:L6"/>
    <mergeCell ref="C7:D7"/>
    <mergeCell ref="E7:F7"/>
    <mergeCell ref="G7:J7"/>
    <mergeCell ref="K7:L7"/>
    <mergeCell ref="C8:D8"/>
    <mergeCell ref="E8:F8"/>
    <mergeCell ref="G8:J8"/>
    <mergeCell ref="K8:L8"/>
    <mergeCell ref="C9:D9"/>
    <mergeCell ref="E9:F9"/>
    <mergeCell ref="G9:J9"/>
    <mergeCell ref="K9:L9"/>
    <mergeCell ref="C10:D10"/>
    <mergeCell ref="E10:F10"/>
    <mergeCell ref="G10:J10"/>
    <mergeCell ref="K10:L10"/>
    <mergeCell ref="C11:D11"/>
    <mergeCell ref="E11:F11"/>
    <mergeCell ref="G11:J11"/>
    <mergeCell ref="K11:L11"/>
    <mergeCell ref="C12:D12"/>
    <mergeCell ref="E12:F12"/>
    <mergeCell ref="G12:J12"/>
    <mergeCell ref="K12:L12"/>
    <mergeCell ref="B13:B31"/>
    <mergeCell ref="C13:D13"/>
    <mergeCell ref="E13:F13"/>
    <mergeCell ref="G13:J13"/>
    <mergeCell ref="K13:L31"/>
    <mergeCell ref="C14:D14"/>
    <mergeCell ref="E14:F14"/>
    <mergeCell ref="G14:J14"/>
    <mergeCell ref="C15:D15"/>
    <mergeCell ref="E15:F15"/>
    <mergeCell ref="G15:J15"/>
    <mergeCell ref="C16:D16"/>
    <mergeCell ref="E16:F16"/>
    <mergeCell ref="G16:J16"/>
    <mergeCell ref="C17:D17"/>
    <mergeCell ref="E17:F17"/>
    <mergeCell ref="G17:J17"/>
    <mergeCell ref="C18:D18"/>
    <mergeCell ref="E18:F18"/>
    <mergeCell ref="G18:J18"/>
    <mergeCell ref="C19:D19"/>
    <mergeCell ref="E19:F19"/>
    <mergeCell ref="G19:J19"/>
    <mergeCell ref="C20:D20"/>
    <mergeCell ref="E20:F20"/>
    <mergeCell ref="G20:J20"/>
    <mergeCell ref="C21:D21"/>
    <mergeCell ref="E21:F21"/>
    <mergeCell ref="G21:J21"/>
    <mergeCell ref="C22:D22"/>
    <mergeCell ref="E22:F22"/>
    <mergeCell ref="G22:J22"/>
    <mergeCell ref="C23:D23"/>
    <mergeCell ref="E23:F23"/>
    <mergeCell ref="G23:J23"/>
    <mergeCell ref="C24:D24"/>
    <mergeCell ref="E24:F24"/>
    <mergeCell ref="G24:J24"/>
    <mergeCell ref="C25:D25"/>
    <mergeCell ref="E25:F25"/>
    <mergeCell ref="G25:J25"/>
    <mergeCell ref="C26:D26"/>
    <mergeCell ref="E26:F26"/>
    <mergeCell ref="G26:J26"/>
    <mergeCell ref="C27:D27"/>
    <mergeCell ref="E27:F27"/>
    <mergeCell ref="G27:J27"/>
    <mergeCell ref="C28:D28"/>
    <mergeCell ref="E28:F28"/>
    <mergeCell ref="G28:J28"/>
    <mergeCell ref="C29:D29"/>
    <mergeCell ref="E29:F29"/>
    <mergeCell ref="G29:J29"/>
    <mergeCell ref="C30:D30"/>
    <mergeCell ref="E30:F30"/>
    <mergeCell ref="G30:J30"/>
    <mergeCell ref="C31:D31"/>
    <mergeCell ref="E31:F31"/>
    <mergeCell ref="G31:J31"/>
    <mergeCell ref="C32:D32"/>
    <mergeCell ref="E32:F32"/>
    <mergeCell ref="G32:J32"/>
    <mergeCell ref="K32:L32"/>
    <mergeCell ref="B33:B57"/>
    <mergeCell ref="C33:D33"/>
    <mergeCell ref="E33:F33"/>
    <mergeCell ref="G33:J33"/>
    <mergeCell ref="K33:L57"/>
    <mergeCell ref="C34:D34"/>
    <mergeCell ref="E34:F34"/>
    <mergeCell ref="G34:J34"/>
    <mergeCell ref="C35:D35"/>
    <mergeCell ref="E35:F35"/>
    <mergeCell ref="G35:J35"/>
    <mergeCell ref="C36:D36"/>
    <mergeCell ref="E36:F36"/>
    <mergeCell ref="G36:J36"/>
    <mergeCell ref="C37:D37"/>
    <mergeCell ref="E37:F37"/>
    <mergeCell ref="G37:J37"/>
    <mergeCell ref="C38:D38"/>
    <mergeCell ref="E38:F38"/>
    <mergeCell ref="G38:J38"/>
    <mergeCell ref="C39:D39"/>
    <mergeCell ref="E39:F39"/>
    <mergeCell ref="G39:J39"/>
    <mergeCell ref="C40:D40"/>
    <mergeCell ref="E40:F40"/>
    <mergeCell ref="G40:J40"/>
    <mergeCell ref="C41:D41"/>
    <mergeCell ref="E41:F41"/>
    <mergeCell ref="G41:J41"/>
    <mergeCell ref="C42:D42"/>
    <mergeCell ref="E42:F42"/>
    <mergeCell ref="G42:J42"/>
    <mergeCell ref="C43:D43"/>
    <mergeCell ref="E43:F43"/>
    <mergeCell ref="G43:J43"/>
    <mergeCell ref="C44:D44"/>
    <mergeCell ref="E44:F44"/>
    <mergeCell ref="G44:J44"/>
    <mergeCell ref="C45:D45"/>
    <mergeCell ref="E45:F45"/>
    <mergeCell ref="G45:J45"/>
    <mergeCell ref="C46:D46"/>
    <mergeCell ref="E46:F46"/>
    <mergeCell ref="G46:J46"/>
    <mergeCell ref="C47:D47"/>
    <mergeCell ref="E47:F47"/>
    <mergeCell ref="G47:J47"/>
    <mergeCell ref="C48:D48"/>
    <mergeCell ref="E48:F48"/>
    <mergeCell ref="G48:J48"/>
    <mergeCell ref="C49:D49"/>
    <mergeCell ref="E49:F49"/>
    <mergeCell ref="G49:J49"/>
    <mergeCell ref="C50:D50"/>
    <mergeCell ref="E50:F50"/>
    <mergeCell ref="G50:J50"/>
    <mergeCell ref="C51:D51"/>
    <mergeCell ref="E51:F51"/>
    <mergeCell ref="G51:J51"/>
    <mergeCell ref="C52:D52"/>
    <mergeCell ref="E52:F52"/>
    <mergeCell ref="G52:J52"/>
    <mergeCell ref="C53:D53"/>
    <mergeCell ref="E53:F53"/>
    <mergeCell ref="G53:J53"/>
    <mergeCell ref="C54:D54"/>
    <mergeCell ref="E54:F54"/>
    <mergeCell ref="G54:J54"/>
    <mergeCell ref="C55:D55"/>
    <mergeCell ref="E55:F55"/>
    <mergeCell ref="G55:J55"/>
    <mergeCell ref="C56:D56"/>
    <mergeCell ref="E56:F56"/>
    <mergeCell ref="G56:J56"/>
    <mergeCell ref="C57:D57"/>
    <mergeCell ref="E57:F57"/>
    <mergeCell ref="G57:J57"/>
    <mergeCell ref="C58:D58"/>
    <mergeCell ref="E58:F58"/>
    <mergeCell ref="G58:J58"/>
    <mergeCell ref="K58:L58"/>
    <mergeCell ref="B59:B83"/>
    <mergeCell ref="C59:D59"/>
    <mergeCell ref="E59:F59"/>
    <mergeCell ref="G59:J59"/>
    <mergeCell ref="K59:L83"/>
    <mergeCell ref="C60:D60"/>
    <mergeCell ref="E60:F60"/>
    <mergeCell ref="G60:J60"/>
    <mergeCell ref="C61:D61"/>
    <mergeCell ref="E61:F61"/>
    <mergeCell ref="G61:J61"/>
    <mergeCell ref="C62:D62"/>
    <mergeCell ref="E62:F62"/>
    <mergeCell ref="G62:J62"/>
    <mergeCell ref="C63:D63"/>
    <mergeCell ref="E63:F63"/>
    <mergeCell ref="G63:J63"/>
    <mergeCell ref="C64:D64"/>
    <mergeCell ref="E64:F64"/>
    <mergeCell ref="G64:J64"/>
    <mergeCell ref="C65:D65"/>
    <mergeCell ref="E65:F65"/>
    <mergeCell ref="G65:J65"/>
    <mergeCell ref="C66:D66"/>
    <mergeCell ref="E66:F66"/>
    <mergeCell ref="G66:J66"/>
    <mergeCell ref="C67:D67"/>
    <mergeCell ref="E67:F67"/>
    <mergeCell ref="G67:J67"/>
    <mergeCell ref="C68:D68"/>
    <mergeCell ref="E68:F68"/>
    <mergeCell ref="G68:J68"/>
    <mergeCell ref="C69:D69"/>
    <mergeCell ref="E69:F69"/>
    <mergeCell ref="G69:J69"/>
    <mergeCell ref="C70:D70"/>
    <mergeCell ref="E70:F70"/>
    <mergeCell ref="G70:J70"/>
    <mergeCell ref="C71:D71"/>
    <mergeCell ref="E71:F71"/>
    <mergeCell ref="G71:J71"/>
    <mergeCell ref="C72:D72"/>
    <mergeCell ref="E72:F72"/>
    <mergeCell ref="G72:J72"/>
    <mergeCell ref="C73:D73"/>
    <mergeCell ref="E73:F73"/>
    <mergeCell ref="G73:J73"/>
    <mergeCell ref="C74:D74"/>
    <mergeCell ref="E74:F74"/>
    <mergeCell ref="G74:J74"/>
    <mergeCell ref="C75:D75"/>
    <mergeCell ref="E75:F75"/>
    <mergeCell ref="G75:J75"/>
    <mergeCell ref="C76:D76"/>
    <mergeCell ref="E76:F76"/>
    <mergeCell ref="G76:J76"/>
    <mergeCell ref="C77:D77"/>
    <mergeCell ref="E77:F77"/>
    <mergeCell ref="G77:J77"/>
    <mergeCell ref="C78:D78"/>
    <mergeCell ref="E78:F78"/>
    <mergeCell ref="G78:J78"/>
    <mergeCell ref="C79:D79"/>
    <mergeCell ref="E79:F79"/>
    <mergeCell ref="G79:J79"/>
    <mergeCell ref="C80:D80"/>
    <mergeCell ref="E80:F80"/>
    <mergeCell ref="G80:J80"/>
    <mergeCell ref="C81:D81"/>
    <mergeCell ref="E81:F81"/>
    <mergeCell ref="G81:J81"/>
    <mergeCell ref="C82:D82"/>
    <mergeCell ref="E82:F82"/>
    <mergeCell ref="G82:J82"/>
    <mergeCell ref="C83:D83"/>
    <mergeCell ref="E83:F83"/>
    <mergeCell ref="G83:J83"/>
    <mergeCell ref="C84:D84"/>
    <mergeCell ref="E84:F84"/>
    <mergeCell ref="G84:J84"/>
    <mergeCell ref="K84:L84"/>
    <mergeCell ref="C85:D85"/>
    <mergeCell ref="E85:F85"/>
    <mergeCell ref="G85:J85"/>
    <mergeCell ref="K85:L85"/>
    <mergeCell ref="B86:B87"/>
    <mergeCell ref="C86:D86"/>
    <mergeCell ref="E86:F86"/>
    <mergeCell ref="G86:J86"/>
    <mergeCell ref="K86:L87"/>
    <mergeCell ref="C87:D87"/>
    <mergeCell ref="E87:F87"/>
    <mergeCell ref="G87:J87"/>
    <mergeCell ref="B88:B89"/>
    <mergeCell ref="C88:D88"/>
    <mergeCell ref="E88:F88"/>
    <mergeCell ref="G88:J88"/>
    <mergeCell ref="K88:L89"/>
    <mergeCell ref="C89:D89"/>
    <mergeCell ref="E89:F89"/>
    <mergeCell ref="G89:J89"/>
    <mergeCell ref="B90:B91"/>
    <mergeCell ref="C90:D90"/>
    <mergeCell ref="E90:F90"/>
    <mergeCell ref="G90:J90"/>
    <mergeCell ref="K90:L91"/>
    <mergeCell ref="C91:D91"/>
    <mergeCell ref="E91:F91"/>
    <mergeCell ref="G91:J91"/>
    <mergeCell ref="C92:D92"/>
    <mergeCell ref="E92:F92"/>
    <mergeCell ref="G92:J92"/>
    <mergeCell ref="K92:L92"/>
    <mergeCell ref="B93:B96"/>
    <mergeCell ref="C93:D93"/>
    <mergeCell ref="E93:F93"/>
    <mergeCell ref="G93:J93"/>
    <mergeCell ref="K93:L96"/>
    <mergeCell ref="C94:D94"/>
    <mergeCell ref="E94:F94"/>
    <mergeCell ref="G94:J94"/>
    <mergeCell ref="C95:D95"/>
    <mergeCell ref="E95:F95"/>
    <mergeCell ref="G95:J95"/>
    <mergeCell ref="C96:D96"/>
    <mergeCell ref="E96:F96"/>
    <mergeCell ref="G96:J96"/>
    <mergeCell ref="C97:D97"/>
    <mergeCell ref="E97:F97"/>
    <mergeCell ref="G97:J97"/>
    <mergeCell ref="K97:L97"/>
    <mergeCell ref="C98:D98"/>
    <mergeCell ref="E98:F98"/>
    <mergeCell ref="G98:J98"/>
    <mergeCell ref="K98:L98"/>
    <mergeCell ref="C99:D99"/>
    <mergeCell ref="E99:F99"/>
    <mergeCell ref="G99:J99"/>
    <mergeCell ref="K99:L99"/>
    <mergeCell ref="C100:D100"/>
    <mergeCell ref="E100:F100"/>
    <mergeCell ref="G100:J100"/>
    <mergeCell ref="K100:L100"/>
    <mergeCell ref="C101:D101"/>
    <mergeCell ref="E101:F101"/>
    <mergeCell ref="G101:J101"/>
    <mergeCell ref="K101:L101"/>
    <mergeCell ref="C102:D102"/>
    <mergeCell ref="E102:F102"/>
    <mergeCell ref="G102:J102"/>
    <mergeCell ref="K102:L102"/>
    <mergeCell ref="C103:D103"/>
    <mergeCell ref="E103:F103"/>
    <mergeCell ref="G103:J103"/>
    <mergeCell ref="K103:L103"/>
    <mergeCell ref="C104:D104"/>
    <mergeCell ref="E104:F104"/>
    <mergeCell ref="G104:J104"/>
    <mergeCell ref="K104:L104"/>
    <mergeCell ref="C105:D105"/>
    <mergeCell ref="E105:F105"/>
    <mergeCell ref="G105:J105"/>
    <mergeCell ref="K105:L105"/>
    <mergeCell ref="C106:D106"/>
    <mergeCell ref="E106:F106"/>
    <mergeCell ref="G106:J106"/>
    <mergeCell ref="K106:L106"/>
    <mergeCell ref="C107:D107"/>
    <mergeCell ref="E107:F107"/>
    <mergeCell ref="G107:J107"/>
    <mergeCell ref="K107:L107"/>
    <mergeCell ref="C108:D108"/>
    <mergeCell ref="E108:F108"/>
    <mergeCell ref="G108:J108"/>
    <mergeCell ref="K108:L108"/>
    <mergeCell ref="C109:D109"/>
    <mergeCell ref="E109:F109"/>
    <mergeCell ref="G109:J109"/>
    <mergeCell ref="K109:L109"/>
    <mergeCell ref="C110:D110"/>
    <mergeCell ref="E110:F110"/>
    <mergeCell ref="G110:J110"/>
    <mergeCell ref="K110:L110"/>
    <mergeCell ref="C111:D111"/>
    <mergeCell ref="E111:F111"/>
    <mergeCell ref="G111:J111"/>
    <mergeCell ref="K111:L111"/>
    <mergeCell ref="C112:D112"/>
    <mergeCell ref="E112:F112"/>
    <mergeCell ref="G112:J112"/>
    <mergeCell ref="K112:L112"/>
    <mergeCell ref="C113:D113"/>
    <mergeCell ref="E113:F113"/>
    <mergeCell ref="G113:J113"/>
    <mergeCell ref="K113:L113"/>
    <mergeCell ref="C114:D114"/>
    <mergeCell ref="E114:F114"/>
    <mergeCell ref="G114:J114"/>
    <mergeCell ref="K114:L114"/>
    <mergeCell ref="C115:D115"/>
    <mergeCell ref="E115:F115"/>
    <mergeCell ref="G115:J115"/>
    <mergeCell ref="K115:L115"/>
    <mergeCell ref="C116:D116"/>
    <mergeCell ref="E116:F116"/>
    <mergeCell ref="G116:J116"/>
    <mergeCell ref="K116:L116"/>
    <mergeCell ref="C117:D117"/>
    <mergeCell ref="E117:F117"/>
    <mergeCell ref="G117:J117"/>
    <mergeCell ref="K117:L117"/>
    <mergeCell ref="C118:D118"/>
    <mergeCell ref="E118:F118"/>
    <mergeCell ref="G118:J118"/>
    <mergeCell ref="K118:L118"/>
    <mergeCell ref="C119:D119"/>
    <mergeCell ref="E119:F119"/>
    <mergeCell ref="G119:J119"/>
    <mergeCell ref="K119:L119"/>
    <mergeCell ref="C120:D120"/>
    <mergeCell ref="E120:F120"/>
    <mergeCell ref="G120:J120"/>
    <mergeCell ref="K120:L120"/>
    <mergeCell ref="C121:D121"/>
    <mergeCell ref="E121:F121"/>
    <mergeCell ref="G121:J121"/>
    <mergeCell ref="K121:L121"/>
    <mergeCell ref="C122:D122"/>
    <mergeCell ref="E122:F122"/>
    <mergeCell ref="G122:J122"/>
    <mergeCell ref="K122:L122"/>
    <mergeCell ref="C123:D123"/>
    <mergeCell ref="E123:F123"/>
    <mergeCell ref="G123:J123"/>
    <mergeCell ref="K123:L123"/>
    <mergeCell ref="C124:D124"/>
    <mergeCell ref="E124:F124"/>
    <mergeCell ref="G124:J124"/>
    <mergeCell ref="K124:L124"/>
    <mergeCell ref="C125:D125"/>
    <mergeCell ref="E125:F125"/>
    <mergeCell ref="G125:J125"/>
    <mergeCell ref="K125:L125"/>
    <mergeCell ref="C126:D126"/>
    <mergeCell ref="E126:F126"/>
    <mergeCell ref="G126:J126"/>
    <mergeCell ref="K126:L126"/>
    <mergeCell ref="C127:D127"/>
    <mergeCell ref="E127:F127"/>
    <mergeCell ref="G127:J127"/>
    <mergeCell ref="K127:L127"/>
    <mergeCell ref="C128:D128"/>
    <mergeCell ref="E128:F128"/>
    <mergeCell ref="G128:J128"/>
    <mergeCell ref="K128:L128"/>
    <mergeCell ref="C129:D129"/>
    <mergeCell ref="E129:F129"/>
    <mergeCell ref="G129:J129"/>
    <mergeCell ref="K129:L129"/>
    <mergeCell ref="C130:D130"/>
    <mergeCell ref="E130:F130"/>
    <mergeCell ref="G130:J130"/>
    <mergeCell ref="K130:L130"/>
    <mergeCell ref="C131:D131"/>
    <mergeCell ref="E131:F131"/>
    <mergeCell ref="G131:J131"/>
    <mergeCell ref="K131:L131"/>
    <mergeCell ref="C132:D132"/>
    <mergeCell ref="E132:F132"/>
    <mergeCell ref="G132:J132"/>
    <mergeCell ref="K132:L132"/>
    <mergeCell ref="C133:D133"/>
    <mergeCell ref="E133:F133"/>
    <mergeCell ref="G133:J133"/>
    <mergeCell ref="K133:L133"/>
    <mergeCell ref="C134:D134"/>
    <mergeCell ref="E134:F134"/>
    <mergeCell ref="G134:J134"/>
    <mergeCell ref="K134:L134"/>
    <mergeCell ref="C135:D135"/>
    <mergeCell ref="E135:F135"/>
    <mergeCell ref="G135:J135"/>
    <mergeCell ref="K135:L135"/>
    <mergeCell ref="C136:D136"/>
    <mergeCell ref="E136:F136"/>
    <mergeCell ref="G136:J136"/>
    <mergeCell ref="K136:L136"/>
    <mergeCell ref="C137:D137"/>
    <mergeCell ref="E137:F137"/>
    <mergeCell ref="G137:J137"/>
    <mergeCell ref="K137:L137"/>
    <mergeCell ref="C138:D138"/>
    <mergeCell ref="E138:F138"/>
    <mergeCell ref="G138:J138"/>
    <mergeCell ref="K138:L138"/>
    <mergeCell ref="C139:D139"/>
    <mergeCell ref="E139:F139"/>
    <mergeCell ref="G139:J139"/>
    <mergeCell ref="K139:L139"/>
    <mergeCell ref="C140:D140"/>
    <mergeCell ref="E140:F140"/>
    <mergeCell ref="G140:J140"/>
    <mergeCell ref="K140:L140"/>
    <mergeCell ref="C141:D141"/>
    <mergeCell ref="E141:F141"/>
    <mergeCell ref="G141:J141"/>
    <mergeCell ref="K141:L14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F3A4A"/>
  </sheetPr>
  <dimension ref="A1:S199"/>
  <sheetViews>
    <sheetView showGridLines="0" zoomScaleNormal="100" workbookViewId="0">
      <selection sqref="A1:I1"/>
    </sheetView>
  </sheetViews>
  <sheetFormatPr defaultColWidth="8.6640625" defaultRowHeight="14.4" x14ac:dyDescent="0.3"/>
  <cols>
    <col min="1" max="1" width="35.6640625" style="27" customWidth="1"/>
    <col min="2" max="2" width="28" customWidth="1"/>
    <col min="3" max="3" width="14" customWidth="1"/>
    <col min="4" max="6" width="13" customWidth="1"/>
    <col min="7" max="7" width="14.88671875" customWidth="1"/>
    <col min="8" max="8" width="13" customWidth="1"/>
    <col min="9" max="9" width="13.5546875" customWidth="1"/>
    <col min="10" max="13" width="12" hidden="1" customWidth="1"/>
    <col min="14" max="14" width="14" hidden="1" customWidth="1"/>
    <col min="15" max="15" width="13" hidden="1" customWidth="1"/>
    <col min="16" max="16" width="45" customWidth="1"/>
    <col min="17" max="21" width="13" customWidth="1"/>
  </cols>
  <sheetData>
    <row r="1" spans="1:19" ht="21.75" customHeight="1" x14ac:dyDescent="0.3">
      <c r="A1" s="609" t="s">
        <v>197</v>
      </c>
      <c r="B1" s="609"/>
      <c r="C1" s="609"/>
      <c r="D1" s="609"/>
      <c r="E1" s="609"/>
      <c r="F1" s="609"/>
      <c r="G1" s="609"/>
      <c r="H1" s="609"/>
      <c r="I1" s="609"/>
      <c r="J1" t="s">
        <v>198</v>
      </c>
      <c r="K1" t="s">
        <v>199</v>
      </c>
      <c r="L1" t="s">
        <v>200</v>
      </c>
      <c r="M1" t="s">
        <v>201</v>
      </c>
    </row>
    <row r="2" spans="1:19" ht="14.25" customHeight="1" x14ac:dyDescent="0.3">
      <c r="A2" s="610" t="s">
        <v>202</v>
      </c>
      <c r="B2" s="610"/>
      <c r="C2" s="610"/>
      <c r="D2" s="610"/>
      <c r="E2" s="610"/>
      <c r="F2" s="610"/>
      <c r="G2" s="607" t="s">
        <v>203</v>
      </c>
      <c r="H2" s="607"/>
      <c r="I2" s="607"/>
      <c r="P2" s="29" t="s">
        <v>204</v>
      </c>
    </row>
    <row r="3" spans="1:19" ht="19.5" customHeight="1" x14ac:dyDescent="0.3">
      <c r="A3" s="30">
        <v>46055</v>
      </c>
      <c r="B3" s="31" t="s">
        <v>78</v>
      </c>
      <c r="C3" s="32" t="s">
        <v>205</v>
      </c>
      <c r="D3" s="33" t="s">
        <v>206</v>
      </c>
      <c r="E3" s="33" t="s">
        <v>207</v>
      </c>
      <c r="F3" s="34" t="s">
        <v>208</v>
      </c>
      <c r="G3" s="33" t="s">
        <v>209</v>
      </c>
      <c r="H3" s="33" t="s">
        <v>210</v>
      </c>
      <c r="I3" s="35" t="s">
        <v>211</v>
      </c>
      <c r="J3" s="36"/>
      <c r="K3" s="36"/>
      <c r="L3" s="37"/>
      <c r="M3" s="36"/>
      <c r="N3" s="37"/>
    </row>
    <row r="4" spans="1:19" ht="14.25" customHeight="1" x14ac:dyDescent="0.3">
      <c r="A4" s="38"/>
      <c r="B4" s="39"/>
      <c r="C4" s="40"/>
      <c r="D4" s="41"/>
      <c r="E4" s="42"/>
      <c r="G4" s="43"/>
      <c r="H4" s="44"/>
      <c r="I4" s="45"/>
      <c r="J4" s="46"/>
      <c r="L4" s="44" t="str">
        <f>IF(H4="","",H4)</f>
        <v/>
      </c>
      <c r="N4" s="45" t="str">
        <f t="shared" ref="N4:N10" si="0">IF(I4="","",I4)</f>
        <v/>
      </c>
    </row>
    <row r="5" spans="1:19" ht="14.25" customHeight="1" x14ac:dyDescent="0.3">
      <c r="A5" s="613">
        <v>600</v>
      </c>
      <c r="B5" s="48" t="s">
        <v>66</v>
      </c>
      <c r="C5" s="49">
        <v>600</v>
      </c>
      <c r="D5" s="50">
        <f>'SEMANA JANEIRO'!D174-'SEMANA JANEIRO'!L174</f>
        <v>438</v>
      </c>
      <c r="E5" s="51" t="s">
        <v>214</v>
      </c>
      <c r="F5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>95</v>
      </c>
      <c r="G5" s="52">
        <f>IFERROR(ROUNDUP(D5/F5,0),"")</f>
        <v>5</v>
      </c>
      <c r="H5" s="53">
        <v>438</v>
      </c>
      <c r="I5" s="54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>5256</v>
      </c>
      <c r="J5" s="55">
        <f>IF(D5="","",ROUNDUP(D5/IF(AND(C5="600 ml",ISNUMBER(SEARCH("NORCAU",B5))),95,IF(AND(C5="600 ml",ISNUMBER(SEARCH("APURATOS",B5))),190,IF(C5="600 ml",95,IF(C5="400 ml",125,IF(C5="200 ml",330,IF(C5="180 ml",240,1)))))),0))</f>
        <v>438</v>
      </c>
      <c r="L5" s="56">
        <f>IF(H5="","",H5)</f>
        <v>438</v>
      </c>
      <c r="M5" s="57"/>
      <c r="N5" s="58">
        <f t="shared" si="0"/>
        <v>5256</v>
      </c>
    </row>
    <row r="6" spans="1:19" ht="14.25" customHeight="1" x14ac:dyDescent="0.3">
      <c r="A6" s="613"/>
      <c r="B6" s="39" t="s">
        <v>54</v>
      </c>
      <c r="C6" s="40">
        <v>600</v>
      </c>
      <c r="D6" s="41">
        <v>1330</v>
      </c>
      <c r="E6" s="42" t="s">
        <v>214</v>
      </c>
      <c r="F6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>95</v>
      </c>
      <c r="G6" s="59">
        <f>IFERROR(ROUNDUP(D6/F6,0),"")</f>
        <v>14</v>
      </c>
      <c r="H6" s="44">
        <v>506</v>
      </c>
      <c r="I6" s="45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>6072</v>
      </c>
      <c r="J6" s="46">
        <f>IF(D6="","",ROUNDUP(D6/IF(AND(C6="600 ml",ISNUMBER(SEARCH("NORCAU",B6))),95,IF(AND(C6="600 ml",ISNUMBER(SEARCH("APURATOS",B6))),190,IF(C6="600 ml",95,IF(C6="400 ml",125,IF(C6="200 ml",330,IF(C6="180 ml",240,1)))))),0))</f>
        <v>1330</v>
      </c>
      <c r="L6" s="44">
        <f>IF(H6="","",H6)</f>
        <v>506</v>
      </c>
      <c r="M6" s="57"/>
      <c r="N6" s="45">
        <f t="shared" si="0"/>
        <v>6072</v>
      </c>
    </row>
    <row r="7" spans="1:19" ht="14.25" customHeight="1" x14ac:dyDescent="0.3">
      <c r="A7" s="38"/>
      <c r="B7" s="48"/>
      <c r="C7" s="49"/>
      <c r="D7" s="50"/>
      <c r="E7" s="51" t="s">
        <v>214</v>
      </c>
      <c r="F7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52" t="str">
        <f>IFERROR(ROUNDUP(D7/F7,0),"")</f>
        <v/>
      </c>
      <c r="H7" s="53"/>
      <c r="I7" s="54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  <c r="J7" s="55" t="str">
        <f>IF(D7="","",ROUNDUP(D7/IF(AND(C7="600 ml",ISNUMBER(SEARCH("NORCAU",B7))),95,IF(AND(C7="600 ml",ISNUMBER(SEARCH("APURATOS",B7))),190,IF(C7="600 ml",95,IF(C7="400 ml",125,IF(C7="200 ml",330,IF(C7="180 ml",240,1)))))),0))</f>
        <v/>
      </c>
      <c r="L7" s="56" t="str">
        <f>IF(H7="","",H7)</f>
        <v/>
      </c>
      <c r="N7" s="58" t="str">
        <f t="shared" si="0"/>
        <v/>
      </c>
    </row>
    <row r="8" spans="1:19" ht="14.25" customHeight="1" x14ac:dyDescent="0.3">
      <c r="A8" s="38"/>
      <c r="B8" s="39"/>
      <c r="C8" s="40"/>
      <c r="D8" s="41"/>
      <c r="E8" s="42"/>
      <c r="G8" s="43"/>
      <c r="H8" s="44"/>
      <c r="I8" s="45"/>
      <c r="J8" s="46" t="str">
        <f>IF(D8="","",ROUNDUP(D8/IF(AND(C8="600 ml",ISNUMBER(SEARCH("NORCAU",B8))),95,IF(AND(C8="600 ml",ISNUMBER(SEARCH("APURATOS",B8))),190,IF(C8="600 ml",95,IF(C8="400 ml",125,IF(C8="200 ml",330,IF(C8="180 ml",240,1)))))),0))</f>
        <v/>
      </c>
      <c r="L8" s="44" t="str">
        <f>IF(H8="","",H8)</f>
        <v/>
      </c>
      <c r="N8" s="45" t="str">
        <f t="shared" si="0"/>
        <v/>
      </c>
    </row>
    <row r="9" spans="1:19" ht="14.25" customHeight="1" x14ac:dyDescent="0.3">
      <c r="A9" s="38"/>
      <c r="B9" s="60" t="s">
        <v>216</v>
      </c>
      <c r="C9" s="61"/>
      <c r="D9" s="62">
        <f>SUM(D2:D8)</f>
        <v>1768</v>
      </c>
      <c r="E9" s="63"/>
      <c r="F9" s="64"/>
      <c r="G9" s="65">
        <f>SUM(G2:G8)</f>
        <v>19</v>
      </c>
      <c r="H9" s="62">
        <f>SUM(H2:H8)</f>
        <v>944</v>
      </c>
      <c r="I9" s="66">
        <f>SUM(I2:I8)</f>
        <v>11328</v>
      </c>
      <c r="J9" s="67">
        <f>SUM(D4:D8)</f>
        <v>1768</v>
      </c>
      <c r="K9" s="68">
        <f>SUM(G4:G8)</f>
        <v>19</v>
      </c>
      <c r="L9" s="69">
        <f>SUM(H4:H8)</f>
        <v>944</v>
      </c>
      <c r="M9" s="68">
        <f>SUM(I4:I8)</f>
        <v>11328</v>
      </c>
      <c r="N9" s="70">
        <f t="shared" si="0"/>
        <v>11328</v>
      </c>
      <c r="O9">
        <f>SUM(N5:N8)</f>
        <v>11328</v>
      </c>
    </row>
    <row r="10" spans="1:19" ht="14.25" customHeight="1" x14ac:dyDescent="0.3">
      <c r="B10" s="71"/>
      <c r="C10" s="72"/>
      <c r="J10" t="str">
        <f>IF(D10="","",ROUNDUP(D10/IF(AND(C10="600 ml",ISNUMBER(SEARCH("NORCAU",B10))),95,IF(AND(C10="600 ml",ISNUMBER(SEARCH("APURATOS",B10))),190,IF(C10="600 ml",95,IF(C10="400 ml",125,IF(C10="200 ml",330,IF(C10="180 ml",240,1)))))),0))</f>
        <v/>
      </c>
      <c r="L10" t="str">
        <f>IF(H10="","",H10)</f>
        <v/>
      </c>
      <c r="N10" t="str">
        <f t="shared" si="0"/>
        <v/>
      </c>
    </row>
    <row r="11" spans="1:19" ht="19.5" customHeight="1" x14ac:dyDescent="0.3">
      <c r="A11" s="30">
        <v>46056</v>
      </c>
      <c r="B11" s="31" t="s">
        <v>78</v>
      </c>
      <c r="C11" s="32" t="s">
        <v>205</v>
      </c>
      <c r="D11" s="33" t="s">
        <v>206</v>
      </c>
      <c r="E11" s="33" t="s">
        <v>207</v>
      </c>
      <c r="F11" s="34" t="s">
        <v>208</v>
      </c>
      <c r="G11" s="33" t="s">
        <v>209</v>
      </c>
      <c r="H11" s="33" t="s">
        <v>210</v>
      </c>
      <c r="I11" s="35" t="s">
        <v>211</v>
      </c>
      <c r="J11" s="36"/>
      <c r="K11" s="36"/>
      <c r="L11" s="37"/>
      <c r="M11" s="36"/>
      <c r="N11" s="37"/>
    </row>
    <row r="12" spans="1:19" ht="15" customHeight="1" x14ac:dyDescent="0.3">
      <c r="A12" s="38"/>
      <c r="B12" s="39"/>
      <c r="C12" s="40"/>
      <c r="D12" s="41"/>
      <c r="E12" s="42"/>
      <c r="G12" s="43"/>
      <c r="H12" s="44"/>
      <c r="I12" s="45"/>
      <c r="J12" s="46" t="str">
        <f>IF(D12="","",ROUNDUP(D12/IF(AND(C12="600 ml",ISNUMBER(SEARCH("NORCAU",B12))),95,IF(AND(C12="600 ml",ISNUMBER(SEARCH("APURATOS",B12))),190,IF(C12="600 ml",95,IF(C12="400 ml",125,IF(C12="200 ml",330,IF(C12="180 ml",240,1)))))),0))</f>
        <v/>
      </c>
      <c r="L12" s="44" t="str">
        <f>IF(H12="","",H12)</f>
        <v/>
      </c>
      <c r="N12" s="45" t="str">
        <f t="shared" ref="N12:N18" si="1">IF(I12="","",I12)</f>
        <v/>
      </c>
      <c r="P12" s="611" t="s">
        <v>314</v>
      </c>
      <c r="Q12" s="611"/>
      <c r="R12" s="611"/>
      <c r="S12" s="611"/>
    </row>
    <row r="13" spans="1:19" ht="14.25" customHeight="1" x14ac:dyDescent="0.3">
      <c r="A13" s="613">
        <v>600</v>
      </c>
      <c r="B13" s="48" t="s">
        <v>54</v>
      </c>
      <c r="C13" s="49">
        <v>600</v>
      </c>
      <c r="D13" s="50">
        <f>D6-L6</f>
        <v>824</v>
      </c>
      <c r="E13" s="51" t="s">
        <v>214</v>
      </c>
      <c r="F13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>95</v>
      </c>
      <c r="G13" s="52">
        <f>IFERROR(ROUNDUP(D13/F13,0),"")</f>
        <v>9</v>
      </c>
      <c r="H13" s="53">
        <v>702</v>
      </c>
      <c r="I13" s="54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>8424</v>
      </c>
      <c r="J13" s="55">
        <f>IF(D13="","",ROUNDUP(D13/IF(AND(C13="600 ml",ISNUMBER(SEARCH("NORCAU",B13))),95,IF(AND(C13="600 ml",ISNUMBER(SEARCH("APURATOS",B13))),190,IF(C13="600 ml",95,IF(C13="400 ml",125,IF(C13="200 ml",330,IF(C13="180 ml",240,1)))))),0))</f>
        <v>824</v>
      </c>
      <c r="L13" s="56">
        <f>IF(H13="","",H13)</f>
        <v>702</v>
      </c>
      <c r="M13" s="57"/>
      <c r="N13" s="58">
        <f t="shared" si="1"/>
        <v>8424</v>
      </c>
      <c r="P13" s="611"/>
      <c r="Q13" s="611"/>
      <c r="R13" s="611"/>
      <c r="S13" s="611"/>
    </row>
    <row r="14" spans="1:19" ht="14.25" customHeight="1" x14ac:dyDescent="0.3">
      <c r="A14" s="613"/>
      <c r="B14" s="39"/>
      <c r="C14" s="40"/>
      <c r="D14" s="41"/>
      <c r="E14" s="42" t="s">
        <v>214</v>
      </c>
      <c r="F14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59" t="str">
        <f>IFERROR(ROUNDUP(D14/F14,0),"")</f>
        <v/>
      </c>
      <c r="H14" s="44"/>
      <c r="I14" s="45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  <c r="J14" s="46" t="str">
        <f>IF(D14="","",ROUNDUP(D14/IF(AND(C14="600 ml",ISNUMBER(SEARCH("NORCAU",B14))),95,IF(AND(C14="600 ml",ISNUMBER(SEARCH("APURATOS",B14))),190,IF(C14="600 ml",95,IF(C14="400 ml",125,IF(C14="200 ml",330,IF(C14="180 ml",240,1)))))),0))</f>
        <v/>
      </c>
      <c r="L14" s="44" t="str">
        <f>IF(H14="","",H14)</f>
        <v/>
      </c>
      <c r="M14" s="57"/>
      <c r="N14" s="45" t="str">
        <f t="shared" si="1"/>
        <v/>
      </c>
      <c r="P14" s="611"/>
      <c r="Q14" s="611"/>
      <c r="R14" s="611"/>
      <c r="S14" s="611"/>
    </row>
    <row r="15" spans="1:19" ht="14.25" customHeight="1" x14ac:dyDescent="0.3">
      <c r="A15" s="38"/>
      <c r="B15" s="48"/>
      <c r="C15" s="49"/>
      <c r="D15" s="50"/>
      <c r="E15" s="51" t="s">
        <v>214</v>
      </c>
      <c r="F15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52" t="str">
        <f>IFERROR(ROUNDUP(D15/F15,0),"")</f>
        <v/>
      </c>
      <c r="H15" s="53"/>
      <c r="I15" s="54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  <c r="J15" s="55" t="str">
        <f>IF(D15="","",ROUNDUP(D15/IF(AND(C15="600 ml",ISNUMBER(SEARCH("NORCAU",B15))),95,IF(AND(C15="600 ml",ISNUMBER(SEARCH("APURATOS",B15))),190,IF(C15="600 ml",95,IF(C15="400 ml",125,IF(C15="200 ml",330,IF(C15="180 ml",240,1)))))),0))</f>
        <v/>
      </c>
      <c r="L15" s="56" t="str">
        <f>IF(H15="","",H15)</f>
        <v/>
      </c>
      <c r="N15" s="58" t="str">
        <f t="shared" si="1"/>
        <v/>
      </c>
    </row>
    <row r="16" spans="1:19" ht="14.25" customHeight="1" x14ac:dyDescent="0.3">
      <c r="A16" s="38"/>
      <c r="B16" s="39"/>
      <c r="C16" s="40"/>
      <c r="D16" s="41"/>
      <c r="E16" s="42"/>
      <c r="G16" s="43"/>
      <c r="H16" s="44"/>
      <c r="I16" s="45"/>
      <c r="J16" s="46" t="str">
        <f>IF(D16="","",ROUNDUP(D16/IF(AND(C16="600 ml",ISNUMBER(SEARCH("NORCAU",B16))),95,IF(AND(C16="600 ml",ISNUMBER(SEARCH("APURATOS",B16))),190,IF(C16="600 ml",95,IF(C16="400 ml",125,IF(C16="200 ml",330,IF(C16="180 ml",240,1)))))),0))</f>
        <v/>
      </c>
      <c r="L16" s="44" t="str">
        <f>IF(H16="","",H16)</f>
        <v/>
      </c>
      <c r="N16" s="45" t="str">
        <f t="shared" si="1"/>
        <v/>
      </c>
    </row>
    <row r="17" spans="1:19" ht="14.25" customHeight="1" x14ac:dyDescent="0.3">
      <c r="A17" s="38"/>
      <c r="B17" s="60" t="s">
        <v>216</v>
      </c>
      <c r="C17" s="61"/>
      <c r="D17" s="62">
        <f>SUM(D10:D16)</f>
        <v>824</v>
      </c>
      <c r="E17" s="63"/>
      <c r="F17" s="64"/>
      <c r="G17" s="65">
        <f>SUM(G10:G16)</f>
        <v>9</v>
      </c>
      <c r="H17" s="62">
        <f>SUM(H10:H16)</f>
        <v>702</v>
      </c>
      <c r="I17" s="66">
        <f>SUM(I10:I16)</f>
        <v>8424</v>
      </c>
      <c r="J17" s="67">
        <f>SUM(D12:D16)</f>
        <v>824</v>
      </c>
      <c r="K17" s="68">
        <f>SUM(G12:G16)</f>
        <v>9</v>
      </c>
      <c r="L17" s="69">
        <f>SUM(H12:H16)</f>
        <v>702</v>
      </c>
      <c r="M17" s="68">
        <f>SUM(I12:I16)</f>
        <v>8424</v>
      </c>
      <c r="N17" s="70">
        <f t="shared" si="1"/>
        <v>8424</v>
      </c>
      <c r="O17">
        <f>SUM(N13:N16)</f>
        <v>8424</v>
      </c>
    </row>
    <row r="18" spans="1:19" ht="14.25" customHeight="1" x14ac:dyDescent="0.3">
      <c r="B18" s="87"/>
      <c r="C18" s="88"/>
      <c r="D18" s="36"/>
      <c r="E18" s="36"/>
      <c r="F18" s="36"/>
      <c r="G18" s="36"/>
      <c r="H18" s="36"/>
      <c r="I18" s="89"/>
      <c r="J18" t="str">
        <f>IF(D18="","",ROUNDUP(D18/IF(AND(C18="600 ml",ISNUMBER(SEARCH("NORCAU",B18))),95,IF(AND(C18="600 ml",ISNUMBER(SEARCH("APURATOS",B18))),190,IF(C18="600 ml",95,IF(C18="400 ml",125,IF(C18="200 ml",330,IF(C18="180 ml",240,1)))))),0))</f>
        <v/>
      </c>
      <c r="L18" t="str">
        <f>IF(H18="","",H18)</f>
        <v/>
      </c>
      <c r="N18" t="str">
        <f t="shared" si="1"/>
        <v/>
      </c>
    </row>
    <row r="19" spans="1:19" ht="19.5" customHeight="1" x14ac:dyDescent="0.3">
      <c r="A19" s="30">
        <v>46057</v>
      </c>
      <c r="B19" s="31" t="s">
        <v>78</v>
      </c>
      <c r="C19" s="32" t="s">
        <v>205</v>
      </c>
      <c r="D19" s="33" t="s">
        <v>206</v>
      </c>
      <c r="E19" s="33" t="s">
        <v>207</v>
      </c>
      <c r="F19" s="34" t="s">
        <v>208</v>
      </c>
      <c r="G19" s="33" t="s">
        <v>209</v>
      </c>
      <c r="H19" s="33" t="s">
        <v>210</v>
      </c>
      <c r="I19" s="35" t="s">
        <v>211</v>
      </c>
      <c r="J19" s="36"/>
      <c r="K19" s="36"/>
      <c r="L19" s="37"/>
      <c r="M19" s="36"/>
      <c r="N19" s="37"/>
    </row>
    <row r="20" spans="1:19" ht="15" customHeight="1" x14ac:dyDescent="0.3">
      <c r="A20" s="38"/>
      <c r="B20" s="39"/>
      <c r="C20" s="40"/>
      <c r="D20" s="41"/>
      <c r="E20" s="42"/>
      <c r="G20" s="43"/>
      <c r="H20" s="44"/>
      <c r="I20" s="45"/>
      <c r="J20" s="46" t="str">
        <f>IF(D20="","",ROUNDUP(D20/IF(AND(C20="600 ml",ISNUMBER(SEARCH("NORCAU",B20))),95,IF(AND(C20="600 ml",ISNUMBER(SEARCH("APURATOS",B20))),190,IF(C20="600 ml",95,IF(C20="400 ml",125,IF(C20="200 ml",330,IF(C20="180 ml",240,1)))))),0))</f>
        <v/>
      </c>
      <c r="L20" s="44" t="str">
        <f>IF(H20="","",H20)</f>
        <v/>
      </c>
      <c r="N20" s="45" t="str">
        <f t="shared" ref="N20:N26" si="2">IF(I20="","",I20)</f>
        <v/>
      </c>
      <c r="P20" s="611" t="s">
        <v>315</v>
      </c>
      <c r="Q20" s="611"/>
      <c r="R20" s="611"/>
      <c r="S20" s="611"/>
    </row>
    <row r="21" spans="1:19" ht="14.25" customHeight="1" x14ac:dyDescent="0.3">
      <c r="A21" s="613">
        <v>600</v>
      </c>
      <c r="B21" s="48" t="s">
        <v>54</v>
      </c>
      <c r="C21" s="49">
        <v>600</v>
      </c>
      <c r="D21" s="50">
        <f>D13-L13</f>
        <v>122</v>
      </c>
      <c r="E21" s="51" t="s">
        <v>214</v>
      </c>
      <c r="F21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>95</v>
      </c>
      <c r="G21" s="52">
        <f>IFERROR(ROUNDUP(D21/F21,0),"")</f>
        <v>2</v>
      </c>
      <c r="H21" s="53">
        <v>139</v>
      </c>
      <c r="I21" s="54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>1668</v>
      </c>
      <c r="J21" s="55">
        <f>IF(D21="","",ROUNDUP(D21/IF(AND(C21="600 ml",ISNUMBER(SEARCH("NORCAU",B21))),95,IF(AND(C21="600 ml",ISNUMBER(SEARCH("APURATOS",B21))),190,IF(C21="600 ml",95,IF(C21="400 ml",125,IF(C21="200 ml",330,IF(C21="180 ml",240,1)))))),0))</f>
        <v>122</v>
      </c>
      <c r="L21" s="56">
        <f>IF(H21="","",H21)</f>
        <v>139</v>
      </c>
      <c r="M21" s="57"/>
      <c r="N21" s="58">
        <f t="shared" si="2"/>
        <v>1668</v>
      </c>
      <c r="P21" s="611"/>
      <c r="Q21" s="611"/>
      <c r="R21" s="611"/>
      <c r="S21" s="611"/>
    </row>
    <row r="22" spans="1:19" ht="14.25" customHeight="1" x14ac:dyDescent="0.3">
      <c r="A22" s="613"/>
      <c r="B22" s="39" t="s">
        <v>537</v>
      </c>
      <c r="C22" s="40">
        <v>600</v>
      </c>
      <c r="D22" s="41">
        <v>1330</v>
      </c>
      <c r="E22" s="42" t="s">
        <v>214</v>
      </c>
      <c r="F22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>190</v>
      </c>
      <c r="G22" s="59">
        <f>IFERROR(ROUNDUP(D22/F22,0),"")</f>
        <v>7</v>
      </c>
      <c r="H22" s="44">
        <v>1055</v>
      </c>
      <c r="I22" s="45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>6330</v>
      </c>
      <c r="J22" s="46">
        <f>IF(D22="","",ROUNDUP(D22/IF(AND(C22="600 ml",ISNUMBER(SEARCH("NORCAU",B22))),95,IF(AND(C22="600 ml",ISNUMBER(SEARCH("APURATOS",B22))),190,IF(C22="600 ml",95,IF(C22="400 ml",125,IF(C22="200 ml",330,IF(C22="180 ml",240,1)))))),0))</f>
        <v>1330</v>
      </c>
      <c r="L22" s="44">
        <f>IF(H22="","",H22)</f>
        <v>1055</v>
      </c>
      <c r="M22" s="57"/>
      <c r="N22" s="45">
        <f t="shared" si="2"/>
        <v>6330</v>
      </c>
      <c r="P22" s="611"/>
      <c r="Q22" s="611"/>
      <c r="R22" s="611"/>
      <c r="S22" s="611"/>
    </row>
    <row r="23" spans="1:19" ht="14.25" customHeight="1" x14ac:dyDescent="0.3">
      <c r="A23" s="38"/>
      <c r="B23" s="48"/>
      <c r="C23" s="49"/>
      <c r="D23" s="50"/>
      <c r="E23" s="51" t="s">
        <v>214</v>
      </c>
      <c r="F23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52" t="str">
        <f>IFERROR(ROUNDUP(D23/F23,0),"")</f>
        <v/>
      </c>
      <c r="H23" s="53"/>
      <c r="I23" s="54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  <c r="J23" s="55" t="str">
        <f>IF(D23="","",ROUNDUP(D23/IF(AND(C23="600 ml",ISNUMBER(SEARCH("NORCAU",B23))),95,IF(AND(C23="600 ml",ISNUMBER(SEARCH("APURATOS",B23))),190,IF(C23="600 ml",95,IF(C23="400 ml",125,IF(C23="200 ml",330,IF(C23="180 ml",240,1)))))),0))</f>
        <v/>
      </c>
      <c r="L23" s="56" t="str">
        <f>IF(H23="","",H23)</f>
        <v/>
      </c>
      <c r="N23" s="58" t="str">
        <f t="shared" si="2"/>
        <v/>
      </c>
    </row>
    <row r="24" spans="1:19" ht="14.25" customHeight="1" x14ac:dyDescent="0.3">
      <c r="A24" s="38"/>
      <c r="B24" s="39"/>
      <c r="C24" s="40"/>
      <c r="D24" s="41"/>
      <c r="E24" s="42"/>
      <c r="G24" s="43"/>
      <c r="H24" s="44"/>
      <c r="I24" s="45"/>
      <c r="J24" s="46" t="str">
        <f>IF(D24="","",ROUNDUP(D24/IF(AND(C24="600 ml",ISNUMBER(SEARCH("NORCAU",B24))),95,IF(AND(C24="600 ml",ISNUMBER(SEARCH("APURATOS",B24))),190,IF(C24="600 ml",95,IF(C24="400 ml",125,IF(C24="200 ml",330,IF(C24="180 ml",240,1)))))),0))</f>
        <v/>
      </c>
      <c r="L24" s="44" t="str">
        <f>IF(H24="","",H24)</f>
        <v/>
      </c>
      <c r="N24" s="45" t="str">
        <f t="shared" si="2"/>
        <v/>
      </c>
    </row>
    <row r="25" spans="1:19" ht="14.25" customHeight="1" x14ac:dyDescent="0.3">
      <c r="A25" s="38"/>
      <c r="B25" s="60" t="s">
        <v>216</v>
      </c>
      <c r="C25" s="61"/>
      <c r="D25" s="62">
        <f>SUM(D18:D24)</f>
        <v>1452</v>
      </c>
      <c r="E25" s="63"/>
      <c r="F25" s="64"/>
      <c r="G25" s="65">
        <f>SUM(G18:G24)</f>
        <v>9</v>
      </c>
      <c r="H25" s="62">
        <f>SUM(H18:H24)</f>
        <v>1194</v>
      </c>
      <c r="I25" s="66">
        <f>SUM(I18:I24)</f>
        <v>7998</v>
      </c>
      <c r="J25" s="67">
        <f>SUM(D20:D24)</f>
        <v>1452</v>
      </c>
      <c r="K25" s="68">
        <f>SUM(G20:G24)</f>
        <v>9</v>
      </c>
      <c r="L25" s="69">
        <f>SUM(H20:H24)</f>
        <v>1194</v>
      </c>
      <c r="M25" s="68">
        <f>SUM(I20:I24)</f>
        <v>7998</v>
      </c>
      <c r="N25" s="70">
        <f t="shared" si="2"/>
        <v>7998</v>
      </c>
      <c r="O25">
        <f>SUM(N21:N24)</f>
        <v>7998</v>
      </c>
    </row>
    <row r="26" spans="1:19" ht="14.25" customHeight="1" x14ac:dyDescent="0.3">
      <c r="B26" s="71"/>
      <c r="C26" s="72"/>
      <c r="J26" t="str">
        <f>IF(D26="","",ROUNDUP(D26/IF(AND(C26="600 ml",ISNUMBER(SEARCH("NORCAU",B26))),95,IF(AND(C26="600 ml",ISNUMBER(SEARCH("APURATOS",B26))),190,IF(C26="600 ml",95,IF(C26="400 ml",125,IF(C26="200 ml",330,IF(C26="180 ml",240,1)))))),0))</f>
        <v/>
      </c>
      <c r="L26" t="str">
        <f>IF(H26="","",H26)</f>
        <v/>
      </c>
      <c r="N26" t="str">
        <f t="shared" si="2"/>
        <v/>
      </c>
    </row>
    <row r="27" spans="1:19" ht="19.5" customHeight="1" x14ac:dyDescent="0.3">
      <c r="A27" s="30">
        <v>46058</v>
      </c>
      <c r="B27" s="31" t="s">
        <v>78</v>
      </c>
      <c r="C27" s="32" t="s">
        <v>205</v>
      </c>
      <c r="D27" s="33" t="s">
        <v>206</v>
      </c>
      <c r="E27" s="33" t="s">
        <v>207</v>
      </c>
      <c r="F27" s="34" t="s">
        <v>208</v>
      </c>
      <c r="G27" s="33" t="s">
        <v>209</v>
      </c>
      <c r="H27" s="33" t="s">
        <v>210</v>
      </c>
      <c r="I27" s="35" t="s">
        <v>211</v>
      </c>
      <c r="J27" s="36"/>
      <c r="K27" s="36"/>
      <c r="L27" s="37"/>
      <c r="M27" s="36"/>
      <c r="N27" s="37"/>
    </row>
    <row r="28" spans="1:19" ht="15" customHeight="1" x14ac:dyDescent="0.3">
      <c r="A28" s="38"/>
      <c r="B28" s="39"/>
      <c r="C28" s="40"/>
      <c r="D28" s="41"/>
      <c r="E28" s="42"/>
      <c r="G28" s="43"/>
      <c r="H28" s="44"/>
      <c r="I28" s="45"/>
      <c r="J28" s="46" t="str">
        <f t="shared" ref="J28:J34" si="3">IF(D28="","",ROUNDUP(D28/IF(AND(C28="600 ml",ISNUMBER(SEARCH("NORCAU",B28))),95,IF(AND(C28="600 ml",ISNUMBER(SEARCH("APURATOS",B28))),190,IF(C28="600 ml",95,IF(C28="400 ml",125,IF(C28="200 ml",330,IF(C28="180 ml",240,1)))))),0))</f>
        <v/>
      </c>
      <c r="L28" s="44" t="str">
        <f t="shared" ref="L28:L34" si="4">IF(H28="","",H28)</f>
        <v/>
      </c>
      <c r="N28" s="45" t="str">
        <f t="shared" ref="N28:N36" si="5">IF(I28="","",I28)</f>
        <v/>
      </c>
      <c r="P28" s="611" t="s">
        <v>316</v>
      </c>
      <c r="Q28" s="611"/>
      <c r="R28" s="611"/>
      <c r="S28" s="611"/>
    </row>
    <row r="29" spans="1:19" ht="15" customHeight="1" x14ac:dyDescent="0.3">
      <c r="A29" s="613">
        <v>600</v>
      </c>
      <c r="B29" s="48" t="s">
        <v>537</v>
      </c>
      <c r="C29" s="49">
        <v>600</v>
      </c>
      <c r="D29" s="50">
        <f>D22-L22</f>
        <v>275</v>
      </c>
      <c r="E29" s="51" t="s">
        <v>214</v>
      </c>
      <c r="F29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>190</v>
      </c>
      <c r="G29" s="52">
        <f>IFERROR(ROUNDUP(D29/F29,0),"")</f>
        <v>2</v>
      </c>
      <c r="H29" s="53">
        <v>357</v>
      </c>
      <c r="I29" s="54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>2142</v>
      </c>
      <c r="J29" s="55">
        <f t="shared" si="3"/>
        <v>275</v>
      </c>
      <c r="L29" s="56">
        <f t="shared" si="4"/>
        <v>357</v>
      </c>
      <c r="M29" s="57"/>
      <c r="N29" s="58">
        <f t="shared" si="5"/>
        <v>2142</v>
      </c>
      <c r="P29" s="611"/>
      <c r="Q29" s="611"/>
      <c r="R29" s="611"/>
      <c r="S29" s="611"/>
    </row>
    <row r="30" spans="1:19" ht="15" customHeight="1" x14ac:dyDescent="0.3">
      <c r="A30" s="613"/>
      <c r="B30" s="39" t="s">
        <v>160</v>
      </c>
      <c r="C30" s="40">
        <v>600</v>
      </c>
      <c r="D30" s="41">
        <v>190</v>
      </c>
      <c r="E30" s="42" t="s">
        <v>214</v>
      </c>
      <c r="F30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>95</v>
      </c>
      <c r="G30" s="59">
        <f>IFERROR(ROUNDUP(D30/F30,0),"")</f>
        <v>2</v>
      </c>
      <c r="H30" s="44">
        <v>117</v>
      </c>
      <c r="I30" s="45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>1404</v>
      </c>
      <c r="J30" s="46">
        <f t="shared" si="3"/>
        <v>190</v>
      </c>
      <c r="L30" s="44">
        <f t="shared" si="4"/>
        <v>117</v>
      </c>
      <c r="M30" s="57"/>
      <c r="N30" s="45">
        <f t="shared" si="5"/>
        <v>1404</v>
      </c>
      <c r="P30" s="611"/>
      <c r="Q30" s="611"/>
      <c r="R30" s="611"/>
      <c r="S30" s="611"/>
    </row>
    <row r="31" spans="1:19" ht="14.25" customHeight="1" x14ac:dyDescent="0.3">
      <c r="A31" s="38"/>
      <c r="B31" s="48" t="s">
        <v>192</v>
      </c>
      <c r="C31" s="49">
        <v>600</v>
      </c>
      <c r="D31" s="50">
        <v>100</v>
      </c>
      <c r="E31" s="51" t="s">
        <v>214</v>
      </c>
      <c r="F31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>95</v>
      </c>
      <c r="G31" s="52">
        <f>IFERROR(ROUNDUP(D31/F31,0),"")</f>
        <v>2</v>
      </c>
      <c r="H31" s="53">
        <v>101</v>
      </c>
      <c r="I31" s="54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>1212</v>
      </c>
      <c r="J31" s="55">
        <f t="shared" si="3"/>
        <v>100</v>
      </c>
      <c r="L31" s="56">
        <f t="shared" si="4"/>
        <v>101</v>
      </c>
      <c r="M31" s="57"/>
      <c r="N31" s="58">
        <f t="shared" si="5"/>
        <v>1212</v>
      </c>
      <c r="O31" s="28"/>
    </row>
    <row r="32" spans="1:19" ht="14.25" customHeight="1" x14ac:dyDescent="0.3">
      <c r="A32" s="38"/>
      <c r="B32" s="39" t="s">
        <v>317</v>
      </c>
      <c r="C32" s="40">
        <v>600</v>
      </c>
      <c r="D32" s="41">
        <v>440</v>
      </c>
      <c r="E32" s="42" t="s">
        <v>214</v>
      </c>
      <c r="F32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>95</v>
      </c>
      <c r="G32" s="59">
        <f>IFERROR(ROUNDUP(D32/F32,0),"")</f>
        <v>5</v>
      </c>
      <c r="H32" s="44">
        <v>169</v>
      </c>
      <c r="I32" s="45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>2028</v>
      </c>
      <c r="J32" s="46">
        <f t="shared" si="3"/>
        <v>440</v>
      </c>
      <c r="L32" s="44">
        <f t="shared" si="4"/>
        <v>169</v>
      </c>
      <c r="M32" s="57"/>
      <c r="N32" s="45">
        <f t="shared" si="5"/>
        <v>2028</v>
      </c>
      <c r="O32" s="28"/>
    </row>
    <row r="33" spans="1:19" ht="14.25" customHeight="1" x14ac:dyDescent="0.3">
      <c r="A33" s="38"/>
      <c r="B33" s="48"/>
      <c r="C33" s="49"/>
      <c r="D33" s="50"/>
      <c r="E33" s="51" t="s">
        <v>214</v>
      </c>
      <c r="F33" t="str">
        <f>IF($B33="","",IF(SUMIFS(CONFIG_PALLETS!$C:$C,CONFIG_PALLETS!$A:$A,TRIM($B33),CONFIG_PALLETS!$B:$B,$C33&amp;" ml")&gt;0,SUMIFS(CONFIG_PALLETS!$C:$C,CONFIG_PALLETS!$A:$A,TRIM($B33),CONFIG_PALLETS!$B:$B,$C33&amp;" ml"),IF(SUMIFS(CONFIG_PALLETS!$C:$C,CONFIG_PALLETS!$A:$A,"GERAL",CONFIG_PALLETS!$B:$B,$C33&amp;" ml")&gt;0,SUMIFS(CONFIG_PALLETS!$C:$C,CONFIG_PALLETS!$A:$A,"GERAL",CONFIG_PALLETS!$B:$B,$C33&amp;" ml"),"")))</f>
        <v/>
      </c>
      <c r="G33" s="52" t="str">
        <f>IFERROR(ROUNDUP(D33/F33,0),"")</f>
        <v/>
      </c>
      <c r="H33" s="53"/>
      <c r="I33" s="54" t="str">
        <f>IF(H33="","",H33*IF(SUMIFS(CONFIG_PALLETS!$D:$D,CONFIG_PALLETS!$A:$A,IF(ISNUMBER(SEARCH("ESPUMA",$B33)),"ESPUMA",IF(OR(ISNUMBER(SEARCH("OLEO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ml")&gt;0,SUMIFS(CONFIG_PALLETS!$D:$D,CONFIG_PALLETS!$A:$A,IF(ISNUMBER(SEARCH("ESPUMA",$B33)),"ESPUMA",IF(OR(ISNUMBER(SEARCH("OLEO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ml"),IF(SUMIFS(CONFIG_PALLETS!$D:$D,CONFIG_PALLETS!$A:$A,"GERAL",CONFIG_PALLETS!$B:$B,$C33&amp;" ml")&gt;0,SUMIFS(CONFIG_PALLETS!$D:$D,CONFIG_PALLETS!$A:$A,"GERAL",CONFIG_PALLETS!$B:$B,$C33&amp;" ml"),12)))</f>
        <v/>
      </c>
      <c r="J33" s="55" t="str">
        <f t="shared" si="3"/>
        <v/>
      </c>
      <c r="L33" s="56" t="str">
        <f t="shared" si="4"/>
        <v/>
      </c>
      <c r="N33" s="58" t="str">
        <f t="shared" si="5"/>
        <v/>
      </c>
    </row>
    <row r="34" spans="1:19" ht="14.25" customHeight="1" x14ac:dyDescent="0.3">
      <c r="A34" s="38"/>
      <c r="B34" s="93"/>
      <c r="C34" s="72"/>
      <c r="H34" s="57"/>
      <c r="I34" s="91"/>
      <c r="J34" t="str">
        <f t="shared" si="3"/>
        <v/>
      </c>
      <c r="L34" s="57" t="str">
        <f t="shared" si="4"/>
        <v/>
      </c>
      <c r="N34" s="91" t="str">
        <f t="shared" si="5"/>
        <v/>
      </c>
    </row>
    <row r="35" spans="1:19" ht="14.25" customHeight="1" x14ac:dyDescent="0.3">
      <c r="A35" s="38"/>
      <c r="B35" s="60" t="s">
        <v>216</v>
      </c>
      <c r="C35" s="61"/>
      <c r="D35" s="62">
        <f>SUM(D28:D34)</f>
        <v>1005</v>
      </c>
      <c r="E35" s="63"/>
      <c r="F35" s="64"/>
      <c r="G35" s="65">
        <f>SUM(G28:G34)</f>
        <v>11</v>
      </c>
      <c r="H35" s="62">
        <f>SUM(H28:H34)</f>
        <v>744</v>
      </c>
      <c r="I35" s="66">
        <f>SUM(I28:I34)</f>
        <v>6786</v>
      </c>
      <c r="J35" s="68">
        <f>SUM(D28:D34)</f>
        <v>1005</v>
      </c>
      <c r="K35" s="68">
        <f>SUM(G28:G34)</f>
        <v>11</v>
      </c>
      <c r="L35" s="94">
        <f>SUM(H28:H34)</f>
        <v>744</v>
      </c>
      <c r="M35" s="68">
        <f>SUM(I28:I34)</f>
        <v>6786</v>
      </c>
      <c r="N35" s="95">
        <f t="shared" si="5"/>
        <v>6786</v>
      </c>
      <c r="O35">
        <f>SUM(N29:N34)</f>
        <v>6786</v>
      </c>
    </row>
    <row r="36" spans="1:19" ht="14.25" customHeight="1" x14ac:dyDescent="0.3">
      <c r="B36" s="71"/>
      <c r="C36" s="72"/>
      <c r="J36" t="str">
        <f>IF(D36="","",ROUNDUP(D36/IF(AND(C36="600 ml",ISNUMBER(SEARCH("NORCAU",B36))),95,IF(AND(C36="600 ml",ISNUMBER(SEARCH("APURATOS",B36))),190,IF(C36="600 ml",95,IF(C36="400 ml",125,IF(C36="200 ml",330,IF(C36="180 ml",240,1)))))),0))</f>
        <v/>
      </c>
      <c r="L36" t="str">
        <f>IF(H36="","",H36)</f>
        <v/>
      </c>
      <c r="N36" t="str">
        <f t="shared" si="5"/>
        <v/>
      </c>
    </row>
    <row r="37" spans="1:19" ht="19.5" customHeight="1" x14ac:dyDescent="0.3">
      <c r="A37" s="30">
        <v>46059</v>
      </c>
      <c r="B37" s="31" t="s">
        <v>78</v>
      </c>
      <c r="C37" s="32" t="s">
        <v>205</v>
      </c>
      <c r="D37" s="33" t="s">
        <v>206</v>
      </c>
      <c r="E37" s="33" t="s">
        <v>207</v>
      </c>
      <c r="F37" s="34" t="s">
        <v>208</v>
      </c>
      <c r="G37" s="33" t="s">
        <v>209</v>
      </c>
      <c r="H37" s="33" t="s">
        <v>210</v>
      </c>
      <c r="I37" s="35" t="s">
        <v>211</v>
      </c>
      <c r="J37" s="36"/>
      <c r="K37" s="36"/>
      <c r="L37" s="37"/>
      <c r="M37" s="36"/>
      <c r="N37" s="37"/>
    </row>
    <row r="38" spans="1:19" ht="14.25" customHeight="1" x14ac:dyDescent="0.3">
      <c r="A38" s="38"/>
      <c r="B38" s="39"/>
      <c r="C38" s="40"/>
      <c r="D38" s="41"/>
      <c r="E38" s="42"/>
      <c r="G38" s="43"/>
      <c r="H38" s="44"/>
      <c r="I38" s="45"/>
      <c r="J38" s="46" t="str">
        <f t="shared" ref="J38:J43" si="6">IF(D38="","",ROUNDUP(D38/IF(AND(C38="600 ml",ISNUMBER(SEARCH("NORCAU",B38))),95,IF(AND(C38="600 ml",ISNUMBER(SEARCH("APURATOS",B38))),190,IF(C38="600 ml",95,IF(C38="400 ml",125,IF(C38="200 ml",330,IF(C38="180 ml",240,1)))))),0))</f>
        <v/>
      </c>
      <c r="L38" s="44" t="str">
        <f t="shared" ref="L38:L43" si="7">IF(H38="","",H38)</f>
        <v/>
      </c>
      <c r="N38" s="45" t="str">
        <f t="shared" ref="N38:N45" si="8">IF(I38="","",I38)</f>
        <v/>
      </c>
    </row>
    <row r="39" spans="1:19" ht="15" customHeight="1" x14ac:dyDescent="0.3">
      <c r="A39" s="613">
        <v>600</v>
      </c>
      <c r="B39" s="48"/>
      <c r="C39" s="49"/>
      <c r="D39" s="50"/>
      <c r="E39" s="51" t="s">
        <v>214</v>
      </c>
      <c r="F39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52" t="str">
        <f>IFERROR(ROUNDUP(D39/F39,0),"")</f>
        <v/>
      </c>
      <c r="H39" s="53"/>
      <c r="I39" s="54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  <c r="J39" s="55" t="str">
        <f t="shared" si="6"/>
        <v/>
      </c>
      <c r="L39" s="56" t="str">
        <f t="shared" si="7"/>
        <v/>
      </c>
      <c r="M39" s="57"/>
      <c r="N39" s="58" t="str">
        <f t="shared" si="8"/>
        <v/>
      </c>
      <c r="P39" s="611" t="s">
        <v>318</v>
      </c>
      <c r="Q39" s="611"/>
      <c r="R39" s="611"/>
      <c r="S39" s="611"/>
    </row>
    <row r="40" spans="1:19" ht="14.25" customHeight="1" x14ac:dyDescent="0.3">
      <c r="A40" s="613"/>
      <c r="B40" s="39"/>
      <c r="C40" s="40"/>
      <c r="D40" s="41"/>
      <c r="E40" s="42" t="s">
        <v>214</v>
      </c>
      <c r="F40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59" t="str">
        <f>IFERROR(ROUNDUP(D40/F40,0),"")</f>
        <v/>
      </c>
      <c r="H40" s="44"/>
      <c r="I40" s="45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  <c r="J40" s="46" t="str">
        <f t="shared" si="6"/>
        <v/>
      </c>
      <c r="L40" s="44" t="str">
        <f t="shared" si="7"/>
        <v/>
      </c>
      <c r="M40" s="57"/>
      <c r="N40" s="45" t="str">
        <f t="shared" si="8"/>
        <v/>
      </c>
      <c r="P40" s="611"/>
      <c r="Q40" s="611"/>
      <c r="R40" s="611"/>
      <c r="S40" s="611"/>
    </row>
    <row r="41" spans="1:19" ht="14.25" customHeight="1" x14ac:dyDescent="0.3">
      <c r="A41" s="38"/>
      <c r="B41" s="48"/>
      <c r="C41" s="49"/>
      <c r="D41" s="50"/>
      <c r="E41" s="51" t="s">
        <v>214</v>
      </c>
      <c r="F41" t="str">
        <f>IF($B41="","",IF(SUMIFS(CONFIG_PALLETS!$C:$C,CONFIG_PALLETS!$A:$A,TRIM($B41),CONFIG_PALLETS!$B:$B,$C41&amp;" ml")&gt;0,SUMIFS(CONFIG_PALLETS!$C:$C,CONFIG_PALLETS!$A:$A,TRIM($B41),CONFIG_PALLETS!$B:$B,$C41&amp;" ml"),IF(SUMIFS(CONFIG_PALLETS!$C:$C,CONFIG_PALLETS!$A:$A,"GERAL",CONFIG_PALLETS!$B:$B,$C41&amp;" ml")&gt;0,SUMIFS(CONFIG_PALLETS!$C:$C,CONFIG_PALLETS!$A:$A,"GERAL",CONFIG_PALLETS!$B:$B,$C41&amp;" ml"),"")))</f>
        <v/>
      </c>
      <c r="G41" s="52" t="str">
        <f>IFERROR(ROUNDUP(D41/F41,0),"")</f>
        <v/>
      </c>
      <c r="H41" s="53"/>
      <c r="I41" s="54" t="str">
        <f>IF(H41="","",H41*IF(SUMIFS(CONFIG_PALLETS!$D:$D,CONFIG_PALLETS!$A:$A,IF(ISNUMBER(SEARCH("ESPUMA",$B41)),"ESPUMA",IF(OR(ISNUMBER(SEARCH("OLEO DE COCO",$B41)),ISNUMBER(SEARCH("ÓLEO DE COCO",$B41)),ISNUMBER(SEARCH("COPRA",$B41))),"ÓLEO DE COCO",IF(ISNUMBER(SEARCH("CORANTE",$B41)),"CORANTE",TRIM($B41)))),CONFIG_PALLETS!$B:$B,$C41&amp;" ml")&gt;0,SUMIFS(CONFIG_PALLETS!$D:$D,CONFIG_PALLETS!$A:$A,IF(ISNUMBER(SEARCH("ESPUMA",$B41)),"ESPUMA",IF(OR(ISNUMBER(SEARCH("OLEO DE COCO",$B41)),ISNUMBER(SEARCH("ÓLEO DE COCO",$B41)),ISNUMBER(SEARCH("COPRA",$B41))),"ÓLEO DE COCO",IF(ISNUMBER(SEARCH("CORANTE",$B41)),"CORANTE",TRIM($B41)))),CONFIG_PALLETS!$B:$B,$C41&amp;" ml"),IF(SUMIFS(CONFIG_PALLETS!$D:$D,CONFIG_PALLETS!$A:$A,"GERAL",CONFIG_PALLETS!$B:$B,$C41&amp;" ml")&gt;0,SUMIFS(CONFIG_PALLETS!$D:$D,CONFIG_PALLETS!$A:$A,"GERAL",CONFIG_PALLETS!$B:$B,$C41&amp;" ml"),12)))</f>
        <v/>
      </c>
      <c r="J41" s="55" t="str">
        <f t="shared" si="6"/>
        <v/>
      </c>
      <c r="L41" s="56" t="str">
        <f t="shared" si="7"/>
        <v/>
      </c>
      <c r="N41" s="58" t="str">
        <f t="shared" si="8"/>
        <v/>
      </c>
      <c r="P41" s="611"/>
      <c r="Q41" s="611"/>
      <c r="R41" s="611"/>
      <c r="S41" s="611"/>
    </row>
    <row r="42" spans="1:19" ht="14.25" customHeight="1" x14ac:dyDescent="0.3">
      <c r="A42" s="38"/>
      <c r="B42" s="39"/>
      <c r="C42" s="40"/>
      <c r="D42" s="41"/>
      <c r="E42" s="42" t="s">
        <v>214</v>
      </c>
      <c r="F42" t="str">
        <f>IF($B42="","",IF(SUMIFS(CONFIG_PALLETS!$C:$C,CONFIG_PALLETS!$A:$A,TRIM($B42),CONFIG_PALLETS!$B:$B,$C42&amp;" ml")&gt;0,SUMIFS(CONFIG_PALLETS!$C:$C,CONFIG_PALLETS!$A:$A,TRIM($B42),CONFIG_PALLETS!$B:$B,$C42&amp;" ml"),IF(SUMIFS(CONFIG_PALLETS!$C:$C,CONFIG_PALLETS!$A:$A,"GERAL",CONFIG_PALLETS!$B:$B,$C42&amp;" ml")&gt;0,SUMIFS(CONFIG_PALLETS!$C:$C,CONFIG_PALLETS!$A:$A,"GERAL",CONFIG_PALLETS!$B:$B,$C42&amp;" ml"),"")))</f>
        <v/>
      </c>
      <c r="G42" s="59" t="str">
        <f>IFERROR(ROUNDUP(D42/F42,0),"")</f>
        <v/>
      </c>
      <c r="H42" s="44"/>
      <c r="I42" s="45" t="str">
        <f>IF(H42="","",H42*IF(SUMIFS(CONFIG_PALLETS!$D:$D,CONFIG_PALLETS!$A:$A,IF(ISNUMBER(SEARCH("ESPUMA",$B42)),"ESPUMA",IF(OR(ISNUMBER(SEARCH("OLEO DE COCO",$B42)),ISNUMBER(SEARCH("ÓLEO DE COCO",$B42)),ISNUMBER(SEARCH("COPRA",$B42))),"ÓLEO DE COCO",IF(ISNUMBER(SEARCH("CORANTE",$B42)),"CORANTE",TRIM($B42)))),CONFIG_PALLETS!$B:$B,$C42&amp;" ml")&gt;0,SUMIFS(CONFIG_PALLETS!$D:$D,CONFIG_PALLETS!$A:$A,IF(ISNUMBER(SEARCH("ESPUMA",$B42)),"ESPUMA",IF(OR(ISNUMBER(SEARCH("OLEO DE COCO",$B42)),ISNUMBER(SEARCH("ÓLEO DE COCO",$B42)),ISNUMBER(SEARCH("COPRA",$B42))),"ÓLEO DE COCO",IF(ISNUMBER(SEARCH("CORANTE",$B42)),"CORANTE",TRIM($B42)))),CONFIG_PALLETS!$B:$B,$C42&amp;" ml"),IF(SUMIFS(CONFIG_PALLETS!$D:$D,CONFIG_PALLETS!$A:$A,"GERAL",CONFIG_PALLETS!$B:$B,$C42&amp;" ml")&gt;0,SUMIFS(CONFIG_PALLETS!$D:$D,CONFIG_PALLETS!$A:$A,"GERAL",CONFIG_PALLETS!$B:$B,$C42&amp;" ml"),12)))</f>
        <v/>
      </c>
      <c r="J42" s="46" t="str">
        <f t="shared" si="6"/>
        <v/>
      </c>
      <c r="L42" s="44" t="str">
        <f t="shared" si="7"/>
        <v/>
      </c>
      <c r="N42" s="45" t="str">
        <f t="shared" si="8"/>
        <v/>
      </c>
    </row>
    <row r="43" spans="1:19" ht="14.25" customHeight="1" x14ac:dyDescent="0.3">
      <c r="A43" s="38"/>
      <c r="B43" s="48"/>
      <c r="C43" s="49"/>
      <c r="D43" s="50"/>
      <c r="E43" s="51"/>
      <c r="G43" s="96"/>
      <c r="H43" s="53"/>
      <c r="I43" s="54"/>
      <c r="J43" s="55" t="str">
        <f t="shared" si="6"/>
        <v/>
      </c>
      <c r="L43" s="56" t="str">
        <f t="shared" si="7"/>
        <v/>
      </c>
      <c r="N43" s="58" t="str">
        <f t="shared" si="8"/>
        <v/>
      </c>
    </row>
    <row r="44" spans="1:19" ht="14.25" customHeight="1" x14ac:dyDescent="0.3">
      <c r="A44" s="38"/>
      <c r="B44" s="60" t="s">
        <v>216</v>
      </c>
      <c r="C44" s="61"/>
      <c r="D44" s="62">
        <f>SUM(D37:D43)</f>
        <v>0</v>
      </c>
      <c r="E44" s="63"/>
      <c r="F44" s="64"/>
      <c r="G44" s="65">
        <f>SUM(G37:G43)</f>
        <v>0</v>
      </c>
      <c r="H44" s="62">
        <f>SUM(H37:H43)</f>
        <v>0</v>
      </c>
      <c r="I44" s="66">
        <f>SUM(I37:I43)</f>
        <v>0</v>
      </c>
      <c r="J44" s="68">
        <f>SUM(D38:D43)</f>
        <v>0</v>
      </c>
      <c r="K44" s="68">
        <f>SUM(G38:G43)</f>
        <v>0</v>
      </c>
      <c r="L44" s="94">
        <f>SUM(H38:H43)</f>
        <v>0</v>
      </c>
      <c r="M44" s="68">
        <f>SUM(I38:I43)</f>
        <v>0</v>
      </c>
      <c r="N44" s="95">
        <f t="shared" si="8"/>
        <v>0</v>
      </c>
      <c r="O44">
        <f>SUM(N39:N43)</f>
        <v>0</v>
      </c>
    </row>
    <row r="45" spans="1:19" ht="14.25" customHeight="1" x14ac:dyDescent="0.3">
      <c r="B45" s="71"/>
      <c r="C45" s="72"/>
      <c r="J45" t="str">
        <f>IF(D45="","",ROUNDUP(D45/IF(AND(C45="600 ml",ISNUMBER(SEARCH("NORCAU",B45))),95,IF(AND(C45="600 ml",ISNUMBER(SEARCH("APURATOS",B45))),190,IF(C45="600 ml",95,IF(C45="400 ml",125,IF(C45="200 ml",330,IF(C45="180 ml",240,1)))))),0))</f>
        <v/>
      </c>
      <c r="L45" t="str">
        <f>IF(H45="","",H45)</f>
        <v/>
      </c>
      <c r="N45" t="str">
        <f t="shared" si="8"/>
        <v/>
      </c>
    </row>
    <row r="46" spans="1:19" ht="19.5" customHeight="1" x14ac:dyDescent="0.3">
      <c r="A46" s="30">
        <v>46062</v>
      </c>
      <c r="B46" s="31" t="s">
        <v>78</v>
      </c>
      <c r="C46" s="32" t="s">
        <v>205</v>
      </c>
      <c r="D46" s="33" t="s">
        <v>206</v>
      </c>
      <c r="E46" s="33" t="s">
        <v>207</v>
      </c>
      <c r="F46" s="34" t="s">
        <v>208</v>
      </c>
      <c r="G46" s="33" t="s">
        <v>209</v>
      </c>
      <c r="H46" s="33" t="s">
        <v>210</v>
      </c>
      <c r="I46" s="35" t="s">
        <v>211</v>
      </c>
      <c r="J46" s="36"/>
      <c r="K46" s="36"/>
      <c r="L46" s="37"/>
      <c r="M46" s="36"/>
      <c r="N46" s="37"/>
    </row>
    <row r="47" spans="1:19" ht="14.25" customHeight="1" x14ac:dyDescent="0.3">
      <c r="A47" s="38"/>
      <c r="B47" s="97"/>
      <c r="C47" s="98"/>
      <c r="D47" s="99"/>
      <c r="E47" s="100"/>
      <c r="G47" s="101"/>
      <c r="H47" s="102"/>
      <c r="I47" s="103"/>
      <c r="J47" s="55" t="str">
        <f t="shared" ref="J47:J52" si="9">IF(D47="","",ROUNDUP(D47/IF(AND(C47="600 ml",ISNUMBER(SEARCH("NORCAU",B47))),95,IF(AND(C47="600 ml",ISNUMBER(SEARCH("APURATOS",B47))),190,IF(C47="600 ml",95,IF(C47="400 ml",125,IF(C47="200 ml",330,IF(C47="180 ml",240,1)))))),0))</f>
        <v/>
      </c>
      <c r="L47" s="56" t="str">
        <f t="shared" ref="L47:L52" si="10">IF(H47="","",H47)</f>
        <v/>
      </c>
      <c r="N47" s="58" t="str">
        <f t="shared" ref="N47:N54" si="11">IF(I47="","",I47)</f>
        <v/>
      </c>
    </row>
    <row r="48" spans="1:19" ht="14.25" customHeight="1" x14ac:dyDescent="0.3">
      <c r="A48" s="613" t="s">
        <v>319</v>
      </c>
      <c r="B48" s="48" t="s">
        <v>317</v>
      </c>
      <c r="C48" s="49">
        <v>600</v>
      </c>
      <c r="D48" s="50">
        <v>271</v>
      </c>
      <c r="E48" s="51" t="s">
        <v>214</v>
      </c>
      <c r="F48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>95</v>
      </c>
      <c r="G48" s="52">
        <f>IFERROR(ROUNDUP(D48/F48,0),"")</f>
        <v>3</v>
      </c>
      <c r="H48" s="53">
        <v>266</v>
      </c>
      <c r="I48" s="54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>3192</v>
      </c>
      <c r="J48" s="46">
        <f t="shared" si="9"/>
        <v>271</v>
      </c>
      <c r="L48" s="44">
        <f t="shared" si="10"/>
        <v>266</v>
      </c>
      <c r="M48" s="57"/>
      <c r="N48" s="45">
        <f t="shared" si="11"/>
        <v>3192</v>
      </c>
    </row>
    <row r="49" spans="1:19" ht="14.25" customHeight="1" x14ac:dyDescent="0.3">
      <c r="A49" s="613"/>
      <c r="B49" s="97" t="s">
        <v>160</v>
      </c>
      <c r="C49" s="98">
        <v>600</v>
      </c>
      <c r="D49" s="99">
        <v>73</v>
      </c>
      <c r="E49" s="100" t="s">
        <v>214</v>
      </c>
      <c r="F49">
        <f>IF($B49="","",IF(SUMIFS(CONFIG_PALLETS!$C:$C,CONFIG_PALLETS!$A:$A,TRIM($B49),CONFIG_PALLETS!$B:$B,$C49&amp;" ml")&gt;0,SUMIFS(CONFIG_PALLETS!$C:$C,CONFIG_PALLETS!$A:$A,TRIM($B49),CONFIG_PALLETS!$B:$B,$C49&amp;" ml"),IF(SUMIFS(CONFIG_PALLETS!$C:$C,CONFIG_PALLETS!$A:$A,"GERAL",CONFIG_PALLETS!$B:$B,$C49&amp;" ml")&gt;0,SUMIFS(CONFIG_PALLETS!$C:$C,CONFIG_PALLETS!$A:$A,"GERAL",CONFIG_PALLETS!$B:$B,$C49&amp;" ml"),"")))</f>
        <v>95</v>
      </c>
      <c r="G49" s="104">
        <f>IFERROR(ROUNDUP(D49/F49,0),"")</f>
        <v>1</v>
      </c>
      <c r="H49" s="102">
        <v>76</v>
      </c>
      <c r="I49" s="103">
        <f>IF(H49="","",H49*IF(SUMIFS(CONFIG_PALLETS!$D:$D,CONFIG_PALLETS!$A:$A,IF(ISNUMBER(SEARCH("ESPUMA",$B49)),"ESPUMA",IF(OR(ISNUMBER(SEARCH("OLEO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ml")&gt;0,SUMIFS(CONFIG_PALLETS!$D:$D,CONFIG_PALLETS!$A:$A,IF(ISNUMBER(SEARCH("ESPUMA",$B49)),"ESPUMA",IF(OR(ISNUMBER(SEARCH("OLEO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ml"),IF(SUMIFS(CONFIG_PALLETS!$D:$D,CONFIG_PALLETS!$A:$A,"GERAL",CONFIG_PALLETS!$B:$B,$C49&amp;" ml")&gt;0,SUMIFS(CONFIG_PALLETS!$D:$D,CONFIG_PALLETS!$A:$A,"GERAL",CONFIG_PALLETS!$B:$B,$C49&amp;" ml"),12)))</f>
        <v>912</v>
      </c>
      <c r="J49" s="55">
        <f t="shared" si="9"/>
        <v>73</v>
      </c>
      <c r="L49" s="56">
        <f t="shared" si="10"/>
        <v>76</v>
      </c>
      <c r="M49" s="57"/>
      <c r="N49" s="58">
        <f t="shared" si="11"/>
        <v>912</v>
      </c>
    </row>
    <row r="50" spans="1:19" ht="14.25" customHeight="1" x14ac:dyDescent="0.3">
      <c r="A50" s="38"/>
      <c r="B50" s="48" t="s">
        <v>54</v>
      </c>
      <c r="C50" s="49">
        <v>400</v>
      </c>
      <c r="D50" s="50">
        <v>2500</v>
      </c>
      <c r="E50" s="51" t="s">
        <v>214</v>
      </c>
      <c r="F50">
        <f>IF($B50="","",IF(SUMIFS(CONFIG_PALLETS!$C:$C,CONFIG_PALLETS!$A:$A,TRIM($B50),CONFIG_PALLETS!$B:$B,$C50&amp;" ml")&gt;0,SUMIFS(CONFIG_PALLETS!$C:$C,CONFIG_PALLETS!$A:$A,TRIM($B50),CONFIG_PALLETS!$B:$B,$C50&amp;" ml"),IF(SUMIFS(CONFIG_PALLETS!$C:$C,CONFIG_PALLETS!$A:$A,"GERAL",CONFIG_PALLETS!$B:$B,$C50&amp;" ml")&gt;0,SUMIFS(CONFIG_PALLETS!$C:$C,CONFIG_PALLETS!$A:$A,"GERAL",CONFIG_PALLETS!$B:$B,$C50&amp;" ml"),"")))</f>
        <v>125</v>
      </c>
      <c r="G50" s="52">
        <f>IFERROR(ROUNDUP(D50/F50,0),"")</f>
        <v>20</v>
      </c>
      <c r="H50" s="53">
        <v>869</v>
      </c>
      <c r="I50" s="54">
        <f>IF(H50="","",H50*IF(SUMIFS(CONFIG_PALLETS!$D:$D,CONFIG_PALLETS!$A:$A,IF(ISNUMBER(SEARCH("ESPUMA",$B50)),"ESPUMA",IF(OR(ISNUMBER(SEARCH("OLEO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ml")&gt;0,SUMIFS(CONFIG_PALLETS!$D:$D,CONFIG_PALLETS!$A:$A,IF(ISNUMBER(SEARCH("ESPUMA",$B50)),"ESPUMA",IF(OR(ISNUMBER(SEARCH("OLEO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ml"),IF(SUMIFS(CONFIG_PALLETS!$D:$D,CONFIG_PALLETS!$A:$A,"GERAL",CONFIG_PALLETS!$B:$B,$C50&amp;" ml")&gt;0,SUMIFS(CONFIG_PALLETS!$D:$D,CONFIG_PALLETS!$A:$A,"GERAL",CONFIG_PALLETS!$B:$B,$C50&amp;" ml"),12)))</f>
        <v>10428</v>
      </c>
      <c r="J50" s="46">
        <f t="shared" si="9"/>
        <v>2500</v>
      </c>
      <c r="L50" s="44">
        <f t="shared" si="10"/>
        <v>869</v>
      </c>
      <c r="N50" s="45">
        <f t="shared" si="11"/>
        <v>10428</v>
      </c>
    </row>
    <row r="51" spans="1:19" ht="14.25" customHeight="1" x14ac:dyDescent="0.3">
      <c r="A51" s="38"/>
      <c r="B51" s="97"/>
      <c r="C51" s="98"/>
      <c r="D51" s="99"/>
      <c r="E51" s="100" t="s">
        <v>214</v>
      </c>
      <c r="F51" t="str">
        <f>IF($B51="","",IF(SUMIFS(CONFIG_PALLETS!$C:$C,CONFIG_PALLETS!$A:$A,TRIM($B51),CONFIG_PALLETS!$B:$B,$C51&amp;" ml")&gt;0,SUMIFS(CONFIG_PALLETS!$C:$C,CONFIG_PALLETS!$A:$A,TRIM($B51),CONFIG_PALLETS!$B:$B,$C51&amp;" ml"),IF(SUMIFS(CONFIG_PALLETS!$C:$C,CONFIG_PALLETS!$A:$A,"GERAL",CONFIG_PALLETS!$B:$B,$C51&amp;" ml")&gt;0,SUMIFS(CONFIG_PALLETS!$C:$C,CONFIG_PALLETS!$A:$A,"GERAL",CONFIG_PALLETS!$B:$B,$C51&amp;" ml"),"")))</f>
        <v/>
      </c>
      <c r="G51" s="104" t="str">
        <f>IFERROR(ROUNDUP(D51/F51,0),"")</f>
        <v/>
      </c>
      <c r="H51" s="102"/>
      <c r="I51" s="103" t="str">
        <f>IF(H51="","",H51*IF(SUMIFS(CONFIG_PALLETS!$D:$D,CONFIG_PALLETS!$A:$A,IF(ISNUMBER(SEARCH("ESPUMA",$B51)),"ESPUMA",IF(OR(ISNUMBER(SEARCH("OLEO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ml")&gt;0,SUMIFS(CONFIG_PALLETS!$D:$D,CONFIG_PALLETS!$A:$A,IF(ISNUMBER(SEARCH("ESPUMA",$B51)),"ESPUMA",IF(OR(ISNUMBER(SEARCH("OLEO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ml"),IF(SUMIFS(CONFIG_PALLETS!$D:$D,CONFIG_PALLETS!$A:$A,"GERAL",CONFIG_PALLETS!$B:$B,$C51&amp;" ml")&gt;0,SUMIFS(CONFIG_PALLETS!$D:$D,CONFIG_PALLETS!$A:$A,"GERAL",CONFIG_PALLETS!$B:$B,$C51&amp;" ml"),12)))</f>
        <v/>
      </c>
      <c r="J51" s="55" t="str">
        <f t="shared" si="9"/>
        <v/>
      </c>
      <c r="L51" s="56" t="str">
        <f t="shared" si="10"/>
        <v/>
      </c>
      <c r="N51" s="58" t="str">
        <f t="shared" si="11"/>
        <v/>
      </c>
    </row>
    <row r="52" spans="1:19" ht="14.25" customHeight="1" x14ac:dyDescent="0.3">
      <c r="A52" s="38"/>
      <c r="B52" s="48"/>
      <c r="C52" s="49"/>
      <c r="D52" s="50"/>
      <c r="E52" s="51"/>
      <c r="F52" s="105"/>
      <c r="G52" s="96"/>
      <c r="H52" s="53"/>
      <c r="I52" s="54"/>
      <c r="J52" s="46" t="str">
        <f t="shared" si="9"/>
        <v/>
      </c>
      <c r="L52" s="44" t="str">
        <f t="shared" si="10"/>
        <v/>
      </c>
      <c r="N52" s="45" t="str">
        <f t="shared" si="11"/>
        <v/>
      </c>
    </row>
    <row r="53" spans="1:19" ht="14.25" customHeight="1" x14ac:dyDescent="0.3">
      <c r="A53" s="38"/>
      <c r="B53" s="60" t="s">
        <v>216</v>
      </c>
      <c r="C53" s="61"/>
      <c r="D53" s="62">
        <f>SUM(D46:D52)</f>
        <v>2844</v>
      </c>
      <c r="E53" s="63"/>
      <c r="F53" s="64"/>
      <c r="G53" s="65">
        <f>SUM(G46:G52)</f>
        <v>24</v>
      </c>
      <c r="H53" s="62">
        <f>SUM(H46:H52)</f>
        <v>1211</v>
      </c>
      <c r="I53" s="66">
        <f>SUM(I46:I52)</f>
        <v>14532</v>
      </c>
      <c r="J53" s="68">
        <f>SUM(D47:D52)</f>
        <v>2844</v>
      </c>
      <c r="K53" s="68">
        <f>SUM(G47:G52)</f>
        <v>24</v>
      </c>
      <c r="L53" s="94">
        <f>SUM(H47:H52)</f>
        <v>1211</v>
      </c>
      <c r="M53" s="68">
        <f>SUM(I47:I52)</f>
        <v>14532</v>
      </c>
      <c r="N53" s="95">
        <f t="shared" si="11"/>
        <v>14532</v>
      </c>
      <c r="O53">
        <f>SUM(N48:N52)</f>
        <v>14532</v>
      </c>
    </row>
    <row r="54" spans="1:19" ht="14.25" customHeight="1" x14ac:dyDescent="0.3">
      <c r="B54" s="71"/>
      <c r="C54" s="72"/>
      <c r="J54" t="str">
        <f>IF(D54="","",ROUNDUP(D54/IF(AND(C54="600 ml",ISNUMBER(SEARCH("NORCAU",B54))),95,IF(AND(C54="600 ml",ISNUMBER(SEARCH("APURATOS",B54))),190,IF(C54="600 ml",95,IF(C54="400 ml",125,IF(C54="200 ml",330,IF(C54="180 ml",240,1)))))),0))</f>
        <v/>
      </c>
      <c r="L54" t="str">
        <f>IF(H54="","",H54)</f>
        <v/>
      </c>
      <c r="N54" t="str">
        <f t="shared" si="11"/>
        <v/>
      </c>
    </row>
    <row r="55" spans="1:19" ht="19.5" customHeight="1" x14ac:dyDescent="0.3">
      <c r="A55" s="30">
        <v>46063</v>
      </c>
      <c r="B55" s="31" t="s">
        <v>78</v>
      </c>
      <c r="C55" s="32" t="s">
        <v>205</v>
      </c>
      <c r="D55" s="33" t="s">
        <v>206</v>
      </c>
      <c r="E55" s="33" t="s">
        <v>207</v>
      </c>
      <c r="F55" s="34" t="s">
        <v>208</v>
      </c>
      <c r="G55" s="33" t="s">
        <v>209</v>
      </c>
      <c r="H55" s="33" t="s">
        <v>210</v>
      </c>
      <c r="I55" s="35" t="s">
        <v>211</v>
      </c>
      <c r="J55" s="36"/>
      <c r="K55" s="36"/>
      <c r="L55" s="37"/>
      <c r="M55" s="36"/>
      <c r="N55" s="37"/>
    </row>
    <row r="56" spans="1:19" ht="15" customHeight="1" x14ac:dyDescent="0.3">
      <c r="A56" s="38"/>
      <c r="B56" s="39"/>
      <c r="C56" s="40"/>
      <c r="D56" s="41"/>
      <c r="E56" s="42"/>
      <c r="G56" s="43"/>
      <c r="H56" s="44"/>
      <c r="I56" s="45"/>
      <c r="J56" s="46" t="str">
        <f>IF(D56="","",ROUNDUP(D56/IF(AND(C56="600 ml",ISNUMBER(SEARCH("NORCAU",B56))),95,IF(AND(C56="600 ml",ISNUMBER(SEARCH("APURATOS",B56))),190,IF(C56="600 ml",95,IF(C56="400 ml",125,IF(C56="200 ml",330,IF(C56="180 ml",240,1)))))),0))</f>
        <v/>
      </c>
      <c r="L56" s="44" t="str">
        <f>IF(H56="","",H56)</f>
        <v/>
      </c>
      <c r="N56" s="45" t="str">
        <f t="shared" ref="N56:N62" si="12">IF(I56="","",I56)</f>
        <v/>
      </c>
      <c r="P56" s="611" t="s">
        <v>320</v>
      </c>
      <c r="Q56" s="611"/>
      <c r="R56" s="611"/>
      <c r="S56" s="611"/>
    </row>
    <row r="57" spans="1:19" ht="14.25" customHeight="1" x14ac:dyDescent="0.3">
      <c r="A57" s="613">
        <v>400</v>
      </c>
      <c r="B57" s="48" t="s">
        <v>54</v>
      </c>
      <c r="C57" s="49">
        <v>400</v>
      </c>
      <c r="D57" s="50">
        <f>D50-L50</f>
        <v>1631</v>
      </c>
      <c r="E57" s="51" t="s">
        <v>214</v>
      </c>
      <c r="F57">
        <f>IF($B57="","",IF(SUMIFS(CONFIG_PALLETS!$C:$C,CONFIG_PALLETS!$A:$A,TRIM($B57),CONFIG_PALLETS!$B:$B,$C57&amp;" ml")&gt;0,SUMIFS(CONFIG_PALLETS!$C:$C,CONFIG_PALLETS!$A:$A,TRIM($B57),CONFIG_PALLETS!$B:$B,$C57&amp;" ml"),IF(SUMIFS(CONFIG_PALLETS!$C:$C,CONFIG_PALLETS!$A:$A,"GERAL",CONFIG_PALLETS!$B:$B,$C57&amp;" ml")&gt;0,SUMIFS(CONFIG_PALLETS!$C:$C,CONFIG_PALLETS!$A:$A,"GERAL",CONFIG_PALLETS!$B:$B,$C57&amp;" ml"),"")))</f>
        <v>125</v>
      </c>
      <c r="G57" s="52">
        <f>IFERROR(ROUNDUP(D57/F57,0),"")</f>
        <v>14</v>
      </c>
      <c r="H57" s="53">
        <v>1027</v>
      </c>
      <c r="I57" s="54">
        <f>IF(H57="","",H57*IF(SUMIFS(CONFIG_PALLETS!$D:$D,CONFIG_PALLETS!$A:$A,IF(ISNUMBER(SEARCH("ESPUMA",$B57)),"ESPUMA",IF(OR(ISNUMBER(SEARCH("OLEO DE COCO",$B57)),ISNUMBER(SEARCH("ÓLEO DE COCO",$B57)),ISNUMBER(SEARCH("COPRA",$B57))),"ÓLEO DE COCO",IF(ISNUMBER(SEARCH("CORANTE",$B57)),"CORANTE",TRIM($B57)))),CONFIG_PALLETS!$B:$B,$C57&amp;" ml")&gt;0,SUMIFS(CONFIG_PALLETS!$D:$D,CONFIG_PALLETS!$A:$A,IF(ISNUMBER(SEARCH("ESPUMA",$B57)),"ESPUMA",IF(OR(ISNUMBER(SEARCH("OLEO DE COCO",$B57)),ISNUMBER(SEARCH("ÓLEO DE COCO",$B57)),ISNUMBER(SEARCH("COPRA",$B57))),"ÓLEO DE COCO",IF(ISNUMBER(SEARCH("CORANTE",$B57)),"CORANTE",TRIM($B57)))),CONFIG_PALLETS!$B:$B,$C57&amp;" ml"),IF(SUMIFS(CONFIG_PALLETS!$D:$D,CONFIG_PALLETS!$A:$A,"GERAL",CONFIG_PALLETS!$B:$B,$C57&amp;" ml")&gt;0,SUMIFS(CONFIG_PALLETS!$D:$D,CONFIG_PALLETS!$A:$A,"GERAL",CONFIG_PALLETS!$B:$B,$C57&amp;" ml"),12)))</f>
        <v>12324</v>
      </c>
      <c r="J57" s="55">
        <f>IF(D57="","",ROUNDUP(D57/IF(AND(C57="600 ml",ISNUMBER(SEARCH("NORCAU",B57))),95,IF(AND(C57="600 ml",ISNUMBER(SEARCH("APURATOS",B57))),190,IF(C57="600 ml",95,IF(C57="400 ml",125,IF(C57="200 ml",330,IF(C57="180 ml",240,1)))))),0))</f>
        <v>1631</v>
      </c>
      <c r="L57" s="56">
        <f>IF(H57="","",H57)</f>
        <v>1027</v>
      </c>
      <c r="M57" s="57"/>
      <c r="N57" s="58">
        <f t="shared" si="12"/>
        <v>12324</v>
      </c>
      <c r="P57" s="611"/>
      <c r="Q57" s="611"/>
      <c r="R57" s="611"/>
      <c r="S57" s="611"/>
    </row>
    <row r="58" spans="1:19" ht="14.25" customHeight="1" x14ac:dyDescent="0.3">
      <c r="A58" s="613"/>
      <c r="B58" s="39"/>
      <c r="C58" s="40"/>
      <c r="D58" s="41"/>
      <c r="E58" s="42" t="s">
        <v>214</v>
      </c>
      <c r="F58" t="str">
        <f>IF($B58="","",IF(SUMIFS(CONFIG_PALLETS!$C:$C,CONFIG_PALLETS!$A:$A,TRIM($B58),CONFIG_PALLETS!$B:$B,$C58&amp;" ml")&gt;0,SUMIFS(CONFIG_PALLETS!$C:$C,CONFIG_PALLETS!$A:$A,TRIM($B58),CONFIG_PALLETS!$B:$B,$C58&amp;" ml"),IF(SUMIFS(CONFIG_PALLETS!$C:$C,CONFIG_PALLETS!$A:$A,"GERAL",CONFIG_PALLETS!$B:$B,$C58&amp;" ml")&gt;0,SUMIFS(CONFIG_PALLETS!$C:$C,CONFIG_PALLETS!$A:$A,"GERAL",CONFIG_PALLETS!$B:$B,$C58&amp;" ml"),"")))</f>
        <v/>
      </c>
      <c r="G58" s="59" t="str">
        <f>IFERROR(ROUNDUP(D58/F58,0),"")</f>
        <v/>
      </c>
      <c r="H58" s="44"/>
      <c r="I58" s="45" t="str">
        <f>IF(H58="","",H58*IF(SUMIFS(CONFIG_PALLETS!$D:$D,CONFIG_PALLETS!$A:$A,IF(ISNUMBER(SEARCH("ESPUMA",$B58)),"ESPUMA",IF(OR(ISNUMBER(SEARCH("OLEO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ml")&gt;0,SUMIFS(CONFIG_PALLETS!$D:$D,CONFIG_PALLETS!$A:$A,IF(ISNUMBER(SEARCH("ESPUMA",$B58)),"ESPUMA",IF(OR(ISNUMBER(SEARCH("OLEO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ml"),IF(SUMIFS(CONFIG_PALLETS!$D:$D,CONFIG_PALLETS!$A:$A,"GERAL",CONFIG_PALLETS!$B:$B,$C58&amp;" ml")&gt;0,SUMIFS(CONFIG_PALLETS!$D:$D,CONFIG_PALLETS!$A:$A,"GERAL",CONFIG_PALLETS!$B:$B,$C58&amp;" ml"),12)))</f>
        <v/>
      </c>
      <c r="J58" s="46" t="str">
        <f>IF(D58="","",ROUNDUP(D58/IF(AND(C58="600 ml",ISNUMBER(SEARCH("NORCAU",B58))),95,IF(AND(C58="600 ml",ISNUMBER(SEARCH("APURATOS",B58))),190,IF(C58="600 ml",95,IF(C58="400 ml",125,IF(C58="200 ml",330,IF(C58="180 ml",240,1)))))),0))</f>
        <v/>
      </c>
      <c r="L58" s="44" t="str">
        <f>IF(H58="","",H58)</f>
        <v/>
      </c>
      <c r="M58" s="57"/>
      <c r="N58" s="45" t="str">
        <f t="shared" si="12"/>
        <v/>
      </c>
      <c r="P58" s="611"/>
      <c r="Q58" s="611"/>
      <c r="R58" s="611"/>
      <c r="S58" s="611"/>
    </row>
    <row r="59" spans="1:19" ht="14.25" customHeight="1" x14ac:dyDescent="0.3">
      <c r="A59" s="38"/>
      <c r="B59" s="48"/>
      <c r="C59" s="49"/>
      <c r="D59" s="50"/>
      <c r="E59" s="51" t="s">
        <v>214</v>
      </c>
      <c r="F59" t="str">
        <f>IF($B59="","",IF(SUMIFS(CONFIG_PALLETS!$C:$C,CONFIG_PALLETS!$A:$A,TRIM($B59),CONFIG_PALLETS!$B:$B,$C59&amp;" ml")&gt;0,SUMIFS(CONFIG_PALLETS!$C:$C,CONFIG_PALLETS!$A:$A,TRIM($B59),CONFIG_PALLETS!$B:$B,$C59&amp;" ml"),IF(SUMIFS(CONFIG_PALLETS!$C:$C,CONFIG_PALLETS!$A:$A,"GERAL",CONFIG_PALLETS!$B:$B,$C59&amp;" ml")&gt;0,SUMIFS(CONFIG_PALLETS!$C:$C,CONFIG_PALLETS!$A:$A,"GERAL",CONFIG_PALLETS!$B:$B,$C59&amp;" ml"),"")))</f>
        <v/>
      </c>
      <c r="G59" s="52" t="str">
        <f>IFERROR(ROUNDUP(D59/F59,0),"")</f>
        <v/>
      </c>
      <c r="H59" s="53"/>
      <c r="I59" s="54" t="str">
        <f>IF(H59="","",H59*IF(SUMIFS(CONFIG_PALLETS!$D:$D,CONFIG_PALLETS!$A:$A,IF(ISNUMBER(SEARCH("ESPUMA",$B59)),"ESPUMA",IF(OR(ISNUMBER(SEARCH("OLEO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ml")&gt;0,SUMIFS(CONFIG_PALLETS!$D:$D,CONFIG_PALLETS!$A:$A,IF(ISNUMBER(SEARCH("ESPUMA",$B59)),"ESPUMA",IF(OR(ISNUMBER(SEARCH("OLEO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ml"),IF(SUMIFS(CONFIG_PALLETS!$D:$D,CONFIG_PALLETS!$A:$A,"GERAL",CONFIG_PALLETS!$B:$B,$C59&amp;" ml")&gt;0,SUMIFS(CONFIG_PALLETS!$D:$D,CONFIG_PALLETS!$A:$A,"GERAL",CONFIG_PALLETS!$B:$B,$C59&amp;" ml"),12)))</f>
        <v/>
      </c>
      <c r="J59" s="55" t="str">
        <f>IF(D59="","",ROUNDUP(D59/IF(AND(C59="600 ml",ISNUMBER(SEARCH("NORCAU",B59))),95,IF(AND(C59="600 ml",ISNUMBER(SEARCH("APURATOS",B59))),190,IF(C59="600 ml",95,IF(C59="400 ml",125,IF(C59="200 ml",330,IF(C59="180 ml",240,1)))))),0))</f>
        <v/>
      </c>
      <c r="L59" s="56" t="str">
        <f>IF(H59="","",H59)</f>
        <v/>
      </c>
      <c r="N59" s="58" t="str">
        <f t="shared" si="12"/>
        <v/>
      </c>
    </row>
    <row r="60" spans="1:19" ht="14.25" customHeight="1" x14ac:dyDescent="0.3">
      <c r="A60" s="38"/>
      <c r="B60" s="39"/>
      <c r="C60" s="40"/>
      <c r="D60" s="41"/>
      <c r="E60" s="42"/>
      <c r="G60" s="43"/>
      <c r="H60" s="44"/>
      <c r="I60" s="45"/>
      <c r="J60" s="46" t="str">
        <f>IF(D60="","",ROUNDUP(D60/IF(AND(C60="600 ml",ISNUMBER(SEARCH("NORCAU",B60))),95,IF(AND(C60="600 ml",ISNUMBER(SEARCH("APURATOS",B60))),190,IF(C60="600 ml",95,IF(C60="400 ml",125,IF(C60="200 ml",330,IF(C60="180 ml",240,1)))))),0))</f>
        <v/>
      </c>
      <c r="L60" s="44" t="str">
        <f>IF(H60="","",H60)</f>
        <v/>
      </c>
      <c r="N60" s="45" t="str">
        <f t="shared" si="12"/>
        <v/>
      </c>
    </row>
    <row r="61" spans="1:19" ht="14.25" customHeight="1" x14ac:dyDescent="0.3">
      <c r="A61" s="38"/>
      <c r="B61" s="60" t="s">
        <v>216</v>
      </c>
      <c r="C61" s="61"/>
      <c r="D61" s="62">
        <f>SUM(D54:D60)</f>
        <v>1631</v>
      </c>
      <c r="E61" s="63"/>
      <c r="F61" s="64"/>
      <c r="G61" s="65">
        <f>SUM(G54:G60)</f>
        <v>14</v>
      </c>
      <c r="H61" s="62">
        <f>SUM(H54:H60)</f>
        <v>1027</v>
      </c>
      <c r="I61" s="66">
        <f>SUM(I54:I60)</f>
        <v>12324</v>
      </c>
      <c r="J61" s="67">
        <f>SUM(D56:D60)</f>
        <v>1631</v>
      </c>
      <c r="K61" s="68">
        <f>SUM(G56:G60)</f>
        <v>14</v>
      </c>
      <c r="L61" s="69">
        <f>SUM(H56:H60)</f>
        <v>1027</v>
      </c>
      <c r="M61" s="68">
        <f>SUM(I56:I60)</f>
        <v>12324</v>
      </c>
      <c r="N61" s="70">
        <f t="shared" si="12"/>
        <v>12324</v>
      </c>
      <c r="O61">
        <f>SUM(N57:N60)</f>
        <v>12324</v>
      </c>
    </row>
    <row r="62" spans="1:19" ht="14.25" customHeight="1" x14ac:dyDescent="0.3">
      <c r="B62" s="71"/>
      <c r="C62" s="72"/>
      <c r="J62" t="str">
        <f>IF(D62="","",ROUNDUP(D62/IF(AND(C62="600 ml",ISNUMBER(SEARCH("NORCAU",B62))),95,IF(AND(C62="600 ml",ISNUMBER(SEARCH("APURATOS",B62))),190,IF(C62="600 ml",95,IF(C62="400 ml",125,IF(C62="200 ml",330,IF(C62="180 ml",240,1)))))),0))</f>
        <v/>
      </c>
      <c r="L62" t="str">
        <f>IF(H62="","",H62)</f>
        <v/>
      </c>
      <c r="N62" t="str">
        <f t="shared" si="12"/>
        <v/>
      </c>
    </row>
    <row r="63" spans="1:19" ht="19.5" customHeight="1" x14ac:dyDescent="0.3">
      <c r="A63" s="30">
        <v>46064</v>
      </c>
      <c r="B63" s="31" t="s">
        <v>78</v>
      </c>
      <c r="C63" s="32" t="s">
        <v>205</v>
      </c>
      <c r="D63" s="33" t="s">
        <v>206</v>
      </c>
      <c r="E63" s="33" t="s">
        <v>207</v>
      </c>
      <c r="F63" s="34" t="s">
        <v>208</v>
      </c>
      <c r="G63" s="33" t="s">
        <v>209</v>
      </c>
      <c r="H63" s="33" t="s">
        <v>210</v>
      </c>
      <c r="I63" s="35" t="s">
        <v>211</v>
      </c>
      <c r="J63" s="36"/>
      <c r="K63" s="36"/>
      <c r="L63" s="37"/>
      <c r="M63" s="36"/>
      <c r="N63" s="37"/>
    </row>
    <row r="64" spans="1:19" ht="15" customHeight="1" x14ac:dyDescent="0.3">
      <c r="A64" s="38"/>
      <c r="B64" s="39"/>
      <c r="C64" s="40"/>
      <c r="D64" s="41"/>
      <c r="E64" s="42"/>
      <c r="G64" s="43"/>
      <c r="H64" s="44"/>
      <c r="I64" s="45"/>
      <c r="J64" s="46" t="str">
        <f>IF(D64="","",ROUNDUP(D64/IF(AND(C64="600 ml",ISNUMBER(SEARCH("NORCAU",B64))),95,IF(AND(C64="600 ml",ISNUMBER(SEARCH("APURATOS",B64))),190,IF(C64="600 ml",95,IF(C64="400 ml",125,IF(C64="200 ml",330,IF(C64="180 ml",240,1)))))),0))</f>
        <v/>
      </c>
      <c r="L64" s="44" t="str">
        <f>IF(H64="","",H64)</f>
        <v/>
      </c>
      <c r="N64" s="45" t="str">
        <f t="shared" ref="N64:N70" si="13">IF(I64="","",I64)</f>
        <v/>
      </c>
      <c r="P64" s="611" t="s">
        <v>321</v>
      </c>
      <c r="Q64" s="611"/>
      <c r="R64" s="611"/>
      <c r="S64" s="611"/>
    </row>
    <row r="65" spans="1:19" ht="14.25" customHeight="1" x14ac:dyDescent="0.3">
      <c r="A65" s="613">
        <v>400</v>
      </c>
      <c r="B65" s="48" t="s">
        <v>54</v>
      </c>
      <c r="C65" s="49">
        <v>400</v>
      </c>
      <c r="D65" s="50">
        <f>D57-L57</f>
        <v>604</v>
      </c>
      <c r="E65" s="51" t="s">
        <v>214</v>
      </c>
      <c r="F65">
        <f>IF($B65="","",IF(SUMIFS(CONFIG_PALLETS!$C:$C,CONFIG_PALLETS!$A:$A,TRIM($B65),CONFIG_PALLETS!$B:$B,$C65&amp;" ml")&gt;0,SUMIFS(CONFIG_PALLETS!$C:$C,CONFIG_PALLETS!$A:$A,TRIM($B65),CONFIG_PALLETS!$B:$B,$C65&amp;" ml"),IF(SUMIFS(CONFIG_PALLETS!$C:$C,CONFIG_PALLETS!$A:$A,"GERAL",CONFIG_PALLETS!$B:$B,$C65&amp;" ml")&gt;0,SUMIFS(CONFIG_PALLETS!$C:$C,CONFIG_PALLETS!$A:$A,"GERAL",CONFIG_PALLETS!$B:$B,$C65&amp;" ml"),"")))</f>
        <v>125</v>
      </c>
      <c r="G65" s="52">
        <f>IFERROR(ROUNDUP(D65/F65,0),"")</f>
        <v>5</v>
      </c>
      <c r="H65" s="53">
        <v>611</v>
      </c>
      <c r="I65" s="54">
        <f>IF(H65="","",H65*IF(SUMIFS(CONFIG_PALLETS!$D:$D,CONFIG_PALLETS!$A:$A,IF(ISNUMBER(SEARCH("ESPUMA",$B65)),"ESPUMA",IF(OR(ISNUMBER(SEARCH("OLEO DE COCO",$B65)),ISNUMBER(SEARCH("ÓLEO DE COCO",$B65)),ISNUMBER(SEARCH("COPRA",$B65))),"ÓLEO DE COCO",IF(ISNUMBER(SEARCH("CORANTE",$B65)),"CORANTE",TRIM($B65)))),CONFIG_PALLETS!$B:$B,$C65&amp;" ml")&gt;0,SUMIFS(CONFIG_PALLETS!$D:$D,CONFIG_PALLETS!$A:$A,IF(ISNUMBER(SEARCH("ESPUMA",$B65)),"ESPUMA",IF(OR(ISNUMBER(SEARCH("OLEO DE COCO",$B65)),ISNUMBER(SEARCH("ÓLEO DE COCO",$B65)),ISNUMBER(SEARCH("COPRA",$B65))),"ÓLEO DE COCO",IF(ISNUMBER(SEARCH("CORANTE",$B65)),"CORANTE",TRIM($B65)))),CONFIG_PALLETS!$B:$B,$C65&amp;" ml"),IF(SUMIFS(CONFIG_PALLETS!$D:$D,CONFIG_PALLETS!$A:$A,"GERAL",CONFIG_PALLETS!$B:$B,$C65&amp;" ml")&gt;0,SUMIFS(CONFIG_PALLETS!$D:$D,CONFIG_PALLETS!$A:$A,"GERAL",CONFIG_PALLETS!$B:$B,$C65&amp;" ml"),12)))</f>
        <v>7332</v>
      </c>
      <c r="J65" s="55">
        <f>IF(D65="","",ROUNDUP(D65/IF(AND(C65="600 ml",ISNUMBER(SEARCH("NORCAU",B65))),95,IF(AND(C65="600 ml",ISNUMBER(SEARCH("APURATOS",B65))),190,IF(C65="600 ml",95,IF(C65="400 ml",125,IF(C65="200 ml",330,IF(C65="180 ml",240,1)))))),0))</f>
        <v>604</v>
      </c>
      <c r="L65" s="56">
        <f>IF(H65="","",H65)</f>
        <v>611</v>
      </c>
      <c r="M65" s="57"/>
      <c r="N65" s="58">
        <f t="shared" si="13"/>
        <v>7332</v>
      </c>
      <c r="P65" s="611"/>
      <c r="Q65" s="611"/>
      <c r="R65" s="611"/>
      <c r="S65" s="611"/>
    </row>
    <row r="66" spans="1:19" ht="14.25" customHeight="1" x14ac:dyDescent="0.3">
      <c r="A66" s="613"/>
      <c r="B66" s="39" t="s">
        <v>58</v>
      </c>
      <c r="C66" s="40">
        <v>400</v>
      </c>
      <c r="D66" s="41">
        <v>2310</v>
      </c>
      <c r="E66" s="42" t="s">
        <v>214</v>
      </c>
      <c r="F66">
        <f>IF($B66="","",IF(SUMIFS(CONFIG_PALLETS!$C:$C,CONFIG_PALLETS!$A:$A,TRIM($B66),CONFIG_PALLETS!$B:$B,$C66&amp;" ml")&gt;0,SUMIFS(CONFIG_PALLETS!$C:$C,CONFIG_PALLETS!$A:$A,TRIM($B66),CONFIG_PALLETS!$B:$B,$C66&amp;" ml"),IF(SUMIFS(CONFIG_PALLETS!$C:$C,CONFIG_PALLETS!$A:$A,"GERAL",CONFIG_PALLETS!$B:$B,$C66&amp;" ml")&gt;0,SUMIFS(CONFIG_PALLETS!$C:$C,CONFIG_PALLETS!$A:$A,"GERAL",CONFIG_PALLETS!$B:$B,$C66&amp;" ml"),"")))</f>
        <v>125</v>
      </c>
      <c r="G66" s="59">
        <f>IFERROR(ROUNDUP(D66/F66,0),"")</f>
        <v>19</v>
      </c>
      <c r="H66" s="44">
        <v>600</v>
      </c>
      <c r="I66" s="45">
        <f>IF(H66="","",H66*IF(SUMIFS(CONFIG_PALLETS!$D:$D,CONFIG_PALLETS!$A:$A,IF(ISNUMBER(SEARCH("ESPUMA",$B66)),"ESPUMA",IF(OR(ISNUMBER(SEARCH("OLEO DE COCO",$B66)),ISNUMBER(SEARCH("ÓLEO DE COCO",$B66)),ISNUMBER(SEARCH("COPRA",$B66))),"ÓLEO DE COCO",IF(ISNUMBER(SEARCH("CORANTE",$B66)),"CORANTE",TRIM($B66)))),CONFIG_PALLETS!$B:$B,$C66&amp;" ml")&gt;0,SUMIFS(CONFIG_PALLETS!$D:$D,CONFIG_PALLETS!$A:$A,IF(ISNUMBER(SEARCH("ESPUMA",$B66)),"ESPUMA",IF(OR(ISNUMBER(SEARCH("OLEO DE COCO",$B66)),ISNUMBER(SEARCH("ÓLEO DE COCO",$B66)),ISNUMBER(SEARCH("COPRA",$B66))),"ÓLEO DE COCO",IF(ISNUMBER(SEARCH("CORANTE",$B66)),"CORANTE",TRIM($B66)))),CONFIG_PALLETS!$B:$B,$C66&amp;" ml"),IF(SUMIFS(CONFIG_PALLETS!$D:$D,CONFIG_PALLETS!$A:$A,"GERAL",CONFIG_PALLETS!$B:$B,$C66&amp;" ml")&gt;0,SUMIFS(CONFIG_PALLETS!$D:$D,CONFIG_PALLETS!$A:$A,"GERAL",CONFIG_PALLETS!$B:$B,$C66&amp;" ml"),12)))</f>
        <v>7200</v>
      </c>
      <c r="J66" s="46">
        <f>IF(D66="","",ROUNDUP(D66/IF(AND(C66="600 ml",ISNUMBER(SEARCH("NORCAU",B66))),95,IF(AND(C66="600 ml",ISNUMBER(SEARCH("APURATOS",B66))),190,IF(C66="600 ml",95,IF(C66="400 ml",125,IF(C66="200 ml",330,IF(C66="180 ml",240,1)))))),0))</f>
        <v>2310</v>
      </c>
      <c r="L66" s="44">
        <f>IF(H66="","",H66)</f>
        <v>600</v>
      </c>
      <c r="M66" s="57"/>
      <c r="N66" s="45">
        <f t="shared" si="13"/>
        <v>7200</v>
      </c>
      <c r="P66" s="611"/>
      <c r="Q66" s="611"/>
      <c r="R66" s="611"/>
      <c r="S66" s="611"/>
    </row>
    <row r="67" spans="1:19" ht="14.25" customHeight="1" x14ac:dyDescent="0.3">
      <c r="A67" s="38"/>
      <c r="B67" s="48"/>
      <c r="C67" s="49"/>
      <c r="D67" s="50"/>
      <c r="E67" s="51" t="s">
        <v>214</v>
      </c>
      <c r="F67" t="str">
        <f>IF($B67="","",IF(SUMIFS(CONFIG_PALLETS!$C:$C,CONFIG_PALLETS!$A:$A,TRIM($B67),CONFIG_PALLETS!$B:$B,$C67&amp;" ml")&gt;0,SUMIFS(CONFIG_PALLETS!$C:$C,CONFIG_PALLETS!$A:$A,TRIM($B67),CONFIG_PALLETS!$B:$B,$C67&amp;" ml"),IF(SUMIFS(CONFIG_PALLETS!$C:$C,CONFIG_PALLETS!$A:$A,"GERAL",CONFIG_PALLETS!$B:$B,$C67&amp;" ml")&gt;0,SUMIFS(CONFIG_PALLETS!$C:$C,CONFIG_PALLETS!$A:$A,"GERAL",CONFIG_PALLETS!$B:$B,$C67&amp;" ml"),"")))</f>
        <v/>
      </c>
      <c r="G67" s="52" t="str">
        <f>IFERROR(ROUNDUP(D67/F67,0),"")</f>
        <v/>
      </c>
      <c r="H67" s="53"/>
      <c r="I67" s="54" t="str">
        <f>IF(H67="","",H67*IF(SUMIFS(CONFIG_PALLETS!$D:$D,CONFIG_PALLETS!$A:$A,IF(ISNUMBER(SEARCH("ESPUMA",$B67)),"ESPUMA",IF(OR(ISNUMBER(SEARCH("OLEO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ml")&gt;0,SUMIFS(CONFIG_PALLETS!$D:$D,CONFIG_PALLETS!$A:$A,IF(ISNUMBER(SEARCH("ESPUMA",$B67)),"ESPUMA",IF(OR(ISNUMBER(SEARCH("OLEO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ml"),IF(SUMIFS(CONFIG_PALLETS!$D:$D,CONFIG_PALLETS!$A:$A,"GERAL",CONFIG_PALLETS!$B:$B,$C67&amp;" ml")&gt;0,SUMIFS(CONFIG_PALLETS!$D:$D,CONFIG_PALLETS!$A:$A,"GERAL",CONFIG_PALLETS!$B:$B,$C67&amp;" ml"),12)))</f>
        <v/>
      </c>
      <c r="J67" s="55" t="str">
        <f>IF(D67="","",ROUNDUP(D67/IF(AND(C67="600 ml",ISNUMBER(SEARCH("NORCAU",B67))),95,IF(AND(C67="600 ml",ISNUMBER(SEARCH("APURATOS",B67))),190,IF(C67="600 ml",95,IF(C67="400 ml",125,IF(C67="200 ml",330,IF(C67="180 ml",240,1)))))),0))</f>
        <v/>
      </c>
      <c r="L67" s="56" t="str">
        <f>IF(H67="","",H67)</f>
        <v/>
      </c>
      <c r="N67" s="58" t="str">
        <f t="shared" si="13"/>
        <v/>
      </c>
    </row>
    <row r="68" spans="1:19" ht="14.25" customHeight="1" x14ac:dyDescent="0.3">
      <c r="A68" s="38"/>
      <c r="B68" s="39"/>
      <c r="C68" s="40"/>
      <c r="D68" s="41"/>
      <c r="E68" s="42"/>
      <c r="G68" s="43"/>
      <c r="H68" s="44"/>
      <c r="I68" s="45"/>
      <c r="J68" s="46" t="str">
        <f>IF(D68="","",ROUNDUP(D68/IF(AND(C68="600 ml",ISNUMBER(SEARCH("NORCAU",B68))),95,IF(AND(C68="600 ml",ISNUMBER(SEARCH("APURATOS",B68))),190,IF(C68="600 ml",95,IF(C68="400 ml",125,IF(C68="200 ml",330,IF(C68="180 ml",240,1)))))),0))</f>
        <v/>
      </c>
      <c r="L68" s="44" t="str">
        <f>IF(H68="","",H68)</f>
        <v/>
      </c>
      <c r="N68" s="45" t="str">
        <f t="shared" si="13"/>
        <v/>
      </c>
    </row>
    <row r="69" spans="1:19" ht="14.25" customHeight="1" x14ac:dyDescent="0.3">
      <c r="A69" s="38"/>
      <c r="B69" s="60" t="s">
        <v>216</v>
      </c>
      <c r="C69" s="61"/>
      <c r="D69" s="62">
        <f>SUM(D62:D68)</f>
        <v>2914</v>
      </c>
      <c r="E69" s="63"/>
      <c r="F69" s="64"/>
      <c r="G69" s="65">
        <f>SUM(G62:G68)</f>
        <v>24</v>
      </c>
      <c r="H69" s="62">
        <f>SUM(H62:H68)</f>
        <v>1211</v>
      </c>
      <c r="I69" s="66">
        <f>SUM(I62:I68)</f>
        <v>14532</v>
      </c>
      <c r="J69" s="67">
        <f>SUM(D64:D68)</f>
        <v>2914</v>
      </c>
      <c r="K69" s="68">
        <f>SUM(G64:G68)</f>
        <v>24</v>
      </c>
      <c r="L69" s="69">
        <f>SUM(H64:H68)</f>
        <v>1211</v>
      </c>
      <c r="M69" s="68">
        <f>SUM(I64:I68)</f>
        <v>14532</v>
      </c>
      <c r="N69" s="70">
        <f t="shared" si="13"/>
        <v>14532</v>
      </c>
      <c r="O69">
        <f>SUM(N65:N68)</f>
        <v>14532</v>
      </c>
    </row>
    <row r="70" spans="1:19" ht="14.25" customHeight="1" x14ac:dyDescent="0.3">
      <c r="B70" s="71"/>
      <c r="C70" s="72"/>
      <c r="J70" t="str">
        <f>IF(D70="","",ROUNDUP(D70/IF(AND(C70="600 ml",ISNUMBER(SEARCH("NORCAU",B70))),95,IF(AND(C70="600 ml",ISNUMBER(SEARCH("APURATOS",B70))),190,IF(C70="600 ml",95,IF(C70="400 ml",125,IF(C70="200 ml",330,IF(C70="180 ml",240,1)))))),0))</f>
        <v/>
      </c>
      <c r="L70" t="str">
        <f>IF(H70="","",H70)</f>
        <v/>
      </c>
      <c r="N70" t="str">
        <f t="shared" si="13"/>
        <v/>
      </c>
    </row>
    <row r="71" spans="1:19" ht="19.5" customHeight="1" x14ac:dyDescent="0.3">
      <c r="A71" s="30">
        <v>46065</v>
      </c>
      <c r="B71" s="31" t="s">
        <v>78</v>
      </c>
      <c r="C71" s="32" t="s">
        <v>205</v>
      </c>
      <c r="D71" s="33" t="s">
        <v>206</v>
      </c>
      <c r="E71" s="33" t="s">
        <v>207</v>
      </c>
      <c r="F71" s="34" t="s">
        <v>208</v>
      </c>
      <c r="G71" s="33" t="s">
        <v>209</v>
      </c>
      <c r="H71" s="33" t="s">
        <v>210</v>
      </c>
      <c r="I71" s="35" t="s">
        <v>211</v>
      </c>
      <c r="J71" s="36"/>
      <c r="K71" s="36"/>
      <c r="L71" s="37"/>
      <c r="M71" s="36"/>
      <c r="N71" s="37"/>
    </row>
    <row r="72" spans="1:19" ht="14.25" customHeight="1" x14ac:dyDescent="0.3">
      <c r="A72" s="38"/>
      <c r="B72" s="39"/>
      <c r="C72" s="40"/>
      <c r="D72" s="41"/>
      <c r="E72" s="42"/>
      <c r="G72" s="43"/>
      <c r="H72" s="44"/>
      <c r="I72" s="45"/>
      <c r="J72" s="46" t="str">
        <f>IF(D72="","",ROUNDUP(D72/IF(AND(C72="600 ml",ISNUMBER(SEARCH("NORCAU",B72))),95,IF(AND(C72="600 ml",ISNUMBER(SEARCH("APURATOS",B72))),190,IF(C72="600 ml",95,IF(C72="400 ml",125,IF(C72="200 ml",330,IF(C72="180 ml",240,1)))))),0))</f>
        <v/>
      </c>
      <c r="L72" s="44" t="str">
        <f>IF(H72="","",H72)</f>
        <v/>
      </c>
      <c r="N72" s="45" t="str">
        <f t="shared" ref="N72:N78" si="14">IF(I72="","",I72)</f>
        <v/>
      </c>
    </row>
    <row r="73" spans="1:19" ht="14.25" customHeight="1" x14ac:dyDescent="0.3">
      <c r="A73" s="613">
        <v>400</v>
      </c>
      <c r="B73" s="48" t="s">
        <v>58</v>
      </c>
      <c r="C73" s="49">
        <v>400</v>
      </c>
      <c r="D73" s="50">
        <f>D66-L66</f>
        <v>1710</v>
      </c>
      <c r="E73" s="51" t="s">
        <v>214</v>
      </c>
      <c r="F73">
        <f>IF($B73="","",IF(SUMIFS(CONFIG_PALLETS!$C:$C,CONFIG_PALLETS!$A:$A,TRIM($B73),CONFIG_PALLETS!$B:$B,$C73&amp;" ml")&gt;0,SUMIFS(CONFIG_PALLETS!$C:$C,CONFIG_PALLETS!$A:$A,TRIM($B73),CONFIG_PALLETS!$B:$B,$C73&amp;" ml"),IF(SUMIFS(CONFIG_PALLETS!$C:$C,CONFIG_PALLETS!$A:$A,"GERAL",CONFIG_PALLETS!$B:$B,$C73&amp;" ml")&gt;0,SUMIFS(CONFIG_PALLETS!$C:$C,CONFIG_PALLETS!$A:$A,"GERAL",CONFIG_PALLETS!$B:$B,$C73&amp;" ml"),"")))</f>
        <v>125</v>
      </c>
      <c r="G73" s="52">
        <f>IFERROR(ROUNDUP(D73/F73,0),"")</f>
        <v>14</v>
      </c>
      <c r="H73" s="53">
        <v>1431</v>
      </c>
      <c r="I73" s="54">
        <f>IF(H73="","",H73*IF(SUMIFS(CONFIG_PALLETS!$D:$D,CONFIG_PALLETS!$A:$A,IF(ISNUMBER(SEARCH("ESPUMA",$B73)),"ESPUMA",IF(OR(ISNUMBER(SEARCH("OLEO DE COCO",$B73)),ISNUMBER(SEARCH("ÓLEO DE COCO",$B73)),ISNUMBER(SEARCH("COPRA",$B73))),"ÓLEO DE COCO",IF(ISNUMBER(SEARCH("CORANTE",$B73)),"CORANTE",TRIM($B73)))),CONFIG_PALLETS!$B:$B,$C73&amp;" ml")&gt;0,SUMIFS(CONFIG_PALLETS!$D:$D,CONFIG_PALLETS!$A:$A,IF(ISNUMBER(SEARCH("ESPUMA",$B73)),"ESPUMA",IF(OR(ISNUMBER(SEARCH("OLEO DE COCO",$B73)),ISNUMBER(SEARCH("ÓLEO DE COCO",$B73)),ISNUMBER(SEARCH("COPRA",$B73))),"ÓLEO DE COCO",IF(ISNUMBER(SEARCH("CORANTE",$B73)),"CORANTE",TRIM($B73)))),CONFIG_PALLETS!$B:$B,$C73&amp;" ml"),IF(SUMIFS(CONFIG_PALLETS!$D:$D,CONFIG_PALLETS!$A:$A,"GERAL",CONFIG_PALLETS!$B:$B,$C73&amp;" ml")&gt;0,SUMIFS(CONFIG_PALLETS!$D:$D,CONFIG_PALLETS!$A:$A,"GERAL",CONFIG_PALLETS!$B:$B,$C73&amp;" ml"),12)))</f>
        <v>17172</v>
      </c>
      <c r="J73" s="55">
        <f>IF(D73="","",ROUNDUP(D73/IF(AND(C73="600 ml",ISNUMBER(SEARCH("NORCAU",B73))),95,IF(AND(C73="600 ml",ISNUMBER(SEARCH("APURATOS",B73))),190,IF(C73="600 ml",95,IF(C73="400 ml",125,IF(C73="200 ml",330,IF(C73="180 ml",240,1)))))),0))</f>
        <v>1710</v>
      </c>
      <c r="L73" s="56">
        <f>IF(H73="","",H73)</f>
        <v>1431</v>
      </c>
      <c r="M73" s="57"/>
      <c r="N73" s="58">
        <f t="shared" si="14"/>
        <v>17172</v>
      </c>
    </row>
    <row r="74" spans="1:19" ht="14.25" customHeight="1" x14ac:dyDescent="0.3">
      <c r="A74" s="613"/>
      <c r="B74" s="39"/>
      <c r="C74" s="40"/>
      <c r="D74" s="41"/>
      <c r="E74" s="42" t="s">
        <v>214</v>
      </c>
      <c r="F74" t="str">
        <f>IF($B74="","",IF(SUMIFS(CONFIG_PALLETS!$C:$C,CONFIG_PALLETS!$A:$A,TRIM($B74),CONFIG_PALLETS!$B:$B,$C74&amp;" ml")&gt;0,SUMIFS(CONFIG_PALLETS!$C:$C,CONFIG_PALLETS!$A:$A,TRIM($B74),CONFIG_PALLETS!$B:$B,$C74&amp;" ml"),IF(SUMIFS(CONFIG_PALLETS!$C:$C,CONFIG_PALLETS!$A:$A,"GERAL",CONFIG_PALLETS!$B:$B,$C74&amp;" ml")&gt;0,SUMIFS(CONFIG_PALLETS!$C:$C,CONFIG_PALLETS!$A:$A,"GERAL",CONFIG_PALLETS!$B:$B,$C74&amp;" ml"),"")))</f>
        <v/>
      </c>
      <c r="G74" s="59" t="str">
        <f>IFERROR(ROUNDUP(D74/F74,0),"")</f>
        <v/>
      </c>
      <c r="H74" s="44"/>
      <c r="I74" s="45" t="str">
        <f>IF(H74="","",H74*IF(SUMIFS(CONFIG_PALLETS!$D:$D,CONFIG_PALLETS!$A:$A,IF(ISNUMBER(SEARCH("ESPUMA",$B74)),"ESPUMA",IF(OR(ISNUMBER(SEARCH("OLEO DE COCO",$B74)),ISNUMBER(SEARCH("ÓLEO DE COCO",$B74)),ISNUMBER(SEARCH("COPRA",$B74))),"ÓLEO DE COCO",IF(ISNUMBER(SEARCH("CORANTE",$B74)),"CORANTE",TRIM($B74)))),CONFIG_PALLETS!$B:$B,$C74&amp;" ml")&gt;0,SUMIFS(CONFIG_PALLETS!$D:$D,CONFIG_PALLETS!$A:$A,IF(ISNUMBER(SEARCH("ESPUMA",$B74)),"ESPUMA",IF(OR(ISNUMBER(SEARCH("OLEO DE COCO",$B74)),ISNUMBER(SEARCH("ÓLEO DE COCO",$B74)),ISNUMBER(SEARCH("COPRA",$B74))),"ÓLEO DE COCO",IF(ISNUMBER(SEARCH("CORANTE",$B74)),"CORANTE",TRIM($B74)))),CONFIG_PALLETS!$B:$B,$C74&amp;" ml"),IF(SUMIFS(CONFIG_PALLETS!$D:$D,CONFIG_PALLETS!$A:$A,"GERAL",CONFIG_PALLETS!$B:$B,$C74&amp;" ml")&gt;0,SUMIFS(CONFIG_PALLETS!$D:$D,CONFIG_PALLETS!$A:$A,"GERAL",CONFIG_PALLETS!$B:$B,$C74&amp;" ml"),12)))</f>
        <v/>
      </c>
      <c r="J74" s="46" t="str">
        <f>IF(D74="","",ROUNDUP(D74/IF(AND(C74="600 ml",ISNUMBER(SEARCH("NORCAU",B74))),95,IF(AND(C74="600 ml",ISNUMBER(SEARCH("APURATOS",B74))),190,IF(C74="600 ml",95,IF(C74="400 ml",125,IF(C74="200 ml",330,IF(C74="180 ml",240,1)))))),0))</f>
        <v/>
      </c>
      <c r="L74" s="44" t="str">
        <f>IF(H74="","",H74)</f>
        <v/>
      </c>
      <c r="M74" s="57"/>
      <c r="N74" s="45" t="str">
        <f t="shared" si="14"/>
        <v/>
      </c>
    </row>
    <row r="75" spans="1:19" ht="14.25" customHeight="1" x14ac:dyDescent="0.3">
      <c r="A75" s="38"/>
      <c r="B75" s="48"/>
      <c r="C75" s="49"/>
      <c r="D75" s="50"/>
      <c r="E75" s="51" t="s">
        <v>214</v>
      </c>
      <c r="F75" t="str">
        <f>IF($B75="","",IF(SUMIFS(CONFIG_PALLETS!$C:$C,CONFIG_PALLETS!$A:$A,TRIM($B75),CONFIG_PALLETS!$B:$B,$C75&amp;" ml")&gt;0,SUMIFS(CONFIG_PALLETS!$C:$C,CONFIG_PALLETS!$A:$A,TRIM($B75),CONFIG_PALLETS!$B:$B,$C75&amp;" ml"),IF(SUMIFS(CONFIG_PALLETS!$C:$C,CONFIG_PALLETS!$A:$A,"GERAL",CONFIG_PALLETS!$B:$B,$C75&amp;" ml")&gt;0,SUMIFS(CONFIG_PALLETS!$C:$C,CONFIG_PALLETS!$A:$A,"GERAL",CONFIG_PALLETS!$B:$B,$C75&amp;" ml"),"")))</f>
        <v/>
      </c>
      <c r="G75" s="52" t="str">
        <f>IFERROR(ROUNDUP(D75/F75,0),"")</f>
        <v/>
      </c>
      <c r="H75" s="53"/>
      <c r="I75" s="54" t="str">
        <f>IF(H75="","",H75*IF(SUMIFS(CONFIG_PALLETS!$D:$D,CONFIG_PALLETS!$A:$A,IF(ISNUMBER(SEARCH("ESPUMA",$B75)),"ESPUMA",IF(OR(ISNUMBER(SEARCH("OLEO DE COCO",$B75)),ISNUMBER(SEARCH("ÓLEO DE COCO",$B75)),ISNUMBER(SEARCH("COPRA",$B75))),"ÓLEO DE COCO",IF(ISNUMBER(SEARCH("CORANTE",$B75)),"CORANTE",TRIM($B75)))),CONFIG_PALLETS!$B:$B,$C75&amp;" ml")&gt;0,SUMIFS(CONFIG_PALLETS!$D:$D,CONFIG_PALLETS!$A:$A,IF(ISNUMBER(SEARCH("ESPUMA",$B75)),"ESPUMA",IF(OR(ISNUMBER(SEARCH("OLEO DE COCO",$B75)),ISNUMBER(SEARCH("ÓLEO DE COCO",$B75)),ISNUMBER(SEARCH("COPRA",$B75))),"ÓLEO DE COCO",IF(ISNUMBER(SEARCH("CORANTE",$B75)),"CORANTE",TRIM($B75)))),CONFIG_PALLETS!$B:$B,$C75&amp;" ml"),IF(SUMIFS(CONFIG_PALLETS!$D:$D,CONFIG_PALLETS!$A:$A,"GERAL",CONFIG_PALLETS!$B:$B,$C75&amp;" ml")&gt;0,SUMIFS(CONFIG_PALLETS!$D:$D,CONFIG_PALLETS!$A:$A,"GERAL",CONFIG_PALLETS!$B:$B,$C75&amp;" ml"),12)))</f>
        <v/>
      </c>
      <c r="J75" s="55" t="str">
        <f>IF(D75="","",ROUNDUP(D75/IF(AND(C75="600 ml",ISNUMBER(SEARCH("NORCAU",B75))),95,IF(AND(C75="600 ml",ISNUMBER(SEARCH("APURATOS",B75))),190,IF(C75="600 ml",95,IF(C75="400 ml",125,IF(C75="200 ml",330,IF(C75="180 ml",240,1)))))),0))</f>
        <v/>
      </c>
      <c r="L75" s="56" t="str">
        <f>IF(H75="","",H75)</f>
        <v/>
      </c>
      <c r="N75" s="58" t="str">
        <f t="shared" si="14"/>
        <v/>
      </c>
    </row>
    <row r="76" spans="1:19" ht="14.25" customHeight="1" x14ac:dyDescent="0.3">
      <c r="A76" s="38"/>
      <c r="B76" s="39"/>
      <c r="C76" s="40"/>
      <c r="D76" s="41"/>
      <c r="E76" s="42"/>
      <c r="G76" s="43"/>
      <c r="H76" s="44"/>
      <c r="I76" s="45"/>
      <c r="J76" s="46" t="str">
        <f>IF(D76="","",ROUNDUP(D76/IF(AND(C76="600 ml",ISNUMBER(SEARCH("NORCAU",B76))),95,IF(AND(C76="600 ml",ISNUMBER(SEARCH("APURATOS",B76))),190,IF(C76="600 ml",95,IF(C76="400 ml",125,IF(C76="200 ml",330,IF(C76="180 ml",240,1)))))),0))</f>
        <v/>
      </c>
      <c r="L76" s="44" t="str">
        <f>IF(H76="","",H76)</f>
        <v/>
      </c>
      <c r="N76" s="45" t="str">
        <f t="shared" si="14"/>
        <v/>
      </c>
    </row>
    <row r="77" spans="1:19" ht="14.25" customHeight="1" x14ac:dyDescent="0.3">
      <c r="A77" s="38"/>
      <c r="B77" s="60" t="s">
        <v>216</v>
      </c>
      <c r="C77" s="61"/>
      <c r="D77" s="62">
        <f>SUM(D70:D76)</f>
        <v>1710</v>
      </c>
      <c r="E77" s="63"/>
      <c r="F77" s="64"/>
      <c r="G77" s="65">
        <f>SUM(G70:G76)</f>
        <v>14</v>
      </c>
      <c r="H77" s="62">
        <f>SUM(H70:H76)</f>
        <v>1431</v>
      </c>
      <c r="I77" s="66">
        <f>SUM(I70:I76)</f>
        <v>17172</v>
      </c>
      <c r="J77" s="67">
        <f>SUM(D72:D76)</f>
        <v>1710</v>
      </c>
      <c r="K77" s="68">
        <f>SUM(G72:G76)</f>
        <v>14</v>
      </c>
      <c r="L77" s="69">
        <f>SUM(H72:H76)</f>
        <v>1431</v>
      </c>
      <c r="M77" s="68">
        <f>SUM(I72:I76)</f>
        <v>17172</v>
      </c>
      <c r="N77" s="70">
        <f t="shared" si="14"/>
        <v>17172</v>
      </c>
      <c r="O77">
        <f>SUM(N73:N76)</f>
        <v>17172</v>
      </c>
    </row>
    <row r="78" spans="1:19" ht="14.25" customHeight="1" x14ac:dyDescent="0.3">
      <c r="B78" s="71"/>
      <c r="C78" s="72"/>
      <c r="J78" t="str">
        <f>IF(D78="","",ROUNDUP(D78/IF(AND(C78="600 ml",ISNUMBER(SEARCH("NORCAU",B78))),95,IF(AND(C78="600 ml",ISNUMBER(SEARCH("APURATOS",B78))),190,IF(C78="600 ml",95,IF(C78="400 ml",125,IF(C78="200 ml",330,IF(C78="180 ml",240,1)))))),0))</f>
        <v/>
      </c>
      <c r="L78" t="str">
        <f>IF(H78="","",H78)</f>
        <v/>
      </c>
      <c r="N78" t="str">
        <f t="shared" si="14"/>
        <v/>
      </c>
    </row>
    <row r="79" spans="1:19" ht="19.5" customHeight="1" x14ac:dyDescent="0.3">
      <c r="A79" s="30">
        <v>46066</v>
      </c>
      <c r="B79" s="31" t="s">
        <v>78</v>
      </c>
      <c r="C79" s="32" t="s">
        <v>205</v>
      </c>
      <c r="D79" s="33" t="s">
        <v>206</v>
      </c>
      <c r="E79" s="33" t="s">
        <v>207</v>
      </c>
      <c r="F79" s="34" t="s">
        <v>208</v>
      </c>
      <c r="G79" s="33" t="s">
        <v>209</v>
      </c>
      <c r="H79" s="33" t="s">
        <v>210</v>
      </c>
      <c r="I79" s="35" t="s">
        <v>211</v>
      </c>
      <c r="J79" s="36"/>
      <c r="K79" s="36"/>
      <c r="L79" s="37"/>
      <c r="M79" s="36"/>
      <c r="N79" s="37"/>
    </row>
    <row r="80" spans="1:19" ht="14.25" customHeight="1" x14ac:dyDescent="0.3">
      <c r="A80" s="38"/>
      <c r="B80" s="39"/>
      <c r="C80" s="40"/>
      <c r="D80" s="41"/>
      <c r="E80" s="42"/>
      <c r="G80" s="43"/>
      <c r="H80" s="44"/>
      <c r="I80" s="45"/>
      <c r="J80" s="46" t="str">
        <f t="shared" ref="J80:J88" si="15">IF(D80="","",ROUNDUP(D80/IF(AND(C80="600 ml",ISNUMBER(SEARCH("NORCAU",B80))),95,IF(AND(C80="600 ml",ISNUMBER(SEARCH("APURATOS",B80))),190,IF(C80="600 ml",95,IF(C80="400 ml",125,IF(C80="200 ml",330,IF(C80="180 ml",240,1)))))),0))</f>
        <v/>
      </c>
      <c r="L80" s="44" t="str">
        <f t="shared" ref="L80:L88" si="16">IF(H80="","",H80)</f>
        <v/>
      </c>
      <c r="N80" s="45" t="str">
        <f t="shared" ref="N80:N90" si="17">IF(I80="","",I80)</f>
        <v/>
      </c>
    </row>
    <row r="81" spans="1:19" ht="15" customHeight="1" x14ac:dyDescent="0.3">
      <c r="A81" s="613">
        <v>400</v>
      </c>
      <c r="B81" s="48" t="s">
        <v>58</v>
      </c>
      <c r="C81" s="49">
        <v>400</v>
      </c>
      <c r="D81" s="50">
        <f>D73-L73</f>
        <v>279</v>
      </c>
      <c r="E81" s="51" t="s">
        <v>214</v>
      </c>
      <c r="F81">
        <f>IF($B81="","",IF(SUMIFS(CONFIG_PALLETS!$C:$C,CONFIG_PALLETS!$A:$A,TRIM($B81),CONFIG_PALLETS!$B:$B,$C81&amp;" ml")&gt;0,SUMIFS(CONFIG_PALLETS!$C:$C,CONFIG_PALLETS!$A:$A,TRIM($B81),CONFIG_PALLETS!$B:$B,$C81&amp;" ml"),IF(SUMIFS(CONFIG_PALLETS!$C:$C,CONFIG_PALLETS!$A:$A,"GERAL",CONFIG_PALLETS!$B:$B,$C81&amp;" ml")&gt;0,SUMIFS(CONFIG_PALLETS!$C:$C,CONFIG_PALLETS!$A:$A,"GERAL",CONFIG_PALLETS!$B:$B,$C81&amp;" ml"),"")))</f>
        <v>125</v>
      </c>
      <c r="G81" s="52">
        <f t="shared" ref="G81:G87" si="18">IFERROR(ROUNDUP(D81/F81,0),"")</f>
        <v>3</v>
      </c>
      <c r="H81" s="53">
        <v>287</v>
      </c>
      <c r="I81" s="54">
        <f>IF(H81="","",H81*IF(SUMIFS(CONFIG_PALLETS!$D:$D,CONFIG_PALLETS!$A:$A,IF(ISNUMBER(SEARCH("ESPUMA",$B81)),"ESPUMA",IF(OR(ISNUMBER(SEARCH("OLEO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ml")&gt;0,SUMIFS(CONFIG_PALLETS!$D:$D,CONFIG_PALLETS!$A:$A,IF(ISNUMBER(SEARCH("ESPUMA",$B81)),"ESPUMA",IF(OR(ISNUMBER(SEARCH("OLEO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ml"),IF(SUMIFS(CONFIG_PALLETS!$D:$D,CONFIG_PALLETS!$A:$A,"GERAL",CONFIG_PALLETS!$B:$B,$C81&amp;" ml")&gt;0,SUMIFS(CONFIG_PALLETS!$D:$D,CONFIG_PALLETS!$A:$A,"GERAL",CONFIG_PALLETS!$B:$B,$C81&amp;" ml"),12)))</f>
        <v>3444</v>
      </c>
      <c r="J81" s="55">
        <f t="shared" si="15"/>
        <v>279</v>
      </c>
      <c r="L81" s="56">
        <f t="shared" si="16"/>
        <v>287</v>
      </c>
      <c r="M81" s="57"/>
      <c r="N81" s="58">
        <f t="shared" si="17"/>
        <v>3444</v>
      </c>
      <c r="P81" s="611" t="s">
        <v>322</v>
      </c>
      <c r="Q81" s="611"/>
      <c r="R81" s="611"/>
      <c r="S81" s="611"/>
    </row>
    <row r="82" spans="1:19" ht="14.25" customHeight="1" x14ac:dyDescent="0.3">
      <c r="A82" s="613"/>
      <c r="B82" s="39" t="s">
        <v>223</v>
      </c>
      <c r="C82" s="40">
        <v>400</v>
      </c>
      <c r="D82" s="41">
        <v>200</v>
      </c>
      <c r="E82" s="42" t="s">
        <v>214</v>
      </c>
      <c r="F82">
        <f>IF($B82="","",IF(SUMIFS(CONFIG_PALLETS!$C:$C,CONFIG_PALLETS!$A:$A,TRIM($B82),CONFIG_PALLETS!$B:$B,$C82&amp;" ml")&gt;0,SUMIFS(CONFIG_PALLETS!$C:$C,CONFIG_PALLETS!$A:$A,TRIM($B82),CONFIG_PALLETS!$B:$B,$C82&amp;" ml"),IF(SUMIFS(CONFIG_PALLETS!$C:$C,CONFIG_PALLETS!$A:$A,"GERAL",CONFIG_PALLETS!$B:$B,$C82&amp;" ml")&gt;0,SUMIFS(CONFIG_PALLETS!$C:$C,CONFIG_PALLETS!$A:$A,"GERAL",CONFIG_PALLETS!$B:$B,$C82&amp;" ml"),"")))</f>
        <v>125</v>
      </c>
      <c r="G82" s="59">
        <f t="shared" si="18"/>
        <v>2</v>
      </c>
      <c r="H82" s="44">
        <v>202</v>
      </c>
      <c r="I82" s="45">
        <f>IF(H82="","",H82*IF(SUMIFS(CONFIG_PALLETS!$D:$D,CONFIG_PALLETS!$A:$A,IF(ISNUMBER(SEARCH("ESPUMA",$B82)),"ESPUMA",IF(OR(ISNUMBER(SEARCH("OLEO DE COCO",$B82)),ISNUMBER(SEARCH("ÓLEO DE COCO",$B82)),ISNUMBER(SEARCH("COPRA",$B82))),"ÓLEO DE COCO",IF(ISNUMBER(SEARCH("CORANTE",$B82)),"CORANTE",TRIM($B82)))),CONFIG_PALLETS!$B:$B,$C82&amp;" ml")&gt;0,SUMIFS(CONFIG_PALLETS!$D:$D,CONFIG_PALLETS!$A:$A,IF(ISNUMBER(SEARCH("ESPUMA",$B82)),"ESPUMA",IF(OR(ISNUMBER(SEARCH("OLEO DE COCO",$B82)),ISNUMBER(SEARCH("ÓLEO DE COCO",$B82)),ISNUMBER(SEARCH("COPRA",$B82))),"ÓLEO DE COCO",IF(ISNUMBER(SEARCH("CORANTE",$B82)),"CORANTE",TRIM($B82)))),CONFIG_PALLETS!$B:$B,$C82&amp;" ml"),IF(SUMIFS(CONFIG_PALLETS!$D:$D,CONFIG_PALLETS!$A:$A,"GERAL",CONFIG_PALLETS!$B:$B,$C82&amp;" ml")&gt;0,SUMIFS(CONFIG_PALLETS!$D:$D,CONFIG_PALLETS!$A:$A,"GERAL",CONFIG_PALLETS!$B:$B,$C82&amp;" ml"),12)))</f>
        <v>2424</v>
      </c>
      <c r="J82" s="46">
        <f t="shared" si="15"/>
        <v>200</v>
      </c>
      <c r="L82" s="44">
        <f t="shared" si="16"/>
        <v>202</v>
      </c>
      <c r="M82" s="57"/>
      <c r="N82" s="45">
        <f t="shared" si="17"/>
        <v>2424</v>
      </c>
      <c r="P82" s="611"/>
      <c r="Q82" s="611"/>
      <c r="R82" s="611"/>
      <c r="S82" s="611"/>
    </row>
    <row r="83" spans="1:19" ht="14.25" customHeight="1" x14ac:dyDescent="0.3">
      <c r="A83" s="38"/>
      <c r="B83" s="48" t="s">
        <v>323</v>
      </c>
      <c r="C83" s="49">
        <v>400</v>
      </c>
      <c r="D83" s="50">
        <v>250</v>
      </c>
      <c r="E83" s="51" t="s">
        <v>214</v>
      </c>
      <c r="F83">
        <f>IF($B83="","",IF(SUMIFS(CONFIG_PALLETS!$C:$C,CONFIG_PALLETS!$A:$A,TRIM($B83),CONFIG_PALLETS!$B:$B,$C83&amp;" ml")&gt;0,SUMIFS(CONFIG_PALLETS!$C:$C,CONFIG_PALLETS!$A:$A,TRIM($B83),CONFIG_PALLETS!$B:$B,$C83&amp;" ml"),IF(SUMIFS(CONFIG_PALLETS!$C:$C,CONFIG_PALLETS!$A:$A,"GERAL",CONFIG_PALLETS!$B:$B,$C83&amp;" ml")&gt;0,SUMIFS(CONFIG_PALLETS!$C:$C,CONFIG_PALLETS!$A:$A,"GERAL",CONFIG_PALLETS!$B:$B,$C83&amp;" ml"),"")))</f>
        <v>125</v>
      </c>
      <c r="G83" s="52">
        <f t="shared" si="18"/>
        <v>2</v>
      </c>
      <c r="H83" s="53">
        <v>252</v>
      </c>
      <c r="I83" s="54">
        <f>IF(H83="","",H83*IF(SUMIFS(CONFIG_PALLETS!$D:$D,CONFIG_PALLETS!$A:$A,IF(ISNUMBER(SEARCH("ESPUMA",$B83)),"ESPUMA",IF(OR(ISNUMBER(SEARCH("OLEO DE COCO",$B83)),ISNUMBER(SEARCH("ÓLEO DE COCO",$B83)),ISNUMBER(SEARCH("COPRA",$B83))),"ÓLEO DE COCO",IF(ISNUMBER(SEARCH("CORANTE",$B83)),"CORANTE",TRIM($B83)))),CONFIG_PALLETS!$B:$B,$C83&amp;" ml")&gt;0,SUMIFS(CONFIG_PALLETS!$D:$D,CONFIG_PALLETS!$A:$A,IF(ISNUMBER(SEARCH("ESPUMA",$B83)),"ESPUMA",IF(OR(ISNUMBER(SEARCH("OLEO DE COCO",$B83)),ISNUMBER(SEARCH("ÓLEO DE COCO",$B83)),ISNUMBER(SEARCH("COPRA",$B83))),"ÓLEO DE COCO",IF(ISNUMBER(SEARCH("CORANTE",$B83)),"CORANTE",TRIM($B83)))),CONFIG_PALLETS!$B:$B,$C83&amp;" ml"),IF(SUMIFS(CONFIG_PALLETS!$D:$D,CONFIG_PALLETS!$A:$A,"GERAL",CONFIG_PALLETS!$B:$B,$C83&amp;" ml")&gt;0,SUMIFS(CONFIG_PALLETS!$D:$D,CONFIG_PALLETS!$A:$A,"GERAL",CONFIG_PALLETS!$B:$B,$C83&amp;" ml"),12)))</f>
        <v>3024</v>
      </c>
      <c r="J83" s="55">
        <f t="shared" si="15"/>
        <v>250</v>
      </c>
      <c r="L83" s="56">
        <f t="shared" si="16"/>
        <v>252</v>
      </c>
      <c r="N83" s="58">
        <f t="shared" si="17"/>
        <v>3024</v>
      </c>
      <c r="P83" s="611"/>
      <c r="Q83" s="611"/>
      <c r="R83" s="611"/>
      <c r="S83" s="611"/>
    </row>
    <row r="84" spans="1:19" ht="14.25" customHeight="1" x14ac:dyDescent="0.3">
      <c r="A84" s="38"/>
      <c r="B84" s="39" t="s">
        <v>164</v>
      </c>
      <c r="C84" s="40">
        <v>400</v>
      </c>
      <c r="D84" s="41">
        <v>250</v>
      </c>
      <c r="E84" s="42" t="s">
        <v>214</v>
      </c>
      <c r="F84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>125</v>
      </c>
      <c r="G84" s="59">
        <f t="shared" si="18"/>
        <v>2</v>
      </c>
      <c r="H84" s="44">
        <v>61</v>
      </c>
      <c r="I84" s="45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>732</v>
      </c>
      <c r="J84" s="46">
        <f t="shared" si="15"/>
        <v>250</v>
      </c>
      <c r="L84" s="44">
        <f t="shared" si="16"/>
        <v>61</v>
      </c>
      <c r="N84" s="45">
        <f t="shared" si="17"/>
        <v>732</v>
      </c>
    </row>
    <row r="85" spans="1:19" ht="14.25" customHeight="1" x14ac:dyDescent="0.3">
      <c r="A85" s="38"/>
      <c r="B85" s="48" t="s">
        <v>270</v>
      </c>
      <c r="C85" s="49">
        <v>400</v>
      </c>
      <c r="D85" s="50">
        <v>125</v>
      </c>
      <c r="E85" s="51" t="s">
        <v>214</v>
      </c>
      <c r="F85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>125</v>
      </c>
      <c r="G85" s="52">
        <f t="shared" si="18"/>
        <v>1</v>
      </c>
      <c r="H85" s="53"/>
      <c r="I85" s="54" t="str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  <c r="J85" s="55">
        <f t="shared" si="15"/>
        <v>125</v>
      </c>
      <c r="L85" s="56" t="str">
        <f t="shared" si="16"/>
        <v/>
      </c>
      <c r="N85" s="58" t="str">
        <f t="shared" si="17"/>
        <v/>
      </c>
    </row>
    <row r="86" spans="1:19" ht="14.25" customHeight="1" x14ac:dyDescent="0.3">
      <c r="A86" s="38"/>
      <c r="B86" s="93" t="s">
        <v>101</v>
      </c>
      <c r="C86" s="72">
        <v>400</v>
      </c>
      <c r="D86">
        <v>125</v>
      </c>
      <c r="E86" t="s">
        <v>214</v>
      </c>
      <c r="F86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>125</v>
      </c>
      <c r="G86" s="106">
        <f t="shared" si="18"/>
        <v>1</v>
      </c>
      <c r="H86" s="57"/>
      <c r="I86" s="91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  <c r="J86">
        <f t="shared" si="15"/>
        <v>125</v>
      </c>
      <c r="L86" s="57" t="str">
        <f t="shared" si="16"/>
        <v/>
      </c>
      <c r="N86" s="91" t="str">
        <f t="shared" si="17"/>
        <v/>
      </c>
    </row>
    <row r="87" spans="1:19" ht="14.25" customHeight="1" x14ac:dyDescent="0.3">
      <c r="A87" s="38"/>
      <c r="B87" s="48"/>
      <c r="C87" s="107"/>
      <c r="D87" s="105"/>
      <c r="E87" s="105" t="s">
        <v>214</v>
      </c>
      <c r="F87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105" t="str">
        <f t="shared" si="18"/>
        <v/>
      </c>
      <c r="H87" s="108"/>
      <c r="I87" s="109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  <c r="J87" t="str">
        <f t="shared" si="15"/>
        <v/>
      </c>
      <c r="L87" s="57" t="str">
        <f t="shared" si="16"/>
        <v/>
      </c>
      <c r="N87" s="91" t="str">
        <f t="shared" si="17"/>
        <v/>
      </c>
    </row>
    <row r="88" spans="1:19" ht="14.25" customHeight="1" x14ac:dyDescent="0.3">
      <c r="A88" s="38"/>
      <c r="B88" s="93"/>
      <c r="C88" s="72"/>
      <c r="H88" s="57"/>
      <c r="I88" s="91"/>
      <c r="J88" t="str">
        <f t="shared" si="15"/>
        <v/>
      </c>
      <c r="L88" s="57" t="str">
        <f t="shared" si="16"/>
        <v/>
      </c>
      <c r="N88" s="91" t="str">
        <f t="shared" si="17"/>
        <v/>
      </c>
    </row>
    <row r="89" spans="1:19" ht="14.25" customHeight="1" x14ac:dyDescent="0.3">
      <c r="A89" s="38"/>
      <c r="B89" s="60" t="s">
        <v>216</v>
      </c>
      <c r="C89" s="61"/>
      <c r="D89" s="62">
        <f>SUM(D82:D88)</f>
        <v>950</v>
      </c>
      <c r="E89" s="63"/>
      <c r="F89" s="64"/>
      <c r="G89" s="65">
        <f>SUM(G82:G88)</f>
        <v>8</v>
      </c>
      <c r="H89" s="62">
        <f>SUM(H82:H88)</f>
        <v>515</v>
      </c>
      <c r="I89" s="66">
        <f>SUM(I82:I88)</f>
        <v>6180</v>
      </c>
      <c r="J89" s="68">
        <f>SUM(D80:D88)</f>
        <v>1229</v>
      </c>
      <c r="K89" s="68">
        <f>SUM(G80:G88)</f>
        <v>11</v>
      </c>
      <c r="L89" s="94">
        <f>SUM(H80:H88)</f>
        <v>802</v>
      </c>
      <c r="M89" s="68">
        <f>SUM(I80:I88)</f>
        <v>9624</v>
      </c>
      <c r="N89" s="95">
        <f t="shared" si="17"/>
        <v>6180</v>
      </c>
      <c r="O89">
        <f>SUM(N81:N88)</f>
        <v>9624</v>
      </c>
    </row>
    <row r="90" spans="1:19" ht="14.25" customHeight="1" x14ac:dyDescent="0.3">
      <c r="B90" s="71"/>
      <c r="C90" s="72"/>
      <c r="J90" t="str">
        <f>IF(D90="","",ROUNDUP(D90/IF(AND(C90="600 ml",ISNUMBER(SEARCH("NORCAU",B90))),95,IF(AND(C90="600 ml",ISNUMBER(SEARCH("APURATOS",B90))),190,IF(C90="600 ml",95,IF(C90="400 ml",125,IF(C90="200 ml",330,IF(C90="180 ml",240,1)))))),0))</f>
        <v/>
      </c>
      <c r="L90" t="str">
        <f>IF(H90="","",H90)</f>
        <v/>
      </c>
      <c r="N90" t="str">
        <f t="shared" si="17"/>
        <v/>
      </c>
    </row>
    <row r="91" spans="1:19" ht="19.5" customHeight="1" x14ac:dyDescent="0.3">
      <c r="A91" s="30">
        <v>46071</v>
      </c>
      <c r="B91" s="31" t="s">
        <v>78</v>
      </c>
      <c r="C91" s="32" t="s">
        <v>205</v>
      </c>
      <c r="D91" s="33" t="s">
        <v>206</v>
      </c>
      <c r="E91" s="33" t="s">
        <v>207</v>
      </c>
      <c r="F91" s="34" t="s">
        <v>208</v>
      </c>
      <c r="G91" s="33" t="s">
        <v>209</v>
      </c>
      <c r="H91" s="33" t="s">
        <v>210</v>
      </c>
      <c r="I91" s="35" t="s">
        <v>211</v>
      </c>
      <c r="J91" s="36"/>
      <c r="K91" s="36"/>
      <c r="L91" s="37"/>
      <c r="M91" s="36"/>
      <c r="N91" s="37"/>
    </row>
    <row r="92" spans="1:19" ht="14.25" customHeight="1" x14ac:dyDescent="0.3">
      <c r="A92" s="38"/>
      <c r="B92" s="39"/>
      <c r="C92" s="40"/>
      <c r="D92" s="41"/>
      <c r="E92" s="42"/>
      <c r="G92" s="43"/>
      <c r="H92" s="44"/>
      <c r="I92" s="45"/>
      <c r="J92" s="46" t="str">
        <f t="shared" ref="J92:J98" si="19">IF(D92="","",ROUNDUP(D92/IF(AND(C92="600 ml",ISNUMBER(SEARCH("NORCAU",B92))),95,IF(AND(C92="600 ml",ISNUMBER(SEARCH("APURATOS",B92))),190,IF(C92="600 ml",95,IF(C92="400 ml",125,IF(C92="200 ml",330,IF(C92="180 ml",240,1)))))),0))</f>
        <v/>
      </c>
      <c r="L92" s="44" t="str">
        <f t="shared" ref="L92:L98" si="20">IF(H92="","",H92)</f>
        <v/>
      </c>
      <c r="N92" s="45" t="str">
        <f t="shared" ref="N92:N100" si="21">IF(I92="","",I92)</f>
        <v/>
      </c>
    </row>
    <row r="93" spans="1:19" ht="15" customHeight="1" x14ac:dyDescent="0.3">
      <c r="A93" s="613">
        <v>400</v>
      </c>
      <c r="B93" s="48" t="s">
        <v>164</v>
      </c>
      <c r="C93" s="49">
        <v>400</v>
      </c>
      <c r="D93" s="50">
        <f>D84-L84</f>
        <v>189</v>
      </c>
      <c r="E93" s="51" t="s">
        <v>214</v>
      </c>
      <c r="F93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>125</v>
      </c>
      <c r="G93" s="52">
        <f>IFERROR(ROUNDUP(D93/F93,0),"")</f>
        <v>2</v>
      </c>
      <c r="H93" s="53">
        <v>192</v>
      </c>
      <c r="I93" s="54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>2304</v>
      </c>
      <c r="J93" s="55">
        <f t="shared" si="19"/>
        <v>189</v>
      </c>
      <c r="L93" s="56">
        <f t="shared" si="20"/>
        <v>192</v>
      </c>
      <c r="N93" s="58">
        <f t="shared" si="21"/>
        <v>2304</v>
      </c>
      <c r="P93" s="611" t="s">
        <v>324</v>
      </c>
      <c r="Q93" s="611"/>
      <c r="R93" s="611"/>
      <c r="S93" s="611"/>
    </row>
    <row r="94" spans="1:19" ht="14.25" customHeight="1" x14ac:dyDescent="0.3">
      <c r="A94" s="613"/>
      <c r="B94" s="39" t="s">
        <v>270</v>
      </c>
      <c r="C94" s="40">
        <v>400</v>
      </c>
      <c r="D94" s="41">
        <v>125</v>
      </c>
      <c r="E94" s="42" t="s">
        <v>214</v>
      </c>
      <c r="F94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>125</v>
      </c>
      <c r="G94" s="59">
        <f>IFERROR(ROUNDUP(D94/F94,0),"")</f>
        <v>1</v>
      </c>
      <c r="H94" s="44">
        <v>229</v>
      </c>
      <c r="I94" s="45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>2748</v>
      </c>
      <c r="J94" s="46">
        <f t="shared" si="19"/>
        <v>125</v>
      </c>
      <c r="L94" s="44">
        <f t="shared" si="20"/>
        <v>229</v>
      </c>
      <c r="N94" s="45">
        <f t="shared" si="21"/>
        <v>2748</v>
      </c>
      <c r="P94" s="611"/>
      <c r="Q94" s="611"/>
      <c r="R94" s="611"/>
      <c r="S94" s="611"/>
    </row>
    <row r="95" spans="1:19" ht="14.25" customHeight="1" x14ac:dyDescent="0.3">
      <c r="A95" s="613"/>
      <c r="B95" s="48" t="s">
        <v>101</v>
      </c>
      <c r="C95" s="49">
        <v>400</v>
      </c>
      <c r="D95" s="50">
        <v>125</v>
      </c>
      <c r="E95" s="51" t="s">
        <v>214</v>
      </c>
      <c r="F95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>125</v>
      </c>
      <c r="G95" s="52">
        <f>IFERROR(ROUNDUP(D95/F95,0),"")</f>
        <v>1</v>
      </c>
      <c r="H95" s="53">
        <v>18</v>
      </c>
      <c r="I95" s="54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>216</v>
      </c>
      <c r="J95" s="55">
        <f t="shared" si="19"/>
        <v>125</v>
      </c>
      <c r="L95" s="56">
        <f t="shared" si="20"/>
        <v>18</v>
      </c>
      <c r="N95" s="58">
        <f t="shared" si="21"/>
        <v>216</v>
      </c>
      <c r="P95" s="611"/>
      <c r="Q95" s="611"/>
      <c r="R95" s="611"/>
      <c r="S95" s="611"/>
    </row>
    <row r="96" spans="1:19" ht="14.25" customHeight="1" x14ac:dyDescent="0.3">
      <c r="A96" s="613"/>
      <c r="B96" s="39"/>
      <c r="C96" s="40"/>
      <c r="D96" s="41"/>
      <c r="E96" s="42" t="s">
        <v>214</v>
      </c>
      <c r="F96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59" t="str">
        <f>IFERROR(ROUNDUP(D96/F96,0),"")</f>
        <v/>
      </c>
      <c r="H96" s="44"/>
      <c r="I96" s="45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  <c r="J96" s="46" t="str">
        <f t="shared" si="19"/>
        <v/>
      </c>
      <c r="L96" s="44" t="str">
        <f t="shared" si="20"/>
        <v/>
      </c>
      <c r="M96" s="57"/>
      <c r="N96" s="45" t="str">
        <f t="shared" si="21"/>
        <v/>
      </c>
    </row>
    <row r="97" spans="1:15" ht="14.25" customHeight="1" x14ac:dyDescent="0.3">
      <c r="A97" s="38"/>
      <c r="B97" s="48"/>
      <c r="C97" s="49"/>
      <c r="D97" s="50"/>
      <c r="E97" s="51" t="s">
        <v>214</v>
      </c>
      <c r="F97" t="str">
        <f>IF($B97="","",IF(SUMIFS(CONFIG_PALLETS!$C:$C,CONFIG_PALLETS!$A:$A,TRIM($B97),CONFIG_PALLETS!$B:$B,$C97&amp;" ml")&gt;0,SUMIFS(CONFIG_PALLETS!$C:$C,CONFIG_PALLETS!$A:$A,TRIM($B97),CONFIG_PALLETS!$B:$B,$C97&amp;" ml"),IF(SUMIFS(CONFIG_PALLETS!$C:$C,CONFIG_PALLETS!$A:$A,"GERAL",CONFIG_PALLETS!$B:$B,$C97&amp;" ml")&gt;0,SUMIFS(CONFIG_PALLETS!$C:$C,CONFIG_PALLETS!$A:$A,"GERAL",CONFIG_PALLETS!$B:$B,$C97&amp;" ml"),"")))</f>
        <v/>
      </c>
      <c r="G97" s="52" t="str">
        <f>IFERROR(ROUNDUP(D97/F97,0),"")</f>
        <v/>
      </c>
      <c r="H97" s="53"/>
      <c r="I97" s="54" t="str">
        <f>IF(H97="","",H97*IF(SUMIFS(CONFIG_PALLETS!$D:$D,CONFIG_PALLETS!$A:$A,IF(ISNUMBER(SEARCH("ESPUMA",$B97)),"ESPUMA",IF(OR(ISNUMBER(SEARCH("OLEO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ml")&gt;0,SUMIFS(CONFIG_PALLETS!$D:$D,CONFIG_PALLETS!$A:$A,IF(ISNUMBER(SEARCH("ESPUMA",$B97)),"ESPUMA",IF(OR(ISNUMBER(SEARCH("OLEO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ml"),IF(SUMIFS(CONFIG_PALLETS!$D:$D,CONFIG_PALLETS!$A:$A,"GERAL",CONFIG_PALLETS!$B:$B,$C97&amp;" ml")&gt;0,SUMIFS(CONFIG_PALLETS!$D:$D,CONFIG_PALLETS!$A:$A,"GERAL",CONFIG_PALLETS!$B:$B,$C97&amp;" ml"),12)))</f>
        <v/>
      </c>
      <c r="J97" s="55" t="str">
        <f t="shared" si="19"/>
        <v/>
      </c>
      <c r="L97" s="56" t="str">
        <f t="shared" si="20"/>
        <v/>
      </c>
      <c r="N97" s="58" t="str">
        <f t="shared" si="21"/>
        <v/>
      </c>
    </row>
    <row r="98" spans="1:15" ht="14.25" customHeight="1" x14ac:dyDescent="0.3">
      <c r="A98" s="38"/>
      <c r="B98" s="93"/>
      <c r="C98" s="72"/>
      <c r="H98" s="57"/>
      <c r="I98" s="91"/>
      <c r="J98" t="str">
        <f t="shared" si="19"/>
        <v/>
      </c>
      <c r="L98" s="57" t="str">
        <f t="shared" si="20"/>
        <v/>
      </c>
      <c r="N98" s="91" t="str">
        <f t="shared" si="21"/>
        <v/>
      </c>
    </row>
    <row r="99" spans="1:15" ht="14.25" customHeight="1" x14ac:dyDescent="0.3">
      <c r="A99" s="38"/>
      <c r="B99" s="60" t="s">
        <v>216</v>
      </c>
      <c r="C99" s="61"/>
      <c r="D99" s="62">
        <f>SUM(D92:D98)</f>
        <v>439</v>
      </c>
      <c r="E99" s="63"/>
      <c r="F99" s="64"/>
      <c r="G99" s="65">
        <f>SUM(G92:G98)</f>
        <v>4</v>
      </c>
      <c r="H99" s="62">
        <f>SUM(H92:H98)</f>
        <v>439</v>
      </c>
      <c r="I99" s="66">
        <f>SUM(I92:I98)</f>
        <v>5268</v>
      </c>
      <c r="J99" s="68">
        <f>SUM(D92:D98)</f>
        <v>439</v>
      </c>
      <c r="K99" s="68">
        <f>SUM(G92:G98)</f>
        <v>4</v>
      </c>
      <c r="L99" s="94">
        <f>SUM(H92:H98)</f>
        <v>439</v>
      </c>
      <c r="M99" s="68">
        <f>SUM(I92:I98)</f>
        <v>5268</v>
      </c>
      <c r="N99" s="95">
        <f t="shared" si="21"/>
        <v>5268</v>
      </c>
      <c r="O99">
        <f>SUM(N93:N98)</f>
        <v>5268</v>
      </c>
    </row>
    <row r="100" spans="1:15" ht="14.25" customHeight="1" x14ac:dyDescent="0.3">
      <c r="B100" s="71"/>
      <c r="C100" s="72"/>
      <c r="J100" t="str">
        <f>IF(D100="","",ROUNDUP(D100/IF(AND(C100="600 ml",ISNUMBER(SEARCH("NORCAU",B100))),95,IF(AND(C100="600 ml",ISNUMBER(SEARCH("APURATOS",B100))),190,IF(C100="600 ml",95,IF(C100="400 ml",125,IF(C100="200 ml",330,IF(C100="180 ml",240,1)))))),0))</f>
        <v/>
      </c>
      <c r="L100" t="str">
        <f>IF(H100="","",H100)</f>
        <v/>
      </c>
      <c r="N100" t="str">
        <f t="shared" si="21"/>
        <v/>
      </c>
    </row>
    <row r="101" spans="1:15" ht="19.5" customHeight="1" x14ac:dyDescent="0.3">
      <c r="A101" s="30">
        <v>46072</v>
      </c>
      <c r="B101" s="110" t="s">
        <v>78</v>
      </c>
      <c r="C101" s="111" t="s">
        <v>205</v>
      </c>
      <c r="D101" s="112" t="s">
        <v>206</v>
      </c>
      <c r="E101" s="112" t="s">
        <v>207</v>
      </c>
      <c r="F101" s="34" t="s">
        <v>208</v>
      </c>
      <c r="G101" s="112" t="s">
        <v>209</v>
      </c>
      <c r="H101" s="112" t="s">
        <v>210</v>
      </c>
      <c r="I101" s="112" t="s">
        <v>211</v>
      </c>
      <c r="J101" s="36"/>
      <c r="K101" s="36"/>
      <c r="L101" s="37"/>
      <c r="M101" s="36"/>
      <c r="N101" s="37"/>
    </row>
    <row r="102" spans="1:15" ht="14.25" customHeight="1" x14ac:dyDescent="0.3">
      <c r="A102" s="38"/>
      <c r="B102" s="39"/>
      <c r="C102" s="40"/>
      <c r="D102" s="41"/>
      <c r="E102" s="42"/>
      <c r="G102" s="43"/>
      <c r="H102" s="44"/>
      <c r="I102" s="45"/>
      <c r="J102" s="46" t="str">
        <f t="shared" ref="J102:J108" si="22">IF(D102="","",ROUNDUP(D102/IF(AND(C102="600 ml",ISNUMBER(SEARCH("NORCAU",B102))),95,IF(AND(C102="600 ml",ISNUMBER(SEARCH("APURATOS",B102))),190,IF(C102="600 ml",95,IF(C102="400 ml",125,IF(C102="200 ml",330,IF(C102="180 ml",240,1)))))),0))</f>
        <v/>
      </c>
      <c r="L102" s="44" t="str">
        <f t="shared" ref="L102:L108" si="23">IF(H102="","",H102)</f>
        <v/>
      </c>
      <c r="N102" s="45" t="str">
        <f t="shared" ref="N102:N110" si="24">IF(I102="","",I102)</f>
        <v/>
      </c>
    </row>
    <row r="103" spans="1:15" ht="14.25" customHeight="1" x14ac:dyDescent="0.3">
      <c r="A103" s="614" t="s">
        <v>325</v>
      </c>
      <c r="B103" s="48" t="s">
        <v>101</v>
      </c>
      <c r="C103" s="49">
        <v>400</v>
      </c>
      <c r="D103" s="50">
        <f>D95-L95</f>
        <v>107</v>
      </c>
      <c r="E103" s="51" t="s">
        <v>214</v>
      </c>
      <c r="F103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>125</v>
      </c>
      <c r="G103" s="52">
        <f>IFERROR(ROUNDUP(D103/F103,0),"")</f>
        <v>1</v>
      </c>
      <c r="H103" s="53">
        <v>109</v>
      </c>
      <c r="I103" s="54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>1308</v>
      </c>
      <c r="J103" s="55">
        <f t="shared" si="22"/>
        <v>107</v>
      </c>
      <c r="L103" s="56">
        <f t="shared" si="23"/>
        <v>109</v>
      </c>
      <c r="M103" s="57"/>
      <c r="N103" s="58">
        <f t="shared" si="24"/>
        <v>1308</v>
      </c>
    </row>
    <row r="104" spans="1:15" ht="14.25" customHeight="1" x14ac:dyDescent="0.3">
      <c r="A104" s="614"/>
      <c r="B104" s="39" t="s">
        <v>274</v>
      </c>
      <c r="C104" s="40">
        <v>400</v>
      </c>
      <c r="D104" s="41">
        <v>375</v>
      </c>
      <c r="E104" s="42" t="s">
        <v>214</v>
      </c>
      <c r="F104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>125</v>
      </c>
      <c r="G104" s="59">
        <f>IFERROR(ROUNDUP(D104/F104,0),"")</f>
        <v>3</v>
      </c>
      <c r="H104" s="44">
        <v>378</v>
      </c>
      <c r="I104" s="45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>4536</v>
      </c>
      <c r="J104" s="46">
        <f t="shared" si="22"/>
        <v>375</v>
      </c>
      <c r="L104" s="44">
        <f t="shared" si="23"/>
        <v>378</v>
      </c>
      <c r="M104" s="57"/>
      <c r="N104" s="45">
        <f t="shared" si="24"/>
        <v>4536</v>
      </c>
    </row>
    <row r="105" spans="1:15" ht="14.25" customHeight="1" x14ac:dyDescent="0.3">
      <c r="A105" s="614"/>
      <c r="B105" s="48" t="s">
        <v>288</v>
      </c>
      <c r="C105" s="49">
        <v>180</v>
      </c>
      <c r="D105" s="50">
        <v>240</v>
      </c>
      <c r="E105" s="51" t="s">
        <v>214</v>
      </c>
      <c r="F105">
        <f>IF($B105="","",IF(SUMIFS(CONFIG_PALLETS!$C:$C,CONFIG_PALLETS!$A:$A,TRIM($B105),CONFIG_PALLETS!$B:$B,$C105&amp;" ml")&gt;0,SUMIFS(CONFIG_PALLETS!$C:$C,CONFIG_PALLETS!$A:$A,TRIM($B105),CONFIG_PALLETS!$B:$B,$C105&amp;" ml"),IF(SUMIFS(CONFIG_PALLETS!$C:$C,CONFIG_PALLETS!$A:$A,"GERAL",CONFIG_PALLETS!$B:$B,$C105&amp;" ml")&gt;0,SUMIFS(CONFIG_PALLETS!$C:$C,CONFIG_PALLETS!$A:$A,"GERAL",CONFIG_PALLETS!$B:$B,$C105&amp;" ml"),"")))</f>
        <v>240</v>
      </c>
      <c r="G105" s="52">
        <f>IFERROR(ROUNDUP(D105/F105,0),"")</f>
        <v>1</v>
      </c>
      <c r="H105" s="53">
        <v>240</v>
      </c>
      <c r="I105" s="54">
        <f>IF(H105="","",H105*IF(SUMIFS(CONFIG_PALLETS!$D:$D,CONFIG_PALLETS!$A:$A,IF(ISNUMBER(SEARCH("ESPUMA",$B105)),"ESPUMA",IF(OR(ISNUMBER(SEARCH("OLEO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ml")&gt;0,SUMIFS(CONFIG_PALLETS!$D:$D,CONFIG_PALLETS!$A:$A,IF(ISNUMBER(SEARCH("ESPUMA",$B105)),"ESPUMA",IF(OR(ISNUMBER(SEARCH("OLEO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ml"),IF(SUMIFS(CONFIG_PALLETS!$D:$D,CONFIG_PALLETS!$A:$A,"GERAL",CONFIG_PALLETS!$B:$B,$C105&amp;" ml")&gt;0,SUMIFS(CONFIG_PALLETS!$D:$D,CONFIG_PALLETS!$A:$A,"GERAL",CONFIG_PALLETS!$B:$B,$C105&amp;" ml"),12)))</f>
        <v>2880</v>
      </c>
      <c r="J105" s="55">
        <f t="shared" si="22"/>
        <v>240</v>
      </c>
      <c r="L105" s="56">
        <f t="shared" si="23"/>
        <v>240</v>
      </c>
      <c r="N105" s="58">
        <f t="shared" si="24"/>
        <v>2880</v>
      </c>
    </row>
    <row r="106" spans="1:15" ht="14.25" customHeight="1" x14ac:dyDescent="0.3">
      <c r="A106" s="614"/>
      <c r="B106" s="39" t="s">
        <v>54</v>
      </c>
      <c r="C106" s="40">
        <v>180</v>
      </c>
      <c r="D106" s="41">
        <v>480</v>
      </c>
      <c r="E106" s="42" t="s">
        <v>214</v>
      </c>
      <c r="F106">
        <f>IF($B106="","",IF(SUMIFS(CONFIG_PALLETS!$C:$C,CONFIG_PALLETS!$A:$A,TRIM($B106),CONFIG_PALLETS!$B:$B,$C106&amp;" ml")&gt;0,SUMIFS(CONFIG_PALLETS!$C:$C,CONFIG_PALLETS!$A:$A,TRIM($B106),CONFIG_PALLETS!$B:$B,$C106&amp;" ml"),IF(SUMIFS(CONFIG_PALLETS!$C:$C,CONFIG_PALLETS!$A:$A,"GERAL",CONFIG_PALLETS!$B:$B,$C106&amp;" ml")&gt;0,SUMIFS(CONFIG_PALLETS!$C:$C,CONFIG_PALLETS!$A:$A,"GERAL",CONFIG_PALLETS!$B:$B,$C106&amp;" ml"),"")))</f>
        <v>240</v>
      </c>
      <c r="G106" s="59">
        <f>IFERROR(ROUNDUP(D106/F106,0),"")</f>
        <v>2</v>
      </c>
      <c r="H106" s="44">
        <v>256</v>
      </c>
      <c r="I106" s="45">
        <f>IF(H106="","",H106*IF(SUMIFS(CONFIG_PALLETS!$D:$D,CONFIG_PALLETS!$A:$A,IF(ISNUMBER(SEARCH("ESPUMA",$B106)),"ESPUMA",IF(OR(ISNUMBER(SEARCH("OLEO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ml")&gt;0,SUMIFS(CONFIG_PALLETS!$D:$D,CONFIG_PALLETS!$A:$A,IF(ISNUMBER(SEARCH("ESPUMA",$B106)),"ESPUMA",IF(OR(ISNUMBER(SEARCH("OLEO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ml"),IF(SUMIFS(CONFIG_PALLETS!$D:$D,CONFIG_PALLETS!$A:$A,"GERAL",CONFIG_PALLETS!$B:$B,$C106&amp;" ml")&gt;0,SUMIFS(CONFIG_PALLETS!$D:$D,CONFIG_PALLETS!$A:$A,"GERAL",CONFIG_PALLETS!$B:$B,$C106&amp;" ml"),12)))</f>
        <v>3072</v>
      </c>
      <c r="J106" s="46">
        <f t="shared" si="22"/>
        <v>480</v>
      </c>
      <c r="L106" s="44">
        <f t="shared" si="23"/>
        <v>256</v>
      </c>
      <c r="M106" s="57"/>
      <c r="N106" s="45">
        <f t="shared" si="24"/>
        <v>3072</v>
      </c>
    </row>
    <row r="107" spans="1:15" ht="14.25" customHeight="1" x14ac:dyDescent="0.3">
      <c r="A107" s="38"/>
      <c r="B107" s="48"/>
      <c r="C107" s="49"/>
      <c r="D107" s="50"/>
      <c r="E107" s="51" t="s">
        <v>214</v>
      </c>
      <c r="F107" s="105" t="str">
        <f>IF($B107="","",IF(SUMIFS(CONFIG_PALLETS!$C:$C,CONFIG_PALLETS!$A:$A,TRIM($B107),CONFIG_PALLETS!$B:$B,$C107&amp;" ml")&gt;0,SUMIFS(CONFIG_PALLETS!$C:$C,CONFIG_PALLETS!$A:$A,TRIM($B107),CONFIG_PALLETS!$B:$B,$C107&amp;" ml"),IF(SUMIFS(CONFIG_PALLETS!$C:$C,CONFIG_PALLETS!$A:$A,"GERAL",CONFIG_PALLETS!$B:$B,$C107&amp;" ml")&gt;0,SUMIFS(CONFIG_PALLETS!$C:$C,CONFIG_PALLETS!$A:$A,"GERAL",CONFIG_PALLETS!$B:$B,$C107&amp;" ml"),"")))</f>
        <v/>
      </c>
      <c r="G107" s="52" t="str">
        <f>IFERROR(ROUNDUP(D107/F107,0),"")</f>
        <v/>
      </c>
      <c r="H107" s="53"/>
      <c r="I107" s="54" t="str">
        <f>IF(H107="","",H107*IF(SUMIFS(CONFIG_PALLETS!$D:$D,CONFIG_PALLETS!$A:$A,IF(ISNUMBER(SEARCH("ESPUMA",$B107)),"ESPUMA",IF(OR(ISNUMBER(SEARCH("OLEO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ml")&gt;0,SUMIFS(CONFIG_PALLETS!$D:$D,CONFIG_PALLETS!$A:$A,IF(ISNUMBER(SEARCH("ESPUMA",$B107)),"ESPUMA",IF(OR(ISNUMBER(SEARCH("OLEO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ml"),IF(SUMIFS(CONFIG_PALLETS!$D:$D,CONFIG_PALLETS!$A:$A,"GERAL",CONFIG_PALLETS!$B:$B,$C107&amp;" ml")&gt;0,SUMIFS(CONFIG_PALLETS!$D:$D,CONFIG_PALLETS!$A:$A,"GERAL",CONFIG_PALLETS!$B:$B,$C107&amp;" ml"),12)))</f>
        <v/>
      </c>
      <c r="J107" s="55" t="str">
        <f t="shared" si="22"/>
        <v/>
      </c>
      <c r="L107" s="56" t="str">
        <f t="shared" si="23"/>
        <v/>
      </c>
      <c r="N107" s="58" t="str">
        <f t="shared" si="24"/>
        <v/>
      </c>
    </row>
    <row r="108" spans="1:15" ht="14.25" customHeight="1" x14ac:dyDescent="0.3">
      <c r="A108" s="38"/>
      <c r="B108" s="93"/>
      <c r="C108" s="72"/>
      <c r="H108" s="57"/>
      <c r="I108" s="91"/>
      <c r="J108" t="str">
        <f t="shared" si="22"/>
        <v/>
      </c>
      <c r="L108" s="57" t="str">
        <f t="shared" si="23"/>
        <v/>
      </c>
      <c r="N108" s="91" t="str">
        <f t="shared" si="24"/>
        <v/>
      </c>
    </row>
    <row r="109" spans="1:15" ht="14.25" customHeight="1" x14ac:dyDescent="0.3">
      <c r="A109" s="38"/>
      <c r="B109" s="114" t="s">
        <v>216</v>
      </c>
      <c r="C109" s="115"/>
      <c r="D109" s="168">
        <f>SUM(D102:D108)</f>
        <v>1202</v>
      </c>
      <c r="E109" s="117"/>
      <c r="F109" s="118"/>
      <c r="G109" s="169">
        <f>SUM(G102:G108)</f>
        <v>7</v>
      </c>
      <c r="H109" s="168">
        <f>SUM(H102:H108)</f>
        <v>983</v>
      </c>
      <c r="I109" s="170">
        <f>SUM(I102:I108)</f>
        <v>11796</v>
      </c>
      <c r="J109" s="68">
        <f>SUM(D102:D108)</f>
        <v>1202</v>
      </c>
      <c r="K109" s="68">
        <f>SUM(G102:G108)</f>
        <v>7</v>
      </c>
      <c r="L109" s="94">
        <f>SUM(H102:H108)</f>
        <v>983</v>
      </c>
      <c r="M109" s="68">
        <f>SUM(I102:I108)</f>
        <v>11796</v>
      </c>
      <c r="N109" s="95">
        <f t="shared" si="24"/>
        <v>11796</v>
      </c>
      <c r="O109">
        <f>SUM(N103:N108)</f>
        <v>11796</v>
      </c>
    </row>
    <row r="110" spans="1:15" ht="14.25" customHeight="1" x14ac:dyDescent="0.3">
      <c r="B110" s="71"/>
      <c r="C110" s="72"/>
      <c r="J110" t="str">
        <f>IF(D110="","",ROUNDUP(D110/IF(AND(C110="600 ml",ISNUMBER(SEARCH("NORCAU",B110))),95,IF(AND(C110="600 ml",ISNUMBER(SEARCH("APURATOS",B110))),190,IF(C110="600 ml",95,IF(C110="400 ml",125,IF(C110="200 ml",330,IF(C110="180 ml",240,1)))))),0))</f>
        <v/>
      </c>
      <c r="L110" t="str">
        <f>IF(H110="","",H110)</f>
        <v/>
      </c>
      <c r="N110" t="str">
        <f t="shared" si="24"/>
        <v/>
      </c>
    </row>
    <row r="111" spans="1:15" ht="19.5" customHeight="1" x14ac:dyDescent="0.3">
      <c r="A111" s="30">
        <v>46073</v>
      </c>
      <c r="B111" s="31" t="s">
        <v>78</v>
      </c>
      <c r="C111" s="32" t="s">
        <v>205</v>
      </c>
      <c r="D111" s="33" t="s">
        <v>206</v>
      </c>
      <c r="E111" s="33" t="s">
        <v>207</v>
      </c>
      <c r="F111" s="34" t="s">
        <v>208</v>
      </c>
      <c r="G111" s="33" t="s">
        <v>209</v>
      </c>
      <c r="H111" s="33" t="s">
        <v>210</v>
      </c>
      <c r="I111" s="35" t="s">
        <v>211</v>
      </c>
      <c r="J111" s="36"/>
      <c r="K111" s="36"/>
      <c r="L111" s="37"/>
      <c r="M111" s="36"/>
      <c r="N111" s="37"/>
    </row>
    <row r="112" spans="1:15" ht="14.25" customHeight="1" x14ac:dyDescent="0.3">
      <c r="A112" s="38"/>
      <c r="B112" s="39"/>
      <c r="C112" s="40"/>
      <c r="D112" s="41"/>
      <c r="E112" s="42"/>
      <c r="G112" s="43"/>
      <c r="H112" s="44"/>
      <c r="I112" s="45"/>
      <c r="J112" s="46" t="str">
        <f t="shared" ref="J112:J117" si="25">IF(D112="","",ROUNDUP(D112/IF(AND(C112="600 ml",ISNUMBER(SEARCH("NORCAU",B112))),95,IF(AND(C112="600 ml",ISNUMBER(SEARCH("APURATOS",B112))),190,IF(C112="600 ml",95,IF(C112="400 ml",125,IF(C112="200 ml",330,IF(C112="180 ml",240,1)))))),0))</f>
        <v/>
      </c>
      <c r="L112" s="44" t="str">
        <f t="shared" ref="L112:L117" si="26">IF(H112="","",H112)</f>
        <v/>
      </c>
      <c r="N112" s="45" t="str">
        <f t="shared" ref="N112:N119" si="27">IF(I112="","",I112)</f>
        <v/>
      </c>
    </row>
    <row r="113" spans="1:15" ht="14.25" customHeight="1" x14ac:dyDescent="0.3">
      <c r="A113" s="613" t="s">
        <v>326</v>
      </c>
      <c r="B113" s="48" t="s">
        <v>54</v>
      </c>
      <c r="C113" s="49">
        <v>180</v>
      </c>
      <c r="D113" s="50">
        <f>D106-L106</f>
        <v>224</v>
      </c>
      <c r="E113" s="51" t="s">
        <v>214</v>
      </c>
      <c r="F113">
        <f>IF($B113="","",IF(SUMIFS(CONFIG_PALLETS!$C:$C,CONFIG_PALLETS!$A:$A,TRIM($B113),CONFIG_PALLETS!$B:$B,$C113&amp;" ml")&gt;0,SUMIFS(CONFIG_PALLETS!$C:$C,CONFIG_PALLETS!$A:$A,TRIM($B113),CONFIG_PALLETS!$B:$B,$C113&amp;" ml"),IF(SUMIFS(CONFIG_PALLETS!$C:$C,CONFIG_PALLETS!$A:$A,"GERAL",CONFIG_PALLETS!$B:$B,$C113&amp;" ml")&gt;0,SUMIFS(CONFIG_PALLETS!$C:$C,CONFIG_PALLETS!$A:$A,"GERAL",CONFIG_PALLETS!$B:$B,$C113&amp;" ml"),"")))</f>
        <v>240</v>
      </c>
      <c r="G113" s="52">
        <f>IFERROR(ROUNDUP(D113/F113,0),"")</f>
        <v>1</v>
      </c>
      <c r="H113" s="53">
        <v>226</v>
      </c>
      <c r="I113" s="54">
        <f>IF(H113="","",H113*IF(SUMIFS(CONFIG_PALLETS!$D:$D,CONFIG_PALLETS!$A:$A,IF(ISNUMBER(SEARCH("ESPUMA",$B113)),"ESPUMA",IF(OR(ISNUMBER(SEARCH("OLEO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ml")&gt;0,SUMIFS(CONFIG_PALLETS!$D:$D,CONFIG_PALLETS!$A:$A,IF(ISNUMBER(SEARCH("ESPUMA",$B113)),"ESPUMA",IF(OR(ISNUMBER(SEARCH("OLEO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ml"),IF(SUMIFS(CONFIG_PALLETS!$D:$D,CONFIG_PALLETS!$A:$A,"GERAL",CONFIG_PALLETS!$B:$B,$C113&amp;" ml")&gt;0,SUMIFS(CONFIG_PALLETS!$D:$D,CONFIG_PALLETS!$A:$A,"GERAL",CONFIG_PALLETS!$B:$B,$C113&amp;" ml"),12)))</f>
        <v>2712</v>
      </c>
      <c r="J113" s="55">
        <f t="shared" si="25"/>
        <v>224</v>
      </c>
      <c r="L113" s="56">
        <f t="shared" si="26"/>
        <v>226</v>
      </c>
      <c r="M113" s="57"/>
      <c r="N113" s="58">
        <f t="shared" si="27"/>
        <v>2712</v>
      </c>
    </row>
    <row r="114" spans="1:15" ht="14.25" customHeight="1" x14ac:dyDescent="0.3">
      <c r="A114" s="613"/>
      <c r="B114" s="39" t="s">
        <v>327</v>
      </c>
      <c r="C114" s="40">
        <v>100</v>
      </c>
      <c r="D114" s="41">
        <v>720</v>
      </c>
      <c r="E114" s="42" t="s">
        <v>214</v>
      </c>
      <c r="F114">
        <f>IF($B114="","",IF(SUMIFS(CONFIG_PALLETS!$C:$C,CONFIG_PALLETS!$A:$A,TRIM($B114),CONFIG_PALLETS!$B:$B,$C114&amp;" ml")&gt;0,SUMIFS(CONFIG_PALLETS!$C:$C,CONFIG_PALLETS!$A:$A,TRIM($B114),CONFIG_PALLETS!$B:$B,$C114&amp;" ml"),IF(SUMIFS(CONFIG_PALLETS!$C:$C,CONFIG_PALLETS!$A:$A,"GERAL",CONFIG_PALLETS!$B:$B,$C114&amp;" ml")&gt;0,SUMIFS(CONFIG_PALLETS!$C:$C,CONFIG_PALLETS!$A:$A,"GERAL",CONFIG_PALLETS!$B:$B,$C114&amp;" ml"),"")))</f>
        <v>240</v>
      </c>
      <c r="G114" s="59">
        <f>IFERROR(ROUNDUP(D114/F114,0),"")</f>
        <v>3</v>
      </c>
      <c r="H114" s="44">
        <v>721</v>
      </c>
      <c r="I114" s="45">
        <f>IF(H114="","",H114*IF(SUMIFS(CONFIG_PALLETS!$D:$D,CONFIG_PALLETS!$A:$A,IF(ISNUMBER(SEARCH("ESPUMA",$B114)),"ESPUMA",IF(OR(ISNUMBER(SEARCH("OLEO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ml")&gt;0,SUMIFS(CONFIG_PALLETS!$D:$D,CONFIG_PALLETS!$A:$A,IF(ISNUMBER(SEARCH("ESPUMA",$B114)),"ESPUMA",IF(OR(ISNUMBER(SEARCH("OLEO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ml"),IF(SUMIFS(CONFIG_PALLETS!$D:$D,CONFIG_PALLETS!$A:$A,"GERAL",CONFIG_PALLETS!$B:$B,$C114&amp;" ml")&gt;0,SUMIFS(CONFIG_PALLETS!$D:$D,CONFIG_PALLETS!$A:$A,"GERAL",CONFIG_PALLETS!$B:$B,$C114&amp;" ml"),12)))</f>
        <v>8652</v>
      </c>
      <c r="J114" s="46">
        <f t="shared" si="25"/>
        <v>720</v>
      </c>
      <c r="L114" s="44">
        <f t="shared" si="26"/>
        <v>721</v>
      </c>
      <c r="M114" s="57"/>
      <c r="N114" s="45">
        <f t="shared" si="27"/>
        <v>8652</v>
      </c>
    </row>
    <row r="115" spans="1:15" ht="14.25" customHeight="1" x14ac:dyDescent="0.3">
      <c r="A115" s="38"/>
      <c r="B115" s="48" t="s">
        <v>328</v>
      </c>
      <c r="C115" s="49">
        <v>100</v>
      </c>
      <c r="D115" s="50">
        <v>720</v>
      </c>
      <c r="E115" s="51" t="s">
        <v>214</v>
      </c>
      <c r="F115">
        <f>IF($B115="","",IF(SUMIFS(CONFIG_PALLETS!$C:$C,CONFIG_PALLETS!$A:$A,TRIM($B115),CONFIG_PALLETS!$B:$B,$C115&amp;" ml")&gt;0,SUMIFS(CONFIG_PALLETS!$C:$C,CONFIG_PALLETS!$A:$A,TRIM($B115),CONFIG_PALLETS!$B:$B,$C115&amp;" ml"),IF(SUMIFS(CONFIG_PALLETS!$C:$C,CONFIG_PALLETS!$A:$A,"GERAL",CONFIG_PALLETS!$B:$B,$C115&amp;" ml")&gt;0,SUMIFS(CONFIG_PALLETS!$C:$C,CONFIG_PALLETS!$A:$A,"GERAL",CONFIG_PALLETS!$B:$B,$C115&amp;" ml"),"")))</f>
        <v>240</v>
      </c>
      <c r="G115" s="52">
        <f>IFERROR(ROUNDUP(D115/F115,0),"")</f>
        <v>3</v>
      </c>
      <c r="H115" s="53">
        <v>150</v>
      </c>
      <c r="I115" s="54">
        <f>IF(H115="","",H115*IF(SUMIFS(CONFIG_PALLETS!$D:$D,CONFIG_PALLETS!$A:$A,IF(ISNUMBER(SEARCH("ESPUMA",$B115)),"ESPUMA",IF(OR(ISNUMBER(SEARCH("OLEO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ml")&gt;0,SUMIFS(CONFIG_PALLETS!$D:$D,CONFIG_PALLETS!$A:$A,IF(ISNUMBER(SEARCH("ESPUMA",$B115)),"ESPUMA",IF(OR(ISNUMBER(SEARCH("OLEO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ml"),IF(SUMIFS(CONFIG_PALLETS!$D:$D,CONFIG_PALLETS!$A:$A,"GERAL",CONFIG_PALLETS!$B:$B,$C115&amp;" ml")&gt;0,SUMIFS(CONFIG_PALLETS!$D:$D,CONFIG_PALLETS!$A:$A,"GERAL",CONFIG_PALLETS!$B:$B,$C115&amp;" ml"),12)))</f>
        <v>1800</v>
      </c>
      <c r="J115" s="55">
        <f t="shared" si="25"/>
        <v>720</v>
      </c>
      <c r="L115" s="56">
        <f t="shared" si="26"/>
        <v>150</v>
      </c>
      <c r="N115" s="58">
        <f t="shared" si="27"/>
        <v>1800</v>
      </c>
    </row>
    <row r="116" spans="1:15" ht="14.25" customHeight="1" x14ac:dyDescent="0.3">
      <c r="A116" s="38"/>
      <c r="B116" s="39"/>
      <c r="C116" s="40"/>
      <c r="D116" s="41"/>
      <c r="E116" s="42" t="s">
        <v>214</v>
      </c>
      <c r="F116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59" t="str">
        <f>IFERROR(ROUNDUP(D116/F116,0),"")</f>
        <v/>
      </c>
      <c r="H116" s="44"/>
      <c r="I116" s="45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  <c r="J116" s="46" t="str">
        <f t="shared" si="25"/>
        <v/>
      </c>
      <c r="L116" s="44" t="str">
        <f t="shared" si="26"/>
        <v/>
      </c>
      <c r="N116" s="45" t="str">
        <f t="shared" si="27"/>
        <v/>
      </c>
    </row>
    <row r="117" spans="1:15" ht="14.25" customHeight="1" x14ac:dyDescent="0.3">
      <c r="A117" s="38"/>
      <c r="B117" s="48"/>
      <c r="C117" s="49"/>
      <c r="D117" s="50"/>
      <c r="E117" s="51"/>
      <c r="G117" s="96"/>
      <c r="H117" s="53"/>
      <c r="I117" s="54"/>
      <c r="J117" s="55" t="str">
        <f t="shared" si="25"/>
        <v/>
      </c>
      <c r="L117" s="56" t="str">
        <f t="shared" si="26"/>
        <v/>
      </c>
      <c r="N117" s="58" t="str">
        <f t="shared" si="27"/>
        <v/>
      </c>
    </row>
    <row r="118" spans="1:15" ht="14.25" customHeight="1" x14ac:dyDescent="0.3">
      <c r="A118" s="38"/>
      <c r="B118" s="60" t="s">
        <v>216</v>
      </c>
      <c r="C118" s="61"/>
      <c r="D118" s="62">
        <f>SUM(D111:D117)</f>
        <v>1664</v>
      </c>
      <c r="E118" s="63"/>
      <c r="F118" s="64"/>
      <c r="G118" s="65">
        <f>SUM(G111:G117)</f>
        <v>7</v>
      </c>
      <c r="H118" s="62">
        <f>SUM(H111:H117)</f>
        <v>1097</v>
      </c>
      <c r="I118" s="66">
        <f>SUM(I111:I117)</f>
        <v>13164</v>
      </c>
      <c r="J118" s="68">
        <f>SUM(D112:D117)</f>
        <v>1664</v>
      </c>
      <c r="K118" s="68">
        <f>SUM(G112:G117)</f>
        <v>7</v>
      </c>
      <c r="L118" s="94">
        <f>SUM(H112:H117)</f>
        <v>1097</v>
      </c>
      <c r="M118" s="68">
        <f>SUM(I112:I117)</f>
        <v>13164</v>
      </c>
      <c r="N118" s="95">
        <f t="shared" si="27"/>
        <v>13164</v>
      </c>
      <c r="O118">
        <f>SUM(N113:N117)</f>
        <v>13164</v>
      </c>
    </row>
    <row r="119" spans="1:15" ht="14.25" customHeight="1" x14ac:dyDescent="0.3">
      <c r="B119" s="71"/>
      <c r="C119" s="72"/>
      <c r="J119" t="str">
        <f>IF(D119="","",ROUNDUP(D119/IF(AND(C119="600 ml",ISNUMBER(SEARCH("NORCAU",B119))),95,IF(AND(C119="600 ml",ISNUMBER(SEARCH("APURATOS",B119))),190,IF(C119="600 ml",95,IF(C119="400 ml",125,IF(C119="200 ml",330,IF(C119="180 ml",240,1)))))),0))</f>
        <v/>
      </c>
      <c r="L119" t="str">
        <f>IF(H119="","",H119)</f>
        <v/>
      </c>
      <c r="N119" t="str">
        <f t="shared" si="27"/>
        <v/>
      </c>
    </row>
    <row r="120" spans="1:15" ht="19.5" customHeight="1" x14ac:dyDescent="0.3">
      <c r="A120" s="30">
        <v>46076</v>
      </c>
      <c r="B120" s="31" t="s">
        <v>78</v>
      </c>
      <c r="C120" s="32" t="s">
        <v>205</v>
      </c>
      <c r="D120" s="33" t="s">
        <v>206</v>
      </c>
      <c r="E120" s="33" t="s">
        <v>207</v>
      </c>
      <c r="F120" s="34" t="s">
        <v>208</v>
      </c>
      <c r="G120" s="33" t="s">
        <v>209</v>
      </c>
      <c r="H120" s="33" t="s">
        <v>210</v>
      </c>
      <c r="I120" s="35" t="s">
        <v>211</v>
      </c>
      <c r="J120" s="36"/>
      <c r="K120" s="36"/>
      <c r="L120" s="37"/>
      <c r="M120" s="36"/>
      <c r="N120" s="37"/>
    </row>
    <row r="121" spans="1:15" ht="14.25" customHeight="1" x14ac:dyDescent="0.3">
      <c r="A121" s="38"/>
      <c r="B121" s="97"/>
      <c r="C121" s="98"/>
      <c r="D121" s="99"/>
      <c r="E121" s="100"/>
      <c r="G121" s="101"/>
      <c r="H121" s="102"/>
      <c r="I121" s="103"/>
      <c r="J121" s="55" t="str">
        <f>IF(D121="","",ROUNDUP(D121/IF(AND(C121="600 ml",ISNUMBER(SEARCH("NORCAU",B121))),95,IF(AND(C121="600 ml",ISNUMBER(SEARCH("APURATOS",B121))),190,IF(C121="600 ml",95,IF(C121="400 ml",125,IF(C121="200 ml",330,IF(C121="180 ml",240,1)))))),0))</f>
        <v/>
      </c>
      <c r="L121" s="56" t="str">
        <f>IF(H121="","",H121)</f>
        <v/>
      </c>
      <c r="N121" s="58" t="str">
        <f t="shared" ref="N121:N127" si="28">IF(I121="","",I121)</f>
        <v/>
      </c>
    </row>
    <row r="122" spans="1:15" ht="14.25" customHeight="1" x14ac:dyDescent="0.3">
      <c r="A122" s="613" t="s">
        <v>326</v>
      </c>
      <c r="B122" s="48" t="s">
        <v>328</v>
      </c>
      <c r="C122" s="49">
        <v>100</v>
      </c>
      <c r="D122" s="50">
        <f>D115-L115</f>
        <v>570</v>
      </c>
      <c r="E122" s="51" t="s">
        <v>214</v>
      </c>
      <c r="F122">
        <f>IF($B122="","",IF(SUMIFS(CONFIG_PALLETS!$C:$C,CONFIG_PALLETS!$A:$A,TRIM($B122),CONFIG_PALLETS!$B:$B,$C122&amp;" ml")&gt;0,SUMIFS(CONFIG_PALLETS!$C:$C,CONFIG_PALLETS!$A:$A,TRIM($B122),CONFIG_PALLETS!$B:$B,$C122&amp;" ml"),IF(SUMIFS(CONFIG_PALLETS!$C:$C,CONFIG_PALLETS!$A:$A,"GERAL",CONFIG_PALLETS!$B:$B,$C122&amp;" ml")&gt;0,SUMIFS(CONFIG_PALLETS!$C:$C,CONFIG_PALLETS!$A:$A,"GERAL",CONFIG_PALLETS!$B:$B,$C122&amp;" ml"),"")))</f>
        <v>240</v>
      </c>
      <c r="G122" s="52">
        <f>IFERROR(ROUNDUP(D122/F122,0),"")</f>
        <v>3</v>
      </c>
      <c r="H122" s="53">
        <v>332</v>
      </c>
      <c r="I122" s="54">
        <f>IF(H122="","",H122*IF(SUMIFS(CONFIG_PALLETS!$D:$D,CONFIG_PALLETS!$A:$A,IF(ISNUMBER(SEARCH("ESPUMA",$B122)),"ESPUMA",IF(OR(ISNUMBER(SEARCH("OLEO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ml")&gt;0,SUMIFS(CONFIG_PALLETS!$D:$D,CONFIG_PALLETS!$A:$A,IF(ISNUMBER(SEARCH("ESPUMA",$B122)),"ESPUMA",IF(OR(ISNUMBER(SEARCH("OLEO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ml"),IF(SUMIFS(CONFIG_PALLETS!$D:$D,CONFIG_PALLETS!$A:$A,"GERAL",CONFIG_PALLETS!$B:$B,$C122&amp;" ml")&gt;0,SUMIFS(CONFIG_PALLETS!$D:$D,CONFIG_PALLETS!$A:$A,"GERAL",CONFIG_PALLETS!$B:$B,$C122&amp;" ml"),12)))</f>
        <v>3984</v>
      </c>
      <c r="J122" s="46">
        <f>IF(D122="","",ROUNDUP(D122/IF(AND(C122="600 ml",ISNUMBER(SEARCH("NORCAU",B122))),95,IF(AND(C122="600 ml",ISNUMBER(SEARCH("APURATOS",B122))),190,IF(C122="600 ml",95,IF(C122="400 ml",125,IF(C122="200 ml",330,IF(C122="180 ml",240,1)))))),0))</f>
        <v>570</v>
      </c>
      <c r="L122" s="44">
        <f>IF(H122="","",H122)</f>
        <v>332</v>
      </c>
      <c r="M122" s="57"/>
      <c r="N122" s="45">
        <f t="shared" si="28"/>
        <v>3984</v>
      </c>
    </row>
    <row r="123" spans="1:15" ht="14.25" customHeight="1" x14ac:dyDescent="0.3">
      <c r="A123" s="613"/>
      <c r="B123" s="97" t="s">
        <v>329</v>
      </c>
      <c r="C123" s="98">
        <v>100</v>
      </c>
      <c r="D123" s="99">
        <v>502</v>
      </c>
      <c r="E123" s="100" t="s">
        <v>214</v>
      </c>
      <c r="F123">
        <f>IF($B123="","",IF(SUMIFS(CONFIG_PALLETS!$C:$C,CONFIG_PALLETS!$A:$A,TRIM($B123),CONFIG_PALLETS!$B:$B,$C123&amp;" ml")&gt;0,SUMIFS(CONFIG_PALLETS!$C:$C,CONFIG_PALLETS!$A:$A,TRIM($B123),CONFIG_PALLETS!$B:$B,$C123&amp;" ml"),IF(SUMIFS(CONFIG_PALLETS!$C:$C,CONFIG_PALLETS!$A:$A,"GERAL",CONFIG_PALLETS!$B:$B,$C123&amp;" ml")&gt;0,SUMIFS(CONFIG_PALLETS!$C:$C,CONFIG_PALLETS!$A:$A,"GERAL",CONFIG_PALLETS!$B:$B,$C123&amp;" ml"),"")))</f>
        <v>240</v>
      </c>
      <c r="G123" s="104">
        <f>IFERROR(ROUNDUP(D123/F123,0),"")</f>
        <v>3</v>
      </c>
      <c r="H123" s="102">
        <v>502</v>
      </c>
      <c r="I123" s="103">
        <f>IF(H123="","",H123*IF(SUMIFS(CONFIG_PALLETS!$D:$D,CONFIG_PALLETS!$A:$A,IF(ISNUMBER(SEARCH("ESPUMA",$B123)),"ESPUMA",IF(OR(ISNUMBER(SEARCH("OLEO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ml")&gt;0,SUMIFS(CONFIG_PALLETS!$D:$D,CONFIG_PALLETS!$A:$A,IF(ISNUMBER(SEARCH("ESPUMA",$B123)),"ESPUMA",IF(OR(ISNUMBER(SEARCH("OLEO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ml"),IF(SUMIFS(CONFIG_PALLETS!$D:$D,CONFIG_PALLETS!$A:$A,"GERAL",CONFIG_PALLETS!$B:$B,$C123&amp;" ml")&gt;0,SUMIFS(CONFIG_PALLETS!$D:$D,CONFIG_PALLETS!$A:$A,"GERAL",CONFIG_PALLETS!$B:$B,$C123&amp;" ml"),12)))</f>
        <v>6024</v>
      </c>
      <c r="J123" s="55">
        <f>IF(D123="","",ROUNDUP(D123/IF(AND(C123="600 ml",ISNUMBER(SEARCH("NORCAU",B123))),95,IF(AND(C123="600 ml",ISNUMBER(SEARCH("APURATOS",B123))),190,IF(C123="600 ml",95,IF(C123="400 ml",125,IF(C123="200 ml",330,IF(C123="180 ml",240,1)))))),0))</f>
        <v>502</v>
      </c>
      <c r="L123" s="56">
        <f>IF(H123="","",H123)</f>
        <v>502</v>
      </c>
      <c r="M123" s="57"/>
      <c r="N123" s="58">
        <f t="shared" si="28"/>
        <v>6024</v>
      </c>
    </row>
    <row r="124" spans="1:15" ht="14.25" customHeight="1" x14ac:dyDescent="0.3">
      <c r="A124" s="38"/>
      <c r="B124" s="48" t="s">
        <v>330</v>
      </c>
      <c r="C124" s="49">
        <v>100</v>
      </c>
      <c r="D124" s="50">
        <v>580</v>
      </c>
      <c r="E124" s="51" t="s">
        <v>214</v>
      </c>
      <c r="F124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>240</v>
      </c>
      <c r="G124" s="52">
        <f>IFERROR(ROUNDUP(D124/F124,0),"")</f>
        <v>3</v>
      </c>
      <c r="H124" s="53">
        <v>490</v>
      </c>
      <c r="I124" s="54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>5880</v>
      </c>
      <c r="J124" s="46">
        <f>IF(D124="","",ROUNDUP(D124/IF(AND(C124="600 ml",ISNUMBER(SEARCH("NORCAU",B124))),95,IF(AND(C124="600 ml",ISNUMBER(SEARCH("APURATOS",B124))),190,IF(C124="600 ml",95,IF(C124="400 ml",125,IF(C124="200 ml",330,IF(C124="180 ml",240,1)))))),0))</f>
        <v>580</v>
      </c>
      <c r="L124" s="44">
        <f>IF(H124="","",H124)</f>
        <v>490</v>
      </c>
      <c r="N124" s="45">
        <f t="shared" si="28"/>
        <v>5880</v>
      </c>
    </row>
    <row r="125" spans="1:15" ht="14.25" customHeight="1" x14ac:dyDescent="0.3">
      <c r="A125" s="38"/>
      <c r="B125" s="97"/>
      <c r="C125" s="98"/>
      <c r="D125" s="99"/>
      <c r="E125" s="100"/>
      <c r="G125" s="101"/>
      <c r="H125" s="102"/>
      <c r="I125" s="103"/>
      <c r="J125" s="55" t="str">
        <f>IF(D125="","",ROUNDUP(D125/IF(AND(C125="600 ml",ISNUMBER(SEARCH("NORCAU",B125))),95,IF(AND(C125="600 ml",ISNUMBER(SEARCH("APURATOS",B125))),190,IF(C125="600 ml",95,IF(C125="400 ml",125,IF(C125="200 ml",330,IF(C125="180 ml",240,1)))))),0))</f>
        <v/>
      </c>
      <c r="L125" s="56" t="str">
        <f>IF(H125="","",H125)</f>
        <v/>
      </c>
      <c r="N125" s="58" t="str">
        <f t="shared" si="28"/>
        <v/>
      </c>
    </row>
    <row r="126" spans="1:15" ht="14.25" customHeight="1" x14ac:dyDescent="0.3">
      <c r="A126" s="38"/>
      <c r="B126" s="60" t="s">
        <v>216</v>
      </c>
      <c r="C126" s="61"/>
      <c r="D126" s="62">
        <f>SUM(D119:D125)</f>
        <v>1652</v>
      </c>
      <c r="E126" s="63"/>
      <c r="F126" s="64"/>
      <c r="G126" s="65">
        <f>SUM(G119:G125)</f>
        <v>9</v>
      </c>
      <c r="H126" s="62">
        <f>SUM(H119:H125)</f>
        <v>1324</v>
      </c>
      <c r="I126" s="66">
        <f>SUM(I119:I125)</f>
        <v>15888</v>
      </c>
      <c r="J126" s="125">
        <f>SUM(D121:D125)</f>
        <v>1652</v>
      </c>
      <c r="K126" s="68">
        <f>SUM(G121:G125)</f>
        <v>9</v>
      </c>
      <c r="L126" s="126">
        <f>SUM(H121:H125)</f>
        <v>1324</v>
      </c>
      <c r="M126" s="68">
        <f>SUM(I121:I125)</f>
        <v>15888</v>
      </c>
      <c r="N126" s="127">
        <f t="shared" si="28"/>
        <v>15888</v>
      </c>
      <c r="O126">
        <f>SUM(N122:N125)</f>
        <v>15888</v>
      </c>
    </row>
    <row r="127" spans="1:15" ht="14.25" customHeight="1" x14ac:dyDescent="0.3">
      <c r="B127" s="71"/>
      <c r="C127" s="72"/>
      <c r="J127" t="str">
        <f>IF(D127="","",ROUNDUP(D127/IF(AND(C127="600 ml",ISNUMBER(SEARCH("NORCAU",B127))),95,IF(AND(C127="600 ml",ISNUMBER(SEARCH("APURATOS",B127))),190,IF(C127="600 ml",95,IF(C127="400 ml",125,IF(C127="200 ml",330,IF(C127="180 ml",240,1)))))),0))</f>
        <v/>
      </c>
      <c r="L127" t="str">
        <f>IF(H127="","",H127)</f>
        <v/>
      </c>
      <c r="N127" t="str">
        <f t="shared" si="28"/>
        <v/>
      </c>
    </row>
    <row r="128" spans="1:15" ht="19.5" customHeight="1" x14ac:dyDescent="0.3">
      <c r="A128" s="30">
        <v>46077</v>
      </c>
      <c r="B128" s="31" t="s">
        <v>78</v>
      </c>
      <c r="C128" s="32" t="s">
        <v>205</v>
      </c>
      <c r="D128" s="33" t="s">
        <v>206</v>
      </c>
      <c r="E128" s="33" t="s">
        <v>207</v>
      </c>
      <c r="F128" s="34" t="s">
        <v>208</v>
      </c>
      <c r="G128" s="33" t="s">
        <v>209</v>
      </c>
      <c r="H128" s="33" t="s">
        <v>210</v>
      </c>
      <c r="I128" s="35" t="s">
        <v>211</v>
      </c>
      <c r="J128" s="36"/>
      <c r="K128" s="36"/>
      <c r="L128" s="37"/>
      <c r="M128" s="36"/>
      <c r="N128" s="37"/>
    </row>
    <row r="129" spans="1:15" ht="14.25" customHeight="1" x14ac:dyDescent="0.3">
      <c r="A129" s="38"/>
      <c r="B129" s="97"/>
      <c r="C129" s="98"/>
      <c r="D129" s="99"/>
      <c r="E129" s="100"/>
      <c r="G129" s="101"/>
      <c r="H129" s="102"/>
      <c r="I129" s="103"/>
      <c r="J129" s="55" t="str">
        <f t="shared" ref="J129:J134" si="29">IF(D129="","",ROUNDUP(D129/IF(AND(C129="600 ml",ISNUMBER(SEARCH("NORCAU",B129))),95,IF(AND(C129="600 ml",ISNUMBER(SEARCH("APURATOS",B129))),190,IF(C129="600 ml",95,IF(C129="400 ml",125,IF(C129="200 ml",330,IF(C129="180 ml",240,1)))))),0))</f>
        <v/>
      </c>
      <c r="L129" s="56" t="str">
        <f t="shared" ref="L129:L134" si="30">IF(H129="","",H129)</f>
        <v/>
      </c>
      <c r="N129" s="58" t="str">
        <f t="shared" ref="N129:N136" si="31">IF(I129="","",I129)</f>
        <v/>
      </c>
    </row>
    <row r="130" spans="1:15" ht="14.25" customHeight="1" x14ac:dyDescent="0.3">
      <c r="A130" s="613" t="s">
        <v>326</v>
      </c>
      <c r="B130" s="48" t="s">
        <v>330</v>
      </c>
      <c r="C130" s="49">
        <v>100</v>
      </c>
      <c r="D130" s="50">
        <f>D124-L124</f>
        <v>90</v>
      </c>
      <c r="E130" s="51" t="s">
        <v>214</v>
      </c>
      <c r="F130">
        <f>IF($B130="","",IF(SUMIFS(CONFIG_PALLETS!$C:$C,CONFIG_PALLETS!$A:$A,TRIM($B130),CONFIG_PALLETS!$B:$B,$C130&amp;" ml")&gt;0,SUMIFS(CONFIG_PALLETS!$C:$C,CONFIG_PALLETS!$A:$A,TRIM($B130),CONFIG_PALLETS!$B:$B,$C130&amp;" ml"),IF(SUMIFS(CONFIG_PALLETS!$C:$C,CONFIG_PALLETS!$A:$A,"GERAL",CONFIG_PALLETS!$B:$B,$C130&amp;" ml")&gt;0,SUMIFS(CONFIG_PALLETS!$C:$C,CONFIG_PALLETS!$A:$A,"GERAL",CONFIG_PALLETS!$B:$B,$C130&amp;" ml"),"")))</f>
        <v>240</v>
      </c>
      <c r="G130" s="52">
        <f>IFERROR(ROUNDUP(D130/F130,0),"")</f>
        <v>1</v>
      </c>
      <c r="H130" s="53">
        <v>97</v>
      </c>
      <c r="I130" s="54">
        <f>IF(H130="","",H130*IF(SUMIFS(CONFIG_PALLETS!$D:$D,CONFIG_PALLETS!$A:$A,IF(ISNUMBER(SEARCH("ESPUMA",$B130)),"ESPUMA",IF(OR(ISNUMBER(SEARCH("OLEO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ml")&gt;0,SUMIFS(CONFIG_PALLETS!$D:$D,CONFIG_PALLETS!$A:$A,IF(ISNUMBER(SEARCH("ESPUMA",$B130)),"ESPUMA",IF(OR(ISNUMBER(SEARCH("OLEO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ml"),IF(SUMIFS(CONFIG_PALLETS!$D:$D,CONFIG_PALLETS!$A:$A,"GERAL",CONFIG_PALLETS!$B:$B,$C130&amp;" ml")&gt;0,SUMIFS(CONFIG_PALLETS!$D:$D,CONFIG_PALLETS!$A:$A,"GERAL",CONFIG_PALLETS!$B:$B,$C130&amp;" ml"),12)))</f>
        <v>1164</v>
      </c>
      <c r="J130" s="46">
        <f t="shared" si="29"/>
        <v>90</v>
      </c>
      <c r="L130" s="44">
        <f t="shared" si="30"/>
        <v>97</v>
      </c>
      <c r="M130" s="57"/>
      <c r="N130" s="45">
        <f t="shared" si="31"/>
        <v>1164</v>
      </c>
    </row>
    <row r="131" spans="1:15" ht="14.25" customHeight="1" x14ac:dyDescent="0.3">
      <c r="A131" s="613"/>
      <c r="B131" s="97" t="s">
        <v>331</v>
      </c>
      <c r="C131" s="98">
        <v>100</v>
      </c>
      <c r="D131" s="99">
        <v>500</v>
      </c>
      <c r="E131" s="100" t="s">
        <v>214</v>
      </c>
      <c r="F131">
        <f>IF($B131="","",IF(SUMIFS(CONFIG_PALLETS!$C:$C,CONFIG_PALLETS!$A:$A,TRIM($B131),CONFIG_PALLETS!$B:$B,$C131&amp;" ml")&gt;0,SUMIFS(CONFIG_PALLETS!$C:$C,CONFIG_PALLETS!$A:$A,TRIM($B131),CONFIG_PALLETS!$B:$B,$C131&amp;" ml"),IF(SUMIFS(CONFIG_PALLETS!$C:$C,CONFIG_PALLETS!$A:$A,"GERAL",CONFIG_PALLETS!$B:$B,$C131&amp;" ml")&gt;0,SUMIFS(CONFIG_PALLETS!$C:$C,CONFIG_PALLETS!$A:$A,"GERAL",CONFIG_PALLETS!$B:$B,$C131&amp;" ml"),"")))</f>
        <v>240</v>
      </c>
      <c r="G131" s="104">
        <f>IFERROR(ROUNDUP(D131/F131,0),"")</f>
        <v>3</v>
      </c>
      <c r="H131" s="102">
        <v>505</v>
      </c>
      <c r="I131" s="103">
        <f>IF(H131="","",H131*IF(SUMIFS(CONFIG_PALLETS!$D:$D,CONFIG_PALLETS!$A:$A,IF(ISNUMBER(SEARCH("ESPUMA",$B131)),"ESPUMA",IF(OR(ISNUMBER(SEARCH("OLEO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ml")&gt;0,SUMIFS(CONFIG_PALLETS!$D:$D,CONFIG_PALLETS!$A:$A,IF(ISNUMBER(SEARCH("ESPUMA",$B131)),"ESPUMA",IF(OR(ISNUMBER(SEARCH("OLEO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ml"),IF(SUMIFS(CONFIG_PALLETS!$D:$D,CONFIG_PALLETS!$A:$A,"GERAL",CONFIG_PALLETS!$B:$B,$C131&amp;" ml")&gt;0,SUMIFS(CONFIG_PALLETS!$D:$D,CONFIG_PALLETS!$A:$A,"GERAL",CONFIG_PALLETS!$B:$B,$C131&amp;" ml"),12)))</f>
        <v>6060</v>
      </c>
      <c r="J131" s="55">
        <f t="shared" si="29"/>
        <v>500</v>
      </c>
      <c r="L131" s="56">
        <f t="shared" si="30"/>
        <v>505</v>
      </c>
      <c r="M131" s="57"/>
      <c r="N131" s="58">
        <f t="shared" si="31"/>
        <v>6060</v>
      </c>
    </row>
    <row r="132" spans="1:15" ht="14.25" customHeight="1" x14ac:dyDescent="0.3">
      <c r="A132" s="38"/>
      <c r="B132" s="48" t="s">
        <v>332</v>
      </c>
      <c r="C132" s="49">
        <v>100</v>
      </c>
      <c r="D132" s="50">
        <v>500</v>
      </c>
      <c r="E132" s="51" t="s">
        <v>214</v>
      </c>
      <c r="F132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>240</v>
      </c>
      <c r="G132" s="52">
        <f>IFERROR(ROUNDUP(D132/F132,0),"")</f>
        <v>3</v>
      </c>
      <c r="H132" s="53">
        <v>459</v>
      </c>
      <c r="I132" s="54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>5508</v>
      </c>
      <c r="J132" s="46">
        <f t="shared" si="29"/>
        <v>500</v>
      </c>
      <c r="L132" s="44">
        <f t="shared" si="30"/>
        <v>459</v>
      </c>
      <c r="N132" s="45">
        <f t="shared" si="31"/>
        <v>5508</v>
      </c>
    </row>
    <row r="133" spans="1:15" ht="14.25" customHeight="1" x14ac:dyDescent="0.3">
      <c r="A133" s="38"/>
      <c r="B133" s="97"/>
      <c r="C133" s="98"/>
      <c r="D133" s="99"/>
      <c r="E133" s="100" t="s">
        <v>214</v>
      </c>
      <c r="F133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104" t="str">
        <f>IFERROR(ROUNDUP(D133/F133,0),"")</f>
        <v/>
      </c>
      <c r="H133" s="102"/>
      <c r="I133" s="103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  <c r="J133" s="55" t="str">
        <f t="shared" si="29"/>
        <v/>
      </c>
      <c r="L133" s="56" t="str">
        <f t="shared" si="30"/>
        <v/>
      </c>
      <c r="N133" s="58" t="str">
        <f t="shared" si="31"/>
        <v/>
      </c>
    </row>
    <row r="134" spans="1:15" ht="14.25" customHeight="1" x14ac:dyDescent="0.3">
      <c r="A134" s="38"/>
      <c r="B134" s="48"/>
      <c r="C134" s="49"/>
      <c r="D134" s="50"/>
      <c r="E134" s="51"/>
      <c r="G134" s="96"/>
      <c r="H134" s="53"/>
      <c r="I134" s="54"/>
      <c r="J134" s="46" t="str">
        <f t="shared" si="29"/>
        <v/>
      </c>
      <c r="L134" s="44" t="str">
        <f t="shared" si="30"/>
        <v/>
      </c>
      <c r="N134" s="45" t="str">
        <f t="shared" si="31"/>
        <v/>
      </c>
    </row>
    <row r="135" spans="1:15" ht="14.25" customHeight="1" x14ac:dyDescent="0.3">
      <c r="A135" s="38"/>
      <c r="B135" s="60" t="s">
        <v>216</v>
      </c>
      <c r="C135" s="61"/>
      <c r="D135" s="62">
        <f>SUM(D128:D134)</f>
        <v>1090</v>
      </c>
      <c r="E135" s="63"/>
      <c r="F135" s="64"/>
      <c r="G135" s="65">
        <f>SUM(G128:G134)</f>
        <v>7</v>
      </c>
      <c r="H135" s="62">
        <f>SUM(H128:H134)</f>
        <v>1061</v>
      </c>
      <c r="I135" s="66">
        <f>SUM(I128:I134)</f>
        <v>12732</v>
      </c>
      <c r="J135" s="68">
        <f>SUM(D129:D134)</f>
        <v>1090</v>
      </c>
      <c r="K135" s="68">
        <f>SUM(G129:G134)</f>
        <v>7</v>
      </c>
      <c r="L135" s="94">
        <f>SUM(H129:H134)</f>
        <v>1061</v>
      </c>
      <c r="M135" s="68">
        <f>SUM(I129:I134)</f>
        <v>12732</v>
      </c>
      <c r="N135" s="95">
        <f t="shared" si="31"/>
        <v>12732</v>
      </c>
      <c r="O135">
        <f>SUM(N130:N134)</f>
        <v>12732</v>
      </c>
    </row>
    <row r="136" spans="1:15" ht="14.25" customHeight="1" x14ac:dyDescent="0.3">
      <c r="B136" s="71"/>
      <c r="C136" s="72"/>
      <c r="J136" t="str">
        <f>IF(D136="","",ROUNDUP(D136/IF(AND(C136="600 ml",ISNUMBER(SEARCH("NORCAU",B136))),95,IF(AND(C136="600 ml",ISNUMBER(SEARCH("APURATOS",B136))),190,IF(C136="600 ml",95,IF(C136="400 ml",125,IF(C136="200 ml",330,IF(C136="180 ml",240,1)))))),0))</f>
        <v/>
      </c>
      <c r="L136" t="str">
        <f>IF(H136="","",H136)</f>
        <v/>
      </c>
      <c r="N136" t="str">
        <f t="shared" si="31"/>
        <v/>
      </c>
    </row>
    <row r="137" spans="1:15" ht="19.5" customHeight="1" x14ac:dyDescent="0.3">
      <c r="A137" s="30">
        <v>46078</v>
      </c>
      <c r="B137" s="31" t="s">
        <v>78</v>
      </c>
      <c r="C137" s="32" t="s">
        <v>205</v>
      </c>
      <c r="D137" s="33" t="s">
        <v>206</v>
      </c>
      <c r="E137" s="33" t="s">
        <v>207</v>
      </c>
      <c r="F137" s="34" t="s">
        <v>208</v>
      </c>
      <c r="G137" s="33" t="s">
        <v>209</v>
      </c>
      <c r="H137" s="33" t="s">
        <v>210</v>
      </c>
      <c r="I137" s="35" t="s">
        <v>211</v>
      </c>
      <c r="J137" s="36"/>
      <c r="K137" s="36"/>
      <c r="L137" s="37"/>
      <c r="M137" s="36"/>
      <c r="N137" s="37"/>
    </row>
    <row r="138" spans="1:15" ht="14.25" customHeight="1" x14ac:dyDescent="0.3">
      <c r="A138" s="38"/>
      <c r="B138" s="39"/>
      <c r="C138" s="40"/>
      <c r="D138" s="41"/>
      <c r="E138" s="42"/>
      <c r="G138" s="43"/>
      <c r="H138" s="44"/>
      <c r="I138" s="45"/>
      <c r="J138" s="46" t="str">
        <f t="shared" ref="J138:J146" si="32">IF(D138="","",ROUNDUP(D138/IF(AND(C138="600 ml",ISNUMBER(SEARCH("NORCAU",B138))),95,IF(AND(C138="600 ml",ISNUMBER(SEARCH("APURATOS",B138))),190,IF(C138="600 ml",95,IF(C138="400 ml",125,IF(C138="200 ml",330,IF(C138="180 ml",240,1)))))),0))</f>
        <v/>
      </c>
      <c r="L138" s="44" t="str">
        <f t="shared" ref="L138:L146" si="33">IF(H138="","",H138)</f>
        <v/>
      </c>
      <c r="N138" s="45" t="str">
        <f t="shared" ref="N138:N148" si="34">IF(I138="","",I138)</f>
        <v/>
      </c>
    </row>
    <row r="139" spans="1:15" ht="14.25" customHeight="1" x14ac:dyDescent="0.3">
      <c r="A139" s="613" t="s">
        <v>333</v>
      </c>
      <c r="B139" s="48" t="s">
        <v>332</v>
      </c>
      <c r="C139" s="49">
        <v>100</v>
      </c>
      <c r="D139" s="50">
        <v>36</v>
      </c>
      <c r="E139" s="51" t="s">
        <v>214</v>
      </c>
      <c r="F139">
        <f>IF($B139="","",IF(SUMIFS(CONFIG_PALLETS!$C:$C,CONFIG_PALLETS!$A:$A,TRIM($B139),CONFIG_PALLETS!$B:$B,$C139&amp;" ml")&gt;0,SUMIFS(CONFIG_PALLETS!$C:$C,CONFIG_PALLETS!$A:$A,TRIM($B139),CONFIG_PALLETS!$B:$B,$C139&amp;" ml"),IF(SUMIFS(CONFIG_PALLETS!$C:$C,CONFIG_PALLETS!$A:$A,"GERAL",CONFIG_PALLETS!$B:$B,$C139&amp;" ml")&gt;0,SUMIFS(CONFIG_PALLETS!$C:$C,CONFIG_PALLETS!$A:$A,"GERAL",CONFIG_PALLETS!$B:$B,$C139&amp;" ml"),"")))</f>
        <v>240</v>
      </c>
      <c r="G139" s="52">
        <f t="shared" ref="G139:G145" si="35">IFERROR(ROUNDUP(D139/F139,0),"")</f>
        <v>1</v>
      </c>
      <c r="H139" s="53">
        <v>36</v>
      </c>
      <c r="I139" s="54">
        <f>IF(H139="","",H139*IF(SUMIFS(CONFIG_PALLETS!$D:$D,CONFIG_PALLETS!$A:$A,IF(ISNUMBER(SEARCH("ESPUMA",$B139)),"ESPUMA",IF(OR(ISNUMBER(SEARCH("OLEO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ml")&gt;0,SUMIFS(CONFIG_PALLETS!$D:$D,CONFIG_PALLETS!$A:$A,IF(ISNUMBER(SEARCH("ESPUMA",$B139)),"ESPUMA",IF(OR(ISNUMBER(SEARCH("OLEO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ml"),IF(SUMIFS(CONFIG_PALLETS!$D:$D,CONFIG_PALLETS!$A:$A,"GERAL",CONFIG_PALLETS!$B:$B,$C139&amp;" ml")&gt;0,SUMIFS(CONFIG_PALLETS!$D:$D,CONFIG_PALLETS!$A:$A,"GERAL",CONFIG_PALLETS!$B:$B,$C139&amp;" ml"),12)))</f>
        <v>432</v>
      </c>
      <c r="J139" s="55">
        <f t="shared" si="32"/>
        <v>36</v>
      </c>
      <c r="L139" s="56">
        <f t="shared" si="33"/>
        <v>36</v>
      </c>
      <c r="M139" s="57"/>
      <c r="N139" s="58">
        <f t="shared" si="34"/>
        <v>432</v>
      </c>
    </row>
    <row r="140" spans="1:15" ht="14.25" customHeight="1" x14ac:dyDescent="0.3">
      <c r="A140" s="613"/>
      <c r="B140" s="39" t="s">
        <v>334</v>
      </c>
      <c r="C140" s="40">
        <v>70</v>
      </c>
      <c r="D140" s="41">
        <v>240</v>
      </c>
      <c r="E140" s="42" t="s">
        <v>214</v>
      </c>
      <c r="F140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>240</v>
      </c>
      <c r="G140" s="59">
        <f t="shared" si="35"/>
        <v>1</v>
      </c>
      <c r="H140" s="44">
        <v>238</v>
      </c>
      <c r="I140" s="45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>2856</v>
      </c>
      <c r="J140" s="46">
        <f t="shared" si="32"/>
        <v>240</v>
      </c>
      <c r="L140" s="44">
        <f t="shared" si="33"/>
        <v>238</v>
      </c>
      <c r="M140" s="57"/>
      <c r="N140" s="45">
        <f t="shared" si="34"/>
        <v>2856</v>
      </c>
    </row>
    <row r="141" spans="1:15" ht="14.25" customHeight="1" x14ac:dyDescent="0.3">
      <c r="A141" s="38"/>
      <c r="B141" s="48" t="s">
        <v>335</v>
      </c>
      <c r="C141" s="49">
        <v>70</v>
      </c>
      <c r="D141" s="50">
        <v>120</v>
      </c>
      <c r="E141" s="51" t="s">
        <v>214</v>
      </c>
      <c r="F141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>240</v>
      </c>
      <c r="G141" s="52">
        <f t="shared" si="35"/>
        <v>1</v>
      </c>
      <c r="H141" s="53">
        <v>122</v>
      </c>
      <c r="I141" s="54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>1464</v>
      </c>
      <c r="J141" s="55">
        <f t="shared" si="32"/>
        <v>120</v>
      </c>
      <c r="L141" s="56">
        <f t="shared" si="33"/>
        <v>122</v>
      </c>
      <c r="N141" s="58">
        <f t="shared" si="34"/>
        <v>1464</v>
      </c>
    </row>
    <row r="142" spans="1:15" ht="14.25" customHeight="1" x14ac:dyDescent="0.3">
      <c r="A142" s="38"/>
      <c r="B142" s="39" t="s">
        <v>336</v>
      </c>
      <c r="C142" s="40">
        <v>70</v>
      </c>
      <c r="D142" s="41">
        <v>120</v>
      </c>
      <c r="E142" s="42" t="s">
        <v>214</v>
      </c>
      <c r="F142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>240</v>
      </c>
      <c r="G142" s="59">
        <f t="shared" si="35"/>
        <v>1</v>
      </c>
      <c r="H142" s="44">
        <v>122</v>
      </c>
      <c r="I142" s="45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>1464</v>
      </c>
      <c r="J142" s="46">
        <f t="shared" si="32"/>
        <v>120</v>
      </c>
      <c r="L142" s="44">
        <f t="shared" si="33"/>
        <v>122</v>
      </c>
      <c r="N142" s="45">
        <f t="shared" si="34"/>
        <v>1464</v>
      </c>
    </row>
    <row r="143" spans="1:15" ht="14.25" customHeight="1" x14ac:dyDescent="0.3">
      <c r="A143" s="38"/>
      <c r="B143" s="48" t="s">
        <v>337</v>
      </c>
      <c r="C143" s="49">
        <v>70</v>
      </c>
      <c r="D143" s="50">
        <v>120</v>
      </c>
      <c r="E143" s="51" t="s">
        <v>214</v>
      </c>
      <c r="F143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>240</v>
      </c>
      <c r="G143" s="52">
        <f t="shared" si="35"/>
        <v>1</v>
      </c>
      <c r="H143" s="53">
        <v>122</v>
      </c>
      <c r="I143" s="54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>1464</v>
      </c>
      <c r="J143" s="55">
        <f t="shared" si="32"/>
        <v>120</v>
      </c>
      <c r="L143" s="56">
        <f t="shared" si="33"/>
        <v>122</v>
      </c>
      <c r="N143" s="58">
        <f t="shared" si="34"/>
        <v>1464</v>
      </c>
    </row>
    <row r="144" spans="1:15" ht="14.25" customHeight="1" x14ac:dyDescent="0.3">
      <c r="A144" s="38"/>
      <c r="B144" s="93" t="s">
        <v>338</v>
      </c>
      <c r="C144" s="98">
        <v>70</v>
      </c>
      <c r="D144" s="128">
        <v>120</v>
      </c>
      <c r="E144" s="128" t="s">
        <v>214</v>
      </c>
      <c r="F144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>240</v>
      </c>
      <c r="G144" s="106">
        <f t="shared" si="35"/>
        <v>1</v>
      </c>
      <c r="H144" s="129">
        <v>121</v>
      </c>
      <c r="I144" s="130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>1452</v>
      </c>
      <c r="J144" s="131">
        <f t="shared" si="32"/>
        <v>120</v>
      </c>
      <c r="L144" s="129">
        <f t="shared" si="33"/>
        <v>121</v>
      </c>
      <c r="N144" s="130">
        <f t="shared" si="34"/>
        <v>1452</v>
      </c>
    </row>
    <row r="145" spans="1:15" ht="14.25" customHeight="1" x14ac:dyDescent="0.3">
      <c r="A145" s="38"/>
      <c r="B145" s="48"/>
      <c r="C145" s="49"/>
      <c r="D145" s="50"/>
      <c r="E145" s="51" t="s">
        <v>214</v>
      </c>
      <c r="F145" t="str">
        <f>IF($B145="","",IF(SUMIFS(CONFIG_PALLETS!$C:$C,CONFIG_PALLETS!$A:$A,TRIM($B145),CONFIG_PALLETS!$B:$B,$C145&amp;" ml")&gt;0,SUMIFS(CONFIG_PALLETS!$C:$C,CONFIG_PALLETS!$A:$A,TRIM($B145),CONFIG_PALLETS!$B:$B,$C145&amp;" ml"),IF(SUMIFS(CONFIG_PALLETS!$C:$C,CONFIG_PALLETS!$A:$A,"GERAL",CONFIG_PALLETS!$B:$B,$C145&amp;" ml")&gt;0,SUMIFS(CONFIG_PALLETS!$C:$C,CONFIG_PALLETS!$A:$A,"GERAL",CONFIG_PALLETS!$B:$B,$C145&amp;" ml"),"")))</f>
        <v/>
      </c>
      <c r="G145" s="52" t="str">
        <f t="shared" si="35"/>
        <v/>
      </c>
      <c r="H145" s="108"/>
      <c r="I145" s="132" t="str">
        <f>IF(H145="","",H145*IF(SUMIFS(CONFIG_PALLETS!$D:$D,CONFIG_PALLETS!$A:$A,IF(ISNUMBER(SEARCH("ESPUMA",$B145)),"ESPUMA",IF(OR(ISNUMBER(SEARCH("OLEO DE COCO",$B145)),ISNUMBER(SEARCH("ÓLEO DE COCO",$B145)),ISNUMBER(SEARCH("COPRA",$B145))),"ÓLEO DE COCO",IF(ISNUMBER(SEARCH("CORANTE",$B145)),"CORANTE",TRIM($B145)))),CONFIG_PALLETS!$B:$B,$C145&amp;" ml")&gt;0,SUMIFS(CONFIG_PALLETS!$D:$D,CONFIG_PALLETS!$A:$A,IF(ISNUMBER(SEARCH("ESPUMA",$B145)),"ESPUMA",IF(OR(ISNUMBER(SEARCH("OLEO DE COCO",$B145)),ISNUMBER(SEARCH("ÓLEO DE COCO",$B145)),ISNUMBER(SEARCH("COPRA",$B145))),"ÓLEO DE COCO",IF(ISNUMBER(SEARCH("CORANTE",$B145)),"CORANTE",TRIM($B145)))),CONFIG_PALLETS!$B:$B,$C145&amp;" ml"),IF(SUMIFS(CONFIG_PALLETS!$D:$D,CONFIG_PALLETS!$A:$A,"GERAL",CONFIG_PALLETS!$B:$B,$C145&amp;" ml")&gt;0,SUMIFS(CONFIG_PALLETS!$D:$D,CONFIG_PALLETS!$A:$A,"GERAL",CONFIG_PALLETS!$B:$B,$C145&amp;" ml"),12)))</f>
        <v/>
      </c>
      <c r="J145" s="55" t="str">
        <f t="shared" si="32"/>
        <v/>
      </c>
      <c r="L145" s="57" t="str">
        <f t="shared" si="33"/>
        <v/>
      </c>
      <c r="N145" s="130" t="str">
        <f t="shared" si="34"/>
        <v/>
      </c>
    </row>
    <row r="146" spans="1:15" ht="14.25" customHeight="1" x14ac:dyDescent="0.3">
      <c r="A146" s="38"/>
      <c r="B146" s="93"/>
      <c r="C146" s="72"/>
      <c r="H146" s="57"/>
      <c r="I146" s="91"/>
      <c r="J146" t="str">
        <f t="shared" si="32"/>
        <v/>
      </c>
      <c r="L146" s="57" t="str">
        <f t="shared" si="33"/>
        <v/>
      </c>
      <c r="N146" s="91" t="str">
        <f t="shared" si="34"/>
        <v/>
      </c>
    </row>
    <row r="147" spans="1:15" ht="14.25" customHeight="1" x14ac:dyDescent="0.3">
      <c r="B147" s="60" t="s">
        <v>216</v>
      </c>
      <c r="C147" s="61"/>
      <c r="D147" s="62">
        <f>SUM(D140:D146)</f>
        <v>720</v>
      </c>
      <c r="E147" s="63"/>
      <c r="F147" s="64"/>
      <c r="G147" s="65">
        <f>SUM(G140:G146)</f>
        <v>5</v>
      </c>
      <c r="H147" s="62">
        <f>SUM(H140:H146)</f>
        <v>725</v>
      </c>
      <c r="I147" s="66">
        <f>SUM(I140:I146)</f>
        <v>8700</v>
      </c>
      <c r="J147" s="68">
        <f>SUM(D138:D146)</f>
        <v>756</v>
      </c>
      <c r="K147" s="68">
        <f>SUM(G138:G146)</f>
        <v>6</v>
      </c>
      <c r="L147" s="94">
        <f>SUM(H138:H146)</f>
        <v>761</v>
      </c>
      <c r="M147" s="68">
        <f>SUM(I138:I146)</f>
        <v>9132</v>
      </c>
      <c r="N147" s="95">
        <f t="shared" si="34"/>
        <v>8700</v>
      </c>
      <c r="O147">
        <f>SUM(N139:N146)</f>
        <v>9132</v>
      </c>
    </row>
    <row r="148" spans="1:15" ht="14.25" customHeight="1" x14ac:dyDescent="0.3">
      <c r="B148" s="71"/>
      <c r="C148" s="72"/>
      <c r="J148" t="str">
        <f>IF(D148="","",ROUNDUP(D148/IF(AND(C148="600 ml",ISNUMBER(SEARCH("NORCAU",B148))),95,IF(AND(C148="600 ml",ISNUMBER(SEARCH("APURATOS",B148))),190,IF(C148="600 ml",95,IF(C148="400 ml",125,IF(C148="200 ml",330,IF(C148="180 ml",240,1)))))),0))</f>
        <v/>
      </c>
      <c r="L148" t="str">
        <f>IF(H148="","",H148)</f>
        <v/>
      </c>
      <c r="N148" t="str">
        <f t="shared" si="34"/>
        <v/>
      </c>
    </row>
    <row r="149" spans="1:15" ht="19.5" customHeight="1" x14ac:dyDescent="0.3">
      <c r="A149" s="30">
        <v>46079</v>
      </c>
      <c r="B149" s="31" t="s">
        <v>78</v>
      </c>
      <c r="C149" s="32" t="s">
        <v>205</v>
      </c>
      <c r="D149" s="33" t="s">
        <v>206</v>
      </c>
      <c r="E149" s="33" t="s">
        <v>207</v>
      </c>
      <c r="F149" s="34" t="s">
        <v>208</v>
      </c>
      <c r="G149" s="33" t="s">
        <v>209</v>
      </c>
      <c r="H149" s="33" t="s">
        <v>210</v>
      </c>
      <c r="I149" s="35" t="s">
        <v>211</v>
      </c>
      <c r="J149" s="36"/>
      <c r="K149" s="36"/>
      <c r="L149" s="37"/>
      <c r="M149" s="36"/>
      <c r="N149" s="37"/>
    </row>
    <row r="150" spans="1:15" ht="14.25" customHeight="1" x14ac:dyDescent="0.3">
      <c r="A150" s="38"/>
      <c r="B150" s="39"/>
      <c r="C150" s="40"/>
      <c r="D150" s="41"/>
      <c r="E150" s="42"/>
      <c r="G150" s="43"/>
      <c r="H150" s="44"/>
      <c r="I150" s="45"/>
      <c r="J150" s="46" t="str">
        <f t="shared" ref="J150:J155" si="36">IF(D150="","",ROUNDUP(D150/IF(AND(C150="600 ml",ISNUMBER(SEARCH("NORCAU",B150))),95,IF(AND(C150="600 ml",ISNUMBER(SEARCH("APURATOS",B150))),190,IF(C150="600 ml",95,IF(C150="400 ml",125,IF(C150="200 ml",330,IF(C150="180 ml",240,1)))))),0))</f>
        <v/>
      </c>
      <c r="L150" s="44" t="str">
        <f t="shared" ref="L150:L155" si="37">IF(H150="","",H150)</f>
        <v/>
      </c>
      <c r="N150" s="45" t="str">
        <f t="shared" ref="N150:N157" si="38">IF(I150="","",I150)</f>
        <v/>
      </c>
    </row>
    <row r="151" spans="1:15" ht="14.25" customHeight="1" x14ac:dyDescent="0.3">
      <c r="A151" s="613" t="s">
        <v>339</v>
      </c>
      <c r="B151" s="48" t="s">
        <v>143</v>
      </c>
      <c r="C151" s="49">
        <v>200</v>
      </c>
      <c r="D151" s="50">
        <v>1420</v>
      </c>
      <c r="E151" s="51" t="s">
        <v>214</v>
      </c>
      <c r="F151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>330</v>
      </c>
      <c r="G151" s="52">
        <f>IFERROR(ROUNDUP(D151/F151,0),"")</f>
        <v>5</v>
      </c>
      <c r="H151" s="53">
        <v>1430</v>
      </c>
      <c r="I151" s="54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>8580</v>
      </c>
      <c r="J151" s="55">
        <f t="shared" si="36"/>
        <v>1420</v>
      </c>
      <c r="L151" s="56">
        <f t="shared" si="37"/>
        <v>1430</v>
      </c>
      <c r="M151" s="57"/>
      <c r="N151" s="58">
        <f t="shared" si="38"/>
        <v>8580</v>
      </c>
    </row>
    <row r="152" spans="1:15" ht="14.25" customHeight="1" x14ac:dyDescent="0.3">
      <c r="A152" s="613"/>
      <c r="B152" s="39" t="s">
        <v>340</v>
      </c>
      <c r="C152" s="40">
        <v>200</v>
      </c>
      <c r="D152" s="41">
        <v>660</v>
      </c>
      <c r="E152" s="42" t="s">
        <v>214</v>
      </c>
      <c r="F152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>330</v>
      </c>
      <c r="G152" s="59">
        <f>IFERROR(ROUNDUP(D152/F152,0),"")</f>
        <v>2</v>
      </c>
      <c r="H152" s="44">
        <v>701</v>
      </c>
      <c r="I152" s="45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>4206</v>
      </c>
      <c r="J152" s="46">
        <f t="shared" si="36"/>
        <v>660</v>
      </c>
      <c r="L152" s="44">
        <f t="shared" si="37"/>
        <v>701</v>
      </c>
      <c r="M152" s="57"/>
      <c r="N152" s="45">
        <f t="shared" si="38"/>
        <v>4206</v>
      </c>
    </row>
    <row r="153" spans="1:15" ht="14.25" customHeight="1" x14ac:dyDescent="0.3">
      <c r="A153" s="38"/>
      <c r="B153" s="48"/>
      <c r="C153" s="49"/>
      <c r="D153" s="50"/>
      <c r="E153" s="51" t="s">
        <v>214</v>
      </c>
      <c r="F153" t="str">
        <f>IF($B153="","",IF(SUMIFS(CONFIG_PALLETS!$C:$C,CONFIG_PALLETS!$A:$A,TRIM($B153),CONFIG_PALLETS!$B:$B,$C153&amp;" ml")&gt;0,SUMIFS(CONFIG_PALLETS!$C:$C,CONFIG_PALLETS!$A:$A,TRIM($B153),CONFIG_PALLETS!$B:$B,$C153&amp;" ml"),IF(SUMIFS(CONFIG_PALLETS!$C:$C,CONFIG_PALLETS!$A:$A,"GERAL",CONFIG_PALLETS!$B:$B,$C153&amp;" ml")&gt;0,SUMIFS(CONFIG_PALLETS!$C:$C,CONFIG_PALLETS!$A:$A,"GERAL",CONFIG_PALLETS!$B:$B,$C153&amp;" ml"),"")))</f>
        <v/>
      </c>
      <c r="G153" s="52" t="str">
        <f>IFERROR(ROUNDUP(D153/F153,0),"")</f>
        <v/>
      </c>
      <c r="H153" s="53"/>
      <c r="I153" s="54" t="str">
        <f>IF(H153="","",H153*IF(SUMIFS(CONFIG_PALLETS!$D:$D,CONFIG_PALLETS!$A:$A,IF(ISNUMBER(SEARCH("ESPUMA",$B153)),"ESPUMA",IF(OR(ISNUMBER(SEARCH("OLEO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ml")&gt;0,SUMIFS(CONFIG_PALLETS!$D:$D,CONFIG_PALLETS!$A:$A,IF(ISNUMBER(SEARCH("ESPUMA",$B153)),"ESPUMA",IF(OR(ISNUMBER(SEARCH("OLEO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ml"),IF(SUMIFS(CONFIG_PALLETS!$D:$D,CONFIG_PALLETS!$A:$A,"GERAL",CONFIG_PALLETS!$B:$B,$C153&amp;" ml")&gt;0,SUMIFS(CONFIG_PALLETS!$D:$D,CONFIG_PALLETS!$A:$A,"GERAL",CONFIG_PALLETS!$B:$B,$C153&amp;" ml"),12)))</f>
        <v/>
      </c>
      <c r="J153" s="55" t="str">
        <f t="shared" si="36"/>
        <v/>
      </c>
      <c r="L153" s="56" t="str">
        <f t="shared" si="37"/>
        <v/>
      </c>
      <c r="N153" s="58" t="str">
        <f t="shared" si="38"/>
        <v/>
      </c>
    </row>
    <row r="154" spans="1:15" ht="14.25" customHeight="1" x14ac:dyDescent="0.3">
      <c r="A154" s="38"/>
      <c r="B154" s="39"/>
      <c r="C154" s="40"/>
      <c r="D154" s="41"/>
      <c r="E154" s="42" t="s">
        <v>214</v>
      </c>
      <c r="F154" t="str">
        <f>IF($B154="","",IF(SUMIFS(CONFIG_PALLETS!$C:$C,CONFIG_PALLETS!$A:$A,TRIM($B154),CONFIG_PALLETS!$B:$B,$C154&amp;" ml")&gt;0,SUMIFS(CONFIG_PALLETS!$C:$C,CONFIG_PALLETS!$A:$A,TRIM($B154),CONFIG_PALLETS!$B:$B,$C154&amp;" ml"),IF(SUMIFS(CONFIG_PALLETS!$C:$C,CONFIG_PALLETS!$A:$A,"GERAL",CONFIG_PALLETS!$B:$B,$C154&amp;" ml")&gt;0,SUMIFS(CONFIG_PALLETS!$C:$C,CONFIG_PALLETS!$A:$A,"GERAL",CONFIG_PALLETS!$B:$B,$C154&amp;" ml"),"")))</f>
        <v/>
      </c>
      <c r="G154" s="59" t="str">
        <f>IFERROR(ROUNDUP(D154/F154,0),"")</f>
        <v/>
      </c>
      <c r="H154" s="44"/>
      <c r="I154" s="45" t="str">
        <f>IF(H154="","",H154*IF(SUMIFS(CONFIG_PALLETS!$D:$D,CONFIG_PALLETS!$A:$A,IF(ISNUMBER(SEARCH("ESPUMA",$B154)),"ESPUMA",IF(OR(ISNUMBER(SEARCH("OLEO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ml")&gt;0,SUMIFS(CONFIG_PALLETS!$D:$D,CONFIG_PALLETS!$A:$A,IF(ISNUMBER(SEARCH("ESPUMA",$B154)),"ESPUMA",IF(OR(ISNUMBER(SEARCH("OLEO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ml"),IF(SUMIFS(CONFIG_PALLETS!$D:$D,CONFIG_PALLETS!$A:$A,"GERAL",CONFIG_PALLETS!$B:$B,$C154&amp;" ml")&gt;0,SUMIFS(CONFIG_PALLETS!$D:$D,CONFIG_PALLETS!$A:$A,"GERAL",CONFIG_PALLETS!$B:$B,$C154&amp;" ml"),12)))</f>
        <v/>
      </c>
      <c r="J154" s="46" t="str">
        <f t="shared" si="36"/>
        <v/>
      </c>
      <c r="L154" s="44" t="str">
        <f t="shared" si="37"/>
        <v/>
      </c>
      <c r="N154" s="45" t="str">
        <f t="shared" si="38"/>
        <v/>
      </c>
    </row>
    <row r="155" spans="1:15" ht="14.25" customHeight="1" x14ac:dyDescent="0.3">
      <c r="A155" s="38"/>
      <c r="B155" s="48"/>
      <c r="C155" s="49"/>
      <c r="D155" s="50"/>
      <c r="E155" s="51"/>
      <c r="G155" s="96"/>
      <c r="H155" s="53"/>
      <c r="I155" s="54"/>
      <c r="J155" s="55" t="str">
        <f t="shared" si="36"/>
        <v/>
      </c>
      <c r="L155" s="56" t="str">
        <f t="shared" si="37"/>
        <v/>
      </c>
      <c r="N155" s="58" t="str">
        <f t="shared" si="38"/>
        <v/>
      </c>
    </row>
    <row r="156" spans="1:15" ht="14.25" customHeight="1" x14ac:dyDescent="0.3">
      <c r="A156" s="38"/>
      <c r="B156" s="60" t="s">
        <v>216</v>
      </c>
      <c r="C156" s="61"/>
      <c r="D156" s="62">
        <f>SUM(D149:D155)</f>
        <v>2080</v>
      </c>
      <c r="E156" s="63"/>
      <c r="F156" s="64"/>
      <c r="G156" s="65">
        <f>SUM(G149:G155)</f>
        <v>7</v>
      </c>
      <c r="H156" s="62">
        <f>SUM(H149:H155)</f>
        <v>2131</v>
      </c>
      <c r="I156" s="66">
        <f>SUM(I149:I155)</f>
        <v>12786</v>
      </c>
      <c r="J156" s="68">
        <f>SUM(D150:D155)</f>
        <v>2080</v>
      </c>
      <c r="K156" s="68">
        <f>SUM(G150:G155)</f>
        <v>7</v>
      </c>
      <c r="L156" s="94">
        <f>SUM(H150:H155)</f>
        <v>2131</v>
      </c>
      <c r="M156" s="68">
        <f>SUM(I150:I155)</f>
        <v>12786</v>
      </c>
      <c r="N156" s="95">
        <f t="shared" si="38"/>
        <v>12786</v>
      </c>
      <c r="O156">
        <f>SUM(N151:N155)</f>
        <v>12786</v>
      </c>
    </row>
    <row r="157" spans="1:15" ht="14.25" customHeight="1" x14ac:dyDescent="0.3">
      <c r="B157" s="71"/>
      <c r="C157" s="72"/>
      <c r="J157" t="str">
        <f>IF(D157="","",ROUNDUP(D157/IF(AND(C157="600 ml",ISNUMBER(SEARCH("NORCAU",B157))),95,IF(AND(C157="600 ml",ISNUMBER(SEARCH("APURATOS",B157))),190,IF(C157="600 ml",95,IF(C157="400 ml",125,IF(C157="200 ml",330,IF(C157="180 ml",240,1)))))),0))</f>
        <v/>
      </c>
      <c r="L157" t="str">
        <f>IF(H157="","",H157)</f>
        <v/>
      </c>
      <c r="N157" t="str">
        <f t="shared" si="38"/>
        <v/>
      </c>
    </row>
    <row r="158" spans="1:15" ht="19.5" customHeight="1" x14ac:dyDescent="0.3">
      <c r="A158" s="30">
        <v>46080</v>
      </c>
      <c r="B158" s="31" t="s">
        <v>78</v>
      </c>
      <c r="C158" s="32" t="s">
        <v>205</v>
      </c>
      <c r="D158" s="33" t="s">
        <v>206</v>
      </c>
      <c r="E158" s="33" t="s">
        <v>207</v>
      </c>
      <c r="F158" s="34" t="s">
        <v>208</v>
      </c>
      <c r="G158" s="33" t="s">
        <v>209</v>
      </c>
      <c r="H158" s="33" t="s">
        <v>210</v>
      </c>
      <c r="I158" s="35" t="s">
        <v>211</v>
      </c>
      <c r="J158" s="36"/>
      <c r="K158" s="36"/>
      <c r="L158" s="37"/>
      <c r="M158" s="36"/>
      <c r="N158" s="37"/>
    </row>
    <row r="159" spans="1:15" ht="14.25" customHeight="1" x14ac:dyDescent="0.3">
      <c r="A159" s="38"/>
      <c r="B159" s="97"/>
      <c r="C159" s="98"/>
      <c r="D159" s="99"/>
      <c r="E159" s="100"/>
      <c r="G159" s="101"/>
      <c r="H159" s="102"/>
      <c r="I159" s="103"/>
      <c r="J159" s="55" t="str">
        <f>IF(D159="","",ROUNDUP(D159/IF(AND(C159="600 ml",ISNUMBER(SEARCH("NORCAU",B159))),95,IF(AND(C159="600 ml",ISNUMBER(SEARCH("APURATOS",B159))),190,IF(C159="600 ml",95,IF(C159="400 ml",125,IF(C159="200 ml",330,IF(C159="180 ml",240,1)))))),0))</f>
        <v/>
      </c>
      <c r="L159" s="56" t="str">
        <f>IF(H159="","",H159)</f>
        <v/>
      </c>
      <c r="N159" s="58" t="str">
        <f t="shared" ref="N159:N199" si="39">IF(I159="","",I159)</f>
        <v/>
      </c>
    </row>
    <row r="160" spans="1:15" ht="14.25" customHeight="1" x14ac:dyDescent="0.3">
      <c r="A160" s="613">
        <v>600</v>
      </c>
      <c r="B160" s="48" t="s">
        <v>192</v>
      </c>
      <c r="C160" s="49">
        <v>600</v>
      </c>
      <c r="D160" s="50">
        <v>90</v>
      </c>
      <c r="E160" s="51" t="s">
        <v>214</v>
      </c>
      <c r="F160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>95</v>
      </c>
      <c r="G160" s="52">
        <f>IFERROR(ROUNDUP(D160/F160,0),"")</f>
        <v>1</v>
      </c>
      <c r="H160" s="53">
        <v>91</v>
      </c>
      <c r="I160" s="54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>1092</v>
      </c>
      <c r="J160" s="46">
        <f>IF(D160="","",ROUNDUP(D160/IF(AND(C160="600 ml",ISNUMBER(SEARCH("NORCAU",B160))),95,IF(AND(C160="600 ml",ISNUMBER(SEARCH("APURATOS",B160))),190,IF(C160="600 ml",95,IF(C160="400 ml",125,IF(C160="200 ml",330,IF(C160="180 ml",240,1)))))),0))</f>
        <v>90</v>
      </c>
      <c r="L160" s="44">
        <f>IF(H160="","",H160)</f>
        <v>91</v>
      </c>
      <c r="M160" s="57"/>
      <c r="N160" s="45">
        <f t="shared" si="39"/>
        <v>1092</v>
      </c>
    </row>
    <row r="161" spans="1:15" ht="14.25" customHeight="1" x14ac:dyDescent="0.3">
      <c r="A161" s="613"/>
      <c r="B161" s="97" t="s">
        <v>54</v>
      </c>
      <c r="C161" s="98">
        <v>600</v>
      </c>
      <c r="D161" s="99">
        <v>1330</v>
      </c>
      <c r="E161" s="100" t="s">
        <v>214</v>
      </c>
      <c r="F161">
        <f>IF($B161="","",IF(SUMIFS(CONFIG_PALLETS!$C:$C,CONFIG_PALLETS!$A:$A,TRIM($B161),CONFIG_PALLETS!$B:$B,$C161&amp;" ml")&gt;0,SUMIFS(CONFIG_PALLETS!$C:$C,CONFIG_PALLETS!$A:$A,TRIM($B161),CONFIG_PALLETS!$B:$B,$C161&amp;" ml"),IF(SUMIFS(CONFIG_PALLETS!$C:$C,CONFIG_PALLETS!$A:$A,"GERAL",CONFIG_PALLETS!$B:$B,$C161&amp;" ml")&gt;0,SUMIFS(CONFIG_PALLETS!$C:$C,CONFIG_PALLETS!$A:$A,"GERAL",CONFIG_PALLETS!$B:$B,$C161&amp;" ml"),"")))</f>
        <v>95</v>
      </c>
      <c r="G161" s="104">
        <f>IFERROR(ROUNDUP(D161/F161,0),"")</f>
        <v>14</v>
      </c>
      <c r="H161" s="102">
        <v>545</v>
      </c>
      <c r="I161" s="103">
        <f>IF(H161="","",H161*IF(SUMIFS(CONFIG_PALLETS!$D:$D,CONFIG_PALLETS!$A:$A,IF(ISNUMBER(SEARCH("ESPUMA",$B161)),"ESPUMA",IF(OR(ISNUMBER(SEARCH("OLEO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ml")&gt;0,SUMIFS(CONFIG_PALLETS!$D:$D,CONFIG_PALLETS!$A:$A,IF(ISNUMBER(SEARCH("ESPUMA",$B161)),"ESPUMA",IF(OR(ISNUMBER(SEARCH("OLEO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ml"),IF(SUMIFS(CONFIG_PALLETS!$D:$D,CONFIG_PALLETS!$A:$A,"GERAL",CONFIG_PALLETS!$B:$B,$C161&amp;" ml")&gt;0,SUMIFS(CONFIG_PALLETS!$D:$D,CONFIG_PALLETS!$A:$A,"GERAL",CONFIG_PALLETS!$B:$B,$C161&amp;" ml"),12)))</f>
        <v>6540</v>
      </c>
      <c r="J161" s="55">
        <f>IF(D161="","",ROUNDUP(D161/IF(AND(C161="600 ml",ISNUMBER(SEARCH("NORCAU",B161))),95,IF(AND(C161="600 ml",ISNUMBER(SEARCH("APURATOS",B161))),190,IF(C161="600 ml",95,IF(C161="400 ml",125,IF(C161="200 ml",330,IF(C161="180 ml",240,1)))))),0))</f>
        <v>1330</v>
      </c>
      <c r="L161" s="56">
        <f>IF(H161="","",H161)</f>
        <v>545</v>
      </c>
      <c r="M161" s="57"/>
      <c r="N161" s="58">
        <f t="shared" si="39"/>
        <v>6540</v>
      </c>
    </row>
    <row r="162" spans="1:15" ht="14.25" customHeight="1" x14ac:dyDescent="0.3">
      <c r="A162" s="38"/>
      <c r="B162" s="39"/>
      <c r="C162" s="40"/>
      <c r="D162" s="41"/>
      <c r="E162" s="42" t="s">
        <v>214</v>
      </c>
      <c r="F162" t="str">
        <f>IF($B162="","",IF(SUMIFS(CONFIG_PALLETS!$C:$C,CONFIG_PALLETS!$A:$A,TRIM($B162),CONFIG_PALLETS!$B:$B,$C162&amp;" ml")&gt;0,SUMIFS(CONFIG_PALLETS!$C:$C,CONFIG_PALLETS!$A:$A,TRIM($B162),CONFIG_PALLETS!$B:$B,$C162&amp;" ml"),IF(SUMIFS(CONFIG_PALLETS!$C:$C,CONFIG_PALLETS!$A:$A,"GERAL",CONFIG_PALLETS!$B:$B,$C162&amp;" ml")&gt;0,SUMIFS(CONFIG_PALLETS!$C:$C,CONFIG_PALLETS!$A:$A,"GERAL",CONFIG_PALLETS!$B:$B,$C162&amp;" ml"),"")))</f>
        <v/>
      </c>
      <c r="G162" s="59" t="str">
        <f>IFERROR(ROUNDUP(D162/F162,0),"")</f>
        <v/>
      </c>
      <c r="H162" s="44"/>
      <c r="I162" s="45" t="str">
        <f>IF(H162="","",H162*IF(SUMIFS(CONFIG_PALLETS!$D:$D,CONFIG_PALLETS!$A:$A,IF(ISNUMBER(SEARCH("ESPUMA",$B162)),"ESPUMA",IF(OR(ISNUMBER(SEARCH("OLEO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ml")&gt;0,SUMIFS(CONFIG_PALLETS!$D:$D,CONFIG_PALLETS!$A:$A,IF(ISNUMBER(SEARCH("ESPUMA",$B162)),"ESPUMA",IF(OR(ISNUMBER(SEARCH("OLEO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ml"),IF(SUMIFS(CONFIG_PALLETS!$D:$D,CONFIG_PALLETS!$A:$A,"GERAL",CONFIG_PALLETS!$B:$B,$C162&amp;" ml")&gt;0,SUMIFS(CONFIG_PALLETS!$D:$D,CONFIG_PALLETS!$A:$A,"GERAL",CONFIG_PALLETS!$B:$B,$C162&amp;" ml"),12)))</f>
        <v/>
      </c>
      <c r="J162" s="46" t="str">
        <f>IF(D162="","",ROUNDUP(D162/IF(AND(C162="600 ml",ISNUMBER(SEARCH("NORCAU",B162))),95,IF(AND(C162="600 ml",ISNUMBER(SEARCH("APURATOS",B162))),190,IF(C162="600 ml",95,IF(C162="400 ml",125,IF(C162="200 ml",330,IF(C162="180 ml",240,1)))))),0))</f>
        <v/>
      </c>
      <c r="L162" s="44" t="str">
        <f>IF(H162="","",H162)</f>
        <v/>
      </c>
      <c r="N162" s="45" t="str">
        <f t="shared" si="39"/>
        <v/>
      </c>
    </row>
    <row r="163" spans="1:15" ht="14.25" customHeight="1" x14ac:dyDescent="0.3">
      <c r="A163" s="38"/>
      <c r="B163" s="48"/>
      <c r="C163" s="49"/>
      <c r="D163" s="50"/>
      <c r="E163" s="51"/>
      <c r="G163" s="96"/>
      <c r="H163" s="53"/>
      <c r="I163" s="54"/>
      <c r="J163" s="55" t="str">
        <f>IF(D163="","",ROUNDUP(D163/IF(AND(C163="600 ml",ISNUMBER(SEARCH("NORCAU",B163))),95,IF(AND(C163="600 ml",ISNUMBER(SEARCH("APURATOS",B163))),190,IF(C163="600 ml",95,IF(C163="400 ml",125,IF(C163="200 ml",330,IF(C163="180 ml",240,1)))))),0))</f>
        <v/>
      </c>
      <c r="L163" s="56" t="str">
        <f>IF(H163="","",H163)</f>
        <v/>
      </c>
      <c r="N163" s="58" t="str">
        <f t="shared" si="39"/>
        <v/>
      </c>
    </row>
    <row r="164" spans="1:15" ht="14.25" customHeight="1" x14ac:dyDescent="0.3">
      <c r="A164" s="38"/>
      <c r="B164" s="60" t="s">
        <v>216</v>
      </c>
      <c r="C164" s="61"/>
      <c r="D164" s="62">
        <f>SUM(D157:D163)</f>
        <v>1420</v>
      </c>
      <c r="E164" s="63"/>
      <c r="F164" s="64"/>
      <c r="G164" s="65">
        <f>SUM(G157:G163)</f>
        <v>15</v>
      </c>
      <c r="H164" s="62">
        <f>SUM(H157:H163)</f>
        <v>636</v>
      </c>
      <c r="I164" s="66">
        <f>SUM(I157:I163)</f>
        <v>7632</v>
      </c>
      <c r="J164" s="125">
        <f>SUM(D159:D163)</f>
        <v>1420</v>
      </c>
      <c r="K164" s="68">
        <f>SUM(G159:G163)</f>
        <v>15</v>
      </c>
      <c r="L164" s="126">
        <f>SUM(H159:H163)</f>
        <v>636</v>
      </c>
      <c r="M164" s="68">
        <f>SUM(I159:I163)</f>
        <v>7632</v>
      </c>
      <c r="N164" s="127">
        <f t="shared" si="39"/>
        <v>7632</v>
      </c>
      <c r="O164">
        <f>SUM(N160:N163)</f>
        <v>7632</v>
      </c>
    </row>
    <row r="165" spans="1:15" ht="14.25" customHeight="1" x14ac:dyDescent="0.3">
      <c r="B165" s="71"/>
      <c r="C165" s="72"/>
      <c r="J165" t="str">
        <f t="shared" ref="J165:J197" si="40">IF(D165="","",ROUNDUP(D165/IF(AND(C165="600 ml",ISNUMBER(SEARCH("NORCAU",B165))),95,IF(AND(C165="600 ml",ISNUMBER(SEARCH("APURATOS",B165))),190,IF(C165="600 ml",95,IF(C165="400 ml",125,IF(C165="200 ml",330,IF(C165="180 ml",240,1)))))),0))</f>
        <v/>
      </c>
      <c r="L165" t="str">
        <f t="shared" ref="L165:L197" si="41">IF(H165="","",H165)</f>
        <v/>
      </c>
      <c r="N165" t="str">
        <f t="shared" si="39"/>
        <v/>
      </c>
    </row>
    <row r="166" spans="1:15" ht="14.25" customHeight="1" x14ac:dyDescent="0.3">
      <c r="A166" s="38"/>
      <c r="B166" s="87"/>
      <c r="C166" s="88"/>
      <c r="D166" s="36"/>
      <c r="E166" s="36"/>
      <c r="F166" s="34" t="s">
        <v>341</v>
      </c>
      <c r="G166" s="36"/>
      <c r="H166" s="134" t="s">
        <v>342</v>
      </c>
      <c r="I166" s="89"/>
      <c r="J166" s="34" t="str">
        <f t="shared" si="40"/>
        <v/>
      </c>
      <c r="K166" s="36"/>
      <c r="L166" s="134" t="str">
        <f t="shared" si="41"/>
        <v>REAL</v>
      </c>
      <c r="M166" s="36"/>
      <c r="N166" s="89" t="str">
        <f t="shared" si="39"/>
        <v/>
      </c>
    </row>
    <row r="167" spans="1:15" ht="14.25" customHeight="1" x14ac:dyDescent="0.3">
      <c r="A167" s="38"/>
      <c r="B167" s="93"/>
      <c r="C167" s="72"/>
      <c r="G167" s="171"/>
      <c r="H167" s="57"/>
      <c r="I167" s="91"/>
      <c r="J167" t="str">
        <f t="shared" si="40"/>
        <v/>
      </c>
      <c r="L167" s="57" t="str">
        <f t="shared" si="41"/>
        <v/>
      </c>
      <c r="N167" s="91" t="str">
        <f t="shared" si="39"/>
        <v/>
      </c>
    </row>
    <row r="168" spans="1:15" ht="14.25" customHeight="1" x14ac:dyDescent="0.3">
      <c r="A168" s="38"/>
      <c r="B168" s="93"/>
      <c r="C168" s="72"/>
      <c r="E168" t="s">
        <v>214</v>
      </c>
      <c r="F168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t="str">
        <f>IFERROR(ROUNDUP(D168/F168,0),"")</f>
        <v/>
      </c>
      <c r="H168" s="57"/>
      <c r="I168" s="91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  <c r="J168" t="str">
        <f t="shared" si="40"/>
        <v/>
      </c>
      <c r="L168" s="57" t="str">
        <f t="shared" si="41"/>
        <v/>
      </c>
      <c r="M168" s="57"/>
      <c r="N168" s="91" t="str">
        <f t="shared" si="39"/>
        <v/>
      </c>
    </row>
    <row r="169" spans="1:15" ht="14.25" customHeight="1" x14ac:dyDescent="0.3">
      <c r="A169" s="38"/>
      <c r="B169" s="93"/>
      <c r="C169" s="72"/>
      <c r="E169" t="s">
        <v>214</v>
      </c>
      <c r="F169" t="str">
        <f>IF($B169="","",IF(SUMIFS(CONFIG_PALLETS!$C:$C,CONFIG_PALLETS!$A:$A,TRIM($B169),CONFIG_PALLETS!$B:$B,$C169&amp;" ml")&gt;0,SUMIFS(CONFIG_PALLETS!$C:$C,CONFIG_PALLETS!$A:$A,TRIM($B169),CONFIG_PALLETS!$B:$B,$C169&amp;" ml"),IF(SUMIFS(CONFIG_PALLETS!$C:$C,CONFIG_PALLETS!$A:$A,"GERAL",CONFIG_PALLETS!$B:$B,$C169&amp;" ml")&gt;0,SUMIFS(CONFIG_PALLETS!$C:$C,CONFIG_PALLETS!$A:$A,"GERAL",CONFIG_PALLETS!$B:$B,$C169&amp;" ml"),"")))</f>
        <v/>
      </c>
      <c r="G169" t="str">
        <f>IFERROR(ROUNDUP(D169/F169,0),"")</f>
        <v/>
      </c>
      <c r="H169" s="57"/>
      <c r="I169" s="91" t="str">
        <f>IF(H169="","",H169*IF(SUMIFS(CONFIG_PALLETS!$D:$D,CONFIG_PALLETS!$A:$A,IF(ISNUMBER(SEARCH("ESPUMA",$B169)),"ESPUMA",IF(OR(ISNUMBER(SEARCH("OLEO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ml")&gt;0,SUMIFS(CONFIG_PALLETS!$D:$D,CONFIG_PALLETS!$A:$A,IF(ISNUMBER(SEARCH("ESPUMA",$B169)),"ESPUMA",IF(OR(ISNUMBER(SEARCH("OLEO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ml"),IF(SUMIFS(CONFIG_PALLETS!$D:$D,CONFIG_PALLETS!$A:$A,"GERAL",CONFIG_PALLETS!$B:$B,$C169&amp;" ml")&gt;0,SUMIFS(CONFIG_PALLETS!$D:$D,CONFIG_PALLETS!$A:$A,"GERAL",CONFIG_PALLETS!$B:$B,$C169&amp;" ml"),12)))</f>
        <v/>
      </c>
      <c r="J169" t="str">
        <f t="shared" si="40"/>
        <v/>
      </c>
      <c r="L169" s="57" t="str">
        <f t="shared" si="41"/>
        <v/>
      </c>
      <c r="M169" s="57"/>
      <c r="N169" s="91" t="str">
        <f t="shared" si="39"/>
        <v/>
      </c>
    </row>
    <row r="170" spans="1:15" ht="14.25" customHeight="1" x14ac:dyDescent="0.3">
      <c r="A170" s="38"/>
      <c r="B170" s="93"/>
      <c r="C170" s="72"/>
      <c r="E170" t="s">
        <v>214</v>
      </c>
      <c r="F170" t="str">
        <f>IF($B170="","",IF(SUMIFS(CONFIG_PALLETS!$C:$C,CONFIG_PALLETS!$A:$A,TRIM($B170),CONFIG_PALLETS!$B:$B,$C170&amp;" ml")&gt;0,SUMIFS(CONFIG_PALLETS!$C:$C,CONFIG_PALLETS!$A:$A,TRIM($B170),CONFIG_PALLETS!$B:$B,$C170&amp;" ml"),IF(SUMIFS(CONFIG_PALLETS!$C:$C,CONFIG_PALLETS!$A:$A,"GERAL",CONFIG_PALLETS!$B:$B,$C170&amp;" ml")&gt;0,SUMIFS(CONFIG_PALLETS!$C:$C,CONFIG_PALLETS!$A:$A,"GERAL",CONFIG_PALLETS!$B:$B,$C170&amp;" ml"),"")))</f>
        <v/>
      </c>
      <c r="G170" t="str">
        <f>IFERROR(ROUNDUP(D170/F170,0),"")</f>
        <v/>
      </c>
      <c r="H170" s="57"/>
      <c r="I170" s="91" t="str">
        <f>IF(H170="","",H170*IF(SUMIFS(CONFIG_PALLETS!$D:$D,CONFIG_PALLETS!$A:$A,IF(ISNUMBER(SEARCH("ESPUMA",$B170)),"ESPUMA",IF(OR(ISNUMBER(SEARCH("OLEO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ml")&gt;0,SUMIFS(CONFIG_PALLETS!$D:$D,CONFIG_PALLETS!$A:$A,IF(ISNUMBER(SEARCH("ESPUMA",$B170)),"ESPUMA",IF(OR(ISNUMBER(SEARCH("OLEO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ml"),IF(SUMIFS(CONFIG_PALLETS!$D:$D,CONFIG_PALLETS!$A:$A,"GERAL",CONFIG_PALLETS!$B:$B,$C170&amp;" ml")&gt;0,SUMIFS(CONFIG_PALLETS!$D:$D,CONFIG_PALLETS!$A:$A,"GERAL",CONFIG_PALLETS!$B:$B,$C170&amp;" ml"),12)))</f>
        <v/>
      </c>
      <c r="J170" t="str">
        <f t="shared" si="40"/>
        <v/>
      </c>
      <c r="L170" s="57" t="str">
        <f t="shared" si="41"/>
        <v/>
      </c>
      <c r="N170" s="91" t="str">
        <f t="shared" si="39"/>
        <v/>
      </c>
    </row>
    <row r="171" spans="1:15" ht="14.25" customHeight="1" x14ac:dyDescent="0.3">
      <c r="A171" s="38"/>
      <c r="B171" s="93"/>
      <c r="C171" s="72"/>
      <c r="H171" s="57"/>
      <c r="I171" s="91"/>
      <c r="J171" t="str">
        <f t="shared" si="40"/>
        <v/>
      </c>
      <c r="L171" s="57" t="str">
        <f t="shared" si="41"/>
        <v/>
      </c>
      <c r="N171" s="91" t="str">
        <f t="shared" si="39"/>
        <v/>
      </c>
    </row>
    <row r="172" spans="1:15" ht="14.25" customHeight="1" x14ac:dyDescent="0.3">
      <c r="A172" s="38"/>
      <c r="B172" s="138"/>
      <c r="C172" s="139"/>
      <c r="D172" s="68"/>
      <c r="E172" s="68"/>
      <c r="F172" s="68"/>
      <c r="G172" s="68"/>
      <c r="H172" s="140"/>
      <c r="I172" s="75"/>
      <c r="J172" s="68" t="str">
        <f t="shared" si="40"/>
        <v/>
      </c>
      <c r="K172" s="68"/>
      <c r="L172" s="140" t="str">
        <f t="shared" si="41"/>
        <v/>
      </c>
      <c r="M172" s="68"/>
      <c r="N172" s="75" t="str">
        <f t="shared" si="39"/>
        <v/>
      </c>
      <c r="O172">
        <f>SUM(N168:N171)</f>
        <v>0</v>
      </c>
    </row>
    <row r="173" spans="1:15" ht="14.25" customHeight="1" x14ac:dyDescent="0.3">
      <c r="B173" s="71"/>
      <c r="C173" s="72"/>
      <c r="J173" t="str">
        <f t="shared" si="40"/>
        <v/>
      </c>
      <c r="L173" t="str">
        <f t="shared" si="41"/>
        <v/>
      </c>
      <c r="N173" t="str">
        <f t="shared" si="39"/>
        <v/>
      </c>
    </row>
    <row r="174" spans="1:15" ht="14.25" customHeight="1" x14ac:dyDescent="0.3">
      <c r="A174" s="38"/>
      <c r="B174" s="87"/>
      <c r="C174" s="88"/>
      <c r="D174" s="36"/>
      <c r="E174" s="36"/>
      <c r="F174" s="34" t="s">
        <v>341</v>
      </c>
      <c r="G174" s="36"/>
      <c r="H174" s="134" t="s">
        <v>342</v>
      </c>
      <c r="I174" s="89"/>
      <c r="J174" s="34" t="str">
        <f t="shared" si="40"/>
        <v/>
      </c>
      <c r="K174" s="36"/>
      <c r="L174" s="134" t="str">
        <f t="shared" si="41"/>
        <v>REAL</v>
      </c>
      <c r="M174" s="36"/>
      <c r="N174" s="89" t="str">
        <f t="shared" si="39"/>
        <v/>
      </c>
    </row>
    <row r="175" spans="1:15" ht="14.25" customHeight="1" x14ac:dyDescent="0.3">
      <c r="A175" s="38"/>
      <c r="B175" s="93"/>
      <c r="C175" s="72"/>
      <c r="G175" s="171"/>
      <c r="H175" s="57"/>
      <c r="I175" s="91"/>
      <c r="J175" t="str">
        <f t="shared" si="40"/>
        <v/>
      </c>
      <c r="L175" s="57" t="str">
        <f t="shared" si="41"/>
        <v/>
      </c>
      <c r="N175" s="91" t="str">
        <f t="shared" si="39"/>
        <v/>
      </c>
    </row>
    <row r="176" spans="1:15" ht="14.25" customHeight="1" x14ac:dyDescent="0.3">
      <c r="A176" s="38"/>
      <c r="B176" s="93"/>
      <c r="C176" s="72"/>
      <c r="E176" t="s">
        <v>214</v>
      </c>
      <c r="F176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t="str">
        <f>IFERROR(ROUNDUP(D176/F176,0),"")</f>
        <v/>
      </c>
      <c r="H176" s="57"/>
      <c r="I176" s="91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  <c r="J176" t="str">
        <f t="shared" si="40"/>
        <v/>
      </c>
      <c r="L176" s="57" t="str">
        <f t="shared" si="41"/>
        <v/>
      </c>
      <c r="M176" s="57"/>
      <c r="N176" s="91" t="str">
        <f t="shared" si="39"/>
        <v/>
      </c>
    </row>
    <row r="177" spans="1:15" ht="14.25" customHeight="1" x14ac:dyDescent="0.3">
      <c r="A177" s="38"/>
      <c r="B177" s="93"/>
      <c r="C177" s="72"/>
      <c r="E177" t="s">
        <v>214</v>
      </c>
      <c r="F177" t="str">
        <f>IF($B177="","",IF(SUMIFS(CONFIG_PALLETS!$C:$C,CONFIG_PALLETS!$A:$A,TRIM($B177),CONFIG_PALLETS!$B:$B,$C177&amp;" ml")&gt;0,SUMIFS(CONFIG_PALLETS!$C:$C,CONFIG_PALLETS!$A:$A,TRIM($B177),CONFIG_PALLETS!$B:$B,$C177&amp;" ml"),IF(SUMIFS(CONFIG_PALLETS!$C:$C,CONFIG_PALLETS!$A:$A,"GERAL",CONFIG_PALLETS!$B:$B,$C177&amp;" ml")&gt;0,SUMIFS(CONFIG_PALLETS!$C:$C,CONFIG_PALLETS!$A:$A,"GERAL",CONFIG_PALLETS!$B:$B,$C177&amp;" ml"),"")))</f>
        <v/>
      </c>
      <c r="G177" t="str">
        <f>IFERROR(ROUNDUP(D177/F177,0),"")</f>
        <v/>
      </c>
      <c r="H177" s="57"/>
      <c r="I177" s="91" t="str">
        <f>IF(H177="","",H177*IF(SUMIFS(CONFIG_PALLETS!$D:$D,CONFIG_PALLETS!$A:$A,IF(ISNUMBER(SEARCH("ESPUMA",$B177)),"ESPUMA",IF(OR(ISNUMBER(SEARCH("OLEO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ml")&gt;0,SUMIFS(CONFIG_PALLETS!$D:$D,CONFIG_PALLETS!$A:$A,IF(ISNUMBER(SEARCH("ESPUMA",$B177)),"ESPUMA",IF(OR(ISNUMBER(SEARCH("OLEO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ml"),IF(SUMIFS(CONFIG_PALLETS!$D:$D,CONFIG_PALLETS!$A:$A,"GERAL",CONFIG_PALLETS!$B:$B,$C177&amp;" ml")&gt;0,SUMIFS(CONFIG_PALLETS!$D:$D,CONFIG_PALLETS!$A:$A,"GERAL",CONFIG_PALLETS!$B:$B,$C177&amp;" ml"),12)))</f>
        <v/>
      </c>
      <c r="J177" t="str">
        <f t="shared" si="40"/>
        <v/>
      </c>
      <c r="L177" s="57" t="str">
        <f t="shared" si="41"/>
        <v/>
      </c>
      <c r="M177" s="57"/>
      <c r="N177" s="91" t="str">
        <f t="shared" si="39"/>
        <v/>
      </c>
    </row>
    <row r="178" spans="1:15" ht="14.25" customHeight="1" x14ac:dyDescent="0.3">
      <c r="A178" s="38"/>
      <c r="B178" s="93"/>
      <c r="C178" s="72"/>
      <c r="E178" t="s">
        <v>214</v>
      </c>
      <c r="F178" t="str">
        <f>IF($B178="","",IF(SUMIFS(CONFIG_PALLETS!$C:$C,CONFIG_PALLETS!$A:$A,TRIM($B178),CONFIG_PALLETS!$B:$B,$C178&amp;" ml")&gt;0,SUMIFS(CONFIG_PALLETS!$C:$C,CONFIG_PALLETS!$A:$A,TRIM($B178),CONFIG_PALLETS!$B:$B,$C178&amp;" ml"),IF(SUMIFS(CONFIG_PALLETS!$C:$C,CONFIG_PALLETS!$A:$A,"GERAL",CONFIG_PALLETS!$B:$B,$C178&amp;" ml")&gt;0,SUMIFS(CONFIG_PALLETS!$C:$C,CONFIG_PALLETS!$A:$A,"GERAL",CONFIG_PALLETS!$B:$B,$C178&amp;" ml"),"")))</f>
        <v/>
      </c>
      <c r="G178" t="str">
        <f>IFERROR(ROUNDUP(D178/F178,0),"")</f>
        <v/>
      </c>
      <c r="H178" s="57"/>
      <c r="I178" s="91" t="str">
        <f>IF(H178="","",H178*IF(SUMIFS(CONFIG_PALLETS!$D:$D,CONFIG_PALLETS!$A:$A,IF(ISNUMBER(SEARCH("ESPUMA",$B178)),"ESPUMA",IF(OR(ISNUMBER(SEARCH("OLEO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ml")&gt;0,SUMIFS(CONFIG_PALLETS!$D:$D,CONFIG_PALLETS!$A:$A,IF(ISNUMBER(SEARCH("ESPUMA",$B178)),"ESPUMA",IF(OR(ISNUMBER(SEARCH("OLEO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ml"),IF(SUMIFS(CONFIG_PALLETS!$D:$D,CONFIG_PALLETS!$A:$A,"GERAL",CONFIG_PALLETS!$B:$B,$C178&amp;" ml")&gt;0,SUMIFS(CONFIG_PALLETS!$D:$D,CONFIG_PALLETS!$A:$A,"GERAL",CONFIG_PALLETS!$B:$B,$C178&amp;" ml"),12)))</f>
        <v/>
      </c>
      <c r="J178" t="str">
        <f t="shared" si="40"/>
        <v/>
      </c>
      <c r="L178" s="57" t="str">
        <f t="shared" si="41"/>
        <v/>
      </c>
      <c r="N178" s="91" t="str">
        <f t="shared" si="39"/>
        <v/>
      </c>
    </row>
    <row r="179" spans="1:15" ht="14.25" customHeight="1" x14ac:dyDescent="0.3">
      <c r="A179" s="38"/>
      <c r="B179" s="93"/>
      <c r="C179" s="72"/>
      <c r="H179" s="57"/>
      <c r="I179" s="91"/>
      <c r="J179" t="str">
        <f t="shared" si="40"/>
        <v/>
      </c>
      <c r="L179" s="57" t="str">
        <f t="shared" si="41"/>
        <v/>
      </c>
      <c r="N179" s="91" t="str">
        <f t="shared" si="39"/>
        <v/>
      </c>
    </row>
    <row r="180" spans="1:15" ht="14.25" customHeight="1" x14ac:dyDescent="0.3">
      <c r="A180" s="38"/>
      <c r="B180" s="138"/>
      <c r="C180" s="139"/>
      <c r="D180" s="68"/>
      <c r="E180" s="68"/>
      <c r="F180" s="68"/>
      <c r="G180" s="68"/>
      <c r="H180" s="140"/>
      <c r="I180" s="75"/>
      <c r="J180" s="68" t="str">
        <f t="shared" si="40"/>
        <v/>
      </c>
      <c r="K180" s="68"/>
      <c r="L180" s="140" t="str">
        <f t="shared" si="41"/>
        <v/>
      </c>
      <c r="M180" s="68"/>
      <c r="N180" s="75" t="str">
        <f t="shared" si="39"/>
        <v/>
      </c>
      <c r="O180">
        <f>SUM(N176:N179)</f>
        <v>0</v>
      </c>
    </row>
    <row r="181" spans="1:15" ht="14.25" customHeight="1" x14ac:dyDescent="0.3">
      <c r="B181" s="71"/>
      <c r="C181" s="72"/>
      <c r="J181" t="str">
        <f t="shared" si="40"/>
        <v/>
      </c>
      <c r="L181" t="str">
        <f t="shared" si="41"/>
        <v/>
      </c>
      <c r="N181" t="str">
        <f t="shared" si="39"/>
        <v/>
      </c>
    </row>
    <row r="182" spans="1:15" ht="14.25" customHeight="1" x14ac:dyDescent="0.3">
      <c r="B182" s="71"/>
      <c r="C182" s="72"/>
      <c r="J182" t="str">
        <f t="shared" si="40"/>
        <v/>
      </c>
      <c r="L182" t="str">
        <f t="shared" si="41"/>
        <v/>
      </c>
      <c r="N182" t="str">
        <f t="shared" si="39"/>
        <v/>
      </c>
      <c r="O182">
        <f>SUM(O1:O180)</f>
        <v>191118</v>
      </c>
    </row>
    <row r="183" spans="1:15" ht="15" customHeight="1" x14ac:dyDescent="0.3">
      <c r="C183" s="72"/>
      <c r="J183" t="str">
        <f t="shared" si="40"/>
        <v/>
      </c>
      <c r="L183" t="str">
        <f t="shared" si="41"/>
        <v/>
      </c>
      <c r="N183" t="str">
        <f t="shared" si="39"/>
        <v/>
      </c>
    </row>
    <row r="184" spans="1:15" ht="15" customHeight="1" x14ac:dyDescent="0.3">
      <c r="C184" s="72"/>
      <c r="J184" t="str">
        <f t="shared" si="40"/>
        <v/>
      </c>
      <c r="L184" t="str">
        <f t="shared" si="41"/>
        <v/>
      </c>
      <c r="N184" t="str">
        <f t="shared" si="39"/>
        <v/>
      </c>
    </row>
    <row r="185" spans="1:15" ht="15" customHeight="1" x14ac:dyDescent="0.3">
      <c r="C185" s="72"/>
      <c r="J185" t="str">
        <f t="shared" si="40"/>
        <v/>
      </c>
      <c r="L185" t="str">
        <f t="shared" si="41"/>
        <v/>
      </c>
      <c r="N185" t="str">
        <f t="shared" si="39"/>
        <v/>
      </c>
    </row>
    <row r="186" spans="1:15" ht="15" customHeight="1" x14ac:dyDescent="0.3">
      <c r="C186" s="72"/>
      <c r="J186" t="str">
        <f t="shared" si="40"/>
        <v/>
      </c>
      <c r="L186" t="str">
        <f t="shared" si="41"/>
        <v/>
      </c>
      <c r="N186" t="str">
        <f t="shared" si="39"/>
        <v/>
      </c>
    </row>
    <row r="187" spans="1:15" ht="15" customHeight="1" x14ac:dyDescent="0.3">
      <c r="C187" s="72"/>
      <c r="J187" t="str">
        <f t="shared" si="40"/>
        <v/>
      </c>
      <c r="L187" t="str">
        <f t="shared" si="41"/>
        <v/>
      </c>
      <c r="N187" t="str">
        <f t="shared" si="39"/>
        <v/>
      </c>
    </row>
    <row r="188" spans="1:15" ht="15" customHeight="1" x14ac:dyDescent="0.3">
      <c r="C188" s="72"/>
      <c r="J188" t="str">
        <f t="shared" si="40"/>
        <v/>
      </c>
      <c r="L188" t="str">
        <f t="shared" si="41"/>
        <v/>
      </c>
      <c r="N188" t="str">
        <f t="shared" si="39"/>
        <v/>
      </c>
    </row>
    <row r="189" spans="1:15" ht="15" customHeight="1" x14ac:dyDescent="0.3">
      <c r="C189" s="72"/>
      <c r="J189" t="str">
        <f t="shared" si="40"/>
        <v/>
      </c>
      <c r="L189" t="str">
        <f t="shared" si="41"/>
        <v/>
      </c>
      <c r="N189" t="str">
        <f t="shared" si="39"/>
        <v/>
      </c>
    </row>
    <row r="190" spans="1:15" ht="15" customHeight="1" x14ac:dyDescent="0.3">
      <c r="C190" s="72"/>
      <c r="J190" t="str">
        <f t="shared" si="40"/>
        <v/>
      </c>
      <c r="L190" t="str">
        <f t="shared" si="41"/>
        <v/>
      </c>
      <c r="N190" t="str">
        <f t="shared" si="39"/>
        <v/>
      </c>
    </row>
    <row r="191" spans="1:15" ht="15" customHeight="1" x14ac:dyDescent="0.3">
      <c r="C191" s="72"/>
      <c r="J191" t="str">
        <f t="shared" si="40"/>
        <v/>
      </c>
      <c r="L191" t="str">
        <f t="shared" si="41"/>
        <v/>
      </c>
      <c r="N191" t="str">
        <f t="shared" si="39"/>
        <v/>
      </c>
    </row>
    <row r="192" spans="1:15" ht="15" customHeight="1" x14ac:dyDescent="0.3">
      <c r="C192" s="72"/>
      <c r="J192" t="str">
        <f t="shared" si="40"/>
        <v/>
      </c>
      <c r="L192" t="str">
        <f t="shared" si="41"/>
        <v/>
      </c>
      <c r="N192" t="str">
        <f t="shared" si="39"/>
        <v/>
      </c>
    </row>
    <row r="193" spans="2:14" ht="15" customHeight="1" x14ac:dyDescent="0.3">
      <c r="C193" s="72"/>
      <c r="J193" t="str">
        <f t="shared" si="40"/>
        <v/>
      </c>
      <c r="L193" t="str">
        <f t="shared" si="41"/>
        <v/>
      </c>
      <c r="N193" t="str">
        <f t="shared" si="39"/>
        <v/>
      </c>
    </row>
    <row r="194" spans="2:14" ht="15" customHeight="1" x14ac:dyDescent="0.3">
      <c r="C194" s="72"/>
      <c r="J194" t="str">
        <f t="shared" si="40"/>
        <v/>
      </c>
      <c r="L194" t="str">
        <f t="shared" si="41"/>
        <v/>
      </c>
      <c r="N194" t="str">
        <f t="shared" si="39"/>
        <v/>
      </c>
    </row>
    <row r="195" spans="2:14" ht="15" customHeight="1" x14ac:dyDescent="0.3">
      <c r="C195" s="72"/>
      <c r="J195" t="str">
        <f t="shared" si="40"/>
        <v/>
      </c>
      <c r="L195" t="str">
        <f t="shared" si="41"/>
        <v/>
      </c>
      <c r="N195" t="str">
        <f t="shared" si="39"/>
        <v/>
      </c>
    </row>
    <row r="196" spans="2:14" ht="15" customHeight="1" x14ac:dyDescent="0.3">
      <c r="C196" s="72"/>
      <c r="J196" t="str">
        <f t="shared" si="40"/>
        <v/>
      </c>
      <c r="L196" t="str">
        <f t="shared" si="41"/>
        <v/>
      </c>
      <c r="N196" t="str">
        <f t="shared" si="39"/>
        <v/>
      </c>
    </row>
    <row r="197" spans="2:14" ht="15" customHeight="1" x14ac:dyDescent="0.3">
      <c r="C197" s="72"/>
      <c r="J197" t="str">
        <f t="shared" si="40"/>
        <v/>
      </c>
      <c r="L197" t="str">
        <f t="shared" si="41"/>
        <v/>
      </c>
      <c r="N197" t="str">
        <f t="shared" si="39"/>
        <v/>
      </c>
    </row>
    <row r="198" spans="2:14" ht="15" customHeight="1" x14ac:dyDescent="0.3">
      <c r="B198" s="141" t="s">
        <v>216</v>
      </c>
      <c r="C198" s="142"/>
      <c r="D198" s="143">
        <f>SUM(D191:D197)</f>
        <v>0</v>
      </c>
      <c r="E198" s="144"/>
      <c r="F198" s="145"/>
      <c r="G198" s="146">
        <f>SUM(G191:G197)</f>
        <v>0</v>
      </c>
      <c r="H198" s="143">
        <f>SUM(H191:H197)</f>
        <v>0</v>
      </c>
      <c r="I198" s="147">
        <f>SUM(I191:I197)</f>
        <v>0</v>
      </c>
      <c r="J198">
        <f>SUM(D159:D197)</f>
        <v>2840</v>
      </c>
      <c r="K198">
        <f>SUM(G159:G197)</f>
        <v>30</v>
      </c>
      <c r="L198" s="28">
        <f>SUM(H159:H197)</f>
        <v>1272</v>
      </c>
      <c r="M198">
        <f>SUM(I159:I197)</f>
        <v>15264</v>
      </c>
      <c r="N198" s="28">
        <f t="shared" si="39"/>
        <v>0</v>
      </c>
    </row>
    <row r="199" spans="2:14" ht="15" customHeight="1" x14ac:dyDescent="0.3">
      <c r="C199" s="72"/>
      <c r="J199" t="str">
        <f>IF(D199="","",ROUNDUP(D199/IF(AND(C199="600 ml",ISNUMBER(SEARCH("NORCAU",B199))),95,IF(AND(C199="600 ml",ISNUMBER(SEARCH("APURATOS",B199))),190,IF(C199="600 ml",95,IF(C199="400 ml",125,IF(C199="200 ml",330,IF(C199="180 ml",240,1)))))),0))</f>
        <v/>
      </c>
      <c r="L199" t="str">
        <f>IF(H199="","",H199)</f>
        <v/>
      </c>
      <c r="N199" t="str">
        <f t="shared" si="39"/>
        <v/>
      </c>
    </row>
  </sheetData>
  <mergeCells count="29">
    <mergeCell ref="A1:I1"/>
    <mergeCell ref="A2:F2"/>
    <mergeCell ref="G2:I2"/>
    <mergeCell ref="A5:A6"/>
    <mergeCell ref="P12:S14"/>
    <mergeCell ref="A13:A14"/>
    <mergeCell ref="P20:S22"/>
    <mergeCell ref="A21:A22"/>
    <mergeCell ref="P28:S30"/>
    <mergeCell ref="A29:A30"/>
    <mergeCell ref="A39:A40"/>
    <mergeCell ref="P39:S41"/>
    <mergeCell ref="A48:A49"/>
    <mergeCell ref="P56:S58"/>
    <mergeCell ref="A57:A58"/>
    <mergeCell ref="P64:S66"/>
    <mergeCell ref="A65:A66"/>
    <mergeCell ref="A73:A74"/>
    <mergeCell ref="A81:A82"/>
    <mergeCell ref="P81:S83"/>
    <mergeCell ref="A93:A96"/>
    <mergeCell ref="P93:S95"/>
    <mergeCell ref="A151:A152"/>
    <mergeCell ref="A160:A161"/>
    <mergeCell ref="A103:A106"/>
    <mergeCell ref="A113:A114"/>
    <mergeCell ref="A122:A123"/>
    <mergeCell ref="A130:A131"/>
    <mergeCell ref="A139:A140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98" xr:uid="{00000000-0002-0000-07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F766E"/>
  </sheetPr>
  <dimension ref="A1:Y30"/>
  <sheetViews>
    <sheetView showGridLines="0" zoomScaleNormal="100" workbookViewId="0">
      <selection activeCell="F20" sqref="F20"/>
    </sheetView>
  </sheetViews>
  <sheetFormatPr defaultColWidth="8.6640625" defaultRowHeight="14.4" x14ac:dyDescent="0.3"/>
  <cols>
    <col min="1" max="1" width="12" style="437" customWidth="1"/>
    <col min="2" max="2" width="15" customWidth="1"/>
    <col min="3" max="3" width="14" customWidth="1"/>
    <col min="4" max="4" width="13.664062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24" max="25" width="13" hidden="1" customWidth="1"/>
  </cols>
  <sheetData>
    <row r="1" spans="1:25" ht="19.5" customHeight="1" x14ac:dyDescent="0.4">
      <c r="A1" s="612" t="s">
        <v>343</v>
      </c>
      <c r="B1" s="612"/>
      <c r="C1" s="612"/>
      <c r="D1" s="612"/>
      <c r="E1" s="612"/>
      <c r="F1" s="612"/>
    </row>
    <row r="3" spans="1:25" ht="14.25" customHeight="1" x14ac:dyDescent="0.3">
      <c r="B3" s="148" t="s">
        <v>234</v>
      </c>
      <c r="D3" s="148" t="s">
        <v>235</v>
      </c>
      <c r="F3" s="149" t="s">
        <v>236</v>
      </c>
      <c r="H3" s="148" t="s">
        <v>237</v>
      </c>
      <c r="J3" s="150" t="s">
        <v>238</v>
      </c>
      <c r="K3" s="151" t="s">
        <v>239</v>
      </c>
      <c r="L3" s="151" t="s">
        <v>240</v>
      </c>
    </row>
    <row r="4" spans="1:25" ht="15.75" customHeight="1" x14ac:dyDescent="0.3">
      <c r="B4" s="152">
        <f>SUM(C9:C30)</f>
        <v>191118</v>
      </c>
      <c r="D4" s="152">
        <f>COUNTA(A9:A30)*CONFIG!$B$3</f>
        <v>220000</v>
      </c>
      <c r="F4" s="152">
        <f ca="1">IFERROR(SUMIFS(C9:C28,A9:A28,"&lt;="&amp;TODAY(),F9:F28,"&lt;&gt;*Feriado*")/COUNTIFS(A9:A28,"&lt;="&amp;TODAY(),F9:F28,"&lt;&gt;*Feriado*"),0)</f>
        <v>9555.9</v>
      </c>
      <c r="H4" s="152">
        <f>IFERROR(MAX(C9:C30),0)</f>
        <v>17172</v>
      </c>
      <c r="J4" s="153">
        <f>IFERROR(B4/D4,0)</f>
        <v>0.86871818181818183</v>
      </c>
      <c r="K4" s="154" t="s">
        <v>241</v>
      </c>
      <c r="L4" s="155" t="s">
        <v>242</v>
      </c>
    </row>
    <row r="5" spans="1:25" ht="15" customHeight="1" x14ac:dyDescent="0.3">
      <c r="K5" s="156" t="s">
        <v>243</v>
      </c>
      <c r="L5" s="157" t="s">
        <v>244</v>
      </c>
    </row>
    <row r="6" spans="1:25" ht="15" customHeight="1" x14ac:dyDescent="0.3">
      <c r="K6" s="158" t="s">
        <v>245</v>
      </c>
      <c r="L6" s="159" t="s">
        <v>246</v>
      </c>
    </row>
    <row r="8" spans="1:25" ht="14.25" customHeight="1" x14ac:dyDescent="0.3">
      <c r="A8" s="442" t="s">
        <v>247</v>
      </c>
      <c r="B8" s="204" t="s">
        <v>248</v>
      </c>
      <c r="C8" s="204" t="s">
        <v>249</v>
      </c>
      <c r="D8" s="204" t="s">
        <v>250</v>
      </c>
      <c r="E8" s="204" t="s">
        <v>251</v>
      </c>
      <c r="F8" s="424" t="s">
        <v>252</v>
      </c>
      <c r="X8" t="s">
        <v>253</v>
      </c>
      <c r="Y8" t="s">
        <v>254</v>
      </c>
    </row>
    <row r="9" spans="1:25" ht="14.25" customHeight="1" x14ac:dyDescent="0.3">
      <c r="A9" s="443">
        <v>46055</v>
      </c>
      <c r="B9" s="219">
        <v>1</v>
      </c>
      <c r="C9" s="221">
        <f>'SEMANA FEVEREIRO'!$M$9</f>
        <v>11328</v>
      </c>
      <c r="D9" s="221">
        <f>CONFIG!$B$3</f>
        <v>11000</v>
      </c>
      <c r="E9" s="221">
        <f t="shared" ref="E9:E28" si="0">C9-D9</f>
        <v>328</v>
      </c>
      <c r="F9" s="426"/>
      <c r="X9" s="28">
        <f t="shared" ref="X9:X28" si="1">IF(COUNTIF($F9,"*Feriado*")&gt;0,NA(),$C9)</f>
        <v>11328</v>
      </c>
      <c r="Y9" s="28">
        <f t="shared" ref="Y9:Y28" si="2">IF(COUNTIF($F9,"*Feriado*")&gt;0,NA(),$D9)</f>
        <v>11000</v>
      </c>
    </row>
    <row r="10" spans="1:25" ht="14.25" customHeight="1" x14ac:dyDescent="0.3">
      <c r="A10" s="444">
        <v>46056</v>
      </c>
      <c r="B10" s="427">
        <v>2</v>
      </c>
      <c r="C10" s="428">
        <f>'SEMANA FEVEREIRO'!$M$17</f>
        <v>8424</v>
      </c>
      <c r="D10" s="428">
        <f>CONFIG!$B$3</f>
        <v>11000</v>
      </c>
      <c r="E10" s="428">
        <f t="shared" si="0"/>
        <v>-2576</v>
      </c>
      <c r="F10" s="426"/>
      <c r="X10" s="28">
        <f t="shared" si="1"/>
        <v>8424</v>
      </c>
      <c r="Y10" s="28">
        <f t="shared" si="2"/>
        <v>11000</v>
      </c>
    </row>
    <row r="11" spans="1:25" ht="14.25" customHeight="1" x14ac:dyDescent="0.3">
      <c r="A11" s="443">
        <v>46057</v>
      </c>
      <c r="B11" s="219">
        <v>3</v>
      </c>
      <c r="C11" s="221">
        <f>'SEMANA FEVEREIRO'!$M$25</f>
        <v>7998</v>
      </c>
      <c r="D11" s="221">
        <f>CONFIG!$B$3</f>
        <v>11000</v>
      </c>
      <c r="E11" s="221">
        <f t="shared" si="0"/>
        <v>-3002</v>
      </c>
      <c r="F11" s="426"/>
      <c r="X11" s="28">
        <f t="shared" si="1"/>
        <v>7998</v>
      </c>
      <c r="Y11" s="28">
        <f t="shared" si="2"/>
        <v>11000</v>
      </c>
    </row>
    <row r="12" spans="1:25" ht="14.25" customHeight="1" x14ac:dyDescent="0.3">
      <c r="A12" s="444">
        <v>46058</v>
      </c>
      <c r="B12" s="427">
        <v>4</v>
      </c>
      <c r="C12" s="428">
        <f>'SEMANA FEVEREIRO'!$M$35</f>
        <v>6786</v>
      </c>
      <c r="D12" s="428">
        <f>CONFIG!$B$3</f>
        <v>11000</v>
      </c>
      <c r="E12" s="428">
        <f t="shared" si="0"/>
        <v>-4214</v>
      </c>
      <c r="F12" s="426"/>
      <c r="X12" s="28">
        <f t="shared" si="1"/>
        <v>6786</v>
      </c>
      <c r="Y12" s="28">
        <f t="shared" si="2"/>
        <v>11000</v>
      </c>
    </row>
    <row r="13" spans="1:25" ht="14.25" customHeight="1" x14ac:dyDescent="0.3">
      <c r="A13" s="443">
        <v>46059</v>
      </c>
      <c r="B13" s="219">
        <v>5</v>
      </c>
      <c r="C13" s="221">
        <f>'SEMANA FEVEREIRO'!$M$44</f>
        <v>0</v>
      </c>
      <c r="D13" s="221">
        <f>CONFIG!$B$3</f>
        <v>11000</v>
      </c>
      <c r="E13" s="221">
        <f t="shared" si="0"/>
        <v>-11000</v>
      </c>
      <c r="F13" s="426"/>
      <c r="X13" s="28">
        <f t="shared" si="1"/>
        <v>0</v>
      </c>
      <c r="Y13" s="28">
        <f t="shared" si="2"/>
        <v>11000</v>
      </c>
    </row>
    <row r="14" spans="1:25" ht="14.25" customHeight="1" x14ac:dyDescent="0.3">
      <c r="A14" s="444">
        <v>46062</v>
      </c>
      <c r="B14" s="427">
        <v>6</v>
      </c>
      <c r="C14" s="428">
        <f>'SEMANA FEVEREIRO'!$M$53</f>
        <v>14532</v>
      </c>
      <c r="D14" s="428">
        <f>CONFIG!$B$3</f>
        <v>11000</v>
      </c>
      <c r="E14" s="428">
        <f t="shared" si="0"/>
        <v>3532</v>
      </c>
      <c r="F14" s="426"/>
      <c r="X14" s="28">
        <f t="shared" si="1"/>
        <v>14532</v>
      </c>
      <c r="Y14" s="28">
        <f t="shared" si="2"/>
        <v>11000</v>
      </c>
    </row>
    <row r="15" spans="1:25" ht="14.25" customHeight="1" x14ac:dyDescent="0.3">
      <c r="A15" s="443">
        <v>46063</v>
      </c>
      <c r="B15" s="219">
        <v>7</v>
      </c>
      <c r="C15" s="221">
        <f>'SEMANA FEVEREIRO'!$M$61</f>
        <v>12324</v>
      </c>
      <c r="D15" s="221">
        <f>CONFIG!$B$3</f>
        <v>11000</v>
      </c>
      <c r="E15" s="221">
        <f t="shared" si="0"/>
        <v>1324</v>
      </c>
      <c r="F15" s="426"/>
      <c r="X15" s="28">
        <f t="shared" si="1"/>
        <v>12324</v>
      </c>
      <c r="Y15" s="28">
        <f t="shared" si="2"/>
        <v>11000</v>
      </c>
    </row>
    <row r="16" spans="1:25" ht="14.25" customHeight="1" x14ac:dyDescent="0.3">
      <c r="A16" s="444">
        <v>46064</v>
      </c>
      <c r="B16" s="427">
        <v>8</v>
      </c>
      <c r="C16" s="428">
        <f>'SEMANA FEVEREIRO'!$M$69</f>
        <v>14532</v>
      </c>
      <c r="D16" s="428">
        <f>CONFIG!$B$3</f>
        <v>11000</v>
      </c>
      <c r="E16" s="428">
        <f t="shared" si="0"/>
        <v>3532</v>
      </c>
      <c r="F16" s="426"/>
      <c r="X16" s="28">
        <f t="shared" si="1"/>
        <v>14532</v>
      </c>
      <c r="Y16" s="28">
        <f t="shared" si="2"/>
        <v>11000</v>
      </c>
    </row>
    <row r="17" spans="1:25" ht="14.25" customHeight="1" x14ac:dyDescent="0.3">
      <c r="A17" s="443">
        <v>46065</v>
      </c>
      <c r="B17" s="219">
        <v>9</v>
      </c>
      <c r="C17" s="221">
        <f>'SEMANA FEVEREIRO'!$M$77</f>
        <v>17172</v>
      </c>
      <c r="D17" s="221">
        <f>CONFIG!$B$3</f>
        <v>11000</v>
      </c>
      <c r="E17" s="221">
        <f t="shared" si="0"/>
        <v>6172</v>
      </c>
      <c r="F17" s="426"/>
      <c r="X17" s="28">
        <f t="shared" si="1"/>
        <v>17172</v>
      </c>
      <c r="Y17" s="28">
        <f t="shared" si="2"/>
        <v>11000</v>
      </c>
    </row>
    <row r="18" spans="1:25" ht="14.25" customHeight="1" x14ac:dyDescent="0.3">
      <c r="A18" s="444">
        <v>46066</v>
      </c>
      <c r="B18" s="427">
        <v>10</v>
      </c>
      <c r="C18" s="428">
        <f>'SEMANA FEVEREIRO'!$M$89</f>
        <v>9624</v>
      </c>
      <c r="D18" s="428">
        <f>CONFIG!$B$3</f>
        <v>11000</v>
      </c>
      <c r="E18" s="428">
        <f t="shared" si="0"/>
        <v>-1376</v>
      </c>
      <c r="F18" s="426"/>
      <c r="X18" s="28">
        <f t="shared" si="1"/>
        <v>9624</v>
      </c>
      <c r="Y18" s="28">
        <f t="shared" si="2"/>
        <v>11000</v>
      </c>
    </row>
    <row r="19" spans="1:25" ht="14.25" customHeight="1" x14ac:dyDescent="0.3">
      <c r="A19" s="443">
        <v>46069</v>
      </c>
      <c r="B19" s="219">
        <v>11</v>
      </c>
      <c r="C19" s="221">
        <v>0</v>
      </c>
      <c r="D19" s="221">
        <f>CONFIG!$B$3</f>
        <v>11000</v>
      </c>
      <c r="E19" s="221">
        <f t="shared" si="0"/>
        <v>-11000</v>
      </c>
      <c r="F19" s="426"/>
      <c r="X19" s="28">
        <f t="shared" si="1"/>
        <v>0</v>
      </c>
      <c r="Y19" s="28">
        <f t="shared" si="2"/>
        <v>11000</v>
      </c>
    </row>
    <row r="20" spans="1:25" ht="14.25" customHeight="1" x14ac:dyDescent="0.3">
      <c r="A20" s="444">
        <v>46070</v>
      </c>
      <c r="B20" s="427">
        <v>12</v>
      </c>
      <c r="C20" s="428">
        <v>0</v>
      </c>
      <c r="D20" s="428">
        <f>CONFIG!$B$3</f>
        <v>11000</v>
      </c>
      <c r="E20" s="428">
        <f t="shared" si="0"/>
        <v>-11000</v>
      </c>
      <c r="F20" s="426"/>
      <c r="X20" s="28">
        <f t="shared" si="1"/>
        <v>0</v>
      </c>
      <c r="Y20" s="28">
        <f t="shared" si="2"/>
        <v>11000</v>
      </c>
    </row>
    <row r="21" spans="1:25" ht="14.25" customHeight="1" x14ac:dyDescent="0.3">
      <c r="A21" s="443">
        <v>46071</v>
      </c>
      <c r="B21" s="219">
        <v>13</v>
      </c>
      <c r="C21" s="221">
        <f>'SEMANA FEVEREIRO'!$M$99</f>
        <v>5268</v>
      </c>
      <c r="D21" s="221">
        <f>CONFIG!$B$3</f>
        <v>11000</v>
      </c>
      <c r="E21" s="221">
        <f t="shared" si="0"/>
        <v>-5732</v>
      </c>
      <c r="F21" s="426"/>
      <c r="X21" s="28">
        <f t="shared" si="1"/>
        <v>5268</v>
      </c>
      <c r="Y21" s="28">
        <f t="shared" si="2"/>
        <v>11000</v>
      </c>
    </row>
    <row r="22" spans="1:25" ht="14.25" customHeight="1" x14ac:dyDescent="0.3">
      <c r="A22" s="444">
        <v>46072</v>
      </c>
      <c r="B22" s="427">
        <v>14</v>
      </c>
      <c r="C22" s="428">
        <f>'SEMANA FEVEREIRO'!$M$109</f>
        <v>11796</v>
      </c>
      <c r="D22" s="428">
        <f>CONFIG!$B$3</f>
        <v>11000</v>
      </c>
      <c r="E22" s="428">
        <f t="shared" si="0"/>
        <v>796</v>
      </c>
      <c r="F22" s="426"/>
      <c r="X22" s="28">
        <f t="shared" si="1"/>
        <v>11796</v>
      </c>
      <c r="Y22" s="28">
        <f t="shared" si="2"/>
        <v>11000</v>
      </c>
    </row>
    <row r="23" spans="1:25" ht="14.25" customHeight="1" x14ac:dyDescent="0.3">
      <c r="A23" s="443">
        <v>46073</v>
      </c>
      <c r="B23" s="219">
        <v>15</v>
      </c>
      <c r="C23" s="221">
        <f>'SEMANA FEVEREIRO'!$M$118</f>
        <v>13164</v>
      </c>
      <c r="D23" s="221">
        <f>CONFIG!$B$3</f>
        <v>11000</v>
      </c>
      <c r="E23" s="221">
        <f t="shared" si="0"/>
        <v>2164</v>
      </c>
      <c r="F23" s="426"/>
      <c r="X23" s="28">
        <f t="shared" si="1"/>
        <v>13164</v>
      </c>
      <c r="Y23" s="28">
        <f t="shared" si="2"/>
        <v>11000</v>
      </c>
    </row>
    <row r="24" spans="1:25" ht="14.25" customHeight="1" x14ac:dyDescent="0.3">
      <c r="A24" s="444">
        <v>46076</v>
      </c>
      <c r="B24" s="427">
        <v>16</v>
      </c>
      <c r="C24" s="428">
        <f>'SEMANA FEVEREIRO'!$M$126</f>
        <v>15888</v>
      </c>
      <c r="D24" s="428">
        <f>CONFIG!$B$3</f>
        <v>11000</v>
      </c>
      <c r="E24" s="428">
        <f t="shared" si="0"/>
        <v>4888</v>
      </c>
      <c r="F24" s="426"/>
      <c r="X24" s="28">
        <f t="shared" si="1"/>
        <v>15888</v>
      </c>
      <c r="Y24" s="28">
        <f t="shared" si="2"/>
        <v>11000</v>
      </c>
    </row>
    <row r="25" spans="1:25" ht="14.25" customHeight="1" x14ac:dyDescent="0.3">
      <c r="A25" s="443">
        <v>46077</v>
      </c>
      <c r="B25" s="219">
        <v>17</v>
      </c>
      <c r="C25" s="221">
        <f>'SEMANA FEVEREIRO'!$M$135</f>
        <v>12732</v>
      </c>
      <c r="D25" s="221">
        <f>CONFIG!$B$3</f>
        <v>11000</v>
      </c>
      <c r="E25" s="221">
        <f t="shared" si="0"/>
        <v>1732</v>
      </c>
      <c r="F25" s="426"/>
      <c r="X25" s="28">
        <f t="shared" si="1"/>
        <v>12732</v>
      </c>
      <c r="Y25" s="28">
        <f t="shared" si="2"/>
        <v>11000</v>
      </c>
    </row>
    <row r="26" spans="1:25" ht="14.25" customHeight="1" x14ac:dyDescent="0.3">
      <c r="A26" s="444">
        <v>46078</v>
      </c>
      <c r="B26" s="427">
        <v>18</v>
      </c>
      <c r="C26" s="428">
        <f>'SEMANA FEVEREIRO'!$M$147</f>
        <v>9132</v>
      </c>
      <c r="D26" s="428">
        <f>CONFIG!$B$3</f>
        <v>11000</v>
      </c>
      <c r="E26" s="428">
        <f t="shared" si="0"/>
        <v>-1868</v>
      </c>
      <c r="F26" s="426"/>
      <c r="X26" s="28">
        <f t="shared" si="1"/>
        <v>9132</v>
      </c>
      <c r="Y26" s="28">
        <f t="shared" si="2"/>
        <v>11000</v>
      </c>
    </row>
    <row r="27" spans="1:25" ht="14.25" customHeight="1" x14ac:dyDescent="0.3">
      <c r="A27" s="443">
        <v>46079</v>
      </c>
      <c r="B27" s="219">
        <v>19</v>
      </c>
      <c r="C27" s="221">
        <f>'SEMANA FEVEREIRO'!$M$156</f>
        <v>12786</v>
      </c>
      <c r="D27" s="221">
        <f>CONFIG!$B$3</f>
        <v>11000</v>
      </c>
      <c r="E27" s="221">
        <f t="shared" si="0"/>
        <v>1786</v>
      </c>
      <c r="F27" s="426"/>
      <c r="X27" s="28">
        <f t="shared" si="1"/>
        <v>12786</v>
      </c>
      <c r="Y27" s="28">
        <f t="shared" si="2"/>
        <v>11000</v>
      </c>
    </row>
    <row r="28" spans="1:25" ht="14.25" customHeight="1" x14ac:dyDescent="0.3">
      <c r="A28" s="444">
        <v>46080</v>
      </c>
      <c r="B28" s="427">
        <v>20</v>
      </c>
      <c r="C28" s="428">
        <f>'SEMANA FEVEREIRO'!$M$164</f>
        <v>7632</v>
      </c>
      <c r="D28" s="428">
        <f>CONFIG!$B$3</f>
        <v>11000</v>
      </c>
      <c r="E28" s="428">
        <f t="shared" si="0"/>
        <v>-3368</v>
      </c>
      <c r="F28" s="426"/>
      <c r="X28" s="28">
        <f t="shared" si="1"/>
        <v>7632</v>
      </c>
      <c r="Y28" s="28">
        <f t="shared" si="2"/>
        <v>11000</v>
      </c>
    </row>
    <row r="29" spans="1:25" ht="14.25" customHeight="1" x14ac:dyDescent="0.3">
      <c r="A29" s="445"/>
      <c r="B29" s="172"/>
      <c r="C29" s="173"/>
      <c r="D29" s="173"/>
      <c r="E29" s="173"/>
    </row>
    <row r="30" spans="1:25" ht="14.25" customHeight="1" x14ac:dyDescent="0.3">
      <c r="A30" s="445"/>
      <c r="B30" s="172"/>
      <c r="C30" s="173"/>
      <c r="D30" s="173"/>
      <c r="E30" s="173"/>
    </row>
  </sheetData>
  <mergeCells count="1">
    <mergeCell ref="A1:F1"/>
  </mergeCells>
  <conditionalFormatting sqref="E9:E30">
    <cfRule type="cellIs" dxfId="50" priority="2" operator="greaterThan">
      <formula>0</formula>
    </cfRule>
    <cfRule type="cellIs" dxfId="49" priority="3" operator="lessThan">
      <formula>0</formula>
    </cfRule>
    <cfRule type="cellIs" dxfId="48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96B0A"/>
  </sheetPr>
  <dimension ref="B1:O300"/>
  <sheetViews>
    <sheetView showGridLines="0" topLeftCell="A131" zoomScaleNormal="100" workbookViewId="0">
      <selection activeCell="M135" sqref="M135"/>
    </sheetView>
  </sheetViews>
  <sheetFormatPr defaultColWidth="8.6640625" defaultRowHeight="17.399999999999999" x14ac:dyDescent="0.3"/>
  <cols>
    <col min="1" max="1" width="2.5546875" customWidth="1"/>
    <col min="2" max="2" width="13.5546875" style="5" customWidth="1"/>
    <col min="3" max="3" width="7.6640625" style="6" customWidth="1"/>
    <col min="4" max="4" width="12.6640625" style="6" customWidth="1"/>
    <col min="5" max="5" width="9.109375" style="7" customWidth="1"/>
    <col min="6" max="6" width="13.5546875" style="7" customWidth="1"/>
    <col min="7" max="7" width="6.6640625" style="7" customWidth="1"/>
    <col min="8" max="8" width="8" style="7" customWidth="1"/>
    <col min="9" max="9" width="7.5546875" style="7" customWidth="1"/>
    <col min="10" max="10" width="20" style="7" customWidth="1"/>
    <col min="11" max="11" width="9.109375" style="7" customWidth="1"/>
    <col min="12" max="12" width="21" style="7" customWidth="1"/>
    <col min="13" max="13" width="18.109375" style="6" customWidth="1"/>
    <col min="14" max="14" width="17.109375" style="441" customWidth="1"/>
    <col min="15" max="15" width="10.5546875" customWidth="1"/>
  </cols>
  <sheetData>
    <row r="1" spans="2:14" ht="21.75" customHeight="1" x14ac:dyDescent="0.3">
      <c r="B1" s="561" t="s">
        <v>344</v>
      </c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561"/>
    </row>
    <row r="2" spans="2:14" ht="15" customHeight="1" x14ac:dyDescent="0.3"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</row>
    <row r="3" spans="2:14" ht="17.25" customHeight="1" x14ac:dyDescent="0.3">
      <c r="B3" s="8" t="s">
        <v>75</v>
      </c>
      <c r="C3" s="561" t="s">
        <v>76</v>
      </c>
      <c r="D3" s="561"/>
      <c r="E3" s="561" t="s">
        <v>77</v>
      </c>
      <c r="F3" s="561"/>
      <c r="G3" s="561" t="s">
        <v>78</v>
      </c>
      <c r="H3" s="561"/>
      <c r="I3" s="561"/>
      <c r="J3" s="561"/>
      <c r="K3" s="561" t="s">
        <v>79</v>
      </c>
      <c r="L3" s="561"/>
      <c r="M3" s="8" t="s">
        <v>80</v>
      </c>
      <c r="N3" s="449" t="s">
        <v>81</v>
      </c>
    </row>
    <row r="4" spans="2:14" ht="17.25" customHeight="1" x14ac:dyDescent="0.3">
      <c r="B4" s="175" t="s">
        <v>345</v>
      </c>
      <c r="C4" s="619">
        <v>26010237</v>
      </c>
      <c r="D4" s="619"/>
      <c r="E4" s="618"/>
      <c r="F4" s="618"/>
      <c r="G4" s="619" t="s">
        <v>159</v>
      </c>
      <c r="H4" s="619"/>
      <c r="I4" s="619"/>
      <c r="J4" s="619"/>
      <c r="K4" s="619" t="s">
        <v>160</v>
      </c>
      <c r="L4" s="619"/>
      <c r="M4" s="177" t="s">
        <v>102</v>
      </c>
      <c r="N4" s="439">
        <v>46085</v>
      </c>
    </row>
    <row r="5" spans="2:14" ht="17.25" customHeight="1" x14ac:dyDescent="0.3">
      <c r="B5" s="175" t="s">
        <v>346</v>
      </c>
      <c r="C5" s="619">
        <v>26010238</v>
      </c>
      <c r="D5" s="619"/>
      <c r="E5" s="618"/>
      <c r="F5" s="618"/>
      <c r="G5" s="619" t="s">
        <v>347</v>
      </c>
      <c r="H5" s="619"/>
      <c r="I5" s="619"/>
      <c r="J5" s="619"/>
      <c r="K5" s="619" t="s">
        <v>101</v>
      </c>
      <c r="L5" s="619"/>
      <c r="M5" s="175" t="s">
        <v>135</v>
      </c>
      <c r="N5" s="439">
        <v>46085</v>
      </c>
    </row>
    <row r="6" spans="2:14" ht="17.25" customHeight="1" x14ac:dyDescent="0.3">
      <c r="B6" s="175" t="s">
        <v>348</v>
      </c>
      <c r="C6" s="619">
        <v>26010239</v>
      </c>
      <c r="D6" s="619"/>
      <c r="E6" s="618"/>
      <c r="F6" s="618"/>
      <c r="G6" s="619" t="s">
        <v>93</v>
      </c>
      <c r="H6" s="619"/>
      <c r="I6" s="619"/>
      <c r="J6" s="619"/>
      <c r="K6" s="619" t="s">
        <v>91</v>
      </c>
      <c r="L6" s="619"/>
      <c r="M6" s="177" t="s">
        <v>349</v>
      </c>
      <c r="N6" s="439">
        <v>46086</v>
      </c>
    </row>
    <row r="7" spans="2:14" ht="17.25" customHeight="1" x14ac:dyDescent="0.3">
      <c r="B7" s="175" t="s">
        <v>350</v>
      </c>
      <c r="C7" s="619">
        <v>26040240</v>
      </c>
      <c r="D7" s="619"/>
      <c r="E7" s="618"/>
      <c r="F7" s="618"/>
      <c r="G7" s="619" t="s">
        <v>351</v>
      </c>
      <c r="H7" s="619"/>
      <c r="I7" s="619"/>
      <c r="J7" s="619"/>
      <c r="K7" s="619" t="s">
        <v>296</v>
      </c>
      <c r="L7" s="619"/>
      <c r="M7" s="177" t="s">
        <v>352</v>
      </c>
      <c r="N7" s="439">
        <v>46100</v>
      </c>
    </row>
    <row r="8" spans="2:14" ht="17.25" customHeight="1" x14ac:dyDescent="0.3">
      <c r="B8" s="175" t="s">
        <v>353</v>
      </c>
      <c r="C8" s="619">
        <v>26040241</v>
      </c>
      <c r="D8" s="619"/>
      <c r="E8" s="618"/>
      <c r="F8" s="618"/>
      <c r="G8" s="619" t="s">
        <v>294</v>
      </c>
      <c r="H8" s="619"/>
      <c r="I8" s="619"/>
      <c r="J8" s="619"/>
      <c r="K8" s="619" t="s">
        <v>354</v>
      </c>
      <c r="L8" s="619"/>
      <c r="M8" s="177" t="s">
        <v>135</v>
      </c>
      <c r="N8" s="439">
        <v>46087</v>
      </c>
    </row>
    <row r="9" spans="2:14" ht="18" customHeight="1" x14ac:dyDescent="0.3">
      <c r="B9" s="619" t="s">
        <v>355</v>
      </c>
      <c r="C9" s="619">
        <v>26040242</v>
      </c>
      <c r="D9" s="619"/>
      <c r="E9" s="618"/>
      <c r="F9" s="618"/>
      <c r="G9" s="619" t="s">
        <v>356</v>
      </c>
      <c r="H9" s="619"/>
      <c r="I9" s="619"/>
      <c r="J9" s="619"/>
      <c r="K9" s="619" t="s">
        <v>357</v>
      </c>
      <c r="L9" s="619"/>
      <c r="M9" s="177" t="s">
        <v>135</v>
      </c>
      <c r="N9" s="439">
        <v>46087</v>
      </c>
    </row>
    <row r="10" spans="2:14" ht="18" customHeight="1" x14ac:dyDescent="0.3">
      <c r="B10" s="619"/>
      <c r="C10" s="619">
        <v>26010243</v>
      </c>
      <c r="D10" s="619"/>
      <c r="E10" s="618"/>
      <c r="F10" s="618"/>
      <c r="G10" s="619" t="s">
        <v>358</v>
      </c>
      <c r="H10" s="619"/>
      <c r="I10" s="619"/>
      <c r="J10" s="619"/>
      <c r="K10" s="619"/>
      <c r="L10" s="619"/>
      <c r="M10" s="177" t="s">
        <v>135</v>
      </c>
      <c r="N10" s="439">
        <v>46086</v>
      </c>
    </row>
    <row r="11" spans="2:14" ht="18" customHeight="1" x14ac:dyDescent="0.3">
      <c r="B11" s="619" t="s">
        <v>359</v>
      </c>
      <c r="C11" s="619">
        <v>26010245</v>
      </c>
      <c r="D11" s="619"/>
      <c r="E11" s="624"/>
      <c r="F11" s="624"/>
      <c r="G11" s="619" t="s">
        <v>104</v>
      </c>
      <c r="H11" s="619"/>
      <c r="I11" s="619"/>
      <c r="J11" s="619"/>
      <c r="K11" s="619" t="s">
        <v>105</v>
      </c>
      <c r="L11" s="619"/>
      <c r="M11" s="175" t="s">
        <v>106</v>
      </c>
      <c r="N11" s="439">
        <v>46084</v>
      </c>
    </row>
    <row r="12" spans="2:14" ht="18" customHeight="1" x14ac:dyDescent="0.3">
      <c r="B12" s="619"/>
      <c r="C12" s="619">
        <v>26010246</v>
      </c>
      <c r="D12" s="619"/>
      <c r="E12" s="618"/>
      <c r="F12" s="618"/>
      <c r="G12" s="619" t="s">
        <v>104</v>
      </c>
      <c r="H12" s="619"/>
      <c r="I12" s="619"/>
      <c r="J12" s="619"/>
      <c r="K12" s="619"/>
      <c r="L12" s="619"/>
      <c r="M12" s="175" t="s">
        <v>106</v>
      </c>
      <c r="N12" s="439">
        <v>46084</v>
      </c>
    </row>
    <row r="13" spans="2:14" ht="18" customHeight="1" x14ac:dyDescent="0.3">
      <c r="B13" s="619"/>
      <c r="C13" s="619">
        <v>26010247</v>
      </c>
      <c r="D13" s="619"/>
      <c r="E13" s="618"/>
      <c r="F13" s="618"/>
      <c r="G13" s="619" t="s">
        <v>104</v>
      </c>
      <c r="H13" s="619"/>
      <c r="I13" s="619"/>
      <c r="J13" s="619"/>
      <c r="K13" s="619"/>
      <c r="L13" s="619"/>
      <c r="M13" s="175" t="s">
        <v>106</v>
      </c>
      <c r="N13" s="439">
        <v>46084</v>
      </c>
    </row>
    <row r="14" spans="2:14" ht="18" customHeight="1" x14ac:dyDescent="0.3">
      <c r="B14" s="619"/>
      <c r="C14" s="619">
        <v>26010248</v>
      </c>
      <c r="D14" s="619"/>
      <c r="E14" s="618"/>
      <c r="F14" s="618"/>
      <c r="G14" s="619" t="s">
        <v>104</v>
      </c>
      <c r="H14" s="619"/>
      <c r="I14" s="619"/>
      <c r="J14" s="619"/>
      <c r="K14" s="619"/>
      <c r="L14" s="619"/>
      <c r="M14" s="175" t="s">
        <v>106</v>
      </c>
      <c r="N14" s="439">
        <v>46084</v>
      </c>
    </row>
    <row r="15" spans="2:14" ht="18" customHeight="1" x14ac:dyDescent="0.3">
      <c r="B15" s="619"/>
      <c r="C15" s="619">
        <v>26010249</v>
      </c>
      <c r="D15" s="619"/>
      <c r="E15" s="618"/>
      <c r="F15" s="618"/>
      <c r="G15" s="619" t="s">
        <v>104</v>
      </c>
      <c r="H15" s="619"/>
      <c r="I15" s="619"/>
      <c r="J15" s="619"/>
      <c r="K15" s="619"/>
      <c r="L15" s="619"/>
      <c r="M15" s="175" t="s">
        <v>106</v>
      </c>
      <c r="N15" s="439">
        <v>46085</v>
      </c>
    </row>
    <row r="16" spans="2:14" ht="18" customHeight="1" x14ac:dyDescent="0.3">
      <c r="B16" s="619"/>
      <c r="C16" s="619">
        <v>26010250</v>
      </c>
      <c r="D16" s="619"/>
      <c r="E16" s="618"/>
      <c r="F16" s="618"/>
      <c r="G16" s="619" t="s">
        <v>104</v>
      </c>
      <c r="H16" s="619"/>
      <c r="I16" s="619"/>
      <c r="J16" s="619"/>
      <c r="K16" s="619"/>
      <c r="L16" s="619"/>
      <c r="M16" s="175" t="s">
        <v>106</v>
      </c>
      <c r="N16" s="439">
        <v>46085</v>
      </c>
    </row>
    <row r="17" spans="2:14" ht="18" customHeight="1" x14ac:dyDescent="0.3">
      <c r="B17" s="619"/>
      <c r="C17" s="619">
        <v>26010251</v>
      </c>
      <c r="D17" s="619"/>
      <c r="E17" s="618"/>
      <c r="F17" s="618"/>
      <c r="G17" s="619" t="s">
        <v>104</v>
      </c>
      <c r="H17" s="619"/>
      <c r="I17" s="619"/>
      <c r="J17" s="619"/>
      <c r="K17" s="619"/>
      <c r="L17" s="619"/>
      <c r="M17" s="175" t="s">
        <v>106</v>
      </c>
      <c r="N17" s="439">
        <v>46085</v>
      </c>
    </row>
    <row r="18" spans="2:14" ht="18" customHeight="1" x14ac:dyDescent="0.3">
      <c r="B18" s="619"/>
      <c r="C18" s="619">
        <v>26010252</v>
      </c>
      <c r="D18" s="619"/>
      <c r="E18" s="626"/>
      <c r="F18" s="626"/>
      <c r="G18" s="619" t="s">
        <v>104</v>
      </c>
      <c r="H18" s="619"/>
      <c r="I18" s="619"/>
      <c r="J18" s="619"/>
      <c r="K18" s="619"/>
      <c r="L18" s="619"/>
      <c r="M18" s="175" t="s">
        <v>106</v>
      </c>
      <c r="N18" s="439">
        <v>46086</v>
      </c>
    </row>
    <row r="19" spans="2:14" ht="18" customHeight="1" x14ac:dyDescent="0.3">
      <c r="B19" s="619"/>
      <c r="C19" s="619">
        <v>26010253</v>
      </c>
      <c r="D19" s="619"/>
      <c r="E19" s="624"/>
      <c r="F19" s="624"/>
      <c r="G19" s="619" t="s">
        <v>104</v>
      </c>
      <c r="H19" s="619"/>
      <c r="I19" s="619"/>
      <c r="J19" s="619"/>
      <c r="K19" s="619"/>
      <c r="L19" s="619"/>
      <c r="M19" s="175" t="s">
        <v>106</v>
      </c>
      <c r="N19" s="439">
        <v>46086</v>
      </c>
    </row>
    <row r="20" spans="2:14" ht="18" customHeight="1" x14ac:dyDescent="0.3">
      <c r="B20" s="619"/>
      <c r="C20" s="619">
        <v>26010254</v>
      </c>
      <c r="D20" s="619"/>
      <c r="E20" s="618"/>
      <c r="F20" s="618"/>
      <c r="G20" s="619" t="s">
        <v>147</v>
      </c>
      <c r="H20" s="619"/>
      <c r="I20" s="619"/>
      <c r="J20" s="619"/>
      <c r="K20" s="619"/>
      <c r="L20" s="619"/>
      <c r="M20" s="175" t="s">
        <v>106</v>
      </c>
      <c r="N20" s="439">
        <v>46085</v>
      </c>
    </row>
    <row r="21" spans="2:14" ht="18" customHeight="1" x14ac:dyDescent="0.3">
      <c r="B21" s="619"/>
      <c r="C21" s="619">
        <v>26010255</v>
      </c>
      <c r="D21" s="619"/>
      <c r="E21" s="618"/>
      <c r="F21" s="618"/>
      <c r="G21" s="619" t="s">
        <v>147</v>
      </c>
      <c r="H21" s="619"/>
      <c r="I21" s="619"/>
      <c r="J21" s="619"/>
      <c r="K21" s="619"/>
      <c r="L21" s="619"/>
      <c r="M21" s="175" t="s">
        <v>106</v>
      </c>
      <c r="N21" s="439">
        <v>46085</v>
      </c>
    </row>
    <row r="22" spans="2:14" ht="18" customHeight="1" x14ac:dyDescent="0.3">
      <c r="B22" s="619"/>
      <c r="C22" s="619">
        <v>26010256</v>
      </c>
      <c r="D22" s="619"/>
      <c r="E22" s="618"/>
      <c r="F22" s="618"/>
      <c r="G22" s="619" t="s">
        <v>147</v>
      </c>
      <c r="H22" s="619"/>
      <c r="I22" s="619"/>
      <c r="J22" s="619"/>
      <c r="K22" s="619"/>
      <c r="L22" s="619"/>
      <c r="M22" s="175" t="s">
        <v>106</v>
      </c>
      <c r="N22" s="439">
        <v>46085</v>
      </c>
    </row>
    <row r="23" spans="2:14" ht="18" customHeight="1" x14ac:dyDescent="0.3">
      <c r="B23" s="619"/>
      <c r="C23" s="619">
        <v>26010257</v>
      </c>
      <c r="D23" s="619"/>
      <c r="E23" s="618"/>
      <c r="F23" s="618"/>
      <c r="G23" s="619" t="s">
        <v>147</v>
      </c>
      <c r="H23" s="619"/>
      <c r="I23" s="619"/>
      <c r="J23" s="619"/>
      <c r="K23" s="619"/>
      <c r="L23" s="619"/>
      <c r="M23" s="175" t="s">
        <v>106</v>
      </c>
      <c r="N23" s="439">
        <v>46085</v>
      </c>
    </row>
    <row r="24" spans="2:14" ht="18" customHeight="1" x14ac:dyDescent="0.3">
      <c r="B24" s="619"/>
      <c r="C24" s="619">
        <v>26010258</v>
      </c>
      <c r="D24" s="619"/>
      <c r="E24" s="624"/>
      <c r="F24" s="624"/>
      <c r="G24" s="619" t="s">
        <v>147</v>
      </c>
      <c r="H24" s="619"/>
      <c r="I24" s="619"/>
      <c r="J24" s="619"/>
      <c r="K24" s="619"/>
      <c r="L24" s="619"/>
      <c r="M24" s="175" t="s">
        <v>106</v>
      </c>
      <c r="N24" s="439">
        <v>46086</v>
      </c>
    </row>
    <row r="25" spans="2:14" ht="18" customHeight="1" x14ac:dyDescent="0.3">
      <c r="B25" s="619"/>
      <c r="C25" s="619">
        <v>26010259</v>
      </c>
      <c r="D25" s="619"/>
      <c r="E25" s="624"/>
      <c r="F25" s="624"/>
      <c r="G25" s="619" t="s">
        <v>147</v>
      </c>
      <c r="H25" s="619"/>
      <c r="I25" s="619"/>
      <c r="J25" s="619"/>
      <c r="K25" s="619"/>
      <c r="L25" s="619"/>
      <c r="M25" s="175" t="s">
        <v>106</v>
      </c>
      <c r="N25" s="439">
        <v>46086</v>
      </c>
    </row>
    <row r="26" spans="2:14" ht="18" customHeight="1" x14ac:dyDescent="0.3">
      <c r="B26" s="619"/>
      <c r="C26" s="619">
        <v>26010260</v>
      </c>
      <c r="D26" s="619"/>
      <c r="E26" s="626"/>
      <c r="F26" s="626"/>
      <c r="G26" s="619" t="s">
        <v>104</v>
      </c>
      <c r="H26" s="619"/>
      <c r="I26" s="619"/>
      <c r="J26" s="619"/>
      <c r="K26" s="619"/>
      <c r="L26" s="619"/>
      <c r="M26" s="175" t="s">
        <v>106</v>
      </c>
      <c r="N26" s="439">
        <v>46086</v>
      </c>
    </row>
    <row r="27" spans="2:14" ht="18" customHeight="1" x14ac:dyDescent="0.3">
      <c r="B27" s="619"/>
      <c r="C27" s="619">
        <v>26010261</v>
      </c>
      <c r="D27" s="619"/>
      <c r="E27" s="618"/>
      <c r="F27" s="618"/>
      <c r="G27" s="619" t="s">
        <v>104</v>
      </c>
      <c r="H27" s="619"/>
      <c r="I27" s="619"/>
      <c r="J27" s="619"/>
      <c r="K27" s="619"/>
      <c r="L27" s="619"/>
      <c r="M27" s="175" t="s">
        <v>106</v>
      </c>
      <c r="N27" s="439">
        <v>46086</v>
      </c>
    </row>
    <row r="28" spans="2:14" ht="18" customHeight="1" x14ac:dyDescent="0.3">
      <c r="B28" s="619"/>
      <c r="C28" s="619">
        <v>26010262</v>
      </c>
      <c r="D28" s="619"/>
      <c r="E28" s="618"/>
      <c r="F28" s="618"/>
      <c r="G28" s="619" t="s">
        <v>104</v>
      </c>
      <c r="H28" s="619"/>
      <c r="I28" s="619"/>
      <c r="J28" s="619"/>
      <c r="K28" s="619"/>
      <c r="L28" s="619"/>
      <c r="M28" s="175" t="s">
        <v>106</v>
      </c>
      <c r="N28" s="439">
        <v>46090</v>
      </c>
    </row>
    <row r="29" spans="2:14" ht="18" customHeight="1" x14ac:dyDescent="0.3">
      <c r="B29" s="619"/>
      <c r="C29" s="619">
        <v>26010263</v>
      </c>
      <c r="D29" s="619"/>
      <c r="E29" s="618"/>
      <c r="F29" s="618"/>
      <c r="G29" s="619" t="s">
        <v>104</v>
      </c>
      <c r="H29" s="619"/>
      <c r="I29" s="619"/>
      <c r="J29" s="619"/>
      <c r="K29" s="619"/>
      <c r="L29" s="619"/>
      <c r="M29" s="175" t="s">
        <v>106</v>
      </c>
      <c r="N29" s="439">
        <v>46090</v>
      </c>
    </row>
    <row r="30" spans="2:14" ht="18" customHeight="1" x14ac:dyDescent="0.3">
      <c r="B30" s="619"/>
      <c r="C30" s="619">
        <v>26010264</v>
      </c>
      <c r="D30" s="619"/>
      <c r="E30" s="618"/>
      <c r="F30" s="618"/>
      <c r="G30" s="619" t="s">
        <v>104</v>
      </c>
      <c r="H30" s="619"/>
      <c r="I30" s="619"/>
      <c r="J30" s="619"/>
      <c r="K30" s="619"/>
      <c r="L30" s="619"/>
      <c r="M30" s="175" t="s">
        <v>106</v>
      </c>
      <c r="N30" s="439">
        <v>46090</v>
      </c>
    </row>
    <row r="31" spans="2:14" ht="18" customHeight="1" x14ac:dyDescent="0.3">
      <c r="B31" s="619"/>
      <c r="C31" s="619">
        <v>26010265</v>
      </c>
      <c r="D31" s="619"/>
      <c r="E31" s="618"/>
      <c r="F31" s="618"/>
      <c r="G31" s="619" t="s">
        <v>104</v>
      </c>
      <c r="H31" s="619"/>
      <c r="I31" s="619"/>
      <c r="J31" s="619"/>
      <c r="K31" s="619"/>
      <c r="L31" s="619"/>
      <c r="M31" s="175" t="s">
        <v>106</v>
      </c>
      <c r="N31" s="439">
        <v>46090</v>
      </c>
    </row>
    <row r="32" spans="2:14" ht="18" customHeight="1" x14ac:dyDescent="0.3">
      <c r="B32" s="619"/>
      <c r="C32" s="619">
        <v>26010266</v>
      </c>
      <c r="D32" s="619"/>
      <c r="E32" s="618"/>
      <c r="F32" s="618"/>
      <c r="G32" s="619" t="s">
        <v>104</v>
      </c>
      <c r="H32" s="619"/>
      <c r="I32" s="619"/>
      <c r="J32" s="619"/>
      <c r="K32" s="619"/>
      <c r="L32" s="619"/>
      <c r="M32" s="175" t="s">
        <v>106</v>
      </c>
      <c r="N32" s="439">
        <v>46090</v>
      </c>
    </row>
    <row r="33" spans="2:15" ht="18" customHeight="1" x14ac:dyDescent="0.3">
      <c r="B33" s="619"/>
      <c r="C33" s="619">
        <v>26010267</v>
      </c>
      <c r="D33" s="619"/>
      <c r="E33" s="618"/>
      <c r="F33" s="618"/>
      <c r="G33" s="619" t="s">
        <v>104</v>
      </c>
      <c r="H33" s="619"/>
      <c r="I33" s="619"/>
      <c r="J33" s="619"/>
      <c r="K33" s="619"/>
      <c r="L33" s="619"/>
      <c r="M33" s="175" t="s">
        <v>106</v>
      </c>
      <c r="N33" s="439">
        <v>46090</v>
      </c>
    </row>
    <row r="34" spans="2:15" ht="18" customHeight="1" x14ac:dyDescent="0.3">
      <c r="B34" s="619"/>
      <c r="C34" s="619">
        <v>26010268</v>
      </c>
      <c r="D34" s="619"/>
      <c r="E34" s="618"/>
      <c r="F34" s="618"/>
      <c r="G34" s="619" t="s">
        <v>104</v>
      </c>
      <c r="H34" s="619"/>
      <c r="I34" s="619"/>
      <c r="J34" s="619"/>
      <c r="K34" s="619"/>
      <c r="L34" s="619"/>
      <c r="M34" s="175" t="s">
        <v>106</v>
      </c>
      <c r="N34" s="439">
        <v>46090</v>
      </c>
    </row>
    <row r="35" spans="2:15" ht="18" customHeight="1" x14ac:dyDescent="0.3">
      <c r="B35" s="619"/>
      <c r="C35" s="619">
        <v>26010269</v>
      </c>
      <c r="D35" s="619"/>
      <c r="E35" s="624"/>
      <c r="F35" s="624"/>
      <c r="G35" s="619" t="s">
        <v>104</v>
      </c>
      <c r="H35" s="619"/>
      <c r="I35" s="619"/>
      <c r="J35" s="619"/>
      <c r="K35" s="619"/>
      <c r="L35" s="619"/>
      <c r="M35" s="175" t="s">
        <v>106</v>
      </c>
      <c r="N35" s="439">
        <v>46090</v>
      </c>
    </row>
    <row r="36" spans="2:15" ht="17.25" customHeight="1" x14ac:dyDescent="0.3">
      <c r="B36" s="175" t="s">
        <v>360</v>
      </c>
      <c r="C36" s="619">
        <v>26010244</v>
      </c>
      <c r="D36" s="619"/>
      <c r="E36" s="618"/>
      <c r="F36" s="618"/>
      <c r="G36" s="619" t="s">
        <v>172</v>
      </c>
      <c r="H36" s="619"/>
      <c r="I36" s="619"/>
      <c r="J36" s="619"/>
      <c r="K36" s="619" t="s">
        <v>91</v>
      </c>
      <c r="L36" s="619"/>
      <c r="M36" s="175" t="s">
        <v>173</v>
      </c>
      <c r="N36" s="439">
        <v>46086</v>
      </c>
    </row>
    <row r="37" spans="2:15" ht="17.25" customHeight="1" x14ac:dyDescent="0.3">
      <c r="B37" s="175" t="s">
        <v>361</v>
      </c>
      <c r="C37" s="619">
        <v>26010270</v>
      </c>
      <c r="D37" s="619"/>
      <c r="E37" s="618"/>
      <c r="F37" s="618"/>
      <c r="G37" s="619" t="s">
        <v>362</v>
      </c>
      <c r="H37" s="619"/>
      <c r="I37" s="619"/>
      <c r="J37" s="619"/>
      <c r="K37" s="619" t="s">
        <v>363</v>
      </c>
      <c r="L37" s="619"/>
      <c r="M37" s="175" t="s">
        <v>364</v>
      </c>
      <c r="N37" s="439">
        <v>46090</v>
      </c>
    </row>
    <row r="38" spans="2:15" ht="17.25" customHeight="1" x14ac:dyDescent="0.3">
      <c r="B38" s="175" t="s">
        <v>365</v>
      </c>
      <c r="C38" s="619">
        <v>26010271</v>
      </c>
      <c r="D38" s="619"/>
      <c r="E38" s="618"/>
      <c r="F38" s="618"/>
      <c r="G38" s="619" t="s">
        <v>163</v>
      </c>
      <c r="H38" s="619"/>
      <c r="I38" s="619"/>
      <c r="J38" s="619"/>
      <c r="K38" s="619" t="s">
        <v>164</v>
      </c>
      <c r="L38" s="619"/>
      <c r="M38" s="175" t="s">
        <v>165</v>
      </c>
      <c r="N38" s="439">
        <v>46091</v>
      </c>
    </row>
    <row r="39" spans="2:15" ht="17.25" customHeight="1" x14ac:dyDescent="0.3">
      <c r="B39" s="175" t="s">
        <v>366</v>
      </c>
      <c r="C39" s="619">
        <v>26010272</v>
      </c>
      <c r="D39" s="619"/>
      <c r="E39" s="618"/>
      <c r="F39" s="618"/>
      <c r="G39" s="619" t="s">
        <v>367</v>
      </c>
      <c r="H39" s="619"/>
      <c r="I39" s="619"/>
      <c r="J39" s="619"/>
      <c r="K39" s="619" t="s">
        <v>368</v>
      </c>
      <c r="L39" s="619"/>
      <c r="M39" s="175" t="s">
        <v>165</v>
      </c>
      <c r="N39" s="439">
        <v>46091</v>
      </c>
    </row>
    <row r="40" spans="2:15" ht="17.25" customHeight="1" x14ac:dyDescent="0.3">
      <c r="B40" s="175" t="s">
        <v>369</v>
      </c>
      <c r="C40" s="619">
        <v>26010273</v>
      </c>
      <c r="D40" s="619"/>
      <c r="E40" s="618"/>
      <c r="F40" s="618"/>
      <c r="G40" s="619" t="s">
        <v>174</v>
      </c>
      <c r="H40" s="619"/>
      <c r="I40" s="619"/>
      <c r="J40" s="619"/>
      <c r="K40" s="619" t="s">
        <v>91</v>
      </c>
      <c r="L40" s="619"/>
      <c r="M40" s="175" t="s">
        <v>370</v>
      </c>
      <c r="N40" s="439">
        <v>46094</v>
      </c>
      <c r="O40" s="178" t="s">
        <v>371</v>
      </c>
    </row>
    <row r="41" spans="2:15" ht="17.25" customHeight="1" x14ac:dyDescent="0.3">
      <c r="B41" s="175" t="s">
        <v>372</v>
      </c>
      <c r="C41" s="625"/>
      <c r="D41" s="625"/>
      <c r="E41" s="619">
        <v>2632170</v>
      </c>
      <c r="F41" s="619"/>
      <c r="G41" s="619" t="s">
        <v>373</v>
      </c>
      <c r="H41" s="619"/>
      <c r="I41" s="619"/>
      <c r="J41" s="619"/>
      <c r="K41" s="619" t="s">
        <v>178</v>
      </c>
      <c r="L41" s="619"/>
      <c r="M41" s="175" t="s">
        <v>374</v>
      </c>
      <c r="N41" s="439">
        <v>46097</v>
      </c>
    </row>
    <row r="42" spans="2:15" ht="17.25" customHeight="1" x14ac:dyDescent="0.3">
      <c r="B42" s="175" t="s">
        <v>375</v>
      </c>
      <c r="C42" s="619">
        <v>26010274</v>
      </c>
      <c r="D42" s="619"/>
      <c r="E42" s="618"/>
      <c r="F42" s="618"/>
      <c r="G42" s="619" t="s">
        <v>376</v>
      </c>
      <c r="H42" s="619"/>
      <c r="I42" s="619"/>
      <c r="J42" s="619"/>
      <c r="K42" s="619" t="s">
        <v>64</v>
      </c>
      <c r="L42" s="619"/>
      <c r="M42" s="177" t="s">
        <v>377</v>
      </c>
      <c r="N42" s="439">
        <v>46091</v>
      </c>
    </row>
    <row r="43" spans="2:15" ht="17.25" customHeight="1" x14ac:dyDescent="0.3">
      <c r="B43" s="175" t="s">
        <v>378</v>
      </c>
      <c r="C43" s="619">
        <v>26010275</v>
      </c>
      <c r="D43" s="619"/>
      <c r="E43" s="618"/>
      <c r="F43" s="618"/>
      <c r="G43" s="619" t="s">
        <v>269</v>
      </c>
      <c r="H43" s="619"/>
      <c r="I43" s="619"/>
      <c r="J43" s="619"/>
      <c r="K43" s="619" t="s">
        <v>168</v>
      </c>
      <c r="L43" s="619"/>
      <c r="M43" s="175" t="s">
        <v>169</v>
      </c>
      <c r="N43" s="439">
        <v>46100</v>
      </c>
    </row>
    <row r="44" spans="2:15" ht="17.25" customHeight="1" x14ac:dyDescent="0.3">
      <c r="B44" s="175" t="s">
        <v>379</v>
      </c>
      <c r="C44" s="619">
        <v>26010276</v>
      </c>
      <c r="D44" s="619"/>
      <c r="E44" s="619" t="s">
        <v>380</v>
      </c>
      <c r="F44" s="619"/>
      <c r="G44" s="619" t="s">
        <v>381</v>
      </c>
      <c r="H44" s="619"/>
      <c r="I44" s="619"/>
      <c r="J44" s="619"/>
      <c r="K44" s="619" t="s">
        <v>91</v>
      </c>
      <c r="L44" s="619"/>
      <c r="M44" s="177" t="s">
        <v>135</v>
      </c>
      <c r="N44" s="439">
        <v>46086</v>
      </c>
    </row>
    <row r="45" spans="2:15" ht="17.25" customHeight="1" x14ac:dyDescent="0.3">
      <c r="B45" s="175" t="s">
        <v>382</v>
      </c>
      <c r="C45" s="619">
        <v>26010277</v>
      </c>
      <c r="D45" s="619"/>
      <c r="E45" s="619" t="s">
        <v>383</v>
      </c>
      <c r="F45" s="619"/>
      <c r="G45" s="619" t="s">
        <v>384</v>
      </c>
      <c r="H45" s="619"/>
      <c r="I45" s="619"/>
      <c r="J45" s="619"/>
      <c r="K45" s="619" t="s">
        <v>105</v>
      </c>
      <c r="L45" s="619"/>
      <c r="M45" s="175" t="s">
        <v>385</v>
      </c>
      <c r="N45" s="439">
        <v>46084</v>
      </c>
    </row>
    <row r="46" spans="2:15" ht="17.25" customHeight="1" x14ac:dyDescent="0.3">
      <c r="B46" s="175" t="s">
        <v>386</v>
      </c>
      <c r="C46" s="619">
        <v>26060278</v>
      </c>
      <c r="D46" s="619"/>
      <c r="E46" s="618"/>
      <c r="F46" s="618"/>
      <c r="G46" s="619" t="s">
        <v>387</v>
      </c>
      <c r="H46" s="619"/>
      <c r="I46" s="619"/>
      <c r="J46" s="619"/>
      <c r="K46" s="619" t="s">
        <v>105</v>
      </c>
      <c r="L46" s="619"/>
      <c r="M46" s="177" t="s">
        <v>388</v>
      </c>
      <c r="N46" s="439">
        <v>46086</v>
      </c>
    </row>
    <row r="47" spans="2:15" ht="17.25" customHeight="1" x14ac:dyDescent="0.3">
      <c r="B47" s="175" t="s">
        <v>389</v>
      </c>
      <c r="C47" s="619">
        <v>26060279</v>
      </c>
      <c r="D47" s="619"/>
      <c r="E47" s="619" t="s">
        <v>390</v>
      </c>
      <c r="F47" s="619"/>
      <c r="G47" s="619" t="s">
        <v>111</v>
      </c>
      <c r="H47" s="619"/>
      <c r="I47" s="619"/>
      <c r="J47" s="619"/>
      <c r="K47" s="619" t="s">
        <v>112</v>
      </c>
      <c r="L47" s="619"/>
      <c r="M47" s="175" t="s">
        <v>391</v>
      </c>
      <c r="N47" s="439">
        <v>46086</v>
      </c>
    </row>
    <row r="48" spans="2:15" ht="17.25" customHeight="1" x14ac:dyDescent="0.3">
      <c r="B48" s="175" t="s">
        <v>392</v>
      </c>
      <c r="C48" s="619">
        <v>26010280</v>
      </c>
      <c r="D48" s="619"/>
      <c r="E48" s="618"/>
      <c r="F48" s="618"/>
      <c r="G48" s="619" t="s">
        <v>393</v>
      </c>
      <c r="H48" s="619"/>
      <c r="I48" s="619"/>
      <c r="J48" s="619"/>
      <c r="K48" s="619" t="s">
        <v>91</v>
      </c>
      <c r="L48" s="619"/>
      <c r="M48" s="175" t="s">
        <v>394</v>
      </c>
      <c r="N48" s="439">
        <v>46087</v>
      </c>
    </row>
    <row r="49" spans="2:14" ht="18" customHeight="1" x14ac:dyDescent="0.3">
      <c r="B49" s="619" t="s">
        <v>395</v>
      </c>
      <c r="C49" s="619">
        <v>26010281</v>
      </c>
      <c r="D49" s="619"/>
      <c r="E49" s="618"/>
      <c r="F49" s="618"/>
      <c r="G49" s="619" t="s">
        <v>104</v>
      </c>
      <c r="H49" s="619"/>
      <c r="I49" s="619"/>
      <c r="J49" s="619"/>
      <c r="K49" s="619" t="s">
        <v>105</v>
      </c>
      <c r="L49" s="619"/>
      <c r="M49" s="175" t="s">
        <v>106</v>
      </c>
      <c r="N49" s="439">
        <v>46091</v>
      </c>
    </row>
    <row r="50" spans="2:14" ht="18" customHeight="1" x14ac:dyDescent="0.3">
      <c r="B50" s="619"/>
      <c r="C50" s="619">
        <v>26010282</v>
      </c>
      <c r="D50" s="619"/>
      <c r="E50" s="618"/>
      <c r="F50" s="618"/>
      <c r="G50" s="619" t="s">
        <v>104</v>
      </c>
      <c r="H50" s="619"/>
      <c r="I50" s="619"/>
      <c r="J50" s="619"/>
      <c r="K50" s="619"/>
      <c r="L50" s="619"/>
      <c r="M50" s="175" t="s">
        <v>106</v>
      </c>
      <c r="N50" s="439">
        <v>46091</v>
      </c>
    </row>
    <row r="51" spans="2:14" ht="18" customHeight="1" x14ac:dyDescent="0.3">
      <c r="B51" s="619"/>
      <c r="C51" s="619">
        <v>26010283</v>
      </c>
      <c r="D51" s="619"/>
      <c r="E51" s="624"/>
      <c r="F51" s="624"/>
      <c r="G51" s="619" t="s">
        <v>104</v>
      </c>
      <c r="H51" s="619"/>
      <c r="I51" s="619"/>
      <c r="J51" s="619"/>
      <c r="K51" s="619"/>
      <c r="L51" s="619"/>
      <c r="M51" s="175" t="s">
        <v>106</v>
      </c>
      <c r="N51" s="439">
        <v>46091</v>
      </c>
    </row>
    <row r="52" spans="2:14" ht="18" customHeight="1" x14ac:dyDescent="0.3">
      <c r="B52" s="619"/>
      <c r="C52" s="619">
        <v>26010284</v>
      </c>
      <c r="D52" s="619"/>
      <c r="E52" s="624"/>
      <c r="F52" s="624"/>
      <c r="G52" s="619" t="s">
        <v>104</v>
      </c>
      <c r="H52" s="619"/>
      <c r="I52" s="619"/>
      <c r="J52" s="619"/>
      <c r="K52" s="619"/>
      <c r="L52" s="619"/>
      <c r="M52" s="175" t="s">
        <v>106</v>
      </c>
      <c r="N52" s="439">
        <v>46091</v>
      </c>
    </row>
    <row r="53" spans="2:14" ht="18" customHeight="1" x14ac:dyDescent="0.3">
      <c r="B53" s="619"/>
      <c r="C53" s="619">
        <v>26010285</v>
      </c>
      <c r="D53" s="619"/>
      <c r="E53" s="618"/>
      <c r="F53" s="618"/>
      <c r="G53" s="619" t="s">
        <v>104</v>
      </c>
      <c r="H53" s="619"/>
      <c r="I53" s="619"/>
      <c r="J53" s="619"/>
      <c r="K53" s="619"/>
      <c r="L53" s="619"/>
      <c r="M53" s="175" t="s">
        <v>106</v>
      </c>
      <c r="N53" s="439">
        <v>46091</v>
      </c>
    </row>
    <row r="54" spans="2:14" ht="18" customHeight="1" x14ac:dyDescent="0.3">
      <c r="B54" s="619"/>
      <c r="C54" s="619">
        <v>26010286</v>
      </c>
      <c r="D54" s="619"/>
      <c r="E54" s="618"/>
      <c r="F54" s="618"/>
      <c r="G54" s="619" t="s">
        <v>104</v>
      </c>
      <c r="H54" s="619"/>
      <c r="I54" s="619"/>
      <c r="J54" s="619"/>
      <c r="K54" s="619"/>
      <c r="L54" s="619"/>
      <c r="M54" s="175" t="s">
        <v>106</v>
      </c>
      <c r="N54" s="439">
        <v>46091</v>
      </c>
    </row>
    <row r="55" spans="2:14" ht="18" customHeight="1" x14ac:dyDescent="0.3">
      <c r="B55" s="619"/>
      <c r="C55" s="619">
        <v>26010287</v>
      </c>
      <c r="D55" s="619"/>
      <c r="E55" s="618"/>
      <c r="F55" s="618"/>
      <c r="G55" s="619" t="s">
        <v>104</v>
      </c>
      <c r="H55" s="619"/>
      <c r="I55" s="619"/>
      <c r="J55" s="619"/>
      <c r="K55" s="619"/>
      <c r="L55" s="619"/>
      <c r="M55" s="175" t="s">
        <v>106</v>
      </c>
      <c r="N55" s="439">
        <v>46092</v>
      </c>
    </row>
    <row r="56" spans="2:14" ht="18" customHeight="1" x14ac:dyDescent="0.3">
      <c r="B56" s="619"/>
      <c r="C56" s="619">
        <v>26010288</v>
      </c>
      <c r="D56" s="619"/>
      <c r="E56" s="618"/>
      <c r="F56" s="618"/>
      <c r="G56" s="619" t="s">
        <v>104</v>
      </c>
      <c r="H56" s="619"/>
      <c r="I56" s="619"/>
      <c r="J56" s="619"/>
      <c r="K56" s="619"/>
      <c r="L56" s="619"/>
      <c r="M56" s="175" t="s">
        <v>106</v>
      </c>
      <c r="N56" s="439">
        <v>46092</v>
      </c>
    </row>
    <row r="57" spans="2:14" ht="18" customHeight="1" x14ac:dyDescent="0.3">
      <c r="B57" s="619"/>
      <c r="C57" s="619">
        <v>26010289</v>
      </c>
      <c r="D57" s="619"/>
      <c r="E57" s="618"/>
      <c r="F57" s="618"/>
      <c r="G57" s="619" t="s">
        <v>104</v>
      </c>
      <c r="H57" s="619"/>
      <c r="I57" s="619"/>
      <c r="J57" s="619"/>
      <c r="K57" s="619"/>
      <c r="L57" s="619"/>
      <c r="M57" s="175" t="s">
        <v>106</v>
      </c>
      <c r="N57" s="439">
        <v>46092</v>
      </c>
    </row>
    <row r="58" spans="2:14" ht="18" customHeight="1" x14ac:dyDescent="0.3">
      <c r="B58" s="619"/>
      <c r="C58" s="619">
        <v>26010290</v>
      </c>
      <c r="D58" s="619"/>
      <c r="E58" s="618"/>
      <c r="F58" s="618"/>
      <c r="G58" s="619" t="s">
        <v>104</v>
      </c>
      <c r="H58" s="619"/>
      <c r="I58" s="619"/>
      <c r="J58" s="619"/>
      <c r="K58" s="619"/>
      <c r="L58" s="619"/>
      <c r="M58" s="175" t="s">
        <v>106</v>
      </c>
      <c r="N58" s="439">
        <v>46092</v>
      </c>
    </row>
    <row r="59" spans="2:14" ht="18" customHeight="1" x14ac:dyDescent="0.3">
      <c r="B59" s="619"/>
      <c r="C59" s="619">
        <v>26010291</v>
      </c>
      <c r="D59" s="619"/>
      <c r="E59" s="618"/>
      <c r="F59" s="618"/>
      <c r="G59" s="619" t="s">
        <v>104</v>
      </c>
      <c r="H59" s="619"/>
      <c r="I59" s="619"/>
      <c r="J59" s="619"/>
      <c r="K59" s="619"/>
      <c r="L59" s="619"/>
      <c r="M59" s="175" t="s">
        <v>106</v>
      </c>
      <c r="N59" s="439">
        <v>46092</v>
      </c>
    </row>
    <row r="60" spans="2:14" ht="18" customHeight="1" x14ac:dyDescent="0.3">
      <c r="B60" s="619"/>
      <c r="C60" s="619">
        <v>26010292</v>
      </c>
      <c r="D60" s="619"/>
      <c r="E60" s="624"/>
      <c r="F60" s="624"/>
      <c r="G60" s="619" t="s">
        <v>104</v>
      </c>
      <c r="H60" s="619"/>
      <c r="I60" s="619"/>
      <c r="J60" s="619"/>
      <c r="K60" s="619"/>
      <c r="L60" s="619"/>
      <c r="M60" s="175" t="s">
        <v>106</v>
      </c>
      <c r="N60" s="439">
        <v>46092</v>
      </c>
    </row>
    <row r="61" spans="2:14" ht="18" customHeight="1" x14ac:dyDescent="0.3">
      <c r="B61" s="619"/>
      <c r="C61" s="619">
        <v>26010293</v>
      </c>
      <c r="D61" s="619"/>
      <c r="E61" s="618"/>
      <c r="F61" s="618"/>
      <c r="G61" s="619" t="s">
        <v>104</v>
      </c>
      <c r="H61" s="619"/>
      <c r="I61" s="619"/>
      <c r="J61" s="619"/>
      <c r="K61" s="619"/>
      <c r="L61" s="619"/>
      <c r="M61" s="175" t="s">
        <v>106</v>
      </c>
      <c r="N61" s="439">
        <v>46093</v>
      </c>
    </row>
    <row r="62" spans="2:14" ht="18" customHeight="1" x14ac:dyDescent="0.3">
      <c r="B62" s="619"/>
      <c r="C62" s="619">
        <v>26010294</v>
      </c>
      <c r="D62" s="619"/>
      <c r="E62" s="618"/>
      <c r="F62" s="618"/>
      <c r="G62" s="619" t="s">
        <v>104</v>
      </c>
      <c r="H62" s="619"/>
      <c r="I62" s="619"/>
      <c r="J62" s="619"/>
      <c r="K62" s="619"/>
      <c r="L62" s="619"/>
      <c r="M62" s="175" t="s">
        <v>106</v>
      </c>
      <c r="N62" s="439">
        <v>46093</v>
      </c>
    </row>
    <row r="63" spans="2:14" ht="18" customHeight="1" x14ac:dyDescent="0.3">
      <c r="B63" s="619"/>
      <c r="C63" s="619">
        <v>26010295</v>
      </c>
      <c r="D63" s="619"/>
      <c r="E63" s="618"/>
      <c r="F63" s="618"/>
      <c r="G63" s="619" t="s">
        <v>104</v>
      </c>
      <c r="H63" s="619"/>
      <c r="I63" s="619"/>
      <c r="J63" s="619"/>
      <c r="K63" s="619"/>
      <c r="L63" s="619"/>
      <c r="M63" s="175" t="s">
        <v>106</v>
      </c>
      <c r="N63" s="439">
        <v>46093</v>
      </c>
    </row>
    <row r="64" spans="2:14" ht="18" customHeight="1" x14ac:dyDescent="0.3">
      <c r="B64" s="619"/>
      <c r="C64" s="619">
        <v>26010296</v>
      </c>
      <c r="D64" s="619"/>
      <c r="E64" s="618"/>
      <c r="F64" s="618"/>
      <c r="G64" s="619" t="s">
        <v>104</v>
      </c>
      <c r="H64" s="619"/>
      <c r="I64" s="619"/>
      <c r="J64" s="619"/>
      <c r="K64" s="619"/>
      <c r="L64" s="619"/>
      <c r="M64" s="175" t="s">
        <v>106</v>
      </c>
      <c r="N64" s="439">
        <v>46093</v>
      </c>
    </row>
    <row r="65" spans="2:14" ht="18" customHeight="1" x14ac:dyDescent="0.3">
      <c r="B65" s="619"/>
      <c r="C65" s="619">
        <v>26010297</v>
      </c>
      <c r="D65" s="619"/>
      <c r="E65" s="618"/>
      <c r="F65" s="618"/>
      <c r="G65" s="619" t="s">
        <v>104</v>
      </c>
      <c r="H65" s="619"/>
      <c r="I65" s="619"/>
      <c r="J65" s="619"/>
      <c r="K65" s="619"/>
      <c r="L65" s="619"/>
      <c r="M65" s="175" t="s">
        <v>106</v>
      </c>
      <c r="N65" s="439">
        <v>46093</v>
      </c>
    </row>
    <row r="66" spans="2:14" ht="18" customHeight="1" x14ac:dyDescent="0.3">
      <c r="B66" s="619"/>
      <c r="C66" s="619">
        <v>26010298</v>
      </c>
      <c r="D66" s="619"/>
      <c r="E66" s="624"/>
      <c r="F66" s="624"/>
      <c r="G66" s="619" t="s">
        <v>104</v>
      </c>
      <c r="H66" s="619"/>
      <c r="I66" s="619"/>
      <c r="J66" s="619"/>
      <c r="K66" s="619"/>
      <c r="L66" s="619"/>
      <c r="M66" s="175" t="s">
        <v>106</v>
      </c>
      <c r="N66" s="439">
        <v>46093</v>
      </c>
    </row>
    <row r="67" spans="2:14" ht="18" customHeight="1" x14ac:dyDescent="0.3">
      <c r="B67" s="619"/>
      <c r="C67" s="619">
        <v>26010299</v>
      </c>
      <c r="D67" s="619"/>
      <c r="E67" s="618"/>
      <c r="F67" s="618"/>
      <c r="G67" s="619" t="s">
        <v>104</v>
      </c>
      <c r="H67" s="619"/>
      <c r="I67" s="619"/>
      <c r="J67" s="619"/>
      <c r="K67" s="619"/>
      <c r="L67" s="619"/>
      <c r="M67" s="175" t="s">
        <v>106</v>
      </c>
      <c r="N67" s="439">
        <v>46094</v>
      </c>
    </row>
    <row r="68" spans="2:14" ht="18" customHeight="1" x14ac:dyDescent="0.3">
      <c r="B68" s="619"/>
      <c r="C68" s="619">
        <v>26010300</v>
      </c>
      <c r="D68" s="619"/>
      <c r="E68" s="624"/>
      <c r="F68" s="624"/>
      <c r="G68" s="619" t="s">
        <v>104</v>
      </c>
      <c r="H68" s="619"/>
      <c r="I68" s="619"/>
      <c r="J68" s="619"/>
      <c r="K68" s="619"/>
      <c r="L68" s="619"/>
      <c r="M68" s="175" t="s">
        <v>106</v>
      </c>
      <c r="N68" s="439">
        <v>46094</v>
      </c>
    </row>
    <row r="69" spans="2:14" ht="18" customHeight="1" x14ac:dyDescent="0.3">
      <c r="B69" s="619"/>
      <c r="C69" s="619">
        <v>26010301</v>
      </c>
      <c r="D69" s="619"/>
      <c r="E69" s="618"/>
      <c r="F69" s="618"/>
      <c r="G69" s="619" t="s">
        <v>104</v>
      </c>
      <c r="H69" s="619"/>
      <c r="I69" s="619"/>
      <c r="J69" s="619"/>
      <c r="K69" s="619"/>
      <c r="L69" s="619"/>
      <c r="M69" s="175" t="s">
        <v>106</v>
      </c>
      <c r="N69" s="439">
        <v>46094</v>
      </c>
    </row>
    <row r="70" spans="2:14" ht="18" customHeight="1" x14ac:dyDescent="0.3">
      <c r="B70" s="619"/>
      <c r="C70" s="619">
        <v>26010302</v>
      </c>
      <c r="D70" s="619"/>
      <c r="E70" s="618"/>
      <c r="F70" s="618"/>
      <c r="G70" s="619" t="s">
        <v>104</v>
      </c>
      <c r="H70" s="619"/>
      <c r="I70" s="619"/>
      <c r="J70" s="619"/>
      <c r="K70" s="619"/>
      <c r="L70" s="619"/>
      <c r="M70" s="175" t="s">
        <v>106</v>
      </c>
      <c r="N70" s="439">
        <v>46094</v>
      </c>
    </row>
    <row r="71" spans="2:14" ht="18" customHeight="1" x14ac:dyDescent="0.3">
      <c r="B71" s="619"/>
      <c r="C71" s="619">
        <v>26010303</v>
      </c>
      <c r="D71" s="619"/>
      <c r="E71" s="618"/>
      <c r="F71" s="618"/>
      <c r="G71" s="619" t="s">
        <v>104</v>
      </c>
      <c r="H71" s="619"/>
      <c r="I71" s="619"/>
      <c r="J71" s="619"/>
      <c r="K71" s="619"/>
      <c r="L71" s="619"/>
      <c r="M71" s="175" t="s">
        <v>106</v>
      </c>
      <c r="N71" s="439">
        <v>46094</v>
      </c>
    </row>
    <row r="72" spans="2:14" ht="18" customHeight="1" x14ac:dyDescent="0.3">
      <c r="B72" s="619"/>
      <c r="C72" s="619">
        <v>26010304</v>
      </c>
      <c r="D72" s="619"/>
      <c r="E72" s="624"/>
      <c r="F72" s="624"/>
      <c r="G72" s="619" t="s">
        <v>104</v>
      </c>
      <c r="H72" s="619"/>
      <c r="I72" s="619"/>
      <c r="J72" s="619"/>
      <c r="K72" s="619"/>
      <c r="L72" s="619"/>
      <c r="M72" s="175" t="s">
        <v>106</v>
      </c>
      <c r="N72" s="439">
        <v>46097</v>
      </c>
    </row>
    <row r="73" spans="2:14" ht="18" customHeight="1" x14ac:dyDescent="0.3">
      <c r="B73" s="619"/>
      <c r="C73" s="619">
        <v>26010305</v>
      </c>
      <c r="D73" s="619"/>
      <c r="E73" s="618"/>
      <c r="F73" s="618"/>
      <c r="G73" s="619" t="s">
        <v>104</v>
      </c>
      <c r="H73" s="619"/>
      <c r="I73" s="619"/>
      <c r="J73" s="619"/>
      <c r="K73" s="619"/>
      <c r="L73" s="619"/>
      <c r="M73" s="175" t="s">
        <v>106</v>
      </c>
      <c r="N73" s="439">
        <v>46097</v>
      </c>
    </row>
    <row r="74" spans="2:14" ht="18" customHeight="1" x14ac:dyDescent="0.3">
      <c r="B74" s="619" t="s">
        <v>396</v>
      </c>
      <c r="C74" s="619">
        <v>26010306</v>
      </c>
      <c r="D74" s="619"/>
      <c r="E74" s="618"/>
      <c r="F74" s="618"/>
      <c r="G74" s="619" t="s">
        <v>115</v>
      </c>
      <c r="H74" s="619"/>
      <c r="I74" s="619"/>
      <c r="J74" s="619"/>
      <c r="K74" s="619" t="s">
        <v>56</v>
      </c>
      <c r="L74" s="619"/>
      <c r="M74" s="175" t="s">
        <v>397</v>
      </c>
      <c r="N74" s="439">
        <v>46101</v>
      </c>
    </row>
    <row r="75" spans="2:14" ht="18" customHeight="1" x14ac:dyDescent="0.3">
      <c r="B75" s="619"/>
      <c r="C75" s="619">
        <v>26010307</v>
      </c>
      <c r="D75" s="619"/>
      <c r="E75" s="618"/>
      <c r="F75" s="618"/>
      <c r="G75" s="619" t="s">
        <v>115</v>
      </c>
      <c r="H75" s="619"/>
      <c r="I75" s="619"/>
      <c r="J75" s="619"/>
      <c r="K75" s="619"/>
      <c r="L75" s="619"/>
      <c r="M75" s="175" t="s">
        <v>397</v>
      </c>
      <c r="N75" s="439">
        <v>46104</v>
      </c>
    </row>
    <row r="76" spans="2:14" ht="18" customHeight="1" x14ac:dyDescent="0.3">
      <c r="B76" s="619"/>
      <c r="C76" s="619">
        <v>26010308</v>
      </c>
      <c r="D76" s="619"/>
      <c r="E76" s="618"/>
      <c r="F76" s="618"/>
      <c r="G76" s="619" t="s">
        <v>115</v>
      </c>
      <c r="H76" s="619"/>
      <c r="I76" s="619"/>
      <c r="J76" s="619"/>
      <c r="K76" s="619"/>
      <c r="L76" s="619"/>
      <c r="M76" s="175" t="s">
        <v>397</v>
      </c>
      <c r="N76" s="439">
        <v>46105</v>
      </c>
    </row>
    <row r="77" spans="2:14" ht="18" customHeight="1" x14ac:dyDescent="0.3">
      <c r="B77" s="619"/>
      <c r="C77" s="619">
        <v>26010309</v>
      </c>
      <c r="D77" s="619"/>
      <c r="E77" s="618"/>
      <c r="F77" s="618"/>
      <c r="G77" s="619" t="s">
        <v>115</v>
      </c>
      <c r="H77" s="619"/>
      <c r="I77" s="619"/>
      <c r="J77" s="619"/>
      <c r="K77" s="619"/>
      <c r="L77" s="619"/>
      <c r="M77" s="175" t="s">
        <v>397</v>
      </c>
      <c r="N77" s="439">
        <v>46106</v>
      </c>
    </row>
    <row r="78" spans="2:14" ht="18" customHeight="1" x14ac:dyDescent="0.3">
      <c r="B78" s="619"/>
      <c r="C78" s="619">
        <v>26010310</v>
      </c>
      <c r="D78" s="619"/>
      <c r="E78" s="618"/>
      <c r="F78" s="618"/>
      <c r="G78" s="619" t="s">
        <v>115</v>
      </c>
      <c r="H78" s="619"/>
      <c r="I78" s="619"/>
      <c r="J78" s="619"/>
      <c r="K78" s="619"/>
      <c r="L78" s="619"/>
      <c r="M78" s="175" t="s">
        <v>397</v>
      </c>
      <c r="N78" s="439">
        <v>46107</v>
      </c>
    </row>
    <row r="79" spans="2:14" ht="18" customHeight="1" x14ac:dyDescent="0.3">
      <c r="B79" s="619"/>
      <c r="C79" s="619">
        <v>26010311</v>
      </c>
      <c r="D79" s="619"/>
      <c r="E79" s="618"/>
      <c r="F79" s="618"/>
      <c r="G79" s="619" t="s">
        <v>115</v>
      </c>
      <c r="H79" s="619"/>
      <c r="I79" s="619"/>
      <c r="J79" s="619"/>
      <c r="K79" s="619"/>
      <c r="L79" s="619"/>
      <c r="M79" s="175" t="s">
        <v>397</v>
      </c>
      <c r="N79" s="439">
        <v>46120</v>
      </c>
    </row>
    <row r="80" spans="2:14" ht="18" customHeight="1" x14ac:dyDescent="0.3">
      <c r="B80" s="619" t="s">
        <v>398</v>
      </c>
      <c r="C80" s="619">
        <v>26010312</v>
      </c>
      <c r="D80" s="619"/>
      <c r="E80" s="624"/>
      <c r="F80" s="624"/>
      <c r="G80" s="619" t="s">
        <v>104</v>
      </c>
      <c r="H80" s="619"/>
      <c r="I80" s="619"/>
      <c r="J80" s="619"/>
      <c r="K80" s="619" t="s">
        <v>105</v>
      </c>
      <c r="L80" s="619"/>
      <c r="M80" s="175" t="s">
        <v>106</v>
      </c>
      <c r="N80" s="439">
        <v>46097</v>
      </c>
    </row>
    <row r="81" spans="2:14" ht="18" customHeight="1" x14ac:dyDescent="0.3">
      <c r="B81" s="619"/>
      <c r="C81" s="619">
        <v>26010313</v>
      </c>
      <c r="D81" s="619"/>
      <c r="E81" s="618"/>
      <c r="F81" s="618"/>
      <c r="G81" s="619" t="s">
        <v>104</v>
      </c>
      <c r="H81" s="619"/>
      <c r="I81" s="619"/>
      <c r="J81" s="619"/>
      <c r="K81" s="619"/>
      <c r="L81" s="619"/>
      <c r="M81" s="175" t="s">
        <v>106</v>
      </c>
      <c r="N81" s="439">
        <v>46097</v>
      </c>
    </row>
    <row r="82" spans="2:14" ht="18" customHeight="1" x14ac:dyDescent="0.3">
      <c r="B82" s="619"/>
      <c r="C82" s="619">
        <v>26010314</v>
      </c>
      <c r="D82" s="619"/>
      <c r="E82" s="618"/>
      <c r="F82" s="618"/>
      <c r="G82" s="619" t="s">
        <v>104</v>
      </c>
      <c r="H82" s="619"/>
      <c r="I82" s="619"/>
      <c r="J82" s="619"/>
      <c r="K82" s="619"/>
      <c r="L82" s="619"/>
      <c r="M82" s="175" t="s">
        <v>106</v>
      </c>
      <c r="N82" s="439">
        <v>46097</v>
      </c>
    </row>
    <row r="83" spans="2:14" ht="18" customHeight="1" x14ac:dyDescent="0.3">
      <c r="B83" s="619"/>
      <c r="C83" s="619">
        <v>26010315</v>
      </c>
      <c r="D83" s="619"/>
      <c r="E83" s="618"/>
      <c r="F83" s="618"/>
      <c r="G83" s="619" t="s">
        <v>104</v>
      </c>
      <c r="H83" s="619"/>
      <c r="I83" s="619"/>
      <c r="J83" s="619"/>
      <c r="K83" s="619"/>
      <c r="L83" s="619"/>
      <c r="M83" s="175" t="s">
        <v>106</v>
      </c>
      <c r="N83" s="439">
        <v>46097</v>
      </c>
    </row>
    <row r="84" spans="2:14" ht="18" customHeight="1" x14ac:dyDescent="0.3">
      <c r="B84" s="619"/>
      <c r="C84" s="619">
        <v>26010316</v>
      </c>
      <c r="D84" s="619"/>
      <c r="E84" s="618"/>
      <c r="F84" s="618"/>
      <c r="G84" s="619" t="s">
        <v>104</v>
      </c>
      <c r="H84" s="619"/>
      <c r="I84" s="619"/>
      <c r="J84" s="619"/>
      <c r="K84" s="619"/>
      <c r="L84" s="619"/>
      <c r="M84" s="175" t="s">
        <v>106</v>
      </c>
      <c r="N84" s="439">
        <v>46098</v>
      </c>
    </row>
    <row r="85" spans="2:14" ht="18" customHeight="1" x14ac:dyDescent="0.3">
      <c r="B85" s="619"/>
      <c r="C85" s="619">
        <v>26010317</v>
      </c>
      <c r="D85" s="619"/>
      <c r="E85" s="618"/>
      <c r="F85" s="618"/>
      <c r="G85" s="619" t="s">
        <v>104</v>
      </c>
      <c r="H85" s="619"/>
      <c r="I85" s="619"/>
      <c r="J85" s="619"/>
      <c r="K85" s="619"/>
      <c r="L85" s="619"/>
      <c r="M85" s="175" t="s">
        <v>106</v>
      </c>
      <c r="N85" s="439">
        <v>46098</v>
      </c>
    </row>
    <row r="86" spans="2:14" ht="18" customHeight="1" x14ac:dyDescent="0.3">
      <c r="B86" s="619"/>
      <c r="C86" s="619">
        <v>26010318</v>
      </c>
      <c r="D86" s="619"/>
      <c r="E86" s="624"/>
      <c r="F86" s="624"/>
      <c r="G86" s="619" t="s">
        <v>104</v>
      </c>
      <c r="H86" s="619"/>
      <c r="I86" s="619"/>
      <c r="J86" s="619"/>
      <c r="K86" s="619"/>
      <c r="L86" s="619"/>
      <c r="M86" s="175" t="s">
        <v>106</v>
      </c>
      <c r="N86" s="439">
        <v>46098</v>
      </c>
    </row>
    <row r="87" spans="2:14" ht="18" customHeight="1" x14ac:dyDescent="0.3">
      <c r="B87" s="619"/>
      <c r="C87" s="619">
        <v>26010319</v>
      </c>
      <c r="D87" s="619"/>
      <c r="E87" s="618"/>
      <c r="F87" s="618"/>
      <c r="G87" s="619" t="s">
        <v>104</v>
      </c>
      <c r="H87" s="619"/>
      <c r="I87" s="619"/>
      <c r="J87" s="619"/>
      <c r="K87" s="619"/>
      <c r="L87" s="619"/>
      <c r="M87" s="175" t="s">
        <v>106</v>
      </c>
      <c r="N87" s="439">
        <v>46098</v>
      </c>
    </row>
    <row r="88" spans="2:14" ht="18" customHeight="1" x14ac:dyDescent="0.3">
      <c r="B88" s="619"/>
      <c r="C88" s="619">
        <v>26010320</v>
      </c>
      <c r="D88" s="619"/>
      <c r="E88" s="618"/>
      <c r="F88" s="618"/>
      <c r="G88" s="619" t="s">
        <v>104</v>
      </c>
      <c r="H88" s="619"/>
      <c r="I88" s="619"/>
      <c r="J88" s="619"/>
      <c r="K88" s="619"/>
      <c r="L88" s="619"/>
      <c r="M88" s="175" t="s">
        <v>106</v>
      </c>
      <c r="N88" s="439">
        <v>46098</v>
      </c>
    </row>
    <row r="89" spans="2:14" ht="18" customHeight="1" x14ac:dyDescent="0.3">
      <c r="B89" s="619"/>
      <c r="C89" s="619">
        <v>26010321</v>
      </c>
      <c r="D89" s="619"/>
      <c r="E89" s="618"/>
      <c r="F89" s="618"/>
      <c r="G89" s="619" t="s">
        <v>104</v>
      </c>
      <c r="H89" s="619"/>
      <c r="I89" s="619"/>
      <c r="J89" s="619"/>
      <c r="K89" s="619"/>
      <c r="L89" s="619"/>
      <c r="M89" s="175" t="s">
        <v>106</v>
      </c>
      <c r="N89" s="439">
        <v>46098</v>
      </c>
    </row>
    <row r="90" spans="2:14" ht="18" customHeight="1" x14ac:dyDescent="0.3">
      <c r="B90" s="619"/>
      <c r="C90" s="619">
        <v>26010322</v>
      </c>
      <c r="D90" s="619"/>
      <c r="E90" s="624"/>
      <c r="F90" s="624"/>
      <c r="G90" s="619" t="s">
        <v>104</v>
      </c>
      <c r="H90" s="619"/>
      <c r="I90" s="619"/>
      <c r="J90" s="619"/>
      <c r="K90" s="619"/>
      <c r="L90" s="619"/>
      <c r="M90" s="175" t="s">
        <v>106</v>
      </c>
      <c r="N90" s="439">
        <v>46098</v>
      </c>
    </row>
    <row r="91" spans="2:14" ht="18" customHeight="1" x14ac:dyDescent="0.3">
      <c r="B91" s="619"/>
      <c r="C91" s="619">
        <v>26010323</v>
      </c>
      <c r="D91" s="619"/>
      <c r="E91" s="618"/>
      <c r="F91" s="618"/>
      <c r="G91" s="619" t="s">
        <v>399</v>
      </c>
      <c r="H91" s="619"/>
      <c r="I91" s="619"/>
      <c r="J91" s="619"/>
      <c r="K91" s="619"/>
      <c r="L91" s="619"/>
      <c r="M91" s="175" t="s">
        <v>106</v>
      </c>
      <c r="N91" s="439">
        <v>46099</v>
      </c>
    </row>
    <row r="92" spans="2:14" ht="18" customHeight="1" x14ac:dyDescent="0.3">
      <c r="B92" s="619"/>
      <c r="C92" s="619">
        <v>26010324</v>
      </c>
      <c r="D92" s="619"/>
      <c r="E92" s="618"/>
      <c r="F92" s="618"/>
      <c r="G92" s="619" t="s">
        <v>399</v>
      </c>
      <c r="H92" s="619"/>
      <c r="I92" s="619"/>
      <c r="J92" s="619"/>
      <c r="K92" s="619"/>
      <c r="L92" s="619"/>
      <c r="M92" s="175" t="s">
        <v>106</v>
      </c>
      <c r="N92" s="439">
        <v>46099</v>
      </c>
    </row>
    <row r="93" spans="2:14" ht="18" customHeight="1" x14ac:dyDescent="0.3">
      <c r="B93" s="619"/>
      <c r="C93" s="619">
        <v>26010325</v>
      </c>
      <c r="D93" s="619"/>
      <c r="E93" s="618"/>
      <c r="F93" s="618"/>
      <c r="G93" s="619" t="s">
        <v>399</v>
      </c>
      <c r="H93" s="619"/>
      <c r="I93" s="619"/>
      <c r="J93" s="619"/>
      <c r="K93" s="619"/>
      <c r="L93" s="619"/>
      <c r="M93" s="175" t="s">
        <v>106</v>
      </c>
      <c r="N93" s="439">
        <v>46099</v>
      </c>
    </row>
    <row r="94" spans="2:14" ht="18" customHeight="1" x14ac:dyDescent="0.3">
      <c r="B94" s="619"/>
      <c r="C94" s="619">
        <v>26010326</v>
      </c>
      <c r="D94" s="619"/>
      <c r="E94" s="618"/>
      <c r="F94" s="618"/>
      <c r="G94" s="619" t="s">
        <v>399</v>
      </c>
      <c r="H94" s="619"/>
      <c r="I94" s="619"/>
      <c r="J94" s="619"/>
      <c r="K94" s="619"/>
      <c r="L94" s="619"/>
      <c r="M94" s="175" t="s">
        <v>106</v>
      </c>
      <c r="N94" s="439">
        <v>46099</v>
      </c>
    </row>
    <row r="95" spans="2:14" ht="18" customHeight="1" x14ac:dyDescent="0.3">
      <c r="B95" s="619"/>
      <c r="C95" s="619">
        <v>26010327</v>
      </c>
      <c r="D95" s="619"/>
      <c r="E95" s="618"/>
      <c r="F95" s="618"/>
      <c r="G95" s="619" t="s">
        <v>104</v>
      </c>
      <c r="H95" s="619"/>
      <c r="I95" s="619"/>
      <c r="J95" s="619"/>
      <c r="K95" s="619"/>
      <c r="L95" s="619"/>
      <c r="M95" s="175" t="s">
        <v>106</v>
      </c>
      <c r="N95" s="439">
        <v>46099</v>
      </c>
    </row>
    <row r="96" spans="2:14" ht="18" customHeight="1" x14ac:dyDescent="0.3">
      <c r="B96" s="619"/>
      <c r="C96" s="619">
        <v>26010328</v>
      </c>
      <c r="D96" s="619"/>
      <c r="E96" s="618"/>
      <c r="F96" s="618"/>
      <c r="G96" s="619" t="s">
        <v>104</v>
      </c>
      <c r="H96" s="619"/>
      <c r="I96" s="619"/>
      <c r="J96" s="619"/>
      <c r="K96" s="619"/>
      <c r="L96" s="619"/>
      <c r="M96" s="175" t="s">
        <v>106</v>
      </c>
      <c r="N96" s="439">
        <v>46099</v>
      </c>
    </row>
    <row r="97" spans="2:14" ht="18" customHeight="1" x14ac:dyDescent="0.3">
      <c r="B97" s="619"/>
      <c r="C97" s="619">
        <v>26010329</v>
      </c>
      <c r="D97" s="619"/>
      <c r="E97" s="618"/>
      <c r="F97" s="618"/>
      <c r="G97" s="619" t="s">
        <v>104</v>
      </c>
      <c r="H97" s="619"/>
      <c r="I97" s="619"/>
      <c r="J97" s="619"/>
      <c r="K97" s="619"/>
      <c r="L97" s="619"/>
      <c r="M97" s="175" t="s">
        <v>106</v>
      </c>
      <c r="N97" s="439">
        <v>46100</v>
      </c>
    </row>
    <row r="98" spans="2:14" ht="18" customHeight="1" x14ac:dyDescent="0.3">
      <c r="B98" s="619"/>
      <c r="C98" s="619">
        <v>26010330</v>
      </c>
      <c r="D98" s="619"/>
      <c r="E98" s="624"/>
      <c r="F98" s="624"/>
      <c r="G98" s="619" t="s">
        <v>104</v>
      </c>
      <c r="H98" s="619"/>
      <c r="I98" s="619"/>
      <c r="J98" s="619"/>
      <c r="K98" s="619"/>
      <c r="L98" s="619"/>
      <c r="M98" s="175" t="s">
        <v>106</v>
      </c>
      <c r="N98" s="439">
        <v>46100</v>
      </c>
    </row>
    <row r="99" spans="2:14" ht="18" customHeight="1" x14ac:dyDescent="0.3">
      <c r="B99" s="619"/>
      <c r="C99" s="619">
        <v>26010331</v>
      </c>
      <c r="D99" s="619"/>
      <c r="E99" s="618"/>
      <c r="F99" s="618"/>
      <c r="G99" s="619" t="s">
        <v>104</v>
      </c>
      <c r="H99" s="619"/>
      <c r="I99" s="619"/>
      <c r="J99" s="619"/>
      <c r="K99" s="619"/>
      <c r="L99" s="619"/>
      <c r="M99" s="175" t="s">
        <v>106</v>
      </c>
      <c r="N99" s="439">
        <v>46101</v>
      </c>
    </row>
    <row r="100" spans="2:14" ht="18" customHeight="1" x14ac:dyDescent="0.3">
      <c r="B100" s="619"/>
      <c r="C100" s="619">
        <v>26010332</v>
      </c>
      <c r="D100" s="619"/>
      <c r="E100" s="624"/>
      <c r="F100" s="624"/>
      <c r="G100" s="619" t="s">
        <v>104</v>
      </c>
      <c r="H100" s="619"/>
      <c r="I100" s="619"/>
      <c r="J100" s="619"/>
      <c r="K100" s="619"/>
      <c r="L100" s="619"/>
      <c r="M100" s="175" t="s">
        <v>106</v>
      </c>
      <c r="N100" s="439">
        <v>46101</v>
      </c>
    </row>
    <row r="101" spans="2:14" ht="18" customHeight="1" x14ac:dyDescent="0.3">
      <c r="B101" s="619"/>
      <c r="C101" s="619">
        <v>26010333</v>
      </c>
      <c r="D101" s="619"/>
      <c r="E101" s="618"/>
      <c r="F101" s="618"/>
      <c r="G101" s="619" t="s">
        <v>104</v>
      </c>
      <c r="H101" s="619"/>
      <c r="I101" s="619"/>
      <c r="J101" s="619"/>
      <c r="K101" s="619"/>
      <c r="L101" s="619"/>
      <c r="M101" s="175" t="s">
        <v>106</v>
      </c>
      <c r="N101" s="439">
        <v>46101</v>
      </c>
    </row>
    <row r="102" spans="2:14" ht="18" customHeight="1" x14ac:dyDescent="0.3">
      <c r="B102" s="619"/>
      <c r="C102" s="619">
        <v>26010334</v>
      </c>
      <c r="D102" s="619"/>
      <c r="E102" s="618"/>
      <c r="F102" s="618"/>
      <c r="G102" s="619" t="s">
        <v>104</v>
      </c>
      <c r="H102" s="619"/>
      <c r="I102" s="619"/>
      <c r="J102" s="619"/>
      <c r="K102" s="619"/>
      <c r="L102" s="619"/>
      <c r="M102" s="175" t="s">
        <v>106</v>
      </c>
      <c r="N102" s="439">
        <v>46101</v>
      </c>
    </row>
    <row r="103" spans="2:14" ht="18" customHeight="1" x14ac:dyDescent="0.3">
      <c r="B103" s="619"/>
      <c r="C103" s="619">
        <v>26010335</v>
      </c>
      <c r="D103" s="619"/>
      <c r="E103" s="618"/>
      <c r="F103" s="618"/>
      <c r="G103" s="619" t="s">
        <v>104</v>
      </c>
      <c r="H103" s="619"/>
      <c r="I103" s="619"/>
      <c r="J103" s="619"/>
      <c r="K103" s="619"/>
      <c r="L103" s="619"/>
      <c r="M103" s="175" t="s">
        <v>106</v>
      </c>
      <c r="N103" s="439">
        <v>46101</v>
      </c>
    </row>
    <row r="104" spans="2:14" ht="18" customHeight="1" x14ac:dyDescent="0.3">
      <c r="B104" s="619"/>
      <c r="C104" s="619">
        <v>26010336</v>
      </c>
      <c r="D104" s="619"/>
      <c r="E104" s="624"/>
      <c r="F104" s="624"/>
      <c r="G104" s="619" t="s">
        <v>104</v>
      </c>
      <c r="H104" s="619"/>
      <c r="I104" s="619"/>
      <c r="J104" s="619"/>
      <c r="K104" s="619"/>
      <c r="L104" s="619"/>
      <c r="M104" s="175" t="s">
        <v>106</v>
      </c>
      <c r="N104" s="439">
        <v>46101</v>
      </c>
    </row>
    <row r="105" spans="2:14" ht="18" customHeight="1" x14ac:dyDescent="0.3">
      <c r="B105" s="619"/>
      <c r="C105" s="619">
        <v>26010337</v>
      </c>
      <c r="D105" s="619"/>
      <c r="E105" s="618"/>
      <c r="F105" s="618"/>
      <c r="G105" s="619" t="s">
        <v>400</v>
      </c>
      <c r="H105" s="619"/>
      <c r="I105" s="619"/>
      <c r="J105" s="619"/>
      <c r="K105" s="619"/>
      <c r="L105" s="619"/>
      <c r="M105" s="175" t="s">
        <v>401</v>
      </c>
      <c r="N105" s="439">
        <v>46099</v>
      </c>
    </row>
    <row r="106" spans="2:14" ht="17.25" customHeight="1" x14ac:dyDescent="0.3">
      <c r="B106" s="175" t="s">
        <v>402</v>
      </c>
      <c r="C106" s="619">
        <v>26010338</v>
      </c>
      <c r="D106" s="619"/>
      <c r="E106" s="618"/>
      <c r="F106" s="618"/>
      <c r="G106" s="619" t="s">
        <v>403</v>
      </c>
      <c r="H106" s="619"/>
      <c r="I106" s="619"/>
      <c r="J106" s="619"/>
      <c r="K106" s="619" t="s">
        <v>72</v>
      </c>
      <c r="L106" s="619"/>
      <c r="M106" s="175" t="s">
        <v>404</v>
      </c>
      <c r="N106" s="439">
        <v>46099</v>
      </c>
    </row>
    <row r="107" spans="2:14" ht="18" customHeight="1" x14ac:dyDescent="0.3">
      <c r="B107" s="619" t="s">
        <v>405</v>
      </c>
      <c r="C107" s="619">
        <v>26010339</v>
      </c>
      <c r="D107" s="619"/>
      <c r="E107" s="618"/>
      <c r="F107" s="618"/>
      <c r="G107" s="619" t="s">
        <v>104</v>
      </c>
      <c r="H107" s="619"/>
      <c r="I107" s="619"/>
      <c r="J107" s="619"/>
      <c r="K107" s="619" t="s">
        <v>105</v>
      </c>
      <c r="L107" s="619"/>
      <c r="M107" s="175" t="s">
        <v>106</v>
      </c>
      <c r="N107" s="439">
        <v>46101</v>
      </c>
    </row>
    <row r="108" spans="2:14" ht="18" customHeight="1" x14ac:dyDescent="0.3">
      <c r="B108" s="619"/>
      <c r="C108" s="619">
        <v>26010340</v>
      </c>
      <c r="D108" s="619"/>
      <c r="E108" s="618"/>
      <c r="F108" s="618"/>
      <c r="G108" s="619" t="s">
        <v>104</v>
      </c>
      <c r="H108" s="619"/>
      <c r="I108" s="619"/>
      <c r="J108" s="619"/>
      <c r="K108" s="619"/>
      <c r="L108" s="619"/>
      <c r="M108" s="175" t="s">
        <v>106</v>
      </c>
      <c r="N108" s="439">
        <v>46101</v>
      </c>
    </row>
    <row r="109" spans="2:14" ht="18" customHeight="1" x14ac:dyDescent="0.3">
      <c r="B109" s="619"/>
      <c r="C109" s="619">
        <v>26010341</v>
      </c>
      <c r="D109" s="619"/>
      <c r="E109" s="618"/>
      <c r="F109" s="618"/>
      <c r="G109" s="619" t="s">
        <v>104</v>
      </c>
      <c r="H109" s="619"/>
      <c r="I109" s="619"/>
      <c r="J109" s="619"/>
      <c r="K109" s="619"/>
      <c r="L109" s="619"/>
      <c r="M109" s="175" t="s">
        <v>106</v>
      </c>
      <c r="N109" s="439">
        <v>46104</v>
      </c>
    </row>
    <row r="110" spans="2:14" ht="18" customHeight="1" x14ac:dyDescent="0.3">
      <c r="B110" s="619"/>
      <c r="C110" s="619">
        <v>26010342</v>
      </c>
      <c r="D110" s="619"/>
      <c r="E110" s="624"/>
      <c r="F110" s="624"/>
      <c r="G110" s="619" t="s">
        <v>104</v>
      </c>
      <c r="H110" s="619"/>
      <c r="I110" s="619"/>
      <c r="J110" s="619"/>
      <c r="K110" s="619"/>
      <c r="L110" s="619"/>
      <c r="M110" s="175" t="s">
        <v>106</v>
      </c>
      <c r="N110" s="439">
        <v>46104</v>
      </c>
    </row>
    <row r="111" spans="2:14" ht="18" customHeight="1" x14ac:dyDescent="0.3">
      <c r="B111" s="619"/>
      <c r="C111" s="619">
        <v>26010343</v>
      </c>
      <c r="D111" s="619"/>
      <c r="E111" s="618"/>
      <c r="F111" s="618"/>
      <c r="G111" s="619" t="s">
        <v>104</v>
      </c>
      <c r="H111" s="619"/>
      <c r="I111" s="619"/>
      <c r="J111" s="619"/>
      <c r="K111" s="619"/>
      <c r="L111" s="619"/>
      <c r="M111" s="175" t="s">
        <v>106</v>
      </c>
      <c r="N111" s="439">
        <v>46104</v>
      </c>
    </row>
    <row r="112" spans="2:14" ht="18" customHeight="1" x14ac:dyDescent="0.3">
      <c r="B112" s="619"/>
      <c r="C112" s="619">
        <v>26010344</v>
      </c>
      <c r="D112" s="619"/>
      <c r="E112" s="618"/>
      <c r="F112" s="618"/>
      <c r="G112" s="619" t="s">
        <v>104</v>
      </c>
      <c r="H112" s="619"/>
      <c r="I112" s="619"/>
      <c r="J112" s="619"/>
      <c r="K112" s="619"/>
      <c r="L112" s="619"/>
      <c r="M112" s="175" t="s">
        <v>106</v>
      </c>
      <c r="N112" s="439">
        <v>46104</v>
      </c>
    </row>
    <row r="113" spans="2:14" ht="18" customHeight="1" x14ac:dyDescent="0.3">
      <c r="B113" s="619"/>
      <c r="C113" s="619">
        <v>26010345</v>
      </c>
      <c r="D113" s="619"/>
      <c r="E113" s="618"/>
      <c r="F113" s="618"/>
      <c r="G113" s="619" t="s">
        <v>104</v>
      </c>
      <c r="H113" s="619"/>
      <c r="I113" s="619"/>
      <c r="J113" s="619"/>
      <c r="K113" s="619"/>
      <c r="L113" s="619"/>
      <c r="M113" s="175" t="s">
        <v>106</v>
      </c>
      <c r="N113" s="439">
        <v>46104</v>
      </c>
    </row>
    <row r="114" spans="2:14" ht="18" customHeight="1" x14ac:dyDescent="0.3">
      <c r="B114" s="619"/>
      <c r="C114" s="619">
        <v>26010346</v>
      </c>
      <c r="D114" s="619"/>
      <c r="E114" s="618"/>
      <c r="F114" s="618"/>
      <c r="G114" s="619" t="s">
        <v>104</v>
      </c>
      <c r="H114" s="619"/>
      <c r="I114" s="619"/>
      <c r="J114" s="619"/>
      <c r="K114" s="619"/>
      <c r="L114" s="619"/>
      <c r="M114" s="175" t="s">
        <v>106</v>
      </c>
      <c r="N114" s="439">
        <v>46104</v>
      </c>
    </row>
    <row r="115" spans="2:14" ht="18" customHeight="1" x14ac:dyDescent="0.3">
      <c r="B115" s="619"/>
      <c r="C115" s="619">
        <v>26010347</v>
      </c>
      <c r="D115" s="619"/>
      <c r="E115" s="618"/>
      <c r="F115" s="618"/>
      <c r="G115" s="619" t="s">
        <v>104</v>
      </c>
      <c r="H115" s="619"/>
      <c r="I115" s="619"/>
      <c r="J115" s="619"/>
      <c r="K115" s="619"/>
      <c r="L115" s="619"/>
      <c r="M115" s="175" t="s">
        <v>106</v>
      </c>
      <c r="N115" s="439">
        <v>46105</v>
      </c>
    </row>
    <row r="116" spans="2:14" ht="18" customHeight="1" x14ac:dyDescent="0.3">
      <c r="B116" s="619"/>
      <c r="C116" s="619">
        <v>26010348</v>
      </c>
      <c r="D116" s="619"/>
      <c r="E116" s="623"/>
      <c r="F116" s="623"/>
      <c r="G116" s="619" t="s">
        <v>104</v>
      </c>
      <c r="H116" s="619"/>
      <c r="I116" s="619"/>
      <c r="J116" s="619"/>
      <c r="K116" s="619"/>
      <c r="L116" s="619"/>
      <c r="M116" s="175" t="s">
        <v>106</v>
      </c>
      <c r="N116" s="439">
        <v>46105</v>
      </c>
    </row>
    <row r="117" spans="2:14" ht="18" customHeight="1" x14ac:dyDescent="0.3">
      <c r="B117" s="619"/>
      <c r="C117" s="619">
        <v>26010349</v>
      </c>
      <c r="D117" s="619"/>
      <c r="E117" s="618"/>
      <c r="F117" s="618"/>
      <c r="G117" s="619" t="s">
        <v>104</v>
      </c>
      <c r="H117" s="619"/>
      <c r="I117" s="619"/>
      <c r="J117" s="619"/>
      <c r="K117" s="619"/>
      <c r="L117" s="619"/>
      <c r="M117" s="175" t="s">
        <v>106</v>
      </c>
      <c r="N117" s="439">
        <v>46105</v>
      </c>
    </row>
    <row r="118" spans="2:14" ht="18" customHeight="1" x14ac:dyDescent="0.3">
      <c r="B118" s="619"/>
      <c r="C118" s="619">
        <v>26010350</v>
      </c>
      <c r="D118" s="619"/>
      <c r="E118" s="618"/>
      <c r="F118" s="618"/>
      <c r="G118" s="619" t="s">
        <v>104</v>
      </c>
      <c r="H118" s="619"/>
      <c r="I118" s="619"/>
      <c r="J118" s="619"/>
      <c r="K118" s="619"/>
      <c r="L118" s="619"/>
      <c r="M118" s="175" t="s">
        <v>106</v>
      </c>
      <c r="N118" s="439">
        <v>46105</v>
      </c>
    </row>
    <row r="119" spans="2:14" ht="18" customHeight="1" x14ac:dyDescent="0.3">
      <c r="B119" s="619"/>
      <c r="C119" s="619">
        <v>26010351</v>
      </c>
      <c r="D119" s="619"/>
      <c r="E119" s="618"/>
      <c r="F119" s="618"/>
      <c r="G119" s="619" t="s">
        <v>104</v>
      </c>
      <c r="H119" s="619"/>
      <c r="I119" s="619"/>
      <c r="J119" s="619"/>
      <c r="K119" s="619"/>
      <c r="L119" s="619"/>
      <c r="M119" s="175" t="s">
        <v>106</v>
      </c>
      <c r="N119" s="439">
        <v>46105</v>
      </c>
    </row>
    <row r="120" spans="2:14" ht="18" customHeight="1" x14ac:dyDescent="0.3">
      <c r="B120" s="619"/>
      <c r="C120" s="619">
        <v>26010352</v>
      </c>
      <c r="D120" s="619"/>
      <c r="E120" s="622"/>
      <c r="F120" s="622"/>
      <c r="G120" s="619" t="s">
        <v>104</v>
      </c>
      <c r="H120" s="619"/>
      <c r="I120" s="619"/>
      <c r="J120" s="619"/>
      <c r="K120" s="619"/>
      <c r="L120" s="619"/>
      <c r="M120" s="175" t="s">
        <v>106</v>
      </c>
      <c r="N120" s="439">
        <v>46105</v>
      </c>
    </row>
    <row r="121" spans="2:14" ht="18" customHeight="1" x14ac:dyDescent="0.3">
      <c r="B121" s="619"/>
      <c r="C121" s="619">
        <v>26010353</v>
      </c>
      <c r="D121" s="619"/>
      <c r="E121" s="618"/>
      <c r="F121" s="618"/>
      <c r="G121" s="619" t="s">
        <v>104</v>
      </c>
      <c r="H121" s="619"/>
      <c r="I121" s="619"/>
      <c r="J121" s="619"/>
      <c r="K121" s="619"/>
      <c r="L121" s="619"/>
      <c r="M121" s="175" t="s">
        <v>106</v>
      </c>
      <c r="N121" s="439">
        <v>46106</v>
      </c>
    </row>
    <row r="122" spans="2:14" ht="18" customHeight="1" x14ac:dyDescent="0.3">
      <c r="B122" s="619"/>
      <c r="C122" s="619">
        <v>26010354</v>
      </c>
      <c r="D122" s="619"/>
      <c r="E122" s="618"/>
      <c r="F122" s="618"/>
      <c r="G122" s="619" t="s">
        <v>104</v>
      </c>
      <c r="H122" s="619"/>
      <c r="I122" s="619"/>
      <c r="J122" s="619"/>
      <c r="K122" s="619"/>
      <c r="L122" s="619"/>
      <c r="M122" s="175" t="s">
        <v>106</v>
      </c>
      <c r="N122" s="439">
        <v>46106</v>
      </c>
    </row>
    <row r="123" spans="2:14" ht="18" customHeight="1" x14ac:dyDescent="0.3">
      <c r="B123" s="619"/>
      <c r="C123" s="619">
        <v>26010355</v>
      </c>
      <c r="D123" s="619"/>
      <c r="E123" s="618"/>
      <c r="F123" s="618"/>
      <c r="G123" s="619" t="s">
        <v>104</v>
      </c>
      <c r="H123" s="619"/>
      <c r="I123" s="619"/>
      <c r="J123" s="619"/>
      <c r="K123" s="619"/>
      <c r="L123" s="619"/>
      <c r="M123" s="175" t="s">
        <v>106</v>
      </c>
      <c r="N123" s="439">
        <v>46111</v>
      </c>
    </row>
    <row r="124" spans="2:14" ht="18" customHeight="1" x14ac:dyDescent="0.3">
      <c r="B124" s="619"/>
      <c r="C124" s="619">
        <v>26010356</v>
      </c>
      <c r="D124" s="619"/>
      <c r="E124" s="618"/>
      <c r="F124" s="618"/>
      <c r="G124" s="619" t="s">
        <v>104</v>
      </c>
      <c r="H124" s="619"/>
      <c r="I124" s="619"/>
      <c r="J124" s="619"/>
      <c r="K124" s="619"/>
      <c r="L124" s="619"/>
      <c r="M124" s="175" t="s">
        <v>106</v>
      </c>
      <c r="N124" s="439">
        <v>46112</v>
      </c>
    </row>
    <row r="125" spans="2:14" ht="18" customHeight="1" x14ac:dyDescent="0.3">
      <c r="B125" s="619"/>
      <c r="C125" s="619">
        <v>26010357</v>
      </c>
      <c r="D125" s="619"/>
      <c r="E125" s="618"/>
      <c r="F125" s="618"/>
      <c r="G125" s="619" t="s">
        <v>104</v>
      </c>
      <c r="H125" s="619"/>
      <c r="I125" s="619"/>
      <c r="J125" s="619"/>
      <c r="K125" s="619"/>
      <c r="L125" s="619"/>
      <c r="M125" s="175" t="s">
        <v>106</v>
      </c>
      <c r="N125" s="439">
        <v>46112</v>
      </c>
    </row>
    <row r="126" spans="2:14" ht="18" customHeight="1" x14ac:dyDescent="0.3">
      <c r="B126" s="619"/>
      <c r="C126" s="619">
        <v>26010358</v>
      </c>
      <c r="D126" s="619"/>
      <c r="E126" s="618"/>
      <c r="F126" s="618"/>
      <c r="G126" s="619" t="s">
        <v>104</v>
      </c>
      <c r="H126" s="619"/>
      <c r="I126" s="619"/>
      <c r="J126" s="619"/>
      <c r="K126" s="619"/>
      <c r="L126" s="619"/>
      <c r="M126" s="175" t="s">
        <v>106</v>
      </c>
      <c r="N126" s="439">
        <v>46112</v>
      </c>
    </row>
    <row r="127" spans="2:14" ht="18" customHeight="1" x14ac:dyDescent="0.3">
      <c r="B127" s="619"/>
      <c r="C127" s="619">
        <v>26010359</v>
      </c>
      <c r="D127" s="619"/>
      <c r="E127" s="618"/>
      <c r="F127" s="618"/>
      <c r="G127" s="619" t="s">
        <v>104</v>
      </c>
      <c r="H127" s="619"/>
      <c r="I127" s="619"/>
      <c r="J127" s="619"/>
      <c r="K127" s="619"/>
      <c r="L127" s="619"/>
      <c r="M127" s="175" t="s">
        <v>106</v>
      </c>
      <c r="N127" s="439">
        <v>46120</v>
      </c>
    </row>
    <row r="128" spans="2:14" ht="18" customHeight="1" x14ac:dyDescent="0.4">
      <c r="B128" s="619"/>
      <c r="C128" s="619">
        <v>26010360</v>
      </c>
      <c r="D128" s="619"/>
      <c r="E128" s="621"/>
      <c r="F128" s="621"/>
      <c r="G128" s="619" t="s">
        <v>104</v>
      </c>
      <c r="H128" s="619"/>
      <c r="I128" s="619"/>
      <c r="J128" s="619"/>
      <c r="K128" s="619"/>
      <c r="L128" s="619"/>
      <c r="M128" s="175" t="s">
        <v>106</v>
      </c>
      <c r="N128" s="439">
        <v>46120</v>
      </c>
    </row>
    <row r="129" spans="2:14" ht="18" customHeight="1" x14ac:dyDescent="0.3">
      <c r="B129" s="619"/>
      <c r="C129" s="619">
        <v>26010361</v>
      </c>
      <c r="D129" s="619"/>
      <c r="E129" s="618"/>
      <c r="F129" s="618"/>
      <c r="G129" s="619" t="s">
        <v>104</v>
      </c>
      <c r="H129" s="619"/>
      <c r="I129" s="619"/>
      <c r="J129" s="619"/>
      <c r="K129" s="619"/>
      <c r="L129" s="619"/>
      <c r="M129" s="175" t="s">
        <v>106</v>
      </c>
      <c r="N129" s="439">
        <v>46120</v>
      </c>
    </row>
    <row r="130" spans="2:14" ht="18" customHeight="1" x14ac:dyDescent="0.3">
      <c r="B130" s="619"/>
      <c r="C130" s="619">
        <v>26010362</v>
      </c>
      <c r="D130" s="619"/>
      <c r="E130" s="618"/>
      <c r="F130" s="618"/>
      <c r="G130" s="619" t="s">
        <v>104</v>
      </c>
      <c r="H130" s="619"/>
      <c r="I130" s="619"/>
      <c r="J130" s="619"/>
      <c r="K130" s="619"/>
      <c r="L130" s="619"/>
      <c r="M130" s="175" t="s">
        <v>106</v>
      </c>
      <c r="N130" s="439">
        <v>46120</v>
      </c>
    </row>
    <row r="131" spans="2:14" ht="18" customHeight="1" x14ac:dyDescent="0.3">
      <c r="B131" s="619"/>
      <c r="C131" s="619">
        <v>26010363</v>
      </c>
      <c r="D131" s="619"/>
      <c r="E131" s="620" t="s">
        <v>406</v>
      </c>
      <c r="F131" s="620"/>
      <c r="G131" s="619" t="s">
        <v>104</v>
      </c>
      <c r="H131" s="619"/>
      <c r="I131" s="619"/>
      <c r="J131" s="619"/>
      <c r="K131" s="619"/>
      <c r="L131" s="619"/>
      <c r="M131" s="175" t="s">
        <v>106</v>
      </c>
      <c r="N131" s="439">
        <v>46120</v>
      </c>
    </row>
    <row r="132" spans="2:14" ht="17.25" customHeight="1" x14ac:dyDescent="0.3">
      <c r="B132" s="175" t="s">
        <v>407</v>
      </c>
      <c r="C132" s="619">
        <v>26010364</v>
      </c>
      <c r="D132" s="619"/>
      <c r="E132" s="618"/>
      <c r="F132" s="618"/>
      <c r="G132" s="619" t="s">
        <v>408</v>
      </c>
      <c r="H132" s="619"/>
      <c r="I132" s="619"/>
      <c r="J132" s="619"/>
      <c r="K132" s="619" t="s">
        <v>56</v>
      </c>
      <c r="L132" s="619"/>
      <c r="M132" s="175" t="s">
        <v>409</v>
      </c>
      <c r="N132" s="439">
        <v>46100</v>
      </c>
    </row>
    <row r="133" spans="2:14" ht="17.25" customHeight="1" x14ac:dyDescent="0.3">
      <c r="B133" s="175" t="s">
        <v>410</v>
      </c>
      <c r="C133" s="619" t="s">
        <v>411</v>
      </c>
      <c r="D133" s="619"/>
      <c r="E133" s="618"/>
      <c r="F133" s="618"/>
      <c r="G133" s="618" t="s">
        <v>412</v>
      </c>
      <c r="H133" s="618"/>
      <c r="I133" s="618"/>
      <c r="J133" s="618"/>
      <c r="K133" s="618" t="s">
        <v>60</v>
      </c>
      <c r="L133" s="618"/>
      <c r="M133" s="176" t="s">
        <v>84</v>
      </c>
      <c r="N133" s="439">
        <v>46104</v>
      </c>
    </row>
    <row r="134" spans="2:14" ht="17.25" customHeight="1" x14ac:dyDescent="0.3">
      <c r="B134" s="175" t="s">
        <v>413</v>
      </c>
      <c r="C134" s="619">
        <v>26010366</v>
      </c>
      <c r="D134" s="619"/>
      <c r="E134" s="618"/>
      <c r="F134" s="618"/>
      <c r="G134" s="618" t="s">
        <v>86</v>
      </c>
      <c r="H134" s="618"/>
      <c r="I134" s="618"/>
      <c r="J134" s="618"/>
      <c r="K134" s="618" t="s">
        <v>87</v>
      </c>
      <c r="L134" s="618"/>
      <c r="M134" s="176" t="s">
        <v>414</v>
      </c>
      <c r="N134" s="439">
        <v>46106</v>
      </c>
    </row>
    <row r="135" spans="2:14" ht="17.25" customHeight="1" x14ac:dyDescent="0.3">
      <c r="B135" s="175" t="s">
        <v>415</v>
      </c>
      <c r="C135" s="618">
        <v>26010367</v>
      </c>
      <c r="D135" s="618"/>
      <c r="E135" s="618"/>
      <c r="F135" s="618"/>
      <c r="G135" s="618" t="s">
        <v>90</v>
      </c>
      <c r="H135" s="618"/>
      <c r="I135" s="618"/>
      <c r="J135" s="618"/>
      <c r="K135" s="618" t="s">
        <v>91</v>
      </c>
      <c r="L135" s="618"/>
      <c r="M135" s="176" t="s">
        <v>84</v>
      </c>
      <c r="N135" s="439">
        <v>46133</v>
      </c>
    </row>
    <row r="136" spans="2:14" ht="17.25" customHeight="1" x14ac:dyDescent="0.3">
      <c r="B136" s="617" t="s">
        <v>416</v>
      </c>
      <c r="C136" s="618">
        <v>26010368</v>
      </c>
      <c r="D136" s="618"/>
      <c r="E136" s="618"/>
      <c r="F136" s="618"/>
      <c r="G136" s="618" t="s">
        <v>122</v>
      </c>
      <c r="H136" s="618"/>
      <c r="I136" s="618"/>
      <c r="J136" s="618"/>
      <c r="K136" s="618" t="s">
        <v>105</v>
      </c>
      <c r="L136" s="618"/>
      <c r="M136" s="176" t="s">
        <v>417</v>
      </c>
      <c r="N136" s="439">
        <v>46106</v>
      </c>
    </row>
    <row r="137" spans="2:14" ht="17.25" customHeight="1" x14ac:dyDescent="0.3">
      <c r="B137" s="617"/>
      <c r="C137" s="618">
        <v>26030369</v>
      </c>
      <c r="D137" s="618"/>
      <c r="E137" s="618"/>
      <c r="F137" s="618"/>
      <c r="G137" s="618" t="s">
        <v>305</v>
      </c>
      <c r="H137" s="618"/>
      <c r="I137" s="618"/>
      <c r="J137" s="618"/>
      <c r="K137" s="618"/>
      <c r="L137" s="618"/>
      <c r="M137" s="176" t="s">
        <v>418</v>
      </c>
      <c r="N137" s="439">
        <v>46106</v>
      </c>
    </row>
    <row r="138" spans="2:14" ht="17.25" customHeight="1" x14ac:dyDescent="0.3">
      <c r="B138" s="617"/>
      <c r="C138" s="618">
        <v>26030370</v>
      </c>
      <c r="D138" s="618"/>
      <c r="E138" s="618"/>
      <c r="F138" s="618"/>
      <c r="G138" s="618" t="s">
        <v>124</v>
      </c>
      <c r="H138" s="618"/>
      <c r="I138" s="618"/>
      <c r="J138" s="618"/>
      <c r="K138" s="618"/>
      <c r="L138" s="618"/>
      <c r="M138" s="180" t="s">
        <v>127</v>
      </c>
      <c r="N138" s="439">
        <v>46106</v>
      </c>
    </row>
    <row r="139" spans="2:14" ht="17.25" customHeight="1" x14ac:dyDescent="0.3">
      <c r="B139" s="617"/>
      <c r="C139" s="618">
        <v>26030371</v>
      </c>
      <c r="D139" s="618"/>
      <c r="E139" s="618"/>
      <c r="F139" s="618"/>
      <c r="G139" s="618" t="s">
        <v>128</v>
      </c>
      <c r="H139" s="618"/>
      <c r="I139" s="618"/>
      <c r="J139" s="618"/>
      <c r="K139" s="618"/>
      <c r="L139" s="618"/>
      <c r="M139" s="176" t="s">
        <v>417</v>
      </c>
      <c r="N139" s="439">
        <v>46106</v>
      </c>
    </row>
    <row r="140" spans="2:14" ht="17.25" customHeight="1" x14ac:dyDescent="0.3">
      <c r="B140" s="617"/>
      <c r="C140" s="618">
        <v>26030372</v>
      </c>
      <c r="D140" s="618"/>
      <c r="E140" s="618"/>
      <c r="F140" s="618"/>
      <c r="G140" s="618" t="s">
        <v>130</v>
      </c>
      <c r="H140" s="618"/>
      <c r="I140" s="618"/>
      <c r="J140" s="618"/>
      <c r="K140" s="618"/>
      <c r="L140" s="618"/>
      <c r="M140" s="176" t="s">
        <v>418</v>
      </c>
      <c r="N140" s="439">
        <v>46106</v>
      </c>
    </row>
    <row r="141" spans="2:14" ht="17.25" customHeight="1" x14ac:dyDescent="0.3">
      <c r="B141" s="617" t="s">
        <v>419</v>
      </c>
      <c r="C141" s="618">
        <v>26040373</v>
      </c>
      <c r="D141" s="618"/>
      <c r="E141" s="618"/>
      <c r="F141" s="618"/>
      <c r="G141" s="618" t="s">
        <v>297</v>
      </c>
      <c r="H141" s="618"/>
      <c r="I141" s="618"/>
      <c r="J141" s="618"/>
      <c r="K141" s="618" t="s">
        <v>299</v>
      </c>
      <c r="L141" s="618"/>
      <c r="M141" s="176" t="s">
        <v>420</v>
      </c>
      <c r="N141" s="439">
        <v>46106</v>
      </c>
    </row>
    <row r="142" spans="2:14" ht="17.25" customHeight="1" x14ac:dyDescent="0.3">
      <c r="B142" s="617"/>
      <c r="C142" s="619">
        <v>26040374</v>
      </c>
      <c r="D142" s="619"/>
      <c r="E142" s="618"/>
      <c r="F142" s="618"/>
      <c r="G142" s="618" t="s">
        <v>294</v>
      </c>
      <c r="H142" s="618"/>
      <c r="I142" s="618"/>
      <c r="J142" s="618"/>
      <c r="K142" s="618"/>
      <c r="L142" s="618"/>
      <c r="M142" s="176" t="s">
        <v>421</v>
      </c>
      <c r="N142" s="439">
        <v>46108</v>
      </c>
    </row>
    <row r="143" spans="2:14" ht="17.25" customHeight="1" x14ac:dyDescent="0.3">
      <c r="B143" s="179" t="s">
        <v>422</v>
      </c>
      <c r="C143" s="618">
        <v>26010375</v>
      </c>
      <c r="D143" s="618"/>
      <c r="E143" s="618"/>
      <c r="F143" s="618"/>
      <c r="G143" s="618" t="s">
        <v>287</v>
      </c>
      <c r="H143" s="618"/>
      <c r="I143" s="618"/>
      <c r="J143" s="618"/>
      <c r="K143" s="618" t="s">
        <v>288</v>
      </c>
      <c r="L143" s="618"/>
      <c r="M143" s="176" t="s">
        <v>290</v>
      </c>
      <c r="N143" s="439">
        <v>46112</v>
      </c>
    </row>
    <row r="144" spans="2:14" ht="17.25" customHeight="1" x14ac:dyDescent="0.3">
      <c r="B144" s="617" t="s">
        <v>423</v>
      </c>
      <c r="C144" s="618">
        <v>26020376</v>
      </c>
      <c r="D144" s="618"/>
      <c r="E144" s="618"/>
      <c r="F144" s="618"/>
      <c r="G144" s="618" t="s">
        <v>307</v>
      </c>
      <c r="H144" s="618"/>
      <c r="I144" s="618"/>
      <c r="J144" s="618"/>
      <c r="K144" s="618" t="s">
        <v>105</v>
      </c>
      <c r="L144" s="618"/>
      <c r="M144" s="176" t="s">
        <v>424</v>
      </c>
      <c r="N144" s="439">
        <v>46111</v>
      </c>
    </row>
    <row r="145" spans="2:14" ht="17.25" customHeight="1" x14ac:dyDescent="0.3">
      <c r="B145" s="617"/>
      <c r="C145" s="618">
        <v>26020377</v>
      </c>
      <c r="D145" s="618"/>
      <c r="E145" s="618"/>
      <c r="F145" s="618"/>
      <c r="G145" s="618" t="s">
        <v>425</v>
      </c>
      <c r="H145" s="618"/>
      <c r="I145" s="618"/>
      <c r="J145" s="618"/>
      <c r="K145" s="618"/>
      <c r="L145" s="618"/>
      <c r="M145" s="180" t="s">
        <v>426</v>
      </c>
      <c r="N145" s="439">
        <v>46114</v>
      </c>
    </row>
    <row r="146" spans="2:14" ht="17.25" customHeight="1" x14ac:dyDescent="0.3">
      <c r="B146" s="617"/>
      <c r="C146" s="618">
        <v>26020378</v>
      </c>
      <c r="D146" s="618"/>
      <c r="E146" s="618"/>
      <c r="F146" s="618"/>
      <c r="G146" s="618" t="s">
        <v>427</v>
      </c>
      <c r="H146" s="618"/>
      <c r="I146" s="618"/>
      <c r="J146" s="618"/>
      <c r="K146" s="618"/>
      <c r="L146" s="618"/>
      <c r="M146" s="180" t="s">
        <v>426</v>
      </c>
      <c r="N146" s="439">
        <v>46118</v>
      </c>
    </row>
    <row r="147" spans="2:14" ht="17.25" customHeight="1" x14ac:dyDescent="0.3">
      <c r="B147" s="617"/>
      <c r="C147" s="618">
        <v>26020379</v>
      </c>
      <c r="D147" s="618"/>
      <c r="E147" s="618"/>
      <c r="F147" s="618"/>
      <c r="G147" s="618" t="s">
        <v>428</v>
      </c>
      <c r="H147" s="618"/>
      <c r="I147" s="618"/>
      <c r="J147" s="618"/>
      <c r="K147" s="618"/>
      <c r="L147" s="618"/>
      <c r="M147" s="180" t="s">
        <v>426</v>
      </c>
      <c r="N147" s="439">
        <v>46118</v>
      </c>
    </row>
    <row r="148" spans="2:14" ht="17.25" customHeight="1" x14ac:dyDescent="0.3">
      <c r="B148" s="617"/>
      <c r="C148" s="618">
        <v>26020380</v>
      </c>
      <c r="D148" s="618"/>
      <c r="E148" s="618"/>
      <c r="F148" s="618"/>
      <c r="G148" s="618" t="s">
        <v>429</v>
      </c>
      <c r="H148" s="618"/>
      <c r="I148" s="618"/>
      <c r="J148" s="618"/>
      <c r="K148" s="618"/>
      <c r="L148" s="618"/>
      <c r="M148" s="180" t="s">
        <v>426</v>
      </c>
      <c r="N148" s="439">
        <v>46118</v>
      </c>
    </row>
    <row r="149" spans="2:14" ht="17.25" customHeight="1" x14ac:dyDescent="0.3">
      <c r="B149" s="617"/>
      <c r="C149" s="618">
        <v>26020381</v>
      </c>
      <c r="D149" s="618"/>
      <c r="E149" s="618"/>
      <c r="F149" s="618"/>
      <c r="G149" s="618" t="s">
        <v>430</v>
      </c>
      <c r="H149" s="618"/>
      <c r="I149" s="618"/>
      <c r="J149" s="618"/>
      <c r="K149" s="618"/>
      <c r="L149" s="618"/>
      <c r="M149" s="180" t="s">
        <v>426</v>
      </c>
      <c r="N149" s="439">
        <v>46118</v>
      </c>
    </row>
    <row r="150" spans="2:14" ht="17.25" customHeight="1" x14ac:dyDescent="0.3">
      <c r="B150" s="617"/>
      <c r="C150" s="618">
        <v>26020382</v>
      </c>
      <c r="D150" s="618"/>
      <c r="E150" s="618"/>
      <c r="F150" s="618"/>
      <c r="G150" s="618" t="s">
        <v>431</v>
      </c>
      <c r="H150" s="618"/>
      <c r="I150" s="618"/>
      <c r="J150" s="618"/>
      <c r="K150" s="618"/>
      <c r="L150" s="618"/>
      <c r="M150" s="176" t="s">
        <v>308</v>
      </c>
      <c r="N150" s="439">
        <v>46118</v>
      </c>
    </row>
    <row r="151" spans="2:14" ht="17.25" customHeight="1" x14ac:dyDescent="0.3">
      <c r="B151" s="617"/>
      <c r="C151" s="618">
        <v>26020383</v>
      </c>
      <c r="D151" s="618"/>
      <c r="E151" s="618"/>
      <c r="F151" s="618"/>
      <c r="G151" s="618" t="s">
        <v>432</v>
      </c>
      <c r="H151" s="618"/>
      <c r="I151" s="618"/>
      <c r="J151" s="618"/>
      <c r="K151" s="618"/>
      <c r="L151" s="618"/>
      <c r="M151" s="176" t="s">
        <v>308</v>
      </c>
      <c r="N151" s="439">
        <v>46119</v>
      </c>
    </row>
    <row r="152" spans="2:14" ht="17.25" customHeight="1" x14ac:dyDescent="0.3">
      <c r="B152" s="617" t="s">
        <v>433</v>
      </c>
      <c r="C152" s="618"/>
      <c r="D152" s="618"/>
      <c r="E152" s="618">
        <v>26030368</v>
      </c>
      <c r="F152" s="618"/>
      <c r="G152" s="618" t="s">
        <v>122</v>
      </c>
      <c r="H152" s="618"/>
      <c r="I152" s="618"/>
      <c r="J152" s="618"/>
      <c r="K152" s="618" t="s">
        <v>132</v>
      </c>
      <c r="L152" s="618"/>
      <c r="M152" s="176" t="s">
        <v>135</v>
      </c>
      <c r="N152" s="439">
        <v>46112</v>
      </c>
    </row>
    <row r="153" spans="2:14" ht="17.25" customHeight="1" x14ac:dyDescent="0.3">
      <c r="B153" s="617"/>
      <c r="C153" s="618"/>
      <c r="D153" s="618"/>
      <c r="E153" s="618">
        <v>26030370</v>
      </c>
      <c r="F153" s="618"/>
      <c r="G153" s="618" t="s">
        <v>124</v>
      </c>
      <c r="H153" s="618"/>
      <c r="I153" s="618"/>
      <c r="J153" s="618"/>
      <c r="K153" s="618"/>
      <c r="L153" s="618"/>
      <c r="M153" s="180" t="s">
        <v>133</v>
      </c>
      <c r="N153" s="439">
        <v>46113</v>
      </c>
    </row>
    <row r="154" spans="2:14" ht="17.25" customHeight="1" x14ac:dyDescent="0.3">
      <c r="B154" s="617"/>
      <c r="C154" s="618"/>
      <c r="D154" s="618"/>
      <c r="E154" s="618">
        <v>26030371</v>
      </c>
      <c r="F154" s="618"/>
      <c r="G154" s="618" t="s">
        <v>434</v>
      </c>
      <c r="H154" s="618"/>
      <c r="I154" s="618"/>
      <c r="J154" s="618"/>
      <c r="K154" s="618"/>
      <c r="L154" s="618"/>
      <c r="M154" s="176" t="s">
        <v>135</v>
      </c>
      <c r="N154" s="439">
        <v>46113</v>
      </c>
    </row>
    <row r="155" spans="2:14" ht="18" customHeight="1" x14ac:dyDescent="0.3">
      <c r="B155" s="617"/>
      <c r="C155" s="618"/>
      <c r="D155" s="618"/>
      <c r="E155" s="618">
        <v>26030052</v>
      </c>
      <c r="F155" s="618"/>
      <c r="G155" s="618" t="s">
        <v>126</v>
      </c>
      <c r="H155" s="618"/>
      <c r="I155" s="618"/>
      <c r="J155" s="618"/>
      <c r="K155" s="618"/>
      <c r="L155" s="618"/>
      <c r="M155" s="180" t="s">
        <v>435</v>
      </c>
      <c r="N155" s="439">
        <v>46113</v>
      </c>
    </row>
    <row r="156" spans="2:14" ht="18" customHeight="1" x14ac:dyDescent="0.3">
      <c r="B156" s="617" t="s">
        <v>436</v>
      </c>
      <c r="C156" s="618"/>
      <c r="D156" s="618"/>
      <c r="E156" s="618">
        <v>26030368</v>
      </c>
      <c r="F156" s="618"/>
      <c r="G156" s="618" t="s">
        <v>122</v>
      </c>
      <c r="H156" s="618"/>
      <c r="I156" s="618"/>
      <c r="J156" s="618"/>
      <c r="K156" s="618" t="s">
        <v>91</v>
      </c>
      <c r="L156" s="618"/>
      <c r="M156" s="176" t="s">
        <v>135</v>
      </c>
      <c r="N156" s="439">
        <v>46112</v>
      </c>
    </row>
    <row r="157" spans="2:14" ht="18" customHeight="1" x14ac:dyDescent="0.3">
      <c r="B157" s="617"/>
      <c r="C157" s="618"/>
      <c r="D157" s="618"/>
      <c r="E157" s="618">
        <v>26030369</v>
      </c>
      <c r="F157" s="618"/>
      <c r="G157" s="618" t="s">
        <v>305</v>
      </c>
      <c r="H157" s="618"/>
      <c r="I157" s="618"/>
      <c r="J157" s="618"/>
      <c r="K157" s="618"/>
      <c r="L157" s="618"/>
      <c r="M157" s="180" t="s">
        <v>135</v>
      </c>
      <c r="N157" s="439">
        <v>46113</v>
      </c>
    </row>
    <row r="158" spans="2:14" ht="18" customHeight="1" x14ac:dyDescent="0.3">
      <c r="B158" s="617"/>
      <c r="C158" s="618"/>
      <c r="D158" s="618"/>
      <c r="E158" s="618">
        <v>26030371</v>
      </c>
      <c r="F158" s="618"/>
      <c r="G158" s="618" t="s">
        <v>128</v>
      </c>
      <c r="H158" s="618"/>
      <c r="I158" s="618"/>
      <c r="J158" s="618"/>
      <c r="K158" s="618"/>
      <c r="L158" s="618"/>
      <c r="M158" s="176" t="s">
        <v>135</v>
      </c>
      <c r="N158" s="439">
        <v>46113</v>
      </c>
    </row>
    <row r="159" spans="2:14" ht="18" customHeight="1" x14ac:dyDescent="0.3">
      <c r="B159" s="617"/>
      <c r="C159" s="618"/>
      <c r="D159" s="618"/>
      <c r="E159" s="618">
        <v>26030372</v>
      </c>
      <c r="F159" s="618"/>
      <c r="G159" s="618" t="s">
        <v>130</v>
      </c>
      <c r="H159" s="618"/>
      <c r="I159" s="618"/>
      <c r="J159" s="618"/>
      <c r="K159" s="618"/>
      <c r="L159" s="618"/>
      <c r="M159" s="180" t="s">
        <v>135</v>
      </c>
      <c r="N159" s="439">
        <v>46113</v>
      </c>
    </row>
    <row r="160" spans="2:14" ht="18" customHeight="1" x14ac:dyDescent="0.3">
      <c r="B160" s="181"/>
      <c r="C160" s="615"/>
      <c r="D160" s="615"/>
      <c r="E160" s="615"/>
      <c r="F160" s="615"/>
      <c r="G160" s="615"/>
      <c r="H160" s="615"/>
      <c r="I160" s="615"/>
      <c r="J160" s="615"/>
      <c r="K160" s="615"/>
      <c r="L160" s="615"/>
      <c r="M160" s="182"/>
      <c r="N160" s="438"/>
    </row>
    <row r="161" spans="2:14" ht="18" customHeight="1" x14ac:dyDescent="0.3">
      <c r="B161" s="183"/>
      <c r="C161" s="616"/>
      <c r="D161" s="616"/>
      <c r="E161" s="616"/>
      <c r="F161" s="616"/>
      <c r="G161" s="616"/>
      <c r="H161" s="616"/>
      <c r="I161" s="616"/>
      <c r="J161" s="616"/>
      <c r="K161" s="616"/>
      <c r="L161" s="616"/>
      <c r="M161" s="184"/>
      <c r="N161" s="438"/>
    </row>
    <row r="162" spans="2:14" ht="18" customHeight="1" x14ac:dyDescent="0.3">
      <c r="B162" s="181"/>
      <c r="C162" s="615"/>
      <c r="D162" s="615"/>
      <c r="E162" s="615"/>
      <c r="F162" s="615"/>
      <c r="G162" s="615"/>
      <c r="H162" s="615"/>
      <c r="I162" s="615"/>
      <c r="J162" s="615"/>
      <c r="K162" s="615"/>
      <c r="L162" s="615"/>
      <c r="M162" s="182"/>
      <c r="N162" s="438"/>
    </row>
    <row r="163" spans="2:14" ht="18" customHeight="1" x14ac:dyDescent="0.3">
      <c r="B163" s="183"/>
      <c r="C163" s="616"/>
      <c r="D163" s="616"/>
      <c r="E163" s="616"/>
      <c r="F163" s="616"/>
      <c r="G163" s="616"/>
      <c r="H163" s="616"/>
      <c r="I163" s="616"/>
      <c r="J163" s="616"/>
      <c r="K163" s="616"/>
      <c r="L163" s="616"/>
      <c r="M163" s="184"/>
      <c r="N163" s="438"/>
    </row>
    <row r="164" spans="2:14" ht="18" customHeight="1" x14ac:dyDescent="0.3">
      <c r="B164" s="181"/>
      <c r="C164" s="615"/>
      <c r="D164" s="615"/>
      <c r="E164" s="615"/>
      <c r="F164" s="615"/>
      <c r="G164" s="615"/>
      <c r="H164" s="615"/>
      <c r="I164" s="615"/>
      <c r="J164" s="615"/>
      <c r="K164" s="615"/>
      <c r="L164" s="615"/>
      <c r="M164" s="182"/>
      <c r="N164" s="438"/>
    </row>
    <row r="165" spans="2:14" ht="18" customHeight="1" x14ac:dyDescent="0.3">
      <c r="B165" s="183"/>
      <c r="C165" s="616"/>
      <c r="D165" s="616"/>
      <c r="E165" s="616"/>
      <c r="F165" s="616"/>
      <c r="G165" s="616"/>
      <c r="H165" s="616"/>
      <c r="I165" s="616"/>
      <c r="J165" s="616"/>
      <c r="K165" s="616"/>
      <c r="L165" s="616"/>
      <c r="M165" s="184"/>
      <c r="N165" s="438"/>
    </row>
    <row r="166" spans="2:14" ht="18" customHeight="1" x14ac:dyDescent="0.3">
      <c r="B166" s="181"/>
      <c r="C166" s="615"/>
      <c r="D166" s="615"/>
      <c r="E166" s="615"/>
      <c r="F166" s="615"/>
      <c r="G166" s="615"/>
      <c r="H166" s="615"/>
      <c r="I166" s="615"/>
      <c r="J166" s="615"/>
      <c r="K166" s="615"/>
      <c r="L166" s="615"/>
      <c r="M166" s="182"/>
      <c r="N166" s="438"/>
    </row>
    <row r="167" spans="2:14" ht="18" customHeight="1" x14ac:dyDescent="0.3">
      <c r="B167" s="183"/>
      <c r="C167" s="616"/>
      <c r="D167" s="616"/>
      <c r="E167" s="616"/>
      <c r="F167" s="616"/>
      <c r="G167" s="616"/>
      <c r="H167" s="616"/>
      <c r="I167" s="616"/>
      <c r="J167" s="616"/>
      <c r="K167" s="616"/>
      <c r="L167" s="616"/>
      <c r="M167" s="184"/>
      <c r="N167" s="438"/>
    </row>
    <row r="168" spans="2:14" ht="18" customHeight="1" x14ac:dyDescent="0.3">
      <c r="B168" s="181"/>
      <c r="C168" s="615"/>
      <c r="D168" s="615"/>
      <c r="E168" s="615"/>
      <c r="F168" s="615"/>
      <c r="G168" s="615"/>
      <c r="H168" s="615"/>
      <c r="I168" s="615"/>
      <c r="J168" s="615"/>
      <c r="K168" s="615"/>
      <c r="L168" s="615"/>
      <c r="M168" s="182"/>
      <c r="N168" s="438"/>
    </row>
    <row r="169" spans="2:14" ht="18" customHeight="1" x14ac:dyDescent="0.3">
      <c r="N169" s="437"/>
    </row>
    <row r="170" spans="2:14" ht="18" customHeight="1" x14ac:dyDescent="0.3">
      <c r="N170" s="437"/>
    </row>
    <row r="171" spans="2:14" ht="18" customHeight="1" x14ac:dyDescent="0.3">
      <c r="N171" s="437"/>
    </row>
    <row r="172" spans="2:14" ht="18" customHeight="1" x14ac:dyDescent="0.3">
      <c r="N172" s="437"/>
    </row>
    <row r="173" spans="2:14" ht="18" customHeight="1" x14ac:dyDescent="0.3">
      <c r="N173" s="437"/>
    </row>
    <row r="174" spans="2:14" ht="18" customHeight="1" x14ac:dyDescent="0.3">
      <c r="N174" s="437"/>
    </row>
    <row r="175" spans="2:14" ht="18" customHeight="1" x14ac:dyDescent="0.3">
      <c r="N175" s="437"/>
    </row>
    <row r="176" spans="2:14" ht="18" customHeight="1" x14ac:dyDescent="0.3">
      <c r="N176" s="437"/>
    </row>
    <row r="177" spans="14:14" ht="18" customHeight="1" x14ac:dyDescent="0.3">
      <c r="N177" s="437"/>
    </row>
    <row r="178" spans="14:14" ht="18" customHeight="1" x14ac:dyDescent="0.3">
      <c r="N178" s="437"/>
    </row>
    <row r="179" spans="14:14" ht="18" customHeight="1" x14ac:dyDescent="0.3">
      <c r="N179" s="437"/>
    </row>
    <row r="180" spans="14:14" ht="18" customHeight="1" x14ac:dyDescent="0.3">
      <c r="N180" s="437"/>
    </row>
    <row r="181" spans="14:14" ht="18" customHeight="1" x14ac:dyDescent="0.3">
      <c r="N181" s="437"/>
    </row>
    <row r="182" spans="14:14" ht="18" customHeight="1" x14ac:dyDescent="0.3">
      <c r="N182" s="437"/>
    </row>
    <row r="183" spans="14:14" ht="18" customHeight="1" x14ac:dyDescent="0.3">
      <c r="N183" s="437"/>
    </row>
    <row r="184" spans="14:14" ht="18" customHeight="1" x14ac:dyDescent="0.3">
      <c r="N184" s="437"/>
    </row>
    <row r="185" spans="14:14" ht="18" customHeight="1" x14ac:dyDescent="0.3">
      <c r="N185" s="437"/>
    </row>
    <row r="186" spans="14:14" ht="18" customHeight="1" x14ac:dyDescent="0.3">
      <c r="N186" s="437"/>
    </row>
    <row r="187" spans="14:14" ht="18" customHeight="1" x14ac:dyDescent="0.3">
      <c r="N187" s="437"/>
    </row>
    <row r="188" spans="14:14" ht="18" customHeight="1" x14ac:dyDescent="0.3">
      <c r="N188" s="437"/>
    </row>
    <row r="189" spans="14:14" ht="18" customHeight="1" x14ac:dyDescent="0.3">
      <c r="N189" s="437"/>
    </row>
    <row r="190" spans="14:14" ht="18" customHeight="1" x14ac:dyDescent="0.3">
      <c r="N190" s="437"/>
    </row>
    <row r="191" spans="14:14" ht="18" customHeight="1" x14ac:dyDescent="0.3">
      <c r="N191" s="437"/>
    </row>
    <row r="192" spans="14:14" ht="18" customHeight="1" x14ac:dyDescent="0.3">
      <c r="N192" s="437"/>
    </row>
    <row r="193" spans="14:14" ht="18" customHeight="1" x14ac:dyDescent="0.3">
      <c r="N193" s="437"/>
    </row>
    <row r="194" spans="14:14" ht="18" customHeight="1" x14ac:dyDescent="0.3">
      <c r="N194" s="437"/>
    </row>
    <row r="195" spans="14:14" ht="18" customHeight="1" x14ac:dyDescent="0.3">
      <c r="N195" s="437"/>
    </row>
    <row r="196" spans="14:14" ht="18" customHeight="1" x14ac:dyDescent="0.3">
      <c r="N196" s="437"/>
    </row>
    <row r="197" spans="14:14" ht="18" customHeight="1" x14ac:dyDescent="0.3">
      <c r="N197" s="437"/>
    </row>
    <row r="198" spans="14:14" ht="18" customHeight="1" x14ac:dyDescent="0.3">
      <c r="N198" s="437"/>
    </row>
    <row r="199" spans="14:14" ht="18" customHeight="1" x14ac:dyDescent="0.3">
      <c r="N199" s="437"/>
    </row>
    <row r="200" spans="14:14" ht="18" customHeight="1" x14ac:dyDescent="0.3">
      <c r="N200" s="437"/>
    </row>
    <row r="201" spans="14:14" ht="18" customHeight="1" x14ac:dyDescent="0.3">
      <c r="N201" s="437"/>
    </row>
    <row r="202" spans="14:14" ht="18" customHeight="1" x14ac:dyDescent="0.3">
      <c r="N202" s="437"/>
    </row>
    <row r="203" spans="14:14" ht="18" customHeight="1" x14ac:dyDescent="0.3">
      <c r="N203" s="437"/>
    </row>
    <row r="204" spans="14:14" ht="18" customHeight="1" x14ac:dyDescent="0.3">
      <c r="N204" s="437"/>
    </row>
    <row r="205" spans="14:14" ht="18" customHeight="1" x14ac:dyDescent="0.3">
      <c r="N205" s="437"/>
    </row>
    <row r="206" spans="14:14" ht="18" customHeight="1" x14ac:dyDescent="0.3">
      <c r="N206" s="437"/>
    </row>
    <row r="207" spans="14:14" ht="18" customHeight="1" x14ac:dyDescent="0.3">
      <c r="N207" s="437"/>
    </row>
    <row r="208" spans="14:14" ht="18" customHeight="1" x14ac:dyDescent="0.3">
      <c r="N208" s="437"/>
    </row>
    <row r="209" spans="14:14" ht="18" customHeight="1" x14ac:dyDescent="0.3">
      <c r="N209" s="437"/>
    </row>
    <row r="210" spans="14:14" ht="18" customHeight="1" x14ac:dyDescent="0.3">
      <c r="N210" s="437"/>
    </row>
    <row r="211" spans="14:14" ht="18" customHeight="1" x14ac:dyDescent="0.3">
      <c r="N211" s="437"/>
    </row>
    <row r="212" spans="14:14" ht="18" customHeight="1" x14ac:dyDescent="0.3">
      <c r="N212" s="437"/>
    </row>
    <row r="213" spans="14:14" ht="18" customHeight="1" x14ac:dyDescent="0.3">
      <c r="N213" s="437"/>
    </row>
    <row r="214" spans="14:14" ht="18" customHeight="1" x14ac:dyDescent="0.3">
      <c r="N214" s="437"/>
    </row>
    <row r="215" spans="14:14" ht="18" customHeight="1" x14ac:dyDescent="0.3">
      <c r="N215" s="437"/>
    </row>
    <row r="216" spans="14:14" ht="18" customHeight="1" x14ac:dyDescent="0.3">
      <c r="N216" s="437"/>
    </row>
    <row r="217" spans="14:14" ht="18" customHeight="1" x14ac:dyDescent="0.3">
      <c r="N217" s="437"/>
    </row>
    <row r="218" spans="14:14" ht="18" customHeight="1" x14ac:dyDescent="0.3">
      <c r="N218" s="437"/>
    </row>
    <row r="219" spans="14:14" ht="18" customHeight="1" x14ac:dyDescent="0.3">
      <c r="N219" s="437"/>
    </row>
    <row r="220" spans="14:14" ht="18" customHeight="1" x14ac:dyDescent="0.3">
      <c r="N220" s="437"/>
    </row>
    <row r="221" spans="14:14" ht="18" customHeight="1" x14ac:dyDescent="0.3">
      <c r="N221" s="437"/>
    </row>
    <row r="222" spans="14:14" ht="18" customHeight="1" x14ac:dyDescent="0.3">
      <c r="N222" s="437"/>
    </row>
    <row r="223" spans="14:14" ht="18" customHeight="1" x14ac:dyDescent="0.3">
      <c r="N223" s="437"/>
    </row>
    <row r="224" spans="14:14" ht="18" customHeight="1" x14ac:dyDescent="0.3">
      <c r="N224" s="437"/>
    </row>
    <row r="225" spans="14:14" ht="18" customHeight="1" x14ac:dyDescent="0.3">
      <c r="N225" s="437"/>
    </row>
    <row r="226" spans="14:14" ht="18" customHeight="1" x14ac:dyDescent="0.3">
      <c r="N226" s="437"/>
    </row>
    <row r="227" spans="14:14" ht="18" customHeight="1" x14ac:dyDescent="0.3">
      <c r="N227" s="437"/>
    </row>
    <row r="228" spans="14:14" ht="18" customHeight="1" x14ac:dyDescent="0.3">
      <c r="N228" s="437"/>
    </row>
    <row r="229" spans="14:14" ht="18" customHeight="1" x14ac:dyDescent="0.3">
      <c r="N229" s="437"/>
    </row>
    <row r="230" spans="14:14" ht="18" customHeight="1" x14ac:dyDescent="0.3">
      <c r="N230" s="437"/>
    </row>
    <row r="231" spans="14:14" ht="18" customHeight="1" x14ac:dyDescent="0.3">
      <c r="N231" s="437"/>
    </row>
    <row r="232" spans="14:14" ht="18" customHeight="1" x14ac:dyDescent="0.3">
      <c r="N232" s="437"/>
    </row>
    <row r="233" spans="14:14" ht="18" customHeight="1" x14ac:dyDescent="0.3">
      <c r="N233" s="437"/>
    </row>
    <row r="234" spans="14:14" ht="18" customHeight="1" x14ac:dyDescent="0.3">
      <c r="N234" s="437"/>
    </row>
    <row r="235" spans="14:14" ht="18" customHeight="1" x14ac:dyDescent="0.3">
      <c r="N235" s="437"/>
    </row>
    <row r="236" spans="14:14" ht="18" customHeight="1" x14ac:dyDescent="0.3">
      <c r="N236" s="437"/>
    </row>
    <row r="237" spans="14:14" ht="18" customHeight="1" x14ac:dyDescent="0.3">
      <c r="N237" s="437"/>
    </row>
    <row r="238" spans="14:14" ht="18" customHeight="1" x14ac:dyDescent="0.3">
      <c r="N238" s="437"/>
    </row>
    <row r="239" spans="14:14" ht="18" customHeight="1" x14ac:dyDescent="0.3">
      <c r="N239" s="437"/>
    </row>
    <row r="240" spans="14:14" ht="18" customHeight="1" x14ac:dyDescent="0.3">
      <c r="N240" s="437"/>
    </row>
    <row r="241" spans="14:14" ht="18" customHeight="1" x14ac:dyDescent="0.3">
      <c r="N241" s="437"/>
    </row>
    <row r="242" spans="14:14" ht="18" customHeight="1" x14ac:dyDescent="0.3">
      <c r="N242" s="437"/>
    </row>
    <row r="243" spans="14:14" ht="18" customHeight="1" x14ac:dyDescent="0.3">
      <c r="N243" s="437"/>
    </row>
    <row r="244" spans="14:14" ht="18" customHeight="1" x14ac:dyDescent="0.3">
      <c r="N244" s="437"/>
    </row>
    <row r="245" spans="14:14" ht="18" customHeight="1" x14ac:dyDescent="0.3">
      <c r="N245" s="437"/>
    </row>
    <row r="246" spans="14:14" ht="18" customHeight="1" x14ac:dyDescent="0.3">
      <c r="N246" s="437"/>
    </row>
    <row r="247" spans="14:14" ht="18" customHeight="1" x14ac:dyDescent="0.3">
      <c r="N247" s="437"/>
    </row>
    <row r="248" spans="14:14" ht="18" customHeight="1" x14ac:dyDescent="0.3">
      <c r="N248" s="437"/>
    </row>
    <row r="249" spans="14:14" ht="18" customHeight="1" x14ac:dyDescent="0.3">
      <c r="N249" s="437"/>
    </row>
    <row r="250" spans="14:14" ht="18" customHeight="1" x14ac:dyDescent="0.3">
      <c r="N250" s="437"/>
    </row>
    <row r="251" spans="14:14" ht="18" customHeight="1" x14ac:dyDescent="0.3">
      <c r="N251" s="437"/>
    </row>
    <row r="252" spans="14:14" ht="18" customHeight="1" x14ac:dyDescent="0.3">
      <c r="N252" s="437"/>
    </row>
    <row r="253" spans="14:14" ht="18" customHeight="1" x14ac:dyDescent="0.3">
      <c r="N253" s="437"/>
    </row>
    <row r="254" spans="14:14" ht="18" customHeight="1" x14ac:dyDescent="0.3">
      <c r="N254" s="437"/>
    </row>
    <row r="255" spans="14:14" ht="18" customHeight="1" x14ac:dyDescent="0.3">
      <c r="N255" s="437"/>
    </row>
    <row r="256" spans="14:14" ht="18" customHeight="1" x14ac:dyDescent="0.3">
      <c r="N256" s="437"/>
    </row>
    <row r="257" spans="14:14" ht="18" customHeight="1" x14ac:dyDescent="0.3">
      <c r="N257" s="437"/>
    </row>
    <row r="258" spans="14:14" ht="18" customHeight="1" x14ac:dyDescent="0.3">
      <c r="N258" s="437"/>
    </row>
    <row r="259" spans="14:14" ht="18" customHeight="1" x14ac:dyDescent="0.3">
      <c r="N259" s="437"/>
    </row>
    <row r="260" spans="14:14" ht="18" customHeight="1" x14ac:dyDescent="0.3">
      <c r="N260" s="437"/>
    </row>
    <row r="261" spans="14:14" ht="18" customHeight="1" x14ac:dyDescent="0.3">
      <c r="N261" s="437"/>
    </row>
    <row r="262" spans="14:14" ht="18" customHeight="1" x14ac:dyDescent="0.3">
      <c r="N262" s="437"/>
    </row>
    <row r="263" spans="14:14" ht="18" customHeight="1" x14ac:dyDescent="0.3">
      <c r="N263" s="437"/>
    </row>
    <row r="264" spans="14:14" ht="18" customHeight="1" x14ac:dyDescent="0.3">
      <c r="N264" s="437"/>
    </row>
    <row r="265" spans="14:14" ht="18" customHeight="1" x14ac:dyDescent="0.3">
      <c r="N265" s="437"/>
    </row>
    <row r="266" spans="14:14" ht="18" customHeight="1" x14ac:dyDescent="0.3">
      <c r="N266" s="437"/>
    </row>
    <row r="267" spans="14:14" ht="18" customHeight="1" x14ac:dyDescent="0.3">
      <c r="N267" s="437"/>
    </row>
    <row r="268" spans="14:14" ht="18" customHeight="1" x14ac:dyDescent="0.3">
      <c r="N268" s="437"/>
    </row>
    <row r="269" spans="14:14" ht="18" customHeight="1" x14ac:dyDescent="0.3">
      <c r="N269" s="437"/>
    </row>
    <row r="270" spans="14:14" ht="18" customHeight="1" x14ac:dyDescent="0.3">
      <c r="N270" s="437"/>
    </row>
    <row r="271" spans="14:14" ht="18" customHeight="1" x14ac:dyDescent="0.3">
      <c r="N271" s="437"/>
    </row>
    <row r="272" spans="14:14" ht="18" customHeight="1" x14ac:dyDescent="0.3">
      <c r="N272" s="437"/>
    </row>
    <row r="273" spans="14:14" ht="18" customHeight="1" x14ac:dyDescent="0.3">
      <c r="N273" s="437"/>
    </row>
    <row r="274" spans="14:14" ht="18" customHeight="1" x14ac:dyDescent="0.3">
      <c r="N274" s="437"/>
    </row>
    <row r="275" spans="14:14" ht="18" customHeight="1" x14ac:dyDescent="0.3">
      <c r="N275" s="437"/>
    </row>
    <row r="276" spans="14:14" ht="18" customHeight="1" x14ac:dyDescent="0.3">
      <c r="N276" s="437"/>
    </row>
    <row r="277" spans="14:14" ht="18" customHeight="1" x14ac:dyDescent="0.3">
      <c r="N277" s="437"/>
    </row>
    <row r="278" spans="14:14" ht="18" customHeight="1" x14ac:dyDescent="0.3">
      <c r="N278" s="437"/>
    </row>
    <row r="279" spans="14:14" ht="18" customHeight="1" x14ac:dyDescent="0.3">
      <c r="N279" s="437"/>
    </row>
    <row r="280" spans="14:14" ht="18" customHeight="1" x14ac:dyDescent="0.3">
      <c r="N280" s="437"/>
    </row>
    <row r="281" spans="14:14" ht="18" customHeight="1" x14ac:dyDescent="0.3">
      <c r="N281" s="437"/>
    </row>
    <row r="282" spans="14:14" ht="18" customHeight="1" x14ac:dyDescent="0.3">
      <c r="N282" s="437"/>
    </row>
    <row r="283" spans="14:14" ht="18" customHeight="1" x14ac:dyDescent="0.3">
      <c r="N283" s="437"/>
    </row>
    <row r="284" spans="14:14" ht="18" customHeight="1" x14ac:dyDescent="0.3">
      <c r="N284" s="437"/>
    </row>
    <row r="285" spans="14:14" ht="18" customHeight="1" x14ac:dyDescent="0.3">
      <c r="N285" s="437"/>
    </row>
    <row r="286" spans="14:14" ht="18" customHeight="1" x14ac:dyDescent="0.3">
      <c r="N286" s="437"/>
    </row>
    <row r="287" spans="14:14" ht="15" customHeight="1" x14ac:dyDescent="0.3">
      <c r="N287" s="437"/>
    </row>
    <row r="288" spans="14:14" ht="18" customHeight="1" x14ac:dyDescent="0.3">
      <c r="N288" s="437"/>
    </row>
    <row r="289" spans="14:14" ht="18" customHeight="1" x14ac:dyDescent="0.3">
      <c r="N289" s="437"/>
    </row>
    <row r="290" spans="14:14" ht="18" customHeight="1" x14ac:dyDescent="0.3">
      <c r="N290" s="437"/>
    </row>
    <row r="291" spans="14:14" ht="18" customHeight="1" x14ac:dyDescent="0.3">
      <c r="N291" s="437"/>
    </row>
    <row r="292" spans="14:14" ht="15" customHeight="1" x14ac:dyDescent="0.3">
      <c r="N292" s="437"/>
    </row>
    <row r="293" spans="14:14" ht="18" customHeight="1" x14ac:dyDescent="0.3">
      <c r="N293" s="437"/>
    </row>
    <row r="294" spans="14:14" ht="18" customHeight="1" x14ac:dyDescent="0.3">
      <c r="N294" s="437"/>
    </row>
    <row r="295" spans="14:14" ht="15" customHeight="1" x14ac:dyDescent="0.3">
      <c r="N295" s="437"/>
    </row>
    <row r="296" spans="14:14" ht="15" customHeight="1" x14ac:dyDescent="0.3">
      <c r="N296" s="437"/>
    </row>
    <row r="297" spans="14:14" ht="15" customHeight="1" x14ac:dyDescent="0.3">
      <c r="N297" s="437"/>
    </row>
    <row r="298" spans="14:14" ht="15" customHeight="1" x14ac:dyDescent="0.3">
      <c r="N298" s="437"/>
    </row>
    <row r="299" spans="14:14" ht="15" customHeight="1" x14ac:dyDescent="0.3">
      <c r="N299" s="437"/>
    </row>
    <row r="300" spans="14:14" ht="15" customHeight="1" x14ac:dyDescent="0.3">
      <c r="N300" s="437"/>
    </row>
  </sheetData>
  <mergeCells count="555">
    <mergeCell ref="B1:N2"/>
    <mergeCell ref="C3:D3"/>
    <mergeCell ref="E3:F3"/>
    <mergeCell ref="G3:J3"/>
    <mergeCell ref="K3:L3"/>
    <mergeCell ref="C4:D4"/>
    <mergeCell ref="E4:F4"/>
    <mergeCell ref="G4:J4"/>
    <mergeCell ref="K4:L4"/>
    <mergeCell ref="C5:D5"/>
    <mergeCell ref="E5:F5"/>
    <mergeCell ref="G5:J5"/>
    <mergeCell ref="K5:L5"/>
    <mergeCell ref="C6:D6"/>
    <mergeCell ref="E6:F6"/>
    <mergeCell ref="G6:J6"/>
    <mergeCell ref="K6:L6"/>
    <mergeCell ref="C7:D7"/>
    <mergeCell ref="E7:F7"/>
    <mergeCell ref="G7:J7"/>
    <mergeCell ref="K7:L7"/>
    <mergeCell ref="C8:D8"/>
    <mergeCell ref="E8:F8"/>
    <mergeCell ref="G8:J8"/>
    <mergeCell ref="K8:L8"/>
    <mergeCell ref="B9:B10"/>
    <mergeCell ref="C9:D9"/>
    <mergeCell ref="E9:F9"/>
    <mergeCell ref="G9:J9"/>
    <mergeCell ref="K9:L10"/>
    <mergeCell ref="C10:D10"/>
    <mergeCell ref="E10:F10"/>
    <mergeCell ref="G10:J10"/>
    <mergeCell ref="B11:B35"/>
    <mergeCell ref="C11:D11"/>
    <mergeCell ref="E11:F11"/>
    <mergeCell ref="G11:J11"/>
    <mergeCell ref="K11:L35"/>
    <mergeCell ref="C12:D12"/>
    <mergeCell ref="E12:F12"/>
    <mergeCell ref="G12:J12"/>
    <mergeCell ref="C13:D13"/>
    <mergeCell ref="E13:F13"/>
    <mergeCell ref="G13:J13"/>
    <mergeCell ref="C14:D14"/>
    <mergeCell ref="E14:F14"/>
    <mergeCell ref="G14:J14"/>
    <mergeCell ref="C15:D15"/>
    <mergeCell ref="E15:F15"/>
    <mergeCell ref="G15:J15"/>
    <mergeCell ref="C16:D16"/>
    <mergeCell ref="E16:F16"/>
    <mergeCell ref="G16:J16"/>
    <mergeCell ref="C17:D17"/>
    <mergeCell ref="E17:F17"/>
    <mergeCell ref="G17:J17"/>
    <mergeCell ref="C18:D18"/>
    <mergeCell ref="E18:F18"/>
    <mergeCell ref="G18:J18"/>
    <mergeCell ref="C19:D19"/>
    <mergeCell ref="E19:F19"/>
    <mergeCell ref="G19:J19"/>
    <mergeCell ref="C20:D20"/>
    <mergeCell ref="E20:F20"/>
    <mergeCell ref="G20:J20"/>
    <mergeCell ref="C21:D21"/>
    <mergeCell ref="E21:F21"/>
    <mergeCell ref="G21:J21"/>
    <mergeCell ref="C22:D22"/>
    <mergeCell ref="E22:F22"/>
    <mergeCell ref="G22:J22"/>
    <mergeCell ref="C23:D23"/>
    <mergeCell ref="E23:F23"/>
    <mergeCell ref="G23:J23"/>
    <mergeCell ref="C24:D24"/>
    <mergeCell ref="E24:F24"/>
    <mergeCell ref="G24:J24"/>
    <mergeCell ref="C25:D25"/>
    <mergeCell ref="E25:F25"/>
    <mergeCell ref="G25:J25"/>
    <mergeCell ref="C26:D26"/>
    <mergeCell ref="E26:F26"/>
    <mergeCell ref="G26:J26"/>
    <mergeCell ref="C27:D27"/>
    <mergeCell ref="E27:F27"/>
    <mergeCell ref="G27:J27"/>
    <mergeCell ref="C28:D28"/>
    <mergeCell ref="E28:F28"/>
    <mergeCell ref="G28:J28"/>
    <mergeCell ref="C29:D29"/>
    <mergeCell ref="E29:F29"/>
    <mergeCell ref="G29:J29"/>
    <mergeCell ref="C30:D30"/>
    <mergeCell ref="E30:F30"/>
    <mergeCell ref="G30:J30"/>
    <mergeCell ref="C31:D31"/>
    <mergeCell ref="E31:F31"/>
    <mergeCell ref="G31:J31"/>
    <mergeCell ref="C32:D32"/>
    <mergeCell ref="E32:F32"/>
    <mergeCell ref="G32:J32"/>
    <mergeCell ref="C33:D33"/>
    <mergeCell ref="E33:F33"/>
    <mergeCell ref="G33:J33"/>
    <mergeCell ref="C34:D34"/>
    <mergeCell ref="E34:F34"/>
    <mergeCell ref="G34:J34"/>
    <mergeCell ref="C35:D35"/>
    <mergeCell ref="E35:F35"/>
    <mergeCell ref="G35:J35"/>
    <mergeCell ref="C36:D36"/>
    <mergeCell ref="E36:F36"/>
    <mergeCell ref="G36:J36"/>
    <mergeCell ref="K36:L36"/>
    <mergeCell ref="C37:D37"/>
    <mergeCell ref="E37:F37"/>
    <mergeCell ref="G37:J37"/>
    <mergeCell ref="K37:L37"/>
    <mergeCell ref="C38:D38"/>
    <mergeCell ref="E38:F38"/>
    <mergeCell ref="G38:J38"/>
    <mergeCell ref="K38:L38"/>
    <mergeCell ref="C39:D39"/>
    <mergeCell ref="E39:F39"/>
    <mergeCell ref="G39:J39"/>
    <mergeCell ref="K39:L39"/>
    <mergeCell ref="C40:D40"/>
    <mergeCell ref="E40:F40"/>
    <mergeCell ref="G40:J40"/>
    <mergeCell ref="K40:L40"/>
    <mergeCell ref="C41:D41"/>
    <mergeCell ref="E41:F41"/>
    <mergeCell ref="G41:J41"/>
    <mergeCell ref="K41:L41"/>
    <mergeCell ref="C42:D42"/>
    <mergeCell ref="E42:F42"/>
    <mergeCell ref="G42:J42"/>
    <mergeCell ref="K42:L42"/>
    <mergeCell ref="C43:D43"/>
    <mergeCell ref="E43:F43"/>
    <mergeCell ref="G43:J43"/>
    <mergeCell ref="K43:L43"/>
    <mergeCell ref="C44:D44"/>
    <mergeCell ref="E44:F44"/>
    <mergeCell ref="G44:J44"/>
    <mergeCell ref="K44:L44"/>
    <mergeCell ref="C45:D45"/>
    <mergeCell ref="E45:F45"/>
    <mergeCell ref="G45:J45"/>
    <mergeCell ref="K45:L45"/>
    <mergeCell ref="C46:D46"/>
    <mergeCell ref="E46:F46"/>
    <mergeCell ref="G46:J46"/>
    <mergeCell ref="K46:L46"/>
    <mergeCell ref="C47:D47"/>
    <mergeCell ref="E47:F47"/>
    <mergeCell ref="G47:J47"/>
    <mergeCell ref="K47:L47"/>
    <mergeCell ref="C48:D48"/>
    <mergeCell ref="E48:F48"/>
    <mergeCell ref="G48:J48"/>
    <mergeCell ref="K48:L48"/>
    <mergeCell ref="B49:B73"/>
    <mergeCell ref="C49:D49"/>
    <mergeCell ref="E49:F49"/>
    <mergeCell ref="G49:J49"/>
    <mergeCell ref="K49:L73"/>
    <mergeCell ref="C50:D50"/>
    <mergeCell ref="E50:F50"/>
    <mergeCell ref="G50:J50"/>
    <mergeCell ref="C51:D51"/>
    <mergeCell ref="E51:F51"/>
    <mergeCell ref="G51:J51"/>
    <mergeCell ref="C52:D52"/>
    <mergeCell ref="E52:F52"/>
    <mergeCell ref="G52:J52"/>
    <mergeCell ref="C53:D53"/>
    <mergeCell ref="E53:F53"/>
    <mergeCell ref="G53:J53"/>
    <mergeCell ref="C54:D54"/>
    <mergeCell ref="E54:F54"/>
    <mergeCell ref="G54:J54"/>
    <mergeCell ref="C55:D55"/>
    <mergeCell ref="E55:F55"/>
    <mergeCell ref="G55:J55"/>
    <mergeCell ref="C56:D56"/>
    <mergeCell ref="E56:F56"/>
    <mergeCell ref="G56:J56"/>
    <mergeCell ref="C57:D57"/>
    <mergeCell ref="E57:F57"/>
    <mergeCell ref="G57:J57"/>
    <mergeCell ref="C58:D58"/>
    <mergeCell ref="E58:F58"/>
    <mergeCell ref="G58:J58"/>
    <mergeCell ref="C59:D59"/>
    <mergeCell ref="E59:F59"/>
    <mergeCell ref="G59:J59"/>
    <mergeCell ref="C60:D60"/>
    <mergeCell ref="E60:F60"/>
    <mergeCell ref="G60:J60"/>
    <mergeCell ref="C61:D61"/>
    <mergeCell ref="E61:F61"/>
    <mergeCell ref="G61:J61"/>
    <mergeCell ref="C62:D62"/>
    <mergeCell ref="E62:F62"/>
    <mergeCell ref="G62:J62"/>
    <mergeCell ref="C63:D63"/>
    <mergeCell ref="E63:F63"/>
    <mergeCell ref="G63:J63"/>
    <mergeCell ref="C64:D64"/>
    <mergeCell ref="E64:F64"/>
    <mergeCell ref="G64:J64"/>
    <mergeCell ref="C65:D65"/>
    <mergeCell ref="E65:F65"/>
    <mergeCell ref="G65:J65"/>
    <mergeCell ref="C66:D66"/>
    <mergeCell ref="E66:F66"/>
    <mergeCell ref="G66:J66"/>
    <mergeCell ref="C67:D67"/>
    <mergeCell ref="E67:F67"/>
    <mergeCell ref="G67:J67"/>
    <mergeCell ref="C68:D68"/>
    <mergeCell ref="E68:F68"/>
    <mergeCell ref="G68:J68"/>
    <mergeCell ref="C69:D69"/>
    <mergeCell ref="E69:F69"/>
    <mergeCell ref="G69:J69"/>
    <mergeCell ref="C70:D70"/>
    <mergeCell ref="E70:F70"/>
    <mergeCell ref="G70:J70"/>
    <mergeCell ref="C71:D71"/>
    <mergeCell ref="E71:F71"/>
    <mergeCell ref="G71:J71"/>
    <mergeCell ref="C72:D72"/>
    <mergeCell ref="E72:F72"/>
    <mergeCell ref="G72:J72"/>
    <mergeCell ref="C73:D73"/>
    <mergeCell ref="E73:F73"/>
    <mergeCell ref="G73:J73"/>
    <mergeCell ref="B74:B79"/>
    <mergeCell ref="C74:D74"/>
    <mergeCell ref="E74:F74"/>
    <mergeCell ref="G74:J74"/>
    <mergeCell ref="K74:L79"/>
    <mergeCell ref="C75:D75"/>
    <mergeCell ref="E75:F75"/>
    <mergeCell ref="G75:J75"/>
    <mergeCell ref="C76:D76"/>
    <mergeCell ref="E76:F76"/>
    <mergeCell ref="G76:J76"/>
    <mergeCell ref="C77:D77"/>
    <mergeCell ref="E77:F77"/>
    <mergeCell ref="G77:J77"/>
    <mergeCell ref="C78:D78"/>
    <mergeCell ref="E78:F78"/>
    <mergeCell ref="G78:J78"/>
    <mergeCell ref="C79:D79"/>
    <mergeCell ref="E79:F79"/>
    <mergeCell ref="G79:J79"/>
    <mergeCell ref="B80:B105"/>
    <mergeCell ref="C80:D80"/>
    <mergeCell ref="E80:F80"/>
    <mergeCell ref="G80:J80"/>
    <mergeCell ref="K80:L105"/>
    <mergeCell ref="C81:D81"/>
    <mergeCell ref="E81:F81"/>
    <mergeCell ref="G81:J81"/>
    <mergeCell ref="C82:D82"/>
    <mergeCell ref="E82:F82"/>
    <mergeCell ref="G82:J82"/>
    <mergeCell ref="C83:D83"/>
    <mergeCell ref="E83:F83"/>
    <mergeCell ref="G83:J83"/>
    <mergeCell ref="C84:D84"/>
    <mergeCell ref="E84:F84"/>
    <mergeCell ref="G84:J84"/>
    <mergeCell ref="C85:D85"/>
    <mergeCell ref="E85:F85"/>
    <mergeCell ref="G85:J85"/>
    <mergeCell ref="C86:D86"/>
    <mergeCell ref="E86:F86"/>
    <mergeCell ref="G86:J86"/>
    <mergeCell ref="C87:D87"/>
    <mergeCell ref="E87:F87"/>
    <mergeCell ref="G87:J87"/>
    <mergeCell ref="C88:D88"/>
    <mergeCell ref="E88:F88"/>
    <mergeCell ref="G88:J88"/>
    <mergeCell ref="C89:D89"/>
    <mergeCell ref="E89:F89"/>
    <mergeCell ref="G89:J89"/>
    <mergeCell ref="C90:D90"/>
    <mergeCell ref="E90:F90"/>
    <mergeCell ref="G90:J90"/>
    <mergeCell ref="C91:D91"/>
    <mergeCell ref="E91:F91"/>
    <mergeCell ref="G91:J91"/>
    <mergeCell ref="C92:D92"/>
    <mergeCell ref="E92:F92"/>
    <mergeCell ref="G92:J92"/>
    <mergeCell ref="C93:D93"/>
    <mergeCell ref="E93:F93"/>
    <mergeCell ref="G93:J93"/>
    <mergeCell ref="C94:D94"/>
    <mergeCell ref="E94:F94"/>
    <mergeCell ref="G94:J94"/>
    <mergeCell ref="C95:D95"/>
    <mergeCell ref="E95:F95"/>
    <mergeCell ref="G95:J95"/>
    <mergeCell ref="C96:D96"/>
    <mergeCell ref="E96:F96"/>
    <mergeCell ref="G96:J96"/>
    <mergeCell ref="C97:D97"/>
    <mergeCell ref="E97:F97"/>
    <mergeCell ref="G97:J97"/>
    <mergeCell ref="C98:D98"/>
    <mergeCell ref="E98:F98"/>
    <mergeCell ref="G98:J98"/>
    <mergeCell ref="C99:D99"/>
    <mergeCell ref="E99:F99"/>
    <mergeCell ref="G99:J99"/>
    <mergeCell ref="C100:D100"/>
    <mergeCell ref="E100:F100"/>
    <mergeCell ref="G100:J100"/>
    <mergeCell ref="C101:D101"/>
    <mergeCell ref="E101:F101"/>
    <mergeCell ref="G101:J101"/>
    <mergeCell ref="C102:D102"/>
    <mergeCell ref="E102:F102"/>
    <mergeCell ref="G102:J102"/>
    <mergeCell ref="C103:D103"/>
    <mergeCell ref="E103:F103"/>
    <mergeCell ref="G103:J103"/>
    <mergeCell ref="C104:D104"/>
    <mergeCell ref="E104:F104"/>
    <mergeCell ref="G104:J104"/>
    <mergeCell ref="C105:D105"/>
    <mergeCell ref="E105:F105"/>
    <mergeCell ref="G105:J105"/>
    <mergeCell ref="C106:D106"/>
    <mergeCell ref="E106:F106"/>
    <mergeCell ref="G106:J106"/>
    <mergeCell ref="K106:L106"/>
    <mergeCell ref="B107:B131"/>
    <mergeCell ref="C107:D107"/>
    <mergeCell ref="E107:F107"/>
    <mergeCell ref="G107:J107"/>
    <mergeCell ref="K107:L131"/>
    <mergeCell ref="C108:D108"/>
    <mergeCell ref="E108:F108"/>
    <mergeCell ref="G108:J108"/>
    <mergeCell ref="C109:D109"/>
    <mergeCell ref="E109:F109"/>
    <mergeCell ref="G109:J109"/>
    <mergeCell ref="C110:D110"/>
    <mergeCell ref="E110:F110"/>
    <mergeCell ref="G110:J110"/>
    <mergeCell ref="C111:D111"/>
    <mergeCell ref="E111:F111"/>
    <mergeCell ref="G111:J111"/>
    <mergeCell ref="C112:D112"/>
    <mergeCell ref="E112:F112"/>
    <mergeCell ref="G112:J112"/>
    <mergeCell ref="C113:D113"/>
    <mergeCell ref="E113:F113"/>
    <mergeCell ref="G113:J113"/>
    <mergeCell ref="C114:D114"/>
    <mergeCell ref="E114:F114"/>
    <mergeCell ref="G114:J114"/>
    <mergeCell ref="C115:D115"/>
    <mergeCell ref="E115:F115"/>
    <mergeCell ref="G115:J115"/>
    <mergeCell ref="C116:D116"/>
    <mergeCell ref="E116:F116"/>
    <mergeCell ref="G116:J116"/>
    <mergeCell ref="C117:D117"/>
    <mergeCell ref="E117:F117"/>
    <mergeCell ref="G117:J117"/>
    <mergeCell ref="C118:D118"/>
    <mergeCell ref="E118:F118"/>
    <mergeCell ref="G118:J118"/>
    <mergeCell ref="C119:D119"/>
    <mergeCell ref="E119:F119"/>
    <mergeCell ref="G119:J119"/>
    <mergeCell ref="C120:D120"/>
    <mergeCell ref="E120:F120"/>
    <mergeCell ref="G120:J120"/>
    <mergeCell ref="C121:D121"/>
    <mergeCell ref="E121:F121"/>
    <mergeCell ref="G121:J121"/>
    <mergeCell ref="C122:D122"/>
    <mergeCell ref="E122:F122"/>
    <mergeCell ref="G122:J122"/>
    <mergeCell ref="C123:D123"/>
    <mergeCell ref="E123:F123"/>
    <mergeCell ref="G123:J123"/>
    <mergeCell ref="C124:D124"/>
    <mergeCell ref="E124:F124"/>
    <mergeCell ref="G124:J124"/>
    <mergeCell ref="C125:D125"/>
    <mergeCell ref="E125:F125"/>
    <mergeCell ref="G125:J125"/>
    <mergeCell ref="C126:D126"/>
    <mergeCell ref="E126:F126"/>
    <mergeCell ref="G126:J126"/>
    <mergeCell ref="C127:D127"/>
    <mergeCell ref="E127:F127"/>
    <mergeCell ref="G127:J127"/>
    <mergeCell ref="C128:D128"/>
    <mergeCell ref="E128:F128"/>
    <mergeCell ref="G128:J128"/>
    <mergeCell ref="C129:D129"/>
    <mergeCell ref="E129:F129"/>
    <mergeCell ref="G129:J129"/>
    <mergeCell ref="C130:D130"/>
    <mergeCell ref="E130:F130"/>
    <mergeCell ref="G130:J130"/>
    <mergeCell ref="C131:D131"/>
    <mergeCell ref="E131:F131"/>
    <mergeCell ref="G131:J131"/>
    <mergeCell ref="C132:D132"/>
    <mergeCell ref="E132:F132"/>
    <mergeCell ref="G132:J132"/>
    <mergeCell ref="K132:L132"/>
    <mergeCell ref="C133:D133"/>
    <mergeCell ref="E133:F133"/>
    <mergeCell ref="G133:J133"/>
    <mergeCell ref="K133:L133"/>
    <mergeCell ref="C134:D134"/>
    <mergeCell ref="E134:F134"/>
    <mergeCell ref="G134:J134"/>
    <mergeCell ref="K134:L134"/>
    <mergeCell ref="C135:D135"/>
    <mergeCell ref="E135:F135"/>
    <mergeCell ref="G135:J135"/>
    <mergeCell ref="K135:L135"/>
    <mergeCell ref="B136:B140"/>
    <mergeCell ref="C136:D136"/>
    <mergeCell ref="E136:F136"/>
    <mergeCell ref="G136:J136"/>
    <mergeCell ref="K136:L140"/>
    <mergeCell ref="C137:D137"/>
    <mergeCell ref="E137:F137"/>
    <mergeCell ref="G137:J137"/>
    <mergeCell ref="C138:D138"/>
    <mergeCell ref="E138:F138"/>
    <mergeCell ref="G138:J138"/>
    <mergeCell ref="C139:D139"/>
    <mergeCell ref="E139:F139"/>
    <mergeCell ref="G139:J139"/>
    <mergeCell ref="C140:D140"/>
    <mergeCell ref="E140:F140"/>
    <mergeCell ref="G140:J140"/>
    <mergeCell ref="B141:B142"/>
    <mergeCell ref="C141:D141"/>
    <mergeCell ref="E141:F141"/>
    <mergeCell ref="G141:J141"/>
    <mergeCell ref="K141:L142"/>
    <mergeCell ref="C142:D142"/>
    <mergeCell ref="E142:F142"/>
    <mergeCell ref="G142:J142"/>
    <mergeCell ref="C143:D143"/>
    <mergeCell ref="E143:F143"/>
    <mergeCell ref="G143:J143"/>
    <mergeCell ref="K143:L143"/>
    <mergeCell ref="B144:B151"/>
    <mergeCell ref="C144:D144"/>
    <mergeCell ref="E144:F144"/>
    <mergeCell ref="G144:J144"/>
    <mergeCell ref="K144:L151"/>
    <mergeCell ref="C145:D145"/>
    <mergeCell ref="E145:F145"/>
    <mergeCell ref="G145:J145"/>
    <mergeCell ref="C146:D146"/>
    <mergeCell ref="E146:F146"/>
    <mergeCell ref="G146:J146"/>
    <mergeCell ref="C147:D147"/>
    <mergeCell ref="E147:F147"/>
    <mergeCell ref="G147:J147"/>
    <mergeCell ref="C148:D148"/>
    <mergeCell ref="E148:F148"/>
    <mergeCell ref="G148:J148"/>
    <mergeCell ref="C149:D149"/>
    <mergeCell ref="E149:F149"/>
    <mergeCell ref="G149:J149"/>
    <mergeCell ref="C150:D150"/>
    <mergeCell ref="E150:F150"/>
    <mergeCell ref="G150:J150"/>
    <mergeCell ref="C151:D151"/>
    <mergeCell ref="E151:F151"/>
    <mergeCell ref="G151:J151"/>
    <mergeCell ref="B152:B155"/>
    <mergeCell ref="C152:D152"/>
    <mergeCell ref="E152:F152"/>
    <mergeCell ref="G152:J152"/>
    <mergeCell ref="K152:L155"/>
    <mergeCell ref="C153:D153"/>
    <mergeCell ref="E153:F153"/>
    <mergeCell ref="G153:J153"/>
    <mergeCell ref="C154:D154"/>
    <mergeCell ref="E154:F154"/>
    <mergeCell ref="G154:J154"/>
    <mergeCell ref="C155:D155"/>
    <mergeCell ref="E155:F155"/>
    <mergeCell ref="G155:J155"/>
    <mergeCell ref="B156:B159"/>
    <mergeCell ref="C156:D156"/>
    <mergeCell ref="E156:F156"/>
    <mergeCell ref="G156:J156"/>
    <mergeCell ref="K156:L159"/>
    <mergeCell ref="C157:D157"/>
    <mergeCell ref="E157:F157"/>
    <mergeCell ref="G157:J157"/>
    <mergeCell ref="C158:D158"/>
    <mergeCell ref="E158:F158"/>
    <mergeCell ref="G158:J158"/>
    <mergeCell ref="C159:D159"/>
    <mergeCell ref="E159:F159"/>
    <mergeCell ref="G159:J159"/>
    <mergeCell ref="C160:D160"/>
    <mergeCell ref="E160:F160"/>
    <mergeCell ref="G160:J160"/>
    <mergeCell ref="K160:L160"/>
    <mergeCell ref="C161:D161"/>
    <mergeCell ref="E161:F161"/>
    <mergeCell ref="G161:J161"/>
    <mergeCell ref="K161:L161"/>
    <mergeCell ref="C162:D162"/>
    <mergeCell ref="E162:F162"/>
    <mergeCell ref="G162:J162"/>
    <mergeCell ref="K162:L162"/>
    <mergeCell ref="C163:D163"/>
    <mergeCell ref="E163:F163"/>
    <mergeCell ref="G163:J163"/>
    <mergeCell ref="K163:L163"/>
    <mergeCell ref="C164:D164"/>
    <mergeCell ref="E164:F164"/>
    <mergeCell ref="G164:J164"/>
    <mergeCell ref="K164:L164"/>
    <mergeCell ref="C165:D165"/>
    <mergeCell ref="E165:F165"/>
    <mergeCell ref="G165:J165"/>
    <mergeCell ref="K165:L165"/>
    <mergeCell ref="C166:D166"/>
    <mergeCell ref="E166:F166"/>
    <mergeCell ref="G166:J166"/>
    <mergeCell ref="K166:L166"/>
    <mergeCell ref="C167:D167"/>
    <mergeCell ref="E167:F167"/>
    <mergeCell ref="G167:J167"/>
    <mergeCell ref="K167:L167"/>
    <mergeCell ref="C168:D168"/>
    <mergeCell ref="E168:F168"/>
    <mergeCell ref="G168:J168"/>
    <mergeCell ref="K168:L16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F3A4A"/>
  </sheetPr>
  <dimension ref="A1:Q200"/>
  <sheetViews>
    <sheetView showGridLines="0" zoomScaleNormal="100" workbookViewId="0">
      <selection sqref="A1:I1"/>
    </sheetView>
  </sheetViews>
  <sheetFormatPr defaultColWidth="8.6640625" defaultRowHeight="14.4" x14ac:dyDescent="0.3"/>
  <cols>
    <col min="1" max="1" width="32.6640625" style="27" customWidth="1"/>
    <col min="2" max="2" width="28" customWidth="1"/>
    <col min="3" max="3" width="14" customWidth="1"/>
    <col min="4" max="4" width="13" customWidth="1"/>
    <col min="5" max="5" width="10" customWidth="1"/>
    <col min="6" max="6" width="13" customWidth="1"/>
    <col min="7" max="7" width="14.88671875" customWidth="1"/>
    <col min="8" max="8" width="13" customWidth="1"/>
    <col min="9" max="9" width="16.6640625" customWidth="1"/>
    <col min="10" max="13" width="12" hidden="1" customWidth="1"/>
    <col min="14" max="14" width="45" hidden="1" customWidth="1"/>
    <col min="15" max="15" width="13" hidden="1" customWidth="1"/>
    <col min="16" max="17" width="13" customWidth="1"/>
  </cols>
  <sheetData>
    <row r="1" spans="1:17" ht="21.75" customHeight="1" x14ac:dyDescent="0.3">
      <c r="A1" s="609" t="s">
        <v>197</v>
      </c>
      <c r="B1" s="609"/>
      <c r="C1" s="609"/>
      <c r="D1" s="609"/>
      <c r="E1" s="609"/>
      <c r="F1" s="609"/>
      <c r="G1" s="609"/>
      <c r="H1" s="609"/>
      <c r="I1" s="609"/>
      <c r="J1" t="s">
        <v>198</v>
      </c>
      <c r="K1" t="s">
        <v>199</v>
      </c>
      <c r="L1" t="s">
        <v>200</v>
      </c>
      <c r="M1" t="s">
        <v>201</v>
      </c>
    </row>
    <row r="2" spans="1:17" ht="14.25" customHeight="1" x14ac:dyDescent="0.3">
      <c r="A2" s="610" t="s">
        <v>202</v>
      </c>
      <c r="B2" s="610"/>
      <c r="C2" s="610"/>
      <c r="D2" s="610"/>
      <c r="E2" s="610"/>
      <c r="F2" s="610"/>
      <c r="G2" s="610" t="s">
        <v>203</v>
      </c>
      <c r="H2" s="610"/>
      <c r="I2" s="610"/>
      <c r="N2" s="185" t="s">
        <v>204</v>
      </c>
      <c r="P2" s="29"/>
    </row>
    <row r="3" spans="1:17" ht="15" customHeight="1" x14ac:dyDescent="0.3">
      <c r="A3" s="30">
        <v>46083</v>
      </c>
      <c r="B3" s="186" t="s">
        <v>78</v>
      </c>
      <c r="C3" s="187" t="s">
        <v>205</v>
      </c>
      <c r="D3" s="188" t="s">
        <v>206</v>
      </c>
      <c r="E3" s="188" t="s">
        <v>207</v>
      </c>
      <c r="F3" s="189" t="s">
        <v>208</v>
      </c>
      <c r="G3" s="188" t="s">
        <v>209</v>
      </c>
      <c r="H3" s="188" t="s">
        <v>210</v>
      </c>
      <c r="I3" s="188" t="s">
        <v>211</v>
      </c>
      <c r="J3" s="36"/>
      <c r="K3" s="36"/>
      <c r="L3" s="37"/>
      <c r="M3" s="36"/>
      <c r="N3" s="37"/>
    </row>
    <row r="4" spans="1:17" ht="21" customHeight="1" x14ac:dyDescent="0.3">
      <c r="A4" s="190"/>
      <c r="B4" s="191" t="s">
        <v>54</v>
      </c>
      <c r="C4" s="192">
        <v>600</v>
      </c>
      <c r="D4" s="193">
        <f>'SEMANA FEVEREIRO'!D160-'SEMANA FEVEREIRO'!L160</f>
        <v>-1</v>
      </c>
      <c r="E4" s="194" t="s">
        <v>214</v>
      </c>
      <c r="F4" s="195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>95</v>
      </c>
      <c r="G4" s="196">
        <f t="shared" ref="G4:G9" si="0">IFERROR(ROUNDUP(D4/F4,0),"")</f>
        <v>-1</v>
      </c>
      <c r="H4" s="197">
        <v>802</v>
      </c>
      <c r="I4" s="193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>9624</v>
      </c>
      <c r="J4" s="46"/>
      <c r="L4" s="44"/>
      <c r="N4" s="45"/>
    </row>
    <row r="5" spans="1:17" ht="21" customHeight="1" x14ac:dyDescent="0.3">
      <c r="A5" s="190"/>
      <c r="B5" s="191" t="s">
        <v>68</v>
      </c>
      <c r="C5" s="192">
        <v>600</v>
      </c>
      <c r="D5" s="193">
        <v>1330</v>
      </c>
      <c r="E5" s="194" t="s">
        <v>214</v>
      </c>
      <c r="F5" s="195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>95</v>
      </c>
      <c r="G5" s="196">
        <f t="shared" si="0"/>
        <v>14</v>
      </c>
      <c r="H5" s="197">
        <v>197</v>
      </c>
      <c r="I5" s="193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>2364</v>
      </c>
      <c r="J5" s="55"/>
      <c r="L5" s="56"/>
      <c r="M5" s="57"/>
      <c r="N5" s="58"/>
    </row>
    <row r="6" spans="1:17" ht="21" customHeight="1" x14ac:dyDescent="0.3">
      <c r="A6" s="190"/>
      <c r="B6" s="191"/>
      <c r="C6" s="192"/>
      <c r="D6" s="193"/>
      <c r="E6" s="194" t="s">
        <v>214</v>
      </c>
      <c r="F6" s="195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196" t="str">
        <f t="shared" si="0"/>
        <v/>
      </c>
      <c r="H6" s="197"/>
      <c r="I6" s="193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  <c r="J6" s="46"/>
      <c r="L6" s="44"/>
      <c r="M6" s="57"/>
      <c r="N6" s="45"/>
    </row>
    <row r="7" spans="1:17" ht="21" customHeight="1" x14ac:dyDescent="0.3">
      <c r="A7" s="190"/>
      <c r="B7" s="191"/>
      <c r="C7" s="192"/>
      <c r="D7" s="193"/>
      <c r="E7" s="194" t="s">
        <v>214</v>
      </c>
      <c r="F7" s="195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196" t="str">
        <f t="shared" si="0"/>
        <v/>
      </c>
      <c r="H7" s="197"/>
      <c r="I7" s="193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  <c r="J7" s="55"/>
      <c r="L7" s="56"/>
      <c r="N7" s="58"/>
    </row>
    <row r="8" spans="1:17" ht="21" customHeight="1" x14ac:dyDescent="0.3">
      <c r="A8" s="190"/>
      <c r="B8" s="191"/>
      <c r="C8" s="192"/>
      <c r="D8" s="193"/>
      <c r="E8" s="194" t="s">
        <v>214</v>
      </c>
      <c r="F8" s="195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196" t="str">
        <f t="shared" si="0"/>
        <v/>
      </c>
      <c r="H8" s="197"/>
      <c r="I8" s="193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  <c r="J8" s="46"/>
      <c r="L8" s="44"/>
      <c r="N8" s="45"/>
    </row>
    <row r="9" spans="1:17" ht="21" customHeight="1" x14ac:dyDescent="0.3">
      <c r="A9" s="190"/>
      <c r="B9" s="191"/>
      <c r="C9" s="192"/>
      <c r="D9" s="193"/>
      <c r="E9" s="194" t="s">
        <v>214</v>
      </c>
      <c r="F9" s="195" t="str">
        <f>IF($B9="","",IF(SUMIFS(CONFIG_PALLETS!$C:$C,CONFIG_PALLETS!$A:$A,TRIM($B9),CONFIG_PALLETS!$B:$B,$C9&amp;" ml")&gt;0,SUMIFS(CONFIG_PALLETS!$C:$C,CONFIG_PALLETS!$A:$A,TRIM($B9),CONFIG_PALLETS!$B:$B,$C9&amp;" ml"),IF(SUMIFS(CONFIG_PALLETS!$C:$C,CONFIG_PALLETS!$A:$A,"GERAL",CONFIG_PALLETS!$B:$B,$C9&amp;" ml")&gt;0,SUMIFS(CONFIG_PALLETS!$C:$C,CONFIG_PALLETS!$A:$A,"GERAL",CONFIG_PALLETS!$B:$B,$C9&amp;" ml"),"")))</f>
        <v/>
      </c>
      <c r="G9" s="196" t="str">
        <f t="shared" si="0"/>
        <v/>
      </c>
      <c r="H9" s="197"/>
      <c r="I9" s="193" t="str">
        <f>IF(H9="","",H9*IF(SUMIFS(CONFIG_PALLETS!$D:$D,CONFIG_PALLETS!$A:$A,IF(ISNUMBER(SEARCH("ESPUMA",$B9)),"ESPUMA",IF(OR(ISNUMBER(SEARCH("OLEO DE COCO",$B9)),ISNUMBER(SEARCH("ÓLEO DE COCO",$B9)),ISNUMBER(SEARCH("COPRA",$B9))),"ÓLEO DE COCO",IF(ISNUMBER(SEARCH("CORANTE",$B9)),"CORANTE",TRIM($B9)))),CONFIG_PALLETS!$B:$B,$C9&amp;" ml")&gt;0,SUMIFS(CONFIG_PALLETS!$D:$D,CONFIG_PALLETS!$A:$A,IF(ISNUMBER(SEARCH("ESPUMA",$B9)),"ESPUMA",IF(OR(ISNUMBER(SEARCH("OLEO DE COCO",$B9)),ISNUMBER(SEARCH("ÓLEO DE COCO",$B9)),ISNUMBER(SEARCH("COPRA",$B9))),"ÓLEO DE COCO",IF(ISNUMBER(SEARCH("CORANTE",$B9)),"CORANTE",TRIM($B9)))),CONFIG_PALLETS!$B:$B,$C9&amp;" ml"),IF(SUMIFS(CONFIG_PALLETS!$D:$D,CONFIG_PALLETS!$A:$A,"GERAL",CONFIG_PALLETS!$B:$B,$C9&amp;" ml")&gt;0,SUMIFS(CONFIG_PALLETS!$D:$D,CONFIG_PALLETS!$A:$A,"GERAL",CONFIG_PALLETS!$B:$B,$C9&amp;" ml"),12)))</f>
        <v/>
      </c>
      <c r="J9" s="67"/>
      <c r="K9" s="68"/>
      <c r="L9" s="69"/>
      <c r="M9" s="68"/>
      <c r="N9" s="70"/>
    </row>
    <row r="10" spans="1:17" ht="15" customHeight="1" x14ac:dyDescent="0.3">
      <c r="A10" s="198"/>
      <c r="B10" s="199" t="s">
        <v>216</v>
      </c>
      <c r="C10" s="200"/>
      <c r="D10" s="201">
        <f>SUM(D3:D9)</f>
        <v>1329</v>
      </c>
      <c r="E10" s="202"/>
      <c r="F10" s="202"/>
      <c r="G10" s="203">
        <f>SUM(G3:G9)</f>
        <v>13</v>
      </c>
      <c r="H10" s="201">
        <f>SUM(H3:H9)</f>
        <v>999</v>
      </c>
      <c r="I10" s="201">
        <f>SUM(I3:I9)</f>
        <v>11988</v>
      </c>
      <c r="J10">
        <f>SUM(D4:D9)</f>
        <v>1329</v>
      </c>
      <c r="K10">
        <f>SUM(G4:G9)</f>
        <v>13</v>
      </c>
      <c r="L10">
        <f>SUM(H4:H9)</f>
        <v>999</v>
      </c>
      <c r="M10">
        <f>SUM(I4:I9)</f>
        <v>11988</v>
      </c>
    </row>
    <row r="11" spans="1:17" ht="6" customHeight="1" x14ac:dyDescent="0.3">
      <c r="C11" s="72"/>
      <c r="J11" s="36"/>
      <c r="K11" s="36"/>
      <c r="L11" s="37"/>
      <c r="M11" s="36"/>
      <c r="N11" s="37"/>
    </row>
    <row r="12" spans="1:17" ht="15" customHeight="1" x14ac:dyDescent="0.3">
      <c r="A12" s="30">
        <v>46084</v>
      </c>
      <c r="B12" s="186" t="s">
        <v>78</v>
      </c>
      <c r="C12" s="187" t="s">
        <v>205</v>
      </c>
      <c r="D12" s="188" t="s">
        <v>206</v>
      </c>
      <c r="E12" s="188" t="s">
        <v>207</v>
      </c>
      <c r="F12" s="189" t="s">
        <v>208</v>
      </c>
      <c r="G12" s="188" t="s">
        <v>209</v>
      </c>
      <c r="H12" s="188" t="s">
        <v>210</v>
      </c>
      <c r="I12" s="188" t="s">
        <v>211</v>
      </c>
      <c r="J12" s="46"/>
      <c r="L12" s="44"/>
      <c r="N12" s="45"/>
    </row>
    <row r="13" spans="1:17" ht="21" customHeight="1" x14ac:dyDescent="0.3">
      <c r="A13" s="190"/>
      <c r="B13" s="191" t="s">
        <v>68</v>
      </c>
      <c r="C13" s="192">
        <v>600</v>
      </c>
      <c r="D13" s="193">
        <f>D6-J6</f>
        <v>0</v>
      </c>
      <c r="E13" s="194" t="s">
        <v>214</v>
      </c>
      <c r="F13" s="195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>95</v>
      </c>
      <c r="G13" s="196">
        <f t="shared" ref="G13:G18" si="1">IFERROR(ROUNDUP(D13/F13,0),"")</f>
        <v>0</v>
      </c>
      <c r="H13" s="197">
        <v>1133</v>
      </c>
      <c r="I13" s="193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>13596</v>
      </c>
      <c r="J13" s="55"/>
      <c r="L13" s="56"/>
      <c r="M13" s="57"/>
      <c r="N13" s="627" t="s">
        <v>437</v>
      </c>
      <c r="O13" s="627"/>
      <c r="P13" s="627"/>
      <c r="Q13" s="627"/>
    </row>
    <row r="14" spans="1:17" ht="21" customHeight="1" x14ac:dyDescent="0.3">
      <c r="A14" s="190"/>
      <c r="B14" s="191" t="s">
        <v>60</v>
      </c>
      <c r="C14" s="192">
        <v>600</v>
      </c>
      <c r="D14" s="193">
        <v>665</v>
      </c>
      <c r="E14" s="194" t="s">
        <v>214</v>
      </c>
      <c r="F14" s="195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>95</v>
      </c>
      <c r="G14" s="196">
        <f t="shared" si="1"/>
        <v>7</v>
      </c>
      <c r="H14" s="197">
        <v>196</v>
      </c>
      <c r="I14" s="193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>2352</v>
      </c>
      <c r="J14" s="46"/>
      <c r="L14" s="44"/>
      <c r="M14" s="57"/>
      <c r="N14" s="627"/>
      <c r="O14" s="627"/>
      <c r="P14" s="627"/>
      <c r="Q14" s="627"/>
    </row>
    <row r="15" spans="1:17" ht="21" customHeight="1" x14ac:dyDescent="0.3">
      <c r="A15" s="190"/>
      <c r="B15" s="191"/>
      <c r="C15" s="192"/>
      <c r="D15" s="193"/>
      <c r="E15" s="194" t="s">
        <v>214</v>
      </c>
      <c r="F15" s="195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196" t="str">
        <f t="shared" si="1"/>
        <v/>
      </c>
      <c r="H15" s="197"/>
      <c r="I15" s="193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  <c r="J15" s="55"/>
      <c r="L15" s="56"/>
      <c r="N15" s="627"/>
      <c r="O15" s="627"/>
      <c r="P15" s="627"/>
      <c r="Q15" s="627"/>
    </row>
    <row r="16" spans="1:17" ht="21" customHeight="1" x14ac:dyDescent="0.3">
      <c r="A16" s="190"/>
      <c r="B16" s="191"/>
      <c r="C16" s="192"/>
      <c r="D16" s="193"/>
      <c r="E16" s="194" t="s">
        <v>214</v>
      </c>
      <c r="F16" s="195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196" t="str">
        <f t="shared" si="1"/>
        <v/>
      </c>
      <c r="H16" s="197"/>
      <c r="I16" s="193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  <c r="J16" s="46"/>
      <c r="L16" s="44"/>
      <c r="N16" s="627"/>
      <c r="O16" s="627"/>
      <c r="P16" s="627"/>
      <c r="Q16" s="627"/>
    </row>
    <row r="17" spans="1:17" ht="21" customHeight="1" x14ac:dyDescent="0.3">
      <c r="A17" s="190"/>
      <c r="B17" s="191"/>
      <c r="C17" s="192"/>
      <c r="D17" s="193"/>
      <c r="E17" s="194" t="s">
        <v>214</v>
      </c>
      <c r="F17" s="195" t="str">
        <f>IF($B17="","",IF(SUMIFS(CONFIG_PALLETS!$C:$C,CONFIG_PALLETS!$A:$A,TRIM($B17),CONFIG_PALLETS!$B:$B,$C17&amp;" ml")&gt;0,SUMIFS(CONFIG_PALLETS!$C:$C,CONFIG_PALLETS!$A:$A,TRIM($B17),CONFIG_PALLETS!$B:$B,$C17&amp;" ml"),IF(SUMIFS(CONFIG_PALLETS!$C:$C,CONFIG_PALLETS!$A:$A,"GERAL",CONFIG_PALLETS!$B:$B,$C17&amp;" ml")&gt;0,SUMIFS(CONFIG_PALLETS!$C:$C,CONFIG_PALLETS!$A:$A,"GERAL",CONFIG_PALLETS!$B:$B,$C17&amp;" ml"),"")))</f>
        <v/>
      </c>
      <c r="G17" s="196" t="str">
        <f t="shared" si="1"/>
        <v/>
      </c>
      <c r="H17" s="197"/>
      <c r="I17" s="193" t="str">
        <f>IF(H17="","",H17*IF(SUMIFS(CONFIG_PALLETS!$D:$D,CONFIG_PALLETS!$A:$A,IF(ISNUMBER(SEARCH("ESPUMA",$B17)),"ESPUMA",IF(OR(ISNUMBER(SEARCH("OLEO DE COCO",$B17)),ISNUMBER(SEARCH("ÓLEO DE COCO",$B17)),ISNUMBER(SEARCH("COPRA",$B17))),"ÓLEO DE COCO",IF(ISNUMBER(SEARCH("CORANTE",$B17)),"CORANTE",TRIM($B17)))),CONFIG_PALLETS!$B:$B,$C17&amp;" ml")&gt;0,SUMIFS(CONFIG_PALLETS!$D:$D,CONFIG_PALLETS!$A:$A,IF(ISNUMBER(SEARCH("ESPUMA",$B17)),"ESPUMA",IF(OR(ISNUMBER(SEARCH("OLEO DE COCO",$B17)),ISNUMBER(SEARCH("ÓLEO DE COCO",$B17)),ISNUMBER(SEARCH("COPRA",$B17))),"ÓLEO DE COCO",IF(ISNUMBER(SEARCH("CORANTE",$B17)),"CORANTE",TRIM($B17)))),CONFIG_PALLETS!$B:$B,$C17&amp;" ml"),IF(SUMIFS(CONFIG_PALLETS!$D:$D,CONFIG_PALLETS!$A:$A,"GERAL",CONFIG_PALLETS!$B:$B,$C17&amp;" ml")&gt;0,SUMIFS(CONFIG_PALLETS!$D:$D,CONFIG_PALLETS!$A:$A,"GERAL",CONFIG_PALLETS!$B:$B,$C17&amp;" ml"),12)))</f>
        <v/>
      </c>
      <c r="J17" s="67"/>
      <c r="K17" s="68"/>
      <c r="L17" s="69"/>
      <c r="M17" s="68"/>
      <c r="N17" s="70"/>
    </row>
    <row r="18" spans="1:17" ht="21" customHeight="1" x14ac:dyDescent="0.3">
      <c r="A18" s="190"/>
      <c r="B18" s="191"/>
      <c r="C18" s="192"/>
      <c r="D18" s="193"/>
      <c r="E18" s="194" t="s">
        <v>214</v>
      </c>
      <c r="F18" s="195" t="str">
        <f>IF($B18="","",IF(SUMIFS(CONFIG_PALLETS!$C:$C,CONFIG_PALLETS!$A:$A,TRIM($B18),CONFIG_PALLETS!$B:$B,$C18&amp;" ml")&gt;0,SUMIFS(CONFIG_PALLETS!$C:$C,CONFIG_PALLETS!$A:$A,TRIM($B18),CONFIG_PALLETS!$B:$B,$C18&amp;" ml"),IF(SUMIFS(CONFIG_PALLETS!$C:$C,CONFIG_PALLETS!$A:$A,"GERAL",CONFIG_PALLETS!$B:$B,$C18&amp;" ml")&gt;0,SUMIFS(CONFIG_PALLETS!$C:$C,CONFIG_PALLETS!$A:$A,"GERAL",CONFIG_PALLETS!$B:$B,$C18&amp;" ml"),"")))</f>
        <v/>
      </c>
      <c r="G18" s="196" t="str">
        <f t="shared" si="1"/>
        <v/>
      </c>
      <c r="H18" s="197"/>
      <c r="I18" s="193" t="str">
        <f>IF(H18="","",H18*IF(SUMIFS(CONFIG_PALLETS!$D:$D,CONFIG_PALLETS!$A:$A,IF(ISNUMBER(SEARCH("ESPUMA",$B18)),"ESPUMA",IF(OR(ISNUMBER(SEARCH("OLEO DE COCO",$B18)),ISNUMBER(SEARCH("ÓLEO DE COCO",$B18)),ISNUMBER(SEARCH("COPRA",$B18))),"ÓLEO DE COCO",IF(ISNUMBER(SEARCH("CORANTE",$B18)),"CORANTE",TRIM($B18)))),CONFIG_PALLETS!$B:$B,$C18&amp;" ml")&gt;0,SUMIFS(CONFIG_PALLETS!$D:$D,CONFIG_PALLETS!$A:$A,IF(ISNUMBER(SEARCH("ESPUMA",$B18)),"ESPUMA",IF(OR(ISNUMBER(SEARCH("OLEO DE COCO",$B18)),ISNUMBER(SEARCH("ÓLEO DE COCO",$B18)),ISNUMBER(SEARCH("COPRA",$B18))),"ÓLEO DE COCO",IF(ISNUMBER(SEARCH("CORANTE",$B18)),"CORANTE",TRIM($B18)))),CONFIG_PALLETS!$B:$B,$C18&amp;" ml"),IF(SUMIFS(CONFIG_PALLETS!$D:$D,CONFIG_PALLETS!$A:$A,"GERAL",CONFIG_PALLETS!$B:$B,$C18&amp;" ml")&gt;0,SUMIFS(CONFIG_PALLETS!$D:$D,CONFIG_PALLETS!$A:$A,"GERAL",CONFIG_PALLETS!$B:$B,$C18&amp;" ml"),12)))</f>
        <v/>
      </c>
    </row>
    <row r="19" spans="1:17" ht="15" customHeight="1" x14ac:dyDescent="0.3">
      <c r="A19" s="198"/>
      <c r="B19" s="199" t="s">
        <v>216</v>
      </c>
      <c r="C19" s="200"/>
      <c r="D19" s="201">
        <f>SUM(D12:D18)</f>
        <v>665</v>
      </c>
      <c r="E19" s="202"/>
      <c r="F19" s="202"/>
      <c r="G19" s="203">
        <f>SUM(G12:G18)</f>
        <v>7</v>
      </c>
      <c r="H19" s="201">
        <f>SUM(H12:H18)</f>
        <v>1329</v>
      </c>
      <c r="I19" s="201">
        <f>SUM(I12:I18)</f>
        <v>15948</v>
      </c>
      <c r="J19" s="36">
        <f>SUM(D13:D18)</f>
        <v>665</v>
      </c>
      <c r="K19" s="36">
        <f>SUM(G13:G18)</f>
        <v>7</v>
      </c>
      <c r="L19" s="37">
        <f>SUM(H13:H18)</f>
        <v>1329</v>
      </c>
      <c r="M19" s="36">
        <f>SUM(I13:I18)</f>
        <v>15948</v>
      </c>
      <c r="N19" s="37"/>
    </row>
    <row r="20" spans="1:17" ht="6" customHeight="1" x14ac:dyDescent="0.3">
      <c r="C20" s="72"/>
      <c r="J20" s="46"/>
      <c r="L20" s="44"/>
      <c r="N20" s="45"/>
      <c r="P20" s="73"/>
      <c r="Q20" s="36"/>
    </row>
    <row r="21" spans="1:17" ht="15" customHeight="1" x14ac:dyDescent="0.3">
      <c r="A21" s="30">
        <v>46085</v>
      </c>
      <c r="B21" s="186" t="s">
        <v>78</v>
      </c>
      <c r="C21" s="187" t="s">
        <v>205</v>
      </c>
      <c r="D21" s="188" t="s">
        <v>206</v>
      </c>
      <c r="E21" s="188" t="s">
        <v>207</v>
      </c>
      <c r="F21" s="189" t="s">
        <v>208</v>
      </c>
      <c r="G21" s="188" t="s">
        <v>209</v>
      </c>
      <c r="H21" s="188" t="s">
        <v>210</v>
      </c>
      <c r="I21" s="188" t="s">
        <v>211</v>
      </c>
      <c r="J21" s="55"/>
      <c r="L21" s="56"/>
      <c r="M21" s="57"/>
      <c r="N21" s="58"/>
      <c r="P21" s="90"/>
    </row>
    <row r="22" spans="1:17" ht="21" customHeight="1" x14ac:dyDescent="0.3">
      <c r="A22" s="190"/>
      <c r="B22" s="191" t="s">
        <v>60</v>
      </c>
      <c r="C22" s="192">
        <v>600</v>
      </c>
      <c r="D22" s="193">
        <f>D15-J15</f>
        <v>0</v>
      </c>
      <c r="E22" s="194" t="s">
        <v>214</v>
      </c>
      <c r="F22" s="195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>95</v>
      </c>
      <c r="G22" s="196">
        <f t="shared" ref="G22:G27" si="2">IFERROR(ROUNDUP(D22/F22,0),"")</f>
        <v>0</v>
      </c>
      <c r="H22" s="197">
        <v>469</v>
      </c>
      <c r="I22" s="193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>5628</v>
      </c>
      <c r="J22" s="46"/>
      <c r="L22" s="44"/>
      <c r="M22" s="57"/>
      <c r="N22" s="45"/>
      <c r="P22" s="74"/>
      <c r="Q22" s="68"/>
    </row>
    <row r="23" spans="1:17" ht="21" customHeight="1" x14ac:dyDescent="0.3">
      <c r="A23" s="190"/>
      <c r="B23" s="191" t="s">
        <v>160</v>
      </c>
      <c r="C23" s="192">
        <v>600</v>
      </c>
      <c r="D23" s="193">
        <v>285</v>
      </c>
      <c r="E23" s="194" t="s">
        <v>214</v>
      </c>
      <c r="F23" s="195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>95</v>
      </c>
      <c r="G23" s="196">
        <f t="shared" si="2"/>
        <v>3</v>
      </c>
      <c r="H23" s="197">
        <v>288</v>
      </c>
      <c r="I23" s="193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>3456</v>
      </c>
      <c r="J23" s="55"/>
      <c r="L23" s="56"/>
      <c r="N23" s="58"/>
    </row>
    <row r="24" spans="1:17" ht="21" customHeight="1" x14ac:dyDescent="0.3">
      <c r="A24" s="190"/>
      <c r="B24" s="191" t="s">
        <v>438</v>
      </c>
      <c r="C24" s="192">
        <v>600</v>
      </c>
      <c r="D24" s="193">
        <v>240</v>
      </c>
      <c r="E24" s="194" t="s">
        <v>214</v>
      </c>
      <c r="F24" s="195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>95</v>
      </c>
      <c r="G24" s="196">
        <f t="shared" si="2"/>
        <v>3</v>
      </c>
      <c r="H24" s="197">
        <v>199</v>
      </c>
      <c r="I24" s="193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>2388</v>
      </c>
      <c r="J24" s="46"/>
      <c r="L24" s="44"/>
      <c r="N24" s="45"/>
    </row>
    <row r="25" spans="1:17" ht="21" customHeight="1" x14ac:dyDescent="0.3">
      <c r="A25" s="190"/>
      <c r="B25" s="191"/>
      <c r="C25" s="192"/>
      <c r="D25" s="193"/>
      <c r="E25" s="194" t="s">
        <v>214</v>
      </c>
      <c r="F25" s="195" t="str">
        <f>IF($B25="","",IF(SUMIFS(CONFIG_PALLETS!$C:$C,CONFIG_PALLETS!$A:$A,TRIM($B25),CONFIG_PALLETS!$B:$B,$C25&amp;" ml")&gt;0,SUMIFS(CONFIG_PALLETS!$C:$C,CONFIG_PALLETS!$A:$A,TRIM($B25),CONFIG_PALLETS!$B:$B,$C25&amp;" ml"),IF(SUMIFS(CONFIG_PALLETS!$C:$C,CONFIG_PALLETS!$A:$A,"GERAL",CONFIG_PALLETS!$B:$B,$C25&amp;" ml")&gt;0,SUMIFS(CONFIG_PALLETS!$C:$C,CONFIG_PALLETS!$A:$A,"GERAL",CONFIG_PALLETS!$B:$B,$C25&amp;" ml"),"")))</f>
        <v/>
      </c>
      <c r="G25" s="196" t="str">
        <f t="shared" si="2"/>
        <v/>
      </c>
      <c r="H25" s="197"/>
      <c r="I25" s="193" t="str">
        <f>IF(H25="","",H25*IF(SUMIFS(CONFIG_PALLETS!$D:$D,CONFIG_PALLETS!$A:$A,IF(ISNUMBER(SEARCH("ESPUMA",$B25)),"ESPUMA",IF(OR(ISNUMBER(SEARCH("OLEO DE COCO",$B25)),ISNUMBER(SEARCH("ÓLEO DE COCO",$B25)),ISNUMBER(SEARCH("COPRA",$B25))),"ÓLEO DE COCO",IF(ISNUMBER(SEARCH("CORANTE",$B25)),"CORANTE",TRIM($B25)))),CONFIG_PALLETS!$B:$B,$C25&amp;" ml")&gt;0,SUMIFS(CONFIG_PALLETS!$D:$D,CONFIG_PALLETS!$A:$A,IF(ISNUMBER(SEARCH("ESPUMA",$B25)),"ESPUMA",IF(OR(ISNUMBER(SEARCH("OLEO DE COCO",$B25)),ISNUMBER(SEARCH("ÓLEO DE COCO",$B25)),ISNUMBER(SEARCH("COPRA",$B25))),"ÓLEO DE COCO",IF(ISNUMBER(SEARCH("CORANTE",$B25)),"CORANTE",TRIM($B25)))),CONFIG_PALLETS!$B:$B,$C25&amp;" ml"),IF(SUMIFS(CONFIG_PALLETS!$D:$D,CONFIG_PALLETS!$A:$A,"GERAL",CONFIG_PALLETS!$B:$B,$C25&amp;" ml")&gt;0,SUMIFS(CONFIG_PALLETS!$D:$D,CONFIG_PALLETS!$A:$A,"GERAL",CONFIG_PALLETS!$B:$B,$C25&amp;" ml"),12)))</f>
        <v/>
      </c>
      <c r="J25" s="67"/>
      <c r="K25" s="68"/>
      <c r="L25" s="69"/>
      <c r="M25" s="68"/>
      <c r="N25" s="70"/>
    </row>
    <row r="26" spans="1:17" ht="21" customHeight="1" x14ac:dyDescent="0.3">
      <c r="A26" s="190"/>
      <c r="B26" s="191"/>
      <c r="C26" s="192"/>
      <c r="D26" s="193"/>
      <c r="E26" s="194" t="s">
        <v>214</v>
      </c>
      <c r="F26" s="195" t="str">
        <f>IF($B26="","",IF(SUMIFS(CONFIG_PALLETS!$C:$C,CONFIG_PALLETS!$A:$A,TRIM($B26),CONFIG_PALLETS!$B:$B,$C26&amp;" ml")&gt;0,SUMIFS(CONFIG_PALLETS!$C:$C,CONFIG_PALLETS!$A:$A,TRIM($B26),CONFIG_PALLETS!$B:$B,$C26&amp;" ml"),IF(SUMIFS(CONFIG_PALLETS!$C:$C,CONFIG_PALLETS!$A:$A,"GERAL",CONFIG_PALLETS!$B:$B,$C26&amp;" ml")&gt;0,SUMIFS(CONFIG_PALLETS!$C:$C,CONFIG_PALLETS!$A:$A,"GERAL",CONFIG_PALLETS!$B:$B,$C26&amp;" ml"),"")))</f>
        <v/>
      </c>
      <c r="G26" s="196" t="str">
        <f t="shared" si="2"/>
        <v/>
      </c>
      <c r="H26" s="197"/>
      <c r="I26" s="193" t="str">
        <f>IF(H26="","",H26*IF(SUMIFS(CONFIG_PALLETS!$D:$D,CONFIG_PALLETS!$A:$A,IF(ISNUMBER(SEARCH("ESPUMA",$B26)),"ESPUMA",IF(OR(ISNUMBER(SEARCH("OLEO DE COCO",$B26)),ISNUMBER(SEARCH("ÓLEO DE COCO",$B26)),ISNUMBER(SEARCH("COPRA",$B26))),"ÓLEO DE COCO",IF(ISNUMBER(SEARCH("CORANTE",$B26)),"CORANTE",TRIM($B26)))),CONFIG_PALLETS!$B:$B,$C26&amp;" ml")&gt;0,SUMIFS(CONFIG_PALLETS!$D:$D,CONFIG_PALLETS!$A:$A,IF(ISNUMBER(SEARCH("ESPUMA",$B26)),"ESPUMA",IF(OR(ISNUMBER(SEARCH("OLEO DE COCO",$B26)),ISNUMBER(SEARCH("ÓLEO DE COCO",$B26)),ISNUMBER(SEARCH("COPRA",$B26))),"ÓLEO DE COCO",IF(ISNUMBER(SEARCH("CORANTE",$B26)),"CORANTE",TRIM($B26)))),CONFIG_PALLETS!$B:$B,$C26&amp;" ml"),IF(SUMIFS(CONFIG_PALLETS!$D:$D,CONFIG_PALLETS!$A:$A,"GERAL",CONFIG_PALLETS!$B:$B,$C26&amp;" ml")&gt;0,SUMIFS(CONFIG_PALLETS!$D:$D,CONFIG_PALLETS!$A:$A,"GERAL",CONFIG_PALLETS!$B:$B,$C26&amp;" ml"),12)))</f>
        <v/>
      </c>
    </row>
    <row r="27" spans="1:17" ht="21" customHeight="1" x14ac:dyDescent="0.3">
      <c r="A27" s="190"/>
      <c r="B27" s="191"/>
      <c r="C27" s="192"/>
      <c r="D27" s="193"/>
      <c r="E27" s="194" t="s">
        <v>214</v>
      </c>
      <c r="F27" s="195" t="str">
        <f>IF($B27="","",IF(SUMIFS(CONFIG_PALLETS!$C:$C,CONFIG_PALLETS!$A:$A,TRIM($B27),CONFIG_PALLETS!$B:$B,$C27&amp;" ml")&gt;0,SUMIFS(CONFIG_PALLETS!$C:$C,CONFIG_PALLETS!$A:$A,TRIM($B27),CONFIG_PALLETS!$B:$B,$C27&amp;" ml"),IF(SUMIFS(CONFIG_PALLETS!$C:$C,CONFIG_PALLETS!$A:$A,"GERAL",CONFIG_PALLETS!$B:$B,$C27&amp;" ml")&gt;0,SUMIFS(CONFIG_PALLETS!$C:$C,CONFIG_PALLETS!$A:$A,"GERAL",CONFIG_PALLETS!$B:$B,$C27&amp;" ml"),"")))</f>
        <v/>
      </c>
      <c r="G27" s="196" t="str">
        <f t="shared" si="2"/>
        <v/>
      </c>
      <c r="H27" s="197"/>
      <c r="I27" s="193" t="str">
        <f>IF(H27="","",H27*IF(SUMIFS(CONFIG_PALLETS!$D:$D,CONFIG_PALLETS!$A:$A,IF(ISNUMBER(SEARCH("ESPUMA",$B27)),"ESPUMA",IF(OR(ISNUMBER(SEARCH("OLEO DE COCO",$B27)),ISNUMBER(SEARCH("ÓLEO DE COCO",$B27)),ISNUMBER(SEARCH("COPRA",$B27))),"ÓLEO DE COCO",IF(ISNUMBER(SEARCH("CORANTE",$B27)),"CORANTE",TRIM($B27)))),CONFIG_PALLETS!$B:$B,$C27&amp;" ml")&gt;0,SUMIFS(CONFIG_PALLETS!$D:$D,CONFIG_PALLETS!$A:$A,IF(ISNUMBER(SEARCH("ESPUMA",$B27)),"ESPUMA",IF(OR(ISNUMBER(SEARCH("OLEO DE COCO",$B27)),ISNUMBER(SEARCH("ÓLEO DE COCO",$B27)),ISNUMBER(SEARCH("COPRA",$B27))),"ÓLEO DE COCO",IF(ISNUMBER(SEARCH("CORANTE",$B27)),"CORANTE",TRIM($B27)))),CONFIG_PALLETS!$B:$B,$C27&amp;" ml"),IF(SUMIFS(CONFIG_PALLETS!$D:$D,CONFIG_PALLETS!$A:$A,"GERAL",CONFIG_PALLETS!$B:$B,$C27&amp;" ml")&gt;0,SUMIFS(CONFIG_PALLETS!$D:$D,CONFIG_PALLETS!$A:$A,"GERAL",CONFIG_PALLETS!$B:$B,$C27&amp;" ml"),12)))</f>
        <v/>
      </c>
      <c r="J27" s="36"/>
      <c r="K27" s="36"/>
      <c r="L27" s="37"/>
      <c r="M27" s="36"/>
      <c r="N27" s="37"/>
    </row>
    <row r="28" spans="1:17" ht="15" customHeight="1" x14ac:dyDescent="0.3">
      <c r="A28" s="198"/>
      <c r="B28" s="199" t="s">
        <v>216</v>
      </c>
      <c r="C28" s="200"/>
      <c r="D28" s="201">
        <f>SUM(D21:D27)</f>
        <v>525</v>
      </c>
      <c r="E28" s="202"/>
      <c r="F28" s="202"/>
      <c r="G28" s="203">
        <f>SUM(G21:G27)</f>
        <v>6</v>
      </c>
      <c r="H28" s="201">
        <f>SUM(H21:H27)</f>
        <v>956</v>
      </c>
      <c r="I28" s="201">
        <f>SUM(I21:I27)</f>
        <v>11472</v>
      </c>
      <c r="J28" s="46">
        <f>SUM(D22:D27)</f>
        <v>525</v>
      </c>
      <c r="K28">
        <f>SUM(G22:G27)</f>
        <v>6</v>
      </c>
      <c r="L28" s="44">
        <f>SUM(H22:H27)</f>
        <v>956</v>
      </c>
      <c r="M28">
        <f>SUM(I22:I27)</f>
        <v>11472</v>
      </c>
      <c r="N28" s="45"/>
      <c r="P28" s="73"/>
      <c r="Q28" s="36"/>
    </row>
    <row r="29" spans="1:17" ht="6" customHeight="1" x14ac:dyDescent="0.3">
      <c r="C29" s="72"/>
      <c r="J29" s="55"/>
      <c r="L29" s="56"/>
      <c r="M29" s="57"/>
      <c r="N29" s="58"/>
      <c r="P29" s="90"/>
    </row>
    <row r="30" spans="1:17" ht="15" customHeight="1" x14ac:dyDescent="0.3">
      <c r="A30" s="30">
        <v>46086</v>
      </c>
      <c r="B30" s="186" t="s">
        <v>78</v>
      </c>
      <c r="C30" s="187" t="s">
        <v>205</v>
      </c>
      <c r="D30" s="188" t="s">
        <v>206</v>
      </c>
      <c r="E30" s="188" t="s">
        <v>207</v>
      </c>
      <c r="F30" s="189" t="s">
        <v>208</v>
      </c>
      <c r="G30" s="188" t="s">
        <v>209</v>
      </c>
      <c r="H30" s="188" t="s">
        <v>210</v>
      </c>
      <c r="I30" s="188" t="s">
        <v>211</v>
      </c>
      <c r="J30" s="46"/>
      <c r="L30" s="44"/>
      <c r="M30" s="57"/>
      <c r="N30" s="45"/>
      <c r="P30" s="74"/>
      <c r="Q30" s="68"/>
    </row>
    <row r="31" spans="1:17" ht="21" customHeight="1" x14ac:dyDescent="0.3">
      <c r="A31" s="190"/>
      <c r="B31" s="191" t="s">
        <v>438</v>
      </c>
      <c r="C31" s="192">
        <v>600</v>
      </c>
      <c r="D31" s="193">
        <f>D23-J23</f>
        <v>285</v>
      </c>
      <c r="E31" s="194" t="s">
        <v>214</v>
      </c>
      <c r="F31" s="195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>95</v>
      </c>
      <c r="G31" s="196">
        <f t="shared" ref="G31:G36" si="3">IFERROR(ROUNDUP(D31/F31,0),"")</f>
        <v>3</v>
      </c>
      <c r="H31" s="197">
        <v>42</v>
      </c>
      <c r="I31" s="193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>504</v>
      </c>
      <c r="J31" s="55"/>
      <c r="L31" s="56"/>
      <c r="M31" s="57"/>
      <c r="N31" s="58"/>
      <c r="O31" s="28"/>
    </row>
    <row r="32" spans="1:17" ht="21" customHeight="1" x14ac:dyDescent="0.3">
      <c r="A32" s="190"/>
      <c r="B32" s="191" t="s">
        <v>439</v>
      </c>
      <c r="C32" s="192">
        <v>600</v>
      </c>
      <c r="D32" s="193">
        <v>308</v>
      </c>
      <c r="E32" s="194" t="s">
        <v>214</v>
      </c>
      <c r="F32" s="195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>95</v>
      </c>
      <c r="G32" s="196">
        <f t="shared" si="3"/>
        <v>4</v>
      </c>
      <c r="H32" s="197">
        <v>307</v>
      </c>
      <c r="I32" s="193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>3684</v>
      </c>
      <c r="J32" s="46"/>
      <c r="L32" s="44"/>
      <c r="M32" s="57"/>
      <c r="N32" s="45"/>
      <c r="O32" s="28"/>
    </row>
    <row r="33" spans="1:17" ht="21" customHeight="1" x14ac:dyDescent="0.3">
      <c r="A33" s="190"/>
      <c r="B33" s="191" t="s">
        <v>440</v>
      </c>
      <c r="C33" s="192">
        <v>180</v>
      </c>
      <c r="D33" s="193">
        <v>240</v>
      </c>
      <c r="E33" s="194" t="s">
        <v>214</v>
      </c>
      <c r="F33" s="195">
        <f>IF($B33="","",IF(SUMIFS(CONFIG_PALLETS!$C:$C,CONFIG_PALLETS!$A:$A,TRIM($B33),CONFIG_PALLETS!$B:$B,$C33&amp;" ml")&gt;0,SUMIFS(CONFIG_PALLETS!$C:$C,CONFIG_PALLETS!$A:$A,TRIM($B33),CONFIG_PALLETS!$B:$B,$C33&amp;" ml"),IF(SUMIFS(CONFIG_PALLETS!$C:$C,CONFIG_PALLETS!$A:$A,"GERAL",CONFIG_PALLETS!$B:$B,$C33&amp;" ml")&gt;0,SUMIFS(CONFIG_PALLETS!$C:$C,CONFIG_PALLETS!$A:$A,"GERAL",CONFIG_PALLETS!$B:$B,$C33&amp;" ml"),"")))</f>
        <v>240</v>
      </c>
      <c r="G33" s="196">
        <f t="shared" si="3"/>
        <v>1</v>
      </c>
      <c r="H33" s="197">
        <v>242</v>
      </c>
      <c r="I33" s="193">
        <f>IF(H33="","",H33*IF(SUMIFS(CONFIG_PALLETS!$D:$D,CONFIG_PALLETS!$A:$A,IF(ISNUMBER(SEARCH("ESPUMA",$B33)),"ESPUMA",IF(OR(ISNUMBER(SEARCH("OLEO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ml")&gt;0,SUMIFS(CONFIG_PALLETS!$D:$D,CONFIG_PALLETS!$A:$A,IF(ISNUMBER(SEARCH("ESPUMA",$B33)),"ESPUMA",IF(OR(ISNUMBER(SEARCH("OLEO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ml"),IF(SUMIFS(CONFIG_PALLETS!$D:$D,CONFIG_PALLETS!$A:$A,"GERAL",CONFIG_PALLETS!$B:$B,$C33&amp;" ml")&gt;0,SUMIFS(CONFIG_PALLETS!$D:$D,CONFIG_PALLETS!$A:$A,"GERAL",CONFIG_PALLETS!$B:$B,$C33&amp;" ml"),12)))</f>
        <v>2904</v>
      </c>
      <c r="J33" s="55"/>
      <c r="L33" s="56"/>
      <c r="N33" s="58"/>
    </row>
    <row r="34" spans="1:17" ht="21" customHeight="1" x14ac:dyDescent="0.3">
      <c r="A34" s="190"/>
      <c r="B34" s="191" t="s">
        <v>54</v>
      </c>
      <c r="C34" s="192">
        <v>180</v>
      </c>
      <c r="D34" s="193">
        <v>240</v>
      </c>
      <c r="E34" s="194" t="s">
        <v>214</v>
      </c>
      <c r="F34" s="195">
        <f>IF($B34="","",IF(SUMIFS(CONFIG_PALLETS!$C:$C,CONFIG_PALLETS!$A:$A,TRIM($B34),CONFIG_PALLETS!$B:$B,$C34&amp;" ml")&gt;0,SUMIFS(CONFIG_PALLETS!$C:$C,CONFIG_PALLETS!$A:$A,TRIM($B34),CONFIG_PALLETS!$B:$B,$C34&amp;" ml"),IF(SUMIFS(CONFIG_PALLETS!$C:$C,CONFIG_PALLETS!$A:$A,"GERAL",CONFIG_PALLETS!$B:$B,$C34&amp;" ml")&gt;0,SUMIFS(CONFIG_PALLETS!$C:$C,CONFIG_PALLETS!$A:$A,"GERAL",CONFIG_PALLETS!$B:$B,$C34&amp;" ml"),"")))</f>
        <v>240</v>
      </c>
      <c r="G34" s="196">
        <f t="shared" si="3"/>
        <v>1</v>
      </c>
      <c r="H34" s="197">
        <v>276</v>
      </c>
      <c r="I34" s="193">
        <f>IF(H34="","",H34*IF(SUMIFS(CONFIG_PALLETS!$D:$D,CONFIG_PALLETS!$A:$A,IF(ISNUMBER(SEARCH("ESPUMA",$B34)),"ESPUMA",IF(OR(ISNUMBER(SEARCH("OLEO DE COCO",$B34)),ISNUMBER(SEARCH("ÓLEO DE COCO",$B34)),ISNUMBER(SEARCH("COPRA",$B34))),"ÓLEO DE COCO",IF(ISNUMBER(SEARCH("CORANTE",$B34)),"CORANTE",TRIM($B34)))),CONFIG_PALLETS!$B:$B,$C34&amp;" ml")&gt;0,SUMIFS(CONFIG_PALLETS!$D:$D,CONFIG_PALLETS!$A:$A,IF(ISNUMBER(SEARCH("ESPUMA",$B34)),"ESPUMA",IF(OR(ISNUMBER(SEARCH("OLEO DE COCO",$B34)),ISNUMBER(SEARCH("ÓLEO DE COCO",$B34)),ISNUMBER(SEARCH("COPRA",$B34))),"ÓLEO DE COCO",IF(ISNUMBER(SEARCH("CORANTE",$B34)),"CORANTE",TRIM($B34)))),CONFIG_PALLETS!$B:$B,$C34&amp;" ml"),IF(SUMIFS(CONFIG_PALLETS!$D:$D,CONFIG_PALLETS!$A:$A,"GERAL",CONFIG_PALLETS!$B:$B,$C34&amp;" ml")&gt;0,SUMIFS(CONFIG_PALLETS!$D:$D,CONFIG_PALLETS!$A:$A,"GERAL",CONFIG_PALLETS!$B:$B,$C34&amp;" ml"),12)))</f>
        <v>3312</v>
      </c>
      <c r="L34" s="57"/>
      <c r="N34" s="91"/>
    </row>
    <row r="35" spans="1:17" ht="21" customHeight="1" x14ac:dyDescent="0.3">
      <c r="A35" s="190"/>
      <c r="B35" s="191" t="s">
        <v>441</v>
      </c>
      <c r="C35" s="192">
        <v>180</v>
      </c>
      <c r="D35" s="193">
        <v>240</v>
      </c>
      <c r="E35" s="194" t="s">
        <v>214</v>
      </c>
      <c r="F35" s="195">
        <f>IF($B35="","",IF(SUMIFS(CONFIG_PALLETS!$C:$C,CONFIG_PALLETS!$A:$A,TRIM($B35),CONFIG_PALLETS!$B:$B,$C35&amp;" ml")&gt;0,SUMIFS(CONFIG_PALLETS!$C:$C,CONFIG_PALLETS!$A:$A,TRIM($B35),CONFIG_PALLETS!$B:$B,$C35&amp;" ml"),IF(SUMIFS(CONFIG_PALLETS!$C:$C,CONFIG_PALLETS!$A:$A,"GERAL",CONFIG_PALLETS!$B:$B,$C35&amp;" ml")&gt;0,SUMIFS(CONFIG_PALLETS!$C:$C,CONFIG_PALLETS!$A:$A,"GERAL",CONFIG_PALLETS!$B:$B,$C35&amp;" ml"),"")))</f>
        <v>240</v>
      </c>
      <c r="G35" s="196">
        <f t="shared" si="3"/>
        <v>1</v>
      </c>
      <c r="H35" s="197">
        <v>242</v>
      </c>
      <c r="I35" s="193">
        <f>IF(H35="","",H35*IF(SUMIFS(CONFIG_PALLETS!$D:$D,CONFIG_PALLETS!$A:$A,IF(ISNUMBER(SEARCH("ESPUMA",$B35)),"ESPUMA",IF(OR(ISNUMBER(SEARCH("OLEO DE COCO",$B35)),ISNUMBER(SEARCH("ÓLEO DE COCO",$B35)),ISNUMBER(SEARCH("COPRA",$B35))),"ÓLEO DE COCO",IF(ISNUMBER(SEARCH("CORANTE",$B35)),"CORANTE",TRIM($B35)))),CONFIG_PALLETS!$B:$B,$C35&amp;" ml")&gt;0,SUMIFS(CONFIG_PALLETS!$D:$D,CONFIG_PALLETS!$A:$A,IF(ISNUMBER(SEARCH("ESPUMA",$B35)),"ESPUMA",IF(OR(ISNUMBER(SEARCH("OLEO DE COCO",$B35)),ISNUMBER(SEARCH("ÓLEO DE COCO",$B35)),ISNUMBER(SEARCH("COPRA",$B35))),"ÓLEO DE COCO",IF(ISNUMBER(SEARCH("CORANTE",$B35)),"CORANTE",TRIM($B35)))),CONFIG_PALLETS!$B:$B,$C35&amp;" ml"),IF(SUMIFS(CONFIG_PALLETS!$D:$D,CONFIG_PALLETS!$A:$A,"GERAL",CONFIG_PALLETS!$B:$B,$C35&amp;" ml")&gt;0,SUMIFS(CONFIG_PALLETS!$D:$D,CONFIG_PALLETS!$A:$A,"GERAL",CONFIG_PALLETS!$B:$B,$C35&amp;" ml"),12)))</f>
        <v>2904</v>
      </c>
      <c r="J35" s="68"/>
      <c r="K35" s="68"/>
      <c r="L35" s="94"/>
      <c r="M35" s="68"/>
      <c r="N35" s="95"/>
    </row>
    <row r="36" spans="1:17" ht="21" customHeight="1" x14ac:dyDescent="0.3">
      <c r="A36" s="190"/>
      <c r="B36" s="191"/>
      <c r="C36" s="192"/>
      <c r="D36" s="193"/>
      <c r="E36" s="194" t="s">
        <v>214</v>
      </c>
      <c r="F36" s="195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196" t="str">
        <f t="shared" si="3"/>
        <v/>
      </c>
      <c r="H36" s="197"/>
      <c r="I36" s="193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</row>
    <row r="37" spans="1:17" ht="15" customHeight="1" x14ac:dyDescent="0.3">
      <c r="A37" s="198"/>
      <c r="B37" s="199" t="s">
        <v>216</v>
      </c>
      <c r="C37" s="200"/>
      <c r="D37" s="201">
        <f>SUM(D30:D36)</f>
        <v>1313</v>
      </c>
      <c r="E37" s="202"/>
      <c r="F37" s="202"/>
      <c r="G37" s="203">
        <f>SUM(G30:G36)</f>
        <v>10</v>
      </c>
      <c r="H37" s="201">
        <f>SUM(H30:H36)</f>
        <v>1109</v>
      </c>
      <c r="I37" s="201">
        <f>SUM(I30:I36)</f>
        <v>13308</v>
      </c>
      <c r="J37" s="36">
        <f>SUM(D31:D36)</f>
        <v>1313</v>
      </c>
      <c r="K37" s="36">
        <f>SUM(G31:G36)</f>
        <v>10</v>
      </c>
      <c r="L37" s="37">
        <f>SUM(H31:H36)</f>
        <v>1109</v>
      </c>
      <c r="M37" s="36">
        <f>SUM(I31:I36)</f>
        <v>13308</v>
      </c>
      <c r="N37" s="37"/>
    </row>
    <row r="38" spans="1:17" ht="6" customHeight="1" x14ac:dyDescent="0.3">
      <c r="C38" s="72"/>
      <c r="J38" s="46"/>
      <c r="L38" s="44"/>
      <c r="N38" s="45"/>
    </row>
    <row r="39" spans="1:17" ht="15" customHeight="1" x14ac:dyDescent="0.3">
      <c r="A39" s="30">
        <v>46087</v>
      </c>
      <c r="B39" s="186" t="s">
        <v>78</v>
      </c>
      <c r="C39" s="187" t="s">
        <v>205</v>
      </c>
      <c r="D39" s="188" t="s">
        <v>206</v>
      </c>
      <c r="E39" s="188" t="s">
        <v>207</v>
      </c>
      <c r="F39" s="189" t="s">
        <v>208</v>
      </c>
      <c r="G39" s="188" t="s">
        <v>209</v>
      </c>
      <c r="H39" s="188" t="s">
        <v>210</v>
      </c>
      <c r="I39" s="188" t="s">
        <v>211</v>
      </c>
      <c r="J39" s="55"/>
      <c r="L39" s="56"/>
      <c r="M39" s="57"/>
      <c r="N39" s="58"/>
      <c r="P39" s="73"/>
      <c r="Q39" s="36"/>
    </row>
    <row r="40" spans="1:17" ht="21" customHeight="1" x14ac:dyDescent="0.3">
      <c r="A40" s="190"/>
      <c r="B40" s="191" t="s">
        <v>442</v>
      </c>
      <c r="C40" s="192">
        <v>120</v>
      </c>
      <c r="D40" s="193">
        <v>240</v>
      </c>
      <c r="E40" s="194" t="s">
        <v>214</v>
      </c>
      <c r="F40" s="195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196" t="str">
        <f t="shared" ref="G40:G45" si="4">IFERROR(ROUNDUP(D40/F40,0),"")</f>
        <v/>
      </c>
      <c r="H40" s="197">
        <v>241</v>
      </c>
      <c r="I40" s="193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>2892</v>
      </c>
      <c r="J40" s="46"/>
      <c r="L40" s="44"/>
      <c r="M40" s="57"/>
      <c r="N40" s="627">
        <f>+L46*12</f>
        <v>11340</v>
      </c>
      <c r="O40" s="627"/>
      <c r="P40" s="627"/>
      <c r="Q40" s="627"/>
    </row>
    <row r="41" spans="1:17" ht="21" customHeight="1" x14ac:dyDescent="0.3">
      <c r="A41" s="190"/>
      <c r="B41" s="191" t="s">
        <v>443</v>
      </c>
      <c r="C41" s="192">
        <v>120</v>
      </c>
      <c r="D41" s="193">
        <v>240</v>
      </c>
      <c r="E41" s="194" t="s">
        <v>214</v>
      </c>
      <c r="F41" s="195" t="str">
        <f>IF($B41="","",IF(SUMIFS(CONFIG_PALLETS!$C:$C,CONFIG_PALLETS!$A:$A,TRIM($B41),CONFIG_PALLETS!$B:$B,$C41&amp;" ml")&gt;0,SUMIFS(CONFIG_PALLETS!$C:$C,CONFIG_PALLETS!$A:$A,TRIM($B41),CONFIG_PALLETS!$B:$B,$C41&amp;" ml"),IF(SUMIFS(CONFIG_PALLETS!$C:$C,CONFIG_PALLETS!$A:$A,"GERAL",CONFIG_PALLETS!$B:$B,$C41&amp;" ml")&gt;0,SUMIFS(CONFIG_PALLETS!$C:$C,CONFIG_PALLETS!$A:$A,"GERAL",CONFIG_PALLETS!$B:$B,$C41&amp;" ml"),"")))</f>
        <v/>
      </c>
      <c r="G41" s="196" t="str">
        <f t="shared" si="4"/>
        <v/>
      </c>
      <c r="H41" s="197">
        <v>242</v>
      </c>
      <c r="I41" s="193">
        <f>IF(H41="","",H41*IF(SUMIFS(CONFIG_PALLETS!$D:$D,CONFIG_PALLETS!$A:$A,IF(ISNUMBER(SEARCH("ESPUMA",$B41)),"ESPUMA",IF(OR(ISNUMBER(SEARCH("OLEO DE COCO",$B41)),ISNUMBER(SEARCH("ÓLEO DE COCO",$B41)),ISNUMBER(SEARCH("COPRA",$B41))),"ÓLEO DE COCO",IF(ISNUMBER(SEARCH("CORANTE",$B41)),"CORANTE",TRIM($B41)))),CONFIG_PALLETS!$B:$B,$C41&amp;" ml")&gt;0,SUMIFS(CONFIG_PALLETS!$D:$D,CONFIG_PALLETS!$A:$A,IF(ISNUMBER(SEARCH("ESPUMA",$B41)),"ESPUMA",IF(OR(ISNUMBER(SEARCH("OLEO DE COCO",$B41)),ISNUMBER(SEARCH("ÓLEO DE COCO",$B41)),ISNUMBER(SEARCH("COPRA",$B41))),"ÓLEO DE COCO",IF(ISNUMBER(SEARCH("CORANTE",$B41)),"CORANTE",TRIM($B41)))),CONFIG_PALLETS!$B:$B,$C41&amp;" ml"),IF(SUMIFS(CONFIG_PALLETS!$D:$D,CONFIG_PALLETS!$A:$A,"GERAL",CONFIG_PALLETS!$B:$B,$C41&amp;" ml")&gt;0,SUMIFS(CONFIG_PALLETS!$D:$D,CONFIG_PALLETS!$A:$A,"GERAL",CONFIG_PALLETS!$B:$B,$C41&amp;" ml"),12)))</f>
        <v>2904</v>
      </c>
      <c r="J41" s="55"/>
      <c r="L41" s="56"/>
      <c r="N41" s="627"/>
      <c r="O41" s="627"/>
      <c r="P41" s="627"/>
      <c r="Q41" s="627"/>
    </row>
    <row r="42" spans="1:17" ht="21" customHeight="1" x14ac:dyDescent="0.3">
      <c r="A42" s="190"/>
      <c r="B42" s="191" t="s">
        <v>444</v>
      </c>
      <c r="C42" s="192">
        <v>400</v>
      </c>
      <c r="D42" s="193">
        <v>193</v>
      </c>
      <c r="E42" s="194" t="s">
        <v>214</v>
      </c>
      <c r="F42" s="195">
        <f>IF($B42="","",IF(SUMIFS(CONFIG_PALLETS!$C:$C,CONFIG_PALLETS!$A:$A,TRIM($B42),CONFIG_PALLETS!$B:$B,$C42&amp;" ml")&gt;0,SUMIFS(CONFIG_PALLETS!$C:$C,CONFIG_PALLETS!$A:$A,TRIM($B42),CONFIG_PALLETS!$B:$B,$C42&amp;" ml"),IF(SUMIFS(CONFIG_PALLETS!$C:$C,CONFIG_PALLETS!$A:$A,"GERAL",CONFIG_PALLETS!$B:$B,$C42&amp;" ml")&gt;0,SUMIFS(CONFIG_PALLETS!$C:$C,CONFIG_PALLETS!$A:$A,"GERAL",CONFIG_PALLETS!$B:$B,$C42&amp;" ml"),"")))</f>
        <v>125</v>
      </c>
      <c r="G42" s="196">
        <f t="shared" si="4"/>
        <v>2</v>
      </c>
      <c r="H42" s="197">
        <v>192</v>
      </c>
      <c r="I42" s="193">
        <f>IF(H42="","",H42*IF(SUMIFS(CONFIG_PALLETS!$D:$D,CONFIG_PALLETS!$A:$A,IF(ISNUMBER(SEARCH("ESPUMA",$B42)),"ESPUMA",IF(OR(ISNUMBER(SEARCH("OLEO DE COCO",$B42)),ISNUMBER(SEARCH("ÓLEO DE COCO",$B42)),ISNUMBER(SEARCH("COPRA",$B42))),"ÓLEO DE COCO",IF(ISNUMBER(SEARCH("CORANTE",$B42)),"CORANTE",TRIM($B42)))),CONFIG_PALLETS!$B:$B,$C42&amp;" ml")&gt;0,SUMIFS(CONFIG_PALLETS!$D:$D,CONFIG_PALLETS!$A:$A,IF(ISNUMBER(SEARCH("ESPUMA",$B42)),"ESPUMA",IF(OR(ISNUMBER(SEARCH("OLEO DE COCO",$B42)),ISNUMBER(SEARCH("ÓLEO DE COCO",$B42)),ISNUMBER(SEARCH("COPRA",$B42))),"ÓLEO DE COCO",IF(ISNUMBER(SEARCH("CORANTE",$B42)),"CORANTE",TRIM($B42)))),CONFIG_PALLETS!$B:$B,$C42&amp;" ml"),IF(SUMIFS(CONFIG_PALLETS!$D:$D,CONFIG_PALLETS!$A:$A,"GERAL",CONFIG_PALLETS!$B:$B,$C42&amp;" ml")&gt;0,SUMIFS(CONFIG_PALLETS!$D:$D,CONFIG_PALLETS!$A:$A,"GERAL",CONFIG_PALLETS!$B:$B,$C42&amp;" ml"),12)))</f>
        <v>2304</v>
      </c>
      <c r="J42" s="46"/>
      <c r="L42" s="44"/>
      <c r="N42" s="627"/>
      <c r="O42" s="627"/>
      <c r="P42" s="627"/>
      <c r="Q42" s="627"/>
    </row>
    <row r="43" spans="1:17" ht="21" customHeight="1" x14ac:dyDescent="0.3">
      <c r="A43" s="190"/>
      <c r="B43" s="191" t="s">
        <v>62</v>
      </c>
      <c r="C43" s="192">
        <v>400</v>
      </c>
      <c r="D43" s="193">
        <v>2060</v>
      </c>
      <c r="E43" s="194" t="s">
        <v>214</v>
      </c>
      <c r="F43" s="195">
        <f>IF($B43="","",IF(SUMIFS(CONFIG_PALLETS!$C:$C,CONFIG_PALLETS!$A:$A,TRIM($B43),CONFIG_PALLETS!$B:$B,$C43&amp;" ml")&gt;0,SUMIFS(CONFIG_PALLETS!$C:$C,CONFIG_PALLETS!$A:$A,TRIM($B43),CONFIG_PALLETS!$B:$B,$C43&amp;" ml"),IF(SUMIFS(CONFIG_PALLETS!$C:$C,CONFIG_PALLETS!$A:$A,"GERAL",CONFIG_PALLETS!$B:$B,$C43&amp;" ml")&gt;0,SUMIFS(CONFIG_PALLETS!$C:$C,CONFIG_PALLETS!$A:$A,"GERAL",CONFIG_PALLETS!$B:$B,$C43&amp;" ml"),"")))</f>
        <v>125</v>
      </c>
      <c r="G43" s="196">
        <f t="shared" si="4"/>
        <v>17</v>
      </c>
      <c r="H43" s="197">
        <v>270</v>
      </c>
      <c r="I43" s="193">
        <f>IF(H43="","",H43*IF(SUMIFS(CONFIG_PALLETS!$D:$D,CONFIG_PALLETS!$A:$A,IF(ISNUMBER(SEARCH("ESPUMA",$B43)),"ESPUMA",IF(OR(ISNUMBER(SEARCH("OLEO DE COCO",$B43)),ISNUMBER(SEARCH("ÓLEO DE COCO",$B43)),ISNUMBER(SEARCH("COPRA",$B43))),"ÓLEO DE COCO",IF(ISNUMBER(SEARCH("CORANTE",$B43)),"CORANTE",TRIM($B43)))),CONFIG_PALLETS!$B:$B,$C43&amp;" ml")&gt;0,SUMIFS(CONFIG_PALLETS!$D:$D,CONFIG_PALLETS!$A:$A,IF(ISNUMBER(SEARCH("ESPUMA",$B43)),"ESPUMA",IF(OR(ISNUMBER(SEARCH("OLEO DE COCO",$B43)),ISNUMBER(SEARCH("ÓLEO DE COCO",$B43)),ISNUMBER(SEARCH("COPRA",$B43))),"ÓLEO DE COCO",IF(ISNUMBER(SEARCH("CORANTE",$B43)),"CORANTE",TRIM($B43)))),CONFIG_PALLETS!$B:$B,$C43&amp;" ml"),IF(SUMIFS(CONFIG_PALLETS!$D:$D,CONFIG_PALLETS!$A:$A,"GERAL",CONFIG_PALLETS!$B:$B,$C43&amp;" ml")&gt;0,SUMIFS(CONFIG_PALLETS!$D:$D,CONFIG_PALLETS!$A:$A,"GERAL",CONFIG_PALLETS!$B:$B,$C43&amp;" ml"),12)))</f>
        <v>3240</v>
      </c>
      <c r="J43" s="55"/>
      <c r="L43" s="56"/>
      <c r="N43" s="627"/>
      <c r="O43" s="627"/>
      <c r="P43" s="627"/>
      <c r="Q43" s="627"/>
    </row>
    <row r="44" spans="1:17" ht="21" customHeight="1" x14ac:dyDescent="0.3">
      <c r="A44" s="190"/>
      <c r="B44" s="191"/>
      <c r="C44" s="192"/>
      <c r="D44" s="193"/>
      <c r="E44" s="194" t="s">
        <v>214</v>
      </c>
      <c r="F44" s="195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196" t="str">
        <f t="shared" si="4"/>
        <v/>
      </c>
      <c r="H44" s="197"/>
      <c r="I44" s="193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  <c r="J44" s="68"/>
      <c r="K44" s="68"/>
      <c r="L44" s="94"/>
      <c r="M44" s="68"/>
      <c r="N44" s="95"/>
    </row>
    <row r="45" spans="1:17" ht="21" customHeight="1" x14ac:dyDescent="0.3">
      <c r="A45" s="190"/>
      <c r="B45" s="191"/>
      <c r="C45" s="192"/>
      <c r="D45" s="193"/>
      <c r="E45" s="194" t="s">
        <v>214</v>
      </c>
      <c r="F45" s="195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196" t="str">
        <f t="shared" si="4"/>
        <v/>
      </c>
      <c r="H45" s="197"/>
      <c r="I45" s="193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</row>
    <row r="46" spans="1:17" ht="15" customHeight="1" x14ac:dyDescent="0.3">
      <c r="A46" s="198"/>
      <c r="B46" s="199" t="s">
        <v>216</v>
      </c>
      <c r="C46" s="200"/>
      <c r="D46" s="201">
        <f>SUM(D39:D45)</f>
        <v>2733</v>
      </c>
      <c r="E46" s="202"/>
      <c r="F46" s="202"/>
      <c r="G46" s="203">
        <f>SUM(G39:G45)</f>
        <v>19</v>
      </c>
      <c r="H46" s="201">
        <f>SUM(H39:H45)</f>
        <v>945</v>
      </c>
      <c r="I46" s="201">
        <f>SUM(I39:I45)</f>
        <v>11340</v>
      </c>
      <c r="J46" s="36">
        <f>SUM(D40:D45)</f>
        <v>2733</v>
      </c>
      <c r="K46" s="36">
        <f>SUM(G40:G45)</f>
        <v>19</v>
      </c>
      <c r="L46" s="37">
        <f>SUM(H40:H45)</f>
        <v>945</v>
      </c>
      <c r="M46" s="36">
        <f>SUM(I40:I45)</f>
        <v>11340</v>
      </c>
      <c r="N46" s="37"/>
    </row>
    <row r="47" spans="1:17" ht="6" customHeight="1" x14ac:dyDescent="0.3">
      <c r="C47" s="72"/>
      <c r="J47" s="55"/>
      <c r="L47" s="56"/>
      <c r="N47" s="58"/>
    </row>
    <row r="48" spans="1:17" ht="15" customHeight="1" x14ac:dyDescent="0.3">
      <c r="A48" s="30">
        <v>46090</v>
      </c>
      <c r="B48" s="186" t="s">
        <v>78</v>
      </c>
      <c r="C48" s="187" t="s">
        <v>205</v>
      </c>
      <c r="D48" s="188" t="s">
        <v>206</v>
      </c>
      <c r="E48" s="188" t="s">
        <v>207</v>
      </c>
      <c r="F48" s="189" t="s">
        <v>208</v>
      </c>
      <c r="G48" s="188" t="s">
        <v>209</v>
      </c>
      <c r="H48" s="188" t="s">
        <v>210</v>
      </c>
      <c r="I48" s="188" t="s">
        <v>211</v>
      </c>
      <c r="J48" s="46"/>
      <c r="L48" s="44"/>
      <c r="M48" s="57"/>
      <c r="N48" s="45"/>
    </row>
    <row r="49" spans="1:17" ht="21" customHeight="1" x14ac:dyDescent="0.3">
      <c r="A49" s="190"/>
      <c r="B49" s="191" t="s">
        <v>62</v>
      </c>
      <c r="C49" s="192">
        <v>400</v>
      </c>
      <c r="D49" s="193">
        <v>2060</v>
      </c>
      <c r="E49" s="194" t="s">
        <v>214</v>
      </c>
      <c r="F49" s="195">
        <f>IF($B49="","",IF(SUMIFS(CONFIG_PALLETS!$C:$C,CONFIG_PALLETS!$A:$A,TRIM($B49),CONFIG_PALLETS!$B:$B,$C49&amp;" ml")&gt;0,SUMIFS(CONFIG_PALLETS!$C:$C,CONFIG_PALLETS!$A:$A,TRIM($B49),CONFIG_PALLETS!$B:$B,$C49&amp;" ml"),IF(SUMIFS(CONFIG_PALLETS!$C:$C,CONFIG_PALLETS!$A:$A,"GERAL",CONFIG_PALLETS!$B:$B,$C49&amp;" ml")&gt;0,SUMIFS(CONFIG_PALLETS!$C:$C,CONFIG_PALLETS!$A:$A,"GERAL",CONFIG_PALLETS!$B:$B,$C49&amp;" ml"),"")))</f>
        <v>125</v>
      </c>
      <c r="G49" s="196">
        <f t="shared" ref="G49:G54" si="5">IFERROR(ROUNDUP(D49/F49,0),"")</f>
        <v>17</v>
      </c>
      <c r="H49" s="197">
        <v>1278</v>
      </c>
      <c r="I49" s="193">
        <f>IF(H49="","",H49*IF(SUMIFS(CONFIG_PALLETS!$D:$D,CONFIG_PALLETS!$A:$A,IF(ISNUMBER(SEARCH("ESPUMA",$B49)),"ESPUMA",IF(OR(ISNUMBER(SEARCH("OLEO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ml")&gt;0,SUMIFS(CONFIG_PALLETS!$D:$D,CONFIG_PALLETS!$A:$A,IF(ISNUMBER(SEARCH("ESPUMA",$B49)),"ESPUMA",IF(OR(ISNUMBER(SEARCH("OLEO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ml"),IF(SUMIFS(CONFIG_PALLETS!$D:$D,CONFIG_PALLETS!$A:$A,"GERAL",CONFIG_PALLETS!$B:$B,$C49&amp;" ml")&gt;0,SUMIFS(CONFIG_PALLETS!$D:$D,CONFIG_PALLETS!$A:$A,"GERAL",CONFIG_PALLETS!$B:$B,$C49&amp;" ml"),12)))</f>
        <v>15336</v>
      </c>
      <c r="J49" s="55"/>
      <c r="L49" s="56"/>
      <c r="M49" s="57"/>
      <c r="N49" s="58"/>
    </row>
    <row r="50" spans="1:17" ht="21" customHeight="1" x14ac:dyDescent="0.3">
      <c r="A50" s="190"/>
      <c r="B50" s="191"/>
      <c r="C50" s="192"/>
      <c r="D50" s="193"/>
      <c r="E50" s="194" t="s">
        <v>214</v>
      </c>
      <c r="F50" s="195" t="str">
        <f>IF($B50="","",IF(SUMIFS(CONFIG_PALLETS!$C:$C,CONFIG_PALLETS!$A:$A,TRIM($B50),CONFIG_PALLETS!$B:$B,$C50&amp;" ml")&gt;0,SUMIFS(CONFIG_PALLETS!$C:$C,CONFIG_PALLETS!$A:$A,TRIM($B50),CONFIG_PALLETS!$B:$B,$C50&amp;" ml"),IF(SUMIFS(CONFIG_PALLETS!$C:$C,CONFIG_PALLETS!$A:$A,"GERAL",CONFIG_PALLETS!$B:$B,$C50&amp;" ml")&gt;0,SUMIFS(CONFIG_PALLETS!$C:$C,CONFIG_PALLETS!$A:$A,"GERAL",CONFIG_PALLETS!$B:$B,$C50&amp;" ml"),"")))</f>
        <v/>
      </c>
      <c r="G50" s="196" t="str">
        <f t="shared" si="5"/>
        <v/>
      </c>
      <c r="H50" s="197"/>
      <c r="I50" s="193" t="str">
        <f>IF(H50="","",H50*IF(SUMIFS(CONFIG_PALLETS!$D:$D,CONFIG_PALLETS!$A:$A,IF(ISNUMBER(SEARCH("ESPUMA",$B50)),"ESPUMA",IF(OR(ISNUMBER(SEARCH("OLEO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ml")&gt;0,SUMIFS(CONFIG_PALLETS!$D:$D,CONFIG_PALLETS!$A:$A,IF(ISNUMBER(SEARCH("ESPUMA",$B50)),"ESPUMA",IF(OR(ISNUMBER(SEARCH("OLEO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ml"),IF(SUMIFS(CONFIG_PALLETS!$D:$D,CONFIG_PALLETS!$A:$A,"GERAL",CONFIG_PALLETS!$B:$B,$C50&amp;" ml")&gt;0,SUMIFS(CONFIG_PALLETS!$D:$D,CONFIG_PALLETS!$A:$A,"GERAL",CONFIG_PALLETS!$B:$B,$C50&amp;" ml"),12)))</f>
        <v/>
      </c>
      <c r="J50" s="46"/>
      <c r="L50" s="44"/>
      <c r="N50" s="45"/>
    </row>
    <row r="51" spans="1:17" ht="21" customHeight="1" x14ac:dyDescent="0.3">
      <c r="A51" s="190"/>
      <c r="B51" s="191"/>
      <c r="C51" s="192"/>
      <c r="D51" s="193"/>
      <c r="E51" s="194" t="s">
        <v>214</v>
      </c>
      <c r="F51" s="195" t="str">
        <f>IF($B51="","",IF(SUMIFS(CONFIG_PALLETS!$C:$C,CONFIG_PALLETS!$A:$A,TRIM($B51),CONFIG_PALLETS!$B:$B,$C51&amp;" ml")&gt;0,SUMIFS(CONFIG_PALLETS!$C:$C,CONFIG_PALLETS!$A:$A,TRIM($B51),CONFIG_PALLETS!$B:$B,$C51&amp;" ml"),IF(SUMIFS(CONFIG_PALLETS!$C:$C,CONFIG_PALLETS!$A:$A,"GERAL",CONFIG_PALLETS!$B:$B,$C51&amp;" ml")&gt;0,SUMIFS(CONFIG_PALLETS!$C:$C,CONFIG_PALLETS!$A:$A,"GERAL",CONFIG_PALLETS!$B:$B,$C51&amp;" ml"),"")))</f>
        <v/>
      </c>
      <c r="G51" s="196" t="str">
        <f t="shared" si="5"/>
        <v/>
      </c>
      <c r="H51" s="197"/>
      <c r="I51" s="193" t="str">
        <f>IF(H51="","",H51*IF(SUMIFS(CONFIG_PALLETS!$D:$D,CONFIG_PALLETS!$A:$A,IF(ISNUMBER(SEARCH("ESPUMA",$B51)),"ESPUMA",IF(OR(ISNUMBER(SEARCH("OLEO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ml")&gt;0,SUMIFS(CONFIG_PALLETS!$D:$D,CONFIG_PALLETS!$A:$A,IF(ISNUMBER(SEARCH("ESPUMA",$B51)),"ESPUMA",IF(OR(ISNUMBER(SEARCH("OLEO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ml"),IF(SUMIFS(CONFIG_PALLETS!$D:$D,CONFIG_PALLETS!$A:$A,"GERAL",CONFIG_PALLETS!$B:$B,$C51&amp;" ml")&gt;0,SUMIFS(CONFIG_PALLETS!$D:$D,CONFIG_PALLETS!$A:$A,"GERAL",CONFIG_PALLETS!$B:$B,$C51&amp;" ml"),12)))</f>
        <v/>
      </c>
      <c r="J51" s="55"/>
      <c r="L51" s="56"/>
      <c r="N51" s="58"/>
    </row>
    <row r="52" spans="1:17" ht="21" customHeight="1" x14ac:dyDescent="0.3">
      <c r="A52" s="190"/>
      <c r="B52" s="191"/>
      <c r="C52" s="192"/>
      <c r="D52" s="193"/>
      <c r="E52" s="194" t="s">
        <v>214</v>
      </c>
      <c r="F52" s="195" t="str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196" t="str">
        <f t="shared" si="5"/>
        <v/>
      </c>
      <c r="H52" s="197"/>
      <c r="I52" s="193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  <c r="J52" s="46"/>
      <c r="L52" s="44"/>
      <c r="N52" s="45"/>
    </row>
    <row r="53" spans="1:17" ht="21" customHeight="1" x14ac:dyDescent="0.3">
      <c r="A53" s="190"/>
      <c r="B53" s="191"/>
      <c r="C53" s="192"/>
      <c r="D53" s="193"/>
      <c r="E53" s="194" t="s">
        <v>214</v>
      </c>
      <c r="F53" s="195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196" t="str">
        <f t="shared" si="5"/>
        <v/>
      </c>
      <c r="H53" s="197"/>
      <c r="I53" s="193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  <c r="J53" s="68"/>
      <c r="K53" s="68"/>
      <c r="L53" s="94"/>
      <c r="M53" s="68"/>
      <c r="N53" s="95"/>
    </row>
    <row r="54" spans="1:17" ht="21" customHeight="1" x14ac:dyDescent="0.3">
      <c r="A54" s="190"/>
      <c r="B54" s="191"/>
      <c r="C54" s="192"/>
      <c r="D54" s="193"/>
      <c r="E54" s="194" t="s">
        <v>214</v>
      </c>
      <c r="F54" s="195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196" t="str">
        <f t="shared" si="5"/>
        <v/>
      </c>
      <c r="H54" s="197"/>
      <c r="I54" s="193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</row>
    <row r="55" spans="1:17" ht="15" customHeight="1" x14ac:dyDescent="0.3">
      <c r="A55" s="198"/>
      <c r="B55" s="199" t="s">
        <v>216</v>
      </c>
      <c r="C55" s="200"/>
      <c r="D55" s="201">
        <f>SUM(D48:D54)</f>
        <v>2060</v>
      </c>
      <c r="E55" s="202"/>
      <c r="F55" s="202"/>
      <c r="G55" s="203">
        <f>SUM(G48:G54)</f>
        <v>17</v>
      </c>
      <c r="H55" s="201">
        <f>SUM(H48:H54)</f>
        <v>1278</v>
      </c>
      <c r="I55" s="201">
        <f>SUM(I48:I54)</f>
        <v>15336</v>
      </c>
      <c r="J55" s="36">
        <f>SUM(D49:D54)</f>
        <v>2060</v>
      </c>
      <c r="K55" s="36">
        <f>SUM(G49:G54)</f>
        <v>17</v>
      </c>
      <c r="L55" s="37">
        <f>SUM(H49:H54)</f>
        <v>1278</v>
      </c>
      <c r="M55" s="36">
        <f>SUM(I49:I54)</f>
        <v>15336</v>
      </c>
      <c r="N55" s="37"/>
    </row>
    <row r="56" spans="1:17" ht="6" customHeight="1" x14ac:dyDescent="0.3">
      <c r="C56" s="72"/>
      <c r="J56" s="46"/>
      <c r="L56" s="44"/>
      <c r="N56" s="45"/>
      <c r="P56" s="73"/>
      <c r="Q56" s="36"/>
    </row>
    <row r="57" spans="1:17" ht="15" customHeight="1" x14ac:dyDescent="0.3">
      <c r="A57" s="30">
        <v>46091</v>
      </c>
      <c r="B57" s="186" t="s">
        <v>78</v>
      </c>
      <c r="C57" s="187" t="s">
        <v>205</v>
      </c>
      <c r="D57" s="188" t="s">
        <v>206</v>
      </c>
      <c r="E57" s="188" t="s">
        <v>207</v>
      </c>
      <c r="F57" s="189" t="s">
        <v>208</v>
      </c>
      <c r="G57" s="188" t="s">
        <v>209</v>
      </c>
      <c r="H57" s="188" t="s">
        <v>210</v>
      </c>
      <c r="I57" s="188" t="s">
        <v>211</v>
      </c>
      <c r="J57" s="55"/>
      <c r="L57" s="56"/>
      <c r="M57" s="57"/>
      <c r="N57" s="58"/>
      <c r="P57" s="90"/>
    </row>
    <row r="58" spans="1:17" ht="21" customHeight="1" x14ac:dyDescent="0.3">
      <c r="A58" s="190"/>
      <c r="B58" s="191" t="s">
        <v>62</v>
      </c>
      <c r="C58" s="192">
        <v>400</v>
      </c>
      <c r="D58" s="193">
        <v>526</v>
      </c>
      <c r="E58" s="194" t="s">
        <v>214</v>
      </c>
      <c r="F58" s="195">
        <f>IF($B58="","",IF(SUMIFS(CONFIG_PALLETS!$C:$C,CONFIG_PALLETS!$A:$A,TRIM($B58),CONFIG_PALLETS!$B:$B,$C58&amp;" ml")&gt;0,SUMIFS(CONFIG_PALLETS!$C:$C,CONFIG_PALLETS!$A:$A,TRIM($B58),CONFIG_PALLETS!$B:$B,$C58&amp;" ml"),IF(SUMIFS(CONFIG_PALLETS!$C:$C,CONFIG_PALLETS!$A:$A,"GERAL",CONFIG_PALLETS!$B:$B,$C58&amp;" ml")&gt;0,SUMIFS(CONFIG_PALLETS!$C:$C,CONFIG_PALLETS!$A:$A,"GERAL",CONFIG_PALLETS!$B:$B,$C58&amp;" ml"),"")))</f>
        <v>125</v>
      </c>
      <c r="G58" s="196">
        <f t="shared" ref="G58:G63" si="6">IFERROR(ROUNDUP(D58/F58,0),"")</f>
        <v>5</v>
      </c>
      <c r="H58" s="197">
        <v>526</v>
      </c>
      <c r="I58" s="193">
        <f>IF(H58="","",H58*IF(SUMIFS(CONFIG_PALLETS!$D:$D,CONFIG_PALLETS!$A:$A,IF(ISNUMBER(SEARCH("ESPUMA",$B58)),"ESPUMA",IF(OR(ISNUMBER(SEARCH("OLEO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ml")&gt;0,SUMIFS(CONFIG_PALLETS!$D:$D,CONFIG_PALLETS!$A:$A,IF(ISNUMBER(SEARCH("ESPUMA",$B58)),"ESPUMA",IF(OR(ISNUMBER(SEARCH("OLEO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ml"),IF(SUMIFS(CONFIG_PALLETS!$D:$D,CONFIG_PALLETS!$A:$A,"GERAL",CONFIG_PALLETS!$B:$B,$C58&amp;" ml")&gt;0,SUMIFS(CONFIG_PALLETS!$D:$D,CONFIG_PALLETS!$A:$A,"GERAL",CONFIG_PALLETS!$B:$B,$C58&amp;" ml"),12)))</f>
        <v>6312</v>
      </c>
      <c r="J58" s="46"/>
      <c r="L58" s="44"/>
      <c r="M58" s="57"/>
      <c r="N58" s="627" t="s">
        <v>445</v>
      </c>
      <c r="O58" s="627"/>
      <c r="P58" s="627"/>
      <c r="Q58" s="627"/>
    </row>
    <row r="59" spans="1:17" ht="21" customHeight="1" x14ac:dyDescent="0.3">
      <c r="A59" s="190"/>
      <c r="B59" s="191" t="s">
        <v>446</v>
      </c>
      <c r="C59" s="192">
        <v>400</v>
      </c>
      <c r="D59" s="193">
        <v>251</v>
      </c>
      <c r="E59" s="194" t="s">
        <v>214</v>
      </c>
      <c r="F59" s="195">
        <f>IF($B59="","",IF(SUMIFS(CONFIG_PALLETS!$C:$C,CONFIG_PALLETS!$A:$A,TRIM($B59),CONFIG_PALLETS!$B:$B,$C59&amp;" ml")&gt;0,SUMIFS(CONFIG_PALLETS!$C:$C,CONFIG_PALLETS!$A:$A,TRIM($B59),CONFIG_PALLETS!$B:$B,$C59&amp;" ml"),IF(SUMIFS(CONFIG_PALLETS!$C:$C,CONFIG_PALLETS!$A:$A,"GERAL",CONFIG_PALLETS!$B:$B,$C59&amp;" ml")&gt;0,SUMIFS(CONFIG_PALLETS!$C:$C,CONFIG_PALLETS!$A:$A,"GERAL",CONFIG_PALLETS!$B:$B,$C59&amp;" ml"),"")))</f>
        <v>125</v>
      </c>
      <c r="G59" s="196">
        <f t="shared" si="6"/>
        <v>3</v>
      </c>
      <c r="H59" s="197">
        <v>251</v>
      </c>
      <c r="I59" s="193">
        <f>IF(H59="","",H59*IF(SUMIFS(CONFIG_PALLETS!$D:$D,CONFIG_PALLETS!$A:$A,IF(ISNUMBER(SEARCH("ESPUMA",$B59)),"ESPUMA",IF(OR(ISNUMBER(SEARCH("OLEO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ml")&gt;0,SUMIFS(CONFIG_PALLETS!$D:$D,CONFIG_PALLETS!$A:$A,IF(ISNUMBER(SEARCH("ESPUMA",$B59)),"ESPUMA",IF(OR(ISNUMBER(SEARCH("OLEO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ml"),IF(SUMIFS(CONFIG_PALLETS!$D:$D,CONFIG_PALLETS!$A:$A,"GERAL",CONFIG_PALLETS!$B:$B,$C59&amp;" ml")&gt;0,SUMIFS(CONFIG_PALLETS!$D:$D,CONFIG_PALLETS!$A:$A,"GERAL",CONFIG_PALLETS!$B:$B,$C59&amp;" ml"),12)))</f>
        <v>3012</v>
      </c>
      <c r="J59" s="55"/>
      <c r="L59" s="56"/>
      <c r="N59" s="627"/>
      <c r="O59" s="627"/>
      <c r="P59" s="627"/>
      <c r="Q59" s="627"/>
    </row>
    <row r="60" spans="1:17" ht="21" customHeight="1" x14ac:dyDescent="0.3">
      <c r="A60" s="190"/>
      <c r="B60" s="191" t="s">
        <v>447</v>
      </c>
      <c r="C60" s="192">
        <v>400</v>
      </c>
      <c r="D60" s="193">
        <v>252</v>
      </c>
      <c r="E60" s="194" t="s">
        <v>214</v>
      </c>
      <c r="F60" s="195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>125</v>
      </c>
      <c r="G60" s="196">
        <f t="shared" si="6"/>
        <v>3</v>
      </c>
      <c r="H60" s="197">
        <v>252</v>
      </c>
      <c r="I60" s="193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>3024</v>
      </c>
      <c r="J60" s="46"/>
      <c r="L60" s="44"/>
      <c r="N60" s="627"/>
      <c r="O60" s="627"/>
      <c r="P60" s="627"/>
      <c r="Q60" s="627"/>
    </row>
    <row r="61" spans="1:17" ht="21" customHeight="1" x14ac:dyDescent="0.3">
      <c r="A61" s="190"/>
      <c r="B61" s="191" t="s">
        <v>64</v>
      </c>
      <c r="C61" s="192">
        <v>400</v>
      </c>
      <c r="D61" s="193">
        <v>1575</v>
      </c>
      <c r="E61" s="194" t="s">
        <v>214</v>
      </c>
      <c r="F61" s="195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>125</v>
      </c>
      <c r="G61" s="196">
        <f t="shared" si="6"/>
        <v>13</v>
      </c>
      <c r="H61" s="197">
        <v>69</v>
      </c>
      <c r="I61" s="193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>828</v>
      </c>
      <c r="J61" s="67"/>
      <c r="K61" s="68"/>
      <c r="L61" s="69"/>
      <c r="M61" s="68"/>
      <c r="N61" s="627"/>
      <c r="O61" s="627"/>
      <c r="P61" s="627"/>
      <c r="Q61" s="627"/>
    </row>
    <row r="62" spans="1:17" ht="21" customHeight="1" x14ac:dyDescent="0.3">
      <c r="A62" s="190"/>
      <c r="B62" s="191"/>
      <c r="C62" s="192"/>
      <c r="D62" s="193"/>
      <c r="E62" s="194" t="s">
        <v>214</v>
      </c>
      <c r="F62" s="195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196" t="str">
        <f t="shared" si="6"/>
        <v/>
      </c>
      <c r="H62" s="197"/>
      <c r="I62" s="193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7" ht="21" customHeight="1" x14ac:dyDescent="0.3">
      <c r="A63" s="190"/>
      <c r="B63" s="191"/>
      <c r="C63" s="192"/>
      <c r="D63" s="193"/>
      <c r="E63" s="194" t="s">
        <v>214</v>
      </c>
      <c r="F63" s="195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196" t="str">
        <f t="shared" si="6"/>
        <v/>
      </c>
      <c r="H63" s="197"/>
      <c r="I63" s="193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  <c r="J63" s="36"/>
      <c r="K63" s="36"/>
      <c r="L63" s="37"/>
      <c r="M63" s="36"/>
      <c r="N63" s="37"/>
    </row>
    <row r="64" spans="1:17" ht="15" customHeight="1" x14ac:dyDescent="0.3">
      <c r="A64" s="198"/>
      <c r="B64" s="199" t="s">
        <v>216</v>
      </c>
      <c r="C64" s="200"/>
      <c r="D64" s="201">
        <f>SUM(D57:D63)</f>
        <v>2604</v>
      </c>
      <c r="E64" s="202"/>
      <c r="F64" s="202"/>
      <c r="G64" s="203">
        <f>SUM(G57:G63)</f>
        <v>24</v>
      </c>
      <c r="H64" s="201">
        <f>SUM(H57:H63)</f>
        <v>1098</v>
      </c>
      <c r="I64" s="201">
        <f>SUM(I57:I63)</f>
        <v>13176</v>
      </c>
      <c r="J64" s="46">
        <f>SUM(D58:D63)</f>
        <v>2604</v>
      </c>
      <c r="K64">
        <f>SUM(G58:G63)</f>
        <v>24</v>
      </c>
      <c r="L64" s="44">
        <f>SUM(H58:H63)</f>
        <v>1098</v>
      </c>
      <c r="M64">
        <f>SUM(I58:I63)</f>
        <v>13176</v>
      </c>
      <c r="N64" s="45"/>
      <c r="P64" s="73"/>
      <c r="Q64" s="36"/>
    </row>
    <row r="65" spans="1:17" ht="6" customHeight="1" x14ac:dyDescent="0.3">
      <c r="C65" s="72"/>
      <c r="J65" s="55"/>
      <c r="L65" s="56"/>
      <c r="M65" s="57"/>
      <c r="N65" s="58"/>
      <c r="P65" s="90"/>
    </row>
    <row r="66" spans="1:17" ht="15" customHeight="1" x14ac:dyDescent="0.3">
      <c r="A66" s="30">
        <v>46092</v>
      </c>
      <c r="B66" s="186" t="s">
        <v>78</v>
      </c>
      <c r="C66" s="187" t="s">
        <v>205</v>
      </c>
      <c r="D66" s="188" t="s">
        <v>206</v>
      </c>
      <c r="E66" s="188" t="s">
        <v>207</v>
      </c>
      <c r="F66" s="189" t="s">
        <v>208</v>
      </c>
      <c r="G66" s="188" t="s">
        <v>209</v>
      </c>
      <c r="H66" s="188" t="s">
        <v>210</v>
      </c>
      <c r="I66" s="188" t="s">
        <v>211</v>
      </c>
      <c r="J66" s="46"/>
      <c r="L66" s="44"/>
      <c r="M66" s="57"/>
      <c r="N66" s="45"/>
      <c r="P66" s="74"/>
      <c r="Q66" s="68"/>
    </row>
    <row r="67" spans="1:17" ht="21" customHeight="1" x14ac:dyDescent="0.3">
      <c r="A67" s="190"/>
      <c r="B67" s="191" t="s">
        <v>64</v>
      </c>
      <c r="C67" s="192">
        <v>400</v>
      </c>
      <c r="D67" s="193">
        <f>D60-J60</f>
        <v>252</v>
      </c>
      <c r="E67" s="194" t="s">
        <v>214</v>
      </c>
      <c r="F67" s="195">
        <f>IF($B67="","",IF(SUMIFS(CONFIG_PALLETS!$C:$C,CONFIG_PALLETS!$A:$A,TRIM($B67),CONFIG_PALLETS!$B:$B,$C67&amp;" ml")&gt;0,SUMIFS(CONFIG_PALLETS!$C:$C,CONFIG_PALLETS!$A:$A,TRIM($B67),CONFIG_PALLETS!$B:$B,$C67&amp;" ml"),IF(SUMIFS(CONFIG_PALLETS!$C:$C,CONFIG_PALLETS!$A:$A,"GERAL",CONFIG_PALLETS!$B:$B,$C67&amp;" ml")&gt;0,SUMIFS(CONFIG_PALLETS!$C:$C,CONFIG_PALLETS!$A:$A,"GERAL",CONFIG_PALLETS!$B:$B,$C67&amp;" ml"),"")))</f>
        <v>125</v>
      </c>
      <c r="G67" s="196">
        <f t="shared" ref="G67:G72" si="7">IFERROR(ROUNDUP(D67/F67,0),"")</f>
        <v>3</v>
      </c>
      <c r="H67" s="197">
        <v>1144</v>
      </c>
      <c r="I67" s="193">
        <f>IF(H67="","",H67*IF(SUMIFS(CONFIG_PALLETS!$D:$D,CONFIG_PALLETS!$A:$A,IF(ISNUMBER(SEARCH("ESPUMA",$B67)),"ESPUMA",IF(OR(ISNUMBER(SEARCH("OLEO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ml")&gt;0,SUMIFS(CONFIG_PALLETS!$D:$D,CONFIG_PALLETS!$A:$A,IF(ISNUMBER(SEARCH("ESPUMA",$B67)),"ESPUMA",IF(OR(ISNUMBER(SEARCH("OLEO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ml"),IF(SUMIFS(CONFIG_PALLETS!$D:$D,CONFIG_PALLETS!$A:$A,"GERAL",CONFIG_PALLETS!$B:$B,$C67&amp;" ml")&gt;0,SUMIFS(CONFIG_PALLETS!$D:$D,CONFIG_PALLETS!$A:$A,"GERAL",CONFIG_PALLETS!$B:$B,$C67&amp;" ml"),12)))</f>
        <v>13728</v>
      </c>
      <c r="J67" s="55"/>
      <c r="L67" s="56"/>
      <c r="N67" s="58"/>
    </row>
    <row r="68" spans="1:17" ht="21" customHeight="1" x14ac:dyDescent="0.3">
      <c r="A68" s="190"/>
      <c r="B68" s="191"/>
      <c r="C68" s="192"/>
      <c r="D68" s="193"/>
      <c r="E68" s="194" t="s">
        <v>214</v>
      </c>
      <c r="F68" s="195" t="str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196" t="str">
        <f t="shared" si="7"/>
        <v/>
      </c>
      <c r="H68" s="197"/>
      <c r="I68" s="193" t="str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  <c r="J68" s="46"/>
      <c r="L68" s="44"/>
      <c r="N68" s="45"/>
    </row>
    <row r="69" spans="1:17" ht="21" customHeight="1" x14ac:dyDescent="0.3">
      <c r="A69" s="190"/>
      <c r="B69" s="191"/>
      <c r="C69" s="192"/>
      <c r="D69" s="193"/>
      <c r="E69" s="194" t="s">
        <v>214</v>
      </c>
      <c r="F69" s="195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196" t="str">
        <f t="shared" si="7"/>
        <v/>
      </c>
      <c r="H69" s="197"/>
      <c r="I69" s="193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  <c r="J69" s="67"/>
      <c r="K69" s="68"/>
      <c r="L69" s="69"/>
      <c r="M69" s="68"/>
      <c r="N69" s="70"/>
    </row>
    <row r="70" spans="1:17" ht="21" customHeight="1" x14ac:dyDescent="0.3">
      <c r="A70" s="190"/>
      <c r="B70" s="191"/>
      <c r="C70" s="192"/>
      <c r="D70" s="193"/>
      <c r="E70" s="194" t="s">
        <v>214</v>
      </c>
      <c r="F70" s="195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196" t="str">
        <f t="shared" si="7"/>
        <v/>
      </c>
      <c r="H70" s="197"/>
      <c r="I70" s="193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</row>
    <row r="71" spans="1:17" ht="21" customHeight="1" x14ac:dyDescent="0.3">
      <c r="A71" s="190"/>
      <c r="B71" s="191"/>
      <c r="C71" s="192"/>
      <c r="D71" s="193"/>
      <c r="E71" s="194" t="s">
        <v>214</v>
      </c>
      <c r="F71" s="195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196" t="str">
        <f t="shared" si="7"/>
        <v/>
      </c>
      <c r="H71" s="197"/>
      <c r="I71" s="193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  <c r="J71" s="36"/>
      <c r="K71" s="36"/>
      <c r="L71" s="37"/>
      <c r="M71" s="36"/>
      <c r="N71" s="37"/>
    </row>
    <row r="72" spans="1:17" ht="21" customHeight="1" x14ac:dyDescent="0.3">
      <c r="A72" s="190"/>
      <c r="B72" s="191"/>
      <c r="C72" s="192"/>
      <c r="D72" s="193"/>
      <c r="E72" s="194" t="s">
        <v>214</v>
      </c>
      <c r="F72" s="195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196" t="str">
        <f t="shared" si="7"/>
        <v/>
      </c>
      <c r="H72" s="197"/>
      <c r="I72" s="193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  <c r="J72" s="46"/>
      <c r="L72" s="44"/>
      <c r="N72" s="45"/>
    </row>
    <row r="73" spans="1:17" ht="15" customHeight="1" x14ac:dyDescent="0.3">
      <c r="A73" s="198"/>
      <c r="B73" s="199" t="s">
        <v>216</v>
      </c>
      <c r="C73" s="200"/>
      <c r="D73" s="201">
        <f>SUM(D66:D72)</f>
        <v>252</v>
      </c>
      <c r="E73" s="202"/>
      <c r="F73" s="202"/>
      <c r="G73" s="203">
        <f>SUM(G66:G72)</f>
        <v>3</v>
      </c>
      <c r="H73" s="201">
        <f>SUM(H66:H72)</f>
        <v>1144</v>
      </c>
      <c r="I73" s="201">
        <f>SUM(I66:I72)</f>
        <v>13728</v>
      </c>
      <c r="J73" s="55">
        <f>SUM(D67:D72)</f>
        <v>252</v>
      </c>
      <c r="K73">
        <f>SUM(G67:G72)</f>
        <v>3</v>
      </c>
      <c r="L73" s="56">
        <f>SUM(H67:H72)</f>
        <v>1144</v>
      </c>
      <c r="M73" s="57">
        <f>SUM(I67:I72)</f>
        <v>13728</v>
      </c>
      <c r="N73" s="58"/>
    </row>
    <row r="74" spans="1:17" ht="6" customHeight="1" x14ac:dyDescent="0.3">
      <c r="C74" s="72"/>
      <c r="J74" s="46"/>
      <c r="L74" s="44"/>
      <c r="M74" s="57"/>
      <c r="N74" s="45"/>
    </row>
    <row r="75" spans="1:17" ht="15" customHeight="1" x14ac:dyDescent="0.3">
      <c r="A75" s="30">
        <v>46093</v>
      </c>
      <c r="B75" s="186" t="s">
        <v>78</v>
      </c>
      <c r="C75" s="187" t="s">
        <v>205</v>
      </c>
      <c r="D75" s="188" t="s">
        <v>206</v>
      </c>
      <c r="E75" s="188" t="s">
        <v>207</v>
      </c>
      <c r="F75" s="189" t="s">
        <v>208</v>
      </c>
      <c r="G75" s="188" t="s">
        <v>209</v>
      </c>
      <c r="H75" s="188" t="s">
        <v>210</v>
      </c>
      <c r="I75" s="188" t="s">
        <v>211</v>
      </c>
      <c r="J75" s="55"/>
      <c r="L75" s="56"/>
      <c r="N75" s="58"/>
    </row>
    <row r="76" spans="1:17" ht="21" customHeight="1" x14ac:dyDescent="0.3">
      <c r="A76" s="190"/>
      <c r="B76" s="191" t="s">
        <v>64</v>
      </c>
      <c r="C76" s="192">
        <v>400</v>
      </c>
      <c r="D76" s="193">
        <f>D67-J67</f>
        <v>252</v>
      </c>
      <c r="E76" s="194" t="s">
        <v>214</v>
      </c>
      <c r="F76" s="195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>125</v>
      </c>
      <c r="G76" s="196">
        <f t="shared" ref="G76:G81" si="8">IFERROR(ROUNDUP(D76/F76,0),"")</f>
        <v>3</v>
      </c>
      <c r="H76" s="197">
        <v>362</v>
      </c>
      <c r="I76" s="193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>4344</v>
      </c>
      <c r="J76" s="46"/>
      <c r="L76" s="44"/>
      <c r="N76" s="627" t="s">
        <v>448</v>
      </c>
      <c r="O76" s="627"/>
      <c r="P76" s="627"/>
      <c r="Q76" s="627"/>
    </row>
    <row r="77" spans="1:17" ht="21" customHeight="1" x14ac:dyDescent="0.3">
      <c r="A77" s="190"/>
      <c r="B77" s="191" t="s">
        <v>229</v>
      </c>
      <c r="C77" s="192">
        <v>400</v>
      </c>
      <c r="D77" s="193">
        <v>3500</v>
      </c>
      <c r="E77" s="194" t="s">
        <v>214</v>
      </c>
      <c r="F77" s="195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>125</v>
      </c>
      <c r="G77" s="196">
        <f t="shared" si="8"/>
        <v>28</v>
      </c>
      <c r="H77" s="197">
        <v>463</v>
      </c>
      <c r="I77" s="193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>5556</v>
      </c>
      <c r="J77" s="67"/>
      <c r="K77" s="68"/>
      <c r="L77" s="69"/>
      <c r="M77" s="68"/>
      <c r="N77" s="627"/>
      <c r="O77" s="627"/>
      <c r="P77" s="627"/>
      <c r="Q77" s="627"/>
    </row>
    <row r="78" spans="1:17" ht="21" customHeight="1" x14ac:dyDescent="0.3">
      <c r="A78" s="190"/>
      <c r="B78" s="191"/>
      <c r="C78" s="192"/>
      <c r="D78" s="193"/>
      <c r="E78" s="194" t="s">
        <v>214</v>
      </c>
      <c r="F78" s="195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196" t="str">
        <f t="shared" si="8"/>
        <v/>
      </c>
      <c r="H78" s="197"/>
      <c r="I78" s="193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  <c r="N78" s="627"/>
      <c r="O78" s="627"/>
      <c r="P78" s="627"/>
      <c r="Q78" s="627"/>
    </row>
    <row r="79" spans="1:17" ht="21" customHeight="1" x14ac:dyDescent="0.3">
      <c r="A79" s="190"/>
      <c r="B79" s="191"/>
      <c r="C79" s="192"/>
      <c r="D79" s="193"/>
      <c r="E79" s="194" t="s">
        <v>214</v>
      </c>
      <c r="F79" s="195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196" t="str">
        <f t="shared" si="8"/>
        <v/>
      </c>
      <c r="H79" s="197"/>
      <c r="I79" s="193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  <c r="J79" s="36"/>
      <c r="K79" s="36"/>
      <c r="L79" s="37"/>
      <c r="M79" s="36"/>
      <c r="N79" s="627"/>
      <c r="O79" s="627"/>
      <c r="P79" s="627"/>
      <c r="Q79" s="627"/>
    </row>
    <row r="80" spans="1:17" ht="21" customHeight="1" x14ac:dyDescent="0.3">
      <c r="A80" s="190"/>
      <c r="B80" s="191"/>
      <c r="C80" s="192"/>
      <c r="D80" s="193"/>
      <c r="E80" s="194" t="s">
        <v>214</v>
      </c>
      <c r="F80" s="195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196" t="str">
        <f t="shared" si="8"/>
        <v/>
      </c>
      <c r="H80" s="197"/>
      <c r="I80" s="193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  <c r="J80" s="46"/>
      <c r="L80" s="44"/>
    </row>
    <row r="81" spans="1:17" ht="21" customHeight="1" x14ac:dyDescent="0.3">
      <c r="A81" s="190"/>
      <c r="B81" s="191"/>
      <c r="C81" s="192"/>
      <c r="D81" s="193"/>
      <c r="E81" s="194" t="s">
        <v>214</v>
      </c>
      <c r="F81" s="195" t="str">
        <f>IF($B81="","",IF(SUMIFS(CONFIG_PALLETS!$C:$C,CONFIG_PALLETS!$A:$A,TRIM($B81),CONFIG_PALLETS!$B:$B,$C81&amp;" ml")&gt;0,SUMIFS(CONFIG_PALLETS!$C:$C,CONFIG_PALLETS!$A:$A,TRIM($B81),CONFIG_PALLETS!$B:$B,$C81&amp;" ml"),IF(SUMIFS(CONFIG_PALLETS!$C:$C,CONFIG_PALLETS!$A:$A,"GERAL",CONFIG_PALLETS!$B:$B,$C81&amp;" ml")&gt;0,SUMIFS(CONFIG_PALLETS!$C:$C,CONFIG_PALLETS!$A:$A,"GERAL",CONFIG_PALLETS!$B:$B,$C81&amp;" ml"),"")))</f>
        <v/>
      </c>
      <c r="G81" s="196" t="str">
        <f t="shared" si="8"/>
        <v/>
      </c>
      <c r="H81" s="197"/>
      <c r="I81" s="193" t="str">
        <f>IF(H81="","",H81*IF(SUMIFS(CONFIG_PALLETS!$D:$D,CONFIG_PALLETS!$A:$A,IF(ISNUMBER(SEARCH("ESPUMA",$B81)),"ESPUMA",IF(OR(ISNUMBER(SEARCH("OLEO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ml")&gt;0,SUMIFS(CONFIG_PALLETS!$D:$D,CONFIG_PALLETS!$A:$A,IF(ISNUMBER(SEARCH("ESPUMA",$B81)),"ESPUMA",IF(OR(ISNUMBER(SEARCH("OLEO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ml"),IF(SUMIFS(CONFIG_PALLETS!$D:$D,CONFIG_PALLETS!$A:$A,"GERAL",CONFIG_PALLETS!$B:$B,$C81&amp;" ml")&gt;0,SUMIFS(CONFIG_PALLETS!$D:$D,CONFIG_PALLETS!$A:$A,"GERAL",CONFIG_PALLETS!$B:$B,$C81&amp;" ml"),12)))</f>
        <v/>
      </c>
      <c r="J81" s="55"/>
      <c r="L81" s="56"/>
      <c r="M81" s="57"/>
    </row>
    <row r="82" spans="1:17" ht="15" customHeight="1" x14ac:dyDescent="0.3">
      <c r="A82" s="198"/>
      <c r="B82" s="199" t="s">
        <v>216</v>
      </c>
      <c r="C82" s="200"/>
      <c r="D82" s="201">
        <f>SUM(D75:D81)</f>
        <v>3752</v>
      </c>
      <c r="E82" s="202"/>
      <c r="F82" s="202"/>
      <c r="G82" s="203">
        <f>SUM(G75:G81)</f>
        <v>31</v>
      </c>
      <c r="H82" s="201">
        <f>SUM(H75:H81)</f>
        <v>825</v>
      </c>
      <c r="I82" s="201">
        <f>SUM(I75:I81)</f>
        <v>9900</v>
      </c>
      <c r="J82" s="46">
        <f>SUM(D76:D81)</f>
        <v>3752</v>
      </c>
      <c r="K82">
        <f>SUM(G76:G81)</f>
        <v>31</v>
      </c>
      <c r="L82" s="44">
        <f>SUM(H76:H81)</f>
        <v>825</v>
      </c>
      <c r="M82" s="57">
        <f>SUM(I76:I81)</f>
        <v>9900</v>
      </c>
      <c r="N82" s="45"/>
      <c r="P82" s="90"/>
    </row>
    <row r="83" spans="1:17" ht="6" customHeight="1" x14ac:dyDescent="0.3">
      <c r="C83" s="72"/>
      <c r="J83" s="55"/>
      <c r="L83" s="56"/>
      <c r="N83" s="58"/>
      <c r="P83" s="74"/>
      <c r="Q83" s="68"/>
    </row>
    <row r="84" spans="1:17" ht="15" customHeight="1" x14ac:dyDescent="0.3">
      <c r="A84" s="30">
        <v>46094</v>
      </c>
      <c r="B84" s="186" t="s">
        <v>78</v>
      </c>
      <c r="C84" s="187" t="s">
        <v>205</v>
      </c>
      <c r="D84" s="188" t="s">
        <v>206</v>
      </c>
      <c r="E84" s="188" t="s">
        <v>207</v>
      </c>
      <c r="F84" s="189" t="s">
        <v>208</v>
      </c>
      <c r="G84" s="188" t="s">
        <v>209</v>
      </c>
      <c r="H84" s="188" t="s">
        <v>210</v>
      </c>
      <c r="I84" s="188" t="s">
        <v>211</v>
      </c>
      <c r="J84" s="46"/>
      <c r="L84" s="44"/>
      <c r="N84" s="45"/>
    </row>
    <row r="85" spans="1:17" ht="21" customHeight="1" x14ac:dyDescent="0.3">
      <c r="A85" s="190"/>
      <c r="B85" s="191" t="s">
        <v>229</v>
      </c>
      <c r="C85" s="192">
        <v>400</v>
      </c>
      <c r="D85" s="193">
        <f>D77-J77</f>
        <v>3500</v>
      </c>
      <c r="E85" s="194" t="s">
        <v>214</v>
      </c>
      <c r="F85" s="195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>125</v>
      </c>
      <c r="G85" s="196">
        <f t="shared" ref="G85:G90" si="9">IFERROR(ROUNDUP(D85/F85,0),"")</f>
        <v>28</v>
      </c>
      <c r="H85" s="197">
        <v>1121</v>
      </c>
      <c r="I85" s="193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>13452</v>
      </c>
      <c r="J85" s="55"/>
      <c r="L85" s="56"/>
      <c r="N85" s="58"/>
    </row>
    <row r="86" spans="1:17" ht="21" customHeight="1" x14ac:dyDescent="0.3">
      <c r="A86" s="190"/>
      <c r="B86" s="191"/>
      <c r="C86" s="192"/>
      <c r="D86" s="193"/>
      <c r="E86" s="194" t="s">
        <v>214</v>
      </c>
      <c r="F86" s="195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196" t="str">
        <f t="shared" si="9"/>
        <v/>
      </c>
      <c r="H86" s="197"/>
      <c r="I86" s="193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  <c r="L86" s="57"/>
      <c r="N86" s="91"/>
    </row>
    <row r="87" spans="1:17" ht="21" customHeight="1" x14ac:dyDescent="0.3">
      <c r="A87" s="190"/>
      <c r="B87" s="191"/>
      <c r="C87" s="192"/>
      <c r="D87" s="193"/>
      <c r="E87" s="194" t="s">
        <v>214</v>
      </c>
      <c r="F87" s="195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196" t="str">
        <f t="shared" si="9"/>
        <v/>
      </c>
      <c r="H87" s="197"/>
      <c r="I87" s="193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  <c r="L87" s="57"/>
      <c r="N87" s="91"/>
    </row>
    <row r="88" spans="1:17" ht="21" customHeight="1" x14ac:dyDescent="0.3">
      <c r="A88" s="190"/>
      <c r="B88" s="191"/>
      <c r="C88" s="192"/>
      <c r="D88" s="193"/>
      <c r="E88" s="194" t="s">
        <v>214</v>
      </c>
      <c r="F88" s="195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196" t="str">
        <f t="shared" si="9"/>
        <v/>
      </c>
      <c r="H88" s="197"/>
      <c r="I88" s="193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  <c r="L88" s="57"/>
      <c r="N88" s="91"/>
    </row>
    <row r="89" spans="1:17" ht="21" customHeight="1" x14ac:dyDescent="0.3">
      <c r="A89" s="190"/>
      <c r="B89" s="191"/>
      <c r="C89" s="192"/>
      <c r="D89" s="193"/>
      <c r="E89" s="194" t="s">
        <v>214</v>
      </c>
      <c r="F89" s="195" t="str">
        <f>IF($B89="","",IF(SUMIFS(CONFIG_PALLETS!$C:$C,CONFIG_PALLETS!$A:$A,TRIM($B89),CONFIG_PALLETS!$B:$B,$C89&amp;" ml")&gt;0,SUMIFS(CONFIG_PALLETS!$C:$C,CONFIG_PALLETS!$A:$A,TRIM($B89),CONFIG_PALLETS!$B:$B,$C89&amp;" ml"),IF(SUMIFS(CONFIG_PALLETS!$C:$C,CONFIG_PALLETS!$A:$A,"GERAL",CONFIG_PALLETS!$B:$B,$C89&amp;" ml")&gt;0,SUMIFS(CONFIG_PALLETS!$C:$C,CONFIG_PALLETS!$A:$A,"GERAL",CONFIG_PALLETS!$B:$B,$C89&amp;" ml"),"")))</f>
        <v/>
      </c>
      <c r="G89" s="196" t="str">
        <f t="shared" si="9"/>
        <v/>
      </c>
      <c r="H89" s="197"/>
      <c r="I89" s="193" t="str">
        <f>IF(H89="","",H89*IF(SUMIFS(CONFIG_PALLETS!$D:$D,CONFIG_PALLETS!$A:$A,IF(ISNUMBER(SEARCH("ESPUMA",$B89)),"ESPUMA",IF(OR(ISNUMBER(SEARCH("OLEO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ml")&gt;0,SUMIFS(CONFIG_PALLETS!$D:$D,CONFIG_PALLETS!$A:$A,IF(ISNUMBER(SEARCH("ESPUMA",$B89)),"ESPUMA",IF(OR(ISNUMBER(SEARCH("OLEO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ml"),IF(SUMIFS(CONFIG_PALLETS!$D:$D,CONFIG_PALLETS!$A:$A,"GERAL",CONFIG_PALLETS!$B:$B,$C89&amp;" ml")&gt;0,SUMIFS(CONFIG_PALLETS!$D:$D,CONFIG_PALLETS!$A:$A,"GERAL",CONFIG_PALLETS!$B:$B,$C89&amp;" ml"),12)))</f>
        <v/>
      </c>
      <c r="J89" s="68"/>
      <c r="K89" s="68"/>
      <c r="L89" s="94"/>
      <c r="M89" s="68"/>
      <c r="N89" s="95"/>
    </row>
    <row r="90" spans="1:17" ht="21" customHeight="1" x14ac:dyDescent="0.3">
      <c r="A90" s="190"/>
      <c r="B90" s="191"/>
      <c r="C90" s="192"/>
      <c r="D90" s="193"/>
      <c r="E90" s="194" t="s">
        <v>214</v>
      </c>
      <c r="F90" s="195" t="str">
        <f>IF($B90="","",IF(SUMIFS(CONFIG_PALLETS!$C:$C,CONFIG_PALLETS!$A:$A,TRIM($B90),CONFIG_PALLETS!$B:$B,$C90&amp;" ml")&gt;0,SUMIFS(CONFIG_PALLETS!$C:$C,CONFIG_PALLETS!$A:$A,TRIM($B90),CONFIG_PALLETS!$B:$B,$C90&amp;" ml"),IF(SUMIFS(CONFIG_PALLETS!$C:$C,CONFIG_PALLETS!$A:$A,"GERAL",CONFIG_PALLETS!$B:$B,$C90&amp;" ml")&gt;0,SUMIFS(CONFIG_PALLETS!$C:$C,CONFIG_PALLETS!$A:$A,"GERAL",CONFIG_PALLETS!$B:$B,$C90&amp;" ml"),"")))</f>
        <v/>
      </c>
      <c r="G90" s="196" t="str">
        <f t="shared" si="9"/>
        <v/>
      </c>
      <c r="H90" s="197"/>
      <c r="I90" s="193" t="str">
        <f>IF(H90="","",H90*IF(SUMIFS(CONFIG_PALLETS!$D:$D,CONFIG_PALLETS!$A:$A,IF(ISNUMBER(SEARCH("ESPUMA",$B90)),"ESPUMA",IF(OR(ISNUMBER(SEARCH("OLEO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ml")&gt;0,SUMIFS(CONFIG_PALLETS!$D:$D,CONFIG_PALLETS!$A:$A,IF(ISNUMBER(SEARCH("ESPUMA",$B90)),"ESPUMA",IF(OR(ISNUMBER(SEARCH("OLEO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ml"),IF(SUMIFS(CONFIG_PALLETS!$D:$D,CONFIG_PALLETS!$A:$A,"GERAL",CONFIG_PALLETS!$B:$B,$C90&amp;" ml")&gt;0,SUMIFS(CONFIG_PALLETS!$D:$D,CONFIG_PALLETS!$A:$A,"GERAL",CONFIG_PALLETS!$B:$B,$C90&amp;" ml"),12)))</f>
        <v/>
      </c>
    </row>
    <row r="91" spans="1:17" ht="15" customHeight="1" x14ac:dyDescent="0.3">
      <c r="A91" s="198"/>
      <c r="B91" s="199" t="s">
        <v>216</v>
      </c>
      <c r="C91" s="200"/>
      <c r="D91" s="201">
        <f>SUM(D84:D90)</f>
        <v>3500</v>
      </c>
      <c r="E91" s="202"/>
      <c r="F91" s="202"/>
      <c r="G91" s="203">
        <f>SUM(G84:G90)</f>
        <v>28</v>
      </c>
      <c r="H91" s="201">
        <f>SUM(H84:H90)</f>
        <v>1121</v>
      </c>
      <c r="I91" s="201">
        <f>SUM(I84:I90)</f>
        <v>13452</v>
      </c>
      <c r="J91" s="36">
        <f>SUM(D85:D90)</f>
        <v>3500</v>
      </c>
      <c r="K91" s="36">
        <f>SUM(G85:G90)</f>
        <v>28</v>
      </c>
      <c r="L91" s="37">
        <f>SUM(H85:H90)</f>
        <v>1121</v>
      </c>
      <c r="M91" s="36">
        <f>SUM(I85:I90)</f>
        <v>13452</v>
      </c>
      <c r="N91" s="37"/>
    </row>
    <row r="92" spans="1:17" ht="6" customHeight="1" x14ac:dyDescent="0.3">
      <c r="C92" s="72"/>
      <c r="J92" s="46"/>
      <c r="L92" s="44"/>
      <c r="N92" s="45"/>
    </row>
    <row r="93" spans="1:17" ht="15" customHeight="1" x14ac:dyDescent="0.3">
      <c r="A93" s="30">
        <v>46097</v>
      </c>
      <c r="B93" s="186" t="s">
        <v>78</v>
      </c>
      <c r="C93" s="187" t="s">
        <v>205</v>
      </c>
      <c r="D93" s="188" t="s">
        <v>206</v>
      </c>
      <c r="E93" s="188" t="s">
        <v>207</v>
      </c>
      <c r="F93" s="189" t="s">
        <v>208</v>
      </c>
      <c r="G93" s="188" t="s">
        <v>209</v>
      </c>
      <c r="H93" s="188" t="s">
        <v>210</v>
      </c>
      <c r="I93" s="188" t="s">
        <v>211</v>
      </c>
      <c r="J93" s="55"/>
      <c r="L93" s="56"/>
      <c r="N93" s="58"/>
      <c r="P93" s="73"/>
      <c r="Q93" s="36"/>
    </row>
    <row r="94" spans="1:17" ht="21" customHeight="1" x14ac:dyDescent="0.3">
      <c r="A94" s="190"/>
      <c r="B94" s="191" t="s">
        <v>229</v>
      </c>
      <c r="C94" s="192">
        <v>400</v>
      </c>
      <c r="D94" s="193">
        <f>D86-J86</f>
        <v>0</v>
      </c>
      <c r="E94" s="194" t="s">
        <v>214</v>
      </c>
      <c r="F94" s="195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>125</v>
      </c>
      <c r="G94" s="196">
        <f t="shared" ref="G94:G99" si="10">IFERROR(ROUNDUP(D94/F94,0),"")</f>
        <v>0</v>
      </c>
      <c r="H94" s="197">
        <v>1206</v>
      </c>
      <c r="I94" s="193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>14472</v>
      </c>
      <c r="J94" s="46"/>
      <c r="L94" s="44"/>
      <c r="N94" s="45"/>
      <c r="P94" s="90"/>
    </row>
    <row r="95" spans="1:17" ht="21" customHeight="1" x14ac:dyDescent="0.3">
      <c r="A95" s="190"/>
      <c r="B95" s="191" t="s">
        <v>58</v>
      </c>
      <c r="C95" s="192">
        <v>400</v>
      </c>
      <c r="D95" s="193">
        <v>2310</v>
      </c>
      <c r="E95" s="194" t="s">
        <v>214</v>
      </c>
      <c r="F95" s="195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>125</v>
      </c>
      <c r="G95" s="196">
        <f t="shared" si="10"/>
        <v>19</v>
      </c>
      <c r="H95" s="197">
        <v>171</v>
      </c>
      <c r="I95" s="193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>2052</v>
      </c>
      <c r="J95" s="55"/>
      <c r="L95" s="56"/>
      <c r="N95" s="58"/>
      <c r="P95" s="74"/>
      <c r="Q95" s="68"/>
    </row>
    <row r="96" spans="1:17" ht="21" customHeight="1" x14ac:dyDescent="0.3">
      <c r="A96" s="190"/>
      <c r="B96" s="191"/>
      <c r="C96" s="192"/>
      <c r="D96" s="193"/>
      <c r="E96" s="194" t="s">
        <v>214</v>
      </c>
      <c r="F96" s="195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196" t="str">
        <f t="shared" si="10"/>
        <v/>
      </c>
      <c r="H96" s="197"/>
      <c r="I96" s="193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  <c r="J96" s="46"/>
      <c r="L96" s="44"/>
      <c r="M96" s="57"/>
      <c r="N96" s="45"/>
    </row>
    <row r="97" spans="1:14" ht="21" customHeight="1" x14ac:dyDescent="0.3">
      <c r="A97" s="190"/>
      <c r="B97" s="191"/>
      <c r="C97" s="192"/>
      <c r="D97" s="193"/>
      <c r="E97" s="194" t="s">
        <v>214</v>
      </c>
      <c r="F97" s="195" t="str">
        <f>IF($B97="","",IF(SUMIFS(CONFIG_PALLETS!$C:$C,CONFIG_PALLETS!$A:$A,TRIM($B97),CONFIG_PALLETS!$B:$B,$C97&amp;" ml")&gt;0,SUMIFS(CONFIG_PALLETS!$C:$C,CONFIG_PALLETS!$A:$A,TRIM($B97),CONFIG_PALLETS!$B:$B,$C97&amp;" ml"),IF(SUMIFS(CONFIG_PALLETS!$C:$C,CONFIG_PALLETS!$A:$A,"GERAL",CONFIG_PALLETS!$B:$B,$C97&amp;" ml")&gt;0,SUMIFS(CONFIG_PALLETS!$C:$C,CONFIG_PALLETS!$A:$A,"GERAL",CONFIG_PALLETS!$B:$B,$C97&amp;" ml"),"")))</f>
        <v/>
      </c>
      <c r="G97" s="196" t="str">
        <f t="shared" si="10"/>
        <v/>
      </c>
      <c r="H97" s="197"/>
      <c r="I97" s="193" t="str">
        <f>IF(H97="","",H97*IF(SUMIFS(CONFIG_PALLETS!$D:$D,CONFIG_PALLETS!$A:$A,IF(ISNUMBER(SEARCH("ESPUMA",$B97)),"ESPUMA",IF(OR(ISNUMBER(SEARCH("OLEO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ml")&gt;0,SUMIFS(CONFIG_PALLETS!$D:$D,CONFIG_PALLETS!$A:$A,IF(ISNUMBER(SEARCH("ESPUMA",$B97)),"ESPUMA",IF(OR(ISNUMBER(SEARCH("OLEO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ml"),IF(SUMIFS(CONFIG_PALLETS!$D:$D,CONFIG_PALLETS!$A:$A,"GERAL",CONFIG_PALLETS!$B:$B,$C97&amp;" ml")&gt;0,SUMIFS(CONFIG_PALLETS!$D:$D,CONFIG_PALLETS!$A:$A,"GERAL",CONFIG_PALLETS!$B:$B,$C97&amp;" ml"),12)))</f>
        <v/>
      </c>
      <c r="J97" s="55"/>
      <c r="L97" s="56"/>
      <c r="N97" s="58"/>
    </row>
    <row r="98" spans="1:14" ht="21" customHeight="1" x14ac:dyDescent="0.3">
      <c r="A98" s="190"/>
      <c r="B98" s="191"/>
      <c r="C98" s="192"/>
      <c r="D98" s="193"/>
      <c r="E98" s="194" t="s">
        <v>214</v>
      </c>
      <c r="F98" s="195" t="str">
        <f>IF($B98="","",IF(SUMIFS(CONFIG_PALLETS!$C:$C,CONFIG_PALLETS!$A:$A,TRIM($B98),CONFIG_PALLETS!$B:$B,$C98&amp;" ml")&gt;0,SUMIFS(CONFIG_PALLETS!$C:$C,CONFIG_PALLETS!$A:$A,TRIM($B98),CONFIG_PALLETS!$B:$B,$C98&amp;" ml"),IF(SUMIFS(CONFIG_PALLETS!$C:$C,CONFIG_PALLETS!$A:$A,"GERAL",CONFIG_PALLETS!$B:$B,$C98&amp;" ml")&gt;0,SUMIFS(CONFIG_PALLETS!$C:$C,CONFIG_PALLETS!$A:$A,"GERAL",CONFIG_PALLETS!$B:$B,$C98&amp;" ml"),"")))</f>
        <v/>
      </c>
      <c r="G98" s="196" t="str">
        <f t="shared" si="10"/>
        <v/>
      </c>
      <c r="H98" s="197"/>
      <c r="I98" s="193" t="str">
        <f>IF(H98="","",H98*IF(SUMIFS(CONFIG_PALLETS!$D:$D,CONFIG_PALLETS!$A:$A,IF(ISNUMBER(SEARCH("ESPUMA",$B98)),"ESPUMA",IF(OR(ISNUMBER(SEARCH("OLEO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ml")&gt;0,SUMIFS(CONFIG_PALLETS!$D:$D,CONFIG_PALLETS!$A:$A,IF(ISNUMBER(SEARCH("ESPUMA",$B98)),"ESPUMA",IF(OR(ISNUMBER(SEARCH("OLEO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ml"),IF(SUMIFS(CONFIG_PALLETS!$D:$D,CONFIG_PALLETS!$A:$A,"GERAL",CONFIG_PALLETS!$B:$B,$C98&amp;" ml")&gt;0,SUMIFS(CONFIG_PALLETS!$D:$D,CONFIG_PALLETS!$A:$A,"GERAL",CONFIG_PALLETS!$B:$B,$C98&amp;" ml"),12)))</f>
        <v/>
      </c>
      <c r="L98" s="57"/>
      <c r="N98" s="91"/>
    </row>
    <row r="99" spans="1:14" ht="21" customHeight="1" x14ac:dyDescent="0.3">
      <c r="A99" s="190"/>
      <c r="B99" s="191"/>
      <c r="C99" s="192"/>
      <c r="D99" s="193"/>
      <c r="E99" s="194" t="s">
        <v>214</v>
      </c>
      <c r="F99" s="195" t="str">
        <f>IF($B99="","",IF(SUMIFS(CONFIG_PALLETS!$C:$C,CONFIG_PALLETS!$A:$A,TRIM($B99),CONFIG_PALLETS!$B:$B,$C99&amp;" ml")&gt;0,SUMIFS(CONFIG_PALLETS!$C:$C,CONFIG_PALLETS!$A:$A,TRIM($B99),CONFIG_PALLETS!$B:$B,$C99&amp;" ml"),IF(SUMIFS(CONFIG_PALLETS!$C:$C,CONFIG_PALLETS!$A:$A,"GERAL",CONFIG_PALLETS!$B:$B,$C99&amp;" ml")&gt;0,SUMIFS(CONFIG_PALLETS!$C:$C,CONFIG_PALLETS!$A:$A,"GERAL",CONFIG_PALLETS!$B:$B,$C99&amp;" ml"),"")))</f>
        <v/>
      </c>
      <c r="G99" s="196" t="str">
        <f t="shared" si="10"/>
        <v/>
      </c>
      <c r="H99" s="197"/>
      <c r="I99" s="193" t="str">
        <f>IF(H99="","",H99*IF(SUMIFS(CONFIG_PALLETS!$D:$D,CONFIG_PALLETS!$A:$A,IF(ISNUMBER(SEARCH("ESPUMA",$B99)),"ESPUMA",IF(OR(ISNUMBER(SEARCH("OLEO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ml")&gt;0,SUMIFS(CONFIG_PALLETS!$D:$D,CONFIG_PALLETS!$A:$A,IF(ISNUMBER(SEARCH("ESPUMA",$B99)),"ESPUMA",IF(OR(ISNUMBER(SEARCH("OLEO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ml"),IF(SUMIFS(CONFIG_PALLETS!$D:$D,CONFIG_PALLETS!$A:$A,"GERAL",CONFIG_PALLETS!$B:$B,$C99&amp;" ml")&gt;0,SUMIFS(CONFIG_PALLETS!$D:$D,CONFIG_PALLETS!$A:$A,"GERAL",CONFIG_PALLETS!$B:$B,$C99&amp;" ml"),12)))</f>
        <v/>
      </c>
      <c r="J99" s="68"/>
      <c r="K99" s="68"/>
      <c r="L99" s="94"/>
      <c r="M99" s="68"/>
      <c r="N99" s="95"/>
    </row>
    <row r="100" spans="1:14" ht="15" customHeight="1" x14ac:dyDescent="0.3">
      <c r="A100" s="198"/>
      <c r="B100" s="199" t="s">
        <v>216</v>
      </c>
      <c r="C100" s="200"/>
      <c r="D100" s="201">
        <f>SUM(D93:D99)</f>
        <v>2310</v>
      </c>
      <c r="E100" s="202"/>
      <c r="F100" s="202"/>
      <c r="G100" s="203">
        <f>SUM(G93:G99)</f>
        <v>19</v>
      </c>
      <c r="H100" s="201">
        <f>SUM(H93:H99)</f>
        <v>1377</v>
      </c>
      <c r="I100" s="201">
        <f>SUM(I93:I99)</f>
        <v>16524</v>
      </c>
      <c r="J100">
        <f>SUM(D94:D99)</f>
        <v>2310</v>
      </c>
      <c r="K100">
        <f>SUM(G94:G99)</f>
        <v>19</v>
      </c>
      <c r="L100">
        <f>SUM(H94:H99)</f>
        <v>1377</v>
      </c>
      <c r="M100">
        <f>SUM(I94:I99)</f>
        <v>16524</v>
      </c>
    </row>
    <row r="101" spans="1:14" ht="6" customHeight="1" x14ac:dyDescent="0.3">
      <c r="C101" s="72"/>
      <c r="J101" s="36"/>
      <c r="K101" s="36"/>
      <c r="L101" s="37"/>
      <c r="M101" s="36"/>
      <c r="N101" s="37"/>
    </row>
    <row r="102" spans="1:14" ht="15" customHeight="1" x14ac:dyDescent="0.3">
      <c r="A102" s="30">
        <v>46098</v>
      </c>
      <c r="B102" s="186" t="s">
        <v>78</v>
      </c>
      <c r="C102" s="187" t="s">
        <v>205</v>
      </c>
      <c r="D102" s="188" t="s">
        <v>206</v>
      </c>
      <c r="E102" s="188" t="s">
        <v>207</v>
      </c>
      <c r="F102" s="189" t="s">
        <v>208</v>
      </c>
      <c r="G102" s="188" t="s">
        <v>209</v>
      </c>
      <c r="H102" s="188" t="s">
        <v>210</v>
      </c>
      <c r="I102" s="188" t="s">
        <v>211</v>
      </c>
      <c r="J102" s="46"/>
      <c r="L102" s="44"/>
      <c r="N102" s="45"/>
    </row>
    <row r="103" spans="1:14" ht="21" customHeight="1" x14ac:dyDescent="0.3">
      <c r="A103" s="190"/>
      <c r="B103" s="191" t="s">
        <v>58</v>
      </c>
      <c r="C103" s="192">
        <v>400</v>
      </c>
      <c r="D103" s="193">
        <f>D96-J96</f>
        <v>0</v>
      </c>
      <c r="E103" s="194" t="s">
        <v>214</v>
      </c>
      <c r="F103" s="195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>125</v>
      </c>
      <c r="G103" s="196">
        <f t="shared" ref="G103:G108" si="11">IFERROR(ROUNDUP(D103/F103,0),"")</f>
        <v>0</v>
      </c>
      <c r="H103" s="197">
        <v>1482</v>
      </c>
      <c r="I103" s="193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>17784</v>
      </c>
      <c r="J103" s="55"/>
      <c r="L103" s="56"/>
      <c r="M103" s="57"/>
      <c r="N103" s="58"/>
    </row>
    <row r="104" spans="1:14" ht="21" customHeight="1" x14ac:dyDescent="0.3">
      <c r="A104" s="190"/>
      <c r="B104" s="191"/>
      <c r="C104" s="192"/>
      <c r="D104" s="193"/>
      <c r="E104" s="194" t="s">
        <v>214</v>
      </c>
      <c r="F104" s="195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196" t="str">
        <f t="shared" si="11"/>
        <v/>
      </c>
      <c r="H104" s="197"/>
      <c r="I104" s="193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  <c r="J104" s="46"/>
      <c r="L104" s="44"/>
      <c r="M104" s="57"/>
      <c r="N104" s="45"/>
    </row>
    <row r="105" spans="1:14" ht="21" customHeight="1" x14ac:dyDescent="0.3">
      <c r="A105" s="190"/>
      <c r="B105" s="191"/>
      <c r="C105" s="192"/>
      <c r="D105" s="193"/>
      <c r="E105" s="194" t="s">
        <v>214</v>
      </c>
      <c r="F105" s="195" t="str">
        <f>IF($B105="","",IF(SUMIFS(CONFIG_PALLETS!$C:$C,CONFIG_PALLETS!$A:$A,TRIM($B105),CONFIG_PALLETS!$B:$B,$C105&amp;" ml")&gt;0,SUMIFS(CONFIG_PALLETS!$C:$C,CONFIG_PALLETS!$A:$A,TRIM($B105),CONFIG_PALLETS!$B:$B,$C105&amp;" ml"),IF(SUMIFS(CONFIG_PALLETS!$C:$C,CONFIG_PALLETS!$A:$A,"GERAL",CONFIG_PALLETS!$B:$B,$C105&amp;" ml")&gt;0,SUMIFS(CONFIG_PALLETS!$C:$C,CONFIG_PALLETS!$A:$A,"GERAL",CONFIG_PALLETS!$B:$B,$C105&amp;" ml"),"")))</f>
        <v/>
      </c>
      <c r="G105" s="196" t="str">
        <f t="shared" si="11"/>
        <v/>
      </c>
      <c r="H105" s="197"/>
      <c r="I105" s="193" t="str">
        <f>IF(H105="","",H105*IF(SUMIFS(CONFIG_PALLETS!$D:$D,CONFIG_PALLETS!$A:$A,IF(ISNUMBER(SEARCH("ESPUMA",$B105)),"ESPUMA",IF(OR(ISNUMBER(SEARCH("OLEO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ml")&gt;0,SUMIFS(CONFIG_PALLETS!$D:$D,CONFIG_PALLETS!$A:$A,IF(ISNUMBER(SEARCH("ESPUMA",$B105)),"ESPUMA",IF(OR(ISNUMBER(SEARCH("OLEO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ml"),IF(SUMIFS(CONFIG_PALLETS!$D:$D,CONFIG_PALLETS!$A:$A,"GERAL",CONFIG_PALLETS!$B:$B,$C105&amp;" ml")&gt;0,SUMIFS(CONFIG_PALLETS!$D:$D,CONFIG_PALLETS!$A:$A,"GERAL",CONFIG_PALLETS!$B:$B,$C105&amp;" ml"),12)))</f>
        <v/>
      </c>
      <c r="J105" s="55"/>
      <c r="L105" s="56"/>
      <c r="N105" s="58"/>
    </row>
    <row r="106" spans="1:14" ht="21" customHeight="1" x14ac:dyDescent="0.3">
      <c r="A106" s="190"/>
      <c r="B106" s="191"/>
      <c r="C106" s="192"/>
      <c r="D106" s="193"/>
      <c r="E106" s="194" t="s">
        <v>214</v>
      </c>
      <c r="F106" s="195" t="str">
        <f>IF($B106="","",IF(SUMIFS(CONFIG_PALLETS!$C:$C,CONFIG_PALLETS!$A:$A,TRIM($B106),CONFIG_PALLETS!$B:$B,$C106&amp;" ml")&gt;0,SUMIFS(CONFIG_PALLETS!$C:$C,CONFIG_PALLETS!$A:$A,TRIM($B106),CONFIG_PALLETS!$B:$B,$C106&amp;" ml"),IF(SUMIFS(CONFIG_PALLETS!$C:$C,CONFIG_PALLETS!$A:$A,"GERAL",CONFIG_PALLETS!$B:$B,$C106&amp;" ml")&gt;0,SUMIFS(CONFIG_PALLETS!$C:$C,CONFIG_PALLETS!$A:$A,"GERAL",CONFIG_PALLETS!$B:$B,$C106&amp;" ml"),"")))</f>
        <v/>
      </c>
      <c r="G106" s="196" t="str">
        <f t="shared" si="11"/>
        <v/>
      </c>
      <c r="H106" s="197"/>
      <c r="I106" s="193" t="str">
        <f>IF(H106="","",H106*IF(SUMIFS(CONFIG_PALLETS!$D:$D,CONFIG_PALLETS!$A:$A,IF(ISNUMBER(SEARCH("ESPUMA",$B106)),"ESPUMA",IF(OR(ISNUMBER(SEARCH("OLEO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ml")&gt;0,SUMIFS(CONFIG_PALLETS!$D:$D,CONFIG_PALLETS!$A:$A,IF(ISNUMBER(SEARCH("ESPUMA",$B106)),"ESPUMA",IF(OR(ISNUMBER(SEARCH("OLEO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ml"),IF(SUMIFS(CONFIG_PALLETS!$D:$D,CONFIG_PALLETS!$A:$A,"GERAL",CONFIG_PALLETS!$B:$B,$C106&amp;" ml")&gt;0,SUMIFS(CONFIG_PALLETS!$D:$D,CONFIG_PALLETS!$A:$A,"GERAL",CONFIG_PALLETS!$B:$B,$C106&amp;" ml"),12)))</f>
        <v/>
      </c>
      <c r="J106" s="46"/>
      <c r="L106" s="44"/>
      <c r="M106" s="57"/>
      <c r="N106" s="45"/>
    </row>
    <row r="107" spans="1:14" ht="21" customHeight="1" x14ac:dyDescent="0.3">
      <c r="A107" s="190"/>
      <c r="B107" s="191"/>
      <c r="C107" s="192"/>
      <c r="D107" s="193"/>
      <c r="E107" s="194" t="s">
        <v>214</v>
      </c>
      <c r="F107" s="195" t="str">
        <f>IF($B107="","",IF(SUMIFS(CONFIG_PALLETS!$C:$C,CONFIG_PALLETS!$A:$A,TRIM($B107),CONFIG_PALLETS!$B:$B,$C107&amp;" ml")&gt;0,SUMIFS(CONFIG_PALLETS!$C:$C,CONFIG_PALLETS!$A:$A,TRIM($B107),CONFIG_PALLETS!$B:$B,$C107&amp;" ml"),IF(SUMIFS(CONFIG_PALLETS!$C:$C,CONFIG_PALLETS!$A:$A,"GERAL",CONFIG_PALLETS!$B:$B,$C107&amp;" ml")&gt;0,SUMIFS(CONFIG_PALLETS!$C:$C,CONFIG_PALLETS!$A:$A,"GERAL",CONFIG_PALLETS!$B:$B,$C107&amp;" ml"),"")))</f>
        <v/>
      </c>
      <c r="G107" s="196" t="str">
        <f t="shared" si="11"/>
        <v/>
      </c>
      <c r="H107" s="197"/>
      <c r="I107" s="193" t="str">
        <f>IF(H107="","",H107*IF(SUMIFS(CONFIG_PALLETS!$D:$D,CONFIG_PALLETS!$A:$A,IF(ISNUMBER(SEARCH("ESPUMA",$B107)),"ESPUMA",IF(OR(ISNUMBER(SEARCH("OLEO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ml")&gt;0,SUMIFS(CONFIG_PALLETS!$D:$D,CONFIG_PALLETS!$A:$A,IF(ISNUMBER(SEARCH("ESPUMA",$B107)),"ESPUMA",IF(OR(ISNUMBER(SEARCH("OLEO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ml"),IF(SUMIFS(CONFIG_PALLETS!$D:$D,CONFIG_PALLETS!$A:$A,"GERAL",CONFIG_PALLETS!$B:$B,$C107&amp;" ml")&gt;0,SUMIFS(CONFIG_PALLETS!$D:$D,CONFIG_PALLETS!$A:$A,"GERAL",CONFIG_PALLETS!$B:$B,$C107&amp;" ml"),12)))</f>
        <v/>
      </c>
      <c r="J107" s="55"/>
      <c r="L107" s="56"/>
      <c r="N107" s="58"/>
    </row>
    <row r="108" spans="1:14" ht="21" customHeight="1" x14ac:dyDescent="0.3">
      <c r="A108" s="190"/>
      <c r="B108" s="191"/>
      <c r="C108" s="192"/>
      <c r="D108" s="193"/>
      <c r="E108" s="194" t="s">
        <v>214</v>
      </c>
      <c r="F108" s="195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196" t="str">
        <f t="shared" si="11"/>
        <v/>
      </c>
      <c r="H108" s="197"/>
      <c r="I108" s="193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  <c r="L108" s="57"/>
      <c r="N108" s="91"/>
    </row>
    <row r="109" spans="1:14" ht="15" customHeight="1" x14ac:dyDescent="0.3">
      <c r="A109" s="198"/>
      <c r="B109" s="199" t="s">
        <v>216</v>
      </c>
      <c r="C109" s="200"/>
      <c r="D109" s="201">
        <f>SUM(D102:D108)</f>
        <v>0</v>
      </c>
      <c r="E109" s="202"/>
      <c r="F109" s="202"/>
      <c r="G109" s="203">
        <f>SUM(G102:G108)</f>
        <v>0</v>
      </c>
      <c r="H109" s="201">
        <f>SUM(H102:H108)</f>
        <v>1482</v>
      </c>
      <c r="I109" s="201">
        <f>SUM(I102:I108)</f>
        <v>17784</v>
      </c>
      <c r="J109" s="68">
        <f>SUM(D103:D108)</f>
        <v>0</v>
      </c>
      <c r="K109" s="68">
        <f>SUM(G103:G108)</f>
        <v>0</v>
      </c>
      <c r="L109" s="94">
        <f>SUM(H103:H108)</f>
        <v>1482</v>
      </c>
      <c r="M109" s="68">
        <f>SUM(I103:I108)</f>
        <v>17784</v>
      </c>
      <c r="N109" s="95"/>
    </row>
    <row r="110" spans="1:14" ht="6" customHeight="1" x14ac:dyDescent="0.3">
      <c r="C110" s="72"/>
    </row>
    <row r="111" spans="1:14" ht="15" customHeight="1" x14ac:dyDescent="0.3">
      <c r="A111" s="30">
        <v>46099</v>
      </c>
      <c r="B111" s="186" t="s">
        <v>78</v>
      </c>
      <c r="C111" s="187" t="s">
        <v>205</v>
      </c>
      <c r="D111" s="188" t="s">
        <v>206</v>
      </c>
      <c r="E111" s="188" t="s">
        <v>207</v>
      </c>
      <c r="F111" s="189" t="s">
        <v>208</v>
      </c>
      <c r="G111" s="188" t="s">
        <v>209</v>
      </c>
      <c r="H111" s="188" t="s">
        <v>210</v>
      </c>
      <c r="I111" s="188" t="s">
        <v>211</v>
      </c>
      <c r="J111" s="36"/>
      <c r="K111" s="36"/>
      <c r="L111" s="37"/>
      <c r="M111" s="36"/>
      <c r="N111" s="37"/>
    </row>
    <row r="112" spans="1:14" ht="21" customHeight="1" x14ac:dyDescent="0.3">
      <c r="A112" s="190"/>
      <c r="B112" s="191" t="s">
        <v>58</v>
      </c>
      <c r="C112" s="192">
        <v>400</v>
      </c>
      <c r="D112" s="193">
        <f>D104-J104</f>
        <v>0</v>
      </c>
      <c r="E112" s="194" t="s">
        <v>214</v>
      </c>
      <c r="F112" s="195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>125</v>
      </c>
      <c r="G112" s="196">
        <f t="shared" ref="G112:G117" si="12">IFERROR(ROUNDUP(D112/F112,0),"")</f>
        <v>0</v>
      </c>
      <c r="H112" s="197">
        <v>657</v>
      </c>
      <c r="I112" s="193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>7884</v>
      </c>
      <c r="J112" s="46"/>
      <c r="L112" s="44"/>
      <c r="N112" s="45"/>
    </row>
    <row r="113" spans="1:14" ht="21" customHeight="1" x14ac:dyDescent="0.3">
      <c r="A113" s="190"/>
      <c r="B113" s="191" t="s">
        <v>72</v>
      </c>
      <c r="C113" s="192">
        <v>400</v>
      </c>
      <c r="D113" s="193">
        <v>750</v>
      </c>
      <c r="E113" s="194" t="s">
        <v>214</v>
      </c>
      <c r="F113" s="195">
        <f>IF($B113="","",IF(SUMIFS(CONFIG_PALLETS!$C:$C,CONFIG_PALLETS!$A:$A,TRIM($B113),CONFIG_PALLETS!$B:$B,$C113&amp;" ml")&gt;0,SUMIFS(CONFIG_PALLETS!$C:$C,CONFIG_PALLETS!$A:$A,TRIM($B113),CONFIG_PALLETS!$B:$B,$C113&amp;" ml"),IF(SUMIFS(CONFIG_PALLETS!$C:$C,CONFIG_PALLETS!$A:$A,"GERAL",CONFIG_PALLETS!$B:$B,$C113&amp;" ml")&gt;0,SUMIFS(CONFIG_PALLETS!$C:$C,CONFIG_PALLETS!$A:$A,"GERAL",CONFIG_PALLETS!$B:$B,$C113&amp;" ml"),"")))</f>
        <v>125</v>
      </c>
      <c r="G113" s="196">
        <f t="shared" si="12"/>
        <v>6</v>
      </c>
      <c r="H113" s="197">
        <v>644</v>
      </c>
      <c r="I113" s="193">
        <f>IF(H113="","",H113*IF(SUMIFS(CONFIG_PALLETS!$D:$D,CONFIG_PALLETS!$A:$A,IF(ISNUMBER(SEARCH("ESPUMA",$B113)),"ESPUMA",IF(OR(ISNUMBER(SEARCH("OLEO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ml")&gt;0,SUMIFS(CONFIG_PALLETS!$D:$D,CONFIG_PALLETS!$A:$A,IF(ISNUMBER(SEARCH("ESPUMA",$B113)),"ESPUMA",IF(OR(ISNUMBER(SEARCH("OLEO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ml"),IF(SUMIFS(CONFIG_PALLETS!$D:$D,CONFIG_PALLETS!$A:$A,"GERAL",CONFIG_PALLETS!$B:$B,$C113&amp;" ml")&gt;0,SUMIFS(CONFIG_PALLETS!$D:$D,CONFIG_PALLETS!$A:$A,"GERAL",CONFIG_PALLETS!$B:$B,$C113&amp;" ml"),12)))</f>
        <v>7728</v>
      </c>
      <c r="J113" s="55"/>
      <c r="L113" s="56"/>
      <c r="M113" s="57"/>
      <c r="N113" s="58"/>
    </row>
    <row r="114" spans="1:14" ht="21" customHeight="1" x14ac:dyDescent="0.3">
      <c r="A114" s="190"/>
      <c r="B114" s="191"/>
      <c r="C114" s="192"/>
      <c r="D114" s="193"/>
      <c r="E114" s="194" t="s">
        <v>214</v>
      </c>
      <c r="F114" s="195" t="str">
        <f>IF($B114="","",IF(SUMIFS(CONFIG_PALLETS!$C:$C,CONFIG_PALLETS!$A:$A,TRIM($B114),CONFIG_PALLETS!$B:$B,$C114&amp;" ml")&gt;0,SUMIFS(CONFIG_PALLETS!$C:$C,CONFIG_PALLETS!$A:$A,TRIM($B114),CONFIG_PALLETS!$B:$B,$C114&amp;" ml"),IF(SUMIFS(CONFIG_PALLETS!$C:$C,CONFIG_PALLETS!$A:$A,"GERAL",CONFIG_PALLETS!$B:$B,$C114&amp;" ml")&gt;0,SUMIFS(CONFIG_PALLETS!$C:$C,CONFIG_PALLETS!$A:$A,"GERAL",CONFIG_PALLETS!$B:$B,$C114&amp;" ml"),"")))</f>
        <v/>
      </c>
      <c r="G114" s="196" t="str">
        <f t="shared" si="12"/>
        <v/>
      </c>
      <c r="H114" s="197"/>
      <c r="I114" s="193" t="str">
        <f>IF(H114="","",H114*IF(SUMIFS(CONFIG_PALLETS!$D:$D,CONFIG_PALLETS!$A:$A,IF(ISNUMBER(SEARCH("ESPUMA",$B114)),"ESPUMA",IF(OR(ISNUMBER(SEARCH("OLEO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ml")&gt;0,SUMIFS(CONFIG_PALLETS!$D:$D,CONFIG_PALLETS!$A:$A,IF(ISNUMBER(SEARCH("ESPUMA",$B114)),"ESPUMA",IF(OR(ISNUMBER(SEARCH("OLEO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ml"),IF(SUMIFS(CONFIG_PALLETS!$D:$D,CONFIG_PALLETS!$A:$A,"GERAL",CONFIG_PALLETS!$B:$B,$C114&amp;" ml")&gt;0,SUMIFS(CONFIG_PALLETS!$D:$D,CONFIG_PALLETS!$A:$A,"GERAL",CONFIG_PALLETS!$B:$B,$C114&amp;" ml"),12)))</f>
        <v/>
      </c>
      <c r="J114" s="46"/>
      <c r="L114" s="44"/>
      <c r="M114" s="57"/>
      <c r="N114" s="45"/>
    </row>
    <row r="115" spans="1:14" ht="21" customHeight="1" x14ac:dyDescent="0.3">
      <c r="A115" s="190"/>
      <c r="B115" s="191"/>
      <c r="C115" s="192"/>
      <c r="D115" s="193"/>
      <c r="E115" s="194" t="s">
        <v>214</v>
      </c>
      <c r="F115" s="195" t="str">
        <f>IF($B115="","",IF(SUMIFS(CONFIG_PALLETS!$C:$C,CONFIG_PALLETS!$A:$A,TRIM($B115),CONFIG_PALLETS!$B:$B,$C115&amp;" ml")&gt;0,SUMIFS(CONFIG_PALLETS!$C:$C,CONFIG_PALLETS!$A:$A,TRIM($B115),CONFIG_PALLETS!$B:$B,$C115&amp;" ml"),IF(SUMIFS(CONFIG_PALLETS!$C:$C,CONFIG_PALLETS!$A:$A,"GERAL",CONFIG_PALLETS!$B:$B,$C115&amp;" ml")&gt;0,SUMIFS(CONFIG_PALLETS!$C:$C,CONFIG_PALLETS!$A:$A,"GERAL",CONFIG_PALLETS!$B:$B,$C115&amp;" ml"),"")))</f>
        <v/>
      </c>
      <c r="G115" s="196" t="str">
        <f t="shared" si="12"/>
        <v/>
      </c>
      <c r="H115" s="197"/>
      <c r="I115" s="193" t="str">
        <f>IF(H115="","",H115*IF(SUMIFS(CONFIG_PALLETS!$D:$D,CONFIG_PALLETS!$A:$A,IF(ISNUMBER(SEARCH("ESPUMA",$B115)),"ESPUMA",IF(OR(ISNUMBER(SEARCH("OLEO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ml")&gt;0,SUMIFS(CONFIG_PALLETS!$D:$D,CONFIG_PALLETS!$A:$A,IF(ISNUMBER(SEARCH("ESPUMA",$B115)),"ESPUMA",IF(OR(ISNUMBER(SEARCH("OLEO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ml"),IF(SUMIFS(CONFIG_PALLETS!$D:$D,CONFIG_PALLETS!$A:$A,"GERAL",CONFIG_PALLETS!$B:$B,$C115&amp;" ml")&gt;0,SUMIFS(CONFIG_PALLETS!$D:$D,CONFIG_PALLETS!$A:$A,"GERAL",CONFIG_PALLETS!$B:$B,$C115&amp;" ml"),12)))</f>
        <v/>
      </c>
      <c r="J115" s="55"/>
      <c r="L115" s="56"/>
      <c r="N115" s="58"/>
    </row>
    <row r="116" spans="1:14" ht="21" customHeight="1" x14ac:dyDescent="0.3">
      <c r="A116" s="190"/>
      <c r="B116" s="191"/>
      <c r="C116" s="192"/>
      <c r="D116" s="193"/>
      <c r="E116" s="194" t="s">
        <v>214</v>
      </c>
      <c r="F116" s="195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196" t="str">
        <f t="shared" si="12"/>
        <v/>
      </c>
      <c r="H116" s="197"/>
      <c r="I116" s="193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  <c r="J116" s="46"/>
      <c r="L116" s="44"/>
      <c r="N116" s="45"/>
    </row>
    <row r="117" spans="1:14" ht="21" customHeight="1" x14ac:dyDescent="0.3">
      <c r="A117" s="190"/>
      <c r="B117" s="191"/>
      <c r="C117" s="192"/>
      <c r="D117" s="193"/>
      <c r="E117" s="194" t="s">
        <v>214</v>
      </c>
      <c r="F117" s="195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196" t="str">
        <f t="shared" si="12"/>
        <v/>
      </c>
      <c r="H117" s="197"/>
      <c r="I117" s="193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  <c r="J117" s="55"/>
      <c r="L117" s="56"/>
      <c r="N117" s="58"/>
    </row>
    <row r="118" spans="1:14" ht="15" customHeight="1" x14ac:dyDescent="0.3">
      <c r="A118" s="198"/>
      <c r="B118" s="199" t="s">
        <v>216</v>
      </c>
      <c r="C118" s="200"/>
      <c r="D118" s="201">
        <f>SUM(D111:D117)</f>
        <v>750</v>
      </c>
      <c r="E118" s="202"/>
      <c r="F118" s="202"/>
      <c r="G118" s="203">
        <f>SUM(G111:G117)</f>
        <v>6</v>
      </c>
      <c r="H118" s="201">
        <f>SUM(H111:H117)</f>
        <v>1301</v>
      </c>
      <c r="I118" s="201">
        <f>SUM(I111:I117)</f>
        <v>15612</v>
      </c>
      <c r="J118" s="68">
        <f>SUM(D112:D117)</f>
        <v>750</v>
      </c>
      <c r="K118" s="68">
        <f>SUM(G112:G117)</f>
        <v>6</v>
      </c>
      <c r="L118" s="94">
        <f>SUM(H112:H117)</f>
        <v>1301</v>
      </c>
      <c r="M118" s="68">
        <f>SUM(I112:I117)</f>
        <v>15612</v>
      </c>
      <c r="N118" s="95"/>
    </row>
    <row r="119" spans="1:14" ht="6" customHeight="1" x14ac:dyDescent="0.3">
      <c r="C119" s="72"/>
    </row>
    <row r="120" spans="1:14" ht="15" customHeight="1" x14ac:dyDescent="0.3">
      <c r="A120" s="30">
        <v>46100</v>
      </c>
      <c r="B120" s="186" t="s">
        <v>78</v>
      </c>
      <c r="C120" s="187" t="s">
        <v>205</v>
      </c>
      <c r="D120" s="188" t="s">
        <v>206</v>
      </c>
      <c r="E120" s="188" t="s">
        <v>207</v>
      </c>
      <c r="F120" s="189" t="s">
        <v>208</v>
      </c>
      <c r="G120" s="188" t="s">
        <v>209</v>
      </c>
      <c r="H120" s="188" t="s">
        <v>210</v>
      </c>
      <c r="I120" s="188" t="s">
        <v>211</v>
      </c>
      <c r="J120" s="36"/>
      <c r="K120" s="36"/>
      <c r="L120" s="37"/>
      <c r="M120" s="36"/>
      <c r="N120" s="37"/>
    </row>
    <row r="121" spans="1:14" ht="21" customHeight="1" x14ac:dyDescent="0.3">
      <c r="A121" s="190"/>
      <c r="B121" s="191" t="s">
        <v>72</v>
      </c>
      <c r="C121" s="192">
        <v>400</v>
      </c>
      <c r="D121" s="193">
        <f>D113-J113</f>
        <v>750</v>
      </c>
      <c r="E121" s="194" t="s">
        <v>214</v>
      </c>
      <c r="F121" s="195">
        <f>IF($B121="","",IF(SUMIFS(CONFIG_PALLETS!$C:$C,CONFIG_PALLETS!$A:$A,TRIM($B121),CONFIG_PALLETS!$B:$B,$C121&amp;" ml")&gt;0,SUMIFS(CONFIG_PALLETS!$C:$C,CONFIG_PALLETS!$A:$A,TRIM($B121),CONFIG_PALLETS!$B:$B,$C121&amp;" ml"),IF(SUMIFS(CONFIG_PALLETS!$C:$C,CONFIG_PALLETS!$A:$A,"GERAL",CONFIG_PALLETS!$B:$B,$C121&amp;" ml")&gt;0,SUMIFS(CONFIG_PALLETS!$C:$C,CONFIG_PALLETS!$A:$A,"GERAL",CONFIG_PALLETS!$B:$B,$C121&amp;" ml"),"")))</f>
        <v>125</v>
      </c>
      <c r="G121" s="196">
        <f t="shared" ref="G121:G126" si="13">IFERROR(ROUNDUP(D121/F121,0),"")</f>
        <v>6</v>
      </c>
      <c r="H121" s="197">
        <v>106</v>
      </c>
      <c r="I121" s="193">
        <f>IF(H121="","",H121*IF(SUMIFS(CONFIG_PALLETS!$D:$D,CONFIG_PALLETS!$A:$A,IF(ISNUMBER(SEARCH("ESPUMA",$B121)),"ESPUMA",IF(OR(ISNUMBER(SEARCH("OLEO DE COCO",$B121)),ISNUMBER(SEARCH("ÓLEO DE COCO",$B121)),ISNUMBER(SEARCH("COPRA",$B121))),"ÓLEO DE COCO",IF(ISNUMBER(SEARCH("CORANTE",$B121)),"CORANTE",TRIM($B121)))),CONFIG_PALLETS!$B:$B,$C121&amp;" ml")&gt;0,SUMIFS(CONFIG_PALLETS!$D:$D,CONFIG_PALLETS!$A:$A,IF(ISNUMBER(SEARCH("ESPUMA",$B121)),"ESPUMA",IF(OR(ISNUMBER(SEARCH("OLEO DE COCO",$B121)),ISNUMBER(SEARCH("ÓLEO DE COCO",$B121)),ISNUMBER(SEARCH("COPRA",$B121))),"ÓLEO DE COCO",IF(ISNUMBER(SEARCH("CORANTE",$B121)),"CORANTE",TRIM($B121)))),CONFIG_PALLETS!$B:$B,$C121&amp;" ml"),IF(SUMIFS(CONFIG_PALLETS!$D:$D,CONFIG_PALLETS!$A:$A,"GERAL",CONFIG_PALLETS!$B:$B,$C121&amp;" ml")&gt;0,SUMIFS(CONFIG_PALLETS!$D:$D,CONFIG_PALLETS!$A:$A,"GERAL",CONFIG_PALLETS!$B:$B,$C121&amp;" ml"),12)))</f>
        <v>1272</v>
      </c>
      <c r="J121" s="55"/>
      <c r="L121" s="56"/>
      <c r="N121" s="58"/>
    </row>
    <row r="122" spans="1:14" ht="21" customHeight="1" x14ac:dyDescent="0.3">
      <c r="A122" s="190"/>
      <c r="B122" s="191" t="s">
        <v>168</v>
      </c>
      <c r="C122" s="192">
        <v>400</v>
      </c>
      <c r="D122" s="193">
        <v>200</v>
      </c>
      <c r="E122" s="194" t="s">
        <v>214</v>
      </c>
      <c r="F122" s="195">
        <f>IF($B122="","",IF(SUMIFS(CONFIG_PALLETS!$C:$C,CONFIG_PALLETS!$A:$A,TRIM($B122),CONFIG_PALLETS!$B:$B,$C122&amp;" ml")&gt;0,SUMIFS(CONFIG_PALLETS!$C:$C,CONFIG_PALLETS!$A:$A,TRIM($B122),CONFIG_PALLETS!$B:$B,$C122&amp;" ml"),IF(SUMIFS(CONFIG_PALLETS!$C:$C,CONFIG_PALLETS!$A:$A,"GERAL",CONFIG_PALLETS!$B:$B,$C122&amp;" ml")&gt;0,SUMIFS(CONFIG_PALLETS!$C:$C,CONFIG_PALLETS!$A:$A,"GERAL",CONFIG_PALLETS!$B:$B,$C122&amp;" ml"),"")))</f>
        <v>125</v>
      </c>
      <c r="G122" s="196">
        <f t="shared" si="13"/>
        <v>2</v>
      </c>
      <c r="H122" s="197">
        <v>202</v>
      </c>
      <c r="I122" s="193">
        <f>IF(H122="","",H122*IF(SUMIFS(CONFIG_PALLETS!$D:$D,CONFIG_PALLETS!$A:$A,IF(ISNUMBER(SEARCH("ESPUMA",$B122)),"ESPUMA",IF(OR(ISNUMBER(SEARCH("OLEO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ml")&gt;0,SUMIFS(CONFIG_PALLETS!$D:$D,CONFIG_PALLETS!$A:$A,IF(ISNUMBER(SEARCH("ESPUMA",$B122)),"ESPUMA",IF(OR(ISNUMBER(SEARCH("OLEO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ml"),IF(SUMIFS(CONFIG_PALLETS!$D:$D,CONFIG_PALLETS!$A:$A,"GERAL",CONFIG_PALLETS!$B:$B,$C122&amp;" ml")&gt;0,SUMIFS(CONFIG_PALLETS!$D:$D,CONFIG_PALLETS!$A:$A,"GERAL",CONFIG_PALLETS!$B:$B,$C122&amp;" ml"),12)))</f>
        <v>2424</v>
      </c>
      <c r="J122" s="46"/>
      <c r="L122" s="44"/>
      <c r="M122" s="57"/>
      <c r="N122" s="45"/>
    </row>
    <row r="123" spans="1:14" ht="21" customHeight="1" x14ac:dyDescent="0.3">
      <c r="A123" s="190"/>
      <c r="B123" s="191" t="s">
        <v>449</v>
      </c>
      <c r="C123" s="192">
        <v>200</v>
      </c>
      <c r="D123" s="193">
        <v>990</v>
      </c>
      <c r="E123" s="194" t="s">
        <v>214</v>
      </c>
      <c r="F123" s="195">
        <f>IF($B123="","",IF(SUMIFS(CONFIG_PALLETS!$C:$C,CONFIG_PALLETS!$A:$A,TRIM($B123),CONFIG_PALLETS!$B:$B,$C123&amp;" ml")&gt;0,SUMIFS(CONFIG_PALLETS!$C:$C,CONFIG_PALLETS!$A:$A,TRIM($B123),CONFIG_PALLETS!$B:$B,$C123&amp;" ml"),IF(SUMIFS(CONFIG_PALLETS!$C:$C,CONFIG_PALLETS!$A:$A,"GERAL",CONFIG_PALLETS!$B:$B,$C123&amp;" ml")&gt;0,SUMIFS(CONFIG_PALLETS!$C:$C,CONFIG_PALLETS!$A:$A,"GERAL",CONFIG_PALLETS!$B:$B,$C123&amp;" ml"),"")))</f>
        <v>330</v>
      </c>
      <c r="G123" s="196">
        <f t="shared" si="13"/>
        <v>3</v>
      </c>
      <c r="H123" s="197">
        <v>994</v>
      </c>
      <c r="I123" s="193">
        <f>IF(H123="","",H123*IF(SUMIFS(CONFIG_PALLETS!$D:$D,CONFIG_PALLETS!$A:$A,IF(ISNUMBER(SEARCH("ESPUMA",$B123)),"ESPUMA",IF(OR(ISNUMBER(SEARCH("OLEO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ml")&gt;0,SUMIFS(CONFIG_PALLETS!$D:$D,CONFIG_PALLETS!$A:$A,IF(ISNUMBER(SEARCH("ESPUMA",$B123)),"ESPUMA",IF(OR(ISNUMBER(SEARCH("OLEO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ml"),IF(SUMIFS(CONFIG_PALLETS!$D:$D,CONFIG_PALLETS!$A:$A,"GERAL",CONFIG_PALLETS!$B:$B,$C123&amp;" ml")&gt;0,SUMIFS(CONFIG_PALLETS!$D:$D,CONFIG_PALLETS!$A:$A,"GERAL",CONFIG_PALLETS!$B:$B,$C123&amp;" ml"),12)))</f>
        <v>5964</v>
      </c>
      <c r="J123" s="55"/>
      <c r="L123" s="56"/>
      <c r="M123" s="57"/>
      <c r="N123" s="58"/>
    </row>
    <row r="124" spans="1:14" ht="21" customHeight="1" x14ac:dyDescent="0.3">
      <c r="A124" s="190"/>
      <c r="B124" s="191" t="s">
        <v>70</v>
      </c>
      <c r="C124" s="192">
        <v>600</v>
      </c>
      <c r="D124" s="193">
        <v>1140</v>
      </c>
      <c r="E124" s="194" t="s">
        <v>214</v>
      </c>
      <c r="F124" s="195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>95</v>
      </c>
      <c r="G124" s="196">
        <f t="shared" si="13"/>
        <v>12</v>
      </c>
      <c r="H124" s="197">
        <v>74</v>
      </c>
      <c r="I124" s="193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>888</v>
      </c>
      <c r="J124" s="46"/>
      <c r="L124" s="44"/>
      <c r="N124" s="45"/>
    </row>
    <row r="125" spans="1:14" ht="21" customHeight="1" x14ac:dyDescent="0.3">
      <c r="A125" s="190"/>
      <c r="B125" s="191"/>
      <c r="C125" s="192"/>
      <c r="D125" s="193"/>
      <c r="E125" s="194" t="s">
        <v>214</v>
      </c>
      <c r="F125" s="195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196" t="str">
        <f t="shared" si="13"/>
        <v/>
      </c>
      <c r="H125" s="197"/>
      <c r="I125" s="193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  <c r="J125" s="55"/>
      <c r="L125" s="56"/>
      <c r="N125" s="58"/>
    </row>
    <row r="126" spans="1:14" ht="21" customHeight="1" x14ac:dyDescent="0.3">
      <c r="A126" s="190"/>
      <c r="B126" s="191"/>
      <c r="C126" s="192"/>
      <c r="D126" s="193"/>
      <c r="E126" s="194" t="s">
        <v>214</v>
      </c>
      <c r="F126" s="195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196" t="str">
        <f t="shared" si="13"/>
        <v/>
      </c>
      <c r="H126" s="197"/>
      <c r="I126" s="193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  <c r="J126" s="125"/>
      <c r="K126" s="68"/>
      <c r="L126" s="126"/>
      <c r="M126" s="68"/>
      <c r="N126" s="127"/>
    </row>
    <row r="127" spans="1:14" ht="15" customHeight="1" x14ac:dyDescent="0.3">
      <c r="A127" s="198"/>
      <c r="B127" s="199" t="s">
        <v>216</v>
      </c>
      <c r="C127" s="200"/>
      <c r="D127" s="201">
        <f>SUM(D120:D126)</f>
        <v>3080</v>
      </c>
      <c r="E127" s="202"/>
      <c r="F127" s="202"/>
      <c r="G127" s="203">
        <f>SUM(G120:G126)</f>
        <v>23</v>
      </c>
      <c r="H127" s="201">
        <f>SUM(H120:H126)</f>
        <v>1376</v>
      </c>
      <c r="I127" s="201">
        <f>SUM(I120:I126)</f>
        <v>10548</v>
      </c>
      <c r="J127">
        <f>SUM(D121:D126)</f>
        <v>3080</v>
      </c>
      <c r="K127">
        <f>SUM(G121:G126)</f>
        <v>23</v>
      </c>
      <c r="L127">
        <f>SUM(H121:H126)</f>
        <v>1376</v>
      </c>
      <c r="M127">
        <f>SUM(I121:I126)</f>
        <v>10548</v>
      </c>
    </row>
    <row r="128" spans="1:14" ht="6" customHeight="1" x14ac:dyDescent="0.3">
      <c r="C128" s="72"/>
      <c r="J128" s="36"/>
      <c r="K128" s="36"/>
      <c r="L128" s="37"/>
      <c r="M128" s="36"/>
      <c r="N128" s="37"/>
    </row>
    <row r="129" spans="1:14" ht="15" customHeight="1" x14ac:dyDescent="0.3">
      <c r="A129" s="30">
        <v>46101</v>
      </c>
      <c r="B129" s="186" t="s">
        <v>78</v>
      </c>
      <c r="C129" s="187" t="s">
        <v>205</v>
      </c>
      <c r="D129" s="188" t="s">
        <v>206</v>
      </c>
      <c r="E129" s="188" t="s">
        <v>207</v>
      </c>
      <c r="F129" s="189" t="s">
        <v>208</v>
      </c>
      <c r="G129" s="188" t="s">
        <v>209</v>
      </c>
      <c r="H129" s="188" t="s">
        <v>210</v>
      </c>
      <c r="I129" s="188" t="s">
        <v>211</v>
      </c>
      <c r="J129" s="55"/>
      <c r="L129" s="56"/>
      <c r="N129" s="58"/>
    </row>
    <row r="130" spans="1:14" ht="21" customHeight="1" x14ac:dyDescent="0.3">
      <c r="A130" s="190"/>
      <c r="B130" s="191" t="s">
        <v>70</v>
      </c>
      <c r="C130" s="192">
        <v>600</v>
      </c>
      <c r="D130" s="193">
        <v>1140</v>
      </c>
      <c r="E130" s="194" t="s">
        <v>214</v>
      </c>
      <c r="F130" s="195">
        <f>IF($B130="","",IF(SUMIFS(CONFIG_PALLETS!$C:$C,CONFIG_PALLETS!$A:$A,TRIM($B130),CONFIG_PALLETS!$B:$B,$C130&amp;" ml")&gt;0,SUMIFS(CONFIG_PALLETS!$C:$C,CONFIG_PALLETS!$A:$A,TRIM($B130),CONFIG_PALLETS!$B:$B,$C130&amp;" ml"),IF(SUMIFS(CONFIG_PALLETS!$C:$C,CONFIG_PALLETS!$A:$A,"GERAL",CONFIG_PALLETS!$B:$B,$C130&amp;" ml")&gt;0,SUMIFS(CONFIG_PALLETS!$C:$C,CONFIG_PALLETS!$A:$A,"GERAL",CONFIG_PALLETS!$B:$B,$C130&amp;" ml"),"")))</f>
        <v>95</v>
      </c>
      <c r="G130" s="196">
        <f t="shared" ref="G130:G135" si="14">IFERROR(ROUNDUP(D130/F130,0),"")</f>
        <v>12</v>
      </c>
      <c r="H130" s="197">
        <v>431</v>
      </c>
      <c r="I130" s="193">
        <f>IF(H130="","",H130*IF(SUMIFS(CONFIG_PALLETS!$D:$D,CONFIG_PALLETS!$A:$A,IF(ISNUMBER(SEARCH("ESPUMA",$B130)),"ESPUMA",IF(OR(ISNUMBER(SEARCH("OLEO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ml")&gt;0,SUMIFS(CONFIG_PALLETS!$D:$D,CONFIG_PALLETS!$A:$A,IF(ISNUMBER(SEARCH("ESPUMA",$B130)),"ESPUMA",IF(OR(ISNUMBER(SEARCH("OLEO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ml"),IF(SUMIFS(CONFIG_PALLETS!$D:$D,CONFIG_PALLETS!$A:$A,"GERAL",CONFIG_PALLETS!$B:$B,$C130&amp;" ml")&gt;0,SUMIFS(CONFIG_PALLETS!$D:$D,CONFIG_PALLETS!$A:$A,"GERAL",CONFIG_PALLETS!$B:$B,$C130&amp;" ml"),12)))</f>
        <v>5172</v>
      </c>
      <c r="J130" s="46"/>
      <c r="L130" s="44"/>
      <c r="M130" s="57"/>
      <c r="N130" s="45"/>
    </row>
    <row r="131" spans="1:14" ht="21" customHeight="1" x14ac:dyDescent="0.3">
      <c r="A131" s="190"/>
      <c r="B131" s="191" t="s">
        <v>60</v>
      </c>
      <c r="C131" s="192">
        <v>600</v>
      </c>
      <c r="D131" s="193">
        <v>665</v>
      </c>
      <c r="E131" s="194" t="s">
        <v>214</v>
      </c>
      <c r="F131" s="195">
        <f>IF($B131="","",IF(SUMIFS(CONFIG_PALLETS!$C:$C,CONFIG_PALLETS!$A:$A,TRIM($B131),CONFIG_PALLETS!$B:$B,$C131&amp;" ml")&gt;0,SUMIFS(CONFIG_PALLETS!$C:$C,CONFIG_PALLETS!$A:$A,TRIM($B131),CONFIG_PALLETS!$B:$B,$C131&amp;" ml"),IF(SUMIFS(CONFIG_PALLETS!$C:$C,CONFIG_PALLETS!$A:$A,"GERAL",CONFIG_PALLETS!$B:$B,$C131&amp;" ml")&gt;0,SUMIFS(CONFIG_PALLETS!$C:$C,CONFIG_PALLETS!$A:$A,"GERAL",CONFIG_PALLETS!$B:$B,$C131&amp;" ml"),"")))</f>
        <v>95</v>
      </c>
      <c r="G131" s="196">
        <f t="shared" si="14"/>
        <v>7</v>
      </c>
      <c r="H131" s="197"/>
      <c r="I131" s="193" t="str">
        <f>IF(H131="","",H131*IF(SUMIFS(CONFIG_PALLETS!$D:$D,CONFIG_PALLETS!$A:$A,IF(ISNUMBER(SEARCH("ESPUMA",$B131)),"ESPUMA",IF(OR(ISNUMBER(SEARCH("OLEO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ml")&gt;0,SUMIFS(CONFIG_PALLETS!$D:$D,CONFIG_PALLETS!$A:$A,IF(ISNUMBER(SEARCH("ESPUMA",$B131)),"ESPUMA",IF(OR(ISNUMBER(SEARCH("OLEO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ml"),IF(SUMIFS(CONFIG_PALLETS!$D:$D,CONFIG_PALLETS!$A:$A,"GERAL",CONFIG_PALLETS!$B:$B,$C131&amp;" ml")&gt;0,SUMIFS(CONFIG_PALLETS!$D:$D,CONFIG_PALLETS!$A:$A,"GERAL",CONFIG_PALLETS!$B:$B,$C131&amp;" ml"),12)))</f>
        <v/>
      </c>
      <c r="J131" s="55"/>
      <c r="L131" s="56"/>
      <c r="M131" s="57"/>
      <c r="N131" s="58"/>
    </row>
    <row r="132" spans="1:14" ht="21" customHeight="1" x14ac:dyDescent="0.3">
      <c r="A132" s="190"/>
      <c r="B132" s="191"/>
      <c r="C132" s="192"/>
      <c r="D132" s="193"/>
      <c r="E132" s="194" t="s">
        <v>214</v>
      </c>
      <c r="F132" s="195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196" t="str">
        <f t="shared" si="14"/>
        <v/>
      </c>
      <c r="H132" s="197"/>
      <c r="I132" s="193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  <c r="J132" s="46"/>
      <c r="L132" s="44"/>
      <c r="N132" s="45"/>
    </row>
    <row r="133" spans="1:14" ht="21" customHeight="1" x14ac:dyDescent="0.3">
      <c r="A133" s="190"/>
      <c r="B133" s="191"/>
      <c r="C133" s="192"/>
      <c r="D133" s="193"/>
      <c r="E133" s="194" t="s">
        <v>214</v>
      </c>
      <c r="F133" s="195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196" t="str">
        <f t="shared" si="14"/>
        <v/>
      </c>
      <c r="H133" s="197"/>
      <c r="I133" s="193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  <c r="J133" s="55"/>
      <c r="L133" s="56"/>
      <c r="N133" s="58"/>
    </row>
    <row r="134" spans="1:14" ht="21" customHeight="1" x14ac:dyDescent="0.3">
      <c r="A134" s="190"/>
      <c r="B134" s="191"/>
      <c r="C134" s="192"/>
      <c r="D134" s="193"/>
      <c r="E134" s="194" t="s">
        <v>214</v>
      </c>
      <c r="F134" s="195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196" t="str">
        <f t="shared" si="14"/>
        <v/>
      </c>
      <c r="H134" s="197"/>
      <c r="I134" s="193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  <c r="J134" s="46"/>
      <c r="L134" s="44"/>
      <c r="N134" s="45"/>
    </row>
    <row r="135" spans="1:14" ht="21" customHeight="1" x14ac:dyDescent="0.3">
      <c r="A135" s="190"/>
      <c r="B135" s="191"/>
      <c r="C135" s="192"/>
      <c r="D135" s="193"/>
      <c r="E135" s="194" t="s">
        <v>214</v>
      </c>
      <c r="F135" s="195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196" t="str">
        <f t="shared" si="14"/>
        <v/>
      </c>
      <c r="H135" s="197"/>
      <c r="I135" s="193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  <c r="J135" s="68"/>
      <c r="K135" s="68"/>
      <c r="L135" s="94"/>
      <c r="M135" s="68"/>
      <c r="N135" s="95"/>
    </row>
    <row r="136" spans="1:14" ht="15" customHeight="1" x14ac:dyDescent="0.3">
      <c r="A136" s="198"/>
      <c r="B136" s="199" t="s">
        <v>216</v>
      </c>
      <c r="C136" s="200"/>
      <c r="D136" s="201">
        <f>SUM(D129:D135)</f>
        <v>1805</v>
      </c>
      <c r="E136" s="202"/>
      <c r="F136" s="202"/>
      <c r="G136" s="203">
        <f>SUM(G129:G135)</f>
        <v>19</v>
      </c>
      <c r="H136" s="201">
        <f>SUM(H129:H135)</f>
        <v>431</v>
      </c>
      <c r="I136" s="201">
        <f>SUM(I129:I135)</f>
        <v>5172</v>
      </c>
      <c r="J136">
        <f>SUM(D130:D135)</f>
        <v>1805</v>
      </c>
      <c r="K136">
        <f>SUM(G130:G135)</f>
        <v>19</v>
      </c>
      <c r="L136">
        <f>SUM(H130:H135)</f>
        <v>431</v>
      </c>
      <c r="M136">
        <f>SUM(I130:I135)</f>
        <v>5172</v>
      </c>
    </row>
    <row r="137" spans="1:14" ht="6" customHeight="1" x14ac:dyDescent="0.3">
      <c r="C137" s="72"/>
      <c r="J137" s="36"/>
      <c r="K137" s="36"/>
      <c r="L137" s="37"/>
      <c r="M137" s="36"/>
      <c r="N137" s="37"/>
    </row>
    <row r="138" spans="1:14" ht="15" customHeight="1" x14ac:dyDescent="0.3">
      <c r="A138" s="30">
        <v>46104</v>
      </c>
      <c r="B138" s="186" t="s">
        <v>78</v>
      </c>
      <c r="C138" s="187" t="s">
        <v>205</v>
      </c>
      <c r="D138" s="188" t="s">
        <v>206</v>
      </c>
      <c r="E138" s="188" t="s">
        <v>207</v>
      </c>
      <c r="F138" s="189" t="s">
        <v>208</v>
      </c>
      <c r="G138" s="188" t="s">
        <v>209</v>
      </c>
      <c r="H138" s="188" t="s">
        <v>210</v>
      </c>
      <c r="I138" s="188" t="s">
        <v>211</v>
      </c>
      <c r="J138" s="46"/>
      <c r="L138" s="44"/>
      <c r="N138" s="45"/>
    </row>
    <row r="139" spans="1:14" ht="21" customHeight="1" x14ac:dyDescent="0.3">
      <c r="A139" s="190"/>
      <c r="B139" s="191" t="s">
        <v>70</v>
      </c>
      <c r="C139" s="192">
        <v>600</v>
      </c>
      <c r="D139" s="193">
        <v>1140</v>
      </c>
      <c r="E139" s="194" t="s">
        <v>214</v>
      </c>
      <c r="F139" s="195">
        <f>IF($B139="","",IF(SUMIFS(CONFIG_PALLETS!$C:$C,CONFIG_PALLETS!$A:$A,TRIM($B139),CONFIG_PALLETS!$B:$B,$C139&amp;" ml")&gt;0,SUMIFS(CONFIG_PALLETS!$C:$C,CONFIG_PALLETS!$A:$A,TRIM($B139),CONFIG_PALLETS!$B:$B,$C139&amp;" ml"),IF(SUMIFS(CONFIG_PALLETS!$C:$C,CONFIG_PALLETS!$A:$A,"GERAL",CONFIG_PALLETS!$B:$B,$C139&amp;" ml")&gt;0,SUMIFS(CONFIG_PALLETS!$C:$C,CONFIG_PALLETS!$A:$A,"GERAL",CONFIG_PALLETS!$B:$B,$C139&amp;" ml"),"")))</f>
        <v>95</v>
      </c>
      <c r="G139" s="196">
        <f t="shared" ref="G139:G144" si="15">IFERROR(ROUNDUP(D139/F139,0),"")</f>
        <v>12</v>
      </c>
      <c r="H139" s="197">
        <v>635</v>
      </c>
      <c r="I139" s="193">
        <f>IF(H139="","",H139*IF(SUMIFS(CONFIG_PALLETS!$D:$D,CONFIG_PALLETS!$A:$A,IF(ISNUMBER(SEARCH("ESPUMA",$B139)),"ESPUMA",IF(OR(ISNUMBER(SEARCH("OLEO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ml")&gt;0,SUMIFS(CONFIG_PALLETS!$D:$D,CONFIG_PALLETS!$A:$A,IF(ISNUMBER(SEARCH("ESPUMA",$B139)),"ESPUMA",IF(OR(ISNUMBER(SEARCH("OLEO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ml"),IF(SUMIFS(CONFIG_PALLETS!$D:$D,CONFIG_PALLETS!$A:$A,"GERAL",CONFIG_PALLETS!$B:$B,$C139&amp;" ml")&gt;0,SUMIFS(CONFIG_PALLETS!$D:$D,CONFIG_PALLETS!$A:$A,"GERAL",CONFIG_PALLETS!$B:$B,$C139&amp;" ml"),12)))</f>
        <v>7620</v>
      </c>
      <c r="J139" s="55"/>
      <c r="L139" s="56"/>
      <c r="M139" s="57"/>
      <c r="N139" s="58"/>
    </row>
    <row r="140" spans="1:14" ht="21" customHeight="1" x14ac:dyDescent="0.3">
      <c r="A140" s="190"/>
      <c r="B140" s="191" t="s">
        <v>60</v>
      </c>
      <c r="C140" s="192">
        <v>600</v>
      </c>
      <c r="D140" s="193">
        <v>665</v>
      </c>
      <c r="E140" s="194" t="s">
        <v>214</v>
      </c>
      <c r="F140" s="195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>95</v>
      </c>
      <c r="G140" s="196">
        <f t="shared" si="15"/>
        <v>7</v>
      </c>
      <c r="H140" s="197">
        <v>86</v>
      </c>
      <c r="I140" s="193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>1032</v>
      </c>
      <c r="J140" s="46"/>
      <c r="L140" s="44"/>
      <c r="M140" s="57"/>
      <c r="N140" s="45"/>
    </row>
    <row r="141" spans="1:14" ht="21" customHeight="1" x14ac:dyDescent="0.3">
      <c r="A141" s="190"/>
      <c r="B141" s="191"/>
      <c r="C141" s="192"/>
      <c r="D141" s="193"/>
      <c r="E141" s="194" t="s">
        <v>214</v>
      </c>
      <c r="F141" s="195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196" t="str">
        <f t="shared" si="15"/>
        <v/>
      </c>
      <c r="H141" s="197"/>
      <c r="I141" s="193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  <c r="J141" s="55"/>
      <c r="L141" s="56"/>
      <c r="N141" s="58"/>
    </row>
    <row r="142" spans="1:14" ht="21" customHeight="1" x14ac:dyDescent="0.3">
      <c r="A142" s="190"/>
      <c r="B142" s="191"/>
      <c r="C142" s="192"/>
      <c r="D142" s="193"/>
      <c r="E142" s="194" t="s">
        <v>214</v>
      </c>
      <c r="F142" s="195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196" t="str">
        <f t="shared" si="15"/>
        <v/>
      </c>
      <c r="H142" s="197"/>
      <c r="I142" s="193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  <c r="J142" s="46"/>
      <c r="L142" s="44"/>
      <c r="N142" s="45"/>
    </row>
    <row r="143" spans="1:14" ht="21" customHeight="1" x14ac:dyDescent="0.3">
      <c r="A143" s="190"/>
      <c r="B143" s="191"/>
      <c r="C143" s="192"/>
      <c r="D143" s="193"/>
      <c r="E143" s="194" t="s">
        <v>214</v>
      </c>
      <c r="F143" s="195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196" t="str">
        <f t="shared" si="15"/>
        <v/>
      </c>
      <c r="H143" s="197"/>
      <c r="I143" s="193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  <c r="J143" s="55"/>
      <c r="L143" s="56"/>
      <c r="N143" s="58"/>
    </row>
    <row r="144" spans="1:14" ht="21" customHeight="1" x14ac:dyDescent="0.3">
      <c r="A144" s="190"/>
      <c r="B144" s="191"/>
      <c r="C144" s="192"/>
      <c r="D144" s="193"/>
      <c r="E144" s="194" t="s">
        <v>214</v>
      </c>
      <c r="F144" s="195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196" t="str">
        <f t="shared" si="15"/>
        <v/>
      </c>
      <c r="H144" s="197"/>
      <c r="I144" s="193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  <c r="J144" s="131"/>
      <c r="L144" s="129"/>
      <c r="N144" s="130"/>
    </row>
    <row r="145" spans="1:14" ht="15" customHeight="1" x14ac:dyDescent="0.3">
      <c r="A145" s="198"/>
      <c r="B145" s="199" t="s">
        <v>216</v>
      </c>
      <c r="C145" s="200"/>
      <c r="D145" s="201">
        <f>SUM(D138:D144)</f>
        <v>1805</v>
      </c>
      <c r="E145" s="202"/>
      <c r="F145" s="202"/>
      <c r="G145" s="203">
        <f>SUM(G138:G144)</f>
        <v>19</v>
      </c>
      <c r="H145" s="201">
        <f>SUM(H138:H144)</f>
        <v>721</v>
      </c>
      <c r="I145" s="201">
        <f>SUM(I138:I144)</f>
        <v>8652</v>
      </c>
      <c r="J145" s="55">
        <f>SUM(D139:D144)</f>
        <v>1805</v>
      </c>
      <c r="K145">
        <f>SUM(G139:G144)</f>
        <v>19</v>
      </c>
      <c r="L145" s="57">
        <f>SUM(H139:H144)</f>
        <v>721</v>
      </c>
      <c r="M145">
        <f>SUM(I139:I144)</f>
        <v>8652</v>
      </c>
      <c r="N145" s="130"/>
    </row>
    <row r="146" spans="1:14" ht="6" customHeight="1" x14ac:dyDescent="0.3">
      <c r="C146" s="72"/>
      <c r="L146" s="57"/>
      <c r="N146" s="91"/>
    </row>
    <row r="147" spans="1:14" ht="15" customHeight="1" x14ac:dyDescent="0.3">
      <c r="A147" s="30">
        <v>46105</v>
      </c>
      <c r="B147" s="186" t="s">
        <v>78</v>
      </c>
      <c r="C147" s="187" t="s">
        <v>205</v>
      </c>
      <c r="D147" s="188" t="s">
        <v>206</v>
      </c>
      <c r="E147" s="188" t="s">
        <v>207</v>
      </c>
      <c r="F147" s="189" t="s">
        <v>208</v>
      </c>
      <c r="G147" s="188" t="s">
        <v>209</v>
      </c>
      <c r="H147" s="188" t="s">
        <v>210</v>
      </c>
      <c r="I147" s="188" t="s">
        <v>211</v>
      </c>
      <c r="J147" s="68"/>
      <c r="K147" s="68"/>
      <c r="L147" s="94"/>
      <c r="M147" s="68"/>
      <c r="N147" s="95"/>
    </row>
    <row r="148" spans="1:14" ht="21" customHeight="1" x14ac:dyDescent="0.3">
      <c r="A148" s="190"/>
      <c r="B148" s="191" t="s">
        <v>60</v>
      </c>
      <c r="C148" s="192">
        <v>600</v>
      </c>
      <c r="D148" s="193">
        <v>579</v>
      </c>
      <c r="E148" s="194" t="s">
        <v>214</v>
      </c>
      <c r="F148" s="195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>95</v>
      </c>
      <c r="G148" s="196">
        <f t="shared" ref="G148:G153" si="16">IFERROR(ROUNDUP(D148/F148,0),"")</f>
        <v>7</v>
      </c>
      <c r="H148" s="197">
        <v>466</v>
      </c>
      <c r="I148" s="193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>5592</v>
      </c>
    </row>
    <row r="149" spans="1:14" ht="21" customHeight="1" x14ac:dyDescent="0.3">
      <c r="A149" s="190"/>
      <c r="B149" s="191" t="s">
        <v>66</v>
      </c>
      <c r="C149" s="192">
        <v>600</v>
      </c>
      <c r="D149" s="193">
        <v>384</v>
      </c>
      <c r="E149" s="194" t="s">
        <v>214</v>
      </c>
      <c r="F149" s="195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>95</v>
      </c>
      <c r="G149" s="196">
        <f t="shared" si="16"/>
        <v>5</v>
      </c>
      <c r="H149" s="197"/>
      <c r="I149" s="193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  <c r="J149" s="36"/>
      <c r="K149" s="36"/>
      <c r="L149" s="37"/>
      <c r="M149" s="36"/>
      <c r="N149" s="37"/>
    </row>
    <row r="150" spans="1:14" ht="21" customHeight="1" x14ac:dyDescent="0.3">
      <c r="A150" s="190"/>
      <c r="B150" s="191"/>
      <c r="C150" s="192"/>
      <c r="D150" s="193"/>
      <c r="E150" s="194" t="s">
        <v>214</v>
      </c>
      <c r="F150" s="195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196" t="str">
        <f t="shared" si="16"/>
        <v/>
      </c>
      <c r="H150" s="197"/>
      <c r="I150" s="193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  <c r="J150" s="46"/>
      <c r="L150" s="44"/>
      <c r="N150" s="45"/>
    </row>
    <row r="151" spans="1:14" ht="21" customHeight="1" x14ac:dyDescent="0.3">
      <c r="A151" s="190"/>
      <c r="B151" s="191"/>
      <c r="C151" s="192"/>
      <c r="D151" s="193"/>
      <c r="E151" s="194" t="s">
        <v>214</v>
      </c>
      <c r="F151" s="195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196" t="str">
        <f t="shared" si="16"/>
        <v/>
      </c>
      <c r="H151" s="197"/>
      <c r="I151" s="193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  <c r="J151" s="55"/>
      <c r="L151" s="56"/>
      <c r="M151" s="57"/>
      <c r="N151" s="58"/>
    </row>
    <row r="152" spans="1:14" ht="21" customHeight="1" x14ac:dyDescent="0.3">
      <c r="A152" s="190"/>
      <c r="B152" s="191"/>
      <c r="C152" s="192"/>
      <c r="D152" s="193"/>
      <c r="E152" s="194" t="s">
        <v>214</v>
      </c>
      <c r="F152" s="195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196" t="str">
        <f t="shared" si="16"/>
        <v/>
      </c>
      <c r="H152" s="197"/>
      <c r="I152" s="193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  <c r="J152" s="46"/>
      <c r="L152" s="44"/>
      <c r="M152" s="57"/>
      <c r="N152" s="45"/>
    </row>
    <row r="153" spans="1:14" ht="21" customHeight="1" x14ac:dyDescent="0.3">
      <c r="A153" s="190"/>
      <c r="B153" s="191"/>
      <c r="C153" s="192"/>
      <c r="D153" s="193"/>
      <c r="E153" s="194" t="s">
        <v>214</v>
      </c>
      <c r="F153" s="195" t="str">
        <f>IF($B153="","",IF(SUMIFS(CONFIG_PALLETS!$C:$C,CONFIG_PALLETS!$A:$A,TRIM($B153),CONFIG_PALLETS!$B:$B,$C153&amp;" ml")&gt;0,SUMIFS(CONFIG_PALLETS!$C:$C,CONFIG_PALLETS!$A:$A,TRIM($B153),CONFIG_PALLETS!$B:$B,$C153&amp;" ml"),IF(SUMIFS(CONFIG_PALLETS!$C:$C,CONFIG_PALLETS!$A:$A,"GERAL",CONFIG_PALLETS!$B:$B,$C153&amp;" ml")&gt;0,SUMIFS(CONFIG_PALLETS!$C:$C,CONFIG_PALLETS!$A:$A,"GERAL",CONFIG_PALLETS!$B:$B,$C153&amp;" ml"),"")))</f>
        <v/>
      </c>
      <c r="G153" s="196" t="str">
        <f t="shared" si="16"/>
        <v/>
      </c>
      <c r="H153" s="197"/>
      <c r="I153" s="193" t="str">
        <f>IF(H153="","",H153*IF(SUMIFS(CONFIG_PALLETS!$D:$D,CONFIG_PALLETS!$A:$A,IF(ISNUMBER(SEARCH("ESPUMA",$B153)),"ESPUMA",IF(OR(ISNUMBER(SEARCH("OLEO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ml")&gt;0,SUMIFS(CONFIG_PALLETS!$D:$D,CONFIG_PALLETS!$A:$A,IF(ISNUMBER(SEARCH("ESPUMA",$B153)),"ESPUMA",IF(OR(ISNUMBER(SEARCH("OLEO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ml"),IF(SUMIFS(CONFIG_PALLETS!$D:$D,CONFIG_PALLETS!$A:$A,"GERAL",CONFIG_PALLETS!$B:$B,$C153&amp;" ml")&gt;0,SUMIFS(CONFIG_PALLETS!$D:$D,CONFIG_PALLETS!$A:$A,"GERAL",CONFIG_PALLETS!$B:$B,$C153&amp;" ml"),12)))</f>
        <v/>
      </c>
      <c r="J153" s="55"/>
      <c r="L153" s="56"/>
      <c r="N153" s="58"/>
    </row>
    <row r="154" spans="1:14" ht="15" customHeight="1" x14ac:dyDescent="0.3">
      <c r="A154" s="198"/>
      <c r="B154" s="199" t="s">
        <v>216</v>
      </c>
      <c r="C154" s="200"/>
      <c r="D154" s="201">
        <f>SUM(D147:D153)</f>
        <v>963</v>
      </c>
      <c r="E154" s="202"/>
      <c r="F154" s="202"/>
      <c r="G154" s="203">
        <f>SUM(G147:G153)</f>
        <v>12</v>
      </c>
      <c r="H154" s="201">
        <f>SUM(H147:H153)</f>
        <v>466</v>
      </c>
      <c r="I154" s="201">
        <f>SUM(I147:I153)</f>
        <v>5592</v>
      </c>
      <c r="J154" s="46">
        <f>SUM(D148:D153)</f>
        <v>963</v>
      </c>
      <c r="K154">
        <f>SUM(G148:G153)</f>
        <v>12</v>
      </c>
      <c r="L154" s="44">
        <f>SUM(H148:H153)</f>
        <v>466</v>
      </c>
      <c r="M154">
        <f>SUM(I148:I153)</f>
        <v>5592</v>
      </c>
      <c r="N154" s="45"/>
    </row>
    <row r="155" spans="1:14" ht="6" customHeight="1" x14ac:dyDescent="0.3">
      <c r="C155" s="72"/>
      <c r="J155" s="55"/>
      <c r="L155" s="56"/>
      <c r="N155" s="58"/>
    </row>
    <row r="156" spans="1:14" ht="15" customHeight="1" x14ac:dyDescent="0.3">
      <c r="A156" s="30">
        <v>46106</v>
      </c>
      <c r="B156" s="186" t="s">
        <v>78</v>
      </c>
      <c r="C156" s="187" t="s">
        <v>205</v>
      </c>
      <c r="D156" s="188" t="s">
        <v>206</v>
      </c>
      <c r="E156" s="188" t="s">
        <v>207</v>
      </c>
      <c r="F156" s="189" t="s">
        <v>208</v>
      </c>
      <c r="G156" s="188" t="s">
        <v>209</v>
      </c>
      <c r="H156" s="188" t="s">
        <v>210</v>
      </c>
      <c r="I156" s="188" t="s">
        <v>211</v>
      </c>
      <c r="J156" s="68"/>
      <c r="K156" s="68"/>
      <c r="L156" s="94"/>
      <c r="M156" s="68"/>
      <c r="N156" s="95"/>
    </row>
    <row r="157" spans="1:14" ht="21" customHeight="1" x14ac:dyDescent="0.3">
      <c r="A157" s="190"/>
      <c r="B157" s="191" t="s">
        <v>60</v>
      </c>
      <c r="C157" s="192">
        <v>600</v>
      </c>
      <c r="D157" s="193">
        <v>113</v>
      </c>
      <c r="E157" s="194" t="s">
        <v>214</v>
      </c>
      <c r="F157" s="195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>95</v>
      </c>
      <c r="G157" s="196">
        <f t="shared" ref="G157:G162" si="17">IFERROR(ROUNDUP(D157/F157,0),"")</f>
        <v>2</v>
      </c>
      <c r="H157" s="197">
        <v>120</v>
      </c>
      <c r="I157" s="193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>1440</v>
      </c>
    </row>
    <row r="158" spans="1:14" ht="21" customHeight="1" x14ac:dyDescent="0.3">
      <c r="A158" s="190"/>
      <c r="B158" s="191" t="s">
        <v>66</v>
      </c>
      <c r="C158" s="192">
        <v>600</v>
      </c>
      <c r="D158" s="193">
        <v>384</v>
      </c>
      <c r="E158" s="194" t="s">
        <v>214</v>
      </c>
      <c r="F158" s="195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>95</v>
      </c>
      <c r="G158" s="196">
        <f t="shared" si="17"/>
        <v>5</v>
      </c>
      <c r="H158" s="197">
        <v>384</v>
      </c>
      <c r="I158" s="193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>4608</v>
      </c>
      <c r="J158" s="36"/>
      <c r="K158" s="36"/>
      <c r="L158" s="37"/>
      <c r="M158" s="36"/>
      <c r="N158" s="37"/>
    </row>
    <row r="159" spans="1:14" ht="21" customHeight="1" x14ac:dyDescent="0.3">
      <c r="A159" s="190"/>
      <c r="B159" s="191" t="s">
        <v>450</v>
      </c>
      <c r="C159" s="192">
        <v>100</v>
      </c>
      <c r="D159" s="193">
        <v>875</v>
      </c>
      <c r="E159" s="194" t="s">
        <v>214</v>
      </c>
      <c r="F159" s="195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>240</v>
      </c>
      <c r="G159" s="196">
        <f t="shared" si="17"/>
        <v>4</v>
      </c>
      <c r="H159" s="197">
        <v>251</v>
      </c>
      <c r="I159" s="193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>3012</v>
      </c>
      <c r="J159" s="55"/>
      <c r="L159" s="56"/>
      <c r="N159" s="58"/>
    </row>
    <row r="160" spans="1:14" ht="21" customHeight="1" x14ac:dyDescent="0.3">
      <c r="A160" s="190"/>
      <c r="B160" s="191"/>
      <c r="C160" s="192"/>
      <c r="D160" s="193"/>
      <c r="E160" s="194" t="s">
        <v>214</v>
      </c>
      <c r="F160" s="195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196" t="str">
        <f t="shared" si="17"/>
        <v/>
      </c>
      <c r="H160" s="197"/>
      <c r="I160" s="193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  <c r="J160" s="46"/>
      <c r="L160" s="44"/>
      <c r="M160" s="57"/>
      <c r="N160" s="45"/>
    </row>
    <row r="161" spans="1:14" ht="21" customHeight="1" x14ac:dyDescent="0.3">
      <c r="A161" s="190"/>
      <c r="B161" s="191"/>
      <c r="C161" s="192"/>
      <c r="D161" s="193"/>
      <c r="E161" s="194" t="s">
        <v>214</v>
      </c>
      <c r="F161" s="195" t="str">
        <f>IF($B161="","",IF(SUMIFS(CONFIG_PALLETS!$C:$C,CONFIG_PALLETS!$A:$A,TRIM($B161),CONFIG_PALLETS!$B:$B,$C161&amp;" ml")&gt;0,SUMIFS(CONFIG_PALLETS!$C:$C,CONFIG_PALLETS!$A:$A,TRIM($B161),CONFIG_PALLETS!$B:$B,$C161&amp;" ml"),IF(SUMIFS(CONFIG_PALLETS!$C:$C,CONFIG_PALLETS!$A:$A,"GERAL",CONFIG_PALLETS!$B:$B,$C161&amp;" ml")&gt;0,SUMIFS(CONFIG_PALLETS!$C:$C,CONFIG_PALLETS!$A:$A,"GERAL",CONFIG_PALLETS!$B:$B,$C161&amp;" ml"),"")))</f>
        <v/>
      </c>
      <c r="G161" s="196" t="str">
        <f t="shared" si="17"/>
        <v/>
      </c>
      <c r="H161" s="197"/>
      <c r="I161" s="193" t="str">
        <f>IF(H161="","",H161*IF(SUMIFS(CONFIG_PALLETS!$D:$D,CONFIG_PALLETS!$A:$A,IF(ISNUMBER(SEARCH("ESPUMA",$B161)),"ESPUMA",IF(OR(ISNUMBER(SEARCH("OLEO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ml")&gt;0,SUMIFS(CONFIG_PALLETS!$D:$D,CONFIG_PALLETS!$A:$A,IF(ISNUMBER(SEARCH("ESPUMA",$B161)),"ESPUMA",IF(OR(ISNUMBER(SEARCH("OLEO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ml"),IF(SUMIFS(CONFIG_PALLETS!$D:$D,CONFIG_PALLETS!$A:$A,"GERAL",CONFIG_PALLETS!$B:$B,$C161&amp;" ml")&gt;0,SUMIFS(CONFIG_PALLETS!$D:$D,CONFIG_PALLETS!$A:$A,"GERAL",CONFIG_PALLETS!$B:$B,$C161&amp;" ml"),12)))</f>
        <v/>
      </c>
      <c r="J161" s="55"/>
      <c r="L161" s="56"/>
      <c r="M161" s="57"/>
      <c r="N161" s="58"/>
    </row>
    <row r="162" spans="1:14" ht="21" customHeight="1" x14ac:dyDescent="0.3">
      <c r="A162" s="190"/>
      <c r="B162" s="191"/>
      <c r="C162" s="192"/>
      <c r="D162" s="193"/>
      <c r="E162" s="194" t="s">
        <v>214</v>
      </c>
      <c r="F162" s="195" t="str">
        <f>IF($B162="","",IF(SUMIFS(CONFIG_PALLETS!$C:$C,CONFIG_PALLETS!$A:$A,TRIM($B162),CONFIG_PALLETS!$B:$B,$C162&amp;" ml")&gt;0,SUMIFS(CONFIG_PALLETS!$C:$C,CONFIG_PALLETS!$A:$A,TRIM($B162),CONFIG_PALLETS!$B:$B,$C162&amp;" ml"),IF(SUMIFS(CONFIG_PALLETS!$C:$C,CONFIG_PALLETS!$A:$A,"GERAL",CONFIG_PALLETS!$B:$B,$C162&amp;" ml")&gt;0,SUMIFS(CONFIG_PALLETS!$C:$C,CONFIG_PALLETS!$A:$A,"GERAL",CONFIG_PALLETS!$B:$B,$C162&amp;" ml"),"")))</f>
        <v/>
      </c>
      <c r="G162" s="196" t="str">
        <f t="shared" si="17"/>
        <v/>
      </c>
      <c r="H162" s="197"/>
      <c r="I162" s="193" t="str">
        <f>IF(H162="","",H162*IF(SUMIFS(CONFIG_PALLETS!$D:$D,CONFIG_PALLETS!$A:$A,IF(ISNUMBER(SEARCH("ESPUMA",$B162)),"ESPUMA",IF(OR(ISNUMBER(SEARCH("OLEO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ml")&gt;0,SUMIFS(CONFIG_PALLETS!$D:$D,CONFIG_PALLETS!$A:$A,IF(ISNUMBER(SEARCH("ESPUMA",$B162)),"ESPUMA",IF(OR(ISNUMBER(SEARCH("OLEO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ml"),IF(SUMIFS(CONFIG_PALLETS!$D:$D,CONFIG_PALLETS!$A:$A,"GERAL",CONFIG_PALLETS!$B:$B,$C162&amp;" ml")&gt;0,SUMIFS(CONFIG_PALLETS!$D:$D,CONFIG_PALLETS!$A:$A,"GERAL",CONFIG_PALLETS!$B:$B,$C162&amp;" ml"),12)))</f>
        <v/>
      </c>
      <c r="J162" s="46"/>
      <c r="L162" s="44"/>
      <c r="N162" s="45"/>
    </row>
    <row r="163" spans="1:14" ht="15" customHeight="1" x14ac:dyDescent="0.3">
      <c r="A163" s="198"/>
      <c r="B163" s="199" t="s">
        <v>216</v>
      </c>
      <c r="C163" s="200"/>
      <c r="D163" s="201">
        <f>SUM(D156:D162)</f>
        <v>1372</v>
      </c>
      <c r="E163" s="202"/>
      <c r="F163" s="202"/>
      <c r="G163" s="203">
        <f>SUM(G156:G162)</f>
        <v>11</v>
      </c>
      <c r="H163" s="201">
        <f>SUM(H156:H162)</f>
        <v>755</v>
      </c>
      <c r="I163" s="201">
        <f>SUM(I156:I162)</f>
        <v>9060</v>
      </c>
      <c r="J163" s="55">
        <f>SUM(D157:D162)</f>
        <v>1372</v>
      </c>
      <c r="K163">
        <f>SUM(G157:G162)</f>
        <v>11</v>
      </c>
      <c r="L163" s="56">
        <f>SUM(H157:H162)</f>
        <v>755</v>
      </c>
      <c r="M163">
        <f>SUM(I157:I162)</f>
        <v>9060</v>
      </c>
      <c r="N163" s="58"/>
    </row>
    <row r="164" spans="1:14" ht="6" customHeight="1" x14ac:dyDescent="0.3">
      <c r="C164" s="72"/>
      <c r="J164" s="125"/>
      <c r="K164" s="68"/>
      <c r="L164" s="126"/>
      <c r="M164" s="68"/>
      <c r="N164" s="127"/>
    </row>
    <row r="165" spans="1:14" ht="15" customHeight="1" x14ac:dyDescent="0.3">
      <c r="A165" s="30">
        <v>46107</v>
      </c>
      <c r="B165" s="186" t="s">
        <v>78</v>
      </c>
      <c r="C165" s="187" t="s">
        <v>205</v>
      </c>
      <c r="D165" s="188" t="s">
        <v>206</v>
      </c>
      <c r="E165" s="188" t="s">
        <v>207</v>
      </c>
      <c r="F165" s="189" t="s">
        <v>208</v>
      </c>
      <c r="G165" s="188" t="s">
        <v>209</v>
      </c>
      <c r="H165" s="188" t="s">
        <v>210</v>
      </c>
      <c r="I165" s="188" t="s">
        <v>211</v>
      </c>
    </row>
    <row r="166" spans="1:14" ht="21" customHeight="1" x14ac:dyDescent="0.3">
      <c r="A166" s="190"/>
      <c r="B166" s="191" t="s">
        <v>450</v>
      </c>
      <c r="C166" s="192">
        <v>100</v>
      </c>
      <c r="D166" s="193">
        <v>624</v>
      </c>
      <c r="E166" s="194" t="s">
        <v>214</v>
      </c>
      <c r="F166" s="195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>240</v>
      </c>
      <c r="G166" s="196">
        <f t="shared" ref="G166:G171" si="18">IFERROR(ROUNDUP(D166/F166,0),"")</f>
        <v>3</v>
      </c>
      <c r="H166" s="197">
        <v>1488</v>
      </c>
      <c r="I166" s="193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>17856</v>
      </c>
      <c r="J166" s="34"/>
      <c r="K166" s="36"/>
      <c r="L166" s="134"/>
      <c r="M166" s="36"/>
      <c r="N166" s="89"/>
    </row>
    <row r="167" spans="1:14" ht="21" customHeight="1" x14ac:dyDescent="0.3">
      <c r="A167" s="190"/>
      <c r="B167" s="191"/>
      <c r="C167" s="192"/>
      <c r="D167" s="193"/>
      <c r="E167" s="194" t="s">
        <v>214</v>
      </c>
      <c r="F167" s="195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196" t="str">
        <f t="shared" si="18"/>
        <v/>
      </c>
      <c r="H167" s="197"/>
      <c r="I167" s="193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  <c r="L167" s="57"/>
      <c r="N167" s="91"/>
    </row>
    <row r="168" spans="1:14" ht="21" customHeight="1" x14ac:dyDescent="0.3">
      <c r="A168" s="190"/>
      <c r="B168" s="191"/>
      <c r="C168" s="192"/>
      <c r="D168" s="193"/>
      <c r="E168" s="194" t="s">
        <v>214</v>
      </c>
      <c r="F168" s="195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196" t="str">
        <f t="shared" si="18"/>
        <v/>
      </c>
      <c r="H168" s="197"/>
      <c r="I168" s="193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  <c r="L168" s="57"/>
      <c r="M168" s="57"/>
      <c r="N168" s="91"/>
    </row>
    <row r="169" spans="1:14" ht="21" customHeight="1" x14ac:dyDescent="0.3">
      <c r="A169" s="190"/>
      <c r="B169" s="191"/>
      <c r="C169" s="192"/>
      <c r="D169" s="193"/>
      <c r="E169" s="194" t="s">
        <v>214</v>
      </c>
      <c r="F169" s="195" t="str">
        <f>IF($B169="","",IF(SUMIFS(CONFIG_PALLETS!$C:$C,CONFIG_PALLETS!$A:$A,TRIM($B169),CONFIG_PALLETS!$B:$B,$C169&amp;" ml")&gt;0,SUMIFS(CONFIG_PALLETS!$C:$C,CONFIG_PALLETS!$A:$A,TRIM($B169),CONFIG_PALLETS!$B:$B,$C169&amp;" ml"),IF(SUMIFS(CONFIG_PALLETS!$C:$C,CONFIG_PALLETS!$A:$A,"GERAL",CONFIG_PALLETS!$B:$B,$C169&amp;" ml")&gt;0,SUMIFS(CONFIG_PALLETS!$C:$C,CONFIG_PALLETS!$A:$A,"GERAL",CONFIG_PALLETS!$B:$B,$C169&amp;" ml"),"")))</f>
        <v/>
      </c>
      <c r="G169" s="196" t="str">
        <f t="shared" si="18"/>
        <v/>
      </c>
      <c r="H169" s="197"/>
      <c r="I169" s="193" t="str">
        <f>IF(H169="","",H169*IF(SUMIFS(CONFIG_PALLETS!$D:$D,CONFIG_PALLETS!$A:$A,IF(ISNUMBER(SEARCH("ESPUMA",$B169)),"ESPUMA",IF(OR(ISNUMBER(SEARCH("OLEO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ml")&gt;0,SUMIFS(CONFIG_PALLETS!$D:$D,CONFIG_PALLETS!$A:$A,IF(ISNUMBER(SEARCH("ESPUMA",$B169)),"ESPUMA",IF(OR(ISNUMBER(SEARCH("OLEO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ml"),IF(SUMIFS(CONFIG_PALLETS!$D:$D,CONFIG_PALLETS!$A:$A,"GERAL",CONFIG_PALLETS!$B:$B,$C169&amp;" ml")&gt;0,SUMIFS(CONFIG_PALLETS!$D:$D,CONFIG_PALLETS!$A:$A,"GERAL",CONFIG_PALLETS!$B:$B,$C169&amp;" ml"),12)))</f>
        <v/>
      </c>
      <c r="L169" s="57"/>
      <c r="M169" s="57"/>
      <c r="N169" s="91"/>
    </row>
    <row r="170" spans="1:14" ht="21" customHeight="1" x14ac:dyDescent="0.3">
      <c r="A170" s="190"/>
      <c r="B170" s="191"/>
      <c r="C170" s="192"/>
      <c r="D170" s="193"/>
      <c r="E170" s="194" t="s">
        <v>214</v>
      </c>
      <c r="F170" s="195" t="str">
        <f>IF($B170="","",IF(SUMIFS(CONFIG_PALLETS!$C:$C,CONFIG_PALLETS!$A:$A,TRIM($B170),CONFIG_PALLETS!$B:$B,$C170&amp;" ml")&gt;0,SUMIFS(CONFIG_PALLETS!$C:$C,CONFIG_PALLETS!$A:$A,TRIM($B170),CONFIG_PALLETS!$B:$B,$C170&amp;" ml"),IF(SUMIFS(CONFIG_PALLETS!$C:$C,CONFIG_PALLETS!$A:$A,"GERAL",CONFIG_PALLETS!$B:$B,$C170&amp;" ml")&gt;0,SUMIFS(CONFIG_PALLETS!$C:$C,CONFIG_PALLETS!$A:$A,"GERAL",CONFIG_PALLETS!$B:$B,$C170&amp;" ml"),"")))</f>
        <v/>
      </c>
      <c r="G170" s="196" t="str">
        <f t="shared" si="18"/>
        <v/>
      </c>
      <c r="H170" s="197"/>
      <c r="I170" s="193" t="str">
        <f>IF(H170="","",H170*IF(SUMIFS(CONFIG_PALLETS!$D:$D,CONFIG_PALLETS!$A:$A,IF(ISNUMBER(SEARCH("ESPUMA",$B170)),"ESPUMA",IF(OR(ISNUMBER(SEARCH("OLEO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ml")&gt;0,SUMIFS(CONFIG_PALLETS!$D:$D,CONFIG_PALLETS!$A:$A,IF(ISNUMBER(SEARCH("ESPUMA",$B170)),"ESPUMA",IF(OR(ISNUMBER(SEARCH("OLEO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ml"),IF(SUMIFS(CONFIG_PALLETS!$D:$D,CONFIG_PALLETS!$A:$A,"GERAL",CONFIG_PALLETS!$B:$B,$C170&amp;" ml")&gt;0,SUMIFS(CONFIG_PALLETS!$D:$D,CONFIG_PALLETS!$A:$A,"GERAL",CONFIG_PALLETS!$B:$B,$C170&amp;" ml"),12)))</f>
        <v/>
      </c>
      <c r="L170" s="57"/>
      <c r="N170" s="91"/>
    </row>
    <row r="171" spans="1:14" ht="21" customHeight="1" x14ac:dyDescent="0.3">
      <c r="A171" s="190"/>
      <c r="B171" s="191"/>
      <c r="C171" s="192"/>
      <c r="D171" s="193"/>
      <c r="E171" s="194" t="s">
        <v>214</v>
      </c>
      <c r="F171" s="195" t="str">
        <f>IF($B171="","",IF(SUMIFS(CONFIG_PALLETS!$C:$C,CONFIG_PALLETS!$A:$A,TRIM($B171),CONFIG_PALLETS!$B:$B,$C171&amp;" ml")&gt;0,SUMIFS(CONFIG_PALLETS!$C:$C,CONFIG_PALLETS!$A:$A,TRIM($B171),CONFIG_PALLETS!$B:$B,$C171&amp;" ml"),IF(SUMIFS(CONFIG_PALLETS!$C:$C,CONFIG_PALLETS!$A:$A,"GERAL",CONFIG_PALLETS!$B:$B,$C171&amp;" ml")&gt;0,SUMIFS(CONFIG_PALLETS!$C:$C,CONFIG_PALLETS!$A:$A,"GERAL",CONFIG_PALLETS!$B:$B,$C171&amp;" ml"),"")))</f>
        <v/>
      </c>
      <c r="G171" s="196" t="str">
        <f t="shared" si="18"/>
        <v/>
      </c>
      <c r="H171" s="197"/>
      <c r="I171" s="193" t="str">
        <f>IF(H171="","",H171*IF(SUMIFS(CONFIG_PALLETS!$D:$D,CONFIG_PALLETS!$A:$A,IF(ISNUMBER(SEARCH("ESPUMA",$B171)),"ESPUMA",IF(OR(ISNUMBER(SEARCH("OLEO DE COCO",$B171)),ISNUMBER(SEARCH("ÓLEO DE COCO",$B171)),ISNUMBER(SEARCH("COPRA",$B171))),"ÓLEO DE COCO",IF(ISNUMBER(SEARCH("CORANTE",$B171)),"CORANTE",TRIM($B171)))),CONFIG_PALLETS!$B:$B,$C171&amp;" ml")&gt;0,SUMIFS(CONFIG_PALLETS!$D:$D,CONFIG_PALLETS!$A:$A,IF(ISNUMBER(SEARCH("ESPUMA",$B171)),"ESPUMA",IF(OR(ISNUMBER(SEARCH("OLEO DE COCO",$B171)),ISNUMBER(SEARCH("ÓLEO DE COCO",$B171)),ISNUMBER(SEARCH("COPRA",$B171))),"ÓLEO DE COCO",IF(ISNUMBER(SEARCH("CORANTE",$B171)),"CORANTE",TRIM($B171)))),CONFIG_PALLETS!$B:$B,$C171&amp;" ml"),IF(SUMIFS(CONFIG_PALLETS!$D:$D,CONFIG_PALLETS!$A:$A,"GERAL",CONFIG_PALLETS!$B:$B,$C171&amp;" ml")&gt;0,SUMIFS(CONFIG_PALLETS!$D:$D,CONFIG_PALLETS!$A:$A,"GERAL",CONFIG_PALLETS!$B:$B,$C171&amp;" ml"),12)))</f>
        <v/>
      </c>
      <c r="L171" s="57"/>
      <c r="N171" s="91"/>
    </row>
    <row r="172" spans="1:14" ht="15" customHeight="1" x14ac:dyDescent="0.3">
      <c r="A172" s="198"/>
      <c r="B172" s="199" t="s">
        <v>216</v>
      </c>
      <c r="C172" s="200"/>
      <c r="D172" s="201">
        <f>SUM(D165:D171)</f>
        <v>624</v>
      </c>
      <c r="E172" s="202"/>
      <c r="F172" s="202"/>
      <c r="G172" s="203">
        <f>SUM(G165:G171)</f>
        <v>3</v>
      </c>
      <c r="H172" s="201">
        <f>SUM(H165:H171)</f>
        <v>1488</v>
      </c>
      <c r="I172" s="201">
        <f>SUM(I165:I171)</f>
        <v>17856</v>
      </c>
      <c r="J172" s="68">
        <f>SUM(D166:D171)</f>
        <v>624</v>
      </c>
      <c r="K172" s="68">
        <f>SUM(G166:G171)</f>
        <v>3</v>
      </c>
      <c r="L172" s="140">
        <f>SUM(H166:H171)</f>
        <v>1488</v>
      </c>
      <c r="M172" s="68">
        <f>SUM(I166:I171)</f>
        <v>17856</v>
      </c>
      <c r="N172" s="75"/>
    </row>
    <row r="173" spans="1:14" ht="6" customHeight="1" x14ac:dyDescent="0.3">
      <c r="C173" s="72"/>
    </row>
    <row r="174" spans="1:14" ht="15" customHeight="1" x14ac:dyDescent="0.3">
      <c r="A174" s="30">
        <v>46108</v>
      </c>
      <c r="B174" s="186" t="s">
        <v>78</v>
      </c>
      <c r="C174" s="187" t="s">
        <v>205</v>
      </c>
      <c r="D174" s="188" t="s">
        <v>206</v>
      </c>
      <c r="E174" s="188" t="s">
        <v>207</v>
      </c>
      <c r="F174" s="189" t="s">
        <v>208</v>
      </c>
      <c r="G174" s="188" t="s">
        <v>209</v>
      </c>
      <c r="H174" s="188" t="s">
        <v>210</v>
      </c>
      <c r="I174" s="188" t="s">
        <v>211</v>
      </c>
      <c r="J174" s="34"/>
      <c r="K174" s="36"/>
      <c r="L174" s="134"/>
      <c r="M174" s="36"/>
      <c r="N174" s="89"/>
    </row>
    <row r="175" spans="1:14" ht="21" customHeight="1" x14ac:dyDescent="0.3">
      <c r="A175" s="190"/>
      <c r="B175" s="191" t="s">
        <v>330</v>
      </c>
      <c r="C175" s="192">
        <v>100</v>
      </c>
      <c r="D175" s="193">
        <v>546</v>
      </c>
      <c r="E175" s="194" t="s">
        <v>214</v>
      </c>
      <c r="F175" s="195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>240</v>
      </c>
      <c r="G175" s="196">
        <f t="shared" ref="G175:G180" si="19">IFERROR(ROUNDUP(D175/F175,0),"")</f>
        <v>3</v>
      </c>
      <c r="H175" s="197">
        <v>780</v>
      </c>
      <c r="I175" s="193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>9360</v>
      </c>
      <c r="L175" s="57"/>
      <c r="N175" s="91"/>
    </row>
    <row r="176" spans="1:14" ht="21" customHeight="1" x14ac:dyDescent="0.3">
      <c r="A176" s="190"/>
      <c r="B176" s="191" t="s">
        <v>329</v>
      </c>
      <c r="C176" s="192">
        <v>100</v>
      </c>
      <c r="D176" s="193">
        <v>835</v>
      </c>
      <c r="E176" s="194" t="s">
        <v>214</v>
      </c>
      <c r="F176" s="195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>240</v>
      </c>
      <c r="G176" s="196">
        <f t="shared" si="19"/>
        <v>4</v>
      </c>
      <c r="H176" s="197">
        <v>255</v>
      </c>
      <c r="I176" s="193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>3060</v>
      </c>
      <c r="L176" s="57"/>
      <c r="M176" s="57"/>
      <c r="N176" s="91"/>
    </row>
    <row r="177" spans="1:14" ht="21" customHeight="1" x14ac:dyDescent="0.3">
      <c r="A177" s="190"/>
      <c r="B177" s="191"/>
      <c r="C177" s="192"/>
      <c r="D177" s="193"/>
      <c r="E177" s="194" t="s">
        <v>214</v>
      </c>
      <c r="F177" s="195" t="str">
        <f>IF($B177="","",IF(SUMIFS(CONFIG_PALLETS!$C:$C,CONFIG_PALLETS!$A:$A,TRIM($B177),CONFIG_PALLETS!$B:$B,$C177&amp;" ml")&gt;0,SUMIFS(CONFIG_PALLETS!$C:$C,CONFIG_PALLETS!$A:$A,TRIM($B177),CONFIG_PALLETS!$B:$B,$C177&amp;" ml"),IF(SUMIFS(CONFIG_PALLETS!$C:$C,CONFIG_PALLETS!$A:$A,"GERAL",CONFIG_PALLETS!$B:$B,$C177&amp;" ml")&gt;0,SUMIFS(CONFIG_PALLETS!$C:$C,CONFIG_PALLETS!$A:$A,"GERAL",CONFIG_PALLETS!$B:$B,$C177&amp;" ml"),"")))</f>
        <v/>
      </c>
      <c r="G177" s="196" t="str">
        <f t="shared" si="19"/>
        <v/>
      </c>
      <c r="H177" s="197"/>
      <c r="I177" s="193" t="str">
        <f>IF(H177="","",H177*IF(SUMIFS(CONFIG_PALLETS!$D:$D,CONFIG_PALLETS!$A:$A,IF(ISNUMBER(SEARCH("ESPUMA",$B177)),"ESPUMA",IF(OR(ISNUMBER(SEARCH("OLEO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ml")&gt;0,SUMIFS(CONFIG_PALLETS!$D:$D,CONFIG_PALLETS!$A:$A,IF(ISNUMBER(SEARCH("ESPUMA",$B177)),"ESPUMA",IF(OR(ISNUMBER(SEARCH("OLEO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ml"),IF(SUMIFS(CONFIG_PALLETS!$D:$D,CONFIG_PALLETS!$A:$A,"GERAL",CONFIG_PALLETS!$B:$B,$C177&amp;" ml")&gt;0,SUMIFS(CONFIG_PALLETS!$D:$D,CONFIG_PALLETS!$A:$A,"GERAL",CONFIG_PALLETS!$B:$B,$C177&amp;" ml"),12)))</f>
        <v/>
      </c>
      <c r="L177" s="57"/>
      <c r="M177" s="57"/>
      <c r="N177" s="91"/>
    </row>
    <row r="178" spans="1:14" ht="21" customHeight="1" x14ac:dyDescent="0.3">
      <c r="A178" s="190"/>
      <c r="B178" s="191"/>
      <c r="C178" s="192"/>
      <c r="D178" s="193"/>
      <c r="E178" s="194" t="s">
        <v>214</v>
      </c>
      <c r="F178" s="195" t="str">
        <f>IF($B178="","",IF(SUMIFS(CONFIG_PALLETS!$C:$C,CONFIG_PALLETS!$A:$A,TRIM($B178),CONFIG_PALLETS!$B:$B,$C178&amp;" ml")&gt;0,SUMIFS(CONFIG_PALLETS!$C:$C,CONFIG_PALLETS!$A:$A,TRIM($B178),CONFIG_PALLETS!$B:$B,$C178&amp;" ml"),IF(SUMIFS(CONFIG_PALLETS!$C:$C,CONFIG_PALLETS!$A:$A,"GERAL",CONFIG_PALLETS!$B:$B,$C178&amp;" ml")&gt;0,SUMIFS(CONFIG_PALLETS!$C:$C,CONFIG_PALLETS!$A:$A,"GERAL",CONFIG_PALLETS!$B:$B,$C178&amp;" ml"),"")))</f>
        <v/>
      </c>
      <c r="G178" s="196" t="str">
        <f t="shared" si="19"/>
        <v/>
      </c>
      <c r="H178" s="197"/>
      <c r="I178" s="193" t="str">
        <f>IF(H178="","",H178*IF(SUMIFS(CONFIG_PALLETS!$D:$D,CONFIG_PALLETS!$A:$A,IF(ISNUMBER(SEARCH("ESPUMA",$B178)),"ESPUMA",IF(OR(ISNUMBER(SEARCH("OLEO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ml")&gt;0,SUMIFS(CONFIG_PALLETS!$D:$D,CONFIG_PALLETS!$A:$A,IF(ISNUMBER(SEARCH("ESPUMA",$B178)),"ESPUMA",IF(OR(ISNUMBER(SEARCH("OLEO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ml"),IF(SUMIFS(CONFIG_PALLETS!$D:$D,CONFIG_PALLETS!$A:$A,"GERAL",CONFIG_PALLETS!$B:$B,$C178&amp;" ml")&gt;0,SUMIFS(CONFIG_PALLETS!$D:$D,CONFIG_PALLETS!$A:$A,"GERAL",CONFIG_PALLETS!$B:$B,$C178&amp;" ml"),12)))</f>
        <v/>
      </c>
      <c r="L178" s="57"/>
      <c r="N178" s="91"/>
    </row>
    <row r="179" spans="1:14" ht="21" customHeight="1" x14ac:dyDescent="0.3">
      <c r="A179" s="190"/>
      <c r="B179" s="191"/>
      <c r="C179" s="192"/>
      <c r="D179" s="193"/>
      <c r="E179" s="194" t="s">
        <v>214</v>
      </c>
      <c r="F179" s="195" t="str">
        <f>IF($B179="","",IF(SUMIFS(CONFIG_PALLETS!$C:$C,CONFIG_PALLETS!$A:$A,TRIM($B179),CONFIG_PALLETS!$B:$B,$C179&amp;" ml")&gt;0,SUMIFS(CONFIG_PALLETS!$C:$C,CONFIG_PALLETS!$A:$A,TRIM($B179),CONFIG_PALLETS!$B:$B,$C179&amp;" ml"),IF(SUMIFS(CONFIG_PALLETS!$C:$C,CONFIG_PALLETS!$A:$A,"GERAL",CONFIG_PALLETS!$B:$B,$C179&amp;" ml")&gt;0,SUMIFS(CONFIG_PALLETS!$C:$C,CONFIG_PALLETS!$A:$A,"GERAL",CONFIG_PALLETS!$B:$B,$C179&amp;" ml"),"")))</f>
        <v/>
      </c>
      <c r="G179" s="196" t="str">
        <f t="shared" si="19"/>
        <v/>
      </c>
      <c r="H179" s="197"/>
      <c r="I179" s="193" t="str">
        <f>IF(H179="","",H179*IF(SUMIFS(CONFIG_PALLETS!$D:$D,CONFIG_PALLETS!$A:$A,IF(ISNUMBER(SEARCH("ESPUMA",$B179)),"ESPUMA",IF(OR(ISNUMBER(SEARCH("OLEO DE COCO",$B179)),ISNUMBER(SEARCH("ÓLEO DE COCO",$B179)),ISNUMBER(SEARCH("COPRA",$B179))),"ÓLEO DE COCO",IF(ISNUMBER(SEARCH("CORANTE",$B179)),"CORANTE",TRIM($B179)))),CONFIG_PALLETS!$B:$B,$C179&amp;" ml")&gt;0,SUMIFS(CONFIG_PALLETS!$D:$D,CONFIG_PALLETS!$A:$A,IF(ISNUMBER(SEARCH("ESPUMA",$B179)),"ESPUMA",IF(OR(ISNUMBER(SEARCH("OLEO DE COCO",$B179)),ISNUMBER(SEARCH("ÓLEO DE COCO",$B179)),ISNUMBER(SEARCH("COPRA",$B179))),"ÓLEO DE COCO",IF(ISNUMBER(SEARCH("CORANTE",$B179)),"CORANTE",TRIM($B179)))),CONFIG_PALLETS!$B:$B,$C179&amp;" ml"),IF(SUMIFS(CONFIG_PALLETS!$D:$D,CONFIG_PALLETS!$A:$A,"GERAL",CONFIG_PALLETS!$B:$B,$C179&amp;" ml")&gt;0,SUMIFS(CONFIG_PALLETS!$D:$D,CONFIG_PALLETS!$A:$A,"GERAL",CONFIG_PALLETS!$B:$B,$C179&amp;" ml"),12)))</f>
        <v/>
      </c>
      <c r="L179" s="57"/>
      <c r="N179" s="91"/>
    </row>
    <row r="180" spans="1:14" ht="21" customHeight="1" x14ac:dyDescent="0.3">
      <c r="A180" s="190"/>
      <c r="B180" s="191"/>
      <c r="C180" s="192"/>
      <c r="D180" s="193"/>
      <c r="E180" s="194" t="s">
        <v>214</v>
      </c>
      <c r="F180" s="195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196" t="str">
        <f t="shared" si="19"/>
        <v/>
      </c>
      <c r="H180" s="197"/>
      <c r="I180" s="193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  <c r="J180" s="68"/>
      <c r="K180" s="68"/>
      <c r="L180" s="140"/>
      <c r="M180" s="68"/>
      <c r="N180" s="75"/>
    </row>
    <row r="181" spans="1:14" ht="15" customHeight="1" x14ac:dyDescent="0.3">
      <c r="A181" s="198"/>
      <c r="B181" s="199" t="s">
        <v>216</v>
      </c>
      <c r="C181" s="200"/>
      <c r="D181" s="201">
        <f>SUM(D174:D180)</f>
        <v>1381</v>
      </c>
      <c r="E181" s="202"/>
      <c r="F181" s="202"/>
      <c r="G181" s="203">
        <f>SUM(G174:G180)</f>
        <v>7</v>
      </c>
      <c r="H181" s="201">
        <f>SUM(H174:H180)</f>
        <v>1035</v>
      </c>
      <c r="I181" s="201">
        <f>SUM(I174:I180)</f>
        <v>12420</v>
      </c>
      <c r="J181">
        <f>SUM(D175:D180)</f>
        <v>1381</v>
      </c>
      <c r="K181">
        <f>SUM(G175:G180)</f>
        <v>7</v>
      </c>
      <c r="L181">
        <f>SUM(H175:H180)</f>
        <v>1035</v>
      </c>
      <c r="M181">
        <f>SUM(I175:I180)</f>
        <v>12420</v>
      </c>
    </row>
    <row r="182" spans="1:14" ht="6" customHeight="1" x14ac:dyDescent="0.3">
      <c r="C182" s="72"/>
    </row>
    <row r="183" spans="1:14" ht="15" customHeight="1" x14ac:dyDescent="0.3">
      <c r="A183" s="30">
        <v>46111</v>
      </c>
      <c r="B183" s="186" t="s">
        <v>78</v>
      </c>
      <c r="C183" s="187" t="s">
        <v>205</v>
      </c>
      <c r="D183" s="188" t="s">
        <v>206</v>
      </c>
      <c r="E183" s="188" t="s">
        <v>207</v>
      </c>
      <c r="F183" s="189" t="s">
        <v>208</v>
      </c>
      <c r="G183" s="188" t="s">
        <v>209</v>
      </c>
      <c r="H183" s="188" t="s">
        <v>210</v>
      </c>
      <c r="I183" s="188" t="s">
        <v>211</v>
      </c>
    </row>
    <row r="184" spans="1:14" ht="21" customHeight="1" x14ac:dyDescent="0.3">
      <c r="A184" s="190"/>
      <c r="B184" s="191" t="s">
        <v>329</v>
      </c>
      <c r="C184" s="192">
        <v>100</v>
      </c>
      <c r="D184" s="193">
        <v>580</v>
      </c>
      <c r="E184" s="194" t="s">
        <v>214</v>
      </c>
      <c r="F184" s="195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>240</v>
      </c>
      <c r="G184" s="196">
        <f t="shared" ref="G184:G189" si="20">IFERROR(ROUNDUP(D184/F184,0),"")</f>
        <v>3</v>
      </c>
      <c r="H184" s="197">
        <v>571</v>
      </c>
      <c r="I184" s="193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>6852</v>
      </c>
    </row>
    <row r="185" spans="1:14" ht="21" customHeight="1" x14ac:dyDescent="0.3">
      <c r="A185" s="190"/>
      <c r="B185" s="191" t="s">
        <v>54</v>
      </c>
      <c r="C185" s="192">
        <v>180</v>
      </c>
      <c r="D185" s="193">
        <v>1200</v>
      </c>
      <c r="E185" s="194" t="s">
        <v>214</v>
      </c>
      <c r="F185" s="195">
        <f>IF($B185="","",IF(SUMIFS(CONFIG_PALLETS!$C:$C,CONFIG_PALLETS!$A:$A,TRIM($B185),CONFIG_PALLETS!$B:$B,$C185&amp;" ml")&gt;0,SUMIFS(CONFIG_PALLETS!$C:$C,CONFIG_PALLETS!$A:$A,TRIM($B185),CONFIG_PALLETS!$B:$B,$C185&amp;" ml"),IF(SUMIFS(CONFIG_PALLETS!$C:$C,CONFIG_PALLETS!$A:$A,"GERAL",CONFIG_PALLETS!$B:$B,$C185&amp;" ml")&gt;0,SUMIFS(CONFIG_PALLETS!$C:$C,CONFIG_PALLETS!$A:$A,"GERAL",CONFIG_PALLETS!$B:$B,$C185&amp;" ml"),"")))</f>
        <v>240</v>
      </c>
      <c r="G185" s="196">
        <f t="shared" si="20"/>
        <v>5</v>
      </c>
      <c r="H185" s="197">
        <v>896</v>
      </c>
      <c r="I185" s="193">
        <f>IF(H185="","",H185*IF(SUMIFS(CONFIG_PALLETS!$D:$D,CONFIG_PALLETS!$A:$A,IF(ISNUMBER(SEARCH("ESPUMA",$B185)),"ESPUMA",IF(OR(ISNUMBER(SEARCH("OLEO DE COCO",$B185)),ISNUMBER(SEARCH("ÓLEO DE COCO",$B185)),ISNUMBER(SEARCH("COPRA",$B185))),"ÓLEO DE COCO",IF(ISNUMBER(SEARCH("CORANTE",$B185)),"CORANTE",TRIM($B185)))),CONFIG_PALLETS!$B:$B,$C185&amp;" ml")&gt;0,SUMIFS(CONFIG_PALLETS!$D:$D,CONFIG_PALLETS!$A:$A,IF(ISNUMBER(SEARCH("ESPUMA",$B185)),"ESPUMA",IF(OR(ISNUMBER(SEARCH("OLEO DE COCO",$B185)),ISNUMBER(SEARCH("ÓLEO DE COCO",$B185)),ISNUMBER(SEARCH("COPRA",$B185))),"ÓLEO DE COCO",IF(ISNUMBER(SEARCH("CORANTE",$B185)),"CORANTE",TRIM($B185)))),CONFIG_PALLETS!$B:$B,$C185&amp;" ml"),IF(SUMIFS(CONFIG_PALLETS!$D:$D,CONFIG_PALLETS!$A:$A,"GERAL",CONFIG_PALLETS!$B:$B,$C185&amp;" ml")&gt;0,SUMIFS(CONFIG_PALLETS!$D:$D,CONFIG_PALLETS!$A:$A,"GERAL",CONFIG_PALLETS!$B:$B,$C185&amp;" ml"),12)))</f>
        <v>10752</v>
      </c>
    </row>
    <row r="186" spans="1:14" ht="21" customHeight="1" x14ac:dyDescent="0.3">
      <c r="A186" s="190"/>
      <c r="B186" s="191"/>
      <c r="C186" s="192"/>
      <c r="D186" s="193"/>
      <c r="E186" s="194" t="s">
        <v>214</v>
      </c>
      <c r="F186" s="195" t="str">
        <f>IF($B186="","",IF(SUMIFS(CONFIG_PALLETS!$C:$C,CONFIG_PALLETS!$A:$A,TRIM($B186),CONFIG_PALLETS!$B:$B,$C186&amp;" ml")&gt;0,SUMIFS(CONFIG_PALLETS!$C:$C,CONFIG_PALLETS!$A:$A,TRIM($B186),CONFIG_PALLETS!$B:$B,$C186&amp;" ml"),IF(SUMIFS(CONFIG_PALLETS!$C:$C,CONFIG_PALLETS!$A:$A,"GERAL",CONFIG_PALLETS!$B:$B,$C186&amp;" ml")&gt;0,SUMIFS(CONFIG_PALLETS!$C:$C,CONFIG_PALLETS!$A:$A,"GERAL",CONFIG_PALLETS!$B:$B,$C186&amp;" ml"),"")))</f>
        <v/>
      </c>
      <c r="G186" s="196" t="str">
        <f t="shared" si="20"/>
        <v/>
      </c>
      <c r="H186" s="197"/>
      <c r="I186" s="193" t="str">
        <f>IF(H186="","",H186*IF(SUMIFS(CONFIG_PALLETS!$D:$D,CONFIG_PALLETS!$A:$A,IF(ISNUMBER(SEARCH("ESPUMA",$B186)),"ESPUMA",IF(OR(ISNUMBER(SEARCH("OLEO DE COCO",$B186)),ISNUMBER(SEARCH("ÓLEO DE COCO",$B186)),ISNUMBER(SEARCH("COPRA",$B186))),"ÓLEO DE COCO",IF(ISNUMBER(SEARCH("CORANTE",$B186)),"CORANTE",TRIM($B186)))),CONFIG_PALLETS!$B:$B,$C186&amp;" ml")&gt;0,SUMIFS(CONFIG_PALLETS!$D:$D,CONFIG_PALLETS!$A:$A,IF(ISNUMBER(SEARCH("ESPUMA",$B186)),"ESPUMA",IF(OR(ISNUMBER(SEARCH("OLEO DE COCO",$B186)),ISNUMBER(SEARCH("ÓLEO DE COCO",$B186)),ISNUMBER(SEARCH("COPRA",$B186))),"ÓLEO DE COCO",IF(ISNUMBER(SEARCH("CORANTE",$B186)),"CORANTE",TRIM($B186)))),CONFIG_PALLETS!$B:$B,$C186&amp;" ml"),IF(SUMIFS(CONFIG_PALLETS!$D:$D,CONFIG_PALLETS!$A:$A,"GERAL",CONFIG_PALLETS!$B:$B,$C186&amp;" ml")&gt;0,SUMIFS(CONFIG_PALLETS!$D:$D,CONFIG_PALLETS!$A:$A,"GERAL",CONFIG_PALLETS!$B:$B,$C186&amp;" ml"),12)))</f>
        <v/>
      </c>
    </row>
    <row r="187" spans="1:14" ht="21" customHeight="1" x14ac:dyDescent="0.3">
      <c r="A187" s="190"/>
      <c r="B187" s="191"/>
      <c r="C187" s="192"/>
      <c r="D187" s="193"/>
      <c r="E187" s="194" t="s">
        <v>214</v>
      </c>
      <c r="F187" s="195" t="str">
        <f>IF($B187="","",IF(SUMIFS(CONFIG_PALLETS!$C:$C,CONFIG_PALLETS!$A:$A,TRIM($B187),CONFIG_PALLETS!$B:$B,$C187&amp;" ml")&gt;0,SUMIFS(CONFIG_PALLETS!$C:$C,CONFIG_PALLETS!$A:$A,TRIM($B187),CONFIG_PALLETS!$B:$B,$C187&amp;" ml"),IF(SUMIFS(CONFIG_PALLETS!$C:$C,CONFIG_PALLETS!$A:$A,"GERAL",CONFIG_PALLETS!$B:$B,$C187&amp;" ml")&gt;0,SUMIFS(CONFIG_PALLETS!$C:$C,CONFIG_PALLETS!$A:$A,"GERAL",CONFIG_PALLETS!$B:$B,$C187&amp;" ml"),"")))</f>
        <v/>
      </c>
      <c r="G187" s="196" t="str">
        <f t="shared" si="20"/>
        <v/>
      </c>
      <c r="H187" s="197"/>
      <c r="I187" s="193" t="str">
        <f>IF(H187="","",H187*IF(SUMIFS(CONFIG_PALLETS!$D:$D,CONFIG_PALLETS!$A:$A,IF(ISNUMBER(SEARCH("ESPUMA",$B187)),"ESPUMA",IF(OR(ISNUMBER(SEARCH("OLEO DE COCO",$B187)),ISNUMBER(SEARCH("ÓLEO DE COCO",$B187)),ISNUMBER(SEARCH("COPRA",$B187))),"ÓLEO DE COCO",IF(ISNUMBER(SEARCH("CORANTE",$B187)),"CORANTE",TRIM($B187)))),CONFIG_PALLETS!$B:$B,$C187&amp;" ml")&gt;0,SUMIFS(CONFIG_PALLETS!$D:$D,CONFIG_PALLETS!$A:$A,IF(ISNUMBER(SEARCH("ESPUMA",$B187)),"ESPUMA",IF(OR(ISNUMBER(SEARCH("OLEO DE COCO",$B187)),ISNUMBER(SEARCH("ÓLEO DE COCO",$B187)),ISNUMBER(SEARCH("COPRA",$B187))),"ÓLEO DE COCO",IF(ISNUMBER(SEARCH("CORANTE",$B187)),"CORANTE",TRIM($B187)))),CONFIG_PALLETS!$B:$B,$C187&amp;" ml"),IF(SUMIFS(CONFIG_PALLETS!$D:$D,CONFIG_PALLETS!$A:$A,"GERAL",CONFIG_PALLETS!$B:$B,$C187&amp;" ml")&gt;0,SUMIFS(CONFIG_PALLETS!$D:$D,CONFIG_PALLETS!$A:$A,"GERAL",CONFIG_PALLETS!$B:$B,$C187&amp;" ml"),12)))</f>
        <v/>
      </c>
    </row>
    <row r="188" spans="1:14" ht="21" customHeight="1" x14ac:dyDescent="0.3">
      <c r="A188" s="190"/>
      <c r="B188" s="191"/>
      <c r="C188" s="192"/>
      <c r="D188" s="193"/>
      <c r="E188" s="194" t="s">
        <v>214</v>
      </c>
      <c r="F188" s="195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196" t="str">
        <f t="shared" si="20"/>
        <v/>
      </c>
      <c r="H188" s="197"/>
      <c r="I188" s="193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</row>
    <row r="189" spans="1:14" ht="21" customHeight="1" x14ac:dyDescent="0.3">
      <c r="A189" s="190"/>
      <c r="B189" s="191"/>
      <c r="C189" s="192"/>
      <c r="D189" s="193"/>
      <c r="E189" s="194" t="s">
        <v>214</v>
      </c>
      <c r="F189" s="195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196" t="str">
        <f t="shared" si="20"/>
        <v/>
      </c>
      <c r="H189" s="197"/>
      <c r="I189" s="193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</row>
    <row r="190" spans="1:14" ht="15" customHeight="1" x14ac:dyDescent="0.3">
      <c r="A190" s="198"/>
      <c r="B190" s="199" t="s">
        <v>216</v>
      </c>
      <c r="C190" s="200"/>
      <c r="D190" s="201">
        <f>SUM(D183:D189)</f>
        <v>1780</v>
      </c>
      <c r="E190" s="202"/>
      <c r="F190" s="202"/>
      <c r="G190" s="203">
        <f>SUM(G183:G189)</f>
        <v>8</v>
      </c>
      <c r="H190" s="201">
        <f>SUM(H183:H189)</f>
        <v>1467</v>
      </c>
      <c r="I190" s="201">
        <f>SUM(I183:I189)</f>
        <v>17604</v>
      </c>
      <c r="J190">
        <f>SUM(D184:D189)</f>
        <v>1780</v>
      </c>
      <c r="K190">
        <f>SUM(G184:G189)</f>
        <v>8</v>
      </c>
      <c r="L190">
        <f>SUM(H184:H189)</f>
        <v>1467</v>
      </c>
      <c r="M190">
        <f>SUM(I184:I189)</f>
        <v>17604</v>
      </c>
    </row>
    <row r="191" spans="1:14" ht="6" customHeight="1" x14ac:dyDescent="0.3">
      <c r="C191" s="72"/>
    </row>
    <row r="192" spans="1:14" ht="15" customHeight="1" x14ac:dyDescent="0.3">
      <c r="A192" s="30">
        <v>46112</v>
      </c>
      <c r="B192" s="186" t="s">
        <v>78</v>
      </c>
      <c r="C192" s="187" t="s">
        <v>205</v>
      </c>
      <c r="D192" s="188" t="s">
        <v>206</v>
      </c>
      <c r="E192" s="188" t="s">
        <v>207</v>
      </c>
      <c r="F192" s="189" t="s">
        <v>208</v>
      </c>
      <c r="G192" s="188" t="s">
        <v>209</v>
      </c>
      <c r="H192" s="188" t="s">
        <v>210</v>
      </c>
      <c r="I192" s="188" t="s">
        <v>211</v>
      </c>
    </row>
    <row r="193" spans="1:14" ht="21" customHeight="1" x14ac:dyDescent="0.3">
      <c r="A193" s="190"/>
      <c r="B193" s="191" t="s">
        <v>54</v>
      </c>
      <c r="C193" s="192">
        <v>180</v>
      </c>
      <c r="D193" s="193">
        <v>304</v>
      </c>
      <c r="E193" s="194" t="s">
        <v>214</v>
      </c>
      <c r="F193" s="195">
        <f>IF($B193="","",IF(SUMIFS(CONFIG_PALLETS!$C:$C,CONFIG_PALLETS!$A:$A,TRIM($B193),CONFIG_PALLETS!$B:$B,$C193&amp;" ml")&gt;0,SUMIFS(CONFIG_PALLETS!$C:$C,CONFIG_PALLETS!$A:$A,TRIM($B193),CONFIG_PALLETS!$B:$B,$C193&amp;" ml"),IF(SUMIFS(CONFIG_PALLETS!$C:$C,CONFIG_PALLETS!$A:$A,"GERAL",CONFIG_PALLETS!$B:$B,$C193&amp;" ml")&gt;0,SUMIFS(CONFIG_PALLETS!$C:$C,CONFIG_PALLETS!$A:$A,"GERAL",CONFIG_PALLETS!$B:$B,$C193&amp;" ml"),"")))</f>
        <v>240</v>
      </c>
      <c r="G193" s="196">
        <f t="shared" ref="G193:G198" si="21">IFERROR(ROUNDUP(D193/F193,0),"")</f>
        <v>2</v>
      </c>
      <c r="H193" s="197">
        <v>306</v>
      </c>
      <c r="I193" s="193">
        <f>IF(H193="","",H193*IF(SUMIFS(CONFIG_PALLETS!$D:$D,CONFIG_PALLETS!$A:$A,IF(ISNUMBER(SEARCH("ESPUMA",$B193)),"ESPUMA",IF(OR(ISNUMBER(SEARCH("OLEO DE COCO",$B193)),ISNUMBER(SEARCH("ÓLEO DE COCO",$B193)),ISNUMBER(SEARCH("COPRA",$B193))),"ÓLEO DE COCO",IF(ISNUMBER(SEARCH("CORANTE",$B193)),"CORANTE",TRIM($B193)))),CONFIG_PALLETS!$B:$B,$C193&amp;" ml")&gt;0,SUMIFS(CONFIG_PALLETS!$D:$D,CONFIG_PALLETS!$A:$A,IF(ISNUMBER(SEARCH("ESPUMA",$B193)),"ESPUMA",IF(OR(ISNUMBER(SEARCH("OLEO DE COCO",$B193)),ISNUMBER(SEARCH("ÓLEO DE COCO",$B193)),ISNUMBER(SEARCH("COPRA",$B193))),"ÓLEO DE COCO",IF(ISNUMBER(SEARCH("CORANTE",$B193)),"CORANTE",TRIM($B193)))),CONFIG_PALLETS!$B:$B,$C193&amp;" ml"),IF(SUMIFS(CONFIG_PALLETS!$D:$D,CONFIG_PALLETS!$A:$A,"GERAL",CONFIG_PALLETS!$B:$B,$C193&amp;" ml")&gt;0,SUMIFS(CONFIG_PALLETS!$D:$D,CONFIG_PALLETS!$A:$A,"GERAL",CONFIG_PALLETS!$B:$B,$C193&amp;" ml"),12)))</f>
        <v>3672</v>
      </c>
    </row>
    <row r="194" spans="1:14" ht="21" customHeight="1" x14ac:dyDescent="0.3">
      <c r="A194" s="190"/>
      <c r="B194" s="191" t="s">
        <v>288</v>
      </c>
      <c r="C194" s="192">
        <v>180</v>
      </c>
      <c r="D194" s="193">
        <v>480</v>
      </c>
      <c r="E194" s="194" t="s">
        <v>214</v>
      </c>
      <c r="F194" s="195">
        <f>IF($B194="","",IF(SUMIFS(CONFIG_PALLETS!$C:$C,CONFIG_PALLETS!$A:$A,TRIM($B194),CONFIG_PALLETS!$B:$B,$C194&amp;" ml")&gt;0,SUMIFS(CONFIG_PALLETS!$C:$C,CONFIG_PALLETS!$A:$A,TRIM($B194),CONFIG_PALLETS!$B:$B,$C194&amp;" ml"),IF(SUMIFS(CONFIG_PALLETS!$C:$C,CONFIG_PALLETS!$A:$A,"GERAL",CONFIG_PALLETS!$B:$B,$C194&amp;" ml")&gt;0,SUMIFS(CONFIG_PALLETS!$C:$C,CONFIG_PALLETS!$A:$A,"GERAL",CONFIG_PALLETS!$B:$B,$C194&amp;" ml"),"")))</f>
        <v>240</v>
      </c>
      <c r="G194" s="196">
        <f t="shared" si="21"/>
        <v>2</v>
      </c>
      <c r="H194" s="197">
        <v>480</v>
      </c>
      <c r="I194" s="193">
        <f>IF(H194="","",H194*IF(SUMIFS(CONFIG_PALLETS!$D:$D,CONFIG_PALLETS!$A:$A,IF(ISNUMBER(SEARCH("ESPUMA",$B194)),"ESPUMA",IF(OR(ISNUMBER(SEARCH("OLEO DE COCO",$B194)),ISNUMBER(SEARCH("ÓLEO DE COCO",$B194)),ISNUMBER(SEARCH("COPRA",$B194))),"ÓLEO DE COCO",IF(ISNUMBER(SEARCH("CORANTE",$B194)),"CORANTE",TRIM($B194)))),CONFIG_PALLETS!$B:$B,$C194&amp;" ml")&gt;0,SUMIFS(CONFIG_PALLETS!$D:$D,CONFIG_PALLETS!$A:$A,IF(ISNUMBER(SEARCH("ESPUMA",$B194)),"ESPUMA",IF(OR(ISNUMBER(SEARCH("OLEO DE COCO",$B194)),ISNUMBER(SEARCH("ÓLEO DE COCO",$B194)),ISNUMBER(SEARCH("COPRA",$B194))),"ÓLEO DE COCO",IF(ISNUMBER(SEARCH("CORANTE",$B194)),"CORANTE",TRIM($B194)))),CONFIG_PALLETS!$B:$B,$C194&amp;" ml"),IF(SUMIFS(CONFIG_PALLETS!$D:$D,CONFIG_PALLETS!$A:$A,"GERAL",CONFIG_PALLETS!$B:$B,$C194&amp;" ml")&gt;0,SUMIFS(CONFIG_PALLETS!$D:$D,CONFIG_PALLETS!$A:$A,"GERAL",CONFIG_PALLETS!$B:$B,$C194&amp;" ml"),12)))</f>
        <v>5760</v>
      </c>
    </row>
    <row r="195" spans="1:14" ht="21" customHeight="1" x14ac:dyDescent="0.3">
      <c r="A195" s="190"/>
      <c r="B195" s="191" t="s">
        <v>451</v>
      </c>
      <c r="C195" s="192">
        <v>70</v>
      </c>
      <c r="D195" s="193">
        <v>240</v>
      </c>
      <c r="E195" s="194" t="s">
        <v>214</v>
      </c>
      <c r="F195" s="195">
        <f>IF($B195="","",IF(SUMIFS(CONFIG_PALLETS!$C:$C,CONFIG_PALLETS!$A:$A,TRIM($B195),CONFIG_PALLETS!$B:$B,$C195&amp;" ml")&gt;0,SUMIFS(CONFIG_PALLETS!$C:$C,CONFIG_PALLETS!$A:$A,TRIM($B195),CONFIG_PALLETS!$B:$B,$C195&amp;" ml"),IF(SUMIFS(CONFIG_PALLETS!$C:$C,CONFIG_PALLETS!$A:$A,"GERAL",CONFIG_PALLETS!$B:$B,$C195&amp;" ml")&gt;0,SUMIFS(CONFIG_PALLETS!$C:$C,CONFIG_PALLETS!$A:$A,"GERAL",CONFIG_PALLETS!$B:$B,$C195&amp;" ml"),"")))</f>
        <v>240</v>
      </c>
      <c r="G195" s="196">
        <f t="shared" si="21"/>
        <v>1</v>
      </c>
      <c r="H195" s="197">
        <v>243</v>
      </c>
      <c r="I195" s="193">
        <f>IF(H195="","",H195*IF(SUMIFS(CONFIG_PALLETS!$D:$D,CONFIG_PALLETS!$A:$A,IF(ISNUMBER(SEARCH("ESPUMA",$B195)),"ESPUMA",IF(OR(ISNUMBER(SEARCH("OLEO DE COCO",$B195)),ISNUMBER(SEARCH("ÓLEO DE COCO",$B195)),ISNUMBER(SEARCH("COPRA",$B195))),"ÓLEO DE COCO",IF(ISNUMBER(SEARCH("CORANTE",$B195)),"CORANTE",TRIM($B195)))),CONFIG_PALLETS!$B:$B,$C195&amp;" ml")&gt;0,SUMIFS(CONFIG_PALLETS!$D:$D,CONFIG_PALLETS!$A:$A,IF(ISNUMBER(SEARCH("ESPUMA",$B195)),"ESPUMA",IF(OR(ISNUMBER(SEARCH("OLEO DE COCO",$B195)),ISNUMBER(SEARCH("ÓLEO DE COCO",$B195)),ISNUMBER(SEARCH("COPRA",$B195))),"ÓLEO DE COCO",IF(ISNUMBER(SEARCH("CORANTE",$B195)),"CORANTE",TRIM($B195)))),CONFIG_PALLETS!$B:$B,$C195&amp;" ml"),IF(SUMIFS(CONFIG_PALLETS!$D:$D,CONFIG_PALLETS!$A:$A,"GERAL",CONFIG_PALLETS!$B:$B,$C195&amp;" ml")&gt;0,SUMIFS(CONFIG_PALLETS!$D:$D,CONFIG_PALLETS!$A:$A,"GERAL",CONFIG_PALLETS!$B:$B,$C195&amp;" ml"),12)))</f>
        <v>2916</v>
      </c>
    </row>
    <row r="196" spans="1:14" ht="21" customHeight="1" x14ac:dyDescent="0.3">
      <c r="A196" s="190"/>
      <c r="B196" s="191" t="s">
        <v>452</v>
      </c>
      <c r="C196" s="192">
        <v>70</v>
      </c>
      <c r="D196" s="193">
        <v>240</v>
      </c>
      <c r="E196" s="194" t="s">
        <v>214</v>
      </c>
      <c r="F196" s="195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>240</v>
      </c>
      <c r="G196" s="196">
        <f t="shared" si="21"/>
        <v>1</v>
      </c>
      <c r="H196" s="197">
        <v>162</v>
      </c>
      <c r="I196" s="193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>1944</v>
      </c>
    </row>
    <row r="197" spans="1:14" ht="21" customHeight="1" x14ac:dyDescent="0.3">
      <c r="A197" s="47"/>
      <c r="B197" s="191"/>
      <c r="C197" s="192"/>
      <c r="D197" s="193"/>
      <c r="E197" s="194" t="s">
        <v>214</v>
      </c>
      <c r="G197" s="196" t="str">
        <f t="shared" si="21"/>
        <v/>
      </c>
      <c r="H197" s="197"/>
      <c r="I197" s="193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  <c r="L197" s="28"/>
      <c r="N197" s="28"/>
    </row>
    <row r="198" spans="1:14" ht="21" customHeight="1" x14ac:dyDescent="0.3">
      <c r="A198" s="47"/>
      <c r="B198" s="191"/>
      <c r="C198" s="192"/>
      <c r="D198" s="193"/>
      <c r="E198" s="194" t="s">
        <v>214</v>
      </c>
      <c r="G198" s="196" t="str">
        <f t="shared" si="21"/>
        <v/>
      </c>
      <c r="H198" s="197"/>
      <c r="I198" s="193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  <c r="L198" s="28"/>
      <c r="N198" s="28"/>
    </row>
    <row r="199" spans="1:14" ht="15" customHeight="1" x14ac:dyDescent="0.3">
      <c r="A199" s="198"/>
      <c r="B199" s="199" t="s">
        <v>216</v>
      </c>
      <c r="C199" s="200"/>
      <c r="D199" s="201">
        <f>SUM(D192:D198)</f>
        <v>1264</v>
      </c>
      <c r="E199" s="202"/>
      <c r="F199" s="202"/>
      <c r="G199" s="203">
        <f>SUM(G192:G198)</f>
        <v>6</v>
      </c>
      <c r="H199" s="201">
        <f>SUM(H192:H198)</f>
        <v>1191</v>
      </c>
      <c r="I199" s="201">
        <f>SUM(I192:I198)</f>
        <v>14292</v>
      </c>
      <c r="J199">
        <f>SUM(D193:D198)</f>
        <v>1264</v>
      </c>
      <c r="K199">
        <f>SUM(G193:G198)</f>
        <v>6</v>
      </c>
      <c r="L199">
        <f>SUM(H193:H198)</f>
        <v>1191</v>
      </c>
      <c r="M199">
        <f>SUM(I193:I198)</f>
        <v>14292</v>
      </c>
    </row>
    <row r="200" spans="1:14" ht="6" customHeight="1" x14ac:dyDescent="0.3"/>
  </sheetData>
  <mergeCells count="7">
    <mergeCell ref="N58:Q61"/>
    <mergeCell ref="N76:Q79"/>
    <mergeCell ref="A1:I1"/>
    <mergeCell ref="A2:F2"/>
    <mergeCell ref="G2:I2"/>
    <mergeCell ref="N13:Q16"/>
    <mergeCell ref="N40:Q43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99" xr:uid="{00000000-0002-0000-0A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F766E"/>
  </sheetPr>
  <dimension ref="A1:Y30"/>
  <sheetViews>
    <sheetView showGridLines="0" zoomScale="90" zoomScaleNormal="90" workbookViewId="0">
      <selection activeCell="R31" sqref="R31"/>
    </sheetView>
  </sheetViews>
  <sheetFormatPr defaultColWidth="8.6640625" defaultRowHeight="14.4" x14ac:dyDescent="0.3"/>
  <cols>
    <col min="1" max="1" width="12" style="437" customWidth="1"/>
    <col min="2" max="2" width="17" bestFit="1" customWidth="1"/>
    <col min="3" max="3" width="14" customWidth="1"/>
    <col min="4" max="4" width="13.6640625" customWidth="1"/>
    <col min="5" max="5" width="12" customWidth="1"/>
    <col min="6" max="6" width="77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24" max="25" width="13" hidden="1" customWidth="1"/>
  </cols>
  <sheetData>
    <row r="1" spans="1:25" ht="19.5" customHeight="1" x14ac:dyDescent="0.4">
      <c r="A1" s="612" t="s">
        <v>453</v>
      </c>
      <c r="B1" s="612"/>
      <c r="C1" s="612"/>
      <c r="D1" s="612"/>
      <c r="E1" s="612"/>
      <c r="F1" s="612"/>
    </row>
    <row r="3" spans="1:25" ht="14.25" customHeight="1" x14ac:dyDescent="0.3">
      <c r="B3" s="148" t="s">
        <v>234</v>
      </c>
      <c r="D3" s="148" t="s">
        <v>235</v>
      </c>
      <c r="F3" s="149" t="s">
        <v>236</v>
      </c>
      <c r="H3" s="148" t="s">
        <v>237</v>
      </c>
      <c r="J3" s="150" t="s">
        <v>238</v>
      </c>
      <c r="K3" s="151" t="s">
        <v>239</v>
      </c>
      <c r="L3" s="151" t="s">
        <v>240</v>
      </c>
    </row>
    <row r="4" spans="1:25" ht="15.75" customHeight="1" x14ac:dyDescent="0.3">
      <c r="B4" s="152">
        <f>SUM(C9:C30)</f>
        <v>280764</v>
      </c>
      <c r="D4" s="152">
        <f>COUNTA(A9:A30)*CONFIG!$B$3</f>
        <v>242000</v>
      </c>
      <c r="F4" s="152">
        <f ca="1">IFERROR(SUMIFS(C9:C30,A9:A30,"&lt;="&amp;TODAY(),F9:F30,"&lt;&gt;*Feriado*")/COUNTIFS(A9:A30,"&lt;="&amp;TODAY(),F9:F30,"&lt;&gt;*Feriado*"),0)</f>
        <v>12762</v>
      </c>
      <c r="H4" s="152">
        <f>IFERROR(MAX(C9:C30),0)</f>
        <v>17856</v>
      </c>
      <c r="J4" s="153">
        <f>IFERROR(B4/D4,0)</f>
        <v>1.1601818181818182</v>
      </c>
      <c r="K4" s="154" t="s">
        <v>241</v>
      </c>
      <c r="L4" s="155" t="s">
        <v>242</v>
      </c>
    </row>
    <row r="5" spans="1:25" ht="15" customHeight="1" x14ac:dyDescent="0.3">
      <c r="K5" s="156" t="s">
        <v>243</v>
      </c>
      <c r="L5" s="157" t="s">
        <v>244</v>
      </c>
    </row>
    <row r="6" spans="1:25" ht="15" customHeight="1" x14ac:dyDescent="0.3">
      <c r="K6" s="158" t="s">
        <v>245</v>
      </c>
      <c r="L6" s="159" t="s">
        <v>246</v>
      </c>
    </row>
    <row r="8" spans="1:25" ht="14.25" customHeight="1" x14ac:dyDescent="0.3">
      <c r="A8" s="442" t="s">
        <v>247</v>
      </c>
      <c r="B8" s="204" t="s">
        <v>248</v>
      </c>
      <c r="C8" s="204" t="s">
        <v>249</v>
      </c>
      <c r="D8" s="204" t="s">
        <v>250</v>
      </c>
      <c r="E8" s="204" t="s">
        <v>251</v>
      </c>
      <c r="F8" s="204" t="s">
        <v>252</v>
      </c>
      <c r="X8" t="s">
        <v>253</v>
      </c>
      <c r="Y8" t="s">
        <v>254</v>
      </c>
    </row>
    <row r="9" spans="1:25" ht="14.25" customHeight="1" x14ac:dyDescent="0.3">
      <c r="A9" s="443">
        <v>46083</v>
      </c>
      <c r="B9" s="219">
        <v>1</v>
      </c>
      <c r="C9" s="221">
        <f>'SEMANA MARÇO'!$M$10</f>
        <v>11988</v>
      </c>
      <c r="D9" s="221">
        <f>CONFIG!$B$3</f>
        <v>11000</v>
      </c>
      <c r="E9" s="221">
        <f t="shared" ref="E9:E30" si="0">C9-D9</f>
        <v>988</v>
      </c>
      <c r="F9" s="205"/>
      <c r="X9" s="28">
        <f t="shared" ref="X9:X30" si="1">IF(COUNTIF($F9,"*Feriado*")&gt;0,NA(),$C9)</f>
        <v>11988</v>
      </c>
      <c r="Y9" s="28">
        <f t="shared" ref="Y9:Y30" si="2">IF(COUNTIF($F9,"*Feriado*")&gt;0,NA(),$D9)</f>
        <v>11000</v>
      </c>
    </row>
    <row r="10" spans="1:25" ht="14.25" customHeight="1" x14ac:dyDescent="0.3">
      <c r="A10" s="444">
        <v>46084</v>
      </c>
      <c r="B10" s="427">
        <v>2</v>
      </c>
      <c r="C10" s="428">
        <f>'SEMANA MARÇO'!$M$19</f>
        <v>15948</v>
      </c>
      <c r="D10" s="428">
        <f>CONFIG!$B$3</f>
        <v>11000</v>
      </c>
      <c r="E10" s="428">
        <f t="shared" si="0"/>
        <v>4948</v>
      </c>
      <c r="F10" s="205"/>
      <c r="X10" s="28">
        <f t="shared" si="1"/>
        <v>15948</v>
      </c>
      <c r="Y10" s="28">
        <f t="shared" si="2"/>
        <v>11000</v>
      </c>
    </row>
    <row r="11" spans="1:25" ht="14.25" customHeight="1" x14ac:dyDescent="0.3">
      <c r="A11" s="443">
        <v>46085</v>
      </c>
      <c r="B11" s="219">
        <v>3</v>
      </c>
      <c r="C11" s="221">
        <f>'SEMANA MARÇO'!$M$28</f>
        <v>11472</v>
      </c>
      <c r="D11" s="221">
        <f>CONFIG!$B$3</f>
        <v>11000</v>
      </c>
      <c r="E11" s="221">
        <f t="shared" si="0"/>
        <v>472</v>
      </c>
      <c r="F11" s="205"/>
      <c r="X11" s="28">
        <f t="shared" si="1"/>
        <v>11472</v>
      </c>
      <c r="Y11" s="28">
        <f t="shared" si="2"/>
        <v>11000</v>
      </c>
    </row>
    <row r="12" spans="1:25" ht="14.25" customHeight="1" x14ac:dyDescent="0.3">
      <c r="A12" s="444">
        <v>46086</v>
      </c>
      <c r="B12" s="427">
        <v>4</v>
      </c>
      <c r="C12" s="428">
        <f>'SEMANA MARÇO'!$M$37</f>
        <v>13308</v>
      </c>
      <c r="D12" s="428">
        <f>CONFIG!$B$3</f>
        <v>11000</v>
      </c>
      <c r="E12" s="428">
        <f t="shared" si="0"/>
        <v>2308</v>
      </c>
      <c r="F12" s="205"/>
      <c r="X12" s="28">
        <f t="shared" si="1"/>
        <v>13308</v>
      </c>
      <c r="Y12" s="28">
        <f t="shared" si="2"/>
        <v>11000</v>
      </c>
    </row>
    <row r="13" spans="1:25" ht="14.25" customHeight="1" x14ac:dyDescent="0.3">
      <c r="A13" s="443">
        <v>46087</v>
      </c>
      <c r="B13" s="219">
        <v>5</v>
      </c>
      <c r="C13" s="221">
        <f>'SEMANA MARÇO'!$M$46</f>
        <v>11340</v>
      </c>
      <c r="D13" s="221">
        <f>CONFIG!$B$3</f>
        <v>11000</v>
      </c>
      <c r="E13" s="221">
        <f t="shared" si="0"/>
        <v>340</v>
      </c>
      <c r="F13" s="205"/>
      <c r="X13" s="28">
        <f t="shared" si="1"/>
        <v>11340</v>
      </c>
      <c r="Y13" s="28">
        <f t="shared" si="2"/>
        <v>11000</v>
      </c>
    </row>
    <row r="14" spans="1:25" ht="14.25" customHeight="1" x14ac:dyDescent="0.3">
      <c r="A14" s="444">
        <v>46090</v>
      </c>
      <c r="B14" s="427">
        <v>6</v>
      </c>
      <c r="C14" s="428">
        <f>'SEMANA MARÇO'!$M$55</f>
        <v>15336</v>
      </c>
      <c r="D14" s="428">
        <f>CONFIG!$B$3</f>
        <v>11000</v>
      </c>
      <c r="E14" s="428">
        <f t="shared" si="0"/>
        <v>4336</v>
      </c>
      <c r="F14" s="205"/>
      <c r="X14" s="28">
        <f t="shared" si="1"/>
        <v>15336</v>
      </c>
      <c r="Y14" s="28">
        <f t="shared" si="2"/>
        <v>11000</v>
      </c>
    </row>
    <row r="15" spans="1:25" ht="14.25" customHeight="1" x14ac:dyDescent="0.3">
      <c r="A15" s="443">
        <v>46091</v>
      </c>
      <c r="B15" s="219">
        <v>7</v>
      </c>
      <c r="C15" s="221">
        <f>'SEMANA MARÇO'!$M$64</f>
        <v>13176</v>
      </c>
      <c r="D15" s="221">
        <f>CONFIG!$B$3</f>
        <v>11000</v>
      </c>
      <c r="E15" s="221">
        <f t="shared" si="0"/>
        <v>2176</v>
      </c>
      <c r="F15" s="205"/>
      <c r="X15" s="28">
        <f t="shared" si="1"/>
        <v>13176</v>
      </c>
      <c r="Y15" s="28">
        <f t="shared" si="2"/>
        <v>11000</v>
      </c>
    </row>
    <row r="16" spans="1:25" ht="14.25" customHeight="1" x14ac:dyDescent="0.3">
      <c r="A16" s="444">
        <v>46092</v>
      </c>
      <c r="B16" s="427">
        <v>8</v>
      </c>
      <c r="C16" s="428">
        <f>'SEMANA MARÇO'!$M$73</f>
        <v>13728</v>
      </c>
      <c r="D16" s="428">
        <f>CONFIG!$B$3</f>
        <v>11000</v>
      </c>
      <c r="E16" s="428">
        <f t="shared" si="0"/>
        <v>2728</v>
      </c>
      <c r="F16" s="205"/>
      <c r="X16" s="28">
        <f t="shared" si="1"/>
        <v>13728</v>
      </c>
      <c r="Y16" s="28">
        <f t="shared" si="2"/>
        <v>11000</v>
      </c>
    </row>
    <row r="17" spans="1:25" ht="14.25" customHeight="1" x14ac:dyDescent="0.3">
      <c r="A17" s="443">
        <v>46093</v>
      </c>
      <c r="B17" s="219">
        <v>9</v>
      </c>
      <c r="C17" s="221">
        <f>'SEMANA MARÇO'!$M$82</f>
        <v>9900</v>
      </c>
      <c r="D17" s="221">
        <f>CONFIG!$B$3</f>
        <v>11000</v>
      </c>
      <c r="E17" s="221">
        <f t="shared" si="0"/>
        <v>-1100</v>
      </c>
      <c r="F17" s="205"/>
      <c r="X17" s="28">
        <f t="shared" si="1"/>
        <v>9900</v>
      </c>
      <c r="Y17" s="28">
        <f t="shared" si="2"/>
        <v>11000</v>
      </c>
    </row>
    <row r="18" spans="1:25" ht="14.25" customHeight="1" x14ac:dyDescent="0.3">
      <c r="A18" s="444">
        <v>46094</v>
      </c>
      <c r="B18" s="427">
        <v>10</v>
      </c>
      <c r="C18" s="428">
        <f>'SEMANA MARÇO'!$M$91</f>
        <v>13452</v>
      </c>
      <c r="D18" s="428">
        <f>CONFIG!$B$3</f>
        <v>11000</v>
      </c>
      <c r="E18" s="428">
        <f t="shared" si="0"/>
        <v>2452</v>
      </c>
      <c r="F18" s="205"/>
      <c r="X18" s="28">
        <f t="shared" si="1"/>
        <v>13452</v>
      </c>
      <c r="Y18" s="28">
        <f t="shared" si="2"/>
        <v>11000</v>
      </c>
    </row>
    <row r="19" spans="1:25" ht="14.25" customHeight="1" x14ac:dyDescent="0.3">
      <c r="A19" s="443">
        <v>46097</v>
      </c>
      <c r="B19" s="219">
        <v>11</v>
      </c>
      <c r="C19" s="221">
        <f>'SEMANA MARÇO'!$M$100</f>
        <v>16524</v>
      </c>
      <c r="D19" s="221">
        <f>CONFIG!$B$3</f>
        <v>11000</v>
      </c>
      <c r="E19" s="221">
        <f t="shared" si="0"/>
        <v>5524</v>
      </c>
      <c r="F19" s="205"/>
      <c r="X19" s="28">
        <f t="shared" si="1"/>
        <v>16524</v>
      </c>
      <c r="Y19" s="28">
        <f t="shared" si="2"/>
        <v>11000</v>
      </c>
    </row>
    <row r="20" spans="1:25" ht="14.25" customHeight="1" x14ac:dyDescent="0.3">
      <c r="A20" s="444">
        <v>46098</v>
      </c>
      <c r="B20" s="427">
        <v>12</v>
      </c>
      <c r="C20" s="428">
        <f>'SEMANA MARÇO'!$M$109</f>
        <v>17784</v>
      </c>
      <c r="D20" s="428">
        <f>CONFIG!$B$3</f>
        <v>11000</v>
      </c>
      <c r="E20" s="428">
        <f t="shared" si="0"/>
        <v>6784</v>
      </c>
      <c r="F20" s="205"/>
      <c r="X20" s="28">
        <f t="shared" si="1"/>
        <v>17784</v>
      </c>
      <c r="Y20" s="28">
        <f t="shared" si="2"/>
        <v>11000</v>
      </c>
    </row>
    <row r="21" spans="1:25" ht="14.25" customHeight="1" x14ac:dyDescent="0.3">
      <c r="A21" s="443">
        <v>46099</v>
      </c>
      <c r="B21" s="219">
        <v>13</v>
      </c>
      <c r="C21" s="221">
        <f>'SEMANA MARÇO'!$M$118</f>
        <v>15612</v>
      </c>
      <c r="D21" s="221">
        <f>CONFIG!$B$3</f>
        <v>11000</v>
      </c>
      <c r="E21" s="221">
        <f t="shared" si="0"/>
        <v>4612</v>
      </c>
      <c r="F21" s="205"/>
      <c r="X21" s="28">
        <f t="shared" si="1"/>
        <v>15612</v>
      </c>
      <c r="Y21" s="28">
        <f t="shared" si="2"/>
        <v>11000</v>
      </c>
    </row>
    <row r="22" spans="1:25" ht="14.25" customHeight="1" x14ac:dyDescent="0.3">
      <c r="A22" s="444">
        <v>46100</v>
      </c>
      <c r="B22" s="427">
        <v>14</v>
      </c>
      <c r="C22" s="428">
        <f>'SEMANA MARÇO'!$M$127</f>
        <v>10548</v>
      </c>
      <c r="D22" s="428">
        <f>CONFIG!$B$3</f>
        <v>11000</v>
      </c>
      <c r="E22" s="428">
        <f t="shared" si="0"/>
        <v>-452</v>
      </c>
      <c r="F22" s="205"/>
      <c r="X22" s="28">
        <f t="shared" si="1"/>
        <v>10548</v>
      </c>
      <c r="Y22" s="28">
        <f t="shared" si="2"/>
        <v>11000</v>
      </c>
    </row>
    <row r="23" spans="1:25" ht="14.25" customHeight="1" x14ac:dyDescent="0.3">
      <c r="A23" s="443">
        <v>46101</v>
      </c>
      <c r="B23" s="219">
        <v>15</v>
      </c>
      <c r="C23" s="221">
        <f>'SEMANA MARÇO'!$M$136</f>
        <v>5172</v>
      </c>
      <c r="D23" s="221">
        <f>CONFIG!$B$3</f>
        <v>11000</v>
      </c>
      <c r="E23" s="221">
        <f t="shared" si="0"/>
        <v>-5828</v>
      </c>
      <c r="F23" s="206" t="s">
        <v>454</v>
      </c>
      <c r="X23" s="28">
        <f t="shared" si="1"/>
        <v>5172</v>
      </c>
      <c r="Y23" s="28">
        <f t="shared" si="2"/>
        <v>11000</v>
      </c>
    </row>
    <row r="24" spans="1:25" ht="14.25" customHeight="1" x14ac:dyDescent="0.3">
      <c r="A24" s="444">
        <v>46104</v>
      </c>
      <c r="B24" s="427">
        <v>16</v>
      </c>
      <c r="C24" s="428">
        <f>'SEMANA MARÇO'!$M$145</f>
        <v>8652</v>
      </c>
      <c r="D24" s="428">
        <f>CONFIG!$B$3</f>
        <v>11000</v>
      </c>
      <c r="E24" s="428">
        <f t="shared" si="0"/>
        <v>-2348</v>
      </c>
      <c r="F24" s="207" t="s">
        <v>455</v>
      </c>
      <c r="X24" s="28">
        <f t="shared" si="1"/>
        <v>8652</v>
      </c>
      <c r="Y24" s="28">
        <f t="shared" si="2"/>
        <v>11000</v>
      </c>
    </row>
    <row r="25" spans="1:25" ht="14.25" customHeight="1" x14ac:dyDescent="0.3">
      <c r="A25" s="443">
        <v>46105</v>
      </c>
      <c r="B25" s="219">
        <v>17</v>
      </c>
      <c r="C25" s="221">
        <f>'SEMANA MARÇO'!$M$154</f>
        <v>5592</v>
      </c>
      <c r="D25" s="221">
        <f>CONFIG!$B$3</f>
        <v>11000</v>
      </c>
      <c r="E25" s="221">
        <f t="shared" si="0"/>
        <v>-5408</v>
      </c>
      <c r="F25" s="206" t="s">
        <v>456</v>
      </c>
      <c r="X25" s="28">
        <f t="shared" si="1"/>
        <v>5592</v>
      </c>
      <c r="Y25" s="28">
        <f t="shared" si="2"/>
        <v>11000</v>
      </c>
    </row>
    <row r="26" spans="1:25" ht="14.25" customHeight="1" x14ac:dyDescent="0.3">
      <c r="A26" s="444">
        <v>46106</v>
      </c>
      <c r="B26" s="427">
        <v>18</v>
      </c>
      <c r="C26" s="428">
        <f>'SEMANA MARÇO'!$M$163</f>
        <v>9060</v>
      </c>
      <c r="D26" s="428">
        <f>CONFIG!$B$3</f>
        <v>11000</v>
      </c>
      <c r="E26" s="428">
        <f t="shared" si="0"/>
        <v>-1940</v>
      </c>
      <c r="F26" s="205"/>
      <c r="X26" s="28">
        <f t="shared" si="1"/>
        <v>9060</v>
      </c>
      <c r="Y26" s="28">
        <f t="shared" si="2"/>
        <v>11000</v>
      </c>
    </row>
    <row r="27" spans="1:25" ht="14.25" customHeight="1" x14ac:dyDescent="0.3">
      <c r="A27" s="443">
        <v>46107</v>
      </c>
      <c r="B27" s="219">
        <v>19</v>
      </c>
      <c r="C27" s="221">
        <f>'SEMANA MARÇO'!$M$172</f>
        <v>17856</v>
      </c>
      <c r="D27" s="221">
        <f>CONFIG!$B$3</f>
        <v>11000</v>
      </c>
      <c r="E27" s="221">
        <f t="shared" si="0"/>
        <v>6856</v>
      </c>
      <c r="F27" s="205"/>
      <c r="X27" s="28">
        <f t="shared" si="1"/>
        <v>17856</v>
      </c>
      <c r="Y27" s="28">
        <f t="shared" si="2"/>
        <v>11000</v>
      </c>
    </row>
    <row r="28" spans="1:25" ht="14.25" customHeight="1" x14ac:dyDescent="0.3">
      <c r="A28" s="444">
        <v>46108</v>
      </c>
      <c r="B28" s="427">
        <v>20</v>
      </c>
      <c r="C28" s="428">
        <f>'SEMANA MARÇO'!$M$181</f>
        <v>12420</v>
      </c>
      <c r="D28" s="428">
        <f>CONFIG!$B$3</f>
        <v>11000</v>
      </c>
      <c r="E28" s="428">
        <f t="shared" si="0"/>
        <v>1420</v>
      </c>
      <c r="F28" s="205"/>
      <c r="X28" s="28">
        <f t="shared" si="1"/>
        <v>12420</v>
      </c>
      <c r="Y28" s="28">
        <f t="shared" si="2"/>
        <v>11000</v>
      </c>
    </row>
    <row r="29" spans="1:25" ht="14.25" customHeight="1" x14ac:dyDescent="0.3">
      <c r="A29" s="443">
        <v>46111</v>
      </c>
      <c r="B29" s="223">
        <v>21</v>
      </c>
      <c r="C29" s="225">
        <f>'SEMANA MARÇO'!$M$190</f>
        <v>17604</v>
      </c>
      <c r="D29" s="225">
        <f>CONFIG!$B$3</f>
        <v>11000</v>
      </c>
      <c r="E29" s="225">
        <f t="shared" si="0"/>
        <v>6604</v>
      </c>
      <c r="F29" s="205"/>
      <c r="X29" s="28">
        <f t="shared" si="1"/>
        <v>17604</v>
      </c>
      <c r="Y29" s="28">
        <f t="shared" si="2"/>
        <v>11000</v>
      </c>
    </row>
    <row r="30" spans="1:25" ht="14.25" customHeight="1" x14ac:dyDescent="0.3">
      <c r="A30" s="444">
        <v>46112</v>
      </c>
      <c r="B30" s="429">
        <v>22</v>
      </c>
      <c r="C30" s="430">
        <f>'SEMANA MARÇO'!$M$199</f>
        <v>14292</v>
      </c>
      <c r="D30" s="430">
        <f>CONFIG!$B$3</f>
        <v>11000</v>
      </c>
      <c r="E30" s="430">
        <f t="shared" si="0"/>
        <v>3292</v>
      </c>
      <c r="F30" s="205"/>
      <c r="X30" s="28">
        <f t="shared" si="1"/>
        <v>14292</v>
      </c>
      <c r="Y30" s="28">
        <f t="shared" si="2"/>
        <v>11000</v>
      </c>
    </row>
  </sheetData>
  <mergeCells count="1">
    <mergeCell ref="A1:F1"/>
  </mergeCells>
  <conditionalFormatting sqref="E9:E30">
    <cfRule type="cellIs" dxfId="47" priority="2" operator="greaterThan">
      <formula>0</formula>
    </cfRule>
    <cfRule type="cellIs" dxfId="46" priority="3" operator="lessThan">
      <formula>0</formula>
    </cfRule>
    <cfRule type="cellIs" dxfId="45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96B0A"/>
  </sheetPr>
  <dimension ref="B1:Q300"/>
  <sheetViews>
    <sheetView showGridLines="0" topLeftCell="A142" zoomScaleNormal="100" workbookViewId="0">
      <selection activeCell="N48" sqref="N48"/>
    </sheetView>
  </sheetViews>
  <sheetFormatPr defaultColWidth="8.6640625" defaultRowHeight="15" x14ac:dyDescent="0.25"/>
  <cols>
    <col min="1" max="1" width="2.5546875" style="208" customWidth="1"/>
    <col min="2" max="2" width="13.5546875" style="6" customWidth="1"/>
    <col min="3" max="3" width="7.6640625" style="6" customWidth="1"/>
    <col min="4" max="4" width="12.6640625" style="6" customWidth="1"/>
    <col min="5" max="5" width="9.109375" style="6" customWidth="1"/>
    <col min="6" max="6" width="13.5546875" style="6" customWidth="1"/>
    <col min="7" max="7" width="6.6640625" style="6" customWidth="1"/>
    <col min="8" max="8" width="8" style="6" customWidth="1"/>
    <col min="9" max="9" width="7.5546875" style="6" customWidth="1"/>
    <col min="10" max="10" width="20" style="6" customWidth="1"/>
    <col min="11" max="11" width="9.109375" style="6" customWidth="1"/>
    <col min="12" max="12" width="21" style="6" customWidth="1"/>
    <col min="13" max="13" width="18.109375" style="6" customWidth="1"/>
    <col min="14" max="14" width="17.109375" style="441" customWidth="1"/>
    <col min="15" max="15" width="13.44140625" style="208" customWidth="1"/>
    <col min="16" max="17" width="12.6640625" style="208" customWidth="1"/>
    <col min="18" max="16384" width="8.6640625" style="208"/>
  </cols>
  <sheetData>
    <row r="1" spans="2:14" ht="21.75" customHeight="1" x14ac:dyDescent="0.25">
      <c r="B1" s="632" t="s">
        <v>457</v>
      </c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</row>
    <row r="2" spans="2:14" ht="15" customHeight="1" x14ac:dyDescent="0.25">
      <c r="B2" s="632"/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2"/>
      <c r="N2" s="632"/>
    </row>
    <row r="3" spans="2:14" ht="17.25" customHeight="1" x14ac:dyDescent="0.25">
      <c r="B3" s="4" t="s">
        <v>75</v>
      </c>
      <c r="C3" s="632" t="s">
        <v>76</v>
      </c>
      <c r="D3" s="632"/>
      <c r="E3" s="632" t="s">
        <v>77</v>
      </c>
      <c r="F3" s="632"/>
      <c r="G3" s="632" t="s">
        <v>78</v>
      </c>
      <c r="H3" s="632"/>
      <c r="I3" s="632"/>
      <c r="J3" s="632"/>
      <c r="K3" s="632" t="s">
        <v>79</v>
      </c>
      <c r="L3" s="632"/>
      <c r="M3" s="4" t="s">
        <v>80</v>
      </c>
      <c r="N3" s="450" t="s">
        <v>81</v>
      </c>
    </row>
    <row r="4" spans="2:14" ht="17.25" customHeight="1" x14ac:dyDescent="0.25">
      <c r="B4" s="630" t="s">
        <v>458</v>
      </c>
      <c r="C4" s="630">
        <v>26010384</v>
      </c>
      <c r="D4" s="630"/>
      <c r="E4" s="631"/>
      <c r="F4" s="631"/>
      <c r="G4" s="630" t="s">
        <v>104</v>
      </c>
      <c r="H4" s="630"/>
      <c r="I4" s="630"/>
      <c r="J4" s="630"/>
      <c r="K4" s="630" t="s">
        <v>105</v>
      </c>
      <c r="L4" s="630"/>
      <c r="M4" s="209" t="s">
        <v>106</v>
      </c>
      <c r="N4" s="439">
        <v>46120</v>
      </c>
    </row>
    <row r="5" spans="2:14" ht="17.25" customHeight="1" x14ac:dyDescent="0.25">
      <c r="B5" s="630"/>
      <c r="C5" s="630">
        <v>26010385</v>
      </c>
      <c r="D5" s="630"/>
      <c r="E5" s="630"/>
      <c r="F5" s="630"/>
      <c r="G5" s="630" t="s">
        <v>104</v>
      </c>
      <c r="H5" s="630"/>
      <c r="I5" s="630"/>
      <c r="J5" s="630"/>
      <c r="K5" s="630"/>
      <c r="L5" s="630"/>
      <c r="M5" s="209" t="s">
        <v>106</v>
      </c>
      <c r="N5" s="439">
        <v>46120</v>
      </c>
    </row>
    <row r="6" spans="2:14" ht="17.25" customHeight="1" x14ac:dyDescent="0.25">
      <c r="B6" s="630"/>
      <c r="C6" s="630">
        <v>26010386</v>
      </c>
      <c r="D6" s="630"/>
      <c r="E6" s="631"/>
      <c r="F6" s="631"/>
      <c r="G6" s="630" t="s">
        <v>104</v>
      </c>
      <c r="H6" s="630"/>
      <c r="I6" s="630"/>
      <c r="J6" s="630"/>
      <c r="K6" s="630"/>
      <c r="L6" s="630"/>
      <c r="M6" s="209" t="s">
        <v>106</v>
      </c>
      <c r="N6" s="439">
        <v>46121</v>
      </c>
    </row>
    <row r="7" spans="2:14" ht="17.25" customHeight="1" x14ac:dyDescent="0.25">
      <c r="B7" s="630"/>
      <c r="C7" s="630">
        <v>26010387</v>
      </c>
      <c r="D7" s="630"/>
      <c r="E7" s="630"/>
      <c r="F7" s="630"/>
      <c r="G7" s="630" t="s">
        <v>104</v>
      </c>
      <c r="H7" s="630"/>
      <c r="I7" s="630"/>
      <c r="J7" s="630"/>
      <c r="K7" s="630"/>
      <c r="L7" s="630"/>
      <c r="M7" s="209" t="s">
        <v>106</v>
      </c>
      <c r="N7" s="439">
        <v>46121</v>
      </c>
    </row>
    <row r="8" spans="2:14" ht="17.25" customHeight="1" x14ac:dyDescent="0.25">
      <c r="B8" s="630"/>
      <c r="C8" s="630">
        <v>26010388</v>
      </c>
      <c r="D8" s="630"/>
      <c r="E8" s="630"/>
      <c r="F8" s="630"/>
      <c r="G8" s="630" t="s">
        <v>104</v>
      </c>
      <c r="H8" s="630"/>
      <c r="I8" s="630"/>
      <c r="J8" s="630"/>
      <c r="K8" s="630"/>
      <c r="L8" s="630"/>
      <c r="M8" s="209" t="s">
        <v>106</v>
      </c>
      <c r="N8" s="439">
        <v>46121</v>
      </c>
    </row>
    <row r="9" spans="2:14" ht="17.25" customHeight="1" x14ac:dyDescent="0.25">
      <c r="B9" s="630"/>
      <c r="C9" s="630">
        <v>26010389</v>
      </c>
      <c r="D9" s="630"/>
      <c r="E9" s="630"/>
      <c r="F9" s="630"/>
      <c r="G9" s="630" t="s">
        <v>104</v>
      </c>
      <c r="H9" s="630"/>
      <c r="I9" s="630"/>
      <c r="J9" s="630"/>
      <c r="K9" s="630"/>
      <c r="L9" s="630"/>
      <c r="M9" s="209" t="s">
        <v>106</v>
      </c>
      <c r="N9" s="439">
        <v>46121</v>
      </c>
    </row>
    <row r="10" spans="2:14" ht="17.25" customHeight="1" x14ac:dyDescent="0.25">
      <c r="B10" s="630"/>
      <c r="C10" s="630">
        <v>26010390</v>
      </c>
      <c r="D10" s="630"/>
      <c r="E10" s="630"/>
      <c r="F10" s="630"/>
      <c r="G10" s="630" t="s">
        <v>104</v>
      </c>
      <c r="H10" s="630"/>
      <c r="I10" s="630"/>
      <c r="J10" s="630"/>
      <c r="K10" s="630"/>
      <c r="L10" s="630"/>
      <c r="M10" s="209" t="s">
        <v>106</v>
      </c>
      <c r="N10" s="439">
        <v>46121</v>
      </c>
    </row>
    <row r="11" spans="2:14" ht="17.25" customHeight="1" x14ac:dyDescent="0.25">
      <c r="B11" s="630"/>
      <c r="C11" s="630">
        <v>26010391</v>
      </c>
      <c r="D11" s="630"/>
      <c r="E11" s="630"/>
      <c r="F11" s="630"/>
      <c r="G11" s="630" t="s">
        <v>104</v>
      </c>
      <c r="H11" s="630"/>
      <c r="I11" s="630"/>
      <c r="J11" s="630"/>
      <c r="K11" s="630"/>
      <c r="L11" s="630"/>
      <c r="M11" s="209" t="s">
        <v>106</v>
      </c>
      <c r="N11" s="439">
        <v>46121</v>
      </c>
    </row>
    <row r="12" spans="2:14" ht="17.25" customHeight="1" x14ac:dyDescent="0.25">
      <c r="B12" s="630"/>
      <c r="C12" s="630">
        <v>26010392</v>
      </c>
      <c r="D12" s="630"/>
      <c r="E12" s="630"/>
      <c r="F12" s="630"/>
      <c r="G12" s="630" t="s">
        <v>104</v>
      </c>
      <c r="H12" s="630"/>
      <c r="I12" s="630"/>
      <c r="J12" s="630"/>
      <c r="K12" s="630"/>
      <c r="L12" s="630"/>
      <c r="M12" s="209" t="s">
        <v>106</v>
      </c>
      <c r="N12" s="439">
        <v>46121</v>
      </c>
    </row>
    <row r="13" spans="2:14" ht="17.25" customHeight="1" x14ac:dyDescent="0.25">
      <c r="B13" s="630"/>
      <c r="C13" s="630">
        <v>26010393</v>
      </c>
      <c r="D13" s="630"/>
      <c r="E13" s="630"/>
      <c r="F13" s="630"/>
      <c r="G13" s="630" t="s">
        <v>104</v>
      </c>
      <c r="H13" s="630"/>
      <c r="I13" s="630"/>
      <c r="J13" s="630"/>
      <c r="K13" s="630"/>
      <c r="L13" s="630"/>
      <c r="M13" s="209" t="s">
        <v>106</v>
      </c>
      <c r="N13" s="439">
        <v>46122</v>
      </c>
    </row>
    <row r="14" spans="2:14" ht="17.25" customHeight="1" x14ac:dyDescent="0.25">
      <c r="B14" s="630"/>
      <c r="C14" s="630">
        <v>26010394</v>
      </c>
      <c r="D14" s="630"/>
      <c r="E14" s="631"/>
      <c r="F14" s="631"/>
      <c r="G14" s="630" t="s">
        <v>104</v>
      </c>
      <c r="H14" s="630"/>
      <c r="I14" s="630"/>
      <c r="J14" s="630"/>
      <c r="K14" s="630"/>
      <c r="L14" s="630"/>
      <c r="M14" s="209" t="s">
        <v>106</v>
      </c>
      <c r="N14" s="439">
        <v>46122</v>
      </c>
    </row>
    <row r="15" spans="2:14" ht="17.25" customHeight="1" x14ac:dyDescent="0.25">
      <c r="B15" s="630"/>
      <c r="C15" s="630">
        <v>26010395</v>
      </c>
      <c r="D15" s="630"/>
      <c r="E15" s="630"/>
      <c r="F15" s="630"/>
      <c r="G15" s="630" t="s">
        <v>104</v>
      </c>
      <c r="H15" s="630"/>
      <c r="I15" s="630"/>
      <c r="J15" s="630"/>
      <c r="K15" s="630"/>
      <c r="L15" s="630"/>
      <c r="M15" s="209" t="s">
        <v>106</v>
      </c>
      <c r="N15" s="439">
        <v>46122</v>
      </c>
    </row>
    <row r="16" spans="2:14" ht="17.25" customHeight="1" x14ac:dyDescent="0.25">
      <c r="B16" s="630"/>
      <c r="C16" s="630">
        <v>26010396</v>
      </c>
      <c r="D16" s="630"/>
      <c r="E16" s="630"/>
      <c r="F16" s="630"/>
      <c r="G16" s="630" t="s">
        <v>104</v>
      </c>
      <c r="H16" s="630"/>
      <c r="I16" s="630"/>
      <c r="J16" s="630"/>
      <c r="K16" s="630"/>
      <c r="L16" s="630"/>
      <c r="M16" s="209" t="s">
        <v>106</v>
      </c>
      <c r="N16" s="439">
        <v>46122</v>
      </c>
    </row>
    <row r="17" spans="2:14" ht="17.25" customHeight="1" x14ac:dyDescent="0.25">
      <c r="B17" s="630"/>
      <c r="C17" s="630">
        <v>26010397</v>
      </c>
      <c r="D17" s="630"/>
      <c r="E17" s="630"/>
      <c r="F17" s="630"/>
      <c r="G17" s="630" t="s">
        <v>104</v>
      </c>
      <c r="H17" s="630"/>
      <c r="I17" s="630"/>
      <c r="J17" s="630"/>
      <c r="K17" s="630"/>
      <c r="L17" s="630"/>
      <c r="M17" s="209" t="s">
        <v>106</v>
      </c>
      <c r="N17" s="439">
        <v>46125</v>
      </c>
    </row>
    <row r="18" spans="2:14" ht="17.25" customHeight="1" x14ac:dyDescent="0.25">
      <c r="B18" s="630"/>
      <c r="C18" s="630">
        <v>26010398</v>
      </c>
      <c r="D18" s="630"/>
      <c r="E18" s="630"/>
      <c r="F18" s="630"/>
      <c r="G18" s="630" t="s">
        <v>104</v>
      </c>
      <c r="H18" s="630"/>
      <c r="I18" s="630"/>
      <c r="J18" s="630"/>
      <c r="K18" s="630"/>
      <c r="L18" s="630"/>
      <c r="M18" s="209" t="s">
        <v>106</v>
      </c>
      <c r="N18" s="439">
        <v>46125</v>
      </c>
    </row>
    <row r="19" spans="2:14" ht="17.25" customHeight="1" x14ac:dyDescent="0.25">
      <c r="B19" s="630"/>
      <c r="C19" s="630">
        <v>26010399</v>
      </c>
      <c r="D19" s="630"/>
      <c r="E19" s="630"/>
      <c r="F19" s="630"/>
      <c r="G19" s="630" t="s">
        <v>104</v>
      </c>
      <c r="H19" s="630"/>
      <c r="I19" s="630"/>
      <c r="J19" s="630"/>
      <c r="K19" s="630"/>
      <c r="L19" s="630"/>
      <c r="M19" s="209" t="s">
        <v>106</v>
      </c>
      <c r="N19" s="439">
        <v>46125</v>
      </c>
    </row>
    <row r="20" spans="2:14" ht="17.25" customHeight="1" x14ac:dyDescent="0.25">
      <c r="B20" s="630"/>
      <c r="C20" s="630">
        <v>26010400</v>
      </c>
      <c r="D20" s="630"/>
      <c r="E20" s="620"/>
      <c r="F20" s="620"/>
      <c r="G20" s="630" t="s">
        <v>104</v>
      </c>
      <c r="H20" s="630"/>
      <c r="I20" s="630"/>
      <c r="J20" s="630"/>
      <c r="K20" s="630"/>
      <c r="L20" s="630"/>
      <c r="M20" s="209" t="s">
        <v>106</v>
      </c>
      <c r="N20" s="439">
        <v>46125</v>
      </c>
    </row>
    <row r="21" spans="2:14" ht="17.25" customHeight="1" x14ac:dyDescent="0.25">
      <c r="B21" s="630"/>
      <c r="C21" s="630">
        <v>26010401</v>
      </c>
      <c r="D21" s="630"/>
      <c r="E21" s="630"/>
      <c r="F21" s="630"/>
      <c r="G21" s="630" t="s">
        <v>104</v>
      </c>
      <c r="H21" s="630"/>
      <c r="I21" s="630"/>
      <c r="J21" s="630"/>
      <c r="K21" s="630"/>
      <c r="L21" s="630"/>
      <c r="M21" s="209" t="s">
        <v>106</v>
      </c>
      <c r="N21" s="439">
        <v>46126</v>
      </c>
    </row>
    <row r="22" spans="2:14" ht="17.25" customHeight="1" x14ac:dyDescent="0.25">
      <c r="B22" s="630"/>
      <c r="C22" s="630">
        <v>26010402</v>
      </c>
      <c r="D22" s="630"/>
      <c r="E22" s="630"/>
      <c r="F22" s="630"/>
      <c r="G22" s="630" t="s">
        <v>104</v>
      </c>
      <c r="H22" s="630"/>
      <c r="I22" s="630"/>
      <c r="J22" s="630"/>
      <c r="K22" s="630"/>
      <c r="L22" s="630"/>
      <c r="M22" s="209" t="s">
        <v>106</v>
      </c>
      <c r="N22" s="439">
        <v>46126</v>
      </c>
    </row>
    <row r="23" spans="2:14" ht="17.25" customHeight="1" x14ac:dyDescent="0.25">
      <c r="B23" s="630"/>
      <c r="C23" s="630">
        <v>26010403</v>
      </c>
      <c r="D23" s="630"/>
      <c r="E23" s="630"/>
      <c r="F23" s="630"/>
      <c r="G23" s="630" t="s">
        <v>104</v>
      </c>
      <c r="H23" s="630"/>
      <c r="I23" s="630"/>
      <c r="J23" s="630"/>
      <c r="K23" s="630"/>
      <c r="L23" s="630"/>
      <c r="M23" s="209" t="s">
        <v>106</v>
      </c>
      <c r="N23" s="439">
        <v>46126</v>
      </c>
    </row>
    <row r="24" spans="2:14" ht="17.25" customHeight="1" x14ac:dyDescent="0.25">
      <c r="B24" s="630"/>
      <c r="C24" s="630">
        <v>26010404</v>
      </c>
      <c r="D24" s="630"/>
      <c r="E24" s="630"/>
      <c r="F24" s="630"/>
      <c r="G24" s="630" t="s">
        <v>104</v>
      </c>
      <c r="H24" s="630"/>
      <c r="I24" s="630"/>
      <c r="J24" s="630"/>
      <c r="K24" s="630"/>
      <c r="L24" s="630"/>
      <c r="M24" s="209" t="s">
        <v>106</v>
      </c>
      <c r="N24" s="439">
        <v>46126</v>
      </c>
    </row>
    <row r="25" spans="2:14" ht="17.25" customHeight="1" x14ac:dyDescent="0.25">
      <c r="B25" s="630"/>
      <c r="C25" s="630">
        <v>26010405</v>
      </c>
      <c r="D25" s="630"/>
      <c r="E25" s="630"/>
      <c r="F25" s="630"/>
      <c r="G25" s="630" t="s">
        <v>104</v>
      </c>
      <c r="H25" s="630"/>
      <c r="I25" s="630"/>
      <c r="J25" s="630"/>
      <c r="K25" s="630"/>
      <c r="L25" s="630"/>
      <c r="M25" s="209" t="s">
        <v>106</v>
      </c>
      <c r="N25" s="439">
        <v>46126</v>
      </c>
    </row>
    <row r="26" spans="2:14" ht="17.25" customHeight="1" x14ac:dyDescent="0.25">
      <c r="B26" s="630"/>
      <c r="C26" s="630">
        <v>26010406</v>
      </c>
      <c r="D26" s="630"/>
      <c r="E26" s="630"/>
      <c r="F26" s="630"/>
      <c r="G26" s="630" t="s">
        <v>104</v>
      </c>
      <c r="H26" s="630"/>
      <c r="I26" s="630"/>
      <c r="J26" s="630"/>
      <c r="K26" s="630"/>
      <c r="L26" s="630"/>
      <c r="M26" s="209" t="s">
        <v>106</v>
      </c>
      <c r="N26" s="439">
        <v>46126</v>
      </c>
    </row>
    <row r="27" spans="2:14" ht="17.25" customHeight="1" x14ac:dyDescent="0.25">
      <c r="B27" s="630"/>
      <c r="C27" s="630">
        <v>26010407</v>
      </c>
      <c r="D27" s="630"/>
      <c r="E27" s="630"/>
      <c r="F27" s="630"/>
      <c r="G27" s="630" t="s">
        <v>104</v>
      </c>
      <c r="H27" s="630"/>
      <c r="I27" s="630"/>
      <c r="J27" s="630"/>
      <c r="K27" s="630"/>
      <c r="L27" s="630"/>
      <c r="M27" s="209" t="s">
        <v>106</v>
      </c>
      <c r="N27" s="439">
        <v>46126</v>
      </c>
    </row>
    <row r="28" spans="2:14" ht="17.25" customHeight="1" x14ac:dyDescent="0.25">
      <c r="B28" s="630"/>
      <c r="C28" s="630">
        <v>26010408</v>
      </c>
      <c r="D28" s="630"/>
      <c r="E28" s="620"/>
      <c r="F28" s="620"/>
      <c r="G28" s="630" t="s">
        <v>104</v>
      </c>
      <c r="H28" s="630"/>
      <c r="I28" s="630"/>
      <c r="J28" s="630"/>
      <c r="K28" s="630"/>
      <c r="L28" s="630"/>
      <c r="M28" s="209" t="s">
        <v>106</v>
      </c>
      <c r="N28" s="439">
        <v>46127</v>
      </c>
    </row>
    <row r="29" spans="2:14" ht="17.25" customHeight="1" x14ac:dyDescent="0.25">
      <c r="B29" s="1" t="s">
        <v>459</v>
      </c>
      <c r="C29" s="630"/>
      <c r="D29" s="630"/>
      <c r="E29" s="630">
        <v>26020376</v>
      </c>
      <c r="F29" s="630"/>
      <c r="G29" s="630" t="s">
        <v>307</v>
      </c>
      <c r="H29" s="630"/>
      <c r="I29" s="630"/>
      <c r="J29" s="630"/>
      <c r="K29" s="630" t="s">
        <v>149</v>
      </c>
      <c r="L29" s="630"/>
      <c r="M29" s="1" t="s">
        <v>156</v>
      </c>
      <c r="N29" s="439">
        <v>46114</v>
      </c>
    </row>
    <row r="30" spans="2:14" ht="17.25" customHeight="1" x14ac:dyDescent="0.25">
      <c r="B30" s="630" t="s">
        <v>460</v>
      </c>
      <c r="C30" s="630"/>
      <c r="D30" s="630"/>
      <c r="E30" s="630">
        <v>26020376</v>
      </c>
      <c r="F30" s="630"/>
      <c r="G30" s="630" t="s">
        <v>307</v>
      </c>
      <c r="H30" s="630"/>
      <c r="I30" s="630"/>
      <c r="J30" s="630"/>
      <c r="K30" s="630" t="s">
        <v>91</v>
      </c>
      <c r="L30" s="630"/>
      <c r="M30" s="1" t="s">
        <v>461</v>
      </c>
      <c r="N30" s="439">
        <v>46114</v>
      </c>
    </row>
    <row r="31" spans="2:14" ht="17.25" customHeight="1" x14ac:dyDescent="0.25">
      <c r="B31" s="630"/>
      <c r="C31" s="630"/>
      <c r="D31" s="630"/>
      <c r="E31" s="630">
        <v>26020379</v>
      </c>
      <c r="F31" s="630"/>
      <c r="G31" s="630" t="s">
        <v>428</v>
      </c>
      <c r="H31" s="630"/>
      <c r="I31" s="630"/>
      <c r="J31" s="630"/>
      <c r="K31" s="630"/>
      <c r="L31" s="630"/>
      <c r="M31" s="1" t="s">
        <v>462</v>
      </c>
      <c r="N31" s="439">
        <v>46118</v>
      </c>
    </row>
    <row r="32" spans="2:14" ht="17.25" customHeight="1" x14ac:dyDescent="0.25">
      <c r="B32" s="630"/>
      <c r="C32" s="630">
        <v>26020337</v>
      </c>
      <c r="D32" s="630"/>
      <c r="E32" s="630">
        <v>26020377</v>
      </c>
      <c r="F32" s="630"/>
      <c r="G32" s="630" t="s">
        <v>425</v>
      </c>
      <c r="H32" s="630"/>
      <c r="I32" s="630"/>
      <c r="J32" s="630"/>
      <c r="K32" s="630"/>
      <c r="L32" s="630"/>
      <c r="M32" s="1" t="s">
        <v>462</v>
      </c>
      <c r="N32" s="439">
        <v>46118</v>
      </c>
    </row>
    <row r="33" spans="2:14" ht="17.25" customHeight="1" x14ac:dyDescent="0.25">
      <c r="B33" s="630"/>
      <c r="C33" s="630"/>
      <c r="D33" s="630"/>
      <c r="E33" s="630">
        <v>26020381</v>
      </c>
      <c r="F33" s="630"/>
      <c r="G33" s="630" t="s">
        <v>430</v>
      </c>
      <c r="H33" s="630"/>
      <c r="I33" s="630"/>
      <c r="J33" s="630"/>
      <c r="K33" s="630"/>
      <c r="L33" s="630"/>
      <c r="M33" s="1" t="s">
        <v>462</v>
      </c>
      <c r="N33" s="439">
        <v>46118</v>
      </c>
    </row>
    <row r="34" spans="2:14" ht="17.25" customHeight="1" x14ac:dyDescent="0.25">
      <c r="B34" s="630"/>
      <c r="C34" s="630"/>
      <c r="D34" s="630"/>
      <c r="E34" s="630">
        <v>26020382</v>
      </c>
      <c r="F34" s="630"/>
      <c r="G34" s="630" t="s">
        <v>431</v>
      </c>
      <c r="H34" s="630"/>
      <c r="I34" s="630"/>
      <c r="J34" s="630"/>
      <c r="K34" s="630"/>
      <c r="L34" s="630"/>
      <c r="M34" s="1" t="s">
        <v>462</v>
      </c>
      <c r="N34" s="439">
        <v>46119</v>
      </c>
    </row>
    <row r="35" spans="2:14" ht="17.25" customHeight="1" x14ac:dyDescent="0.25">
      <c r="B35" s="630"/>
      <c r="C35" s="630"/>
      <c r="D35" s="630"/>
      <c r="E35" s="630">
        <v>26020383</v>
      </c>
      <c r="F35" s="630"/>
      <c r="G35" s="630" t="s">
        <v>432</v>
      </c>
      <c r="H35" s="630"/>
      <c r="I35" s="630"/>
      <c r="J35" s="630"/>
      <c r="K35" s="630"/>
      <c r="L35" s="630"/>
      <c r="M35" s="1" t="s">
        <v>463</v>
      </c>
      <c r="N35" s="439">
        <v>46119</v>
      </c>
    </row>
    <row r="36" spans="2:14" ht="17.25" customHeight="1" x14ac:dyDescent="0.25">
      <c r="B36" s="630" t="s">
        <v>464</v>
      </c>
      <c r="C36" s="630"/>
      <c r="D36" s="630"/>
      <c r="E36" s="630">
        <v>26020376</v>
      </c>
      <c r="F36" s="630"/>
      <c r="G36" s="630" t="s">
        <v>307</v>
      </c>
      <c r="H36" s="630"/>
      <c r="I36" s="630"/>
      <c r="J36" s="630"/>
      <c r="K36" s="630" t="s">
        <v>155</v>
      </c>
      <c r="L36" s="630"/>
      <c r="M36" s="1" t="s">
        <v>462</v>
      </c>
      <c r="N36" s="439">
        <v>46114</v>
      </c>
    </row>
    <row r="37" spans="2:14" ht="17.25" customHeight="1" x14ac:dyDescent="0.25">
      <c r="B37" s="630"/>
      <c r="C37" s="630"/>
      <c r="D37" s="630"/>
      <c r="E37" s="630">
        <v>26020378</v>
      </c>
      <c r="F37" s="630"/>
      <c r="G37" s="630" t="s">
        <v>427</v>
      </c>
      <c r="H37" s="630"/>
      <c r="I37" s="630"/>
      <c r="J37" s="630"/>
      <c r="K37" s="630"/>
      <c r="L37" s="630"/>
      <c r="M37" s="1" t="s">
        <v>462</v>
      </c>
      <c r="N37" s="439">
        <v>46118</v>
      </c>
    </row>
    <row r="38" spans="2:14" ht="17.25" customHeight="1" x14ac:dyDescent="0.25">
      <c r="B38" s="630"/>
      <c r="C38" s="630"/>
      <c r="D38" s="630"/>
      <c r="E38" s="630">
        <v>26030380</v>
      </c>
      <c r="F38" s="630"/>
      <c r="G38" s="630" t="s">
        <v>429</v>
      </c>
      <c r="H38" s="630"/>
      <c r="I38" s="630"/>
      <c r="J38" s="630"/>
      <c r="K38" s="630"/>
      <c r="L38" s="630"/>
      <c r="M38" s="1" t="s">
        <v>462</v>
      </c>
      <c r="N38" s="439">
        <v>46118</v>
      </c>
    </row>
    <row r="39" spans="2:14" ht="17.25" customHeight="1" x14ac:dyDescent="0.25">
      <c r="B39" s="630"/>
      <c r="C39" s="630"/>
      <c r="D39" s="630"/>
      <c r="E39" s="630">
        <v>26020382</v>
      </c>
      <c r="F39" s="630"/>
      <c r="G39" s="630" t="s">
        <v>431</v>
      </c>
      <c r="H39" s="630"/>
      <c r="I39" s="630"/>
      <c r="J39" s="630"/>
      <c r="K39" s="630"/>
      <c r="L39" s="630"/>
      <c r="M39" s="1" t="s">
        <v>465</v>
      </c>
      <c r="N39" s="439">
        <v>46119</v>
      </c>
    </row>
    <row r="40" spans="2:14" ht="17.25" customHeight="1" x14ac:dyDescent="0.25">
      <c r="B40" s="630"/>
      <c r="C40" s="630"/>
      <c r="D40" s="630"/>
      <c r="E40" s="630">
        <v>26020383</v>
      </c>
      <c r="F40" s="630"/>
      <c r="G40" s="630" t="s">
        <v>432</v>
      </c>
      <c r="H40" s="630"/>
      <c r="I40" s="630"/>
      <c r="J40" s="630"/>
      <c r="K40" s="630"/>
      <c r="L40" s="630"/>
      <c r="M40" s="1" t="s">
        <v>462</v>
      </c>
      <c r="N40" s="439">
        <v>46119</v>
      </c>
    </row>
    <row r="41" spans="2:14" ht="17.25" customHeight="1" x14ac:dyDescent="0.25">
      <c r="B41" s="1" t="s">
        <v>466</v>
      </c>
      <c r="C41" s="630">
        <v>26060409</v>
      </c>
      <c r="D41" s="630"/>
      <c r="E41" s="630"/>
      <c r="F41" s="630"/>
      <c r="G41" s="630" t="s">
        <v>467</v>
      </c>
      <c r="H41" s="630"/>
      <c r="I41" s="630"/>
      <c r="J41" s="630"/>
      <c r="K41" s="630" t="s">
        <v>105</v>
      </c>
      <c r="L41" s="630"/>
      <c r="M41" s="1" t="s">
        <v>468</v>
      </c>
      <c r="N41" s="439">
        <v>46118</v>
      </c>
    </row>
    <row r="42" spans="2:14" ht="17.25" customHeight="1" x14ac:dyDescent="0.25">
      <c r="B42" s="1" t="s">
        <v>469</v>
      </c>
      <c r="C42" s="630">
        <v>26060410</v>
      </c>
      <c r="D42" s="630"/>
      <c r="E42" s="630" t="s">
        <v>470</v>
      </c>
      <c r="F42" s="630"/>
      <c r="G42" s="630" t="s">
        <v>471</v>
      </c>
      <c r="H42" s="630"/>
      <c r="I42" s="630"/>
      <c r="J42" s="630"/>
      <c r="K42" s="630" t="s">
        <v>91</v>
      </c>
      <c r="L42" s="630"/>
      <c r="M42" s="210" t="s">
        <v>472</v>
      </c>
      <c r="N42" s="439">
        <v>46119</v>
      </c>
    </row>
    <row r="43" spans="2:14" ht="17.25" customHeight="1" x14ac:dyDescent="0.25">
      <c r="B43" s="1" t="s">
        <v>473</v>
      </c>
      <c r="C43" s="630">
        <v>26010411</v>
      </c>
      <c r="D43" s="630"/>
      <c r="E43" s="630"/>
      <c r="F43" s="630"/>
      <c r="G43" s="630" t="s">
        <v>174</v>
      </c>
      <c r="H43" s="630"/>
      <c r="I43" s="630"/>
      <c r="J43" s="630"/>
      <c r="K43" s="630" t="s">
        <v>91</v>
      </c>
      <c r="L43" s="630"/>
      <c r="M43" s="1" t="s">
        <v>474</v>
      </c>
      <c r="N43" s="439">
        <v>46121</v>
      </c>
    </row>
    <row r="44" spans="2:14" ht="17.25" customHeight="1" x14ac:dyDescent="0.25">
      <c r="B44" s="630" t="s">
        <v>475</v>
      </c>
      <c r="C44" s="630">
        <v>26010412</v>
      </c>
      <c r="D44" s="630"/>
      <c r="E44" s="620"/>
      <c r="F44" s="620"/>
      <c r="G44" s="630" t="s">
        <v>115</v>
      </c>
      <c r="H44" s="630"/>
      <c r="I44" s="630"/>
      <c r="J44" s="630"/>
      <c r="K44" s="630" t="s">
        <v>56</v>
      </c>
      <c r="L44" s="630"/>
      <c r="M44" s="1" t="s">
        <v>397</v>
      </c>
      <c r="N44" s="439">
        <v>46121</v>
      </c>
    </row>
    <row r="45" spans="2:14" ht="17.25" customHeight="1" x14ac:dyDescent="0.25">
      <c r="B45" s="630"/>
      <c r="C45" s="630">
        <v>26010413</v>
      </c>
      <c r="D45" s="630"/>
      <c r="E45" s="630"/>
      <c r="F45" s="630"/>
      <c r="G45" s="630" t="s">
        <v>115</v>
      </c>
      <c r="H45" s="630"/>
      <c r="I45" s="630"/>
      <c r="J45" s="630"/>
      <c r="K45" s="630"/>
      <c r="L45" s="630"/>
      <c r="M45" s="1" t="s">
        <v>476</v>
      </c>
      <c r="N45" s="439">
        <v>46122</v>
      </c>
    </row>
    <row r="46" spans="2:14" ht="17.25" customHeight="1" x14ac:dyDescent="0.25">
      <c r="B46" s="630"/>
      <c r="C46" s="630">
        <v>26010414</v>
      </c>
      <c r="D46" s="630"/>
      <c r="E46" s="630"/>
      <c r="F46" s="630"/>
      <c r="G46" s="630" t="s">
        <v>115</v>
      </c>
      <c r="H46" s="630"/>
      <c r="I46" s="630"/>
      <c r="J46" s="630"/>
      <c r="K46" s="630"/>
      <c r="L46" s="630"/>
      <c r="M46" s="1" t="s">
        <v>397</v>
      </c>
      <c r="N46" s="439">
        <v>46125</v>
      </c>
    </row>
    <row r="47" spans="2:14" ht="17.25" customHeight="1" x14ac:dyDescent="0.25">
      <c r="B47" s="630"/>
      <c r="C47" s="630">
        <v>26010415</v>
      </c>
      <c r="D47" s="630"/>
      <c r="E47" s="620" t="s">
        <v>406</v>
      </c>
      <c r="F47" s="620"/>
      <c r="G47" s="630" t="s">
        <v>115</v>
      </c>
      <c r="H47" s="630"/>
      <c r="I47" s="630"/>
      <c r="J47" s="630"/>
      <c r="K47" s="630"/>
      <c r="L47" s="630"/>
      <c r="M47" s="210" t="s">
        <v>476</v>
      </c>
      <c r="N47" s="439">
        <v>46126</v>
      </c>
    </row>
    <row r="48" spans="2:14" ht="17.25" customHeight="1" x14ac:dyDescent="0.25">
      <c r="B48" s="630"/>
      <c r="C48" s="630">
        <v>26010416</v>
      </c>
      <c r="D48" s="630"/>
      <c r="E48" s="630"/>
      <c r="F48" s="630"/>
      <c r="G48" s="630" t="s">
        <v>115</v>
      </c>
      <c r="H48" s="630"/>
      <c r="I48" s="630"/>
      <c r="J48" s="630"/>
      <c r="K48" s="630"/>
      <c r="L48" s="630"/>
      <c r="M48" s="1" t="s">
        <v>397</v>
      </c>
      <c r="N48" s="439">
        <v>46161</v>
      </c>
    </row>
    <row r="49" spans="2:17" ht="17.25" customHeight="1" x14ac:dyDescent="0.25">
      <c r="B49" s="1" t="s">
        <v>477</v>
      </c>
      <c r="C49" s="630"/>
      <c r="D49" s="630"/>
      <c r="E49" s="630">
        <v>2633186</v>
      </c>
      <c r="F49" s="630"/>
      <c r="G49" s="630" t="s">
        <v>478</v>
      </c>
      <c r="H49" s="630"/>
      <c r="I49" s="630"/>
      <c r="J49" s="630"/>
      <c r="K49" s="630" t="s">
        <v>178</v>
      </c>
      <c r="L49" s="630"/>
      <c r="M49" s="1" t="s">
        <v>479</v>
      </c>
      <c r="N49" s="439">
        <v>46126</v>
      </c>
      <c r="O49" s="211" t="s">
        <v>480</v>
      </c>
      <c r="P49" s="174">
        <v>46134</v>
      </c>
      <c r="Q49" s="174">
        <v>46135</v>
      </c>
    </row>
    <row r="50" spans="2:17" ht="17.25" customHeight="1" x14ac:dyDescent="0.25">
      <c r="B50" s="630" t="s">
        <v>481</v>
      </c>
      <c r="C50" s="630">
        <v>26010417</v>
      </c>
      <c r="D50" s="630"/>
      <c r="E50" s="630"/>
      <c r="F50" s="630"/>
      <c r="G50" s="630" t="s">
        <v>97</v>
      </c>
      <c r="H50" s="630"/>
      <c r="I50" s="630"/>
      <c r="J50" s="630"/>
      <c r="K50" s="630" t="s">
        <v>56</v>
      </c>
      <c r="L50" s="630"/>
      <c r="M50" s="1" t="s">
        <v>482</v>
      </c>
      <c r="N50" s="439">
        <v>46126</v>
      </c>
      <c r="O50" s="211" t="s">
        <v>483</v>
      </c>
      <c r="P50" s="211" t="s">
        <v>484</v>
      </c>
      <c r="Q50" s="211" t="s">
        <v>485</v>
      </c>
    </row>
    <row r="51" spans="2:17" ht="17.25" customHeight="1" x14ac:dyDescent="0.25">
      <c r="B51" s="630"/>
      <c r="C51" s="630">
        <v>26010418</v>
      </c>
      <c r="D51" s="630"/>
      <c r="E51" s="630"/>
      <c r="F51" s="630"/>
      <c r="G51" s="630" t="s">
        <v>408</v>
      </c>
      <c r="H51" s="630"/>
      <c r="I51" s="630"/>
      <c r="J51" s="630"/>
      <c r="K51" s="630"/>
      <c r="L51" s="630"/>
      <c r="M51" s="210" t="s">
        <v>92</v>
      </c>
      <c r="N51" s="439">
        <v>46135</v>
      </c>
    </row>
    <row r="52" spans="2:17" ht="17.25" customHeight="1" x14ac:dyDescent="0.25">
      <c r="B52" s="1" t="s">
        <v>486</v>
      </c>
      <c r="C52" s="630">
        <v>26010419</v>
      </c>
      <c r="D52" s="630"/>
      <c r="E52" s="630"/>
      <c r="F52" s="630"/>
      <c r="G52" s="630" t="s">
        <v>159</v>
      </c>
      <c r="H52" s="630"/>
      <c r="I52" s="630"/>
      <c r="J52" s="630"/>
      <c r="K52" s="630" t="s">
        <v>160</v>
      </c>
      <c r="L52" s="630"/>
      <c r="M52" s="1" t="s">
        <v>487</v>
      </c>
      <c r="N52" s="439">
        <v>46127</v>
      </c>
    </row>
    <row r="53" spans="2:17" ht="17.25" customHeight="1" x14ac:dyDescent="0.25">
      <c r="B53" s="1" t="s">
        <v>488</v>
      </c>
      <c r="C53" s="630">
        <v>26040420</v>
      </c>
      <c r="D53" s="630"/>
      <c r="E53" s="630"/>
      <c r="F53" s="630"/>
      <c r="G53" s="630" t="s">
        <v>294</v>
      </c>
      <c r="H53" s="630"/>
      <c r="I53" s="630"/>
      <c r="J53" s="630"/>
      <c r="K53" s="630" t="s">
        <v>489</v>
      </c>
      <c r="L53" s="630"/>
      <c r="M53" s="1" t="s">
        <v>290</v>
      </c>
      <c r="N53" s="439">
        <v>46128</v>
      </c>
    </row>
    <row r="54" spans="2:17" ht="17.25" customHeight="1" x14ac:dyDescent="0.25">
      <c r="B54" s="1" t="s">
        <v>490</v>
      </c>
      <c r="C54" s="630">
        <v>26040421</v>
      </c>
      <c r="D54" s="630"/>
      <c r="E54" s="630"/>
      <c r="F54" s="630"/>
      <c r="G54" s="630" t="s">
        <v>292</v>
      </c>
      <c r="H54" s="630"/>
      <c r="I54" s="630"/>
      <c r="J54" s="630"/>
      <c r="K54" s="630" t="s">
        <v>299</v>
      </c>
      <c r="L54" s="630"/>
      <c r="M54" s="1" t="s">
        <v>300</v>
      </c>
      <c r="N54" s="439">
        <v>46128</v>
      </c>
    </row>
    <row r="55" spans="2:17" ht="17.25" customHeight="1" x14ac:dyDescent="0.25">
      <c r="B55" s="1" t="s">
        <v>491</v>
      </c>
      <c r="C55" s="630">
        <v>26010422</v>
      </c>
      <c r="D55" s="630"/>
      <c r="E55" s="630"/>
      <c r="F55" s="630"/>
      <c r="G55" s="630" t="s">
        <v>86</v>
      </c>
      <c r="H55" s="630"/>
      <c r="I55" s="630"/>
      <c r="J55" s="630"/>
      <c r="K55" s="630" t="s">
        <v>87</v>
      </c>
      <c r="L55" s="630"/>
      <c r="M55" s="1" t="s">
        <v>492</v>
      </c>
      <c r="N55" s="439">
        <v>46130</v>
      </c>
    </row>
    <row r="56" spans="2:17" ht="17.25" customHeight="1" x14ac:dyDescent="0.25">
      <c r="B56" s="1" t="s">
        <v>493</v>
      </c>
      <c r="C56" s="630" t="s">
        <v>494</v>
      </c>
      <c r="D56" s="630"/>
      <c r="E56" s="630"/>
      <c r="F56" s="630"/>
      <c r="G56" s="630" t="s">
        <v>495</v>
      </c>
      <c r="H56" s="630"/>
      <c r="I56" s="630"/>
      <c r="J56" s="630"/>
      <c r="K56" s="630" t="s">
        <v>60</v>
      </c>
      <c r="L56" s="630"/>
      <c r="M56" s="1" t="s">
        <v>84</v>
      </c>
      <c r="N56" s="439">
        <v>46132</v>
      </c>
    </row>
    <row r="57" spans="2:17" ht="17.25" customHeight="1" x14ac:dyDescent="0.25">
      <c r="B57" s="630" t="s">
        <v>496</v>
      </c>
      <c r="C57" s="630">
        <v>26010424</v>
      </c>
      <c r="D57" s="630"/>
      <c r="E57" s="630"/>
      <c r="F57" s="630"/>
      <c r="G57" s="630" t="s">
        <v>104</v>
      </c>
      <c r="H57" s="630"/>
      <c r="I57" s="630"/>
      <c r="J57" s="630"/>
      <c r="K57" s="630" t="s">
        <v>105</v>
      </c>
      <c r="L57" s="630"/>
      <c r="M57" s="209" t="s">
        <v>106</v>
      </c>
      <c r="N57" s="439">
        <v>46127</v>
      </c>
    </row>
    <row r="58" spans="2:17" ht="17.25" customHeight="1" x14ac:dyDescent="0.25">
      <c r="B58" s="630"/>
      <c r="C58" s="630">
        <v>26010425</v>
      </c>
      <c r="D58" s="630"/>
      <c r="E58" s="630"/>
      <c r="F58" s="630"/>
      <c r="G58" s="630" t="s">
        <v>104</v>
      </c>
      <c r="H58" s="630"/>
      <c r="I58" s="630"/>
      <c r="J58" s="630"/>
      <c r="K58" s="630"/>
      <c r="L58" s="630"/>
      <c r="M58" s="209" t="s">
        <v>106</v>
      </c>
      <c r="N58" s="439">
        <v>46127</v>
      </c>
    </row>
    <row r="59" spans="2:17" ht="17.25" customHeight="1" x14ac:dyDescent="0.25">
      <c r="B59" s="630"/>
      <c r="C59" s="630">
        <v>26010426</v>
      </c>
      <c r="D59" s="630"/>
      <c r="E59" s="630"/>
      <c r="F59" s="630"/>
      <c r="G59" s="630" t="s">
        <v>104</v>
      </c>
      <c r="H59" s="630"/>
      <c r="I59" s="630"/>
      <c r="J59" s="630"/>
      <c r="K59" s="630"/>
      <c r="L59" s="630"/>
      <c r="M59" s="209" t="s">
        <v>106</v>
      </c>
      <c r="N59" s="439">
        <v>46127</v>
      </c>
    </row>
    <row r="60" spans="2:17" ht="17.25" customHeight="1" x14ac:dyDescent="0.25">
      <c r="B60" s="630"/>
      <c r="C60" s="630">
        <v>26010427</v>
      </c>
      <c r="D60" s="630"/>
      <c r="E60" s="630"/>
      <c r="F60" s="630"/>
      <c r="G60" s="630" t="s">
        <v>104</v>
      </c>
      <c r="H60" s="630"/>
      <c r="I60" s="630"/>
      <c r="J60" s="630"/>
      <c r="K60" s="630"/>
      <c r="L60" s="630"/>
      <c r="M60" s="209" t="s">
        <v>106</v>
      </c>
      <c r="N60" s="439">
        <v>46127</v>
      </c>
    </row>
    <row r="61" spans="2:17" ht="17.25" customHeight="1" x14ac:dyDescent="0.25">
      <c r="B61" s="630"/>
      <c r="C61" s="630">
        <v>26010428</v>
      </c>
      <c r="D61" s="630"/>
      <c r="E61" s="630"/>
      <c r="F61" s="630"/>
      <c r="G61" s="630" t="s">
        <v>104</v>
      </c>
      <c r="H61" s="630"/>
      <c r="I61" s="630"/>
      <c r="J61" s="630"/>
      <c r="K61" s="630"/>
      <c r="L61" s="630"/>
      <c r="M61" s="209" t="s">
        <v>106</v>
      </c>
      <c r="N61" s="439">
        <v>46128</v>
      </c>
    </row>
    <row r="62" spans="2:17" ht="17.25" customHeight="1" x14ac:dyDescent="0.25">
      <c r="B62" s="630"/>
      <c r="C62" s="630">
        <v>26010429</v>
      </c>
      <c r="D62" s="630"/>
      <c r="E62" s="630"/>
      <c r="F62" s="630"/>
      <c r="G62" s="630" t="s">
        <v>104</v>
      </c>
      <c r="H62" s="630"/>
      <c r="I62" s="630"/>
      <c r="J62" s="630"/>
      <c r="K62" s="630"/>
      <c r="L62" s="630"/>
      <c r="M62" s="209" t="s">
        <v>106</v>
      </c>
      <c r="N62" s="439">
        <v>46128</v>
      </c>
    </row>
    <row r="63" spans="2:17" ht="17.25" customHeight="1" x14ac:dyDescent="0.25">
      <c r="B63" s="630"/>
      <c r="C63" s="630">
        <v>26010430</v>
      </c>
      <c r="D63" s="630"/>
      <c r="E63" s="630"/>
      <c r="F63" s="630"/>
      <c r="G63" s="630" t="s">
        <v>104</v>
      </c>
      <c r="H63" s="630"/>
      <c r="I63" s="630"/>
      <c r="J63" s="630"/>
      <c r="K63" s="630"/>
      <c r="L63" s="630"/>
      <c r="M63" s="209" t="s">
        <v>106</v>
      </c>
      <c r="N63" s="439">
        <v>46128</v>
      </c>
    </row>
    <row r="64" spans="2:17" ht="17.25" customHeight="1" x14ac:dyDescent="0.25">
      <c r="B64" s="630"/>
      <c r="C64" s="630">
        <v>26010431</v>
      </c>
      <c r="D64" s="630"/>
      <c r="E64" s="620"/>
      <c r="F64" s="620"/>
      <c r="G64" s="630" t="s">
        <v>104</v>
      </c>
      <c r="H64" s="630"/>
      <c r="I64" s="630"/>
      <c r="J64" s="630"/>
      <c r="K64" s="630"/>
      <c r="L64" s="630"/>
      <c r="M64" s="209" t="s">
        <v>106</v>
      </c>
      <c r="N64" s="439">
        <v>46128</v>
      </c>
    </row>
    <row r="65" spans="2:14" ht="17.25" customHeight="1" x14ac:dyDescent="0.25">
      <c r="B65" s="630"/>
      <c r="C65" s="630">
        <v>26010432</v>
      </c>
      <c r="D65" s="630"/>
      <c r="E65" s="630"/>
      <c r="F65" s="630"/>
      <c r="G65" s="630" t="s">
        <v>104</v>
      </c>
      <c r="H65" s="630"/>
      <c r="I65" s="630"/>
      <c r="J65" s="630"/>
      <c r="K65" s="630"/>
      <c r="L65" s="630"/>
      <c r="M65" s="209" t="s">
        <v>106</v>
      </c>
      <c r="N65" s="439">
        <v>46128</v>
      </c>
    </row>
    <row r="66" spans="2:14" ht="17.25" customHeight="1" x14ac:dyDescent="0.25">
      <c r="B66" s="630"/>
      <c r="C66" s="630">
        <v>26010433</v>
      </c>
      <c r="D66" s="630"/>
      <c r="E66" s="630"/>
      <c r="F66" s="630"/>
      <c r="G66" s="630" t="s">
        <v>104</v>
      </c>
      <c r="H66" s="630"/>
      <c r="I66" s="630"/>
      <c r="J66" s="630"/>
      <c r="K66" s="630"/>
      <c r="L66" s="630"/>
      <c r="M66" s="209" t="s">
        <v>106</v>
      </c>
      <c r="N66" s="439">
        <v>46128</v>
      </c>
    </row>
    <row r="67" spans="2:14" ht="17.25" customHeight="1" x14ac:dyDescent="0.25">
      <c r="B67" s="630"/>
      <c r="C67" s="630">
        <v>26010434</v>
      </c>
      <c r="D67" s="630"/>
      <c r="E67" s="630"/>
      <c r="F67" s="630"/>
      <c r="G67" s="630" t="s">
        <v>104</v>
      </c>
      <c r="H67" s="630"/>
      <c r="I67" s="630"/>
      <c r="J67" s="630"/>
      <c r="K67" s="630"/>
      <c r="L67" s="630"/>
      <c r="M67" s="209" t="s">
        <v>106</v>
      </c>
      <c r="N67" s="439">
        <v>46130</v>
      </c>
    </row>
    <row r="68" spans="2:14" ht="17.25" customHeight="1" x14ac:dyDescent="0.25">
      <c r="B68" s="630"/>
      <c r="C68" s="630">
        <v>26010435</v>
      </c>
      <c r="D68" s="630"/>
      <c r="E68" s="630"/>
      <c r="F68" s="630"/>
      <c r="G68" s="630" t="s">
        <v>104</v>
      </c>
      <c r="H68" s="630"/>
      <c r="I68" s="630"/>
      <c r="J68" s="630"/>
      <c r="K68" s="630"/>
      <c r="L68" s="630"/>
      <c r="M68" s="209" t="s">
        <v>106</v>
      </c>
      <c r="N68" s="439">
        <v>46130</v>
      </c>
    </row>
    <row r="69" spans="2:14" ht="17.25" customHeight="1" x14ac:dyDescent="0.25">
      <c r="B69" s="630"/>
      <c r="C69" s="630">
        <v>26010436</v>
      </c>
      <c r="D69" s="630"/>
      <c r="E69" s="630"/>
      <c r="F69" s="630"/>
      <c r="G69" s="630" t="s">
        <v>104</v>
      </c>
      <c r="H69" s="630"/>
      <c r="I69" s="630"/>
      <c r="J69" s="630"/>
      <c r="K69" s="630"/>
      <c r="L69" s="630"/>
      <c r="M69" s="209" t="s">
        <v>106</v>
      </c>
      <c r="N69" s="439">
        <v>46130</v>
      </c>
    </row>
    <row r="70" spans="2:14" ht="17.25" customHeight="1" x14ac:dyDescent="0.25">
      <c r="B70" s="630"/>
      <c r="C70" s="630">
        <v>26010437</v>
      </c>
      <c r="D70" s="630"/>
      <c r="E70" s="620"/>
      <c r="F70" s="620"/>
      <c r="G70" s="630" t="s">
        <v>104</v>
      </c>
      <c r="H70" s="630"/>
      <c r="I70" s="630"/>
      <c r="J70" s="630"/>
      <c r="K70" s="630"/>
      <c r="L70" s="630"/>
      <c r="M70" s="209" t="s">
        <v>106</v>
      </c>
      <c r="N70" s="439">
        <v>46130</v>
      </c>
    </row>
    <row r="71" spans="2:14" ht="17.25" customHeight="1" x14ac:dyDescent="0.25">
      <c r="B71" s="630"/>
      <c r="C71" s="630">
        <v>26010438</v>
      </c>
      <c r="D71" s="630"/>
      <c r="E71" s="630"/>
      <c r="F71" s="630"/>
      <c r="G71" s="630" t="s">
        <v>104</v>
      </c>
      <c r="H71" s="630"/>
      <c r="I71" s="630"/>
      <c r="J71" s="630"/>
      <c r="K71" s="630"/>
      <c r="L71" s="630"/>
      <c r="M71" s="209" t="s">
        <v>106</v>
      </c>
      <c r="N71" s="439">
        <v>46130</v>
      </c>
    </row>
    <row r="72" spans="2:14" ht="17.25" customHeight="1" x14ac:dyDescent="0.25">
      <c r="B72" s="630"/>
      <c r="C72" s="630">
        <v>26010439</v>
      </c>
      <c r="D72" s="630"/>
      <c r="E72" s="630"/>
      <c r="F72" s="630"/>
      <c r="G72" s="630" t="s">
        <v>104</v>
      </c>
      <c r="H72" s="630"/>
      <c r="I72" s="630"/>
      <c r="J72" s="630"/>
      <c r="K72" s="630"/>
      <c r="L72" s="630"/>
      <c r="M72" s="209" t="s">
        <v>106</v>
      </c>
      <c r="N72" s="439">
        <v>46132</v>
      </c>
    </row>
    <row r="73" spans="2:14" ht="17.25" customHeight="1" x14ac:dyDescent="0.25">
      <c r="B73" s="630"/>
      <c r="C73" s="630">
        <v>26010440</v>
      </c>
      <c r="D73" s="630"/>
      <c r="E73" s="630"/>
      <c r="F73" s="630"/>
      <c r="G73" s="630" t="s">
        <v>104</v>
      </c>
      <c r="H73" s="630"/>
      <c r="I73" s="630"/>
      <c r="J73" s="630"/>
      <c r="K73" s="630"/>
      <c r="L73" s="630"/>
      <c r="M73" s="209" t="s">
        <v>106</v>
      </c>
      <c r="N73" s="439">
        <v>46132</v>
      </c>
    </row>
    <row r="74" spans="2:14" ht="17.25" customHeight="1" x14ac:dyDescent="0.25">
      <c r="B74" s="630"/>
      <c r="C74" s="630">
        <v>26010441</v>
      </c>
      <c r="D74" s="630"/>
      <c r="E74" s="630"/>
      <c r="F74" s="630"/>
      <c r="G74" s="630" t="s">
        <v>104</v>
      </c>
      <c r="H74" s="630"/>
      <c r="I74" s="630"/>
      <c r="J74" s="630"/>
      <c r="K74" s="630"/>
      <c r="L74" s="630"/>
      <c r="M74" s="209" t="s">
        <v>106</v>
      </c>
      <c r="N74" s="439">
        <v>46132</v>
      </c>
    </row>
    <row r="75" spans="2:14" ht="17.25" customHeight="1" x14ac:dyDescent="0.25">
      <c r="B75" s="630"/>
      <c r="C75" s="630">
        <v>26010442</v>
      </c>
      <c r="D75" s="630"/>
      <c r="E75" s="630"/>
      <c r="F75" s="630"/>
      <c r="G75" s="630" t="s">
        <v>104</v>
      </c>
      <c r="H75" s="630"/>
      <c r="I75" s="630"/>
      <c r="J75" s="630"/>
      <c r="K75" s="630"/>
      <c r="L75" s="630"/>
      <c r="M75" s="209" t="s">
        <v>106</v>
      </c>
      <c r="N75" s="439">
        <v>46132</v>
      </c>
    </row>
    <row r="76" spans="2:14" ht="17.25" customHeight="1" x14ac:dyDescent="0.25">
      <c r="B76" s="630"/>
      <c r="C76" s="630">
        <v>26010443</v>
      </c>
      <c r="D76" s="630"/>
      <c r="E76" s="620"/>
      <c r="F76" s="620"/>
      <c r="G76" s="630" t="s">
        <v>104</v>
      </c>
      <c r="H76" s="630"/>
      <c r="I76" s="630"/>
      <c r="J76" s="630"/>
      <c r="K76" s="630"/>
      <c r="L76" s="630"/>
      <c r="M76" s="209" t="s">
        <v>106</v>
      </c>
      <c r="N76" s="439">
        <v>46132</v>
      </c>
    </row>
    <row r="77" spans="2:14" ht="17.25" customHeight="1" x14ac:dyDescent="0.25">
      <c r="B77" s="630"/>
      <c r="C77" s="630">
        <v>26010444</v>
      </c>
      <c r="D77" s="630"/>
      <c r="E77" s="630"/>
      <c r="F77" s="630"/>
      <c r="G77" s="630" t="s">
        <v>104</v>
      </c>
      <c r="H77" s="630"/>
      <c r="I77" s="630"/>
      <c r="J77" s="630"/>
      <c r="K77" s="630"/>
      <c r="L77" s="630"/>
      <c r="M77" s="209" t="s">
        <v>106</v>
      </c>
      <c r="N77" s="439">
        <v>46132</v>
      </c>
    </row>
    <row r="78" spans="2:14" ht="17.25" customHeight="1" x14ac:dyDescent="0.25">
      <c r="B78" s="630"/>
      <c r="C78" s="630">
        <v>26010445</v>
      </c>
      <c r="D78" s="630"/>
      <c r="E78" s="630"/>
      <c r="F78" s="630"/>
      <c r="G78" s="630" t="s">
        <v>104</v>
      </c>
      <c r="H78" s="630"/>
      <c r="I78" s="630"/>
      <c r="J78" s="630"/>
      <c r="K78" s="630"/>
      <c r="L78" s="630"/>
      <c r="M78" s="209" t="s">
        <v>106</v>
      </c>
      <c r="N78" s="439">
        <v>46133</v>
      </c>
    </row>
    <row r="79" spans="2:14" ht="17.25" customHeight="1" x14ac:dyDescent="0.25">
      <c r="B79" s="630"/>
      <c r="C79" s="630">
        <v>26010446</v>
      </c>
      <c r="D79" s="630"/>
      <c r="E79" s="630"/>
      <c r="F79" s="630"/>
      <c r="G79" s="630" t="s">
        <v>104</v>
      </c>
      <c r="H79" s="630"/>
      <c r="I79" s="630"/>
      <c r="J79" s="630"/>
      <c r="K79" s="630"/>
      <c r="L79" s="630"/>
      <c r="M79" s="209" t="s">
        <v>106</v>
      </c>
      <c r="N79" s="439">
        <v>46133</v>
      </c>
    </row>
    <row r="80" spans="2:14" ht="17.25" customHeight="1" x14ac:dyDescent="0.25">
      <c r="B80" s="630"/>
      <c r="C80" s="630">
        <v>26010447</v>
      </c>
      <c r="D80" s="630"/>
      <c r="E80" s="630"/>
      <c r="F80" s="630"/>
      <c r="G80" s="630" t="s">
        <v>104</v>
      </c>
      <c r="H80" s="630"/>
      <c r="I80" s="630"/>
      <c r="J80" s="630"/>
      <c r="K80" s="630"/>
      <c r="L80" s="630"/>
      <c r="M80" s="209" t="s">
        <v>106</v>
      </c>
      <c r="N80" s="439">
        <v>46133</v>
      </c>
    </row>
    <row r="81" spans="2:14" ht="17.25" customHeight="1" x14ac:dyDescent="0.25">
      <c r="B81" s="630"/>
      <c r="C81" s="630">
        <v>26010448</v>
      </c>
      <c r="D81" s="630"/>
      <c r="E81" s="630"/>
      <c r="F81" s="630"/>
      <c r="G81" s="630" t="s">
        <v>104</v>
      </c>
      <c r="H81" s="630"/>
      <c r="I81" s="630"/>
      <c r="J81" s="630"/>
      <c r="K81" s="630"/>
      <c r="L81" s="630"/>
      <c r="M81" s="209" t="s">
        <v>106</v>
      </c>
      <c r="N81" s="439">
        <v>46133</v>
      </c>
    </row>
    <row r="82" spans="2:14" ht="17.25" customHeight="1" x14ac:dyDescent="0.25">
      <c r="B82" s="1" t="s">
        <v>497</v>
      </c>
      <c r="C82" s="630">
        <v>26010449</v>
      </c>
      <c r="D82" s="630"/>
      <c r="E82" s="630"/>
      <c r="F82" s="630"/>
      <c r="G82" s="630" t="s">
        <v>498</v>
      </c>
      <c r="H82" s="630"/>
      <c r="I82" s="630"/>
      <c r="J82" s="630"/>
      <c r="K82" s="630" t="s">
        <v>87</v>
      </c>
      <c r="L82" s="630"/>
      <c r="M82" s="210" t="s">
        <v>499</v>
      </c>
      <c r="N82" s="439">
        <v>46130</v>
      </c>
    </row>
    <row r="83" spans="2:14" ht="17.25" customHeight="1" x14ac:dyDescent="0.25">
      <c r="B83" s="1" t="s">
        <v>500</v>
      </c>
      <c r="C83" s="630">
        <v>26010450</v>
      </c>
      <c r="D83" s="630"/>
      <c r="E83" s="630"/>
      <c r="F83" s="630"/>
      <c r="G83" s="630" t="s">
        <v>501</v>
      </c>
      <c r="H83" s="630"/>
      <c r="I83" s="630"/>
      <c r="J83" s="630"/>
      <c r="K83" s="630" t="s">
        <v>105</v>
      </c>
      <c r="L83" s="630"/>
      <c r="M83" s="1" t="s">
        <v>502</v>
      </c>
      <c r="N83" s="439">
        <v>46128</v>
      </c>
    </row>
    <row r="84" spans="2:14" ht="17.25" customHeight="1" x14ac:dyDescent="0.25">
      <c r="B84" s="630" t="s">
        <v>503</v>
      </c>
      <c r="C84" s="630">
        <v>26010451</v>
      </c>
      <c r="D84" s="630"/>
      <c r="E84" s="630"/>
      <c r="F84" s="630"/>
      <c r="G84" s="630" t="s">
        <v>104</v>
      </c>
      <c r="H84" s="630"/>
      <c r="I84" s="630"/>
      <c r="J84" s="630"/>
      <c r="K84" s="630" t="s">
        <v>105</v>
      </c>
      <c r="L84" s="630"/>
      <c r="M84" s="1" t="s">
        <v>106</v>
      </c>
      <c r="N84" s="439">
        <v>46133</v>
      </c>
    </row>
    <row r="85" spans="2:14" ht="17.25" customHeight="1" x14ac:dyDescent="0.25">
      <c r="B85" s="630"/>
      <c r="C85" s="630">
        <v>26010452</v>
      </c>
      <c r="D85" s="630"/>
      <c r="E85" s="630"/>
      <c r="F85" s="630"/>
      <c r="G85" s="630" t="s">
        <v>104</v>
      </c>
      <c r="H85" s="630"/>
      <c r="I85" s="630"/>
      <c r="J85" s="630"/>
      <c r="K85" s="630"/>
      <c r="L85" s="630"/>
      <c r="M85" s="210" t="s">
        <v>106</v>
      </c>
      <c r="N85" s="439">
        <v>46133</v>
      </c>
    </row>
    <row r="86" spans="2:14" ht="17.25" customHeight="1" x14ac:dyDescent="0.25">
      <c r="B86" s="630"/>
      <c r="C86" s="630">
        <v>26010453</v>
      </c>
      <c r="D86" s="630"/>
      <c r="E86" s="620"/>
      <c r="F86" s="620"/>
      <c r="G86" s="630" t="s">
        <v>104</v>
      </c>
      <c r="H86" s="630"/>
      <c r="I86" s="630"/>
      <c r="J86" s="630"/>
      <c r="K86" s="630"/>
      <c r="L86" s="630"/>
      <c r="M86" s="1" t="s">
        <v>106</v>
      </c>
      <c r="N86" s="439">
        <v>46133</v>
      </c>
    </row>
    <row r="87" spans="2:14" ht="17.25" customHeight="1" x14ac:dyDescent="0.25">
      <c r="B87" s="630"/>
      <c r="C87" s="630">
        <v>26010454</v>
      </c>
      <c r="D87" s="630"/>
      <c r="E87" s="630"/>
      <c r="F87" s="630"/>
      <c r="G87" s="630" t="s">
        <v>104</v>
      </c>
      <c r="H87" s="630"/>
      <c r="I87" s="630"/>
      <c r="J87" s="630"/>
      <c r="K87" s="630"/>
      <c r="L87" s="630"/>
      <c r="M87" s="1" t="s">
        <v>106</v>
      </c>
      <c r="N87" s="439">
        <v>46134</v>
      </c>
    </row>
    <row r="88" spans="2:14" ht="17.25" customHeight="1" x14ac:dyDescent="0.25">
      <c r="B88" s="630"/>
      <c r="C88" s="630">
        <v>26010455</v>
      </c>
      <c r="D88" s="630"/>
      <c r="E88" s="630"/>
      <c r="F88" s="630"/>
      <c r="G88" s="630" t="s">
        <v>104</v>
      </c>
      <c r="H88" s="630"/>
      <c r="I88" s="630"/>
      <c r="J88" s="630"/>
      <c r="K88" s="630"/>
      <c r="L88" s="630"/>
      <c r="M88" s="1" t="s">
        <v>106</v>
      </c>
      <c r="N88" s="439">
        <v>46134</v>
      </c>
    </row>
    <row r="89" spans="2:14" ht="17.25" customHeight="1" x14ac:dyDescent="0.25">
      <c r="B89" s="630"/>
      <c r="C89" s="630">
        <v>26010456</v>
      </c>
      <c r="D89" s="630"/>
      <c r="E89" s="630"/>
      <c r="F89" s="630"/>
      <c r="G89" s="630" t="s">
        <v>104</v>
      </c>
      <c r="H89" s="630"/>
      <c r="I89" s="630"/>
      <c r="J89" s="630"/>
      <c r="K89" s="630"/>
      <c r="L89" s="630"/>
      <c r="M89" s="210" t="s">
        <v>106</v>
      </c>
      <c r="N89" s="439">
        <v>46134</v>
      </c>
    </row>
    <row r="90" spans="2:14" ht="17.25" customHeight="1" x14ac:dyDescent="0.25">
      <c r="B90" s="630"/>
      <c r="C90" s="630">
        <v>26010457</v>
      </c>
      <c r="D90" s="630"/>
      <c r="E90" s="630"/>
      <c r="F90" s="630"/>
      <c r="G90" s="630" t="s">
        <v>104</v>
      </c>
      <c r="H90" s="630"/>
      <c r="I90" s="630"/>
      <c r="J90" s="630"/>
      <c r="K90" s="630"/>
      <c r="L90" s="630"/>
      <c r="M90" s="1" t="s">
        <v>106</v>
      </c>
      <c r="N90" s="439">
        <v>46134</v>
      </c>
    </row>
    <row r="91" spans="2:14" ht="17.25" customHeight="1" x14ac:dyDescent="0.25">
      <c r="B91" s="630"/>
      <c r="C91" s="630">
        <v>26010458</v>
      </c>
      <c r="D91" s="630"/>
      <c r="E91" s="630"/>
      <c r="F91" s="630"/>
      <c r="G91" s="630" t="s">
        <v>104</v>
      </c>
      <c r="H91" s="630"/>
      <c r="I91" s="630"/>
      <c r="J91" s="630"/>
      <c r="K91" s="630"/>
      <c r="L91" s="630"/>
      <c r="M91" s="210" t="s">
        <v>106</v>
      </c>
      <c r="N91" s="439">
        <v>46134</v>
      </c>
    </row>
    <row r="92" spans="2:14" ht="17.25" customHeight="1" x14ac:dyDescent="0.25">
      <c r="B92" s="630"/>
      <c r="C92" s="630">
        <v>26010459</v>
      </c>
      <c r="D92" s="630"/>
      <c r="E92" s="630"/>
      <c r="F92" s="630"/>
      <c r="G92" s="630" t="s">
        <v>104</v>
      </c>
      <c r="H92" s="630"/>
      <c r="I92" s="630"/>
      <c r="J92" s="630"/>
      <c r="K92" s="630"/>
      <c r="L92" s="630"/>
      <c r="M92" s="1" t="s">
        <v>106</v>
      </c>
      <c r="N92" s="439">
        <v>46134</v>
      </c>
    </row>
    <row r="93" spans="2:14" ht="17.25" customHeight="1" x14ac:dyDescent="0.25">
      <c r="B93" s="630"/>
      <c r="C93" s="630">
        <v>26010460</v>
      </c>
      <c r="D93" s="630"/>
      <c r="E93" s="630"/>
      <c r="F93" s="630"/>
      <c r="G93" s="630" t="s">
        <v>104</v>
      </c>
      <c r="H93" s="630"/>
      <c r="I93" s="630"/>
      <c r="J93" s="630"/>
      <c r="K93" s="630"/>
      <c r="L93" s="630"/>
      <c r="M93" s="210" t="s">
        <v>106</v>
      </c>
      <c r="N93" s="439">
        <v>46135</v>
      </c>
    </row>
    <row r="94" spans="2:14" ht="17.25" customHeight="1" x14ac:dyDescent="0.25">
      <c r="B94" s="630"/>
      <c r="C94" s="630">
        <v>26010461</v>
      </c>
      <c r="D94" s="630"/>
      <c r="E94" s="620"/>
      <c r="F94" s="620"/>
      <c r="G94" s="630" t="s">
        <v>104</v>
      </c>
      <c r="H94" s="630"/>
      <c r="I94" s="630"/>
      <c r="J94" s="630"/>
      <c r="K94" s="630"/>
      <c r="L94" s="630"/>
      <c r="M94" s="1" t="s">
        <v>106</v>
      </c>
      <c r="N94" s="439">
        <v>46135</v>
      </c>
    </row>
    <row r="95" spans="2:14" ht="18" customHeight="1" x14ac:dyDescent="0.25">
      <c r="B95" s="630"/>
      <c r="C95" s="630">
        <v>26010462</v>
      </c>
      <c r="D95" s="630"/>
      <c r="E95" s="630"/>
      <c r="F95" s="630"/>
      <c r="G95" s="630" t="s">
        <v>104</v>
      </c>
      <c r="H95" s="630"/>
      <c r="I95" s="630"/>
      <c r="J95" s="630"/>
      <c r="K95" s="630"/>
      <c r="L95" s="630"/>
      <c r="M95" s="210" t="s">
        <v>106</v>
      </c>
      <c r="N95" s="439">
        <v>46135</v>
      </c>
    </row>
    <row r="96" spans="2:14" ht="16.5" customHeight="1" x14ac:dyDescent="0.25">
      <c r="B96" s="630"/>
      <c r="C96" s="630">
        <v>26010463</v>
      </c>
      <c r="D96" s="630"/>
      <c r="E96" s="630"/>
      <c r="F96" s="630"/>
      <c r="G96" s="630" t="s">
        <v>104</v>
      </c>
      <c r="H96" s="630"/>
      <c r="I96" s="630"/>
      <c r="J96" s="630"/>
      <c r="K96" s="630"/>
      <c r="L96" s="630"/>
      <c r="M96" s="1" t="s">
        <v>106</v>
      </c>
      <c r="N96" s="439">
        <v>46135</v>
      </c>
    </row>
    <row r="97" spans="2:15" ht="18" customHeight="1" x14ac:dyDescent="0.25">
      <c r="B97" s="630"/>
      <c r="C97" s="630">
        <v>26010464</v>
      </c>
      <c r="D97" s="630"/>
      <c r="E97" s="630"/>
      <c r="F97" s="630"/>
      <c r="G97" s="630" t="s">
        <v>104</v>
      </c>
      <c r="H97" s="630"/>
      <c r="I97" s="630"/>
      <c r="J97" s="630"/>
      <c r="K97" s="630"/>
      <c r="L97" s="630"/>
      <c r="M97" s="210" t="s">
        <v>106</v>
      </c>
      <c r="N97" s="439">
        <v>46135</v>
      </c>
    </row>
    <row r="98" spans="2:15" ht="18" customHeight="1" x14ac:dyDescent="0.25">
      <c r="B98" s="630"/>
      <c r="C98" s="630">
        <v>26010465</v>
      </c>
      <c r="D98" s="630"/>
      <c r="E98" s="630"/>
      <c r="F98" s="630"/>
      <c r="G98" s="630" t="s">
        <v>104</v>
      </c>
      <c r="H98" s="630"/>
      <c r="I98" s="630"/>
      <c r="J98" s="630"/>
      <c r="K98" s="630"/>
      <c r="L98" s="630"/>
      <c r="M98" s="1" t="s">
        <v>106</v>
      </c>
      <c r="N98" s="439">
        <v>46135</v>
      </c>
    </row>
    <row r="99" spans="2:15" ht="17.25" customHeight="1" x14ac:dyDescent="0.25">
      <c r="B99" s="630"/>
      <c r="C99" s="630">
        <v>26010466</v>
      </c>
      <c r="D99" s="630"/>
      <c r="E99" s="630"/>
      <c r="F99" s="630"/>
      <c r="G99" s="630" t="s">
        <v>104</v>
      </c>
      <c r="H99" s="630"/>
      <c r="I99" s="630"/>
      <c r="J99" s="630"/>
      <c r="K99" s="630"/>
      <c r="L99" s="630"/>
      <c r="M99" s="210" t="s">
        <v>106</v>
      </c>
      <c r="N99" s="439">
        <v>46135</v>
      </c>
    </row>
    <row r="100" spans="2:15" ht="17.25" customHeight="1" x14ac:dyDescent="0.25">
      <c r="B100" s="630"/>
      <c r="C100" s="630">
        <v>26010467</v>
      </c>
      <c r="D100" s="630"/>
      <c r="E100" s="630"/>
      <c r="F100" s="630"/>
      <c r="G100" s="630" t="s">
        <v>104</v>
      </c>
      <c r="H100" s="630"/>
      <c r="I100" s="630"/>
      <c r="J100" s="630"/>
      <c r="K100" s="630"/>
      <c r="L100" s="630"/>
      <c r="M100" s="1" t="s">
        <v>106</v>
      </c>
      <c r="N100" s="439">
        <v>46135</v>
      </c>
    </row>
    <row r="101" spans="2:15" ht="16.5" customHeight="1" x14ac:dyDescent="0.25">
      <c r="B101" s="630"/>
      <c r="C101" s="630">
        <v>26010468</v>
      </c>
      <c r="D101" s="630"/>
      <c r="E101" s="630"/>
      <c r="F101" s="630"/>
      <c r="G101" s="630" t="s">
        <v>104</v>
      </c>
      <c r="H101" s="630"/>
      <c r="I101" s="630"/>
      <c r="J101" s="630"/>
      <c r="K101" s="630"/>
      <c r="L101" s="630"/>
      <c r="M101" s="210" t="s">
        <v>106</v>
      </c>
      <c r="N101" s="439">
        <v>46135</v>
      </c>
    </row>
    <row r="102" spans="2:15" ht="18" customHeight="1" x14ac:dyDescent="0.25">
      <c r="B102" s="630"/>
      <c r="C102" s="630">
        <v>26010469</v>
      </c>
      <c r="D102" s="630"/>
      <c r="E102" s="620"/>
      <c r="F102" s="620"/>
      <c r="G102" s="630" t="s">
        <v>104</v>
      </c>
      <c r="H102" s="630"/>
      <c r="I102" s="630"/>
      <c r="J102" s="630"/>
      <c r="K102" s="630"/>
      <c r="L102" s="630"/>
      <c r="M102" s="1" t="s">
        <v>106</v>
      </c>
      <c r="N102" s="439">
        <v>46136</v>
      </c>
    </row>
    <row r="103" spans="2:15" ht="16.5" customHeight="1" x14ac:dyDescent="0.25">
      <c r="B103" s="630"/>
      <c r="C103" s="630">
        <v>26010470</v>
      </c>
      <c r="D103" s="630"/>
      <c r="E103" s="630"/>
      <c r="F103" s="630"/>
      <c r="G103" s="630" t="s">
        <v>104</v>
      </c>
      <c r="H103" s="630"/>
      <c r="I103" s="630"/>
      <c r="J103" s="630"/>
      <c r="K103" s="630"/>
      <c r="L103" s="630"/>
      <c r="M103" s="210" t="s">
        <v>106</v>
      </c>
      <c r="N103" s="439">
        <v>46136</v>
      </c>
    </row>
    <row r="104" spans="2:15" ht="15" customHeight="1" x14ac:dyDescent="0.25">
      <c r="B104" s="630"/>
      <c r="C104" s="630">
        <v>26010471</v>
      </c>
      <c r="D104" s="630"/>
      <c r="E104" s="630"/>
      <c r="F104" s="630"/>
      <c r="G104" s="630" t="s">
        <v>104</v>
      </c>
      <c r="H104" s="630"/>
      <c r="I104" s="630"/>
      <c r="J104" s="630"/>
      <c r="K104" s="630"/>
      <c r="L104" s="630"/>
      <c r="M104" s="1" t="s">
        <v>106</v>
      </c>
      <c r="N104" s="439">
        <v>46140</v>
      </c>
    </row>
    <row r="105" spans="2:15" ht="15" customHeight="1" x14ac:dyDescent="0.25">
      <c r="B105" s="630"/>
      <c r="C105" s="630">
        <v>26010472</v>
      </c>
      <c r="D105" s="630"/>
      <c r="E105" s="630"/>
      <c r="F105" s="630"/>
      <c r="G105" s="630" t="s">
        <v>104</v>
      </c>
      <c r="H105" s="630"/>
      <c r="I105" s="630"/>
      <c r="J105" s="630"/>
      <c r="K105" s="630"/>
      <c r="L105" s="630"/>
      <c r="M105" s="210" t="s">
        <v>106</v>
      </c>
      <c r="N105" s="439">
        <v>46140</v>
      </c>
    </row>
    <row r="106" spans="2:15" ht="16.5" customHeight="1" x14ac:dyDescent="0.25">
      <c r="B106" s="630"/>
      <c r="C106" s="630">
        <v>26010473</v>
      </c>
      <c r="D106" s="630"/>
      <c r="E106" s="630"/>
      <c r="F106" s="630"/>
      <c r="G106" s="630" t="s">
        <v>104</v>
      </c>
      <c r="H106" s="630"/>
      <c r="I106" s="630"/>
      <c r="J106" s="630"/>
      <c r="K106" s="630"/>
      <c r="L106" s="630"/>
      <c r="M106" s="1" t="s">
        <v>106</v>
      </c>
      <c r="N106" s="439">
        <v>46140</v>
      </c>
    </row>
    <row r="107" spans="2:15" ht="17.25" customHeight="1" x14ac:dyDescent="0.25">
      <c r="B107" s="630"/>
      <c r="C107" s="630">
        <v>26010474</v>
      </c>
      <c r="D107" s="630"/>
      <c r="E107" s="630"/>
      <c r="F107" s="630"/>
      <c r="G107" s="630" t="s">
        <v>104</v>
      </c>
      <c r="H107" s="630"/>
      <c r="I107" s="630"/>
      <c r="J107" s="630"/>
      <c r="K107" s="630"/>
      <c r="L107" s="630"/>
      <c r="M107" s="210" t="s">
        <v>106</v>
      </c>
      <c r="N107" s="439">
        <v>46140</v>
      </c>
    </row>
    <row r="108" spans="2:15" ht="16.5" customHeight="1" x14ac:dyDescent="0.25">
      <c r="B108" s="630"/>
      <c r="C108" s="630">
        <v>26010475</v>
      </c>
      <c r="D108" s="630"/>
      <c r="E108" s="620"/>
      <c r="F108" s="620"/>
      <c r="G108" s="630" t="s">
        <v>104</v>
      </c>
      <c r="H108" s="630"/>
      <c r="I108" s="630"/>
      <c r="J108" s="630"/>
      <c r="K108" s="630"/>
      <c r="L108" s="630"/>
      <c r="M108" s="1" t="s">
        <v>106</v>
      </c>
      <c r="N108" s="439">
        <v>46140</v>
      </c>
    </row>
    <row r="109" spans="2:15" ht="15" customHeight="1" x14ac:dyDescent="0.25">
      <c r="B109" s="630" t="s">
        <v>504</v>
      </c>
      <c r="C109" s="630">
        <v>26040476</v>
      </c>
      <c r="D109" s="630"/>
      <c r="E109" s="630"/>
      <c r="F109" s="630"/>
      <c r="G109" s="630" t="s">
        <v>297</v>
      </c>
      <c r="H109" s="630"/>
      <c r="I109" s="630"/>
      <c r="J109" s="630"/>
      <c r="K109" s="630" t="s">
        <v>299</v>
      </c>
      <c r="L109" s="630"/>
      <c r="M109" s="210" t="s">
        <v>505</v>
      </c>
      <c r="N109" s="439">
        <v>46136</v>
      </c>
    </row>
    <row r="110" spans="2:15" ht="15" customHeight="1" x14ac:dyDescent="0.25">
      <c r="B110" s="630"/>
      <c r="C110" s="630">
        <v>26040477</v>
      </c>
      <c r="D110" s="630"/>
      <c r="E110" s="630"/>
      <c r="F110" s="630"/>
      <c r="G110" s="630" t="s">
        <v>294</v>
      </c>
      <c r="H110" s="630"/>
      <c r="I110" s="630"/>
      <c r="J110" s="630"/>
      <c r="K110" s="630"/>
      <c r="L110" s="630"/>
      <c r="M110" s="1" t="s">
        <v>506</v>
      </c>
      <c r="N110" s="439">
        <v>46139</v>
      </c>
    </row>
    <row r="111" spans="2:15" ht="15" customHeight="1" x14ac:dyDescent="0.25">
      <c r="B111" s="1" t="s">
        <v>507</v>
      </c>
      <c r="C111" s="630">
        <v>26010478</v>
      </c>
      <c r="D111" s="630"/>
      <c r="E111" s="630"/>
      <c r="F111" s="630"/>
      <c r="G111" s="630" t="s">
        <v>172</v>
      </c>
      <c r="H111" s="630"/>
      <c r="I111" s="630"/>
      <c r="J111" s="630"/>
      <c r="K111" s="630" t="s">
        <v>91</v>
      </c>
      <c r="L111" s="630"/>
      <c r="M111" s="210" t="s">
        <v>508</v>
      </c>
      <c r="N111" s="439">
        <v>46140</v>
      </c>
      <c r="O111" s="212" t="s">
        <v>509</v>
      </c>
    </row>
    <row r="112" spans="2:15" ht="15" customHeight="1" x14ac:dyDescent="0.25">
      <c r="B112" s="1" t="s">
        <v>510</v>
      </c>
      <c r="C112" s="630"/>
      <c r="D112" s="630"/>
      <c r="E112" s="630">
        <v>26010417</v>
      </c>
      <c r="F112" s="630"/>
      <c r="G112" s="630" t="s">
        <v>97</v>
      </c>
      <c r="H112" s="630"/>
      <c r="I112" s="630"/>
      <c r="J112" s="630"/>
      <c r="K112" s="630" t="s">
        <v>56</v>
      </c>
      <c r="L112" s="630"/>
      <c r="M112" s="1" t="s">
        <v>511</v>
      </c>
      <c r="N112" s="439">
        <v>46140</v>
      </c>
    </row>
    <row r="113" spans="2:14" ht="15" customHeight="1" x14ac:dyDescent="0.25">
      <c r="B113" s="630" t="s">
        <v>512</v>
      </c>
      <c r="C113" s="630">
        <v>26010480</v>
      </c>
      <c r="D113" s="630"/>
      <c r="E113" s="630"/>
      <c r="F113" s="630"/>
      <c r="G113" s="630" t="s">
        <v>104</v>
      </c>
      <c r="H113" s="630"/>
      <c r="I113" s="630"/>
      <c r="J113" s="630"/>
      <c r="K113" s="630" t="s">
        <v>105</v>
      </c>
      <c r="L113" s="630"/>
      <c r="M113" s="1" t="s">
        <v>106</v>
      </c>
      <c r="N113" s="439">
        <v>46141</v>
      </c>
    </row>
    <row r="114" spans="2:14" ht="15" customHeight="1" x14ac:dyDescent="0.25">
      <c r="B114" s="630"/>
      <c r="C114" s="630">
        <v>26010481</v>
      </c>
      <c r="D114" s="630"/>
      <c r="E114" s="630"/>
      <c r="F114" s="630"/>
      <c r="G114" s="630" t="s">
        <v>104</v>
      </c>
      <c r="H114" s="630"/>
      <c r="I114" s="630"/>
      <c r="J114" s="630"/>
      <c r="K114" s="630"/>
      <c r="L114" s="630"/>
      <c r="M114" s="1" t="s">
        <v>106</v>
      </c>
      <c r="N114" s="439">
        <v>46141</v>
      </c>
    </row>
    <row r="115" spans="2:14" ht="15" customHeight="1" x14ac:dyDescent="0.25">
      <c r="B115" s="630"/>
      <c r="C115" s="630">
        <v>26010482</v>
      </c>
      <c r="D115" s="630"/>
      <c r="E115" s="630"/>
      <c r="F115" s="630"/>
      <c r="G115" s="630" t="s">
        <v>104</v>
      </c>
      <c r="H115" s="630"/>
      <c r="I115" s="630"/>
      <c r="J115" s="630"/>
      <c r="K115" s="630"/>
      <c r="L115" s="630"/>
      <c r="M115" s="1" t="s">
        <v>106</v>
      </c>
      <c r="N115" s="439">
        <v>46141</v>
      </c>
    </row>
    <row r="116" spans="2:14" ht="15" customHeight="1" x14ac:dyDescent="0.25">
      <c r="B116" s="630"/>
      <c r="C116" s="630">
        <v>26010483</v>
      </c>
      <c r="D116" s="630"/>
      <c r="E116" s="630"/>
      <c r="F116" s="630"/>
      <c r="G116" s="630" t="s">
        <v>104</v>
      </c>
      <c r="H116" s="630"/>
      <c r="I116" s="630"/>
      <c r="J116" s="630"/>
      <c r="K116" s="630"/>
      <c r="L116" s="630"/>
      <c r="M116" s="1" t="s">
        <v>106</v>
      </c>
      <c r="N116" s="439">
        <v>46141</v>
      </c>
    </row>
    <row r="117" spans="2:14" ht="15" customHeight="1" x14ac:dyDescent="0.25">
      <c r="B117" s="630"/>
      <c r="C117" s="630">
        <v>26010484</v>
      </c>
      <c r="D117" s="630"/>
      <c r="E117" s="630"/>
      <c r="F117" s="630"/>
      <c r="G117" s="630" t="s">
        <v>104</v>
      </c>
      <c r="H117" s="630"/>
      <c r="I117" s="630"/>
      <c r="J117" s="630"/>
      <c r="K117" s="630"/>
      <c r="L117" s="630"/>
      <c r="M117" s="1" t="s">
        <v>106</v>
      </c>
      <c r="N117" s="439">
        <v>46141</v>
      </c>
    </row>
    <row r="118" spans="2:14" ht="15" customHeight="1" x14ac:dyDescent="0.25">
      <c r="B118" s="630"/>
      <c r="C118" s="630">
        <v>26010485</v>
      </c>
      <c r="D118" s="630"/>
      <c r="E118" s="630"/>
      <c r="F118" s="630"/>
      <c r="G118" s="630" t="s">
        <v>104</v>
      </c>
      <c r="H118" s="630"/>
      <c r="I118" s="630"/>
      <c r="J118" s="630"/>
      <c r="K118" s="630"/>
      <c r="L118" s="630"/>
      <c r="M118" s="1" t="s">
        <v>106</v>
      </c>
      <c r="N118" s="439">
        <v>46141</v>
      </c>
    </row>
    <row r="119" spans="2:14" ht="15" customHeight="1" x14ac:dyDescent="0.25">
      <c r="B119" s="630"/>
      <c r="C119" s="630">
        <v>26010486</v>
      </c>
      <c r="D119" s="630"/>
      <c r="E119" s="630"/>
      <c r="F119" s="630"/>
      <c r="G119" s="630" t="s">
        <v>104</v>
      </c>
      <c r="H119" s="630"/>
      <c r="I119" s="630"/>
      <c r="J119" s="630"/>
      <c r="K119" s="630"/>
      <c r="L119" s="630"/>
      <c r="M119" s="1" t="s">
        <v>106</v>
      </c>
      <c r="N119" s="439">
        <v>46141</v>
      </c>
    </row>
    <row r="120" spans="2:14" ht="15" customHeight="1" x14ac:dyDescent="0.25">
      <c r="B120" s="630"/>
      <c r="C120" s="630">
        <v>26010487</v>
      </c>
      <c r="D120" s="630"/>
      <c r="E120" s="620"/>
      <c r="F120" s="620"/>
      <c r="G120" s="630" t="s">
        <v>104</v>
      </c>
      <c r="H120" s="630"/>
      <c r="I120" s="630"/>
      <c r="J120" s="630"/>
      <c r="K120" s="630"/>
      <c r="L120" s="630"/>
      <c r="M120" s="1" t="s">
        <v>106</v>
      </c>
      <c r="N120" s="439">
        <v>46142</v>
      </c>
    </row>
    <row r="121" spans="2:14" ht="15" customHeight="1" x14ac:dyDescent="0.25">
      <c r="B121" s="630"/>
      <c r="C121" s="630">
        <v>26010488</v>
      </c>
      <c r="D121" s="630"/>
      <c r="E121" s="630"/>
      <c r="F121" s="630"/>
      <c r="G121" s="630" t="s">
        <v>104</v>
      </c>
      <c r="H121" s="630"/>
      <c r="I121" s="630"/>
      <c r="J121" s="630"/>
      <c r="K121" s="630"/>
      <c r="L121" s="630"/>
      <c r="M121" s="1" t="s">
        <v>106</v>
      </c>
      <c r="N121" s="439">
        <v>46142</v>
      </c>
    </row>
    <row r="122" spans="2:14" ht="15" customHeight="1" x14ac:dyDescent="0.25">
      <c r="B122" s="630"/>
      <c r="C122" s="630">
        <v>26010489</v>
      </c>
      <c r="D122" s="630"/>
      <c r="E122" s="630"/>
      <c r="F122" s="630"/>
      <c r="G122" s="630" t="s">
        <v>104</v>
      </c>
      <c r="H122" s="630"/>
      <c r="I122" s="630"/>
      <c r="J122" s="630"/>
      <c r="K122" s="630"/>
      <c r="L122" s="630"/>
      <c r="M122" s="1" t="s">
        <v>106</v>
      </c>
      <c r="N122" s="439">
        <v>46142</v>
      </c>
    </row>
    <row r="123" spans="2:14" ht="15" customHeight="1" x14ac:dyDescent="0.25">
      <c r="B123" s="630"/>
      <c r="C123" s="630">
        <v>26010490</v>
      </c>
      <c r="D123" s="630"/>
      <c r="E123" s="630"/>
      <c r="F123" s="630"/>
      <c r="G123" s="630" t="s">
        <v>104</v>
      </c>
      <c r="H123" s="630"/>
      <c r="I123" s="630"/>
      <c r="J123" s="630"/>
      <c r="K123" s="630"/>
      <c r="L123" s="630"/>
      <c r="M123" s="1" t="s">
        <v>106</v>
      </c>
      <c r="N123" s="439">
        <v>46142</v>
      </c>
    </row>
    <row r="124" spans="2:14" ht="15" customHeight="1" x14ac:dyDescent="0.25">
      <c r="B124" s="630"/>
      <c r="C124" s="630">
        <v>26010491</v>
      </c>
      <c r="D124" s="630"/>
      <c r="E124" s="630"/>
      <c r="F124" s="630"/>
      <c r="G124" s="630" t="s">
        <v>104</v>
      </c>
      <c r="H124" s="630"/>
      <c r="I124" s="630"/>
      <c r="J124" s="630"/>
      <c r="K124" s="630"/>
      <c r="L124" s="630"/>
      <c r="M124" s="1" t="s">
        <v>106</v>
      </c>
      <c r="N124" s="439">
        <v>46142</v>
      </c>
    </row>
    <row r="125" spans="2:14" ht="15" customHeight="1" x14ac:dyDescent="0.25">
      <c r="B125" s="630"/>
      <c r="C125" s="630">
        <v>26010492</v>
      </c>
      <c r="D125" s="630"/>
      <c r="E125" s="630"/>
      <c r="F125" s="630"/>
      <c r="G125" s="630" t="s">
        <v>104</v>
      </c>
      <c r="H125" s="630"/>
      <c r="I125" s="630"/>
      <c r="J125" s="630"/>
      <c r="K125" s="630"/>
      <c r="L125" s="630"/>
      <c r="M125" s="1" t="s">
        <v>106</v>
      </c>
      <c r="N125" s="439">
        <v>46142</v>
      </c>
    </row>
    <row r="126" spans="2:14" ht="15" customHeight="1" x14ac:dyDescent="0.25">
      <c r="B126" s="630"/>
      <c r="C126" s="630">
        <v>26010493</v>
      </c>
      <c r="D126" s="630"/>
      <c r="E126" s="630"/>
      <c r="F126" s="630"/>
      <c r="G126" s="630" t="s">
        <v>104</v>
      </c>
      <c r="H126" s="630"/>
      <c r="I126" s="630"/>
      <c r="J126" s="630"/>
      <c r="K126" s="630"/>
      <c r="L126" s="630"/>
      <c r="M126" s="1" t="s">
        <v>106</v>
      </c>
      <c r="N126" s="439">
        <v>46142</v>
      </c>
    </row>
    <row r="127" spans="2:14" ht="15" customHeight="1" x14ac:dyDescent="0.25">
      <c r="B127" s="630"/>
      <c r="C127" s="630">
        <v>26010494</v>
      </c>
      <c r="D127" s="630"/>
      <c r="E127" s="630"/>
      <c r="F127" s="630"/>
      <c r="G127" s="630" t="s">
        <v>104</v>
      </c>
      <c r="H127" s="630"/>
      <c r="I127" s="630"/>
      <c r="J127" s="630"/>
      <c r="K127" s="630"/>
      <c r="L127" s="630"/>
      <c r="M127" s="1" t="s">
        <v>106</v>
      </c>
      <c r="N127" s="439">
        <v>46143</v>
      </c>
    </row>
    <row r="128" spans="2:14" ht="15" customHeight="1" x14ac:dyDescent="0.25">
      <c r="B128" s="630"/>
      <c r="C128" s="630">
        <v>26010495</v>
      </c>
      <c r="D128" s="630"/>
      <c r="E128" s="620"/>
      <c r="F128" s="620"/>
      <c r="G128" s="630" t="s">
        <v>104</v>
      </c>
      <c r="H128" s="630"/>
      <c r="I128" s="630"/>
      <c r="J128" s="630"/>
      <c r="K128" s="630"/>
      <c r="L128" s="630"/>
      <c r="M128" s="1" t="s">
        <v>106</v>
      </c>
      <c r="N128" s="439">
        <v>46143</v>
      </c>
    </row>
    <row r="129" spans="2:14" ht="15" customHeight="1" x14ac:dyDescent="0.25">
      <c r="B129" s="630"/>
      <c r="C129" s="630">
        <v>26010496</v>
      </c>
      <c r="D129" s="630"/>
      <c r="E129" s="630"/>
      <c r="F129" s="630"/>
      <c r="G129" s="630" t="s">
        <v>104</v>
      </c>
      <c r="H129" s="630"/>
      <c r="I129" s="630"/>
      <c r="J129" s="630"/>
      <c r="K129" s="630"/>
      <c r="L129" s="630"/>
      <c r="M129" s="1" t="s">
        <v>106</v>
      </c>
      <c r="N129" s="439">
        <v>46143</v>
      </c>
    </row>
    <row r="130" spans="2:14" ht="15" customHeight="1" x14ac:dyDescent="0.25">
      <c r="B130" s="630"/>
      <c r="C130" s="630">
        <v>26010497</v>
      </c>
      <c r="D130" s="630"/>
      <c r="E130" s="630"/>
      <c r="F130" s="630"/>
      <c r="G130" s="630" t="s">
        <v>104</v>
      </c>
      <c r="H130" s="630"/>
      <c r="I130" s="630"/>
      <c r="J130" s="630"/>
      <c r="K130" s="630"/>
      <c r="L130" s="630"/>
      <c r="M130" s="1" t="s">
        <v>106</v>
      </c>
      <c r="N130" s="439">
        <v>46143</v>
      </c>
    </row>
    <row r="131" spans="2:14" ht="15" customHeight="1" x14ac:dyDescent="0.25">
      <c r="B131" s="630"/>
      <c r="C131" s="630">
        <v>26010498</v>
      </c>
      <c r="D131" s="630"/>
      <c r="E131" s="630"/>
      <c r="F131" s="630"/>
      <c r="G131" s="630" t="s">
        <v>104</v>
      </c>
      <c r="H131" s="630"/>
      <c r="I131" s="630"/>
      <c r="J131" s="630"/>
      <c r="K131" s="630"/>
      <c r="L131" s="630"/>
      <c r="M131" s="1" t="s">
        <v>106</v>
      </c>
      <c r="N131" s="439">
        <v>46143</v>
      </c>
    </row>
    <row r="132" spans="2:14" ht="15" customHeight="1" x14ac:dyDescent="0.25">
      <c r="B132" s="630"/>
      <c r="C132" s="630">
        <v>26010499</v>
      </c>
      <c r="D132" s="630"/>
      <c r="E132" s="630"/>
      <c r="F132" s="630"/>
      <c r="G132" s="630" t="s">
        <v>104</v>
      </c>
      <c r="H132" s="630"/>
      <c r="I132" s="630"/>
      <c r="J132" s="630"/>
      <c r="K132" s="630"/>
      <c r="L132" s="630"/>
      <c r="M132" s="1" t="s">
        <v>106</v>
      </c>
      <c r="N132" s="439">
        <v>46143</v>
      </c>
    </row>
    <row r="133" spans="2:14" ht="15" customHeight="1" x14ac:dyDescent="0.25">
      <c r="B133" s="630"/>
      <c r="C133" s="630">
        <v>26010500</v>
      </c>
      <c r="D133" s="630"/>
      <c r="E133" s="620"/>
      <c r="F133" s="620"/>
      <c r="G133" s="630" t="s">
        <v>104</v>
      </c>
      <c r="H133" s="630"/>
      <c r="I133" s="630"/>
      <c r="J133" s="630"/>
      <c r="K133" s="630"/>
      <c r="L133" s="630"/>
      <c r="M133" s="1" t="s">
        <v>106</v>
      </c>
      <c r="N133" s="439">
        <v>46144</v>
      </c>
    </row>
    <row r="134" spans="2:14" ht="15" customHeight="1" x14ac:dyDescent="0.25">
      <c r="B134" s="630"/>
      <c r="C134" s="630">
        <v>26010501</v>
      </c>
      <c r="D134" s="630"/>
      <c r="E134" s="630"/>
      <c r="F134" s="630"/>
      <c r="G134" s="630" t="s">
        <v>104</v>
      </c>
      <c r="H134" s="630"/>
      <c r="I134" s="630"/>
      <c r="J134" s="630"/>
      <c r="K134" s="630"/>
      <c r="L134" s="630"/>
      <c r="M134" s="1" t="s">
        <v>106</v>
      </c>
      <c r="N134" s="439">
        <v>46144</v>
      </c>
    </row>
    <row r="135" spans="2:14" ht="15" customHeight="1" x14ac:dyDescent="0.25">
      <c r="B135" s="630"/>
      <c r="C135" s="630">
        <v>26010502</v>
      </c>
      <c r="D135" s="630"/>
      <c r="E135" s="630"/>
      <c r="F135" s="630"/>
      <c r="G135" s="630" t="s">
        <v>104</v>
      </c>
      <c r="H135" s="630"/>
      <c r="I135" s="630"/>
      <c r="J135" s="630"/>
      <c r="K135" s="630"/>
      <c r="L135" s="630"/>
      <c r="M135" s="1" t="s">
        <v>106</v>
      </c>
      <c r="N135" s="439">
        <v>46144</v>
      </c>
    </row>
    <row r="136" spans="2:14" ht="15.75" customHeight="1" x14ac:dyDescent="0.25">
      <c r="B136" s="630"/>
      <c r="C136" s="630">
        <v>26010503</v>
      </c>
      <c r="D136" s="630"/>
      <c r="E136" s="630"/>
      <c r="F136" s="630"/>
      <c r="G136" s="630" t="s">
        <v>104</v>
      </c>
      <c r="H136" s="630"/>
      <c r="I136" s="630"/>
      <c r="J136" s="630"/>
      <c r="K136" s="630"/>
      <c r="L136" s="630"/>
      <c r="M136" s="1" t="s">
        <v>106</v>
      </c>
      <c r="N136" s="439">
        <v>46144</v>
      </c>
    </row>
    <row r="137" spans="2:14" ht="15" customHeight="1" x14ac:dyDescent="0.25">
      <c r="B137" s="630"/>
      <c r="C137" s="630">
        <v>26010504</v>
      </c>
      <c r="D137" s="630"/>
      <c r="E137" s="630"/>
      <c r="F137" s="630"/>
      <c r="G137" s="630" t="s">
        <v>104</v>
      </c>
      <c r="H137" s="630"/>
      <c r="I137" s="630"/>
      <c r="J137" s="630"/>
      <c r="K137" s="630"/>
      <c r="L137" s="630"/>
      <c r="M137" s="1" t="s">
        <v>106</v>
      </c>
      <c r="N137" s="439">
        <v>46144</v>
      </c>
    </row>
    <row r="138" spans="2:14" ht="15" customHeight="1" x14ac:dyDescent="0.25">
      <c r="B138" s="630" t="s">
        <v>513</v>
      </c>
      <c r="C138" s="630">
        <v>26030505</v>
      </c>
      <c r="D138" s="630"/>
      <c r="E138" s="630"/>
      <c r="F138" s="630"/>
      <c r="G138" s="630" t="s">
        <v>305</v>
      </c>
      <c r="H138" s="630"/>
      <c r="I138" s="630"/>
      <c r="J138" s="630"/>
      <c r="K138" s="630" t="s">
        <v>105</v>
      </c>
      <c r="L138" s="630"/>
      <c r="M138" s="1" t="s">
        <v>418</v>
      </c>
      <c r="N138" s="439">
        <v>46141</v>
      </c>
    </row>
    <row r="139" spans="2:14" ht="15" customHeight="1" x14ac:dyDescent="0.25">
      <c r="B139" s="630"/>
      <c r="C139" s="630">
        <v>26030506</v>
      </c>
      <c r="D139" s="630"/>
      <c r="E139" s="630"/>
      <c r="F139" s="630"/>
      <c r="G139" s="630" t="s">
        <v>303</v>
      </c>
      <c r="H139" s="630"/>
      <c r="I139" s="630"/>
      <c r="J139" s="630"/>
      <c r="K139" s="630"/>
      <c r="L139" s="630"/>
      <c r="M139" s="210" t="s">
        <v>418</v>
      </c>
      <c r="N139" s="439">
        <v>46141</v>
      </c>
    </row>
    <row r="140" spans="2:14" ht="15" customHeight="1" x14ac:dyDescent="0.25">
      <c r="B140" s="630"/>
      <c r="C140" s="630">
        <v>26030507</v>
      </c>
      <c r="D140" s="630"/>
      <c r="E140" s="630"/>
      <c r="F140" s="630"/>
      <c r="G140" s="630" t="s">
        <v>126</v>
      </c>
      <c r="H140" s="630"/>
      <c r="I140" s="630"/>
      <c r="J140" s="630"/>
      <c r="K140" s="630"/>
      <c r="L140" s="630"/>
      <c r="M140" s="1" t="s">
        <v>418</v>
      </c>
      <c r="N140" s="439">
        <v>46142</v>
      </c>
    </row>
    <row r="141" spans="2:14" ht="15" customHeight="1" x14ac:dyDescent="0.25">
      <c r="B141" s="1" t="s">
        <v>514</v>
      </c>
      <c r="C141" s="630" t="s">
        <v>515</v>
      </c>
      <c r="D141" s="630"/>
      <c r="E141" s="630"/>
      <c r="F141" s="630"/>
      <c r="G141" s="630" t="s">
        <v>495</v>
      </c>
      <c r="H141" s="630"/>
      <c r="I141" s="630"/>
      <c r="J141" s="630"/>
      <c r="K141" s="630" t="s">
        <v>60</v>
      </c>
      <c r="L141" s="630"/>
      <c r="M141" s="210" t="s">
        <v>84</v>
      </c>
      <c r="N141" s="439">
        <v>46142</v>
      </c>
    </row>
    <row r="142" spans="2:14" ht="15" customHeight="1" x14ac:dyDescent="0.25">
      <c r="B142" s="3"/>
      <c r="C142" s="629"/>
      <c r="D142" s="629"/>
      <c r="E142" s="629"/>
      <c r="F142" s="629"/>
      <c r="G142" s="629"/>
      <c r="H142" s="629"/>
      <c r="I142" s="629"/>
      <c r="J142" s="629"/>
      <c r="K142" s="629"/>
      <c r="L142" s="629"/>
      <c r="M142" s="3"/>
      <c r="N142" s="438"/>
    </row>
    <row r="143" spans="2:14" ht="15" customHeight="1" x14ac:dyDescent="0.25">
      <c r="B143" s="2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213"/>
      <c r="N143" s="438"/>
    </row>
    <row r="144" spans="2:14" ht="15" customHeight="1" x14ac:dyDescent="0.25">
      <c r="B144" s="3"/>
      <c r="C144" s="629"/>
      <c r="D144" s="629"/>
      <c r="E144" s="629"/>
      <c r="F144" s="629"/>
      <c r="G144" s="629"/>
      <c r="H144" s="629"/>
      <c r="I144" s="629"/>
      <c r="J144" s="629"/>
      <c r="K144" s="629"/>
      <c r="L144" s="629"/>
      <c r="M144" s="3"/>
      <c r="N144" s="438"/>
    </row>
    <row r="145" spans="2:14" ht="15" customHeight="1" x14ac:dyDescent="0.25">
      <c r="B145" s="2"/>
      <c r="C145" s="628"/>
      <c r="D145" s="628"/>
      <c r="E145" s="628"/>
      <c r="F145" s="628"/>
      <c r="G145" s="628"/>
      <c r="H145" s="628"/>
      <c r="I145" s="628"/>
      <c r="J145" s="628"/>
      <c r="K145" s="628"/>
      <c r="L145" s="628"/>
      <c r="M145" s="213"/>
      <c r="N145" s="438"/>
    </row>
    <row r="146" spans="2:14" ht="15" customHeight="1" x14ac:dyDescent="0.25">
      <c r="B146" s="3"/>
      <c r="C146" s="629"/>
      <c r="D146" s="629"/>
      <c r="E146" s="629"/>
      <c r="F146" s="629"/>
      <c r="G146" s="629"/>
      <c r="H146" s="629"/>
      <c r="I146" s="629"/>
      <c r="J146" s="629"/>
      <c r="K146" s="629"/>
      <c r="L146" s="629"/>
      <c r="M146" s="3"/>
      <c r="N146" s="438"/>
    </row>
    <row r="147" spans="2:14" ht="15" customHeight="1" x14ac:dyDescent="0.25">
      <c r="B147" s="2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213"/>
      <c r="N147" s="438"/>
    </row>
    <row r="148" spans="2:14" ht="15" customHeight="1" x14ac:dyDescent="0.25">
      <c r="B148" s="3"/>
      <c r="C148" s="629"/>
      <c r="D148" s="629"/>
      <c r="E148" s="629"/>
      <c r="F148" s="629"/>
      <c r="G148" s="629"/>
      <c r="H148" s="629"/>
      <c r="I148" s="629"/>
      <c r="J148" s="629"/>
      <c r="K148" s="629"/>
      <c r="L148" s="629"/>
      <c r="M148" s="3"/>
      <c r="N148" s="438"/>
    </row>
    <row r="149" spans="2:14" ht="15" customHeight="1" x14ac:dyDescent="0.25">
      <c r="B149" s="2"/>
      <c r="C149" s="628"/>
      <c r="D149" s="628"/>
      <c r="E149" s="628"/>
      <c r="F149" s="628"/>
      <c r="G149" s="628"/>
      <c r="H149" s="628"/>
      <c r="I149" s="628"/>
      <c r="J149" s="628"/>
      <c r="K149" s="628"/>
      <c r="L149" s="628"/>
      <c r="M149" s="213"/>
      <c r="N149" s="438"/>
    </row>
    <row r="150" spans="2:14" ht="15" customHeight="1" x14ac:dyDescent="0.25">
      <c r="B150" s="3"/>
      <c r="C150" s="629"/>
      <c r="D150" s="629"/>
      <c r="E150" s="629"/>
      <c r="F150" s="629"/>
      <c r="G150" s="629"/>
      <c r="H150" s="629"/>
      <c r="I150" s="629"/>
      <c r="J150" s="629"/>
      <c r="K150" s="629"/>
      <c r="L150" s="629"/>
      <c r="M150" s="3"/>
      <c r="N150" s="438"/>
    </row>
    <row r="151" spans="2:14" ht="15" customHeight="1" x14ac:dyDescent="0.25">
      <c r="B151" s="2"/>
      <c r="C151" s="628"/>
      <c r="D151" s="628"/>
      <c r="E151" s="628"/>
      <c r="F151" s="628"/>
      <c r="G151" s="628"/>
      <c r="H151" s="628"/>
      <c r="I151" s="628"/>
      <c r="J151" s="628"/>
      <c r="K151" s="628"/>
      <c r="L151" s="628"/>
      <c r="M151" s="213"/>
      <c r="N151" s="438"/>
    </row>
    <row r="152" spans="2:14" ht="15" customHeight="1" x14ac:dyDescent="0.25">
      <c r="B152" s="3"/>
      <c r="C152" s="629"/>
      <c r="D152" s="629"/>
      <c r="E152" s="629"/>
      <c r="F152" s="629"/>
      <c r="G152" s="629"/>
      <c r="H152" s="629"/>
      <c r="I152" s="629"/>
      <c r="J152" s="629"/>
      <c r="K152" s="629"/>
      <c r="L152" s="629"/>
      <c r="M152" s="3"/>
      <c r="N152" s="438"/>
    </row>
    <row r="153" spans="2:14" ht="15" customHeight="1" x14ac:dyDescent="0.25">
      <c r="B153" s="2"/>
      <c r="C153" s="628"/>
      <c r="D153" s="628"/>
      <c r="E153" s="628"/>
      <c r="F153" s="628"/>
      <c r="G153" s="628"/>
      <c r="H153" s="628"/>
      <c r="I153" s="628"/>
      <c r="J153" s="628"/>
      <c r="K153" s="628"/>
      <c r="L153" s="628"/>
      <c r="M153" s="213"/>
      <c r="N153" s="438"/>
    </row>
    <row r="154" spans="2:14" ht="15" customHeight="1" x14ac:dyDescent="0.25">
      <c r="B154" s="3"/>
      <c r="C154" s="629"/>
      <c r="D154" s="629"/>
      <c r="E154" s="629"/>
      <c r="F154" s="629"/>
      <c r="G154" s="629"/>
      <c r="H154" s="629"/>
      <c r="I154" s="629"/>
      <c r="J154" s="629"/>
      <c r="K154" s="629"/>
      <c r="L154" s="629"/>
      <c r="M154" s="3"/>
      <c r="N154" s="438"/>
    </row>
    <row r="155" spans="2:14" ht="15" customHeight="1" x14ac:dyDescent="0.25">
      <c r="B155" s="2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213"/>
      <c r="N155" s="438"/>
    </row>
    <row r="156" spans="2:14" ht="15" customHeight="1" x14ac:dyDescent="0.25">
      <c r="B156" s="3"/>
      <c r="C156" s="629"/>
      <c r="D156" s="629"/>
      <c r="E156" s="629"/>
      <c r="F156" s="629"/>
      <c r="G156" s="629"/>
      <c r="H156" s="629"/>
      <c r="I156" s="629"/>
      <c r="J156" s="629"/>
      <c r="K156" s="629"/>
      <c r="L156" s="629"/>
      <c r="M156" s="3"/>
      <c r="N156" s="438"/>
    </row>
    <row r="157" spans="2:14" ht="15" customHeight="1" x14ac:dyDescent="0.25">
      <c r="B157" s="2"/>
      <c r="C157" s="628"/>
      <c r="D157" s="628"/>
      <c r="E157" s="628"/>
      <c r="F157" s="628"/>
      <c r="G157" s="628"/>
      <c r="H157" s="628"/>
      <c r="I157" s="628"/>
      <c r="J157" s="628"/>
      <c r="K157" s="628"/>
      <c r="L157" s="628"/>
      <c r="M157" s="213"/>
      <c r="N157" s="438"/>
    </row>
    <row r="158" spans="2:14" ht="15" customHeight="1" x14ac:dyDescent="0.25">
      <c r="B158" s="3"/>
      <c r="C158" s="629"/>
      <c r="D158" s="629"/>
      <c r="E158" s="629"/>
      <c r="F158" s="629"/>
      <c r="G158" s="629"/>
      <c r="H158" s="629"/>
      <c r="I158" s="629"/>
      <c r="J158" s="629"/>
      <c r="K158" s="629"/>
      <c r="L158" s="629"/>
      <c r="M158" s="3"/>
      <c r="N158" s="438"/>
    </row>
    <row r="159" spans="2:14" ht="15" customHeight="1" x14ac:dyDescent="0.25">
      <c r="B159" s="2"/>
      <c r="C159" s="628"/>
      <c r="D159" s="628"/>
      <c r="E159" s="628"/>
      <c r="F159" s="628"/>
      <c r="G159" s="628"/>
      <c r="H159" s="628"/>
      <c r="I159" s="628"/>
      <c r="J159" s="628"/>
      <c r="K159" s="628"/>
      <c r="L159" s="628"/>
      <c r="M159" s="213"/>
      <c r="N159" s="438"/>
    </row>
    <row r="160" spans="2:14" ht="15" customHeight="1" x14ac:dyDescent="0.25">
      <c r="B160" s="3"/>
      <c r="C160" s="629"/>
      <c r="D160" s="629"/>
      <c r="E160" s="629"/>
      <c r="F160" s="629"/>
      <c r="G160" s="629"/>
      <c r="H160" s="629"/>
      <c r="I160" s="629"/>
      <c r="J160" s="629"/>
      <c r="K160" s="629"/>
      <c r="L160" s="629"/>
      <c r="M160" s="3"/>
      <c r="N160" s="438"/>
    </row>
    <row r="161" spans="2:14" ht="15" customHeight="1" x14ac:dyDescent="0.25">
      <c r="B161" s="2"/>
      <c r="C161" s="628"/>
      <c r="D161" s="628"/>
      <c r="E161" s="628"/>
      <c r="F161" s="628"/>
      <c r="G161" s="628"/>
      <c r="H161" s="628"/>
      <c r="I161" s="628"/>
      <c r="J161" s="628"/>
      <c r="K161" s="628"/>
      <c r="L161" s="628"/>
      <c r="M161" s="213"/>
      <c r="N161" s="438"/>
    </row>
    <row r="162" spans="2:14" ht="15" customHeight="1" x14ac:dyDescent="0.25">
      <c r="B162" s="3"/>
      <c r="C162" s="629"/>
      <c r="D162" s="629"/>
      <c r="E162" s="629"/>
      <c r="F162" s="629"/>
      <c r="G162" s="629"/>
      <c r="H162" s="629"/>
      <c r="I162" s="629"/>
      <c r="J162" s="629"/>
      <c r="K162" s="629"/>
      <c r="L162" s="629"/>
      <c r="M162" s="3"/>
      <c r="N162" s="438"/>
    </row>
    <row r="163" spans="2:14" ht="15" customHeight="1" x14ac:dyDescent="0.25">
      <c r="B163" s="2"/>
      <c r="C163" s="628"/>
      <c r="D163" s="628"/>
      <c r="E163" s="628"/>
      <c r="F163" s="628"/>
      <c r="G163" s="628"/>
      <c r="H163" s="628"/>
      <c r="I163" s="628"/>
      <c r="J163" s="628"/>
      <c r="K163" s="628"/>
      <c r="L163" s="628"/>
      <c r="M163" s="213"/>
      <c r="N163" s="438"/>
    </row>
    <row r="164" spans="2:14" ht="15" customHeight="1" x14ac:dyDescent="0.25">
      <c r="B164" s="3"/>
      <c r="C164" s="629"/>
      <c r="D164" s="629"/>
      <c r="E164" s="629"/>
      <c r="F164" s="629"/>
      <c r="G164" s="629"/>
      <c r="H164" s="629"/>
      <c r="I164" s="629"/>
      <c r="J164" s="629"/>
      <c r="K164" s="629"/>
      <c r="L164" s="629"/>
      <c r="M164" s="3"/>
      <c r="N164" s="438"/>
    </row>
    <row r="165" spans="2:14" ht="15" customHeight="1" x14ac:dyDescent="0.25">
      <c r="N165" s="440"/>
    </row>
    <row r="166" spans="2:14" ht="15" customHeight="1" x14ac:dyDescent="0.25">
      <c r="N166" s="440"/>
    </row>
    <row r="167" spans="2:14" ht="15" customHeight="1" x14ac:dyDescent="0.25">
      <c r="N167" s="440"/>
    </row>
    <row r="168" spans="2:14" ht="15" customHeight="1" x14ac:dyDescent="0.25">
      <c r="N168" s="440"/>
    </row>
    <row r="169" spans="2:14" ht="15" customHeight="1" x14ac:dyDescent="0.25">
      <c r="N169" s="440"/>
    </row>
    <row r="170" spans="2:14" ht="15" customHeight="1" x14ac:dyDescent="0.25">
      <c r="N170" s="440"/>
    </row>
    <row r="171" spans="2:14" ht="15" customHeight="1" x14ac:dyDescent="0.25">
      <c r="N171" s="440"/>
    </row>
    <row r="172" spans="2:14" ht="15" customHeight="1" x14ac:dyDescent="0.25">
      <c r="N172" s="440"/>
    </row>
    <row r="173" spans="2:14" ht="15" customHeight="1" x14ac:dyDescent="0.25">
      <c r="N173" s="440"/>
    </row>
    <row r="174" spans="2:14" ht="15" customHeight="1" x14ac:dyDescent="0.25">
      <c r="N174" s="440"/>
    </row>
    <row r="175" spans="2:14" ht="15" customHeight="1" x14ac:dyDescent="0.25">
      <c r="N175" s="440"/>
    </row>
    <row r="176" spans="2:14" ht="15" customHeight="1" x14ac:dyDescent="0.25">
      <c r="N176" s="440"/>
    </row>
    <row r="177" spans="14:14" ht="15" customHeight="1" x14ac:dyDescent="0.25">
      <c r="N177" s="440"/>
    </row>
    <row r="178" spans="14:14" ht="15" customHeight="1" x14ac:dyDescent="0.25">
      <c r="N178" s="440"/>
    </row>
    <row r="179" spans="14:14" ht="15" customHeight="1" x14ac:dyDescent="0.25">
      <c r="N179" s="440"/>
    </row>
    <row r="180" spans="14:14" ht="15" customHeight="1" x14ac:dyDescent="0.25">
      <c r="N180" s="440"/>
    </row>
    <row r="181" spans="14:14" ht="15" customHeight="1" x14ac:dyDescent="0.25">
      <c r="N181" s="440"/>
    </row>
    <row r="182" spans="14:14" ht="15" customHeight="1" x14ac:dyDescent="0.25">
      <c r="N182" s="440"/>
    </row>
    <row r="183" spans="14:14" ht="15" customHeight="1" x14ac:dyDescent="0.25">
      <c r="N183" s="440"/>
    </row>
    <row r="184" spans="14:14" ht="15" customHeight="1" x14ac:dyDescent="0.25">
      <c r="N184" s="440"/>
    </row>
    <row r="185" spans="14:14" ht="15" customHeight="1" x14ac:dyDescent="0.25">
      <c r="N185" s="440"/>
    </row>
    <row r="186" spans="14:14" ht="15" customHeight="1" x14ac:dyDescent="0.25">
      <c r="N186" s="440"/>
    </row>
    <row r="187" spans="14:14" ht="15" customHeight="1" x14ac:dyDescent="0.25">
      <c r="N187" s="440"/>
    </row>
    <row r="188" spans="14:14" ht="15" customHeight="1" x14ac:dyDescent="0.25">
      <c r="N188" s="440"/>
    </row>
    <row r="189" spans="14:14" ht="15" customHeight="1" x14ac:dyDescent="0.25">
      <c r="N189" s="440"/>
    </row>
    <row r="190" spans="14:14" ht="15" customHeight="1" x14ac:dyDescent="0.25">
      <c r="N190" s="440"/>
    </row>
    <row r="191" spans="14:14" ht="15" customHeight="1" x14ac:dyDescent="0.25">
      <c r="N191" s="440"/>
    </row>
    <row r="192" spans="14:14" ht="15" customHeight="1" x14ac:dyDescent="0.25">
      <c r="N192" s="440"/>
    </row>
    <row r="193" spans="14:14" ht="15" customHeight="1" x14ac:dyDescent="0.25">
      <c r="N193" s="440"/>
    </row>
    <row r="194" spans="14:14" ht="15" customHeight="1" x14ac:dyDescent="0.25">
      <c r="N194" s="440"/>
    </row>
    <row r="195" spans="14:14" ht="15" customHeight="1" x14ac:dyDescent="0.25">
      <c r="N195" s="440"/>
    </row>
    <row r="196" spans="14:14" ht="15" customHeight="1" x14ac:dyDescent="0.25">
      <c r="N196" s="440"/>
    </row>
    <row r="197" spans="14:14" ht="15" customHeight="1" x14ac:dyDescent="0.25">
      <c r="N197" s="440"/>
    </row>
    <row r="198" spans="14:14" ht="15" customHeight="1" x14ac:dyDescent="0.25">
      <c r="N198" s="440"/>
    </row>
    <row r="199" spans="14:14" ht="15" customHeight="1" x14ac:dyDescent="0.25">
      <c r="N199" s="440"/>
    </row>
    <row r="200" spans="14:14" ht="15" customHeight="1" x14ac:dyDescent="0.25">
      <c r="N200" s="440"/>
    </row>
    <row r="201" spans="14:14" ht="15" customHeight="1" x14ac:dyDescent="0.25">
      <c r="N201" s="440"/>
    </row>
    <row r="202" spans="14:14" ht="15" customHeight="1" x14ac:dyDescent="0.25">
      <c r="N202" s="440"/>
    </row>
    <row r="203" spans="14:14" ht="15" customHeight="1" x14ac:dyDescent="0.25">
      <c r="N203" s="440"/>
    </row>
    <row r="204" spans="14:14" ht="15" customHeight="1" x14ac:dyDescent="0.25">
      <c r="N204" s="440"/>
    </row>
    <row r="205" spans="14:14" ht="15" customHeight="1" x14ac:dyDescent="0.25">
      <c r="N205" s="440"/>
    </row>
    <row r="206" spans="14:14" ht="15" customHeight="1" x14ac:dyDescent="0.25">
      <c r="N206" s="440"/>
    </row>
    <row r="207" spans="14:14" ht="15" customHeight="1" x14ac:dyDescent="0.25">
      <c r="N207" s="440"/>
    </row>
    <row r="208" spans="14:14" ht="15" customHeight="1" x14ac:dyDescent="0.25">
      <c r="N208" s="440"/>
    </row>
    <row r="209" spans="14:14" ht="15" customHeight="1" x14ac:dyDescent="0.25">
      <c r="N209" s="440"/>
    </row>
    <row r="210" spans="14:14" ht="15" customHeight="1" x14ac:dyDescent="0.25">
      <c r="N210" s="440"/>
    </row>
    <row r="211" spans="14:14" ht="15" customHeight="1" x14ac:dyDescent="0.25">
      <c r="N211" s="440"/>
    </row>
    <row r="212" spans="14:14" ht="15" customHeight="1" x14ac:dyDescent="0.25">
      <c r="N212" s="440"/>
    </row>
    <row r="213" spans="14:14" ht="15" customHeight="1" x14ac:dyDescent="0.25">
      <c r="N213" s="440"/>
    </row>
    <row r="214" spans="14:14" ht="15" customHeight="1" x14ac:dyDescent="0.25">
      <c r="N214" s="440"/>
    </row>
    <row r="215" spans="14:14" ht="15" customHeight="1" x14ac:dyDescent="0.25">
      <c r="N215" s="440"/>
    </row>
    <row r="216" spans="14:14" ht="15" customHeight="1" x14ac:dyDescent="0.25">
      <c r="N216" s="440"/>
    </row>
    <row r="217" spans="14:14" ht="15" customHeight="1" x14ac:dyDescent="0.25">
      <c r="N217" s="440"/>
    </row>
    <row r="218" spans="14:14" ht="15" customHeight="1" x14ac:dyDescent="0.25">
      <c r="N218" s="440"/>
    </row>
    <row r="219" spans="14:14" ht="15" customHeight="1" x14ac:dyDescent="0.25">
      <c r="N219" s="440"/>
    </row>
    <row r="220" spans="14:14" ht="15" customHeight="1" x14ac:dyDescent="0.25">
      <c r="N220" s="440"/>
    </row>
    <row r="221" spans="14:14" ht="15" customHeight="1" x14ac:dyDescent="0.25">
      <c r="N221" s="440"/>
    </row>
    <row r="222" spans="14:14" ht="15" customHeight="1" x14ac:dyDescent="0.25">
      <c r="N222" s="440"/>
    </row>
    <row r="223" spans="14:14" ht="15" customHeight="1" x14ac:dyDescent="0.25">
      <c r="N223" s="440"/>
    </row>
    <row r="224" spans="14:14" ht="15" customHeight="1" x14ac:dyDescent="0.25">
      <c r="N224" s="440"/>
    </row>
    <row r="225" spans="14:14" ht="15" customHeight="1" x14ac:dyDescent="0.25">
      <c r="N225" s="440"/>
    </row>
    <row r="226" spans="14:14" ht="15" customHeight="1" x14ac:dyDescent="0.25">
      <c r="N226" s="440"/>
    </row>
    <row r="227" spans="14:14" ht="15" customHeight="1" x14ac:dyDescent="0.25">
      <c r="N227" s="440"/>
    </row>
    <row r="228" spans="14:14" ht="15" customHeight="1" x14ac:dyDescent="0.25">
      <c r="N228" s="440"/>
    </row>
    <row r="229" spans="14:14" ht="15" customHeight="1" x14ac:dyDescent="0.25">
      <c r="N229" s="440"/>
    </row>
    <row r="230" spans="14:14" ht="15" customHeight="1" x14ac:dyDescent="0.25">
      <c r="N230" s="440"/>
    </row>
    <row r="231" spans="14:14" ht="15" customHeight="1" x14ac:dyDescent="0.25">
      <c r="N231" s="440"/>
    </row>
    <row r="232" spans="14:14" ht="15" customHeight="1" x14ac:dyDescent="0.25">
      <c r="N232" s="440"/>
    </row>
    <row r="233" spans="14:14" ht="15" customHeight="1" x14ac:dyDescent="0.25">
      <c r="N233" s="440"/>
    </row>
    <row r="234" spans="14:14" ht="15" customHeight="1" x14ac:dyDescent="0.25">
      <c r="N234" s="440"/>
    </row>
    <row r="235" spans="14:14" ht="15" customHeight="1" x14ac:dyDescent="0.25">
      <c r="N235" s="440"/>
    </row>
    <row r="236" spans="14:14" ht="15" customHeight="1" x14ac:dyDescent="0.25">
      <c r="N236" s="440"/>
    </row>
    <row r="237" spans="14:14" ht="15" customHeight="1" x14ac:dyDescent="0.25">
      <c r="N237" s="440"/>
    </row>
    <row r="238" spans="14:14" ht="15" customHeight="1" x14ac:dyDescent="0.25">
      <c r="N238" s="440"/>
    </row>
    <row r="239" spans="14:14" ht="15" customHeight="1" x14ac:dyDescent="0.25">
      <c r="N239" s="440"/>
    </row>
    <row r="240" spans="14:14" ht="15" customHeight="1" x14ac:dyDescent="0.25">
      <c r="N240" s="440"/>
    </row>
    <row r="241" spans="14:14" ht="15" customHeight="1" x14ac:dyDescent="0.25">
      <c r="N241" s="440"/>
    </row>
    <row r="242" spans="14:14" ht="15" customHeight="1" x14ac:dyDescent="0.25">
      <c r="N242" s="440"/>
    </row>
    <row r="243" spans="14:14" ht="15" customHeight="1" x14ac:dyDescent="0.25">
      <c r="N243" s="440"/>
    </row>
    <row r="244" spans="14:14" ht="15" customHeight="1" x14ac:dyDescent="0.25">
      <c r="N244" s="440"/>
    </row>
    <row r="245" spans="14:14" ht="15" customHeight="1" x14ac:dyDescent="0.25">
      <c r="N245" s="440"/>
    </row>
    <row r="246" spans="14:14" ht="15" customHeight="1" x14ac:dyDescent="0.25">
      <c r="N246" s="440"/>
    </row>
    <row r="247" spans="14:14" ht="15" customHeight="1" x14ac:dyDescent="0.25">
      <c r="N247" s="440"/>
    </row>
    <row r="248" spans="14:14" ht="15" customHeight="1" x14ac:dyDescent="0.25">
      <c r="N248" s="440"/>
    </row>
    <row r="249" spans="14:14" ht="15" customHeight="1" x14ac:dyDescent="0.25">
      <c r="N249" s="440"/>
    </row>
    <row r="250" spans="14:14" ht="15" customHeight="1" x14ac:dyDescent="0.25">
      <c r="N250" s="440"/>
    </row>
    <row r="251" spans="14:14" ht="15" customHeight="1" x14ac:dyDescent="0.25">
      <c r="N251" s="440"/>
    </row>
    <row r="252" spans="14:14" ht="15" customHeight="1" x14ac:dyDescent="0.25">
      <c r="N252" s="440"/>
    </row>
    <row r="253" spans="14:14" ht="15" customHeight="1" x14ac:dyDescent="0.25">
      <c r="N253" s="440"/>
    </row>
    <row r="254" spans="14:14" ht="15" customHeight="1" x14ac:dyDescent="0.25">
      <c r="N254" s="440"/>
    </row>
    <row r="255" spans="14:14" ht="15" customHeight="1" x14ac:dyDescent="0.25">
      <c r="N255" s="440"/>
    </row>
    <row r="256" spans="14:14" ht="15" customHeight="1" x14ac:dyDescent="0.25">
      <c r="N256" s="440"/>
    </row>
    <row r="257" spans="14:14" ht="15" customHeight="1" x14ac:dyDescent="0.25">
      <c r="N257" s="440"/>
    </row>
    <row r="258" spans="14:14" ht="15" customHeight="1" x14ac:dyDescent="0.25">
      <c r="N258" s="440"/>
    </row>
    <row r="259" spans="14:14" ht="15" customHeight="1" x14ac:dyDescent="0.25">
      <c r="N259" s="440"/>
    </row>
    <row r="260" spans="14:14" ht="15" customHeight="1" x14ac:dyDescent="0.25">
      <c r="N260" s="440"/>
    </row>
    <row r="261" spans="14:14" ht="15" customHeight="1" x14ac:dyDescent="0.25">
      <c r="N261" s="440"/>
    </row>
    <row r="262" spans="14:14" ht="15" customHeight="1" x14ac:dyDescent="0.25">
      <c r="N262" s="440"/>
    </row>
    <row r="263" spans="14:14" ht="15" customHeight="1" x14ac:dyDescent="0.25">
      <c r="N263" s="440"/>
    </row>
    <row r="264" spans="14:14" ht="15" customHeight="1" x14ac:dyDescent="0.25">
      <c r="N264" s="440"/>
    </row>
    <row r="265" spans="14:14" ht="15" customHeight="1" x14ac:dyDescent="0.25">
      <c r="N265" s="440"/>
    </row>
    <row r="266" spans="14:14" ht="15" customHeight="1" x14ac:dyDescent="0.25">
      <c r="N266" s="440"/>
    </row>
    <row r="267" spans="14:14" ht="15" customHeight="1" x14ac:dyDescent="0.25">
      <c r="N267" s="440"/>
    </row>
    <row r="268" spans="14:14" ht="15" customHeight="1" x14ac:dyDescent="0.25">
      <c r="N268" s="440"/>
    </row>
    <row r="269" spans="14:14" ht="15" customHeight="1" x14ac:dyDescent="0.25">
      <c r="N269" s="440"/>
    </row>
    <row r="270" spans="14:14" ht="15" customHeight="1" x14ac:dyDescent="0.25">
      <c r="N270" s="440"/>
    </row>
    <row r="271" spans="14:14" ht="15" customHeight="1" x14ac:dyDescent="0.25">
      <c r="N271" s="440"/>
    </row>
    <row r="272" spans="14:14" ht="15" customHeight="1" x14ac:dyDescent="0.25">
      <c r="N272" s="440"/>
    </row>
    <row r="273" spans="14:14" ht="15" customHeight="1" x14ac:dyDescent="0.25">
      <c r="N273" s="440"/>
    </row>
    <row r="274" spans="14:14" ht="15" customHeight="1" x14ac:dyDescent="0.25">
      <c r="N274" s="440"/>
    </row>
    <row r="275" spans="14:14" ht="15" customHeight="1" x14ac:dyDescent="0.25">
      <c r="N275" s="440"/>
    </row>
    <row r="276" spans="14:14" ht="15" customHeight="1" x14ac:dyDescent="0.25">
      <c r="N276" s="440"/>
    </row>
    <row r="277" spans="14:14" ht="15" customHeight="1" x14ac:dyDescent="0.25">
      <c r="N277" s="440"/>
    </row>
    <row r="278" spans="14:14" ht="15" customHeight="1" x14ac:dyDescent="0.25">
      <c r="N278" s="440"/>
    </row>
    <row r="279" spans="14:14" ht="15" customHeight="1" x14ac:dyDescent="0.25">
      <c r="N279" s="440"/>
    </row>
    <row r="280" spans="14:14" ht="15" customHeight="1" x14ac:dyDescent="0.25">
      <c r="N280" s="440"/>
    </row>
    <row r="281" spans="14:14" ht="15" customHeight="1" x14ac:dyDescent="0.25">
      <c r="N281" s="440"/>
    </row>
    <row r="282" spans="14:14" ht="15" customHeight="1" x14ac:dyDescent="0.25">
      <c r="N282" s="440"/>
    </row>
    <row r="283" spans="14:14" ht="15" customHeight="1" x14ac:dyDescent="0.25">
      <c r="N283" s="440"/>
    </row>
    <row r="284" spans="14:14" ht="15" customHeight="1" x14ac:dyDescent="0.25">
      <c r="N284" s="440"/>
    </row>
    <row r="285" spans="14:14" ht="15" customHeight="1" x14ac:dyDescent="0.25">
      <c r="N285" s="440"/>
    </row>
    <row r="286" spans="14:14" ht="15" customHeight="1" x14ac:dyDescent="0.25">
      <c r="N286" s="440"/>
    </row>
    <row r="287" spans="14:14" ht="15" customHeight="1" x14ac:dyDescent="0.25">
      <c r="N287" s="440"/>
    </row>
    <row r="288" spans="14:14" ht="15" customHeight="1" x14ac:dyDescent="0.25">
      <c r="N288" s="440"/>
    </row>
    <row r="289" spans="14:14" ht="15" customHeight="1" x14ac:dyDescent="0.25">
      <c r="N289" s="440"/>
    </row>
    <row r="290" spans="14:14" ht="15" customHeight="1" x14ac:dyDescent="0.25">
      <c r="N290" s="440"/>
    </row>
    <row r="291" spans="14:14" ht="15" customHeight="1" x14ac:dyDescent="0.25">
      <c r="N291" s="440"/>
    </row>
    <row r="292" spans="14:14" ht="15" customHeight="1" x14ac:dyDescent="0.25">
      <c r="N292" s="440"/>
    </row>
    <row r="293" spans="14:14" ht="15" customHeight="1" x14ac:dyDescent="0.25">
      <c r="N293" s="440"/>
    </row>
    <row r="294" spans="14:14" ht="15" customHeight="1" x14ac:dyDescent="0.25">
      <c r="N294" s="440"/>
    </row>
    <row r="295" spans="14:14" ht="15" customHeight="1" x14ac:dyDescent="0.25">
      <c r="N295" s="440"/>
    </row>
    <row r="296" spans="14:14" ht="15" customHeight="1" x14ac:dyDescent="0.25">
      <c r="N296" s="440"/>
    </row>
    <row r="297" spans="14:14" ht="15" customHeight="1" x14ac:dyDescent="0.25">
      <c r="N297" s="440"/>
    </row>
    <row r="298" spans="14:14" ht="15" customHeight="1" x14ac:dyDescent="0.25">
      <c r="N298" s="440"/>
    </row>
    <row r="299" spans="14:14" ht="15" customHeight="1" x14ac:dyDescent="0.25">
      <c r="N299" s="440"/>
    </row>
    <row r="300" spans="14:14" ht="15" customHeight="1" x14ac:dyDescent="0.25">
      <c r="N300" s="440"/>
    </row>
  </sheetData>
  <mergeCells count="546">
    <mergeCell ref="B1:N2"/>
    <mergeCell ref="C3:D3"/>
    <mergeCell ref="E3:F3"/>
    <mergeCell ref="G3:J3"/>
    <mergeCell ref="K3:L3"/>
    <mergeCell ref="B4:B28"/>
    <mergeCell ref="C4:D4"/>
    <mergeCell ref="E4:F4"/>
    <mergeCell ref="G4:J4"/>
    <mergeCell ref="K4:L28"/>
    <mergeCell ref="C5:D5"/>
    <mergeCell ref="E5:F5"/>
    <mergeCell ref="G5:J5"/>
    <mergeCell ref="C6:D6"/>
    <mergeCell ref="E6:F6"/>
    <mergeCell ref="G6:J6"/>
    <mergeCell ref="C7:D7"/>
    <mergeCell ref="E7:F7"/>
    <mergeCell ref="G7:J7"/>
    <mergeCell ref="C8:D8"/>
    <mergeCell ref="E8:F8"/>
    <mergeCell ref="G8:J8"/>
    <mergeCell ref="C9:D9"/>
    <mergeCell ref="E9:F9"/>
    <mergeCell ref="G9:J9"/>
    <mergeCell ref="C10:D10"/>
    <mergeCell ref="E10:F10"/>
    <mergeCell ref="G10:J10"/>
    <mergeCell ref="C11:D11"/>
    <mergeCell ref="E11:F11"/>
    <mergeCell ref="G11:J11"/>
    <mergeCell ref="C12:D12"/>
    <mergeCell ref="E12:F12"/>
    <mergeCell ref="G12:J12"/>
    <mergeCell ref="C13:D13"/>
    <mergeCell ref="E13:F13"/>
    <mergeCell ref="G13:J13"/>
    <mergeCell ref="C14:D14"/>
    <mergeCell ref="E14:F14"/>
    <mergeCell ref="G14:J14"/>
    <mergeCell ref="C15:D15"/>
    <mergeCell ref="E15:F15"/>
    <mergeCell ref="G15:J15"/>
    <mergeCell ref="C16:D16"/>
    <mergeCell ref="E16:F16"/>
    <mergeCell ref="G16:J16"/>
    <mergeCell ref="C17:D17"/>
    <mergeCell ref="E17:F17"/>
    <mergeCell ref="G17:J17"/>
    <mergeCell ref="C18:D18"/>
    <mergeCell ref="E18:F18"/>
    <mergeCell ref="G18:J18"/>
    <mergeCell ref="C19:D19"/>
    <mergeCell ref="E19:F19"/>
    <mergeCell ref="G19:J19"/>
    <mergeCell ref="C20:D20"/>
    <mergeCell ref="E20:F20"/>
    <mergeCell ref="G20:J20"/>
    <mergeCell ref="C21:D21"/>
    <mergeCell ref="E21:F21"/>
    <mergeCell ref="G21:J21"/>
    <mergeCell ref="C22:D22"/>
    <mergeCell ref="E22:F22"/>
    <mergeCell ref="G22:J22"/>
    <mergeCell ref="C23:D23"/>
    <mergeCell ref="E23:F23"/>
    <mergeCell ref="G23:J23"/>
    <mergeCell ref="C24:D24"/>
    <mergeCell ref="E24:F24"/>
    <mergeCell ref="G24:J24"/>
    <mergeCell ref="C25:D25"/>
    <mergeCell ref="E25:F25"/>
    <mergeCell ref="G25:J25"/>
    <mergeCell ref="C26:D26"/>
    <mergeCell ref="E26:F26"/>
    <mergeCell ref="G26:J26"/>
    <mergeCell ref="C27:D27"/>
    <mergeCell ref="E27:F27"/>
    <mergeCell ref="G27:J27"/>
    <mergeCell ref="C28:D28"/>
    <mergeCell ref="E28:F28"/>
    <mergeCell ref="G28:J28"/>
    <mergeCell ref="C29:D29"/>
    <mergeCell ref="E29:F29"/>
    <mergeCell ref="G29:J29"/>
    <mergeCell ref="K29:L29"/>
    <mergeCell ref="B30:B35"/>
    <mergeCell ref="C30:D30"/>
    <mergeCell ref="E30:F30"/>
    <mergeCell ref="G30:J30"/>
    <mergeCell ref="K30:L35"/>
    <mergeCell ref="C31:D31"/>
    <mergeCell ref="E31:F31"/>
    <mergeCell ref="G31:J31"/>
    <mergeCell ref="C32:D32"/>
    <mergeCell ref="E32:F32"/>
    <mergeCell ref="G32:J32"/>
    <mergeCell ref="C33:D33"/>
    <mergeCell ref="E33:F33"/>
    <mergeCell ref="G33:J33"/>
    <mergeCell ref="C34:D34"/>
    <mergeCell ref="E34:F34"/>
    <mergeCell ref="G34:J34"/>
    <mergeCell ref="C35:D35"/>
    <mergeCell ref="E35:F35"/>
    <mergeCell ref="G35:J35"/>
    <mergeCell ref="B36:B40"/>
    <mergeCell ref="C36:D36"/>
    <mergeCell ref="E36:F36"/>
    <mergeCell ref="G36:J36"/>
    <mergeCell ref="K36:L40"/>
    <mergeCell ref="C37:D37"/>
    <mergeCell ref="E37:F37"/>
    <mergeCell ref="G37:J37"/>
    <mergeCell ref="C38:D38"/>
    <mergeCell ref="E38:F38"/>
    <mergeCell ref="G38:J38"/>
    <mergeCell ref="C39:D39"/>
    <mergeCell ref="E39:F39"/>
    <mergeCell ref="G39:J39"/>
    <mergeCell ref="C40:D40"/>
    <mergeCell ref="E40:F40"/>
    <mergeCell ref="G40:J40"/>
    <mergeCell ref="C41:D41"/>
    <mergeCell ref="E41:F41"/>
    <mergeCell ref="G41:J41"/>
    <mergeCell ref="K41:L41"/>
    <mergeCell ref="C42:D42"/>
    <mergeCell ref="E42:F42"/>
    <mergeCell ref="G42:J42"/>
    <mergeCell ref="K42:L42"/>
    <mergeCell ref="C43:D43"/>
    <mergeCell ref="E43:F43"/>
    <mergeCell ref="G43:J43"/>
    <mergeCell ref="K43:L43"/>
    <mergeCell ref="B44:B48"/>
    <mergeCell ref="C44:D44"/>
    <mergeCell ref="E44:F44"/>
    <mergeCell ref="G44:J44"/>
    <mergeCell ref="K44:L48"/>
    <mergeCell ref="C45:D45"/>
    <mergeCell ref="E45:F45"/>
    <mergeCell ref="G45:J45"/>
    <mergeCell ref="C46:D46"/>
    <mergeCell ref="E46:F46"/>
    <mergeCell ref="G46:J46"/>
    <mergeCell ref="C47:D47"/>
    <mergeCell ref="E47:F47"/>
    <mergeCell ref="G47:J47"/>
    <mergeCell ref="C48:D48"/>
    <mergeCell ref="E48:F48"/>
    <mergeCell ref="G48:J48"/>
    <mergeCell ref="C49:D49"/>
    <mergeCell ref="E49:F49"/>
    <mergeCell ref="G49:J49"/>
    <mergeCell ref="K49:L49"/>
    <mergeCell ref="B50:B51"/>
    <mergeCell ref="C50:D50"/>
    <mergeCell ref="E50:F50"/>
    <mergeCell ref="G50:J50"/>
    <mergeCell ref="K50:L51"/>
    <mergeCell ref="C51:D51"/>
    <mergeCell ref="E51:F51"/>
    <mergeCell ref="G51:J51"/>
    <mergeCell ref="C52:D52"/>
    <mergeCell ref="E52:F52"/>
    <mergeCell ref="G52:J52"/>
    <mergeCell ref="K52:L52"/>
    <mergeCell ref="C53:D53"/>
    <mergeCell ref="E53:F53"/>
    <mergeCell ref="G53:J53"/>
    <mergeCell ref="K53:L53"/>
    <mergeCell ref="C54:D54"/>
    <mergeCell ref="E54:F54"/>
    <mergeCell ref="G54:J54"/>
    <mergeCell ref="K54:L54"/>
    <mergeCell ref="C55:D55"/>
    <mergeCell ref="E55:F55"/>
    <mergeCell ref="G55:J55"/>
    <mergeCell ref="K55:L55"/>
    <mergeCell ref="C56:D56"/>
    <mergeCell ref="E56:F56"/>
    <mergeCell ref="G56:J56"/>
    <mergeCell ref="K56:L56"/>
    <mergeCell ref="B57:B81"/>
    <mergeCell ref="C57:D57"/>
    <mergeCell ref="E57:F57"/>
    <mergeCell ref="G57:J57"/>
    <mergeCell ref="K57:L81"/>
    <mergeCell ref="C58:D58"/>
    <mergeCell ref="E58:F58"/>
    <mergeCell ref="G58:J58"/>
    <mergeCell ref="C59:D59"/>
    <mergeCell ref="E59:F59"/>
    <mergeCell ref="G59:J59"/>
    <mergeCell ref="C60:D60"/>
    <mergeCell ref="E60:F60"/>
    <mergeCell ref="G60:J60"/>
    <mergeCell ref="C61:D61"/>
    <mergeCell ref="E61:F61"/>
    <mergeCell ref="G61:J61"/>
    <mergeCell ref="C62:D62"/>
    <mergeCell ref="E62:F62"/>
    <mergeCell ref="G62:J62"/>
    <mergeCell ref="C63:D63"/>
    <mergeCell ref="E63:F63"/>
    <mergeCell ref="G63:J63"/>
    <mergeCell ref="C64:D64"/>
    <mergeCell ref="E64:F64"/>
    <mergeCell ref="G64:J64"/>
    <mergeCell ref="C65:D65"/>
    <mergeCell ref="E65:F65"/>
    <mergeCell ref="G65:J65"/>
    <mergeCell ref="C66:D66"/>
    <mergeCell ref="E66:F66"/>
    <mergeCell ref="G66:J66"/>
    <mergeCell ref="C67:D67"/>
    <mergeCell ref="E67:F67"/>
    <mergeCell ref="G67:J67"/>
    <mergeCell ref="C68:D68"/>
    <mergeCell ref="E68:F68"/>
    <mergeCell ref="G68:J68"/>
    <mergeCell ref="C69:D69"/>
    <mergeCell ref="E69:F69"/>
    <mergeCell ref="G69:J69"/>
    <mergeCell ref="C70:D70"/>
    <mergeCell ref="E70:F70"/>
    <mergeCell ref="G70:J70"/>
    <mergeCell ref="C71:D71"/>
    <mergeCell ref="E71:F71"/>
    <mergeCell ref="G71:J71"/>
    <mergeCell ref="C72:D72"/>
    <mergeCell ref="E72:F72"/>
    <mergeCell ref="G72:J72"/>
    <mergeCell ref="C73:D73"/>
    <mergeCell ref="E73:F73"/>
    <mergeCell ref="G73:J73"/>
    <mergeCell ref="C74:D74"/>
    <mergeCell ref="E74:F74"/>
    <mergeCell ref="G74:J74"/>
    <mergeCell ref="C75:D75"/>
    <mergeCell ref="E75:F75"/>
    <mergeCell ref="G75:J75"/>
    <mergeCell ref="C76:D76"/>
    <mergeCell ref="E76:F76"/>
    <mergeCell ref="G76:J76"/>
    <mergeCell ref="C77:D77"/>
    <mergeCell ref="E77:F77"/>
    <mergeCell ref="G77:J77"/>
    <mergeCell ref="C78:D78"/>
    <mergeCell ref="E78:F78"/>
    <mergeCell ref="G78:J78"/>
    <mergeCell ref="C79:D79"/>
    <mergeCell ref="E79:F79"/>
    <mergeCell ref="G79:J79"/>
    <mergeCell ref="C80:D80"/>
    <mergeCell ref="E80:F80"/>
    <mergeCell ref="G80:J80"/>
    <mergeCell ref="C81:D81"/>
    <mergeCell ref="E81:F81"/>
    <mergeCell ref="G81:J81"/>
    <mergeCell ref="C82:D82"/>
    <mergeCell ref="E82:F82"/>
    <mergeCell ref="G82:J82"/>
    <mergeCell ref="K82:L82"/>
    <mergeCell ref="C83:D83"/>
    <mergeCell ref="E83:F83"/>
    <mergeCell ref="G83:J83"/>
    <mergeCell ref="K83:L83"/>
    <mergeCell ref="B84:B108"/>
    <mergeCell ref="C84:D84"/>
    <mergeCell ref="E84:F84"/>
    <mergeCell ref="G84:J84"/>
    <mergeCell ref="K84:L108"/>
    <mergeCell ref="C85:D85"/>
    <mergeCell ref="E85:F85"/>
    <mergeCell ref="G85:J85"/>
    <mergeCell ref="C86:D86"/>
    <mergeCell ref="E86:F86"/>
    <mergeCell ref="G86:J86"/>
    <mergeCell ref="C87:D87"/>
    <mergeCell ref="E87:F87"/>
    <mergeCell ref="G87:J87"/>
    <mergeCell ref="C88:D88"/>
    <mergeCell ref="E88:F88"/>
    <mergeCell ref="G88:J88"/>
    <mergeCell ref="C89:D89"/>
    <mergeCell ref="E89:F89"/>
    <mergeCell ref="G89:J89"/>
    <mergeCell ref="C90:D90"/>
    <mergeCell ref="E90:F90"/>
    <mergeCell ref="G90:J90"/>
    <mergeCell ref="C91:D91"/>
    <mergeCell ref="E91:F91"/>
    <mergeCell ref="G91:J91"/>
    <mergeCell ref="C92:D92"/>
    <mergeCell ref="E92:F92"/>
    <mergeCell ref="G92:J92"/>
    <mergeCell ref="C93:D93"/>
    <mergeCell ref="E93:F93"/>
    <mergeCell ref="G93:J93"/>
    <mergeCell ref="C94:D94"/>
    <mergeCell ref="E94:F94"/>
    <mergeCell ref="G94:J94"/>
    <mergeCell ref="C95:D95"/>
    <mergeCell ref="E95:F95"/>
    <mergeCell ref="G95:J95"/>
    <mergeCell ref="C96:D96"/>
    <mergeCell ref="E96:F96"/>
    <mergeCell ref="G96:J96"/>
    <mergeCell ref="C97:D97"/>
    <mergeCell ref="E97:F97"/>
    <mergeCell ref="G97:J97"/>
    <mergeCell ref="C98:D98"/>
    <mergeCell ref="E98:F98"/>
    <mergeCell ref="G98:J98"/>
    <mergeCell ref="C99:D99"/>
    <mergeCell ref="E99:F99"/>
    <mergeCell ref="G99:J99"/>
    <mergeCell ref="C100:D100"/>
    <mergeCell ref="E100:F100"/>
    <mergeCell ref="G100:J100"/>
    <mergeCell ref="C101:D101"/>
    <mergeCell ref="E101:F101"/>
    <mergeCell ref="G101:J101"/>
    <mergeCell ref="C102:D102"/>
    <mergeCell ref="E102:F102"/>
    <mergeCell ref="G102:J102"/>
    <mergeCell ref="C103:D103"/>
    <mergeCell ref="E103:F103"/>
    <mergeCell ref="G103:J103"/>
    <mergeCell ref="C104:D104"/>
    <mergeCell ref="E104:F104"/>
    <mergeCell ref="G104:J104"/>
    <mergeCell ref="C105:D105"/>
    <mergeCell ref="E105:F105"/>
    <mergeCell ref="G105:J105"/>
    <mergeCell ref="C106:D106"/>
    <mergeCell ref="E106:F106"/>
    <mergeCell ref="G106:J106"/>
    <mergeCell ref="C107:D107"/>
    <mergeCell ref="E107:F107"/>
    <mergeCell ref="G107:J107"/>
    <mergeCell ref="C108:D108"/>
    <mergeCell ref="E108:F108"/>
    <mergeCell ref="G108:J108"/>
    <mergeCell ref="B109:B110"/>
    <mergeCell ref="C109:D109"/>
    <mergeCell ref="E109:F109"/>
    <mergeCell ref="G109:J109"/>
    <mergeCell ref="K109:L110"/>
    <mergeCell ref="C110:D110"/>
    <mergeCell ref="E110:F110"/>
    <mergeCell ref="G110:J110"/>
    <mergeCell ref="C111:D111"/>
    <mergeCell ref="E111:F111"/>
    <mergeCell ref="G111:J111"/>
    <mergeCell ref="K111:L111"/>
    <mergeCell ref="C112:D112"/>
    <mergeCell ref="E112:F112"/>
    <mergeCell ref="G112:J112"/>
    <mergeCell ref="K112:L112"/>
    <mergeCell ref="B113:B137"/>
    <mergeCell ref="C113:D113"/>
    <mergeCell ref="E113:F113"/>
    <mergeCell ref="G113:J113"/>
    <mergeCell ref="K113:L137"/>
    <mergeCell ref="C114:D114"/>
    <mergeCell ref="E114:F114"/>
    <mergeCell ref="G114:J114"/>
    <mergeCell ref="C115:D115"/>
    <mergeCell ref="E115:F115"/>
    <mergeCell ref="G115:J115"/>
    <mergeCell ref="C116:D116"/>
    <mergeCell ref="E116:F116"/>
    <mergeCell ref="G116:J116"/>
    <mergeCell ref="C117:D117"/>
    <mergeCell ref="E117:F117"/>
    <mergeCell ref="G117:J117"/>
    <mergeCell ref="C118:D118"/>
    <mergeCell ref="E118:F118"/>
    <mergeCell ref="G118:J118"/>
    <mergeCell ref="C119:D119"/>
    <mergeCell ref="E119:F119"/>
    <mergeCell ref="G119:J119"/>
    <mergeCell ref="C120:D120"/>
    <mergeCell ref="E120:F120"/>
    <mergeCell ref="G120:J120"/>
    <mergeCell ref="C121:D121"/>
    <mergeCell ref="E121:F121"/>
    <mergeCell ref="G121:J121"/>
    <mergeCell ref="C122:D122"/>
    <mergeCell ref="E122:F122"/>
    <mergeCell ref="G122:J122"/>
    <mergeCell ref="C123:D123"/>
    <mergeCell ref="E123:F123"/>
    <mergeCell ref="G123:J123"/>
    <mergeCell ref="C124:D124"/>
    <mergeCell ref="E124:F124"/>
    <mergeCell ref="G124:J124"/>
    <mergeCell ref="C125:D125"/>
    <mergeCell ref="E125:F125"/>
    <mergeCell ref="G125:J125"/>
    <mergeCell ref="C126:D126"/>
    <mergeCell ref="E126:F126"/>
    <mergeCell ref="G126:J126"/>
    <mergeCell ref="C127:D127"/>
    <mergeCell ref="E127:F127"/>
    <mergeCell ref="G127:J127"/>
    <mergeCell ref="C128:D128"/>
    <mergeCell ref="E128:F128"/>
    <mergeCell ref="G128:J128"/>
    <mergeCell ref="C129:D129"/>
    <mergeCell ref="E129:F129"/>
    <mergeCell ref="G129:J129"/>
    <mergeCell ref="C130:D130"/>
    <mergeCell ref="E130:F130"/>
    <mergeCell ref="G130:J130"/>
    <mergeCell ref="C131:D131"/>
    <mergeCell ref="E131:F131"/>
    <mergeCell ref="G131:J131"/>
    <mergeCell ref="C132:D132"/>
    <mergeCell ref="E132:F132"/>
    <mergeCell ref="G132:J132"/>
    <mergeCell ref="C133:D133"/>
    <mergeCell ref="E133:F133"/>
    <mergeCell ref="G133:J133"/>
    <mergeCell ref="C134:D134"/>
    <mergeCell ref="E134:F134"/>
    <mergeCell ref="G134:J134"/>
    <mergeCell ref="C135:D135"/>
    <mergeCell ref="E135:F135"/>
    <mergeCell ref="G135:J135"/>
    <mergeCell ref="C136:D136"/>
    <mergeCell ref="E136:F136"/>
    <mergeCell ref="G136:J136"/>
    <mergeCell ref="C137:D137"/>
    <mergeCell ref="E137:F137"/>
    <mergeCell ref="G137:J137"/>
    <mergeCell ref="B138:B140"/>
    <mergeCell ref="C138:D138"/>
    <mergeCell ref="E138:F138"/>
    <mergeCell ref="G138:J138"/>
    <mergeCell ref="K138:L140"/>
    <mergeCell ref="C139:D139"/>
    <mergeCell ref="E139:F139"/>
    <mergeCell ref="G139:J139"/>
    <mergeCell ref="C140:D140"/>
    <mergeCell ref="E140:F140"/>
    <mergeCell ref="G140:J140"/>
    <mergeCell ref="C141:D141"/>
    <mergeCell ref="E141:F141"/>
    <mergeCell ref="G141:J141"/>
    <mergeCell ref="K141:L141"/>
    <mergeCell ref="C142:D142"/>
    <mergeCell ref="E142:F142"/>
    <mergeCell ref="G142:J142"/>
    <mergeCell ref="K142:L142"/>
    <mergeCell ref="C143:D143"/>
    <mergeCell ref="E143:F143"/>
    <mergeCell ref="G143:J143"/>
    <mergeCell ref="K143:L143"/>
    <mergeCell ref="C144:D144"/>
    <mergeCell ref="E144:F144"/>
    <mergeCell ref="G144:J144"/>
    <mergeCell ref="K144:L144"/>
    <mergeCell ref="C145:D145"/>
    <mergeCell ref="E145:F145"/>
    <mergeCell ref="G145:J145"/>
    <mergeCell ref="K145:L145"/>
    <mergeCell ref="C146:D146"/>
    <mergeCell ref="E146:F146"/>
    <mergeCell ref="G146:J146"/>
    <mergeCell ref="K146:L146"/>
    <mergeCell ref="C147:D147"/>
    <mergeCell ref="E147:F147"/>
    <mergeCell ref="G147:J147"/>
    <mergeCell ref="K147:L147"/>
    <mergeCell ref="C148:D148"/>
    <mergeCell ref="E148:F148"/>
    <mergeCell ref="G148:J148"/>
    <mergeCell ref="K148:L148"/>
    <mergeCell ref="C149:D149"/>
    <mergeCell ref="E149:F149"/>
    <mergeCell ref="G149:J149"/>
    <mergeCell ref="K149:L149"/>
    <mergeCell ref="C150:D150"/>
    <mergeCell ref="E150:F150"/>
    <mergeCell ref="G150:J150"/>
    <mergeCell ref="K150:L150"/>
    <mergeCell ref="C151:D151"/>
    <mergeCell ref="E151:F151"/>
    <mergeCell ref="G151:J151"/>
    <mergeCell ref="K151:L151"/>
    <mergeCell ref="C152:D152"/>
    <mergeCell ref="E152:F152"/>
    <mergeCell ref="G152:J152"/>
    <mergeCell ref="K152:L152"/>
    <mergeCell ref="C153:D153"/>
    <mergeCell ref="E153:F153"/>
    <mergeCell ref="G153:J153"/>
    <mergeCell ref="K153:L153"/>
    <mergeCell ref="C154:D154"/>
    <mergeCell ref="E154:F154"/>
    <mergeCell ref="G154:J154"/>
    <mergeCell ref="K154:L154"/>
    <mergeCell ref="C155:D155"/>
    <mergeCell ref="E155:F155"/>
    <mergeCell ref="G155:J155"/>
    <mergeCell ref="K155:L155"/>
    <mergeCell ref="C156:D156"/>
    <mergeCell ref="E156:F156"/>
    <mergeCell ref="G156:J156"/>
    <mergeCell ref="K156:L156"/>
    <mergeCell ref="C157:D157"/>
    <mergeCell ref="E157:F157"/>
    <mergeCell ref="G157:J157"/>
    <mergeCell ref="K157:L157"/>
    <mergeCell ref="C158:D158"/>
    <mergeCell ref="E158:F158"/>
    <mergeCell ref="G158:J158"/>
    <mergeCell ref="K158:L158"/>
    <mergeCell ref="C159:D159"/>
    <mergeCell ref="E159:F159"/>
    <mergeCell ref="G159:J159"/>
    <mergeCell ref="K159:L159"/>
    <mergeCell ref="C163:D163"/>
    <mergeCell ref="E163:F163"/>
    <mergeCell ref="G163:J163"/>
    <mergeCell ref="K163:L163"/>
    <mergeCell ref="C164:D164"/>
    <mergeCell ref="E164:F164"/>
    <mergeCell ref="G164:J164"/>
    <mergeCell ref="K164:L164"/>
    <mergeCell ref="C160:D160"/>
    <mergeCell ref="E160:F160"/>
    <mergeCell ref="G160:J160"/>
    <mergeCell ref="K160:L160"/>
    <mergeCell ref="C161:D161"/>
    <mergeCell ref="E161:F161"/>
    <mergeCell ref="G161:J161"/>
    <mergeCell ref="K161:L161"/>
    <mergeCell ref="C162:D162"/>
    <mergeCell ref="E162:F162"/>
    <mergeCell ref="G162:J162"/>
    <mergeCell ref="K162:L16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F3A4A"/>
  </sheetPr>
  <dimension ref="A1:M206"/>
  <sheetViews>
    <sheetView showGridLines="0" topLeftCell="A192" zoomScale="90" zoomScaleNormal="90" workbookViewId="0">
      <selection activeCell="P184" sqref="P184"/>
    </sheetView>
  </sheetViews>
  <sheetFormatPr defaultColWidth="8.6640625" defaultRowHeight="14.4" x14ac:dyDescent="0.3"/>
  <cols>
    <col min="1" max="1" width="32.6640625" style="27" customWidth="1"/>
    <col min="2" max="2" width="39.6640625" customWidth="1"/>
    <col min="3" max="3" width="14" customWidth="1"/>
    <col min="4" max="4" width="13" customWidth="1"/>
    <col min="5" max="5" width="10" customWidth="1"/>
    <col min="6" max="6" width="13" customWidth="1"/>
    <col min="7" max="7" width="14.88671875" customWidth="1"/>
    <col min="8" max="8" width="13" style="28" customWidth="1"/>
    <col min="9" max="9" width="16.6640625" style="28" customWidth="1"/>
    <col min="10" max="13" width="12" hidden="1" customWidth="1"/>
  </cols>
  <sheetData>
    <row r="1" spans="1:13" ht="21.75" customHeight="1" x14ac:dyDescent="0.3">
      <c r="A1" s="609" t="s">
        <v>197</v>
      </c>
      <c r="B1" s="609"/>
      <c r="C1" s="609"/>
      <c r="D1" s="609"/>
      <c r="E1" s="609"/>
      <c r="F1" s="609"/>
      <c r="G1" s="609"/>
      <c r="H1" s="609"/>
      <c r="I1" s="609"/>
      <c r="J1" t="s">
        <v>198</v>
      </c>
      <c r="K1" t="s">
        <v>199</v>
      </c>
      <c r="L1" t="s">
        <v>200</v>
      </c>
      <c r="M1" t="s">
        <v>201</v>
      </c>
    </row>
    <row r="2" spans="1:13" ht="18" customHeight="1" x14ac:dyDescent="0.3">
      <c r="A2" s="610" t="s">
        <v>202</v>
      </c>
      <c r="B2" s="610"/>
      <c r="C2" s="610"/>
      <c r="D2" s="610"/>
      <c r="E2" s="610"/>
      <c r="F2" s="610"/>
      <c r="G2" s="610" t="s">
        <v>203</v>
      </c>
      <c r="H2" s="610"/>
      <c r="I2" s="610"/>
    </row>
    <row r="3" spans="1:13" ht="15" customHeight="1" x14ac:dyDescent="0.3">
      <c r="A3" s="30">
        <v>46113</v>
      </c>
      <c r="B3" s="186" t="s">
        <v>78</v>
      </c>
      <c r="C3" s="187" t="s">
        <v>205</v>
      </c>
      <c r="D3" s="188" t="s">
        <v>206</v>
      </c>
      <c r="E3" s="188" t="s">
        <v>207</v>
      </c>
      <c r="F3" s="189" t="s">
        <v>208</v>
      </c>
      <c r="G3" s="188" t="s">
        <v>209</v>
      </c>
      <c r="H3" s="214" t="s">
        <v>210</v>
      </c>
      <c r="I3" s="214" t="s">
        <v>211</v>
      </c>
    </row>
    <row r="4" spans="1:13" ht="21" customHeight="1" x14ac:dyDescent="0.3">
      <c r="A4" s="215"/>
      <c r="B4" s="191" t="s">
        <v>452</v>
      </c>
      <c r="C4" s="192">
        <v>70</v>
      </c>
      <c r="D4" s="193">
        <v>78</v>
      </c>
      <c r="E4" s="194" t="s">
        <v>214</v>
      </c>
      <c r="F4" s="195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>240</v>
      </c>
      <c r="G4" s="196">
        <f t="shared" ref="G4:G13" si="0">IFERROR(ROUNDUP(D4/F4,0),"")</f>
        <v>1</v>
      </c>
      <c r="H4" s="197">
        <v>71</v>
      </c>
      <c r="I4" s="193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>852</v>
      </c>
    </row>
    <row r="5" spans="1:13" ht="21" customHeight="1" x14ac:dyDescent="0.3">
      <c r="A5" s="215"/>
      <c r="B5" s="191" t="s">
        <v>516</v>
      </c>
      <c r="C5" s="192">
        <v>70</v>
      </c>
      <c r="D5" s="193">
        <v>120</v>
      </c>
      <c r="E5" s="194" t="s">
        <v>214</v>
      </c>
      <c r="F5" s="195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>240</v>
      </c>
      <c r="G5" s="196">
        <f t="shared" si="0"/>
        <v>1</v>
      </c>
      <c r="H5" s="197">
        <v>122</v>
      </c>
      <c r="I5" s="193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>1464</v>
      </c>
    </row>
    <row r="6" spans="1:13" ht="21" customHeight="1" x14ac:dyDescent="0.3">
      <c r="A6" s="215"/>
      <c r="B6" s="191" t="s">
        <v>517</v>
      </c>
      <c r="C6" s="192">
        <v>70</v>
      </c>
      <c r="D6" s="193">
        <v>240</v>
      </c>
      <c r="E6" s="194" t="s">
        <v>214</v>
      </c>
      <c r="F6" s="195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>240</v>
      </c>
      <c r="G6" s="196">
        <f t="shared" si="0"/>
        <v>1</v>
      </c>
      <c r="H6" s="197">
        <v>241</v>
      </c>
      <c r="I6" s="193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>2892</v>
      </c>
    </row>
    <row r="7" spans="1:13" ht="21" customHeight="1" x14ac:dyDescent="0.3">
      <c r="A7" s="215"/>
      <c r="B7" s="191" t="s">
        <v>518</v>
      </c>
      <c r="C7" s="192">
        <v>70</v>
      </c>
      <c r="D7" s="193">
        <v>240</v>
      </c>
      <c r="E7" s="194" t="s">
        <v>214</v>
      </c>
      <c r="F7" s="195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>240</v>
      </c>
      <c r="G7" s="196">
        <f t="shared" si="0"/>
        <v>1</v>
      </c>
      <c r="H7" s="197">
        <v>240</v>
      </c>
      <c r="I7" s="193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>2880</v>
      </c>
    </row>
    <row r="8" spans="1:13" ht="21" customHeight="1" x14ac:dyDescent="0.3">
      <c r="A8" s="215"/>
      <c r="B8" s="191" t="s">
        <v>338</v>
      </c>
      <c r="C8" s="192">
        <v>70</v>
      </c>
      <c r="D8" s="193">
        <v>240</v>
      </c>
      <c r="E8" s="194" t="s">
        <v>214</v>
      </c>
      <c r="F8" s="195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>240</v>
      </c>
      <c r="G8" s="196">
        <f t="shared" si="0"/>
        <v>1</v>
      </c>
      <c r="H8" s="197">
        <v>227</v>
      </c>
      <c r="I8" s="193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>2724</v>
      </c>
    </row>
    <row r="9" spans="1:13" ht="21" customHeight="1" x14ac:dyDescent="0.3">
      <c r="A9" s="215"/>
      <c r="B9" s="191" t="s">
        <v>519</v>
      </c>
      <c r="C9" s="192">
        <v>70</v>
      </c>
      <c r="D9" s="193">
        <v>240</v>
      </c>
      <c r="E9" s="194" t="s">
        <v>214</v>
      </c>
      <c r="F9" s="195">
        <f>IF($B9="","",IF(SUMIFS(CONFIG_PALLETS!$C:$C,CONFIG_PALLETS!$A:$A,TRIM($B9),CONFIG_PALLETS!$B:$B,$C9&amp;" ml")&gt;0,SUMIFS(CONFIG_PALLETS!$C:$C,CONFIG_PALLETS!$A:$A,TRIM($B9),CONFIG_PALLETS!$B:$B,$C9&amp;" ml"),IF(SUMIFS(CONFIG_PALLETS!$C:$C,CONFIG_PALLETS!$A:$A,"GERAL",CONFIG_PALLETS!$B:$B,$C9&amp;" ml")&gt;0,SUMIFS(CONFIG_PALLETS!$C:$C,CONFIG_PALLETS!$A:$A,"GERAL",CONFIG_PALLETS!$B:$B,$C9&amp;" ml"),"")))</f>
        <v>240</v>
      </c>
      <c r="G9" s="196">
        <f t="shared" si="0"/>
        <v>1</v>
      </c>
      <c r="H9" s="197">
        <v>219</v>
      </c>
      <c r="I9" s="193">
        <f>IF(H9="","",H9*IF(SUMIFS(CONFIG_PALLETS!$D:$D,CONFIG_PALLETS!$A:$A,IF(ISNUMBER(SEARCH("ESPUMA",$B9)),"ESPUMA",IF(OR(ISNUMBER(SEARCH("OLEO DE COCO",$B9)),ISNUMBER(SEARCH("ÓLEO DE COCO",$B9)),ISNUMBER(SEARCH("COPRA",$B9))),"ÓLEO DE COCO",IF(ISNUMBER(SEARCH("CORANTE",$B9)),"CORANTE",TRIM($B9)))),CONFIG_PALLETS!$B:$B,$C9&amp;" ml")&gt;0,SUMIFS(CONFIG_PALLETS!$D:$D,CONFIG_PALLETS!$A:$A,IF(ISNUMBER(SEARCH("ESPUMA",$B9)),"ESPUMA",IF(OR(ISNUMBER(SEARCH("OLEO DE COCO",$B9)),ISNUMBER(SEARCH("ÓLEO DE COCO",$B9)),ISNUMBER(SEARCH("COPRA",$B9))),"ÓLEO DE COCO",IF(ISNUMBER(SEARCH("CORANTE",$B9)),"CORANTE",TRIM($B9)))),CONFIG_PALLETS!$B:$B,$C9&amp;" ml"),IF(SUMIFS(CONFIG_PALLETS!$D:$D,CONFIG_PALLETS!$A:$A,"GERAL",CONFIG_PALLETS!$B:$B,$C9&amp;" ml")&gt;0,SUMIFS(CONFIG_PALLETS!$D:$D,CONFIG_PALLETS!$A:$A,"GERAL",CONFIG_PALLETS!$B:$B,$C9&amp;" ml"),12)))</f>
        <v>2628</v>
      </c>
    </row>
    <row r="10" spans="1:13" ht="21" customHeight="1" x14ac:dyDescent="0.3">
      <c r="A10" s="215"/>
      <c r="B10" s="191" t="s">
        <v>520</v>
      </c>
      <c r="C10" s="192">
        <v>70</v>
      </c>
      <c r="D10" s="193">
        <v>80</v>
      </c>
      <c r="E10" s="194" t="s">
        <v>214</v>
      </c>
      <c r="F10" s="195">
        <f>IF($B10="","",IF(SUMIFS(CONFIG_PALLETS!$C:$C,CONFIG_PALLETS!$A:$A,TRIM($B10),CONFIG_PALLETS!$B:$B,$C10&amp;" ml")&gt;0,SUMIFS(CONFIG_PALLETS!$C:$C,CONFIG_PALLETS!$A:$A,TRIM($B10),CONFIG_PALLETS!$B:$B,$C10&amp;" ml"),IF(SUMIFS(CONFIG_PALLETS!$C:$C,CONFIG_PALLETS!$A:$A,"GERAL",CONFIG_PALLETS!$B:$B,$C10&amp;" ml")&gt;0,SUMIFS(CONFIG_PALLETS!$C:$C,CONFIG_PALLETS!$A:$A,"GERAL",CONFIG_PALLETS!$B:$B,$C10&amp;" ml"),"")))</f>
        <v>240</v>
      </c>
      <c r="G10" s="196">
        <f t="shared" si="0"/>
        <v>1</v>
      </c>
      <c r="H10" s="197">
        <v>36</v>
      </c>
      <c r="I10" s="193">
        <f>IF(H10="","",H10*IF(SUMIFS(CONFIG_PALLETS!$D:$D,CONFIG_PALLETS!$A:$A,IF(ISNUMBER(SEARCH("ESPUMA",$B10)),"ESPUMA",IF(OR(ISNUMBER(SEARCH("OLEO DE COCO",$B10)),ISNUMBER(SEARCH("ÓLEO DE COCO",$B10)),ISNUMBER(SEARCH("COPRA",$B10))),"ÓLEO DE COCO",IF(ISNUMBER(SEARCH("CORANTE",$B10)),"CORANTE",TRIM($B10)))),CONFIG_PALLETS!$B:$B,$C10&amp;" ml")&gt;0,SUMIFS(CONFIG_PALLETS!$D:$D,CONFIG_PALLETS!$A:$A,IF(ISNUMBER(SEARCH("ESPUMA",$B10)),"ESPUMA",IF(OR(ISNUMBER(SEARCH("OLEO DE COCO",$B10)),ISNUMBER(SEARCH("ÓLEO DE COCO",$B10)),ISNUMBER(SEARCH("COPRA",$B10))),"ÓLEO DE COCO",IF(ISNUMBER(SEARCH("CORANTE",$B10)),"CORANTE",TRIM($B10)))),CONFIG_PALLETS!$B:$B,$C10&amp;" ml"),IF(SUMIFS(CONFIG_PALLETS!$D:$D,CONFIG_PALLETS!$A:$A,"GERAL",CONFIG_PALLETS!$B:$B,$C10&amp;" ml")&gt;0,SUMIFS(CONFIG_PALLETS!$D:$D,CONFIG_PALLETS!$A:$A,"GERAL",CONFIG_PALLETS!$B:$B,$C10&amp;" ml"),12)))</f>
        <v>432</v>
      </c>
    </row>
    <row r="11" spans="1:13" ht="21" customHeight="1" x14ac:dyDescent="0.3">
      <c r="A11" s="215"/>
      <c r="B11" s="191"/>
      <c r="C11" s="192"/>
      <c r="D11" s="193"/>
      <c r="E11" s="194" t="s">
        <v>214</v>
      </c>
      <c r="F11" s="195" t="str">
        <f>IF($B11="","",IF(SUMIFS(CONFIG_PALLETS!$C:$C,CONFIG_PALLETS!$A:$A,TRIM($B11),CONFIG_PALLETS!$B:$B,$C11&amp;" ml")&gt;0,SUMIFS(CONFIG_PALLETS!$C:$C,CONFIG_PALLETS!$A:$A,TRIM($B11),CONFIG_PALLETS!$B:$B,$C11&amp;" ml"),IF(SUMIFS(CONFIG_PALLETS!$C:$C,CONFIG_PALLETS!$A:$A,"GERAL",CONFIG_PALLETS!$B:$B,$C11&amp;" ml")&gt;0,SUMIFS(CONFIG_PALLETS!$C:$C,CONFIG_PALLETS!$A:$A,"GERAL",CONFIG_PALLETS!$B:$B,$C11&amp;" ml"),"")))</f>
        <v/>
      </c>
      <c r="G11" s="196" t="str">
        <f t="shared" si="0"/>
        <v/>
      </c>
      <c r="H11" s="197"/>
      <c r="I11" s="193" t="str">
        <f>IF(H11="","",H11*IF(SUMIFS(CONFIG_PALLETS!$D:$D,CONFIG_PALLETS!$A:$A,IF(ISNUMBER(SEARCH("ESPUMA",$B11)),"ESPUMA",IF(OR(ISNUMBER(SEARCH("OLEO DE COCO",$B11)),ISNUMBER(SEARCH("ÓLEO DE COCO",$B11)),ISNUMBER(SEARCH("COPRA",$B11))),"ÓLEO DE COCO",IF(ISNUMBER(SEARCH("CORANTE",$B11)),"CORANTE",TRIM($B11)))),CONFIG_PALLETS!$B:$B,$C11&amp;" ml")&gt;0,SUMIFS(CONFIG_PALLETS!$D:$D,CONFIG_PALLETS!$A:$A,IF(ISNUMBER(SEARCH("ESPUMA",$B11)),"ESPUMA",IF(OR(ISNUMBER(SEARCH("OLEO DE COCO",$B11)),ISNUMBER(SEARCH("ÓLEO DE COCO",$B11)),ISNUMBER(SEARCH("COPRA",$B11))),"ÓLEO DE COCO",IF(ISNUMBER(SEARCH("CORANTE",$B11)),"CORANTE",TRIM($B11)))),CONFIG_PALLETS!$B:$B,$C11&amp;" ml"),IF(SUMIFS(CONFIG_PALLETS!$D:$D,CONFIG_PALLETS!$A:$A,"GERAL",CONFIG_PALLETS!$B:$B,$C11&amp;" ml")&gt;0,SUMIFS(CONFIG_PALLETS!$D:$D,CONFIG_PALLETS!$A:$A,"GERAL",CONFIG_PALLETS!$B:$B,$C11&amp;" ml"),12)))</f>
        <v/>
      </c>
    </row>
    <row r="12" spans="1:13" ht="21" customHeight="1" x14ac:dyDescent="0.3">
      <c r="A12" s="216"/>
      <c r="B12" s="191"/>
      <c r="C12" s="192"/>
      <c r="D12" s="193"/>
      <c r="E12" s="194" t="s">
        <v>214</v>
      </c>
      <c r="G12" s="196" t="str">
        <f t="shared" si="0"/>
        <v/>
      </c>
      <c r="H12" s="197"/>
      <c r="I12" s="193" t="str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</row>
    <row r="13" spans="1:13" ht="21" customHeight="1" x14ac:dyDescent="0.3">
      <c r="A13" s="216"/>
      <c r="B13" s="191"/>
      <c r="C13" s="192"/>
      <c r="D13" s="193"/>
      <c r="E13" s="194" t="s">
        <v>214</v>
      </c>
      <c r="G13" s="196" t="str">
        <f t="shared" si="0"/>
        <v/>
      </c>
      <c r="H13" s="197"/>
      <c r="I13" s="193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15" customHeight="1" x14ac:dyDescent="0.3">
      <c r="A14" s="217"/>
      <c r="B14" s="199" t="s">
        <v>216</v>
      </c>
      <c r="C14" s="200"/>
      <c r="D14" s="201">
        <f>SUM(D7:D13)</f>
        <v>800</v>
      </c>
      <c r="E14" s="202"/>
      <c r="F14" s="202"/>
      <c r="G14" s="203">
        <f>SUM(G7:G13)</f>
        <v>4</v>
      </c>
      <c r="H14" s="201">
        <f>SUM(H7:H13)</f>
        <v>722</v>
      </c>
      <c r="I14" s="201">
        <f>SUM(I7:I13)</f>
        <v>8664</v>
      </c>
      <c r="J14" s="28">
        <f>D14</f>
        <v>800</v>
      </c>
      <c r="K14" s="106">
        <f>G14</f>
        <v>4</v>
      </c>
      <c r="L14" s="28">
        <f>H14</f>
        <v>722</v>
      </c>
      <c r="M14" s="28">
        <f>I14</f>
        <v>8664</v>
      </c>
    </row>
    <row r="15" spans="1:13" ht="6" customHeight="1" x14ac:dyDescent="0.3">
      <c r="C15" s="72"/>
    </row>
    <row r="16" spans="1:13" ht="15" customHeight="1" x14ac:dyDescent="0.3">
      <c r="A16" s="30">
        <v>46114</v>
      </c>
      <c r="B16" s="186" t="s">
        <v>78</v>
      </c>
      <c r="C16" s="187" t="s">
        <v>205</v>
      </c>
      <c r="D16" s="188" t="s">
        <v>206</v>
      </c>
      <c r="E16" s="188" t="s">
        <v>207</v>
      </c>
      <c r="F16" s="189" t="s">
        <v>208</v>
      </c>
      <c r="G16" s="188" t="s">
        <v>209</v>
      </c>
      <c r="H16" s="214" t="s">
        <v>210</v>
      </c>
      <c r="I16" s="214" t="s">
        <v>211</v>
      </c>
    </row>
    <row r="17" spans="1:13" ht="21" customHeight="1" x14ac:dyDescent="0.3">
      <c r="A17" s="215"/>
      <c r="B17" s="191" t="s">
        <v>521</v>
      </c>
      <c r="C17" s="192">
        <v>200</v>
      </c>
      <c r="D17" s="193">
        <v>1650</v>
      </c>
      <c r="E17" s="194" t="s">
        <v>214</v>
      </c>
      <c r="F17" s="195">
        <f>IF($B17="","",IF(SUMIFS(CONFIG_PALLETS!$C:$C,CONFIG_PALLETS!$A:$A,TRIM($B17),CONFIG_PALLETS!$B:$B,$C17&amp;" ml")&gt;0,SUMIFS(CONFIG_PALLETS!$C:$C,CONFIG_PALLETS!$A:$A,TRIM($B17),CONFIG_PALLETS!$B:$B,$C17&amp;" ml"),IF(SUMIFS(CONFIG_PALLETS!$C:$C,CONFIG_PALLETS!$A:$A,"GERAL",CONFIG_PALLETS!$B:$B,$C17&amp;" ml")&gt;0,SUMIFS(CONFIG_PALLETS!$C:$C,CONFIG_PALLETS!$A:$A,"GERAL",CONFIG_PALLETS!$B:$B,$C17&amp;" ml"),"")))</f>
        <v>330</v>
      </c>
      <c r="G17" s="196">
        <f>IFERROR(ROUNDUP(D17/F17,0),"")</f>
        <v>5</v>
      </c>
      <c r="H17" s="197">
        <v>1650</v>
      </c>
      <c r="I17" s="193">
        <f>IF(H17="","",H17*IF(SUMIFS(CONFIG_PALLETS!$D:$D,CONFIG_PALLETS!$A:$A,IF(ISNUMBER(SEARCH("ESPUMA",$B17)),"ESPUMA",IF(OR(ISNUMBER(SEARCH("OLEO DE COCO",$B17)),ISNUMBER(SEARCH("ÓLEO DE COCO",$B17)),ISNUMBER(SEARCH("COPRA",$B17))),"ÓLEO DE COCO",IF(ISNUMBER(SEARCH("CORANTE",$B17)),"CORANTE",TRIM($B17)))),CONFIG_PALLETS!$B:$B,$C17&amp;" ml")&gt;0,SUMIFS(CONFIG_PALLETS!$D:$D,CONFIG_PALLETS!$A:$A,IF(ISNUMBER(SEARCH("ESPUMA",$B17)),"ESPUMA",IF(OR(ISNUMBER(SEARCH("OLEO DE COCO",$B17)),ISNUMBER(SEARCH("ÓLEO DE COCO",$B17)),ISNUMBER(SEARCH("COPRA",$B17))),"ÓLEO DE COCO",IF(ISNUMBER(SEARCH("CORANTE",$B17)),"CORANTE",TRIM($B17)))),CONFIG_PALLETS!$B:$B,$C17&amp;" ml"),IF(SUMIFS(CONFIG_PALLETS!$D:$D,CONFIG_PALLETS!$A:$A,"GERAL",CONFIG_PALLETS!$B:$B,$C17&amp;" ml")&gt;0,SUMIFS(CONFIG_PALLETS!$D:$D,CONFIG_PALLETS!$A:$A,"GERAL",CONFIG_PALLETS!$B:$B,$C17&amp;" ml"),12)))</f>
        <v>9900</v>
      </c>
    </row>
    <row r="18" spans="1:13" ht="21" customHeight="1" x14ac:dyDescent="0.3">
      <c r="A18" s="215"/>
      <c r="B18" s="191" t="s">
        <v>522</v>
      </c>
      <c r="C18" s="192">
        <v>200</v>
      </c>
      <c r="D18" s="193">
        <v>660</v>
      </c>
      <c r="E18" s="194" t="s">
        <v>214</v>
      </c>
      <c r="F18" s="195">
        <f>IF($B18="","",IF(SUMIFS(CONFIG_PALLETS!$C:$C,CONFIG_PALLETS!$A:$A,TRIM($B18),CONFIG_PALLETS!$B:$B,$C18&amp;" ml")&gt;0,SUMIFS(CONFIG_PALLETS!$C:$C,CONFIG_PALLETS!$A:$A,TRIM($B18),CONFIG_PALLETS!$B:$B,$C18&amp;" ml"),IF(SUMIFS(CONFIG_PALLETS!$C:$C,CONFIG_PALLETS!$A:$A,"GERAL",CONFIG_PALLETS!$B:$B,$C18&amp;" ml")&gt;0,SUMIFS(CONFIG_PALLETS!$C:$C,CONFIG_PALLETS!$A:$A,"GERAL",CONFIG_PALLETS!$B:$B,$C18&amp;" ml"),"")))</f>
        <v>330</v>
      </c>
      <c r="G18" s="196">
        <f>IFERROR(ROUNDUP(D18/F18,0),"")</f>
        <v>2</v>
      </c>
      <c r="H18" s="197">
        <v>450</v>
      </c>
      <c r="I18" s="193">
        <f>IF(H18="","",H18*IF(SUMIFS(CONFIG_PALLETS!$D:$D,CONFIG_PALLETS!$A:$A,IF(ISNUMBER(SEARCH("ESPUMA",$B18)),"ESPUMA",IF(OR(ISNUMBER(SEARCH("OLEO DE COCO",$B18)),ISNUMBER(SEARCH("ÓLEO DE COCO",$B18)),ISNUMBER(SEARCH("COPRA",$B18))),"ÓLEO DE COCO",IF(ISNUMBER(SEARCH("CORANTE",$B18)),"CORANTE",TRIM($B18)))),CONFIG_PALLETS!$B:$B,$C18&amp;" ml")&gt;0,SUMIFS(CONFIG_PALLETS!$D:$D,CONFIG_PALLETS!$A:$A,IF(ISNUMBER(SEARCH("ESPUMA",$B18)),"ESPUMA",IF(OR(ISNUMBER(SEARCH("OLEO DE COCO",$B18)),ISNUMBER(SEARCH("ÓLEO DE COCO",$B18)),ISNUMBER(SEARCH("COPRA",$B18))),"ÓLEO DE COCO",IF(ISNUMBER(SEARCH("CORANTE",$B18)),"CORANTE",TRIM($B18)))),CONFIG_PALLETS!$B:$B,$C18&amp;" ml"),IF(SUMIFS(CONFIG_PALLETS!$D:$D,CONFIG_PALLETS!$A:$A,"GERAL",CONFIG_PALLETS!$B:$B,$C18&amp;" ml")&gt;0,SUMIFS(CONFIG_PALLETS!$D:$D,CONFIG_PALLETS!$A:$A,"GERAL",CONFIG_PALLETS!$B:$B,$C18&amp;" ml"),12)))</f>
        <v>2700</v>
      </c>
    </row>
    <row r="19" spans="1:13" ht="21" customHeight="1" x14ac:dyDescent="0.3">
      <c r="A19" s="215"/>
      <c r="B19" s="191"/>
      <c r="C19" s="192"/>
      <c r="D19" s="193"/>
      <c r="E19" s="194" t="s">
        <v>214</v>
      </c>
      <c r="F19" s="195" t="str">
        <f>IF($B19="","",IF(SUMIFS(CONFIG_PALLETS!$C:$C,CONFIG_PALLETS!$A:$A,TRIM($B19),CONFIG_PALLETS!$B:$B,$C19&amp;" ml")&gt;0,SUMIFS(CONFIG_PALLETS!$C:$C,CONFIG_PALLETS!$A:$A,TRIM($B19),CONFIG_PALLETS!$B:$B,$C19&amp;" ml"),IF(SUMIFS(CONFIG_PALLETS!$C:$C,CONFIG_PALLETS!$A:$A,"GERAL",CONFIG_PALLETS!$B:$B,$C19&amp;" ml")&gt;0,SUMIFS(CONFIG_PALLETS!$C:$C,CONFIG_PALLETS!$A:$A,"GERAL",CONFIG_PALLETS!$B:$B,$C19&amp;" ml"),"")))</f>
        <v/>
      </c>
      <c r="G19" s="196" t="str">
        <f>IFERROR(ROUNDUP(D19/F19,0),"")</f>
        <v/>
      </c>
      <c r="H19" s="197"/>
      <c r="I19" s="193" t="str">
        <f>IF(H19="","",H19*IF(SUMIFS(CONFIG_PALLETS!$D:$D,CONFIG_PALLETS!$A:$A,IF(ISNUMBER(SEARCH("ESPUMA",$B19)),"ESPUMA",IF(OR(ISNUMBER(SEARCH("OLEO DE COCO",$B19)),ISNUMBER(SEARCH("ÓLEO DE COCO",$B19)),ISNUMBER(SEARCH("COPRA",$B19))),"ÓLEO DE COCO",IF(ISNUMBER(SEARCH("CORANTE",$B19)),"CORANTE",TRIM($B19)))),CONFIG_PALLETS!$B:$B,$C19&amp;" ml")&gt;0,SUMIFS(CONFIG_PALLETS!$D:$D,CONFIG_PALLETS!$A:$A,IF(ISNUMBER(SEARCH("ESPUMA",$B19)),"ESPUMA",IF(OR(ISNUMBER(SEARCH("OLEO DE COCO",$B19)),ISNUMBER(SEARCH("ÓLEO DE COCO",$B19)),ISNUMBER(SEARCH("COPRA",$B19))),"ÓLEO DE COCO",IF(ISNUMBER(SEARCH("CORANTE",$B19)),"CORANTE",TRIM($B19)))),CONFIG_PALLETS!$B:$B,$C19&amp;" ml"),IF(SUMIFS(CONFIG_PALLETS!$D:$D,CONFIG_PALLETS!$A:$A,"GERAL",CONFIG_PALLETS!$B:$B,$C19&amp;" ml")&gt;0,SUMIFS(CONFIG_PALLETS!$D:$D,CONFIG_PALLETS!$A:$A,"GERAL",CONFIG_PALLETS!$B:$B,$C19&amp;" ml"),12)))</f>
        <v/>
      </c>
    </row>
    <row r="20" spans="1:13" ht="21" customHeight="1" x14ac:dyDescent="0.3">
      <c r="A20" s="215"/>
      <c r="B20" s="191"/>
      <c r="C20" s="192"/>
      <c r="D20" s="193"/>
      <c r="E20" s="194" t="s">
        <v>214</v>
      </c>
      <c r="F20" s="195" t="str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196" t="str">
        <f>IFERROR(ROUNDUP(D20/F20,0),"")</f>
        <v/>
      </c>
      <c r="H20" s="197"/>
      <c r="I20" s="193" t="str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</row>
    <row r="21" spans="1:13" ht="21" customHeight="1" x14ac:dyDescent="0.3">
      <c r="A21" s="215"/>
      <c r="B21" s="191"/>
      <c r="C21" s="192"/>
      <c r="D21" s="193"/>
      <c r="E21" s="194" t="s">
        <v>214</v>
      </c>
      <c r="F21" s="195" t="str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196" t="str">
        <f>IFERROR(ROUNDUP(D21/F21,0),"")</f>
        <v/>
      </c>
      <c r="H21" s="197"/>
      <c r="I21" s="193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</row>
    <row r="22" spans="1:13" ht="15" customHeight="1" x14ac:dyDescent="0.3">
      <c r="A22" s="217"/>
      <c r="B22" s="199" t="s">
        <v>216</v>
      </c>
      <c r="C22" s="200"/>
      <c r="D22" s="201">
        <f>SUM(D15:D21)</f>
        <v>2310</v>
      </c>
      <c r="E22" s="202"/>
      <c r="F22" s="202"/>
      <c r="G22" s="203">
        <f>SUM(G15:G21)</f>
        <v>7</v>
      </c>
      <c r="H22" s="201">
        <f>SUM(H15:H21)</f>
        <v>2100</v>
      </c>
      <c r="I22" s="201">
        <f>SUM(I15:I21)</f>
        <v>12600</v>
      </c>
      <c r="J22" s="28">
        <f>D22</f>
        <v>2310</v>
      </c>
      <c r="K22" s="106">
        <f>G22</f>
        <v>7</v>
      </c>
      <c r="L22" s="28">
        <f>H22</f>
        <v>2100</v>
      </c>
      <c r="M22" s="28">
        <f>I22</f>
        <v>12600</v>
      </c>
    </row>
    <row r="23" spans="1:13" ht="6" customHeight="1" x14ac:dyDescent="0.3">
      <c r="C23" s="72"/>
    </row>
    <row r="24" spans="1:13" ht="15" customHeight="1" x14ac:dyDescent="0.3">
      <c r="A24" s="30">
        <v>46115</v>
      </c>
      <c r="B24" s="186" t="s">
        <v>78</v>
      </c>
      <c r="C24" s="187" t="s">
        <v>205</v>
      </c>
      <c r="D24" s="188" t="s">
        <v>206</v>
      </c>
      <c r="E24" s="188" t="s">
        <v>207</v>
      </c>
      <c r="F24" s="189" t="s">
        <v>208</v>
      </c>
      <c r="G24" s="188" t="s">
        <v>209</v>
      </c>
      <c r="H24" s="214" t="s">
        <v>210</v>
      </c>
      <c r="I24" s="214" t="s">
        <v>211</v>
      </c>
    </row>
    <row r="25" spans="1:13" ht="21" customHeight="1" x14ac:dyDescent="0.3">
      <c r="A25" s="215"/>
      <c r="B25" s="191"/>
      <c r="C25" s="192"/>
      <c r="D25" s="193"/>
      <c r="E25" s="194" t="s">
        <v>214</v>
      </c>
      <c r="F25" s="195" t="str">
        <f>IF($B25="","",IF(SUMIFS(CONFIG_PALLETS!$C:$C,CONFIG_PALLETS!$A:$A,TRIM($B25),CONFIG_PALLETS!$B:$B,$C25&amp;" ml")&gt;0,SUMIFS(CONFIG_PALLETS!$C:$C,CONFIG_PALLETS!$A:$A,TRIM($B25),CONFIG_PALLETS!$B:$B,$C25&amp;" ml"),IF(SUMIFS(CONFIG_PALLETS!$C:$C,CONFIG_PALLETS!$A:$A,"GERAL",CONFIG_PALLETS!$B:$B,$C25&amp;" ml")&gt;0,SUMIFS(CONFIG_PALLETS!$C:$C,CONFIG_PALLETS!$A:$A,"GERAL",CONFIG_PALLETS!$B:$B,$C25&amp;" ml"),"")))</f>
        <v/>
      </c>
      <c r="G25" s="196" t="str">
        <f>IFERROR(ROUNDUP(D25/F25,0),"")</f>
        <v/>
      </c>
      <c r="H25" s="197"/>
      <c r="I25" s="193" t="str">
        <f>IF(H25="","",H25*IF(SUMIFS(CONFIG_PALLETS!$D:$D,CONFIG_PALLETS!$A:$A,IF(ISNUMBER(SEARCH("ESPUMA",$B25)),"ESPUMA",IF(OR(ISNUMBER(SEARCH("OLEO DE COCO",$B25)),ISNUMBER(SEARCH("ÓLEO DE COCO",$B25)),ISNUMBER(SEARCH("COPRA",$B25))),"ÓLEO DE COCO",IF(ISNUMBER(SEARCH("CORANTE",$B25)),"CORANTE",TRIM($B25)))),CONFIG_PALLETS!$B:$B,$C25&amp;" ml")&gt;0,SUMIFS(CONFIG_PALLETS!$D:$D,CONFIG_PALLETS!$A:$A,IF(ISNUMBER(SEARCH("ESPUMA",$B25)),"ESPUMA",IF(OR(ISNUMBER(SEARCH("OLEO DE COCO",$B25)),ISNUMBER(SEARCH("ÓLEO DE COCO",$B25)),ISNUMBER(SEARCH("COPRA",$B25))),"ÓLEO DE COCO",IF(ISNUMBER(SEARCH("CORANTE",$B25)),"CORANTE",TRIM($B25)))),CONFIG_PALLETS!$B:$B,$C25&amp;" ml"),IF(SUMIFS(CONFIG_PALLETS!$D:$D,CONFIG_PALLETS!$A:$A,"GERAL",CONFIG_PALLETS!$B:$B,$C25&amp;" ml")&gt;0,SUMIFS(CONFIG_PALLETS!$D:$D,CONFIG_PALLETS!$A:$A,"GERAL",CONFIG_PALLETS!$B:$B,$C25&amp;" ml"),12)))</f>
        <v/>
      </c>
    </row>
    <row r="26" spans="1:13" ht="21" customHeight="1" x14ac:dyDescent="0.3">
      <c r="A26" s="215"/>
      <c r="B26" s="633" t="s">
        <v>523</v>
      </c>
      <c r="C26" s="192"/>
      <c r="D26" s="193"/>
      <c r="E26" s="194" t="s">
        <v>214</v>
      </c>
      <c r="F26" s="195" t="str">
        <f>IF($B26="","",IF(SUMIFS(CONFIG_PALLETS!$C:$C,CONFIG_PALLETS!$A:$A,TRIM($B26),CONFIG_PALLETS!$B:$B,$C26&amp;" ml")&gt;0,SUMIFS(CONFIG_PALLETS!$C:$C,CONFIG_PALLETS!$A:$A,TRIM($B26),CONFIG_PALLETS!$B:$B,$C26&amp;" ml"),IF(SUMIFS(CONFIG_PALLETS!$C:$C,CONFIG_PALLETS!$A:$A,"GERAL",CONFIG_PALLETS!$B:$B,$C26&amp;" ml")&gt;0,SUMIFS(CONFIG_PALLETS!$C:$C,CONFIG_PALLETS!$A:$A,"GERAL",CONFIG_PALLETS!$B:$B,$C26&amp;" ml"),"")))</f>
        <v/>
      </c>
      <c r="G26" s="196" t="str">
        <f>IFERROR(ROUNDUP(D26/F26,0),"")</f>
        <v/>
      </c>
      <c r="H26" s="197"/>
      <c r="I26" s="193" t="str">
        <f>IF(H26="","",H26*IF(SUMIFS(CONFIG_PALLETS!$D:$D,CONFIG_PALLETS!$A:$A,IF(ISNUMBER(SEARCH("ESPUMA",$B26)),"ESPUMA",IF(OR(ISNUMBER(SEARCH("OLEO DE COCO",$B26)),ISNUMBER(SEARCH("ÓLEO DE COCO",$B26)),ISNUMBER(SEARCH("COPRA",$B26))),"ÓLEO DE COCO",IF(ISNUMBER(SEARCH("CORANTE",$B26)),"CORANTE",TRIM($B26)))),CONFIG_PALLETS!$B:$B,$C26&amp;" ml")&gt;0,SUMIFS(CONFIG_PALLETS!$D:$D,CONFIG_PALLETS!$A:$A,IF(ISNUMBER(SEARCH("ESPUMA",$B26)),"ESPUMA",IF(OR(ISNUMBER(SEARCH("OLEO DE COCO",$B26)),ISNUMBER(SEARCH("ÓLEO DE COCO",$B26)),ISNUMBER(SEARCH("COPRA",$B26))),"ÓLEO DE COCO",IF(ISNUMBER(SEARCH("CORANTE",$B26)),"CORANTE",TRIM($B26)))),CONFIG_PALLETS!$B:$B,$C26&amp;" ml"),IF(SUMIFS(CONFIG_PALLETS!$D:$D,CONFIG_PALLETS!$A:$A,"GERAL",CONFIG_PALLETS!$B:$B,$C26&amp;" ml")&gt;0,SUMIFS(CONFIG_PALLETS!$D:$D,CONFIG_PALLETS!$A:$A,"GERAL",CONFIG_PALLETS!$B:$B,$C26&amp;" ml"),12)))</f>
        <v/>
      </c>
    </row>
    <row r="27" spans="1:13" ht="21" customHeight="1" x14ac:dyDescent="0.3">
      <c r="A27" s="215"/>
      <c r="B27" s="633"/>
      <c r="C27" s="192"/>
      <c r="D27" s="193"/>
      <c r="E27" s="194" t="s">
        <v>214</v>
      </c>
      <c r="F27" s="195" t="str">
        <f>IF($B27="","",IF(SUMIFS(CONFIG_PALLETS!$C:$C,CONFIG_PALLETS!$A:$A,TRIM($B27),CONFIG_PALLETS!$B:$B,$C27&amp;" ml")&gt;0,SUMIFS(CONFIG_PALLETS!$C:$C,CONFIG_PALLETS!$A:$A,TRIM($B27),CONFIG_PALLETS!$B:$B,$C27&amp;" ml"),IF(SUMIFS(CONFIG_PALLETS!$C:$C,CONFIG_PALLETS!$A:$A,"GERAL",CONFIG_PALLETS!$B:$B,$C27&amp;" ml")&gt;0,SUMIFS(CONFIG_PALLETS!$C:$C,CONFIG_PALLETS!$A:$A,"GERAL",CONFIG_PALLETS!$B:$B,$C27&amp;" ml"),"")))</f>
        <v/>
      </c>
      <c r="G27" s="196" t="str">
        <f>IFERROR(ROUNDUP(D27/F27,0),"")</f>
        <v/>
      </c>
      <c r="H27" s="197"/>
      <c r="I27" s="193" t="str">
        <f>IF(H27="","",H27*IF(SUMIFS(CONFIG_PALLETS!$D:$D,CONFIG_PALLETS!$A:$A,IF(ISNUMBER(SEARCH("ESPUMA",$B27)),"ESPUMA",IF(OR(ISNUMBER(SEARCH("OLEO DE COCO",$B27)),ISNUMBER(SEARCH("ÓLEO DE COCO",$B27)),ISNUMBER(SEARCH("COPRA",$B27))),"ÓLEO DE COCO",IF(ISNUMBER(SEARCH("CORANTE",$B27)),"CORANTE",TRIM($B27)))),CONFIG_PALLETS!$B:$B,$C27&amp;" ml")&gt;0,SUMIFS(CONFIG_PALLETS!$D:$D,CONFIG_PALLETS!$A:$A,IF(ISNUMBER(SEARCH("ESPUMA",$B27)),"ESPUMA",IF(OR(ISNUMBER(SEARCH("OLEO DE COCO",$B27)),ISNUMBER(SEARCH("ÓLEO DE COCO",$B27)),ISNUMBER(SEARCH("COPRA",$B27))),"ÓLEO DE COCO",IF(ISNUMBER(SEARCH("CORANTE",$B27)),"CORANTE",TRIM($B27)))),CONFIG_PALLETS!$B:$B,$C27&amp;" ml"),IF(SUMIFS(CONFIG_PALLETS!$D:$D,CONFIG_PALLETS!$A:$A,"GERAL",CONFIG_PALLETS!$B:$B,$C27&amp;" ml")&gt;0,SUMIFS(CONFIG_PALLETS!$D:$D,CONFIG_PALLETS!$A:$A,"GERAL",CONFIG_PALLETS!$B:$B,$C27&amp;" ml"),12)))</f>
        <v/>
      </c>
    </row>
    <row r="28" spans="1:13" ht="21" customHeight="1" x14ac:dyDescent="0.3">
      <c r="A28" s="215"/>
      <c r="B28" s="633"/>
      <c r="C28" s="192"/>
      <c r="D28" s="193"/>
      <c r="E28" s="194" t="s">
        <v>214</v>
      </c>
      <c r="F28" s="195" t="str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196" t="str">
        <f>IFERROR(ROUNDUP(D28/F28,0),"")</f>
        <v/>
      </c>
      <c r="H28" s="197"/>
      <c r="I28" s="193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</row>
    <row r="29" spans="1:13" ht="21" customHeight="1" x14ac:dyDescent="0.3">
      <c r="A29" s="215"/>
      <c r="B29" s="191"/>
      <c r="C29" s="192"/>
      <c r="D29" s="193"/>
      <c r="E29" s="194" t="s">
        <v>214</v>
      </c>
      <c r="F29" s="195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196" t="str">
        <f>IFERROR(ROUNDUP(D29/F29,0),"")</f>
        <v/>
      </c>
      <c r="H29" s="197"/>
      <c r="I29" s="193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</row>
    <row r="30" spans="1:13" ht="15" customHeight="1" x14ac:dyDescent="0.3">
      <c r="A30" s="217"/>
      <c r="B30" s="199" t="s">
        <v>216</v>
      </c>
      <c r="C30" s="200"/>
      <c r="D30" s="201">
        <f>SUM(D23:D29)</f>
        <v>0</v>
      </c>
      <c r="E30" s="202"/>
      <c r="F30" s="202"/>
      <c r="G30" s="203">
        <f>SUM(G23:G29)</f>
        <v>0</v>
      </c>
      <c r="H30" s="201">
        <f>SUM(H23:H29)</f>
        <v>0</v>
      </c>
      <c r="I30" s="201">
        <f>SUM(I23:I29)</f>
        <v>0</v>
      </c>
      <c r="J30" s="28">
        <f>D30</f>
        <v>0</v>
      </c>
      <c r="K30" s="106">
        <f>G30</f>
        <v>0</v>
      </c>
      <c r="L30" s="28">
        <f>H30</f>
        <v>0</v>
      </c>
      <c r="M30" s="28">
        <f>I30</f>
        <v>0</v>
      </c>
    </row>
    <row r="31" spans="1:13" ht="6" customHeight="1" x14ac:dyDescent="0.3">
      <c r="C31" s="72"/>
    </row>
    <row r="32" spans="1:13" ht="15" customHeight="1" x14ac:dyDescent="0.3">
      <c r="A32" s="30">
        <v>46118</v>
      </c>
      <c r="B32" s="186" t="s">
        <v>78</v>
      </c>
      <c r="C32" s="187" t="s">
        <v>205</v>
      </c>
      <c r="D32" s="188" t="s">
        <v>206</v>
      </c>
      <c r="E32" s="188" t="s">
        <v>207</v>
      </c>
      <c r="F32" s="189" t="s">
        <v>208</v>
      </c>
      <c r="G32" s="188" t="s">
        <v>209</v>
      </c>
      <c r="H32" s="214" t="s">
        <v>210</v>
      </c>
      <c r="I32" s="214" t="s">
        <v>211</v>
      </c>
    </row>
    <row r="33" spans="1:13" ht="21" customHeight="1" x14ac:dyDescent="0.3">
      <c r="A33" s="215"/>
      <c r="B33" s="191" t="s">
        <v>522</v>
      </c>
      <c r="C33" s="192">
        <v>200</v>
      </c>
      <c r="D33" s="193">
        <v>210</v>
      </c>
      <c r="E33" s="194" t="s">
        <v>214</v>
      </c>
      <c r="F33" s="195">
        <f>IF($B33="","",IF(SUMIFS(CONFIG_PALLETS!$C:$C,CONFIG_PALLETS!$A:$A,TRIM($B33),CONFIG_PALLETS!$B:$B,$C33&amp;" ml")&gt;0,SUMIFS(CONFIG_PALLETS!$C:$C,CONFIG_PALLETS!$A:$A,TRIM($B33),CONFIG_PALLETS!$B:$B,$C33&amp;" ml"),IF(SUMIFS(CONFIG_PALLETS!$C:$C,CONFIG_PALLETS!$A:$A,"GERAL",CONFIG_PALLETS!$B:$B,$C33&amp;" ml")&gt;0,SUMIFS(CONFIG_PALLETS!$C:$C,CONFIG_PALLETS!$A:$A,"GERAL",CONFIG_PALLETS!$B:$B,$C33&amp;" ml"),"")))</f>
        <v>330</v>
      </c>
      <c r="G33" s="196">
        <f t="shared" ref="G33:G41" si="1">IFERROR(ROUNDUP(D33/F33,0),"")</f>
        <v>1</v>
      </c>
      <c r="H33" s="197">
        <v>210</v>
      </c>
      <c r="I33" s="193">
        <f>IF(H33="","",H33*IF(SUMIFS(CONFIG_PALLETS!$D:$D,CONFIG_PALLETS!$A:$A,IF(ISNUMBER(SEARCH("ESPUMA",$B33)),"ESPUMA",IF(OR(ISNUMBER(SEARCH("OLEO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ml")&gt;0,SUMIFS(CONFIG_PALLETS!$D:$D,CONFIG_PALLETS!$A:$A,IF(ISNUMBER(SEARCH("ESPUMA",$B33)),"ESPUMA",IF(OR(ISNUMBER(SEARCH("OLEO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ml"),IF(SUMIFS(CONFIG_PALLETS!$D:$D,CONFIG_PALLETS!$A:$A,"GERAL",CONFIG_PALLETS!$B:$B,$C33&amp;" ml")&gt;0,SUMIFS(CONFIG_PALLETS!$D:$D,CONFIG_PALLETS!$A:$A,"GERAL",CONFIG_PALLETS!$B:$B,$C33&amp;" ml"),12)))</f>
        <v>1260</v>
      </c>
    </row>
    <row r="34" spans="1:13" ht="21" customHeight="1" x14ac:dyDescent="0.3">
      <c r="A34" s="215"/>
      <c r="B34" s="191" t="s">
        <v>524</v>
      </c>
      <c r="C34" s="192">
        <v>200</v>
      </c>
      <c r="D34" s="193">
        <v>330</v>
      </c>
      <c r="E34" s="194" t="s">
        <v>214</v>
      </c>
      <c r="F34" s="195">
        <f>IF($B34="","",IF(SUMIFS(CONFIG_PALLETS!$C:$C,CONFIG_PALLETS!$A:$A,TRIM($B34),CONFIG_PALLETS!$B:$B,$C34&amp;" ml")&gt;0,SUMIFS(CONFIG_PALLETS!$C:$C,CONFIG_PALLETS!$A:$A,TRIM($B34),CONFIG_PALLETS!$B:$B,$C34&amp;" ml"),IF(SUMIFS(CONFIG_PALLETS!$C:$C,CONFIG_PALLETS!$A:$A,"GERAL",CONFIG_PALLETS!$B:$B,$C34&amp;" ml")&gt;0,SUMIFS(CONFIG_PALLETS!$C:$C,CONFIG_PALLETS!$A:$A,"GERAL",CONFIG_PALLETS!$B:$B,$C34&amp;" ml"),"")))</f>
        <v>330</v>
      </c>
      <c r="G34" s="196">
        <f t="shared" si="1"/>
        <v>1</v>
      </c>
      <c r="H34" s="197">
        <v>279</v>
      </c>
      <c r="I34" s="193">
        <f>IF(H34="","",H34*IF(SUMIFS(CONFIG_PALLETS!$D:$D,CONFIG_PALLETS!$A:$A,IF(ISNUMBER(SEARCH("ESPUMA",$B34)),"ESPUMA",IF(OR(ISNUMBER(SEARCH("OLEO DE COCO",$B34)),ISNUMBER(SEARCH("ÓLEO DE COCO",$B34)),ISNUMBER(SEARCH("COPRA",$B34))),"ÓLEO DE COCO",IF(ISNUMBER(SEARCH("CORANTE",$B34)),"CORANTE",TRIM($B34)))),CONFIG_PALLETS!$B:$B,$C34&amp;" ml")&gt;0,SUMIFS(CONFIG_PALLETS!$D:$D,CONFIG_PALLETS!$A:$A,IF(ISNUMBER(SEARCH("ESPUMA",$B34)),"ESPUMA",IF(OR(ISNUMBER(SEARCH("OLEO DE COCO",$B34)),ISNUMBER(SEARCH("ÓLEO DE COCO",$B34)),ISNUMBER(SEARCH("COPRA",$B34))),"ÓLEO DE COCO",IF(ISNUMBER(SEARCH("CORANTE",$B34)),"CORANTE",TRIM($B34)))),CONFIG_PALLETS!$B:$B,$C34&amp;" ml"),IF(SUMIFS(CONFIG_PALLETS!$D:$D,CONFIG_PALLETS!$A:$A,"GERAL",CONFIG_PALLETS!$B:$B,$C34&amp;" ml")&gt;0,SUMIFS(CONFIG_PALLETS!$D:$D,CONFIG_PALLETS!$A:$A,"GERAL",CONFIG_PALLETS!$B:$B,$C34&amp;" ml"),12)))</f>
        <v>1674</v>
      </c>
    </row>
    <row r="35" spans="1:13" ht="21" customHeight="1" x14ac:dyDescent="0.3">
      <c r="A35" s="215"/>
      <c r="B35" s="191" t="s">
        <v>525</v>
      </c>
      <c r="C35" s="192">
        <v>200</v>
      </c>
      <c r="D35" s="193">
        <v>330</v>
      </c>
      <c r="E35" s="194" t="s">
        <v>214</v>
      </c>
      <c r="F35" s="195">
        <f>IF($B35="","",IF(SUMIFS(CONFIG_PALLETS!$C:$C,CONFIG_PALLETS!$A:$A,TRIM($B35),CONFIG_PALLETS!$B:$B,$C35&amp;" ml")&gt;0,SUMIFS(CONFIG_PALLETS!$C:$C,CONFIG_PALLETS!$A:$A,TRIM($B35),CONFIG_PALLETS!$B:$B,$C35&amp;" ml"),IF(SUMIFS(CONFIG_PALLETS!$C:$C,CONFIG_PALLETS!$A:$A,"GERAL",CONFIG_PALLETS!$B:$B,$C35&amp;" ml")&gt;0,SUMIFS(CONFIG_PALLETS!$C:$C,CONFIG_PALLETS!$A:$A,"GERAL",CONFIG_PALLETS!$B:$B,$C35&amp;" ml"),"")))</f>
        <v>330</v>
      </c>
      <c r="G35" s="196">
        <f t="shared" si="1"/>
        <v>1</v>
      </c>
      <c r="H35" s="197">
        <v>314</v>
      </c>
      <c r="I35" s="193">
        <f>IF(H35="","",H35*IF(SUMIFS(CONFIG_PALLETS!$D:$D,CONFIG_PALLETS!$A:$A,IF(ISNUMBER(SEARCH("ESPUMA",$B35)),"ESPUMA",IF(OR(ISNUMBER(SEARCH("OLEO DE COCO",$B35)),ISNUMBER(SEARCH("ÓLEO DE COCO",$B35)),ISNUMBER(SEARCH("COPRA",$B35))),"ÓLEO DE COCO",IF(ISNUMBER(SEARCH("CORANTE",$B35)),"CORANTE",TRIM($B35)))),CONFIG_PALLETS!$B:$B,$C35&amp;" ml")&gt;0,SUMIFS(CONFIG_PALLETS!$D:$D,CONFIG_PALLETS!$A:$A,IF(ISNUMBER(SEARCH("ESPUMA",$B35)),"ESPUMA",IF(OR(ISNUMBER(SEARCH("OLEO DE COCO",$B35)),ISNUMBER(SEARCH("ÓLEO DE COCO",$B35)),ISNUMBER(SEARCH("COPRA",$B35))),"ÓLEO DE COCO",IF(ISNUMBER(SEARCH("CORANTE",$B35)),"CORANTE",TRIM($B35)))),CONFIG_PALLETS!$B:$B,$C35&amp;" ml"),IF(SUMIFS(CONFIG_PALLETS!$D:$D,CONFIG_PALLETS!$A:$A,"GERAL",CONFIG_PALLETS!$B:$B,$C35&amp;" ml")&gt;0,SUMIFS(CONFIG_PALLETS!$D:$D,CONFIG_PALLETS!$A:$A,"GERAL",CONFIG_PALLETS!$B:$B,$C35&amp;" ml"),12)))</f>
        <v>1884</v>
      </c>
    </row>
    <row r="36" spans="1:13" ht="21" customHeight="1" x14ac:dyDescent="0.3">
      <c r="A36" s="215"/>
      <c r="B36" s="191" t="s">
        <v>526</v>
      </c>
      <c r="C36" s="192">
        <v>200</v>
      </c>
      <c r="D36" s="193">
        <v>330</v>
      </c>
      <c r="E36" s="194" t="s">
        <v>214</v>
      </c>
      <c r="F36" s="195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>330</v>
      </c>
      <c r="G36" s="196">
        <f t="shared" si="1"/>
        <v>1</v>
      </c>
      <c r="H36" s="197">
        <v>329</v>
      </c>
      <c r="I36" s="193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>1974</v>
      </c>
    </row>
    <row r="37" spans="1:13" ht="21" customHeight="1" x14ac:dyDescent="0.3">
      <c r="A37" s="215"/>
      <c r="B37" s="191" t="s">
        <v>527</v>
      </c>
      <c r="C37" s="192">
        <v>200</v>
      </c>
      <c r="D37" s="193">
        <v>330</v>
      </c>
      <c r="E37" s="194" t="s">
        <v>214</v>
      </c>
      <c r="F37" s="195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>330</v>
      </c>
      <c r="G37" s="196">
        <f t="shared" si="1"/>
        <v>1</v>
      </c>
      <c r="H37" s="197">
        <v>321</v>
      </c>
      <c r="I37" s="193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>1926</v>
      </c>
    </row>
    <row r="38" spans="1:13" ht="21" customHeight="1" x14ac:dyDescent="0.3">
      <c r="A38" s="215"/>
      <c r="B38" s="191" t="s">
        <v>528</v>
      </c>
      <c r="C38" s="192">
        <v>200</v>
      </c>
      <c r="D38" s="193">
        <v>330</v>
      </c>
      <c r="E38" s="194" t="s">
        <v>214</v>
      </c>
      <c r="F38" s="195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>330</v>
      </c>
      <c r="G38" s="196">
        <f t="shared" si="1"/>
        <v>1</v>
      </c>
      <c r="H38" s="197">
        <v>318</v>
      </c>
      <c r="I38" s="193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>1908</v>
      </c>
    </row>
    <row r="39" spans="1:13" ht="21" customHeight="1" x14ac:dyDescent="0.3">
      <c r="A39" s="215"/>
      <c r="B39" s="191" t="s">
        <v>529</v>
      </c>
      <c r="C39" s="192">
        <v>200</v>
      </c>
      <c r="D39" s="193">
        <v>330</v>
      </c>
      <c r="E39" s="194" t="s">
        <v>214</v>
      </c>
      <c r="F39" s="195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>330</v>
      </c>
      <c r="G39" s="196">
        <f t="shared" si="1"/>
        <v>1</v>
      </c>
      <c r="H39" s="197">
        <v>296</v>
      </c>
      <c r="I39" s="193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>1776</v>
      </c>
    </row>
    <row r="40" spans="1:13" ht="21" customHeight="1" x14ac:dyDescent="0.3">
      <c r="A40" s="215"/>
      <c r="B40" s="191" t="s">
        <v>530</v>
      </c>
      <c r="C40" s="192">
        <v>200</v>
      </c>
      <c r="D40" s="193">
        <v>330</v>
      </c>
      <c r="E40" s="194" t="s">
        <v>214</v>
      </c>
      <c r="F40" s="195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>330</v>
      </c>
      <c r="G40" s="196">
        <f t="shared" si="1"/>
        <v>1</v>
      </c>
      <c r="H40" s="197">
        <v>63</v>
      </c>
      <c r="I40" s="193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>378</v>
      </c>
    </row>
    <row r="41" spans="1:13" ht="21" customHeight="1" x14ac:dyDescent="0.3">
      <c r="A41" s="215"/>
      <c r="B41" s="191"/>
      <c r="C41" s="192"/>
      <c r="D41" s="193"/>
      <c r="E41" s="194" t="s">
        <v>214</v>
      </c>
      <c r="F41" s="195" t="str">
        <f>IF($B41="","",IF(SUMIFS(CONFIG_PALLETS!$C:$C,CONFIG_PALLETS!$A:$A,TRIM($B41),CONFIG_PALLETS!$B:$B,$C41&amp;" ml")&gt;0,SUMIFS(CONFIG_PALLETS!$C:$C,CONFIG_PALLETS!$A:$A,TRIM($B41),CONFIG_PALLETS!$B:$B,$C41&amp;" ml"),IF(SUMIFS(CONFIG_PALLETS!$C:$C,CONFIG_PALLETS!$A:$A,"GERAL",CONFIG_PALLETS!$B:$B,$C41&amp;" ml")&gt;0,SUMIFS(CONFIG_PALLETS!$C:$C,CONFIG_PALLETS!$A:$A,"GERAL",CONFIG_PALLETS!$B:$B,$C41&amp;" ml"),"")))</f>
        <v/>
      </c>
      <c r="G41" s="196" t="str">
        <f t="shared" si="1"/>
        <v/>
      </c>
      <c r="H41" s="197"/>
      <c r="I41" s="193"/>
    </row>
    <row r="42" spans="1:13" ht="15" customHeight="1" x14ac:dyDescent="0.3">
      <c r="A42" s="217"/>
      <c r="B42" s="199" t="s">
        <v>216</v>
      </c>
      <c r="C42" s="200"/>
      <c r="D42" s="201">
        <f>SUM(D35:D41)</f>
        <v>1980</v>
      </c>
      <c r="E42" s="202"/>
      <c r="F42" s="202"/>
      <c r="G42" s="203">
        <f>SUM(G35:G41)</f>
        <v>6</v>
      </c>
      <c r="H42" s="201">
        <f>SUM(H35:H41)</f>
        <v>1641</v>
      </c>
      <c r="I42" s="201">
        <f>SUM(I35:I41)</f>
        <v>9846</v>
      </c>
      <c r="J42" s="28">
        <f>D42</f>
        <v>1980</v>
      </c>
      <c r="K42" s="106">
        <f>G42</f>
        <v>6</v>
      </c>
      <c r="L42" s="28">
        <f>H42</f>
        <v>1641</v>
      </c>
      <c r="M42" s="28">
        <f>I42</f>
        <v>9846</v>
      </c>
    </row>
    <row r="43" spans="1:13" ht="6" customHeight="1" x14ac:dyDescent="0.3">
      <c r="C43" s="72"/>
    </row>
    <row r="44" spans="1:13" ht="15" customHeight="1" x14ac:dyDescent="0.3">
      <c r="A44" s="30">
        <v>46119</v>
      </c>
      <c r="B44" s="186" t="s">
        <v>78</v>
      </c>
      <c r="C44" s="187" t="s">
        <v>205</v>
      </c>
      <c r="D44" s="188" t="s">
        <v>206</v>
      </c>
      <c r="E44" s="188" t="s">
        <v>207</v>
      </c>
      <c r="F44" s="189" t="s">
        <v>208</v>
      </c>
      <c r="G44" s="188" t="s">
        <v>209</v>
      </c>
      <c r="H44" s="214" t="s">
        <v>210</v>
      </c>
      <c r="I44" s="214" t="s">
        <v>211</v>
      </c>
    </row>
    <row r="45" spans="1:13" ht="21" customHeight="1" x14ac:dyDescent="0.3">
      <c r="A45" s="215"/>
      <c r="B45" s="191" t="s">
        <v>530</v>
      </c>
      <c r="C45" s="192">
        <v>200</v>
      </c>
      <c r="D45" s="193">
        <v>267</v>
      </c>
      <c r="E45" s="194" t="s">
        <v>214</v>
      </c>
      <c r="F45" s="195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>330</v>
      </c>
      <c r="G45" s="196">
        <f t="shared" ref="G45:G51" si="2">IFERROR(ROUNDUP(D45/F45,0),"")</f>
        <v>1</v>
      </c>
      <c r="H45" s="197">
        <v>267</v>
      </c>
      <c r="I45" s="193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>1602</v>
      </c>
    </row>
    <row r="46" spans="1:13" ht="21" customHeight="1" x14ac:dyDescent="0.3">
      <c r="A46" s="215"/>
      <c r="B46" s="191" t="s">
        <v>531</v>
      </c>
      <c r="C46" s="192">
        <v>200</v>
      </c>
      <c r="D46" s="193">
        <v>330</v>
      </c>
      <c r="E46" s="194" t="s">
        <v>214</v>
      </c>
      <c r="F46" s="195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>330</v>
      </c>
      <c r="G46" s="196">
        <f t="shared" si="2"/>
        <v>1</v>
      </c>
      <c r="H46" s="197">
        <v>315</v>
      </c>
      <c r="I46" s="193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>1890</v>
      </c>
    </row>
    <row r="47" spans="1:13" ht="21" customHeight="1" x14ac:dyDescent="0.3">
      <c r="A47" s="215"/>
      <c r="B47" s="191" t="s">
        <v>532</v>
      </c>
      <c r="C47" s="192">
        <v>200</v>
      </c>
      <c r="D47" s="193">
        <v>330</v>
      </c>
      <c r="E47" s="194" t="s">
        <v>214</v>
      </c>
      <c r="F47" s="195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>330</v>
      </c>
      <c r="G47" s="196">
        <f t="shared" si="2"/>
        <v>1</v>
      </c>
      <c r="H47" s="197">
        <v>329</v>
      </c>
      <c r="I47" s="193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>1974</v>
      </c>
    </row>
    <row r="48" spans="1:13" ht="21" customHeight="1" x14ac:dyDescent="0.3">
      <c r="A48" s="215"/>
      <c r="B48" s="191" t="s">
        <v>533</v>
      </c>
      <c r="C48" s="192">
        <v>200</v>
      </c>
      <c r="D48" s="193">
        <v>330</v>
      </c>
      <c r="E48" s="194" t="s">
        <v>214</v>
      </c>
      <c r="F48" s="195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>330</v>
      </c>
      <c r="G48" s="196">
        <f t="shared" si="2"/>
        <v>1</v>
      </c>
      <c r="H48" s="197">
        <v>330</v>
      </c>
      <c r="I48" s="193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>1980</v>
      </c>
    </row>
    <row r="49" spans="1:13" ht="21" customHeight="1" x14ac:dyDescent="0.3">
      <c r="A49" s="215"/>
      <c r="B49" s="191" t="s">
        <v>534</v>
      </c>
      <c r="C49" s="192">
        <v>600</v>
      </c>
      <c r="D49" s="193">
        <v>106</v>
      </c>
      <c r="E49" s="194" t="s">
        <v>214</v>
      </c>
      <c r="F49" s="195">
        <f>IF($B49="","",IF(SUMIFS(CONFIG_PALLETS!$C:$C,CONFIG_PALLETS!$A:$A,TRIM($B49),CONFIG_PALLETS!$B:$B,$C49&amp;" ml")&gt;0,SUMIFS(CONFIG_PALLETS!$C:$C,CONFIG_PALLETS!$A:$A,TRIM($B49),CONFIG_PALLETS!$B:$B,$C49&amp;" ml"),IF(SUMIFS(CONFIG_PALLETS!$C:$C,CONFIG_PALLETS!$A:$A,"GERAL",CONFIG_PALLETS!$B:$B,$C49&amp;" ml")&gt;0,SUMIFS(CONFIG_PALLETS!$C:$C,CONFIG_PALLETS!$A:$A,"GERAL",CONFIG_PALLETS!$B:$B,$C49&amp;" ml"),"")))</f>
        <v>95</v>
      </c>
      <c r="G49" s="196">
        <f t="shared" si="2"/>
        <v>2</v>
      </c>
      <c r="H49" s="197">
        <v>106</v>
      </c>
      <c r="I49" s="193">
        <f>IF(H49="","",H49*IF(SUMIFS(CONFIG_PALLETS!$D:$D,CONFIG_PALLETS!$A:$A,IF(ISNUMBER(SEARCH("ESPUMA",$B49)),"ESPUMA",IF(OR(ISNUMBER(SEARCH("OLEO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ml")&gt;0,SUMIFS(CONFIG_PALLETS!$D:$D,CONFIG_PALLETS!$A:$A,IF(ISNUMBER(SEARCH("ESPUMA",$B49)),"ESPUMA",IF(OR(ISNUMBER(SEARCH("OLEO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ml"),IF(SUMIFS(CONFIG_PALLETS!$D:$D,CONFIG_PALLETS!$A:$A,"GERAL",CONFIG_PALLETS!$B:$B,$C49&amp;" ml")&gt;0,SUMIFS(CONFIG_PALLETS!$D:$D,CONFIG_PALLETS!$A:$A,"GERAL",CONFIG_PALLETS!$B:$B,$C49&amp;" ml"),12)))</f>
        <v>1272</v>
      </c>
    </row>
    <row r="50" spans="1:13" ht="21" customHeight="1" x14ac:dyDescent="0.3">
      <c r="A50" s="216"/>
      <c r="B50" s="191" t="s">
        <v>535</v>
      </c>
      <c r="C50" s="192">
        <v>400</v>
      </c>
      <c r="D50" s="193">
        <v>2625</v>
      </c>
      <c r="E50" s="194" t="s">
        <v>214</v>
      </c>
      <c r="F50" s="195">
        <f>IF($B50="","",IF(SUMIFS(CONFIG_PALLETS!$C:$C,CONFIG_PALLETS!$A:$A,TRIM($B50),CONFIG_PALLETS!$B:$B,$C50&amp;" ml")&gt;0,SUMIFS(CONFIG_PALLETS!$C:$C,CONFIG_PALLETS!$A:$A,TRIM($B50),CONFIG_PALLETS!$B:$B,$C50&amp;" ml"),IF(SUMIFS(CONFIG_PALLETS!$C:$C,CONFIG_PALLETS!$A:$A,"GERAL",CONFIG_PALLETS!$B:$B,$C50&amp;" ml")&gt;0,SUMIFS(CONFIG_PALLETS!$C:$C,CONFIG_PALLETS!$A:$A,"GERAL",CONFIG_PALLETS!$B:$B,$C50&amp;" ml"),"")))</f>
        <v>125</v>
      </c>
      <c r="G50" s="196">
        <f t="shared" si="2"/>
        <v>21</v>
      </c>
      <c r="H50" s="197">
        <v>194</v>
      </c>
      <c r="I50" s="193">
        <f>IF(H50="","",H50*IF(SUMIFS(CONFIG_PALLETS!$D:$D,CONFIG_PALLETS!$A:$A,IF(ISNUMBER(SEARCH("ESPUMA",$B50)),"ESPUMA",IF(OR(ISNUMBER(SEARCH("OLEO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ml")&gt;0,SUMIFS(CONFIG_PALLETS!$D:$D,CONFIG_PALLETS!$A:$A,IF(ISNUMBER(SEARCH("ESPUMA",$B50)),"ESPUMA",IF(OR(ISNUMBER(SEARCH("OLEO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ml"),IF(SUMIFS(CONFIG_PALLETS!$D:$D,CONFIG_PALLETS!$A:$A,"GERAL",CONFIG_PALLETS!$B:$B,$C50&amp;" ml")&gt;0,SUMIFS(CONFIG_PALLETS!$D:$D,CONFIG_PALLETS!$A:$A,"GERAL",CONFIG_PALLETS!$B:$B,$C50&amp;" ml"),12)))</f>
        <v>2328</v>
      </c>
    </row>
    <row r="51" spans="1:13" ht="21" customHeight="1" x14ac:dyDescent="0.3">
      <c r="A51" s="216"/>
      <c r="B51" s="191"/>
      <c r="C51" s="192"/>
      <c r="D51" s="193"/>
      <c r="E51" s="194"/>
      <c r="F51" s="195" t="str">
        <f>IF($B51="","",IF(SUMIFS(CONFIG_PALLETS!$C:$C,CONFIG_PALLETS!$A:$A,TRIM($B51),CONFIG_PALLETS!$B:$B,$C51&amp;" ml")&gt;0,SUMIFS(CONFIG_PALLETS!$C:$C,CONFIG_PALLETS!$A:$A,TRIM($B51),CONFIG_PALLETS!$B:$B,$C51&amp;" ml"),IF(SUMIFS(CONFIG_PALLETS!$C:$C,CONFIG_PALLETS!$A:$A,"GERAL",CONFIG_PALLETS!$B:$B,$C51&amp;" ml")&gt;0,SUMIFS(CONFIG_PALLETS!$C:$C,CONFIG_PALLETS!$A:$A,"GERAL",CONFIG_PALLETS!$B:$B,$C51&amp;" ml"),"")))</f>
        <v/>
      </c>
      <c r="G51" s="196" t="str">
        <f t="shared" si="2"/>
        <v/>
      </c>
      <c r="H51" s="197"/>
      <c r="I51" s="193" t="str">
        <f>IF(H51="","",H51*IF(SUMIFS(CONFIG_PALLETS!$D:$D,CONFIG_PALLETS!$A:$A,IF(ISNUMBER(SEARCH("ESPUMA",$B51)),"ESPUMA",IF(OR(ISNUMBER(SEARCH("OLEO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ml")&gt;0,SUMIFS(CONFIG_PALLETS!$D:$D,CONFIG_PALLETS!$A:$A,IF(ISNUMBER(SEARCH("ESPUMA",$B51)),"ESPUMA",IF(OR(ISNUMBER(SEARCH("OLEO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ml"),IF(SUMIFS(CONFIG_PALLETS!$D:$D,CONFIG_PALLETS!$A:$A,"GERAL",CONFIG_PALLETS!$B:$B,$C51&amp;" ml")&gt;0,SUMIFS(CONFIG_PALLETS!$D:$D,CONFIG_PALLETS!$A:$A,"GERAL",CONFIG_PALLETS!$B:$B,$C51&amp;" ml"),12)))</f>
        <v/>
      </c>
    </row>
    <row r="52" spans="1:13" ht="15" customHeight="1" x14ac:dyDescent="0.3">
      <c r="A52" s="217"/>
      <c r="B52" s="199" t="s">
        <v>216</v>
      </c>
      <c r="C52" s="200"/>
      <c r="D52" s="201">
        <f>SUM(D45:D51)</f>
        <v>3988</v>
      </c>
      <c r="E52" s="202"/>
      <c r="F52" s="202"/>
      <c r="G52" s="203">
        <f>SUM(G45:G51)</f>
        <v>27</v>
      </c>
      <c r="H52" s="201">
        <f>SUM(H45:H51)</f>
        <v>1541</v>
      </c>
      <c r="I52" s="201">
        <f>SUM(I45:I51)</f>
        <v>11046</v>
      </c>
      <c r="J52" s="28">
        <f>D52</f>
        <v>3988</v>
      </c>
      <c r="K52" s="106">
        <f>G52</f>
        <v>27</v>
      </c>
      <c r="L52" s="28">
        <f>H52</f>
        <v>1541</v>
      </c>
      <c r="M52" s="28">
        <f>I52</f>
        <v>11046</v>
      </c>
    </row>
    <row r="53" spans="1:13" ht="6" customHeight="1" x14ac:dyDescent="0.3">
      <c r="C53" s="72"/>
    </row>
    <row r="54" spans="1:13" ht="15" customHeight="1" x14ac:dyDescent="0.3">
      <c r="A54" s="30">
        <v>46120</v>
      </c>
      <c r="B54" s="186" t="s">
        <v>78</v>
      </c>
      <c r="C54" s="187" t="s">
        <v>205</v>
      </c>
      <c r="D54" s="188" t="s">
        <v>206</v>
      </c>
      <c r="E54" s="188" t="s">
        <v>207</v>
      </c>
      <c r="F54" s="189" t="s">
        <v>208</v>
      </c>
      <c r="G54" s="188" t="s">
        <v>209</v>
      </c>
      <c r="H54" s="214" t="s">
        <v>210</v>
      </c>
      <c r="I54" s="214" t="s">
        <v>211</v>
      </c>
    </row>
    <row r="55" spans="1:13" ht="21" customHeight="1" x14ac:dyDescent="0.3">
      <c r="A55" s="215"/>
      <c r="B55" s="191" t="s">
        <v>535</v>
      </c>
      <c r="C55" s="192">
        <v>400</v>
      </c>
      <c r="D55" s="193">
        <f>D50-H50</f>
        <v>2431</v>
      </c>
      <c r="E55" s="194" t="s">
        <v>214</v>
      </c>
      <c r="F55" s="195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>125</v>
      </c>
      <c r="G55" s="196">
        <f>IFERROR(ROUNDUP(D55/F55,0),"")</f>
        <v>20</v>
      </c>
      <c r="H55" s="197">
        <v>1503</v>
      </c>
      <c r="I55" s="193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>18036</v>
      </c>
    </row>
    <row r="56" spans="1:13" ht="21" customHeight="1" x14ac:dyDescent="0.3">
      <c r="A56" s="215"/>
      <c r="B56" s="191"/>
      <c r="C56" s="192"/>
      <c r="D56" s="193"/>
      <c r="E56" s="194" t="s">
        <v>214</v>
      </c>
      <c r="F56" s="195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196" t="str">
        <f>IFERROR(ROUNDUP(D56/F56,0),"")</f>
        <v/>
      </c>
      <c r="H56" s="197"/>
      <c r="I56" s="193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21" customHeight="1" x14ac:dyDescent="0.3">
      <c r="A57" s="215"/>
      <c r="B57" s="191"/>
      <c r="C57" s="192"/>
      <c r="D57" s="193"/>
      <c r="E57" s="194" t="s">
        <v>214</v>
      </c>
      <c r="F57" s="195" t="str">
        <f>IF($B57="","",IF(SUMIFS(CONFIG_PALLETS!$C:$C,CONFIG_PALLETS!$A:$A,TRIM($B57),CONFIG_PALLETS!$B:$B,$C57&amp;" ml")&gt;0,SUMIFS(CONFIG_PALLETS!$C:$C,CONFIG_PALLETS!$A:$A,TRIM($B57),CONFIG_PALLETS!$B:$B,$C57&amp;" ml"),IF(SUMIFS(CONFIG_PALLETS!$C:$C,CONFIG_PALLETS!$A:$A,"GERAL",CONFIG_PALLETS!$B:$B,$C57&amp;" ml")&gt;0,SUMIFS(CONFIG_PALLETS!$C:$C,CONFIG_PALLETS!$A:$A,"GERAL",CONFIG_PALLETS!$B:$B,$C57&amp;" ml"),"")))</f>
        <v/>
      </c>
      <c r="G57" s="196" t="str">
        <f>IFERROR(ROUNDUP(D57/F57,0),"")</f>
        <v/>
      </c>
      <c r="H57" s="197"/>
      <c r="I57" s="193" t="str">
        <f>IF(H57="","",H57*IF(SUMIFS(CONFIG_PALLETS!$D:$D,CONFIG_PALLETS!$A:$A,IF(ISNUMBER(SEARCH("ESPUMA",$B57)),"ESPUMA",IF(OR(ISNUMBER(SEARCH("OLEO DE COCO",$B57)),ISNUMBER(SEARCH("ÓLEO DE COCO",$B57)),ISNUMBER(SEARCH("COPRA",$B57))),"ÓLEO DE COCO",IF(ISNUMBER(SEARCH("CORANTE",$B57)),"CORANTE",TRIM($B57)))),CONFIG_PALLETS!$B:$B,$C57&amp;" ml")&gt;0,SUMIFS(CONFIG_PALLETS!$D:$D,CONFIG_PALLETS!$A:$A,IF(ISNUMBER(SEARCH("ESPUMA",$B57)),"ESPUMA",IF(OR(ISNUMBER(SEARCH("OLEO DE COCO",$B57)),ISNUMBER(SEARCH("ÓLEO DE COCO",$B57)),ISNUMBER(SEARCH("COPRA",$B57))),"ÓLEO DE COCO",IF(ISNUMBER(SEARCH("CORANTE",$B57)),"CORANTE",TRIM($B57)))),CONFIG_PALLETS!$B:$B,$C57&amp;" ml"),IF(SUMIFS(CONFIG_PALLETS!$D:$D,CONFIG_PALLETS!$A:$A,"GERAL",CONFIG_PALLETS!$B:$B,$C57&amp;" ml")&gt;0,SUMIFS(CONFIG_PALLETS!$D:$D,CONFIG_PALLETS!$A:$A,"GERAL",CONFIG_PALLETS!$B:$B,$C57&amp;" ml"),12)))</f>
        <v/>
      </c>
    </row>
    <row r="58" spans="1:13" ht="21" customHeight="1" x14ac:dyDescent="0.3">
      <c r="A58" s="215"/>
      <c r="B58" s="191"/>
      <c r="C58" s="192"/>
      <c r="D58" s="193"/>
      <c r="E58" s="194" t="s">
        <v>214</v>
      </c>
      <c r="F58" s="195" t="str">
        <f>IF($B58="","",IF(SUMIFS(CONFIG_PALLETS!$C:$C,CONFIG_PALLETS!$A:$A,TRIM($B58),CONFIG_PALLETS!$B:$B,$C58&amp;" ml")&gt;0,SUMIFS(CONFIG_PALLETS!$C:$C,CONFIG_PALLETS!$A:$A,TRIM($B58),CONFIG_PALLETS!$B:$B,$C58&amp;" ml"),IF(SUMIFS(CONFIG_PALLETS!$C:$C,CONFIG_PALLETS!$A:$A,"GERAL",CONFIG_PALLETS!$B:$B,$C58&amp;" ml")&gt;0,SUMIFS(CONFIG_PALLETS!$C:$C,CONFIG_PALLETS!$A:$A,"GERAL",CONFIG_PALLETS!$B:$B,$C58&amp;" ml"),"")))</f>
        <v/>
      </c>
      <c r="G58" s="196" t="str">
        <f>IFERROR(ROUNDUP(D58/F58,0),"")</f>
        <v/>
      </c>
      <c r="H58" s="197"/>
      <c r="I58" s="193" t="str">
        <f>IF(H58="","",H58*IF(SUMIFS(CONFIG_PALLETS!$D:$D,CONFIG_PALLETS!$A:$A,IF(ISNUMBER(SEARCH("ESPUMA",$B58)),"ESPUMA",IF(OR(ISNUMBER(SEARCH("OLEO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ml")&gt;0,SUMIFS(CONFIG_PALLETS!$D:$D,CONFIG_PALLETS!$A:$A,IF(ISNUMBER(SEARCH("ESPUMA",$B58)),"ESPUMA",IF(OR(ISNUMBER(SEARCH("OLEO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ml"),IF(SUMIFS(CONFIG_PALLETS!$D:$D,CONFIG_PALLETS!$A:$A,"GERAL",CONFIG_PALLETS!$B:$B,$C58&amp;" ml")&gt;0,SUMIFS(CONFIG_PALLETS!$D:$D,CONFIG_PALLETS!$A:$A,"GERAL",CONFIG_PALLETS!$B:$B,$C58&amp;" ml"),12)))</f>
        <v/>
      </c>
    </row>
    <row r="59" spans="1:13" ht="21" customHeight="1" x14ac:dyDescent="0.3">
      <c r="A59" s="215"/>
      <c r="B59" s="191"/>
      <c r="C59" s="192"/>
      <c r="D59" s="193"/>
      <c r="E59" s="194" t="s">
        <v>214</v>
      </c>
      <c r="F59" s="195" t="str">
        <f>IF($B59="","",IF(SUMIFS(CONFIG_PALLETS!$C:$C,CONFIG_PALLETS!$A:$A,TRIM($B59),CONFIG_PALLETS!$B:$B,$C59&amp;" ml")&gt;0,SUMIFS(CONFIG_PALLETS!$C:$C,CONFIG_PALLETS!$A:$A,TRIM($B59),CONFIG_PALLETS!$B:$B,$C59&amp;" ml"),IF(SUMIFS(CONFIG_PALLETS!$C:$C,CONFIG_PALLETS!$A:$A,"GERAL",CONFIG_PALLETS!$B:$B,$C59&amp;" ml")&gt;0,SUMIFS(CONFIG_PALLETS!$C:$C,CONFIG_PALLETS!$A:$A,"GERAL",CONFIG_PALLETS!$B:$B,$C59&amp;" ml"),"")))</f>
        <v/>
      </c>
      <c r="G59" s="196" t="str">
        <f>IFERROR(ROUNDUP(D59/F59,0),"")</f>
        <v/>
      </c>
      <c r="H59" s="197"/>
      <c r="I59" s="193" t="str">
        <f>IF(H59="","",H59*IF(SUMIFS(CONFIG_PALLETS!$D:$D,CONFIG_PALLETS!$A:$A,IF(ISNUMBER(SEARCH("ESPUMA",$B59)),"ESPUMA",IF(OR(ISNUMBER(SEARCH("OLEO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ml")&gt;0,SUMIFS(CONFIG_PALLETS!$D:$D,CONFIG_PALLETS!$A:$A,IF(ISNUMBER(SEARCH("ESPUMA",$B59)),"ESPUMA",IF(OR(ISNUMBER(SEARCH("OLEO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ml"),IF(SUMIFS(CONFIG_PALLETS!$D:$D,CONFIG_PALLETS!$A:$A,"GERAL",CONFIG_PALLETS!$B:$B,$C59&amp;" ml")&gt;0,SUMIFS(CONFIG_PALLETS!$D:$D,CONFIG_PALLETS!$A:$A,"GERAL",CONFIG_PALLETS!$B:$B,$C59&amp;" ml"),12)))</f>
        <v/>
      </c>
    </row>
    <row r="60" spans="1:13" ht="15" customHeight="1" x14ac:dyDescent="0.3">
      <c r="A60" s="217"/>
      <c r="B60" s="199" t="s">
        <v>216</v>
      </c>
      <c r="C60" s="200"/>
      <c r="D60" s="201">
        <f>SUM(D53:D59)</f>
        <v>2431</v>
      </c>
      <c r="E60" s="202"/>
      <c r="F60" s="202"/>
      <c r="G60" s="203">
        <f>SUM(G53:G59)</f>
        <v>20</v>
      </c>
      <c r="H60" s="201">
        <f>SUM(H53:H59)</f>
        <v>1503</v>
      </c>
      <c r="I60" s="201">
        <f>SUM(I53:I59)</f>
        <v>18036</v>
      </c>
      <c r="J60" s="28">
        <f>D60</f>
        <v>2431</v>
      </c>
      <c r="K60" s="106">
        <f>G60</f>
        <v>20</v>
      </c>
      <c r="L60" s="28">
        <f>H60</f>
        <v>1503</v>
      </c>
      <c r="M60" s="28">
        <f>I60</f>
        <v>18036</v>
      </c>
    </row>
    <row r="61" spans="1:13" ht="6" customHeight="1" x14ac:dyDescent="0.3">
      <c r="C61" s="72"/>
    </row>
    <row r="62" spans="1:13" ht="15" customHeight="1" x14ac:dyDescent="0.3">
      <c r="A62" s="30">
        <v>46121</v>
      </c>
      <c r="B62" s="186" t="s">
        <v>78</v>
      </c>
      <c r="C62" s="187" t="s">
        <v>205</v>
      </c>
      <c r="D62" s="188" t="s">
        <v>206</v>
      </c>
      <c r="E62" s="188" t="s">
        <v>207</v>
      </c>
      <c r="F62" s="189" t="s">
        <v>208</v>
      </c>
      <c r="G62" s="188" t="s">
        <v>209</v>
      </c>
      <c r="H62" s="214" t="s">
        <v>210</v>
      </c>
      <c r="I62" s="214" t="s">
        <v>211</v>
      </c>
    </row>
    <row r="63" spans="1:13" ht="21" customHeight="1" x14ac:dyDescent="0.3">
      <c r="A63" s="215"/>
      <c r="B63" s="191" t="s">
        <v>535</v>
      </c>
      <c r="C63" s="192">
        <v>400</v>
      </c>
      <c r="D63" s="193">
        <f>D55-H55</f>
        <v>928</v>
      </c>
      <c r="E63" s="194" t="s">
        <v>214</v>
      </c>
      <c r="F63" s="195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>125</v>
      </c>
      <c r="G63" s="196">
        <f>IFERROR(ROUNDUP(D63/F63,0),"")</f>
        <v>8</v>
      </c>
      <c r="H63" s="197">
        <v>1005</v>
      </c>
      <c r="I63" s="193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>12060</v>
      </c>
    </row>
    <row r="64" spans="1:13" ht="21" customHeight="1" x14ac:dyDescent="0.3">
      <c r="A64" s="215"/>
      <c r="B64" s="191"/>
      <c r="C64" s="192"/>
      <c r="D64" s="193"/>
      <c r="E64" s="194" t="s">
        <v>214</v>
      </c>
      <c r="F64" s="195"/>
      <c r="G64" s="196"/>
      <c r="H64" s="197"/>
      <c r="I64" s="193"/>
    </row>
    <row r="65" spans="1:13" ht="21" customHeight="1" x14ac:dyDescent="0.3">
      <c r="A65" s="215"/>
      <c r="B65" s="191"/>
      <c r="C65" s="192"/>
      <c r="D65" s="193"/>
      <c r="E65" s="194" t="s">
        <v>214</v>
      </c>
      <c r="F65" s="195" t="str">
        <f>IF($B65="","",IF(SUMIFS(CONFIG_PALLETS!$C:$C,CONFIG_PALLETS!$A:$A,TRIM($B65),CONFIG_PALLETS!$B:$B,$C65&amp;" ml")&gt;0,SUMIFS(CONFIG_PALLETS!$C:$C,CONFIG_PALLETS!$A:$A,TRIM($B65),CONFIG_PALLETS!$B:$B,$C65&amp;" ml"),IF(SUMIFS(CONFIG_PALLETS!$C:$C,CONFIG_PALLETS!$A:$A,"GERAL",CONFIG_PALLETS!$B:$B,$C65&amp;" ml")&gt;0,SUMIFS(CONFIG_PALLETS!$C:$C,CONFIG_PALLETS!$A:$A,"GERAL",CONFIG_PALLETS!$B:$B,$C65&amp;" ml"),"")))</f>
        <v/>
      </c>
      <c r="G65" s="196" t="str">
        <f>IFERROR(ROUNDUP(D65/F65,0),"")</f>
        <v/>
      </c>
      <c r="H65" s="197"/>
      <c r="I65" s="193" t="str">
        <f>IF(H65="","",H65*IF(SUMIFS(CONFIG_PALLETS!$D:$D,CONFIG_PALLETS!$A:$A,IF(ISNUMBER(SEARCH("ESPUMA",$B65)),"ESPUMA",IF(OR(ISNUMBER(SEARCH("OLEO DE COCO",$B65)),ISNUMBER(SEARCH("ÓLEO DE COCO",$B65)),ISNUMBER(SEARCH("COPRA",$B65))),"ÓLEO DE COCO",IF(ISNUMBER(SEARCH("CORANTE",$B65)),"CORANTE",TRIM($B65)))),CONFIG_PALLETS!$B:$B,$C65&amp;" ml")&gt;0,SUMIFS(CONFIG_PALLETS!$D:$D,CONFIG_PALLETS!$A:$A,IF(ISNUMBER(SEARCH("ESPUMA",$B65)),"ESPUMA",IF(OR(ISNUMBER(SEARCH("OLEO DE COCO",$B65)),ISNUMBER(SEARCH("ÓLEO DE COCO",$B65)),ISNUMBER(SEARCH("COPRA",$B65))),"ÓLEO DE COCO",IF(ISNUMBER(SEARCH("CORANTE",$B65)),"CORANTE",TRIM($B65)))),CONFIG_PALLETS!$B:$B,$C65&amp;" ml"),IF(SUMIFS(CONFIG_PALLETS!$D:$D,CONFIG_PALLETS!$A:$A,"GERAL",CONFIG_PALLETS!$B:$B,$C65&amp;" ml")&gt;0,SUMIFS(CONFIG_PALLETS!$D:$D,CONFIG_PALLETS!$A:$A,"GERAL",CONFIG_PALLETS!$B:$B,$C65&amp;" ml"),12)))</f>
        <v/>
      </c>
    </row>
    <row r="66" spans="1:13" ht="21" customHeight="1" x14ac:dyDescent="0.3">
      <c r="A66" s="215"/>
      <c r="B66" s="191"/>
      <c r="C66" s="192"/>
      <c r="D66" s="193"/>
      <c r="E66" s="194" t="s">
        <v>214</v>
      </c>
      <c r="F66" s="195" t="str">
        <f>IF($B66="","",IF(SUMIFS(CONFIG_PALLETS!$C:$C,CONFIG_PALLETS!$A:$A,TRIM($B66),CONFIG_PALLETS!$B:$B,$C66&amp;" ml")&gt;0,SUMIFS(CONFIG_PALLETS!$C:$C,CONFIG_PALLETS!$A:$A,TRIM($B66),CONFIG_PALLETS!$B:$B,$C66&amp;" ml"),IF(SUMIFS(CONFIG_PALLETS!$C:$C,CONFIG_PALLETS!$A:$A,"GERAL",CONFIG_PALLETS!$B:$B,$C66&amp;" ml")&gt;0,SUMIFS(CONFIG_PALLETS!$C:$C,CONFIG_PALLETS!$A:$A,"GERAL",CONFIG_PALLETS!$B:$B,$C66&amp;" ml"),"")))</f>
        <v/>
      </c>
      <c r="G66" s="196" t="str">
        <f>IFERROR(ROUNDUP(D66/F66,0),"")</f>
        <v/>
      </c>
      <c r="H66" s="197"/>
      <c r="I66" s="193" t="str">
        <f>IF(H66="","",H66*IF(SUMIFS(CONFIG_PALLETS!$D:$D,CONFIG_PALLETS!$A:$A,IF(ISNUMBER(SEARCH("ESPUMA",$B66)),"ESPUMA",IF(OR(ISNUMBER(SEARCH("OLEO DE COCO",$B66)),ISNUMBER(SEARCH("ÓLEO DE COCO",$B66)),ISNUMBER(SEARCH("COPRA",$B66))),"ÓLEO DE COCO",IF(ISNUMBER(SEARCH("CORANTE",$B66)),"CORANTE",TRIM($B66)))),CONFIG_PALLETS!$B:$B,$C66&amp;" ml")&gt;0,SUMIFS(CONFIG_PALLETS!$D:$D,CONFIG_PALLETS!$A:$A,IF(ISNUMBER(SEARCH("ESPUMA",$B66)),"ESPUMA",IF(OR(ISNUMBER(SEARCH("OLEO DE COCO",$B66)),ISNUMBER(SEARCH("ÓLEO DE COCO",$B66)),ISNUMBER(SEARCH("COPRA",$B66))),"ÓLEO DE COCO",IF(ISNUMBER(SEARCH("CORANTE",$B66)),"CORANTE",TRIM($B66)))),CONFIG_PALLETS!$B:$B,$C66&amp;" ml"),IF(SUMIFS(CONFIG_PALLETS!$D:$D,CONFIG_PALLETS!$A:$A,"GERAL",CONFIG_PALLETS!$B:$B,$C66&amp;" ml")&gt;0,SUMIFS(CONFIG_PALLETS!$D:$D,CONFIG_PALLETS!$A:$A,"GERAL",CONFIG_PALLETS!$B:$B,$C66&amp;" ml"),12)))</f>
        <v/>
      </c>
    </row>
    <row r="67" spans="1:13" ht="21" customHeight="1" x14ac:dyDescent="0.3">
      <c r="A67" s="215"/>
      <c r="B67" s="191"/>
      <c r="C67" s="192"/>
      <c r="D67" s="193"/>
      <c r="E67" s="194" t="s">
        <v>214</v>
      </c>
      <c r="F67" s="195" t="str">
        <f>IF($B67="","",IF(SUMIFS(CONFIG_PALLETS!$C:$C,CONFIG_PALLETS!$A:$A,TRIM($B67),CONFIG_PALLETS!$B:$B,$C67&amp;" ml")&gt;0,SUMIFS(CONFIG_PALLETS!$C:$C,CONFIG_PALLETS!$A:$A,TRIM($B67),CONFIG_PALLETS!$B:$B,$C67&amp;" ml"),IF(SUMIFS(CONFIG_PALLETS!$C:$C,CONFIG_PALLETS!$A:$A,"GERAL",CONFIG_PALLETS!$B:$B,$C67&amp;" ml")&gt;0,SUMIFS(CONFIG_PALLETS!$C:$C,CONFIG_PALLETS!$A:$A,"GERAL",CONFIG_PALLETS!$B:$B,$C67&amp;" ml"),"")))</f>
        <v/>
      </c>
      <c r="G67" s="196" t="str">
        <f>IFERROR(ROUNDUP(D67/F67,0),"")</f>
        <v/>
      </c>
      <c r="H67" s="197"/>
      <c r="I67" s="193" t="str">
        <f>IF(H67="","",H67*IF(SUMIFS(CONFIG_PALLETS!$D:$D,CONFIG_PALLETS!$A:$A,IF(ISNUMBER(SEARCH("ESPUMA",$B67)),"ESPUMA",IF(OR(ISNUMBER(SEARCH("OLEO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ml")&gt;0,SUMIFS(CONFIG_PALLETS!$D:$D,CONFIG_PALLETS!$A:$A,IF(ISNUMBER(SEARCH("ESPUMA",$B67)),"ESPUMA",IF(OR(ISNUMBER(SEARCH("OLEO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ml"),IF(SUMIFS(CONFIG_PALLETS!$D:$D,CONFIG_PALLETS!$A:$A,"GERAL",CONFIG_PALLETS!$B:$B,$C67&amp;" ml")&gt;0,SUMIFS(CONFIG_PALLETS!$D:$D,CONFIG_PALLETS!$A:$A,"GERAL",CONFIG_PALLETS!$B:$B,$C67&amp;" ml"),12)))</f>
        <v/>
      </c>
    </row>
    <row r="68" spans="1:13" ht="15" customHeight="1" x14ac:dyDescent="0.3">
      <c r="A68" s="217"/>
      <c r="B68" s="199" t="s">
        <v>216</v>
      </c>
      <c r="C68" s="200"/>
      <c r="D68" s="201">
        <f>SUM(D61:D67)</f>
        <v>928</v>
      </c>
      <c r="E68" s="202"/>
      <c r="F68" s="202"/>
      <c r="G68" s="203">
        <f>SUM(G61:G67)</f>
        <v>8</v>
      </c>
      <c r="H68" s="201">
        <f>SUM(H61:H67)</f>
        <v>1005</v>
      </c>
      <c r="I68" s="201">
        <f>SUM(I61:I67)</f>
        <v>12060</v>
      </c>
      <c r="J68" s="28">
        <f>D68</f>
        <v>928</v>
      </c>
      <c r="K68" s="106">
        <f>G68</f>
        <v>8</v>
      </c>
      <c r="L68" s="28">
        <f>H68</f>
        <v>1005</v>
      </c>
      <c r="M68" s="28">
        <f>I68</f>
        <v>12060</v>
      </c>
    </row>
    <row r="69" spans="1:13" ht="6" customHeight="1" x14ac:dyDescent="0.3">
      <c r="C69" s="72"/>
    </row>
    <row r="70" spans="1:13" ht="15" customHeight="1" x14ac:dyDescent="0.3">
      <c r="A70" s="30">
        <v>46122</v>
      </c>
      <c r="B70" s="186" t="s">
        <v>78</v>
      </c>
      <c r="C70" s="187" t="s">
        <v>205</v>
      </c>
      <c r="D70" s="188" t="s">
        <v>206</v>
      </c>
      <c r="E70" s="188" t="s">
        <v>207</v>
      </c>
      <c r="F70" s="189" t="s">
        <v>208</v>
      </c>
      <c r="G70" s="188" t="s">
        <v>209</v>
      </c>
      <c r="H70" s="214" t="s">
        <v>210</v>
      </c>
      <c r="I70" s="214" t="s">
        <v>211</v>
      </c>
    </row>
    <row r="71" spans="1:13" ht="21" customHeight="1" x14ac:dyDescent="0.3">
      <c r="A71" s="215"/>
      <c r="B71" s="191" t="s">
        <v>536</v>
      </c>
      <c r="C71" s="192">
        <v>400</v>
      </c>
      <c r="D71" s="193">
        <v>2310</v>
      </c>
      <c r="E71" s="194" t="s">
        <v>214</v>
      </c>
      <c r="F71" s="195">
        <v>110</v>
      </c>
      <c r="G71" s="196">
        <f>IFERROR(ROUNDUP(D71/F71,0),"")</f>
        <v>21</v>
      </c>
      <c r="H71" s="197">
        <v>560</v>
      </c>
      <c r="I71" s="193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>6720</v>
      </c>
    </row>
    <row r="72" spans="1:13" ht="21" customHeight="1" x14ac:dyDescent="0.3">
      <c r="A72" s="215"/>
      <c r="B72" s="191"/>
      <c r="C72" s="192"/>
      <c r="D72" s="193"/>
      <c r="E72" s="194" t="s">
        <v>214</v>
      </c>
      <c r="F72" s="195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196" t="str">
        <f>IFERROR(ROUNDUP(D72/F72,0),"")</f>
        <v/>
      </c>
      <c r="H72" s="197"/>
      <c r="I72" s="193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21" customHeight="1" x14ac:dyDescent="0.3">
      <c r="A73" s="215"/>
      <c r="B73" s="191"/>
      <c r="C73" s="192"/>
      <c r="D73" s="193"/>
      <c r="E73" s="194" t="s">
        <v>214</v>
      </c>
      <c r="F73" s="195" t="str">
        <f>IF($B73="","",IF(SUMIFS(CONFIG_PALLETS!$C:$C,CONFIG_PALLETS!$A:$A,TRIM($B73),CONFIG_PALLETS!$B:$B,$C73&amp;" ml")&gt;0,SUMIFS(CONFIG_PALLETS!$C:$C,CONFIG_PALLETS!$A:$A,TRIM($B73),CONFIG_PALLETS!$B:$B,$C73&amp;" ml"),IF(SUMIFS(CONFIG_PALLETS!$C:$C,CONFIG_PALLETS!$A:$A,"GERAL",CONFIG_PALLETS!$B:$B,$C73&amp;" ml")&gt;0,SUMIFS(CONFIG_PALLETS!$C:$C,CONFIG_PALLETS!$A:$A,"GERAL",CONFIG_PALLETS!$B:$B,$C73&amp;" ml"),"")))</f>
        <v/>
      </c>
      <c r="G73" s="196" t="str">
        <f>IFERROR(ROUNDUP(D73/F73,0),"")</f>
        <v/>
      </c>
      <c r="H73" s="197"/>
      <c r="I73" s="193" t="str">
        <f>IF(H73="","",H73*IF(SUMIFS(CONFIG_PALLETS!$D:$D,CONFIG_PALLETS!$A:$A,IF(ISNUMBER(SEARCH("ESPUMA",$B73)),"ESPUMA",IF(OR(ISNUMBER(SEARCH("OLEO DE COCO",$B73)),ISNUMBER(SEARCH("ÓLEO DE COCO",$B73)),ISNUMBER(SEARCH("COPRA",$B73))),"ÓLEO DE COCO",IF(ISNUMBER(SEARCH("CORANTE",$B73)),"CORANTE",TRIM($B73)))),CONFIG_PALLETS!$B:$B,$C73&amp;" ml")&gt;0,SUMIFS(CONFIG_PALLETS!$D:$D,CONFIG_PALLETS!$A:$A,IF(ISNUMBER(SEARCH("ESPUMA",$B73)),"ESPUMA",IF(OR(ISNUMBER(SEARCH("OLEO DE COCO",$B73)),ISNUMBER(SEARCH("ÓLEO DE COCO",$B73)),ISNUMBER(SEARCH("COPRA",$B73))),"ÓLEO DE COCO",IF(ISNUMBER(SEARCH("CORANTE",$B73)),"CORANTE",TRIM($B73)))),CONFIG_PALLETS!$B:$B,$C73&amp;" ml"),IF(SUMIFS(CONFIG_PALLETS!$D:$D,CONFIG_PALLETS!$A:$A,"GERAL",CONFIG_PALLETS!$B:$B,$C73&amp;" ml")&gt;0,SUMIFS(CONFIG_PALLETS!$D:$D,CONFIG_PALLETS!$A:$A,"GERAL",CONFIG_PALLETS!$B:$B,$C73&amp;" ml"),12)))</f>
        <v/>
      </c>
    </row>
    <row r="74" spans="1:13" ht="21" customHeight="1" x14ac:dyDescent="0.3">
      <c r="A74" s="215"/>
      <c r="B74" s="191"/>
      <c r="C74" s="192"/>
      <c r="D74" s="193"/>
      <c r="E74" s="194" t="s">
        <v>214</v>
      </c>
      <c r="F74" s="195" t="str">
        <f>IF($B74="","",IF(SUMIFS(CONFIG_PALLETS!$C:$C,CONFIG_PALLETS!$A:$A,TRIM($B74),CONFIG_PALLETS!$B:$B,$C74&amp;" ml")&gt;0,SUMIFS(CONFIG_PALLETS!$C:$C,CONFIG_PALLETS!$A:$A,TRIM($B74),CONFIG_PALLETS!$B:$B,$C74&amp;" ml"),IF(SUMIFS(CONFIG_PALLETS!$C:$C,CONFIG_PALLETS!$A:$A,"GERAL",CONFIG_PALLETS!$B:$B,$C74&amp;" ml")&gt;0,SUMIFS(CONFIG_PALLETS!$C:$C,CONFIG_PALLETS!$A:$A,"GERAL",CONFIG_PALLETS!$B:$B,$C74&amp;" ml"),"")))</f>
        <v/>
      </c>
      <c r="G74" s="196" t="str">
        <f>IFERROR(ROUNDUP(D74/F74,0),"")</f>
        <v/>
      </c>
      <c r="H74" s="197"/>
      <c r="I74" s="193" t="str">
        <f>IF(H74="","",H74*IF(SUMIFS(CONFIG_PALLETS!$D:$D,CONFIG_PALLETS!$A:$A,IF(ISNUMBER(SEARCH("ESPUMA",$B74)),"ESPUMA",IF(OR(ISNUMBER(SEARCH("OLEO DE COCO",$B74)),ISNUMBER(SEARCH("ÓLEO DE COCO",$B74)),ISNUMBER(SEARCH("COPRA",$B74))),"ÓLEO DE COCO",IF(ISNUMBER(SEARCH("CORANTE",$B74)),"CORANTE",TRIM($B74)))),CONFIG_PALLETS!$B:$B,$C74&amp;" ml")&gt;0,SUMIFS(CONFIG_PALLETS!$D:$D,CONFIG_PALLETS!$A:$A,IF(ISNUMBER(SEARCH("ESPUMA",$B74)),"ESPUMA",IF(OR(ISNUMBER(SEARCH("OLEO DE COCO",$B74)),ISNUMBER(SEARCH("ÓLEO DE COCO",$B74)),ISNUMBER(SEARCH("COPRA",$B74))),"ÓLEO DE COCO",IF(ISNUMBER(SEARCH("CORANTE",$B74)),"CORANTE",TRIM($B74)))),CONFIG_PALLETS!$B:$B,$C74&amp;" ml"),IF(SUMIFS(CONFIG_PALLETS!$D:$D,CONFIG_PALLETS!$A:$A,"GERAL",CONFIG_PALLETS!$B:$B,$C74&amp;" ml")&gt;0,SUMIFS(CONFIG_PALLETS!$D:$D,CONFIG_PALLETS!$A:$A,"GERAL",CONFIG_PALLETS!$B:$B,$C74&amp;" ml"),12)))</f>
        <v/>
      </c>
    </row>
    <row r="75" spans="1:13" ht="21" customHeight="1" x14ac:dyDescent="0.3">
      <c r="A75" s="215"/>
      <c r="B75" s="191"/>
      <c r="C75" s="192"/>
      <c r="D75" s="193"/>
      <c r="E75" s="194" t="s">
        <v>214</v>
      </c>
      <c r="F75" s="195" t="str">
        <f>IF($B75="","",IF(SUMIFS(CONFIG_PALLETS!$C:$C,CONFIG_PALLETS!$A:$A,TRIM($B75),CONFIG_PALLETS!$B:$B,$C75&amp;" ml")&gt;0,SUMIFS(CONFIG_PALLETS!$C:$C,CONFIG_PALLETS!$A:$A,TRIM($B75),CONFIG_PALLETS!$B:$B,$C75&amp;" ml"),IF(SUMIFS(CONFIG_PALLETS!$C:$C,CONFIG_PALLETS!$A:$A,"GERAL",CONFIG_PALLETS!$B:$B,$C75&amp;" ml")&gt;0,SUMIFS(CONFIG_PALLETS!$C:$C,CONFIG_PALLETS!$A:$A,"GERAL",CONFIG_PALLETS!$B:$B,$C75&amp;" ml"),"")))</f>
        <v/>
      </c>
      <c r="G75" s="196" t="str">
        <f>IFERROR(ROUNDUP(D75/F75,0),"")</f>
        <v/>
      </c>
      <c r="H75" s="197"/>
      <c r="I75" s="193" t="str">
        <f>IF(H75="","",H75*IF(SUMIFS(CONFIG_PALLETS!$D:$D,CONFIG_PALLETS!$A:$A,IF(ISNUMBER(SEARCH("ESPUMA",$B75)),"ESPUMA",IF(OR(ISNUMBER(SEARCH("OLEO DE COCO",$B75)),ISNUMBER(SEARCH("ÓLEO DE COCO",$B75)),ISNUMBER(SEARCH("COPRA",$B75))),"ÓLEO DE COCO",IF(ISNUMBER(SEARCH("CORANTE",$B75)),"CORANTE",TRIM($B75)))),CONFIG_PALLETS!$B:$B,$C75&amp;" ml")&gt;0,SUMIFS(CONFIG_PALLETS!$D:$D,CONFIG_PALLETS!$A:$A,IF(ISNUMBER(SEARCH("ESPUMA",$B75)),"ESPUMA",IF(OR(ISNUMBER(SEARCH("OLEO DE COCO",$B75)),ISNUMBER(SEARCH("ÓLEO DE COCO",$B75)),ISNUMBER(SEARCH("COPRA",$B75))),"ÓLEO DE COCO",IF(ISNUMBER(SEARCH("CORANTE",$B75)),"CORANTE",TRIM($B75)))),CONFIG_PALLETS!$B:$B,$C75&amp;" ml"),IF(SUMIFS(CONFIG_PALLETS!$D:$D,CONFIG_PALLETS!$A:$A,"GERAL",CONFIG_PALLETS!$B:$B,$C75&amp;" ml")&gt;0,SUMIFS(CONFIG_PALLETS!$D:$D,CONFIG_PALLETS!$A:$A,"GERAL",CONFIG_PALLETS!$B:$B,$C75&amp;" ml"),12)))</f>
        <v/>
      </c>
    </row>
    <row r="76" spans="1:13" ht="15" customHeight="1" x14ac:dyDescent="0.3">
      <c r="A76" s="217"/>
      <c r="B76" s="199" t="s">
        <v>216</v>
      </c>
      <c r="C76" s="200"/>
      <c r="D76" s="201">
        <f>SUM(D69:D75)</f>
        <v>2310</v>
      </c>
      <c r="E76" s="202"/>
      <c r="F76" s="202"/>
      <c r="G76" s="203">
        <f>SUM(G69:G75)</f>
        <v>21</v>
      </c>
      <c r="H76" s="201">
        <f>SUM(H69:H75)</f>
        <v>560</v>
      </c>
      <c r="I76" s="201">
        <f>SUM(I69:I75)</f>
        <v>6720</v>
      </c>
      <c r="J76" s="28">
        <f>D76</f>
        <v>2310</v>
      </c>
      <c r="K76" s="106">
        <f>G76</f>
        <v>21</v>
      </c>
      <c r="L76" s="28">
        <f>H76</f>
        <v>560</v>
      </c>
      <c r="M76" s="28">
        <f>I76</f>
        <v>6720</v>
      </c>
    </row>
    <row r="77" spans="1:13" ht="6" customHeight="1" x14ac:dyDescent="0.3">
      <c r="C77" s="72"/>
    </row>
    <row r="78" spans="1:13" ht="15" customHeight="1" x14ac:dyDescent="0.3">
      <c r="A78" s="30">
        <v>46125</v>
      </c>
      <c r="B78" s="186" t="s">
        <v>78</v>
      </c>
      <c r="C78" s="187" t="s">
        <v>205</v>
      </c>
      <c r="D78" s="188" t="s">
        <v>206</v>
      </c>
      <c r="E78" s="188" t="s">
        <v>207</v>
      </c>
      <c r="F78" s="189" t="s">
        <v>208</v>
      </c>
      <c r="G78" s="188" t="s">
        <v>209</v>
      </c>
      <c r="H78" s="214" t="s">
        <v>210</v>
      </c>
      <c r="I78" s="214" t="s">
        <v>211</v>
      </c>
    </row>
    <row r="79" spans="1:13" ht="21" customHeight="1" x14ac:dyDescent="0.3">
      <c r="A79" s="215"/>
      <c r="B79" s="191" t="s">
        <v>536</v>
      </c>
      <c r="C79" s="192">
        <v>400</v>
      </c>
      <c r="D79" s="193">
        <f>D71-H71</f>
        <v>1750</v>
      </c>
      <c r="E79" s="194" t="s">
        <v>214</v>
      </c>
      <c r="F79" s="195">
        <v>110</v>
      </c>
      <c r="G79" s="196">
        <f>IFERROR(ROUNDUP(D79/F79,0),"")</f>
        <v>16</v>
      </c>
      <c r="H79" s="197">
        <v>993</v>
      </c>
      <c r="I79" s="193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>11916</v>
      </c>
    </row>
    <row r="80" spans="1:13" ht="21" customHeight="1" x14ac:dyDescent="0.3">
      <c r="A80" s="215"/>
      <c r="B80" s="191"/>
      <c r="C80" s="192"/>
      <c r="D80" s="193"/>
      <c r="E80" s="194" t="s">
        <v>214</v>
      </c>
      <c r="F80" s="195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196" t="str">
        <f>IFERROR(ROUNDUP(D80/F80,0),"")</f>
        <v/>
      </c>
      <c r="H80" s="197"/>
      <c r="I80" s="193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21" customHeight="1" x14ac:dyDescent="0.3">
      <c r="A81" s="215"/>
      <c r="B81" s="191"/>
      <c r="C81" s="192"/>
      <c r="D81" s="193"/>
      <c r="E81" s="194" t="s">
        <v>214</v>
      </c>
      <c r="F81" s="195" t="str">
        <f>IF($B81="","",IF(SUMIFS(CONFIG_PALLETS!$C:$C,CONFIG_PALLETS!$A:$A,TRIM($B81),CONFIG_PALLETS!$B:$B,$C81&amp;" ml")&gt;0,SUMIFS(CONFIG_PALLETS!$C:$C,CONFIG_PALLETS!$A:$A,TRIM($B81),CONFIG_PALLETS!$B:$B,$C81&amp;" ml"),IF(SUMIFS(CONFIG_PALLETS!$C:$C,CONFIG_PALLETS!$A:$A,"GERAL",CONFIG_PALLETS!$B:$B,$C81&amp;" ml")&gt;0,SUMIFS(CONFIG_PALLETS!$C:$C,CONFIG_PALLETS!$A:$A,"GERAL",CONFIG_PALLETS!$B:$B,$C81&amp;" ml"),"")))</f>
        <v/>
      </c>
      <c r="G81" s="196" t="str">
        <f>IFERROR(ROUNDUP(D81/F81,0),"")</f>
        <v/>
      </c>
      <c r="H81" s="197"/>
      <c r="I81" s="193" t="str">
        <f>IF(H81="","",H81*IF(SUMIFS(CONFIG_PALLETS!$D:$D,CONFIG_PALLETS!$A:$A,IF(ISNUMBER(SEARCH("ESPUMA",$B81)),"ESPUMA",IF(OR(ISNUMBER(SEARCH("OLEO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ml")&gt;0,SUMIFS(CONFIG_PALLETS!$D:$D,CONFIG_PALLETS!$A:$A,IF(ISNUMBER(SEARCH("ESPUMA",$B81)),"ESPUMA",IF(OR(ISNUMBER(SEARCH("OLEO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ml"),IF(SUMIFS(CONFIG_PALLETS!$D:$D,CONFIG_PALLETS!$A:$A,"GERAL",CONFIG_PALLETS!$B:$B,$C81&amp;" ml")&gt;0,SUMIFS(CONFIG_PALLETS!$D:$D,CONFIG_PALLETS!$A:$A,"GERAL",CONFIG_PALLETS!$B:$B,$C81&amp;" ml"),12)))</f>
        <v/>
      </c>
    </row>
    <row r="82" spans="1:13" ht="21" customHeight="1" x14ac:dyDescent="0.3">
      <c r="A82" s="215"/>
      <c r="B82" s="191"/>
      <c r="C82" s="192"/>
      <c r="D82" s="193"/>
      <c r="E82" s="194" t="s">
        <v>214</v>
      </c>
      <c r="F82" s="195" t="str">
        <f>IF($B82="","",IF(SUMIFS(CONFIG_PALLETS!$C:$C,CONFIG_PALLETS!$A:$A,TRIM($B82),CONFIG_PALLETS!$B:$B,$C82&amp;" ml")&gt;0,SUMIFS(CONFIG_PALLETS!$C:$C,CONFIG_PALLETS!$A:$A,TRIM($B82),CONFIG_PALLETS!$B:$B,$C82&amp;" ml"),IF(SUMIFS(CONFIG_PALLETS!$C:$C,CONFIG_PALLETS!$A:$A,"GERAL",CONFIG_PALLETS!$B:$B,$C82&amp;" ml")&gt;0,SUMIFS(CONFIG_PALLETS!$C:$C,CONFIG_PALLETS!$A:$A,"GERAL",CONFIG_PALLETS!$B:$B,$C82&amp;" ml"),"")))</f>
        <v/>
      </c>
      <c r="G82" s="196" t="str">
        <f>IFERROR(ROUNDUP(D82/F82,0),"")</f>
        <v/>
      </c>
      <c r="H82" s="197"/>
      <c r="I82" s="193" t="str">
        <f>IF(H82="","",H82*IF(SUMIFS(CONFIG_PALLETS!$D:$D,CONFIG_PALLETS!$A:$A,IF(ISNUMBER(SEARCH("ESPUMA",$B82)),"ESPUMA",IF(OR(ISNUMBER(SEARCH("OLEO DE COCO",$B82)),ISNUMBER(SEARCH("ÓLEO DE COCO",$B82)),ISNUMBER(SEARCH("COPRA",$B82))),"ÓLEO DE COCO",IF(ISNUMBER(SEARCH("CORANTE",$B82)),"CORANTE",TRIM($B82)))),CONFIG_PALLETS!$B:$B,$C82&amp;" ml")&gt;0,SUMIFS(CONFIG_PALLETS!$D:$D,CONFIG_PALLETS!$A:$A,IF(ISNUMBER(SEARCH("ESPUMA",$B82)),"ESPUMA",IF(OR(ISNUMBER(SEARCH("OLEO DE COCO",$B82)),ISNUMBER(SEARCH("ÓLEO DE COCO",$B82)),ISNUMBER(SEARCH("COPRA",$B82))),"ÓLEO DE COCO",IF(ISNUMBER(SEARCH("CORANTE",$B82)),"CORANTE",TRIM($B82)))),CONFIG_PALLETS!$B:$B,$C82&amp;" ml"),IF(SUMIFS(CONFIG_PALLETS!$D:$D,CONFIG_PALLETS!$A:$A,"GERAL",CONFIG_PALLETS!$B:$B,$C82&amp;" ml")&gt;0,SUMIFS(CONFIG_PALLETS!$D:$D,CONFIG_PALLETS!$A:$A,"GERAL",CONFIG_PALLETS!$B:$B,$C82&amp;" ml"),12)))</f>
        <v/>
      </c>
    </row>
    <row r="83" spans="1:13" ht="21" customHeight="1" x14ac:dyDescent="0.3">
      <c r="A83" s="215"/>
      <c r="B83" s="191"/>
      <c r="C83" s="192"/>
      <c r="D83" s="193"/>
      <c r="E83" s="194" t="s">
        <v>214</v>
      </c>
      <c r="F83" s="195" t="str">
        <f>IF($B83="","",IF(SUMIFS(CONFIG_PALLETS!$C:$C,CONFIG_PALLETS!$A:$A,TRIM($B83),CONFIG_PALLETS!$B:$B,$C83&amp;" ml")&gt;0,SUMIFS(CONFIG_PALLETS!$C:$C,CONFIG_PALLETS!$A:$A,TRIM($B83),CONFIG_PALLETS!$B:$B,$C83&amp;" ml"),IF(SUMIFS(CONFIG_PALLETS!$C:$C,CONFIG_PALLETS!$A:$A,"GERAL",CONFIG_PALLETS!$B:$B,$C83&amp;" ml")&gt;0,SUMIFS(CONFIG_PALLETS!$C:$C,CONFIG_PALLETS!$A:$A,"GERAL",CONFIG_PALLETS!$B:$B,$C83&amp;" ml"),"")))</f>
        <v/>
      </c>
      <c r="G83" s="196" t="str">
        <f>IFERROR(ROUNDUP(D83/F83,0),"")</f>
        <v/>
      </c>
      <c r="H83" s="197"/>
      <c r="I83" s="193" t="str">
        <f>IF(H83="","",H83*IF(SUMIFS(CONFIG_PALLETS!$D:$D,CONFIG_PALLETS!$A:$A,IF(ISNUMBER(SEARCH("ESPUMA",$B83)),"ESPUMA",IF(OR(ISNUMBER(SEARCH("OLEO DE COCO",$B83)),ISNUMBER(SEARCH("ÓLEO DE COCO",$B83)),ISNUMBER(SEARCH("COPRA",$B83))),"ÓLEO DE COCO",IF(ISNUMBER(SEARCH("CORANTE",$B83)),"CORANTE",TRIM($B83)))),CONFIG_PALLETS!$B:$B,$C83&amp;" ml")&gt;0,SUMIFS(CONFIG_PALLETS!$D:$D,CONFIG_PALLETS!$A:$A,IF(ISNUMBER(SEARCH("ESPUMA",$B83)),"ESPUMA",IF(OR(ISNUMBER(SEARCH("OLEO DE COCO",$B83)),ISNUMBER(SEARCH("ÓLEO DE COCO",$B83)),ISNUMBER(SEARCH("COPRA",$B83))),"ÓLEO DE COCO",IF(ISNUMBER(SEARCH("CORANTE",$B83)),"CORANTE",TRIM($B83)))),CONFIG_PALLETS!$B:$B,$C83&amp;" ml"),IF(SUMIFS(CONFIG_PALLETS!$D:$D,CONFIG_PALLETS!$A:$A,"GERAL",CONFIG_PALLETS!$B:$B,$C83&amp;" ml")&gt;0,SUMIFS(CONFIG_PALLETS!$D:$D,CONFIG_PALLETS!$A:$A,"GERAL",CONFIG_PALLETS!$B:$B,$C83&amp;" ml"),12)))</f>
        <v/>
      </c>
    </row>
    <row r="84" spans="1:13" ht="15" customHeight="1" x14ac:dyDescent="0.3">
      <c r="A84" s="217"/>
      <c r="B84" s="199" t="s">
        <v>216</v>
      </c>
      <c r="C84" s="200"/>
      <c r="D84" s="201">
        <f>SUM(D77:D83)</f>
        <v>1750</v>
      </c>
      <c r="E84" s="202"/>
      <c r="F84" s="202"/>
      <c r="G84" s="203">
        <f>SUM(G77:G83)</f>
        <v>16</v>
      </c>
      <c r="H84" s="201">
        <f>SUM(H77:H83)</f>
        <v>993</v>
      </c>
      <c r="I84" s="201">
        <f>SUM(I77:I83)</f>
        <v>11916</v>
      </c>
      <c r="J84" s="28">
        <f>D84</f>
        <v>1750</v>
      </c>
      <c r="K84" s="106">
        <f>G84</f>
        <v>16</v>
      </c>
      <c r="L84" s="28">
        <f>H84</f>
        <v>993</v>
      </c>
      <c r="M84" s="28">
        <f>I84</f>
        <v>11916</v>
      </c>
    </row>
    <row r="85" spans="1:13" ht="6" customHeight="1" x14ac:dyDescent="0.3">
      <c r="C85" s="72"/>
    </row>
    <row r="86" spans="1:13" ht="15" customHeight="1" x14ac:dyDescent="0.3">
      <c r="A86" s="30">
        <v>46126</v>
      </c>
      <c r="B86" s="186" t="s">
        <v>78</v>
      </c>
      <c r="C86" s="187" t="s">
        <v>205</v>
      </c>
      <c r="D86" s="188" t="s">
        <v>206</v>
      </c>
      <c r="E86" s="188" t="s">
        <v>207</v>
      </c>
      <c r="F86" s="189" t="s">
        <v>208</v>
      </c>
      <c r="G86" s="188" t="s">
        <v>209</v>
      </c>
      <c r="H86" s="214" t="s">
        <v>210</v>
      </c>
      <c r="I86" s="214" t="s">
        <v>211</v>
      </c>
    </row>
    <row r="87" spans="1:13" ht="21" customHeight="1" x14ac:dyDescent="0.3">
      <c r="A87" s="215"/>
      <c r="B87" s="191" t="s">
        <v>536</v>
      </c>
      <c r="C87" s="192">
        <v>400</v>
      </c>
      <c r="D87" s="193">
        <v>757</v>
      </c>
      <c r="E87" s="194" t="s">
        <v>214</v>
      </c>
      <c r="F87" s="195">
        <v>110</v>
      </c>
      <c r="G87" s="196">
        <f>IFERROR(ROUNDUP(D87/F87,0),"")</f>
        <v>7</v>
      </c>
      <c r="H87" s="197">
        <v>427</v>
      </c>
      <c r="I87" s="193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>5124</v>
      </c>
    </row>
    <row r="88" spans="1:13" ht="21" customHeight="1" x14ac:dyDescent="0.3">
      <c r="A88" s="215"/>
      <c r="B88" s="191" t="s">
        <v>537</v>
      </c>
      <c r="C88" s="192">
        <v>600</v>
      </c>
      <c r="D88" s="193">
        <v>1900</v>
      </c>
      <c r="E88" s="194" t="s">
        <v>214</v>
      </c>
      <c r="F88" s="195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>190</v>
      </c>
      <c r="G88" s="196">
        <f>IFERROR(ROUNDUP(D88/F88,0),"")</f>
        <v>10</v>
      </c>
      <c r="H88" s="197">
        <v>853</v>
      </c>
      <c r="I88" s="193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>5118</v>
      </c>
    </row>
    <row r="89" spans="1:13" ht="21" customHeight="1" x14ac:dyDescent="0.3">
      <c r="A89" s="215"/>
      <c r="B89" s="191"/>
      <c r="C89" s="192"/>
      <c r="D89" s="193"/>
      <c r="E89" s="194" t="s">
        <v>214</v>
      </c>
      <c r="F89" s="195" t="str">
        <f>IF($B89="","",IF(SUMIFS(CONFIG_PALLETS!$C:$C,CONFIG_PALLETS!$A:$A,TRIM($B89),CONFIG_PALLETS!$B:$B,$C89&amp;" ml")&gt;0,SUMIFS(CONFIG_PALLETS!$C:$C,CONFIG_PALLETS!$A:$A,TRIM($B89),CONFIG_PALLETS!$B:$B,$C89&amp;" ml"),IF(SUMIFS(CONFIG_PALLETS!$C:$C,CONFIG_PALLETS!$A:$A,"GERAL",CONFIG_PALLETS!$B:$B,$C89&amp;" ml")&gt;0,SUMIFS(CONFIG_PALLETS!$C:$C,CONFIG_PALLETS!$A:$A,"GERAL",CONFIG_PALLETS!$B:$B,$C89&amp;" ml"),"")))</f>
        <v/>
      </c>
      <c r="G89" s="196" t="str">
        <f>IFERROR(ROUNDUP(D89/F89,0),"")</f>
        <v/>
      </c>
      <c r="H89" s="197"/>
      <c r="I89" s="193" t="str">
        <f>IF(H89="","",H89*IF(SUMIFS(CONFIG_PALLETS!$D:$D,CONFIG_PALLETS!$A:$A,IF(ISNUMBER(SEARCH("ESPUMA",$B89)),"ESPUMA",IF(OR(ISNUMBER(SEARCH("OLEO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ml")&gt;0,SUMIFS(CONFIG_PALLETS!$D:$D,CONFIG_PALLETS!$A:$A,IF(ISNUMBER(SEARCH("ESPUMA",$B89)),"ESPUMA",IF(OR(ISNUMBER(SEARCH("OLEO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ml"),IF(SUMIFS(CONFIG_PALLETS!$D:$D,CONFIG_PALLETS!$A:$A,"GERAL",CONFIG_PALLETS!$B:$B,$C89&amp;" ml")&gt;0,SUMIFS(CONFIG_PALLETS!$D:$D,CONFIG_PALLETS!$A:$A,"GERAL",CONFIG_PALLETS!$B:$B,$C89&amp;" ml"),12)))</f>
        <v/>
      </c>
    </row>
    <row r="90" spans="1:13" ht="21" customHeight="1" x14ac:dyDescent="0.3">
      <c r="A90" s="215"/>
      <c r="B90" s="191"/>
      <c r="C90" s="192"/>
      <c r="D90" s="193"/>
      <c r="E90" s="194" t="s">
        <v>214</v>
      </c>
      <c r="F90" s="195" t="str">
        <f>IF($B90="","",IF(SUMIFS(CONFIG_PALLETS!$C:$C,CONFIG_PALLETS!$A:$A,TRIM($B90),CONFIG_PALLETS!$B:$B,$C90&amp;" ml")&gt;0,SUMIFS(CONFIG_PALLETS!$C:$C,CONFIG_PALLETS!$A:$A,TRIM($B90),CONFIG_PALLETS!$B:$B,$C90&amp;" ml"),IF(SUMIFS(CONFIG_PALLETS!$C:$C,CONFIG_PALLETS!$A:$A,"GERAL",CONFIG_PALLETS!$B:$B,$C90&amp;" ml")&gt;0,SUMIFS(CONFIG_PALLETS!$C:$C,CONFIG_PALLETS!$A:$A,"GERAL",CONFIG_PALLETS!$B:$B,$C90&amp;" ml"),"")))</f>
        <v/>
      </c>
      <c r="G90" s="196" t="str">
        <f>IFERROR(ROUNDUP(D90/F90,0),"")</f>
        <v/>
      </c>
      <c r="H90" s="197"/>
      <c r="I90" s="193" t="str">
        <f>IF(H90="","",H90*IF(SUMIFS(CONFIG_PALLETS!$D:$D,CONFIG_PALLETS!$A:$A,IF(ISNUMBER(SEARCH("ESPUMA",$B90)),"ESPUMA",IF(OR(ISNUMBER(SEARCH("OLEO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ml")&gt;0,SUMIFS(CONFIG_PALLETS!$D:$D,CONFIG_PALLETS!$A:$A,IF(ISNUMBER(SEARCH("ESPUMA",$B90)),"ESPUMA",IF(OR(ISNUMBER(SEARCH("OLEO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ml"),IF(SUMIFS(CONFIG_PALLETS!$D:$D,CONFIG_PALLETS!$A:$A,"GERAL",CONFIG_PALLETS!$B:$B,$C90&amp;" ml")&gt;0,SUMIFS(CONFIG_PALLETS!$D:$D,CONFIG_PALLETS!$A:$A,"GERAL",CONFIG_PALLETS!$B:$B,$C90&amp;" ml"),12)))</f>
        <v/>
      </c>
    </row>
    <row r="91" spans="1:13" ht="21" customHeight="1" x14ac:dyDescent="0.3">
      <c r="A91" s="215"/>
      <c r="B91" s="191"/>
      <c r="C91" s="192"/>
      <c r="D91" s="193"/>
      <c r="E91" s="194" t="s">
        <v>214</v>
      </c>
      <c r="F91" s="195" t="str">
        <f>IF($B91="","",IF(SUMIFS(CONFIG_PALLETS!$C:$C,CONFIG_PALLETS!$A:$A,TRIM($B91),CONFIG_PALLETS!$B:$B,$C91&amp;" ml")&gt;0,SUMIFS(CONFIG_PALLETS!$C:$C,CONFIG_PALLETS!$A:$A,TRIM($B91),CONFIG_PALLETS!$B:$B,$C91&amp;" ml"),IF(SUMIFS(CONFIG_PALLETS!$C:$C,CONFIG_PALLETS!$A:$A,"GERAL",CONFIG_PALLETS!$B:$B,$C91&amp;" ml")&gt;0,SUMIFS(CONFIG_PALLETS!$C:$C,CONFIG_PALLETS!$A:$A,"GERAL",CONFIG_PALLETS!$B:$B,$C91&amp;" ml"),"")))</f>
        <v/>
      </c>
      <c r="G91" s="196" t="str">
        <f>IFERROR(ROUNDUP(D91/F91,0),"")</f>
        <v/>
      </c>
      <c r="H91" s="197"/>
      <c r="I91" s="193" t="str">
        <f>IF(H91="","",H91*IF(SUMIFS(CONFIG_PALLETS!$D:$D,CONFIG_PALLETS!$A:$A,IF(ISNUMBER(SEARCH("ESPUMA",$B91)),"ESPUMA",IF(OR(ISNUMBER(SEARCH("OLEO DE COCO",$B91)),ISNUMBER(SEARCH("ÓLEO DE COCO",$B91)),ISNUMBER(SEARCH("COPRA",$B91))),"ÓLEO DE COCO",IF(ISNUMBER(SEARCH("CORANTE",$B91)),"CORANTE",TRIM($B91)))),CONFIG_PALLETS!$B:$B,$C91&amp;" ml")&gt;0,SUMIFS(CONFIG_PALLETS!$D:$D,CONFIG_PALLETS!$A:$A,IF(ISNUMBER(SEARCH("ESPUMA",$B91)),"ESPUMA",IF(OR(ISNUMBER(SEARCH("OLEO DE COCO",$B91)),ISNUMBER(SEARCH("ÓLEO DE COCO",$B91)),ISNUMBER(SEARCH("COPRA",$B91))),"ÓLEO DE COCO",IF(ISNUMBER(SEARCH("CORANTE",$B91)),"CORANTE",TRIM($B91)))),CONFIG_PALLETS!$B:$B,$C91&amp;" ml"),IF(SUMIFS(CONFIG_PALLETS!$D:$D,CONFIG_PALLETS!$A:$A,"GERAL",CONFIG_PALLETS!$B:$B,$C91&amp;" ml")&gt;0,SUMIFS(CONFIG_PALLETS!$D:$D,CONFIG_PALLETS!$A:$A,"GERAL",CONFIG_PALLETS!$B:$B,$C91&amp;" ml"),12)))</f>
        <v/>
      </c>
    </row>
    <row r="92" spans="1:13" ht="15" customHeight="1" x14ac:dyDescent="0.3">
      <c r="A92" s="217"/>
      <c r="B92" s="199" t="s">
        <v>216</v>
      </c>
      <c r="C92" s="200"/>
      <c r="D92" s="201">
        <f>SUM(D85:D91)</f>
        <v>2657</v>
      </c>
      <c r="E92" s="202"/>
      <c r="F92" s="202"/>
      <c r="G92" s="203">
        <f>SUM(G85:G91)</f>
        <v>17</v>
      </c>
      <c r="H92" s="201">
        <f>SUM(H85:H91)</f>
        <v>1280</v>
      </c>
      <c r="I92" s="201">
        <f>SUM(I85:I91)</f>
        <v>10242</v>
      </c>
      <c r="J92" s="28">
        <f>D92</f>
        <v>2657</v>
      </c>
      <c r="K92" s="106">
        <f>G92</f>
        <v>17</v>
      </c>
      <c r="L92" s="28">
        <f>H92</f>
        <v>1280</v>
      </c>
      <c r="M92" s="28">
        <f>I92</f>
        <v>10242</v>
      </c>
    </row>
    <row r="93" spans="1:13" ht="6" customHeight="1" x14ac:dyDescent="0.3">
      <c r="C93" s="72"/>
    </row>
    <row r="94" spans="1:13" ht="15" customHeight="1" x14ac:dyDescent="0.3">
      <c r="A94" s="30">
        <v>46127</v>
      </c>
      <c r="B94" s="186" t="s">
        <v>78</v>
      </c>
      <c r="C94" s="187" t="s">
        <v>205</v>
      </c>
      <c r="D94" s="188" t="s">
        <v>206</v>
      </c>
      <c r="E94" s="188" t="s">
        <v>207</v>
      </c>
      <c r="F94" s="189" t="s">
        <v>208</v>
      </c>
      <c r="G94" s="188" t="s">
        <v>209</v>
      </c>
      <c r="H94" s="214" t="s">
        <v>210</v>
      </c>
      <c r="I94" s="214" t="s">
        <v>211</v>
      </c>
    </row>
    <row r="95" spans="1:13" ht="21" customHeight="1" x14ac:dyDescent="0.3">
      <c r="A95" s="215"/>
      <c r="B95" s="191" t="s">
        <v>537</v>
      </c>
      <c r="C95" s="192">
        <v>600</v>
      </c>
      <c r="D95" s="193">
        <v>1047</v>
      </c>
      <c r="E95" s="194" t="s">
        <v>214</v>
      </c>
      <c r="F95" s="195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>190</v>
      </c>
      <c r="G95" s="196">
        <f>IFERROR(ROUNDUP(D95/F95,0),"")</f>
        <v>6</v>
      </c>
      <c r="H95" s="197">
        <v>1166</v>
      </c>
      <c r="I95" s="193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>6996</v>
      </c>
    </row>
    <row r="96" spans="1:13" ht="21" customHeight="1" x14ac:dyDescent="0.3">
      <c r="A96" s="215"/>
      <c r="B96" s="191" t="s">
        <v>160</v>
      </c>
      <c r="C96" s="192">
        <v>600</v>
      </c>
      <c r="D96" s="193">
        <v>380</v>
      </c>
      <c r="E96" s="194" t="s">
        <v>214</v>
      </c>
      <c r="F96" s="195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>95</v>
      </c>
      <c r="G96" s="196">
        <f>IFERROR(ROUNDUP(D96/F96,0),"")</f>
        <v>4</v>
      </c>
      <c r="H96" s="197">
        <v>306</v>
      </c>
      <c r="I96" s="193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>3672</v>
      </c>
    </row>
    <row r="97" spans="1:13" ht="21" customHeight="1" x14ac:dyDescent="0.3">
      <c r="A97" s="215"/>
      <c r="B97" s="191"/>
      <c r="C97" s="192"/>
      <c r="D97" s="193"/>
      <c r="E97" s="194" t="s">
        <v>214</v>
      </c>
      <c r="F97" s="195" t="str">
        <f>IF($B97="","",IF(SUMIFS(CONFIG_PALLETS!$C:$C,CONFIG_PALLETS!$A:$A,TRIM($B97),CONFIG_PALLETS!$B:$B,$C97&amp;" ml")&gt;0,SUMIFS(CONFIG_PALLETS!$C:$C,CONFIG_PALLETS!$A:$A,TRIM($B97),CONFIG_PALLETS!$B:$B,$C97&amp;" ml"),IF(SUMIFS(CONFIG_PALLETS!$C:$C,CONFIG_PALLETS!$A:$A,"GERAL",CONFIG_PALLETS!$B:$B,$C97&amp;" ml")&gt;0,SUMIFS(CONFIG_PALLETS!$C:$C,CONFIG_PALLETS!$A:$A,"GERAL",CONFIG_PALLETS!$B:$B,$C97&amp;" ml"),"")))</f>
        <v/>
      </c>
      <c r="G97" s="196" t="str">
        <f>IFERROR(ROUNDUP(D97/F97,0),"")</f>
        <v/>
      </c>
      <c r="H97" s="197"/>
      <c r="I97" s="193" t="str">
        <f>IF(H97="","",H97*IF(SUMIFS(CONFIG_PALLETS!$D:$D,CONFIG_PALLETS!$A:$A,IF(ISNUMBER(SEARCH("ESPUMA",$B97)),"ESPUMA",IF(OR(ISNUMBER(SEARCH("OLEO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ml")&gt;0,SUMIFS(CONFIG_PALLETS!$D:$D,CONFIG_PALLETS!$A:$A,IF(ISNUMBER(SEARCH("ESPUMA",$B97)),"ESPUMA",IF(OR(ISNUMBER(SEARCH("OLEO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ml"),IF(SUMIFS(CONFIG_PALLETS!$D:$D,CONFIG_PALLETS!$A:$A,"GERAL",CONFIG_PALLETS!$B:$B,$C97&amp;" ml")&gt;0,SUMIFS(CONFIG_PALLETS!$D:$D,CONFIG_PALLETS!$A:$A,"GERAL",CONFIG_PALLETS!$B:$B,$C97&amp;" ml"),12)))</f>
        <v/>
      </c>
    </row>
    <row r="98" spans="1:13" ht="21" customHeight="1" x14ac:dyDescent="0.3">
      <c r="A98" s="215"/>
      <c r="B98" s="191"/>
      <c r="C98" s="192"/>
      <c r="D98" s="193"/>
      <c r="E98" s="194" t="s">
        <v>214</v>
      </c>
      <c r="F98" s="195" t="str">
        <f>IF($B98="","",IF(SUMIFS(CONFIG_PALLETS!$C:$C,CONFIG_PALLETS!$A:$A,TRIM($B98),CONFIG_PALLETS!$B:$B,$C98&amp;" ml")&gt;0,SUMIFS(CONFIG_PALLETS!$C:$C,CONFIG_PALLETS!$A:$A,TRIM($B98),CONFIG_PALLETS!$B:$B,$C98&amp;" ml"),IF(SUMIFS(CONFIG_PALLETS!$C:$C,CONFIG_PALLETS!$A:$A,"GERAL",CONFIG_PALLETS!$B:$B,$C98&amp;" ml")&gt;0,SUMIFS(CONFIG_PALLETS!$C:$C,CONFIG_PALLETS!$A:$A,"GERAL",CONFIG_PALLETS!$B:$B,$C98&amp;" ml"),"")))</f>
        <v/>
      </c>
      <c r="G98" s="196" t="str">
        <f>IFERROR(ROUNDUP(D98/F98,0),"")</f>
        <v/>
      </c>
      <c r="H98" s="197"/>
      <c r="I98" s="193" t="str">
        <f>IF(H98="","",H98*IF(SUMIFS(CONFIG_PALLETS!$D:$D,CONFIG_PALLETS!$A:$A,IF(ISNUMBER(SEARCH("ESPUMA",$B98)),"ESPUMA",IF(OR(ISNUMBER(SEARCH("OLEO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ml")&gt;0,SUMIFS(CONFIG_PALLETS!$D:$D,CONFIG_PALLETS!$A:$A,IF(ISNUMBER(SEARCH("ESPUMA",$B98)),"ESPUMA",IF(OR(ISNUMBER(SEARCH("OLEO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ml"),IF(SUMIFS(CONFIG_PALLETS!$D:$D,CONFIG_PALLETS!$A:$A,"GERAL",CONFIG_PALLETS!$B:$B,$C98&amp;" ml")&gt;0,SUMIFS(CONFIG_PALLETS!$D:$D,CONFIG_PALLETS!$A:$A,"GERAL",CONFIG_PALLETS!$B:$B,$C98&amp;" ml"),12)))</f>
        <v/>
      </c>
    </row>
    <row r="99" spans="1:13" ht="21" customHeight="1" x14ac:dyDescent="0.3">
      <c r="A99" s="215"/>
      <c r="B99" s="191"/>
      <c r="C99" s="192"/>
      <c r="D99" s="193"/>
      <c r="E99" s="194" t="s">
        <v>214</v>
      </c>
      <c r="F99" s="195" t="str">
        <f>IF($B99="","",IF(SUMIFS(CONFIG_PALLETS!$C:$C,CONFIG_PALLETS!$A:$A,TRIM($B99),CONFIG_PALLETS!$B:$B,$C99&amp;" ml")&gt;0,SUMIFS(CONFIG_PALLETS!$C:$C,CONFIG_PALLETS!$A:$A,TRIM($B99),CONFIG_PALLETS!$B:$B,$C99&amp;" ml"),IF(SUMIFS(CONFIG_PALLETS!$C:$C,CONFIG_PALLETS!$A:$A,"GERAL",CONFIG_PALLETS!$B:$B,$C99&amp;" ml")&gt;0,SUMIFS(CONFIG_PALLETS!$C:$C,CONFIG_PALLETS!$A:$A,"GERAL",CONFIG_PALLETS!$B:$B,$C99&amp;" ml"),"")))</f>
        <v/>
      </c>
      <c r="G99" s="196" t="str">
        <f>IFERROR(ROUNDUP(D99/F99,0),"")</f>
        <v/>
      </c>
      <c r="H99" s="197"/>
      <c r="I99" s="193" t="str">
        <f>IF(H99="","",H99*IF(SUMIFS(CONFIG_PALLETS!$D:$D,CONFIG_PALLETS!$A:$A,IF(ISNUMBER(SEARCH("ESPUMA",$B99)),"ESPUMA",IF(OR(ISNUMBER(SEARCH("OLEO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ml")&gt;0,SUMIFS(CONFIG_PALLETS!$D:$D,CONFIG_PALLETS!$A:$A,IF(ISNUMBER(SEARCH("ESPUMA",$B99)),"ESPUMA",IF(OR(ISNUMBER(SEARCH("OLEO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ml"),IF(SUMIFS(CONFIG_PALLETS!$D:$D,CONFIG_PALLETS!$A:$A,"GERAL",CONFIG_PALLETS!$B:$B,$C99&amp;" ml")&gt;0,SUMIFS(CONFIG_PALLETS!$D:$D,CONFIG_PALLETS!$A:$A,"GERAL",CONFIG_PALLETS!$B:$B,$C99&amp;" ml"),12)))</f>
        <v/>
      </c>
    </row>
    <row r="100" spans="1:13" ht="15" customHeight="1" x14ac:dyDescent="0.3">
      <c r="A100" s="217"/>
      <c r="B100" s="199" t="s">
        <v>216</v>
      </c>
      <c r="C100" s="200"/>
      <c r="D100" s="201">
        <f>SUM(D93:D99)</f>
        <v>1427</v>
      </c>
      <c r="E100" s="202"/>
      <c r="F100" s="202"/>
      <c r="G100" s="203">
        <f>SUM(G93:G99)</f>
        <v>10</v>
      </c>
      <c r="H100" s="201">
        <f>SUM(H93:H99)</f>
        <v>1472</v>
      </c>
      <c r="I100" s="201">
        <f>SUM(I93:I99)</f>
        <v>10668</v>
      </c>
      <c r="J100" s="28">
        <f>D100</f>
        <v>1427</v>
      </c>
      <c r="K100" s="106">
        <f>G100</f>
        <v>10</v>
      </c>
      <c r="L100" s="28">
        <f>H100</f>
        <v>1472</v>
      </c>
      <c r="M100" s="28">
        <f>I100</f>
        <v>10668</v>
      </c>
    </row>
    <row r="101" spans="1:13" ht="6" customHeight="1" x14ac:dyDescent="0.3">
      <c r="C101" s="72"/>
    </row>
    <row r="102" spans="1:13" ht="15" customHeight="1" x14ac:dyDescent="0.3">
      <c r="A102" s="30">
        <v>46128</v>
      </c>
      <c r="B102" s="186" t="s">
        <v>78</v>
      </c>
      <c r="C102" s="187" t="s">
        <v>205</v>
      </c>
      <c r="D102" s="188" t="s">
        <v>206</v>
      </c>
      <c r="E102" s="188" t="s">
        <v>207</v>
      </c>
      <c r="F102" s="189" t="s">
        <v>208</v>
      </c>
      <c r="G102" s="188" t="s">
        <v>209</v>
      </c>
      <c r="H102" s="214" t="s">
        <v>210</v>
      </c>
      <c r="I102" s="214" t="s">
        <v>211</v>
      </c>
    </row>
    <row r="103" spans="1:13" ht="21" customHeight="1" x14ac:dyDescent="0.3">
      <c r="A103" s="215"/>
      <c r="B103" s="191" t="s">
        <v>160</v>
      </c>
      <c r="C103" s="192">
        <v>600</v>
      </c>
      <c r="D103" s="193">
        <f>D96-306</f>
        <v>74</v>
      </c>
      <c r="E103" s="194" t="s">
        <v>214</v>
      </c>
      <c r="F103" s="195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>95</v>
      </c>
      <c r="G103" s="196">
        <f>IFERROR(ROUNDUP(D103/F103,0),"")</f>
        <v>1</v>
      </c>
      <c r="H103" s="197">
        <v>74</v>
      </c>
      <c r="I103" s="193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>888</v>
      </c>
    </row>
    <row r="104" spans="1:13" ht="21" customHeight="1" x14ac:dyDescent="0.3">
      <c r="A104" s="215"/>
      <c r="B104" s="191" t="s">
        <v>538</v>
      </c>
      <c r="C104" s="192">
        <v>125</v>
      </c>
      <c r="D104" s="193">
        <v>480</v>
      </c>
      <c r="E104" s="194" t="s">
        <v>214</v>
      </c>
      <c r="F104" s="195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>240</v>
      </c>
      <c r="G104" s="196">
        <f>IFERROR(ROUNDUP(D104/F104,0),"")</f>
        <v>2</v>
      </c>
      <c r="H104" s="197">
        <v>469</v>
      </c>
      <c r="I104" s="193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>5628</v>
      </c>
    </row>
    <row r="105" spans="1:13" ht="21" customHeight="1" x14ac:dyDescent="0.3">
      <c r="A105" s="215"/>
      <c r="B105" s="191" t="s">
        <v>539</v>
      </c>
      <c r="C105" s="192">
        <v>100</v>
      </c>
      <c r="D105" s="193">
        <v>500</v>
      </c>
      <c r="E105" s="194" t="s">
        <v>214</v>
      </c>
      <c r="F105" s="195">
        <f>IF($B105="","",IF(SUMIFS(CONFIG_PALLETS!$C:$C,CONFIG_PALLETS!$A:$A,TRIM($B105),CONFIG_PALLETS!$B:$B,$C105&amp;" ml")&gt;0,SUMIFS(CONFIG_PALLETS!$C:$C,CONFIG_PALLETS!$A:$A,TRIM($B105),CONFIG_PALLETS!$B:$B,$C105&amp;" ml"),IF(SUMIFS(CONFIG_PALLETS!$C:$C,CONFIG_PALLETS!$A:$A,"GERAL",CONFIG_PALLETS!$B:$B,$C105&amp;" ml")&gt;0,SUMIFS(CONFIG_PALLETS!$C:$C,CONFIG_PALLETS!$A:$A,"GERAL",CONFIG_PALLETS!$B:$B,$C105&amp;" ml"),"")))</f>
        <v>240</v>
      </c>
      <c r="G105" s="196">
        <f>IFERROR(ROUNDUP(D105/F105,0),"")</f>
        <v>3</v>
      </c>
      <c r="H105" s="197">
        <v>454</v>
      </c>
      <c r="I105" s="193">
        <f>IF(H105="","",H105*IF(SUMIFS(CONFIG_PALLETS!$D:$D,CONFIG_PALLETS!$A:$A,IF(ISNUMBER(SEARCH("ESPUMA",$B105)),"ESPUMA",IF(OR(ISNUMBER(SEARCH("OLEO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ml")&gt;0,SUMIFS(CONFIG_PALLETS!$D:$D,CONFIG_PALLETS!$A:$A,IF(ISNUMBER(SEARCH("ESPUMA",$B105)),"ESPUMA",IF(OR(ISNUMBER(SEARCH("OLEO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ml"),IF(SUMIFS(CONFIG_PALLETS!$D:$D,CONFIG_PALLETS!$A:$A,"GERAL",CONFIG_PALLETS!$B:$B,$C105&amp;" ml")&gt;0,SUMIFS(CONFIG_PALLETS!$D:$D,CONFIG_PALLETS!$A:$A,"GERAL",CONFIG_PALLETS!$B:$B,$C105&amp;" ml"),12)))</f>
        <v>5448</v>
      </c>
    </row>
    <row r="106" spans="1:13" ht="21" customHeight="1" x14ac:dyDescent="0.3">
      <c r="A106" s="215"/>
      <c r="B106" s="191"/>
      <c r="C106" s="192"/>
      <c r="D106" s="193"/>
      <c r="E106" s="194" t="s">
        <v>214</v>
      </c>
      <c r="F106" s="195" t="str">
        <f>IF($B106="","",IF(SUMIFS(CONFIG_PALLETS!$C:$C,CONFIG_PALLETS!$A:$A,TRIM($B106),CONFIG_PALLETS!$B:$B,$C106&amp;" ml")&gt;0,SUMIFS(CONFIG_PALLETS!$C:$C,CONFIG_PALLETS!$A:$A,TRIM($B106),CONFIG_PALLETS!$B:$B,$C106&amp;" ml"),IF(SUMIFS(CONFIG_PALLETS!$C:$C,CONFIG_PALLETS!$A:$A,"GERAL",CONFIG_PALLETS!$B:$B,$C106&amp;" ml")&gt;0,SUMIFS(CONFIG_PALLETS!$C:$C,CONFIG_PALLETS!$A:$A,"GERAL",CONFIG_PALLETS!$B:$B,$C106&amp;" ml"),"")))</f>
        <v/>
      </c>
      <c r="G106" s="196" t="str">
        <f>IFERROR(ROUNDUP(D106/F106,0),"")</f>
        <v/>
      </c>
      <c r="H106" s="197"/>
      <c r="I106" s="193" t="str">
        <f>IF(H106="","",H106*IF(SUMIFS(CONFIG_PALLETS!$D:$D,CONFIG_PALLETS!$A:$A,IF(ISNUMBER(SEARCH("ESPUMA",$B106)),"ESPUMA",IF(OR(ISNUMBER(SEARCH("OLEO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ml")&gt;0,SUMIFS(CONFIG_PALLETS!$D:$D,CONFIG_PALLETS!$A:$A,IF(ISNUMBER(SEARCH("ESPUMA",$B106)),"ESPUMA",IF(OR(ISNUMBER(SEARCH("OLEO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ml"),IF(SUMIFS(CONFIG_PALLETS!$D:$D,CONFIG_PALLETS!$A:$A,"GERAL",CONFIG_PALLETS!$B:$B,$C106&amp;" ml")&gt;0,SUMIFS(CONFIG_PALLETS!$D:$D,CONFIG_PALLETS!$A:$A,"GERAL",CONFIG_PALLETS!$B:$B,$C106&amp;" ml"),12)))</f>
        <v/>
      </c>
    </row>
    <row r="107" spans="1:13" ht="21" customHeight="1" x14ac:dyDescent="0.3">
      <c r="A107" s="215"/>
      <c r="B107" s="191"/>
      <c r="C107" s="192"/>
      <c r="D107" s="193"/>
      <c r="E107" s="194" t="s">
        <v>214</v>
      </c>
      <c r="F107" s="195" t="str">
        <f>IF($B107="","",IF(SUMIFS(CONFIG_PALLETS!$C:$C,CONFIG_PALLETS!$A:$A,TRIM($B107),CONFIG_PALLETS!$B:$B,$C107&amp;" ml")&gt;0,SUMIFS(CONFIG_PALLETS!$C:$C,CONFIG_PALLETS!$A:$A,TRIM($B107),CONFIG_PALLETS!$B:$B,$C107&amp;" ml"),IF(SUMIFS(CONFIG_PALLETS!$C:$C,CONFIG_PALLETS!$A:$A,"GERAL",CONFIG_PALLETS!$B:$B,$C107&amp;" ml")&gt;0,SUMIFS(CONFIG_PALLETS!$C:$C,CONFIG_PALLETS!$A:$A,"GERAL",CONFIG_PALLETS!$B:$B,$C107&amp;" ml"),"")))</f>
        <v/>
      </c>
      <c r="G107" s="196" t="str">
        <f>IFERROR(ROUNDUP(D107/F107,0),"")</f>
        <v/>
      </c>
      <c r="H107" s="197"/>
      <c r="I107" s="193" t="str">
        <f>IF(H107="","",H107*IF(SUMIFS(CONFIG_PALLETS!$D:$D,CONFIG_PALLETS!$A:$A,IF(ISNUMBER(SEARCH("ESPUMA",$B107)),"ESPUMA",IF(OR(ISNUMBER(SEARCH("OLEO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ml")&gt;0,SUMIFS(CONFIG_PALLETS!$D:$D,CONFIG_PALLETS!$A:$A,IF(ISNUMBER(SEARCH("ESPUMA",$B107)),"ESPUMA",IF(OR(ISNUMBER(SEARCH("OLEO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ml"),IF(SUMIFS(CONFIG_PALLETS!$D:$D,CONFIG_PALLETS!$A:$A,"GERAL",CONFIG_PALLETS!$B:$B,$C107&amp;" ml")&gt;0,SUMIFS(CONFIG_PALLETS!$D:$D,CONFIG_PALLETS!$A:$A,"GERAL",CONFIG_PALLETS!$B:$B,$C107&amp;" ml"),12)))</f>
        <v/>
      </c>
    </row>
    <row r="108" spans="1:13" ht="15" customHeight="1" x14ac:dyDescent="0.3">
      <c r="A108" s="217"/>
      <c r="B108" s="199" t="s">
        <v>216</v>
      </c>
      <c r="C108" s="200"/>
      <c r="D108" s="201">
        <f>SUM(D101:D107)</f>
        <v>1054</v>
      </c>
      <c r="E108" s="202"/>
      <c r="F108" s="202"/>
      <c r="G108" s="203">
        <f>SUM(G101:G107)</f>
        <v>6</v>
      </c>
      <c r="H108" s="201">
        <f>SUM(H101:H107)</f>
        <v>997</v>
      </c>
      <c r="I108" s="201">
        <f>SUM(I101:I107)</f>
        <v>11964</v>
      </c>
      <c r="J108" s="28">
        <f>D108</f>
        <v>1054</v>
      </c>
      <c r="K108" s="106">
        <f>G108</f>
        <v>6</v>
      </c>
      <c r="L108" s="28">
        <f>H108</f>
        <v>997</v>
      </c>
      <c r="M108" s="28">
        <f>I108</f>
        <v>11964</v>
      </c>
    </row>
    <row r="109" spans="1:13" ht="6" customHeight="1" x14ac:dyDescent="0.3">
      <c r="C109" s="72"/>
    </row>
    <row r="110" spans="1:13" ht="15" customHeight="1" x14ac:dyDescent="0.3">
      <c r="A110" s="30">
        <v>46129</v>
      </c>
      <c r="B110" s="186" t="s">
        <v>78</v>
      </c>
      <c r="C110" s="187" t="s">
        <v>205</v>
      </c>
      <c r="D110" s="188" t="s">
        <v>206</v>
      </c>
      <c r="E110" s="188" t="s">
        <v>207</v>
      </c>
      <c r="F110" s="189" t="s">
        <v>208</v>
      </c>
      <c r="G110" s="188" t="s">
        <v>209</v>
      </c>
      <c r="H110" s="214" t="s">
        <v>210</v>
      </c>
      <c r="I110" s="214" t="s">
        <v>211</v>
      </c>
    </row>
    <row r="111" spans="1:13" ht="21" customHeight="1" x14ac:dyDescent="0.3">
      <c r="A111" s="215"/>
      <c r="B111" s="191"/>
      <c r="C111" s="192"/>
      <c r="D111" s="193"/>
      <c r="E111" s="194" t="s">
        <v>214</v>
      </c>
      <c r="F111" s="195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196"/>
      <c r="H111" s="197"/>
      <c r="I111" s="193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3">
      <c r="A112" s="215"/>
      <c r="B112" s="633" t="s">
        <v>540</v>
      </c>
      <c r="C112" s="192"/>
      <c r="D112" s="193"/>
      <c r="E112" s="194" t="s">
        <v>214</v>
      </c>
      <c r="F112" s="195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196" t="str">
        <f>IFERROR(ROUNDUP(D112/F112,0),"")</f>
        <v/>
      </c>
      <c r="H112" s="197"/>
      <c r="I112" s="193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21" customHeight="1" x14ac:dyDescent="0.3">
      <c r="A113" s="215"/>
      <c r="B113" s="633"/>
      <c r="C113" s="192"/>
      <c r="D113" s="193"/>
      <c r="E113" s="194" t="s">
        <v>214</v>
      </c>
      <c r="F113" s="195" t="str">
        <f>IF($B113="","",IF(SUMIFS(CONFIG_PALLETS!$C:$C,CONFIG_PALLETS!$A:$A,TRIM($B113),CONFIG_PALLETS!$B:$B,$C113&amp;" ml")&gt;0,SUMIFS(CONFIG_PALLETS!$C:$C,CONFIG_PALLETS!$A:$A,TRIM($B113),CONFIG_PALLETS!$B:$B,$C113&amp;" ml"),IF(SUMIFS(CONFIG_PALLETS!$C:$C,CONFIG_PALLETS!$A:$A,"GERAL",CONFIG_PALLETS!$B:$B,$C113&amp;" ml")&gt;0,SUMIFS(CONFIG_PALLETS!$C:$C,CONFIG_PALLETS!$A:$A,"GERAL",CONFIG_PALLETS!$B:$B,$C113&amp;" ml"),"")))</f>
        <v/>
      </c>
      <c r="G113" s="196" t="str">
        <f>IFERROR(ROUNDUP(D113/F113,0),"")</f>
        <v/>
      </c>
      <c r="H113" s="197"/>
      <c r="I113" s="193" t="str">
        <f>IF(H113="","",H113*IF(SUMIFS(CONFIG_PALLETS!$D:$D,CONFIG_PALLETS!$A:$A,IF(ISNUMBER(SEARCH("ESPUMA",$B113)),"ESPUMA",IF(OR(ISNUMBER(SEARCH("OLEO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ml")&gt;0,SUMIFS(CONFIG_PALLETS!$D:$D,CONFIG_PALLETS!$A:$A,IF(ISNUMBER(SEARCH("ESPUMA",$B113)),"ESPUMA",IF(OR(ISNUMBER(SEARCH("OLEO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ml"),IF(SUMIFS(CONFIG_PALLETS!$D:$D,CONFIG_PALLETS!$A:$A,"GERAL",CONFIG_PALLETS!$B:$B,$C113&amp;" ml")&gt;0,SUMIFS(CONFIG_PALLETS!$D:$D,CONFIG_PALLETS!$A:$A,"GERAL",CONFIG_PALLETS!$B:$B,$C113&amp;" ml"),12)))</f>
        <v/>
      </c>
    </row>
    <row r="114" spans="1:13" ht="21" customHeight="1" x14ac:dyDescent="0.3">
      <c r="A114" s="215"/>
      <c r="B114" s="633"/>
      <c r="C114" s="192"/>
      <c r="D114" s="193"/>
      <c r="E114" s="194" t="s">
        <v>214</v>
      </c>
      <c r="F114" s="195" t="str">
        <f>IF($B114="","",IF(SUMIFS(CONFIG_PALLETS!$C:$C,CONFIG_PALLETS!$A:$A,TRIM($B114),CONFIG_PALLETS!$B:$B,$C114&amp;" ml")&gt;0,SUMIFS(CONFIG_PALLETS!$C:$C,CONFIG_PALLETS!$A:$A,TRIM($B114),CONFIG_PALLETS!$B:$B,$C114&amp;" ml"),IF(SUMIFS(CONFIG_PALLETS!$C:$C,CONFIG_PALLETS!$A:$A,"GERAL",CONFIG_PALLETS!$B:$B,$C114&amp;" ml")&gt;0,SUMIFS(CONFIG_PALLETS!$C:$C,CONFIG_PALLETS!$A:$A,"GERAL",CONFIG_PALLETS!$B:$B,$C114&amp;" ml"),"")))</f>
        <v/>
      </c>
      <c r="G114" s="196" t="str">
        <f>IFERROR(ROUNDUP(D114/F114,0),"")</f>
        <v/>
      </c>
      <c r="H114" s="197"/>
      <c r="I114" s="193" t="str">
        <f>IF(H114="","",H114*IF(SUMIFS(CONFIG_PALLETS!$D:$D,CONFIG_PALLETS!$A:$A,IF(ISNUMBER(SEARCH("ESPUMA",$B114)),"ESPUMA",IF(OR(ISNUMBER(SEARCH("OLEO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ml")&gt;0,SUMIFS(CONFIG_PALLETS!$D:$D,CONFIG_PALLETS!$A:$A,IF(ISNUMBER(SEARCH("ESPUMA",$B114)),"ESPUMA",IF(OR(ISNUMBER(SEARCH("OLEO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ml"),IF(SUMIFS(CONFIG_PALLETS!$D:$D,CONFIG_PALLETS!$A:$A,"GERAL",CONFIG_PALLETS!$B:$B,$C114&amp;" ml")&gt;0,SUMIFS(CONFIG_PALLETS!$D:$D,CONFIG_PALLETS!$A:$A,"GERAL",CONFIG_PALLETS!$B:$B,$C114&amp;" ml"),12)))</f>
        <v/>
      </c>
    </row>
    <row r="115" spans="1:13" ht="21" customHeight="1" x14ac:dyDescent="0.3">
      <c r="A115" s="215"/>
      <c r="B115" s="191"/>
      <c r="C115" s="192"/>
      <c r="D115" s="193"/>
      <c r="E115" s="194" t="s">
        <v>214</v>
      </c>
      <c r="F115" s="195" t="str">
        <f>IF($B115="","",IF(SUMIFS(CONFIG_PALLETS!$C:$C,CONFIG_PALLETS!$A:$A,TRIM($B115),CONFIG_PALLETS!$B:$B,$C115&amp;" ml")&gt;0,SUMIFS(CONFIG_PALLETS!$C:$C,CONFIG_PALLETS!$A:$A,TRIM($B115),CONFIG_PALLETS!$B:$B,$C115&amp;" ml"),IF(SUMIFS(CONFIG_PALLETS!$C:$C,CONFIG_PALLETS!$A:$A,"GERAL",CONFIG_PALLETS!$B:$B,$C115&amp;" ml")&gt;0,SUMIFS(CONFIG_PALLETS!$C:$C,CONFIG_PALLETS!$A:$A,"GERAL",CONFIG_PALLETS!$B:$B,$C115&amp;" ml"),"")))</f>
        <v/>
      </c>
      <c r="G115" s="196" t="str">
        <f>IFERROR(ROUNDUP(D115/F115,0),"")</f>
        <v/>
      </c>
      <c r="H115" s="197"/>
      <c r="I115" s="193" t="str">
        <f>IF(H115="","",H115*IF(SUMIFS(CONFIG_PALLETS!$D:$D,CONFIG_PALLETS!$A:$A,IF(ISNUMBER(SEARCH("ESPUMA",$B115)),"ESPUMA",IF(OR(ISNUMBER(SEARCH("OLEO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ml")&gt;0,SUMIFS(CONFIG_PALLETS!$D:$D,CONFIG_PALLETS!$A:$A,IF(ISNUMBER(SEARCH("ESPUMA",$B115)),"ESPUMA",IF(OR(ISNUMBER(SEARCH("OLEO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ml"),IF(SUMIFS(CONFIG_PALLETS!$D:$D,CONFIG_PALLETS!$A:$A,"GERAL",CONFIG_PALLETS!$B:$B,$C115&amp;" ml")&gt;0,SUMIFS(CONFIG_PALLETS!$D:$D,CONFIG_PALLETS!$A:$A,"GERAL",CONFIG_PALLETS!$B:$B,$C115&amp;" ml"),12)))</f>
        <v/>
      </c>
    </row>
    <row r="116" spans="1:13" ht="21" customHeight="1" x14ac:dyDescent="0.3">
      <c r="A116" s="217"/>
      <c r="B116" s="199" t="s">
        <v>216</v>
      </c>
      <c r="C116" s="200"/>
      <c r="D116" s="201">
        <f>SUM(D109:D115)</f>
        <v>0</v>
      </c>
      <c r="E116" s="202"/>
      <c r="F116" s="202"/>
      <c r="G116" s="203">
        <f>SUM(G109:G115)</f>
        <v>0</v>
      </c>
      <c r="H116" s="201">
        <f>SUM(H109:H115)</f>
        <v>0</v>
      </c>
      <c r="I116" s="201">
        <f>SUM(I109:I115)</f>
        <v>0</v>
      </c>
      <c r="J116" s="28">
        <f>D116</f>
        <v>0</v>
      </c>
      <c r="K116" s="106">
        <f>G116</f>
        <v>0</v>
      </c>
      <c r="L116" s="28">
        <f>H116</f>
        <v>0</v>
      </c>
      <c r="M116" s="28">
        <f>I116</f>
        <v>0</v>
      </c>
    </row>
    <row r="117" spans="1:13" ht="21" customHeight="1" x14ac:dyDescent="0.3">
      <c r="C117" s="72"/>
    </row>
    <row r="118" spans="1:13" ht="21" customHeight="1" x14ac:dyDescent="0.3">
      <c r="A118" s="30">
        <v>46130</v>
      </c>
      <c r="B118" s="186" t="s">
        <v>78</v>
      </c>
      <c r="C118" s="187" t="s">
        <v>205</v>
      </c>
      <c r="D118" s="188" t="s">
        <v>206</v>
      </c>
      <c r="E118" s="188" t="s">
        <v>207</v>
      </c>
      <c r="F118" s="189" t="s">
        <v>208</v>
      </c>
      <c r="G118" s="188" t="s">
        <v>209</v>
      </c>
      <c r="H118" s="214" t="s">
        <v>210</v>
      </c>
      <c r="I118" s="214" t="s">
        <v>211</v>
      </c>
    </row>
    <row r="119" spans="1:13" ht="21" customHeight="1" x14ac:dyDescent="0.3">
      <c r="A119" s="215"/>
      <c r="B119" s="191" t="s">
        <v>541</v>
      </c>
      <c r="C119" s="192">
        <v>600</v>
      </c>
      <c r="D119" s="193">
        <v>50</v>
      </c>
      <c r="E119" s="194" t="s">
        <v>214</v>
      </c>
      <c r="F119" s="195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>95</v>
      </c>
      <c r="G119" s="196">
        <f>IFERROR(ROUNDUP(D119/F119,0),"")</f>
        <v>1</v>
      </c>
      <c r="H119" s="197">
        <v>51</v>
      </c>
      <c r="I119" s="193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>612</v>
      </c>
    </row>
    <row r="120" spans="1:13" ht="21" customHeight="1" x14ac:dyDescent="0.3">
      <c r="A120" s="215"/>
      <c r="B120" s="191" t="s">
        <v>87</v>
      </c>
      <c r="C120" s="192">
        <v>600</v>
      </c>
      <c r="D120" s="193">
        <v>859</v>
      </c>
      <c r="E120" s="194" t="s">
        <v>214</v>
      </c>
      <c r="F120" s="195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>95</v>
      </c>
      <c r="G120" s="196">
        <f>IFERROR(ROUNDUP(D120/F120,0),"")</f>
        <v>10</v>
      </c>
      <c r="H120" s="197">
        <v>605</v>
      </c>
      <c r="I120" s="193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>7260</v>
      </c>
    </row>
    <row r="121" spans="1:13" ht="21" customHeight="1" x14ac:dyDescent="0.3">
      <c r="A121" s="215"/>
      <c r="B121" s="191"/>
      <c r="C121" s="192"/>
      <c r="D121" s="193"/>
      <c r="E121" s="194" t="s">
        <v>214</v>
      </c>
      <c r="F121" s="195" t="str">
        <f>IF($B121="","",IF(SUMIFS(CONFIG_PALLETS!$C:$C,CONFIG_PALLETS!$A:$A,TRIM($B121),CONFIG_PALLETS!$B:$B,$C121&amp;" ml")&gt;0,SUMIFS(CONFIG_PALLETS!$C:$C,CONFIG_PALLETS!$A:$A,TRIM($B121),CONFIG_PALLETS!$B:$B,$C121&amp;" ml"),IF(SUMIFS(CONFIG_PALLETS!$C:$C,CONFIG_PALLETS!$A:$A,"GERAL",CONFIG_PALLETS!$B:$B,$C121&amp;" ml")&gt;0,SUMIFS(CONFIG_PALLETS!$C:$C,CONFIG_PALLETS!$A:$A,"GERAL",CONFIG_PALLETS!$B:$B,$C121&amp;" ml"),"")))</f>
        <v/>
      </c>
      <c r="G121" s="196" t="str">
        <f>IFERROR(ROUNDUP(D121/F121,0),"")</f>
        <v/>
      </c>
      <c r="H121" s="197"/>
      <c r="I121" s="193" t="str">
        <f>IF(H121="","",H121*IF(SUMIFS(CONFIG_PALLETS!$D:$D,CONFIG_PALLETS!$A:$A,IF(ISNUMBER(SEARCH("ESPUMA",$B121)),"ESPUMA",IF(OR(ISNUMBER(SEARCH("OLEO DE COCO",$B121)),ISNUMBER(SEARCH("ÓLEO DE COCO",$B121)),ISNUMBER(SEARCH("COPRA",$B121))),"ÓLEO DE COCO",IF(ISNUMBER(SEARCH("CORANTE",$B121)),"CORANTE",TRIM($B121)))),CONFIG_PALLETS!$B:$B,$C121&amp;" ml")&gt;0,SUMIFS(CONFIG_PALLETS!$D:$D,CONFIG_PALLETS!$A:$A,IF(ISNUMBER(SEARCH("ESPUMA",$B121)),"ESPUMA",IF(OR(ISNUMBER(SEARCH("OLEO DE COCO",$B121)),ISNUMBER(SEARCH("ÓLEO DE COCO",$B121)),ISNUMBER(SEARCH("COPRA",$B121))),"ÓLEO DE COCO",IF(ISNUMBER(SEARCH("CORANTE",$B121)),"CORANTE",TRIM($B121)))),CONFIG_PALLETS!$B:$B,$C121&amp;" ml"),IF(SUMIFS(CONFIG_PALLETS!$D:$D,CONFIG_PALLETS!$A:$A,"GERAL",CONFIG_PALLETS!$B:$B,$C121&amp;" ml")&gt;0,SUMIFS(CONFIG_PALLETS!$D:$D,CONFIG_PALLETS!$A:$A,"GERAL",CONFIG_PALLETS!$B:$B,$C121&amp;" ml"),12)))</f>
        <v/>
      </c>
    </row>
    <row r="122" spans="1:13" ht="21" customHeight="1" x14ac:dyDescent="0.3">
      <c r="A122" s="215"/>
      <c r="B122" s="191"/>
      <c r="C122" s="192"/>
      <c r="D122" s="193"/>
      <c r="E122" s="194" t="s">
        <v>214</v>
      </c>
      <c r="F122" s="195" t="str">
        <f>IF($B122="","",IF(SUMIFS(CONFIG_PALLETS!$C:$C,CONFIG_PALLETS!$A:$A,TRIM($B122),CONFIG_PALLETS!$B:$B,$C122&amp;" ml")&gt;0,SUMIFS(CONFIG_PALLETS!$C:$C,CONFIG_PALLETS!$A:$A,TRIM($B122),CONFIG_PALLETS!$B:$B,$C122&amp;" ml"),IF(SUMIFS(CONFIG_PALLETS!$C:$C,CONFIG_PALLETS!$A:$A,"GERAL",CONFIG_PALLETS!$B:$B,$C122&amp;" ml")&gt;0,SUMIFS(CONFIG_PALLETS!$C:$C,CONFIG_PALLETS!$A:$A,"GERAL",CONFIG_PALLETS!$B:$B,$C122&amp;" ml"),"")))</f>
        <v/>
      </c>
      <c r="G122" s="196" t="str">
        <f>IFERROR(ROUNDUP(D122/F122,0),"")</f>
        <v/>
      </c>
      <c r="H122" s="197"/>
      <c r="I122" s="193" t="str">
        <f>IF(H122="","",H122*IF(SUMIFS(CONFIG_PALLETS!$D:$D,CONFIG_PALLETS!$A:$A,IF(ISNUMBER(SEARCH("ESPUMA",$B122)),"ESPUMA",IF(OR(ISNUMBER(SEARCH("OLEO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ml")&gt;0,SUMIFS(CONFIG_PALLETS!$D:$D,CONFIG_PALLETS!$A:$A,IF(ISNUMBER(SEARCH("ESPUMA",$B122)),"ESPUMA",IF(OR(ISNUMBER(SEARCH("OLEO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ml"),IF(SUMIFS(CONFIG_PALLETS!$D:$D,CONFIG_PALLETS!$A:$A,"GERAL",CONFIG_PALLETS!$B:$B,$C122&amp;" ml")&gt;0,SUMIFS(CONFIG_PALLETS!$D:$D,CONFIG_PALLETS!$A:$A,"GERAL",CONFIG_PALLETS!$B:$B,$C122&amp;" ml"),12)))</f>
        <v/>
      </c>
    </row>
    <row r="123" spans="1:13" ht="21" customHeight="1" x14ac:dyDescent="0.3">
      <c r="A123" s="215"/>
      <c r="B123" s="191"/>
      <c r="C123" s="192"/>
      <c r="D123" s="193"/>
      <c r="E123" s="194" t="s">
        <v>214</v>
      </c>
      <c r="F123" s="195" t="str">
        <f>IF($B123="","",IF(SUMIFS(CONFIG_PALLETS!$C:$C,CONFIG_PALLETS!$A:$A,TRIM($B123),CONFIG_PALLETS!$B:$B,$C123&amp;" ml")&gt;0,SUMIFS(CONFIG_PALLETS!$C:$C,CONFIG_PALLETS!$A:$A,TRIM($B123),CONFIG_PALLETS!$B:$B,$C123&amp;" ml"),IF(SUMIFS(CONFIG_PALLETS!$C:$C,CONFIG_PALLETS!$A:$A,"GERAL",CONFIG_PALLETS!$B:$B,$C123&amp;" ml")&gt;0,SUMIFS(CONFIG_PALLETS!$C:$C,CONFIG_PALLETS!$A:$A,"GERAL",CONFIG_PALLETS!$B:$B,$C123&amp;" ml"),"")))</f>
        <v/>
      </c>
      <c r="G123" s="196" t="str">
        <f>IFERROR(ROUNDUP(D123/F123,0),"")</f>
        <v/>
      </c>
      <c r="H123" s="197"/>
      <c r="I123" s="193" t="str">
        <f>IF(H123="","",H123*IF(SUMIFS(CONFIG_PALLETS!$D:$D,CONFIG_PALLETS!$A:$A,IF(ISNUMBER(SEARCH("ESPUMA",$B123)),"ESPUMA",IF(OR(ISNUMBER(SEARCH("OLEO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ml")&gt;0,SUMIFS(CONFIG_PALLETS!$D:$D,CONFIG_PALLETS!$A:$A,IF(ISNUMBER(SEARCH("ESPUMA",$B123)),"ESPUMA",IF(OR(ISNUMBER(SEARCH("OLEO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ml"),IF(SUMIFS(CONFIG_PALLETS!$D:$D,CONFIG_PALLETS!$A:$A,"GERAL",CONFIG_PALLETS!$B:$B,$C123&amp;" ml")&gt;0,SUMIFS(CONFIG_PALLETS!$D:$D,CONFIG_PALLETS!$A:$A,"GERAL",CONFIG_PALLETS!$B:$B,$C123&amp;" ml"),12)))</f>
        <v/>
      </c>
    </row>
    <row r="124" spans="1:13" ht="15" customHeight="1" x14ac:dyDescent="0.3">
      <c r="A124" s="217"/>
      <c r="B124" s="199" t="s">
        <v>216</v>
      </c>
      <c r="C124" s="200"/>
      <c r="D124" s="201">
        <f>SUM(D117:D123)</f>
        <v>909</v>
      </c>
      <c r="E124" s="202"/>
      <c r="F124" s="202"/>
      <c r="G124" s="203">
        <f>SUM(G117:G123)</f>
        <v>11</v>
      </c>
      <c r="H124" s="201">
        <f>SUM(H117:H123)</f>
        <v>656</v>
      </c>
      <c r="I124" s="201">
        <f>SUM(I117:I123)</f>
        <v>7872</v>
      </c>
      <c r="J124" s="28">
        <f>D124</f>
        <v>909</v>
      </c>
      <c r="K124" s="106">
        <f>G124</f>
        <v>11</v>
      </c>
      <c r="L124" s="28">
        <f>H124</f>
        <v>656</v>
      </c>
      <c r="M124" s="28">
        <f>I124</f>
        <v>7872</v>
      </c>
    </row>
    <row r="125" spans="1:13" ht="6" customHeight="1" x14ac:dyDescent="0.3">
      <c r="C125" s="72"/>
    </row>
    <row r="126" spans="1:13" ht="15" customHeight="1" x14ac:dyDescent="0.3">
      <c r="A126" s="30">
        <v>46132</v>
      </c>
      <c r="B126" s="186" t="s">
        <v>78</v>
      </c>
      <c r="C126" s="187" t="s">
        <v>205</v>
      </c>
      <c r="D126" s="188" t="s">
        <v>206</v>
      </c>
      <c r="E126" s="188" t="s">
        <v>207</v>
      </c>
      <c r="F126" s="189" t="s">
        <v>208</v>
      </c>
      <c r="G126" s="188" t="s">
        <v>209</v>
      </c>
      <c r="H126" s="214" t="s">
        <v>210</v>
      </c>
      <c r="I126" s="214" t="s">
        <v>211</v>
      </c>
    </row>
    <row r="127" spans="1:13" ht="21" customHeight="1" x14ac:dyDescent="0.3">
      <c r="A127" s="215"/>
      <c r="B127" s="191" t="s">
        <v>542</v>
      </c>
      <c r="C127" s="192">
        <v>600</v>
      </c>
      <c r="D127" s="193">
        <f>D120-H120</f>
        <v>254</v>
      </c>
      <c r="E127" s="194" t="s">
        <v>214</v>
      </c>
      <c r="F127" s="195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>95</v>
      </c>
      <c r="G127" s="196">
        <f>IFERROR(ROUNDUP(D127/F127,0),"")</f>
        <v>3</v>
      </c>
      <c r="H127" s="197">
        <v>254</v>
      </c>
      <c r="I127" s="193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>3048</v>
      </c>
    </row>
    <row r="128" spans="1:13" ht="21" customHeight="1" x14ac:dyDescent="0.3">
      <c r="A128" s="215"/>
      <c r="B128" s="191" t="s">
        <v>60</v>
      </c>
      <c r="C128" s="192">
        <v>600</v>
      </c>
      <c r="D128" s="193">
        <v>665</v>
      </c>
      <c r="E128" s="194" t="s">
        <v>214</v>
      </c>
      <c r="F128" s="195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>95</v>
      </c>
      <c r="G128" s="196">
        <f>IFERROR(ROUNDUP(D128/F128,0),"")</f>
        <v>7</v>
      </c>
      <c r="H128" s="197">
        <v>672</v>
      </c>
      <c r="I128" s="193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>8064</v>
      </c>
    </row>
    <row r="129" spans="1:13" ht="21" customHeight="1" x14ac:dyDescent="0.3">
      <c r="A129" s="215"/>
      <c r="B129" s="191"/>
      <c r="C129" s="192"/>
      <c r="D129" s="193"/>
      <c r="E129" s="194" t="s">
        <v>214</v>
      </c>
      <c r="F129" s="195" t="str">
        <f>IF($B129="","",IF(SUMIFS(CONFIG_PALLETS!$C:$C,CONFIG_PALLETS!$A:$A,TRIM($B129),CONFIG_PALLETS!$B:$B,$C129&amp;" ml")&gt;0,SUMIFS(CONFIG_PALLETS!$C:$C,CONFIG_PALLETS!$A:$A,TRIM($B129),CONFIG_PALLETS!$B:$B,$C129&amp;" ml"),IF(SUMIFS(CONFIG_PALLETS!$C:$C,CONFIG_PALLETS!$A:$A,"GERAL",CONFIG_PALLETS!$B:$B,$C129&amp;" ml")&gt;0,SUMIFS(CONFIG_PALLETS!$C:$C,CONFIG_PALLETS!$A:$A,"GERAL",CONFIG_PALLETS!$B:$B,$C129&amp;" ml"),"")))</f>
        <v/>
      </c>
      <c r="G129" s="196"/>
      <c r="H129" s="197"/>
      <c r="I129" s="193" t="str">
        <f>IF(H129="","",H129*IF(SUMIFS(CONFIG_PALLETS!$D:$D,CONFIG_PALLETS!$A:$A,IF(ISNUMBER(SEARCH("ESPUMA",$B129)),"ESPUMA",IF(OR(ISNUMBER(SEARCH("OLEO DE COCO",$B129)),ISNUMBER(SEARCH("ÓLEO DE COCO",$B129)),ISNUMBER(SEARCH("COPRA",$B129))),"ÓLEO DE COCO",IF(ISNUMBER(SEARCH("CORANTE",$B129)),"CORANTE",TRIM($B129)))),CONFIG_PALLETS!$B:$B,$C129&amp;" ml")&gt;0,SUMIFS(CONFIG_PALLETS!$D:$D,CONFIG_PALLETS!$A:$A,IF(ISNUMBER(SEARCH("ESPUMA",$B129)),"ESPUMA",IF(OR(ISNUMBER(SEARCH("OLEO DE COCO",$B129)),ISNUMBER(SEARCH("ÓLEO DE COCO",$B129)),ISNUMBER(SEARCH("COPRA",$B129))),"ÓLEO DE COCO",IF(ISNUMBER(SEARCH("CORANTE",$B129)),"CORANTE",TRIM($B129)))),CONFIG_PALLETS!$B:$B,$C129&amp;" ml"),IF(SUMIFS(CONFIG_PALLETS!$D:$D,CONFIG_PALLETS!$A:$A,"GERAL",CONFIG_PALLETS!$B:$B,$C129&amp;" ml")&gt;0,SUMIFS(CONFIG_PALLETS!$D:$D,CONFIG_PALLETS!$A:$A,"GERAL",CONFIG_PALLETS!$B:$B,$C129&amp;" ml"),12)))</f>
        <v/>
      </c>
    </row>
    <row r="130" spans="1:13" ht="21" customHeight="1" x14ac:dyDescent="0.3">
      <c r="A130" s="215"/>
      <c r="B130" s="191"/>
      <c r="C130" s="192"/>
      <c r="D130" s="193"/>
      <c r="E130" s="194" t="s">
        <v>214</v>
      </c>
      <c r="F130" s="195" t="str">
        <f>IF($B130="","",IF(SUMIFS(CONFIG_PALLETS!$C:$C,CONFIG_PALLETS!$A:$A,TRIM($B130),CONFIG_PALLETS!$B:$B,$C130&amp;" ml")&gt;0,SUMIFS(CONFIG_PALLETS!$C:$C,CONFIG_PALLETS!$A:$A,TRIM($B130),CONFIG_PALLETS!$B:$B,$C130&amp;" ml"),IF(SUMIFS(CONFIG_PALLETS!$C:$C,CONFIG_PALLETS!$A:$A,"GERAL",CONFIG_PALLETS!$B:$B,$C130&amp;" ml")&gt;0,SUMIFS(CONFIG_PALLETS!$C:$C,CONFIG_PALLETS!$A:$A,"GERAL",CONFIG_PALLETS!$B:$B,$C130&amp;" ml"),"")))</f>
        <v/>
      </c>
      <c r="G130" s="196" t="str">
        <f>IFERROR(ROUNDUP(D130/F130,0),"")</f>
        <v/>
      </c>
      <c r="H130" s="197"/>
      <c r="I130" s="193" t="str">
        <f>IF(H130="","",H130*IF(SUMIFS(CONFIG_PALLETS!$D:$D,CONFIG_PALLETS!$A:$A,IF(ISNUMBER(SEARCH("ESPUMA",$B130)),"ESPUMA",IF(OR(ISNUMBER(SEARCH("OLEO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ml")&gt;0,SUMIFS(CONFIG_PALLETS!$D:$D,CONFIG_PALLETS!$A:$A,IF(ISNUMBER(SEARCH("ESPUMA",$B130)),"ESPUMA",IF(OR(ISNUMBER(SEARCH("OLEO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ml"),IF(SUMIFS(CONFIG_PALLETS!$D:$D,CONFIG_PALLETS!$A:$A,"GERAL",CONFIG_PALLETS!$B:$B,$C130&amp;" ml")&gt;0,SUMIFS(CONFIG_PALLETS!$D:$D,CONFIG_PALLETS!$A:$A,"GERAL",CONFIG_PALLETS!$B:$B,$C130&amp;" ml"),12)))</f>
        <v/>
      </c>
    </row>
    <row r="131" spans="1:13" ht="21" customHeight="1" x14ac:dyDescent="0.3">
      <c r="A131" s="215"/>
      <c r="B131" s="191"/>
      <c r="C131" s="192"/>
      <c r="D131" s="193"/>
      <c r="E131" s="194" t="s">
        <v>214</v>
      </c>
      <c r="F131" s="195" t="str">
        <f>IF($B131="","",IF(SUMIFS(CONFIG_PALLETS!$C:$C,CONFIG_PALLETS!$A:$A,TRIM($B131),CONFIG_PALLETS!$B:$B,$C131&amp;" ml")&gt;0,SUMIFS(CONFIG_PALLETS!$C:$C,CONFIG_PALLETS!$A:$A,TRIM($B131),CONFIG_PALLETS!$B:$B,$C131&amp;" ml"),IF(SUMIFS(CONFIG_PALLETS!$C:$C,CONFIG_PALLETS!$A:$A,"GERAL",CONFIG_PALLETS!$B:$B,$C131&amp;" ml")&gt;0,SUMIFS(CONFIG_PALLETS!$C:$C,CONFIG_PALLETS!$A:$A,"GERAL",CONFIG_PALLETS!$B:$B,$C131&amp;" ml"),"")))</f>
        <v/>
      </c>
      <c r="G131" s="196" t="str">
        <f>IFERROR(ROUNDUP(D131/F131,0),"")</f>
        <v/>
      </c>
      <c r="H131" s="197"/>
      <c r="I131" s="193" t="str">
        <f>IF(H131="","",H131*IF(SUMIFS(CONFIG_PALLETS!$D:$D,CONFIG_PALLETS!$A:$A,IF(ISNUMBER(SEARCH("ESPUMA",$B131)),"ESPUMA",IF(OR(ISNUMBER(SEARCH("OLEO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ml")&gt;0,SUMIFS(CONFIG_PALLETS!$D:$D,CONFIG_PALLETS!$A:$A,IF(ISNUMBER(SEARCH("ESPUMA",$B131)),"ESPUMA",IF(OR(ISNUMBER(SEARCH("OLEO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ml"),IF(SUMIFS(CONFIG_PALLETS!$D:$D,CONFIG_PALLETS!$A:$A,"GERAL",CONFIG_PALLETS!$B:$B,$C131&amp;" ml")&gt;0,SUMIFS(CONFIG_PALLETS!$D:$D,CONFIG_PALLETS!$A:$A,"GERAL",CONFIG_PALLETS!$B:$B,$C131&amp;" ml"),12)))</f>
        <v/>
      </c>
    </row>
    <row r="132" spans="1:13" ht="15" customHeight="1" x14ac:dyDescent="0.3">
      <c r="A132" s="217"/>
      <c r="B132" s="199" t="s">
        <v>216</v>
      </c>
      <c r="C132" s="200"/>
      <c r="D132" s="201">
        <f>SUM(D125:D131)</f>
        <v>919</v>
      </c>
      <c r="E132" s="202"/>
      <c r="F132" s="202"/>
      <c r="G132" s="203">
        <f>SUM(G125:G131)</f>
        <v>10</v>
      </c>
      <c r="H132" s="201">
        <f>SUM(H125:H131)</f>
        <v>926</v>
      </c>
      <c r="I132" s="201">
        <f>SUM(I125:I131)</f>
        <v>11112</v>
      </c>
      <c r="J132" s="28">
        <f>D132</f>
        <v>919</v>
      </c>
      <c r="K132" s="106">
        <f>G132</f>
        <v>10</v>
      </c>
      <c r="L132" s="28">
        <f>H132</f>
        <v>926</v>
      </c>
      <c r="M132" s="28">
        <f>I132</f>
        <v>11112</v>
      </c>
    </row>
    <row r="133" spans="1:13" ht="6" customHeight="1" x14ac:dyDescent="0.3">
      <c r="C133" s="72"/>
    </row>
    <row r="134" spans="1:13" ht="15" customHeight="1" x14ac:dyDescent="0.3">
      <c r="A134" s="30">
        <v>46133</v>
      </c>
      <c r="B134" s="186" t="s">
        <v>78</v>
      </c>
      <c r="C134" s="187" t="s">
        <v>205</v>
      </c>
      <c r="D134" s="188" t="s">
        <v>206</v>
      </c>
      <c r="E134" s="188" t="s">
        <v>207</v>
      </c>
      <c r="F134" s="189" t="s">
        <v>208</v>
      </c>
      <c r="G134" s="188" t="s">
        <v>209</v>
      </c>
      <c r="H134" s="214" t="s">
        <v>210</v>
      </c>
      <c r="I134" s="214" t="s">
        <v>211</v>
      </c>
    </row>
    <row r="135" spans="1:13" ht="21" customHeight="1" x14ac:dyDescent="0.3">
      <c r="A135" s="215"/>
      <c r="B135" s="191" t="s">
        <v>91</v>
      </c>
      <c r="C135" s="192">
        <v>600</v>
      </c>
      <c r="D135" s="193">
        <v>665</v>
      </c>
      <c r="E135" s="194" t="s">
        <v>214</v>
      </c>
      <c r="F135" s="195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>95</v>
      </c>
      <c r="G135" s="196">
        <f>IFERROR(ROUNDUP(D135/F135,0),"")</f>
        <v>7</v>
      </c>
      <c r="H135" s="197">
        <v>672</v>
      </c>
      <c r="I135" s="193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>8064</v>
      </c>
    </row>
    <row r="136" spans="1:13" ht="21" customHeight="1" x14ac:dyDescent="0.3">
      <c r="A136" s="215"/>
      <c r="B136" s="191" t="s">
        <v>537</v>
      </c>
      <c r="C136" s="192">
        <v>600</v>
      </c>
      <c r="D136" s="193">
        <v>2470</v>
      </c>
      <c r="E136" s="194" t="s">
        <v>214</v>
      </c>
      <c r="F136" s="195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>190</v>
      </c>
      <c r="G136" s="196">
        <f>IFERROR(ROUNDUP(D136/F136,0),"")</f>
        <v>13</v>
      </c>
      <c r="H136" s="197">
        <v>652</v>
      </c>
      <c r="I136" s="193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>3912</v>
      </c>
    </row>
    <row r="137" spans="1:13" ht="21" customHeight="1" x14ac:dyDescent="0.3">
      <c r="A137" s="215"/>
      <c r="B137" s="191"/>
      <c r="C137" s="192"/>
      <c r="D137" s="193"/>
      <c r="E137" s="194" t="s">
        <v>214</v>
      </c>
      <c r="F137" s="195" t="str">
        <f>IF($B137="","",IF(SUMIFS(CONFIG_PALLETS!$C:$C,CONFIG_PALLETS!$A:$A,TRIM($B137),CONFIG_PALLETS!$B:$B,$C137&amp;" ml")&gt;0,SUMIFS(CONFIG_PALLETS!$C:$C,CONFIG_PALLETS!$A:$A,TRIM($B137),CONFIG_PALLETS!$B:$B,$C137&amp;" ml"),IF(SUMIFS(CONFIG_PALLETS!$C:$C,CONFIG_PALLETS!$A:$A,"GERAL",CONFIG_PALLETS!$B:$B,$C137&amp;" ml")&gt;0,SUMIFS(CONFIG_PALLETS!$C:$C,CONFIG_PALLETS!$A:$A,"GERAL",CONFIG_PALLETS!$B:$B,$C137&amp;" ml"),"")))</f>
        <v/>
      </c>
      <c r="G137" s="196" t="str">
        <f>IFERROR(ROUNDUP(D137/F137,0),"")</f>
        <v/>
      </c>
      <c r="H137" s="197"/>
      <c r="I137" s="193" t="str">
        <f>IF(H137="","",H137*IF(SUMIFS(CONFIG_PALLETS!$D:$D,CONFIG_PALLETS!$A:$A,IF(ISNUMBER(SEARCH("ESPUMA",$B137)),"ESPUMA",IF(OR(ISNUMBER(SEARCH("OLEO DE COCO",$B137)),ISNUMBER(SEARCH("ÓLEO DE COCO",$B137)),ISNUMBER(SEARCH("COPRA",$B137))),"ÓLEO DE COCO",IF(ISNUMBER(SEARCH("CORANTE",$B137)),"CORANTE",TRIM($B137)))),CONFIG_PALLETS!$B:$B,$C137&amp;" ml")&gt;0,SUMIFS(CONFIG_PALLETS!$D:$D,CONFIG_PALLETS!$A:$A,IF(ISNUMBER(SEARCH("ESPUMA",$B137)),"ESPUMA",IF(OR(ISNUMBER(SEARCH("OLEO DE COCO",$B137)),ISNUMBER(SEARCH("ÓLEO DE COCO",$B137)),ISNUMBER(SEARCH("COPRA",$B137))),"ÓLEO DE COCO",IF(ISNUMBER(SEARCH("CORANTE",$B137)),"CORANTE",TRIM($B137)))),CONFIG_PALLETS!$B:$B,$C137&amp;" ml"),IF(SUMIFS(CONFIG_PALLETS!$D:$D,CONFIG_PALLETS!$A:$A,"GERAL",CONFIG_PALLETS!$B:$B,$C137&amp;" ml")&gt;0,SUMIFS(CONFIG_PALLETS!$D:$D,CONFIG_PALLETS!$A:$A,"GERAL",CONFIG_PALLETS!$B:$B,$C137&amp;" ml"),12)))</f>
        <v/>
      </c>
    </row>
    <row r="138" spans="1:13" ht="21" customHeight="1" x14ac:dyDescent="0.3">
      <c r="A138" s="215"/>
      <c r="B138" s="191"/>
      <c r="C138" s="192"/>
      <c r="D138" s="193"/>
      <c r="E138" s="194" t="s">
        <v>214</v>
      </c>
      <c r="F138" s="195" t="str">
        <f>IF($B138="","",IF(SUMIFS(CONFIG_PALLETS!$C:$C,CONFIG_PALLETS!$A:$A,TRIM($B138),CONFIG_PALLETS!$B:$B,$C138&amp;" ml")&gt;0,SUMIFS(CONFIG_PALLETS!$C:$C,CONFIG_PALLETS!$A:$A,TRIM($B138),CONFIG_PALLETS!$B:$B,$C138&amp;" ml"),IF(SUMIFS(CONFIG_PALLETS!$C:$C,CONFIG_PALLETS!$A:$A,"GERAL",CONFIG_PALLETS!$B:$B,$C138&amp;" ml")&gt;0,SUMIFS(CONFIG_PALLETS!$C:$C,CONFIG_PALLETS!$A:$A,"GERAL",CONFIG_PALLETS!$B:$B,$C138&amp;" ml"),"")))</f>
        <v/>
      </c>
      <c r="G138" s="196" t="str">
        <f>IFERROR(ROUNDUP(D138/F138,0),"")</f>
        <v/>
      </c>
      <c r="H138" s="197"/>
      <c r="I138" s="193" t="str">
        <f>IF(H138="","",H138*IF(SUMIFS(CONFIG_PALLETS!$D:$D,CONFIG_PALLETS!$A:$A,IF(ISNUMBER(SEARCH("ESPUMA",$B138)),"ESPUMA",IF(OR(ISNUMBER(SEARCH("OLEO DE COCO",$B138)),ISNUMBER(SEARCH("ÓLEO DE COCO",$B138)),ISNUMBER(SEARCH("COPRA",$B138))),"ÓLEO DE COCO",IF(ISNUMBER(SEARCH("CORANTE",$B138)),"CORANTE",TRIM($B138)))),CONFIG_PALLETS!$B:$B,$C138&amp;" ml")&gt;0,SUMIFS(CONFIG_PALLETS!$D:$D,CONFIG_PALLETS!$A:$A,IF(ISNUMBER(SEARCH("ESPUMA",$B138)),"ESPUMA",IF(OR(ISNUMBER(SEARCH("OLEO DE COCO",$B138)),ISNUMBER(SEARCH("ÓLEO DE COCO",$B138)),ISNUMBER(SEARCH("COPRA",$B138))),"ÓLEO DE COCO",IF(ISNUMBER(SEARCH("CORANTE",$B138)),"CORANTE",TRIM($B138)))),CONFIG_PALLETS!$B:$B,$C138&amp;" ml"),IF(SUMIFS(CONFIG_PALLETS!$D:$D,CONFIG_PALLETS!$A:$A,"GERAL",CONFIG_PALLETS!$B:$B,$C138&amp;" ml")&gt;0,SUMIFS(CONFIG_PALLETS!$D:$D,CONFIG_PALLETS!$A:$A,"GERAL",CONFIG_PALLETS!$B:$B,$C138&amp;" ml"),12)))</f>
        <v/>
      </c>
    </row>
    <row r="139" spans="1:13" ht="21" customHeight="1" x14ac:dyDescent="0.3">
      <c r="A139" s="215"/>
      <c r="B139" s="191"/>
      <c r="C139" s="192"/>
      <c r="D139" s="193"/>
      <c r="E139" s="194" t="s">
        <v>214</v>
      </c>
      <c r="F139" s="195" t="str">
        <f>IF($B139="","",IF(SUMIFS(CONFIG_PALLETS!$C:$C,CONFIG_PALLETS!$A:$A,TRIM($B139),CONFIG_PALLETS!$B:$B,$C139&amp;" ml")&gt;0,SUMIFS(CONFIG_PALLETS!$C:$C,CONFIG_PALLETS!$A:$A,TRIM($B139),CONFIG_PALLETS!$B:$B,$C139&amp;" ml"),IF(SUMIFS(CONFIG_PALLETS!$C:$C,CONFIG_PALLETS!$A:$A,"GERAL",CONFIG_PALLETS!$B:$B,$C139&amp;" ml")&gt;0,SUMIFS(CONFIG_PALLETS!$C:$C,CONFIG_PALLETS!$A:$A,"GERAL",CONFIG_PALLETS!$B:$B,$C139&amp;" ml"),"")))</f>
        <v/>
      </c>
      <c r="G139" s="196" t="str">
        <f>IFERROR(ROUNDUP(D139/F139,0),"")</f>
        <v/>
      </c>
      <c r="H139" s="197"/>
      <c r="I139" s="193" t="str">
        <f>IF(H139="","",H139*IF(SUMIFS(CONFIG_PALLETS!$D:$D,CONFIG_PALLETS!$A:$A,IF(ISNUMBER(SEARCH("ESPUMA",$B139)),"ESPUMA",IF(OR(ISNUMBER(SEARCH("OLEO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ml")&gt;0,SUMIFS(CONFIG_PALLETS!$D:$D,CONFIG_PALLETS!$A:$A,IF(ISNUMBER(SEARCH("ESPUMA",$B139)),"ESPUMA",IF(OR(ISNUMBER(SEARCH("OLEO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ml"),IF(SUMIFS(CONFIG_PALLETS!$D:$D,CONFIG_PALLETS!$A:$A,"GERAL",CONFIG_PALLETS!$B:$B,$C139&amp;" ml")&gt;0,SUMIFS(CONFIG_PALLETS!$D:$D,CONFIG_PALLETS!$A:$A,"GERAL",CONFIG_PALLETS!$B:$B,$C139&amp;" ml"),12)))</f>
        <v/>
      </c>
    </row>
    <row r="140" spans="1:13" ht="15" customHeight="1" x14ac:dyDescent="0.3">
      <c r="A140" s="217"/>
      <c r="B140" s="199" t="s">
        <v>216</v>
      </c>
      <c r="C140" s="200"/>
      <c r="D140" s="201">
        <f>SUM(D133:D139)</f>
        <v>3135</v>
      </c>
      <c r="E140" s="202"/>
      <c r="F140" s="202"/>
      <c r="G140" s="203">
        <f>SUM(G133:G139)</f>
        <v>20</v>
      </c>
      <c r="H140" s="201">
        <f>SUM(H133:H139)</f>
        <v>1324</v>
      </c>
      <c r="I140" s="201">
        <f>SUM(I133:I139)</f>
        <v>11976</v>
      </c>
      <c r="J140" s="28">
        <f>D140</f>
        <v>3135</v>
      </c>
      <c r="K140" s="106">
        <f>G140</f>
        <v>20</v>
      </c>
      <c r="L140" s="28">
        <f>H140</f>
        <v>1324</v>
      </c>
      <c r="M140" s="28">
        <f>I140</f>
        <v>11976</v>
      </c>
    </row>
    <row r="141" spans="1:13" ht="6" customHeight="1" x14ac:dyDescent="0.3">
      <c r="C141" s="72"/>
    </row>
    <row r="142" spans="1:13" ht="15" customHeight="1" x14ac:dyDescent="0.3">
      <c r="A142" s="30">
        <v>46134</v>
      </c>
      <c r="B142" s="186" t="s">
        <v>78</v>
      </c>
      <c r="C142" s="187" t="s">
        <v>205</v>
      </c>
      <c r="D142" s="188" t="s">
        <v>206</v>
      </c>
      <c r="E142" s="188" t="s">
        <v>207</v>
      </c>
      <c r="F142" s="189" t="s">
        <v>208</v>
      </c>
      <c r="G142" s="188" t="s">
        <v>209</v>
      </c>
      <c r="H142" s="214" t="s">
        <v>210</v>
      </c>
      <c r="I142" s="214" t="s">
        <v>211</v>
      </c>
    </row>
    <row r="143" spans="1:13" ht="21" customHeight="1" x14ac:dyDescent="0.3">
      <c r="A143" s="215"/>
      <c r="B143" s="191" t="s">
        <v>537</v>
      </c>
      <c r="C143" s="192">
        <v>600</v>
      </c>
      <c r="D143" s="193">
        <f>D136-H136</f>
        <v>1818</v>
      </c>
      <c r="E143" s="194" t="s">
        <v>214</v>
      </c>
      <c r="F143" s="195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>190</v>
      </c>
      <c r="G143" s="196">
        <f>IFERROR(ROUNDUP(D143/F143,0),"")</f>
        <v>10</v>
      </c>
      <c r="H143" s="197">
        <f>2087-H136</f>
        <v>1435</v>
      </c>
      <c r="I143" s="193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>8610</v>
      </c>
    </row>
    <row r="144" spans="1:13" ht="21" customHeight="1" x14ac:dyDescent="0.3">
      <c r="A144" s="215"/>
      <c r="B144" s="191"/>
      <c r="C144" s="192"/>
      <c r="D144" s="193"/>
      <c r="E144" s="194" t="s">
        <v>214</v>
      </c>
      <c r="F144" s="195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196" t="str">
        <f>IFERROR(ROUNDUP(D144/F144,0),"")</f>
        <v/>
      </c>
      <c r="H144" s="197"/>
      <c r="I144" s="193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</row>
    <row r="145" spans="1:13" ht="21" customHeight="1" x14ac:dyDescent="0.3">
      <c r="A145" s="215"/>
      <c r="B145" s="191"/>
      <c r="C145" s="192"/>
      <c r="D145" s="193"/>
      <c r="E145" s="194" t="s">
        <v>214</v>
      </c>
      <c r="F145" s="195" t="str">
        <f>IF($B145="","",IF(SUMIFS(CONFIG_PALLETS!$C:$C,CONFIG_PALLETS!$A:$A,TRIM($B145),CONFIG_PALLETS!$B:$B,$C145&amp;" ml")&gt;0,SUMIFS(CONFIG_PALLETS!$C:$C,CONFIG_PALLETS!$A:$A,TRIM($B145),CONFIG_PALLETS!$B:$B,$C145&amp;" ml"),IF(SUMIFS(CONFIG_PALLETS!$C:$C,CONFIG_PALLETS!$A:$A,"GERAL",CONFIG_PALLETS!$B:$B,$C145&amp;" ml")&gt;0,SUMIFS(CONFIG_PALLETS!$C:$C,CONFIG_PALLETS!$A:$A,"GERAL",CONFIG_PALLETS!$B:$B,$C145&amp;" ml"),"")))</f>
        <v/>
      </c>
      <c r="G145" s="196" t="str">
        <f>IFERROR(ROUNDUP(D145/F145,0),"")</f>
        <v/>
      </c>
      <c r="H145" s="197"/>
      <c r="I145" s="193" t="str">
        <f>IF(H145="","",H145*IF(SUMIFS(CONFIG_PALLETS!$D:$D,CONFIG_PALLETS!$A:$A,IF(ISNUMBER(SEARCH("ESPUMA",$B145)),"ESPUMA",IF(OR(ISNUMBER(SEARCH("OLEO DE COCO",$B145)),ISNUMBER(SEARCH("ÓLEO DE COCO",$B145)),ISNUMBER(SEARCH("COPRA",$B145))),"ÓLEO DE COCO",IF(ISNUMBER(SEARCH("CORANTE",$B145)),"CORANTE",TRIM($B145)))),CONFIG_PALLETS!$B:$B,$C145&amp;" ml")&gt;0,SUMIFS(CONFIG_PALLETS!$D:$D,CONFIG_PALLETS!$A:$A,IF(ISNUMBER(SEARCH("ESPUMA",$B145)),"ESPUMA",IF(OR(ISNUMBER(SEARCH("OLEO DE COCO",$B145)),ISNUMBER(SEARCH("ÓLEO DE COCO",$B145)),ISNUMBER(SEARCH("COPRA",$B145))),"ÓLEO DE COCO",IF(ISNUMBER(SEARCH("CORANTE",$B145)),"CORANTE",TRIM($B145)))),CONFIG_PALLETS!$B:$B,$C145&amp;" ml"),IF(SUMIFS(CONFIG_PALLETS!$D:$D,CONFIG_PALLETS!$A:$A,"GERAL",CONFIG_PALLETS!$B:$B,$C145&amp;" ml")&gt;0,SUMIFS(CONFIG_PALLETS!$D:$D,CONFIG_PALLETS!$A:$A,"GERAL",CONFIG_PALLETS!$B:$B,$C145&amp;" ml"),12)))</f>
        <v/>
      </c>
    </row>
    <row r="146" spans="1:13" ht="21" customHeight="1" x14ac:dyDescent="0.3">
      <c r="A146" s="215"/>
      <c r="B146" s="191"/>
      <c r="C146" s="192"/>
      <c r="D146" s="193"/>
      <c r="E146" s="194" t="s">
        <v>214</v>
      </c>
      <c r="F146" s="195" t="str">
        <f>IF($B146="","",IF(SUMIFS(CONFIG_PALLETS!$C:$C,CONFIG_PALLETS!$A:$A,TRIM($B146),CONFIG_PALLETS!$B:$B,$C146&amp;" ml")&gt;0,SUMIFS(CONFIG_PALLETS!$C:$C,CONFIG_PALLETS!$A:$A,TRIM($B146),CONFIG_PALLETS!$B:$B,$C146&amp;" ml"),IF(SUMIFS(CONFIG_PALLETS!$C:$C,CONFIG_PALLETS!$A:$A,"GERAL",CONFIG_PALLETS!$B:$B,$C146&amp;" ml")&gt;0,SUMIFS(CONFIG_PALLETS!$C:$C,CONFIG_PALLETS!$A:$A,"GERAL",CONFIG_PALLETS!$B:$B,$C146&amp;" ml"),"")))</f>
        <v/>
      </c>
      <c r="G146" s="196" t="str">
        <f>IFERROR(ROUNDUP(D146/F146,0),"")</f>
        <v/>
      </c>
      <c r="H146" s="197"/>
      <c r="I146" s="193" t="str">
        <f>IF(H146="","",H146*IF(SUMIFS(CONFIG_PALLETS!$D:$D,CONFIG_PALLETS!$A:$A,IF(ISNUMBER(SEARCH("ESPUMA",$B146)),"ESPUMA",IF(OR(ISNUMBER(SEARCH("OLEO DE COCO",$B146)),ISNUMBER(SEARCH("ÓLEO DE COCO",$B146)),ISNUMBER(SEARCH("COPRA",$B146))),"ÓLEO DE COCO",IF(ISNUMBER(SEARCH("CORANTE",$B146)),"CORANTE",TRIM($B146)))),CONFIG_PALLETS!$B:$B,$C146&amp;" ml")&gt;0,SUMIFS(CONFIG_PALLETS!$D:$D,CONFIG_PALLETS!$A:$A,IF(ISNUMBER(SEARCH("ESPUMA",$B146)),"ESPUMA",IF(OR(ISNUMBER(SEARCH("OLEO DE COCO",$B146)),ISNUMBER(SEARCH("ÓLEO DE COCO",$B146)),ISNUMBER(SEARCH("COPRA",$B146))),"ÓLEO DE COCO",IF(ISNUMBER(SEARCH("CORANTE",$B146)),"CORANTE",TRIM($B146)))),CONFIG_PALLETS!$B:$B,$C146&amp;" ml"),IF(SUMIFS(CONFIG_PALLETS!$D:$D,CONFIG_PALLETS!$A:$A,"GERAL",CONFIG_PALLETS!$B:$B,$C146&amp;" ml")&gt;0,SUMIFS(CONFIG_PALLETS!$D:$D,CONFIG_PALLETS!$A:$A,"GERAL",CONFIG_PALLETS!$B:$B,$C146&amp;" ml"),12)))</f>
        <v/>
      </c>
    </row>
    <row r="147" spans="1:13" ht="21" customHeight="1" x14ac:dyDescent="0.3">
      <c r="A147" s="215"/>
      <c r="B147" s="191"/>
      <c r="C147" s="192"/>
      <c r="D147" s="193"/>
      <c r="E147" s="194" t="s">
        <v>214</v>
      </c>
      <c r="F147" s="195" t="str">
        <f>IF($B147="","",IF(SUMIFS(CONFIG_PALLETS!$C:$C,CONFIG_PALLETS!$A:$A,TRIM($B147),CONFIG_PALLETS!$B:$B,$C147&amp;" ml")&gt;0,SUMIFS(CONFIG_PALLETS!$C:$C,CONFIG_PALLETS!$A:$A,TRIM($B147),CONFIG_PALLETS!$B:$B,$C147&amp;" ml"),IF(SUMIFS(CONFIG_PALLETS!$C:$C,CONFIG_PALLETS!$A:$A,"GERAL",CONFIG_PALLETS!$B:$B,$C147&amp;" ml")&gt;0,SUMIFS(CONFIG_PALLETS!$C:$C,CONFIG_PALLETS!$A:$A,"GERAL",CONFIG_PALLETS!$B:$B,$C147&amp;" ml"),"")))</f>
        <v/>
      </c>
      <c r="G147" s="196" t="str">
        <f>IFERROR(ROUNDUP(D147/F147,0),"")</f>
        <v/>
      </c>
      <c r="H147" s="197"/>
      <c r="I147" s="193" t="str">
        <f>IF(H147="","",H147*IF(SUMIFS(CONFIG_PALLETS!$D:$D,CONFIG_PALLETS!$A:$A,IF(ISNUMBER(SEARCH("ESPUMA",$B147)),"ESPUMA",IF(OR(ISNUMBER(SEARCH("OLEO DE COCO",$B147)),ISNUMBER(SEARCH("ÓLEO DE COCO",$B147)),ISNUMBER(SEARCH("COPRA",$B147))),"ÓLEO DE COCO",IF(ISNUMBER(SEARCH("CORANTE",$B147)),"CORANTE",TRIM($B147)))),CONFIG_PALLETS!$B:$B,$C147&amp;" ml")&gt;0,SUMIFS(CONFIG_PALLETS!$D:$D,CONFIG_PALLETS!$A:$A,IF(ISNUMBER(SEARCH("ESPUMA",$B147)),"ESPUMA",IF(OR(ISNUMBER(SEARCH("OLEO DE COCO",$B147)),ISNUMBER(SEARCH("ÓLEO DE COCO",$B147)),ISNUMBER(SEARCH("COPRA",$B147))),"ÓLEO DE COCO",IF(ISNUMBER(SEARCH("CORANTE",$B147)),"CORANTE",TRIM($B147)))),CONFIG_PALLETS!$B:$B,$C147&amp;" ml"),IF(SUMIFS(CONFIG_PALLETS!$D:$D,CONFIG_PALLETS!$A:$A,"GERAL",CONFIG_PALLETS!$B:$B,$C147&amp;" ml")&gt;0,SUMIFS(CONFIG_PALLETS!$D:$D,CONFIG_PALLETS!$A:$A,"GERAL",CONFIG_PALLETS!$B:$B,$C147&amp;" ml"),12)))</f>
        <v/>
      </c>
    </row>
    <row r="148" spans="1:13" ht="15" customHeight="1" x14ac:dyDescent="0.3">
      <c r="A148" s="217"/>
      <c r="B148" s="199" t="s">
        <v>216</v>
      </c>
      <c r="C148" s="200"/>
      <c r="D148" s="201">
        <f>SUM(D141:D147)</f>
        <v>1818</v>
      </c>
      <c r="E148" s="202"/>
      <c r="F148" s="202"/>
      <c r="G148" s="203">
        <f>SUM(G141:G147)</f>
        <v>10</v>
      </c>
      <c r="H148" s="201">
        <f>SUM(H141:H147)</f>
        <v>1435</v>
      </c>
      <c r="I148" s="201">
        <f>SUM(I141:I147)</f>
        <v>8610</v>
      </c>
      <c r="J148" s="28">
        <f>D148</f>
        <v>1818</v>
      </c>
      <c r="K148" s="106">
        <f>G148</f>
        <v>10</v>
      </c>
      <c r="L148" s="28">
        <f>H148</f>
        <v>1435</v>
      </c>
      <c r="M148" s="28">
        <f>I148</f>
        <v>8610</v>
      </c>
    </row>
    <row r="149" spans="1:13" ht="6" customHeight="1" x14ac:dyDescent="0.3">
      <c r="C149" s="72"/>
    </row>
    <row r="150" spans="1:13" ht="15" customHeight="1" x14ac:dyDescent="0.3">
      <c r="A150" s="30">
        <v>46135</v>
      </c>
      <c r="B150" s="186" t="s">
        <v>78</v>
      </c>
      <c r="C150" s="187" t="s">
        <v>205</v>
      </c>
      <c r="D150" s="188" t="s">
        <v>206</v>
      </c>
      <c r="E150" s="188" t="s">
        <v>207</v>
      </c>
      <c r="F150" s="189" t="s">
        <v>208</v>
      </c>
      <c r="G150" s="188" t="s">
        <v>209</v>
      </c>
      <c r="H150" s="214" t="s">
        <v>210</v>
      </c>
      <c r="I150" s="214" t="s">
        <v>211</v>
      </c>
    </row>
    <row r="151" spans="1:13" ht="21" customHeight="1" x14ac:dyDescent="0.3">
      <c r="A151" s="215"/>
      <c r="B151" s="191" t="s">
        <v>537</v>
      </c>
      <c r="C151" s="192">
        <v>600</v>
      </c>
      <c r="D151" s="193">
        <f>D143-H143</f>
        <v>383</v>
      </c>
      <c r="E151" s="194" t="s">
        <v>214</v>
      </c>
      <c r="F151" s="195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>190</v>
      </c>
      <c r="G151" s="196">
        <f t="shared" ref="G151:G156" si="3">IFERROR(ROUNDUP(D151/F151,0),"")</f>
        <v>3</v>
      </c>
      <c r="H151" s="197">
        <v>383</v>
      </c>
      <c r="I151" s="193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>2298</v>
      </c>
    </row>
    <row r="152" spans="1:13" ht="21" customHeight="1" x14ac:dyDescent="0.3">
      <c r="A152" s="215"/>
      <c r="B152" s="191" t="s">
        <v>543</v>
      </c>
      <c r="C152" s="192">
        <v>600</v>
      </c>
      <c r="D152" s="193">
        <v>570</v>
      </c>
      <c r="E152" s="194" t="s">
        <v>214</v>
      </c>
      <c r="F152" s="195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>95</v>
      </c>
      <c r="G152" s="196">
        <f t="shared" si="3"/>
        <v>6</v>
      </c>
      <c r="H152" s="197">
        <v>506</v>
      </c>
      <c r="I152" s="193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>6072</v>
      </c>
    </row>
    <row r="153" spans="1:13" ht="21" customHeight="1" x14ac:dyDescent="0.3">
      <c r="A153" s="215"/>
      <c r="B153" s="191"/>
      <c r="C153" s="192"/>
      <c r="D153" s="193"/>
      <c r="E153" s="194" t="s">
        <v>214</v>
      </c>
      <c r="F153" s="195" t="str">
        <f>IF($B153="","",IF(SUMIFS(CONFIG_PALLETS!$C:$C,CONFIG_PALLETS!$A:$A,TRIM($B153),CONFIG_PALLETS!$B:$B,$C153&amp;" ml")&gt;0,SUMIFS(CONFIG_PALLETS!$C:$C,CONFIG_PALLETS!$A:$A,TRIM($B153),CONFIG_PALLETS!$B:$B,$C153&amp;" ml"),IF(SUMIFS(CONFIG_PALLETS!$C:$C,CONFIG_PALLETS!$A:$A,"GERAL",CONFIG_PALLETS!$B:$B,$C153&amp;" ml")&gt;0,SUMIFS(CONFIG_PALLETS!$C:$C,CONFIG_PALLETS!$A:$A,"GERAL",CONFIG_PALLETS!$B:$B,$C153&amp;" ml"),"")))</f>
        <v/>
      </c>
      <c r="G153" s="196" t="str">
        <f t="shared" si="3"/>
        <v/>
      </c>
      <c r="H153" s="197"/>
      <c r="I153" s="193" t="str">
        <f>IF(H153="","",H153*IF(SUMIFS(CONFIG_PALLETS!$D:$D,CONFIG_PALLETS!$A:$A,IF(ISNUMBER(SEARCH("ESPUMA",$B153)),"ESPUMA",IF(OR(ISNUMBER(SEARCH("OLEO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ml")&gt;0,SUMIFS(CONFIG_PALLETS!$D:$D,CONFIG_PALLETS!$A:$A,IF(ISNUMBER(SEARCH("ESPUMA",$B153)),"ESPUMA",IF(OR(ISNUMBER(SEARCH("OLEO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ml"),IF(SUMIFS(CONFIG_PALLETS!$D:$D,CONFIG_PALLETS!$A:$A,"GERAL",CONFIG_PALLETS!$B:$B,$C153&amp;" ml")&gt;0,SUMIFS(CONFIG_PALLETS!$D:$D,CONFIG_PALLETS!$A:$A,"GERAL",CONFIG_PALLETS!$B:$B,$C153&amp;" ml"),12)))</f>
        <v/>
      </c>
    </row>
    <row r="154" spans="1:13" ht="21" customHeight="1" x14ac:dyDescent="0.3">
      <c r="A154" s="215"/>
      <c r="B154" s="191"/>
      <c r="C154" s="192"/>
      <c r="D154" s="193"/>
      <c r="E154" s="194" t="s">
        <v>214</v>
      </c>
      <c r="F154" s="195" t="str">
        <f>IF($B154="","",IF(SUMIFS(CONFIG_PALLETS!$C:$C,CONFIG_PALLETS!$A:$A,TRIM($B154),CONFIG_PALLETS!$B:$B,$C154&amp;" ml")&gt;0,SUMIFS(CONFIG_PALLETS!$C:$C,CONFIG_PALLETS!$A:$A,TRIM($B154),CONFIG_PALLETS!$B:$B,$C154&amp;" ml"),IF(SUMIFS(CONFIG_PALLETS!$C:$C,CONFIG_PALLETS!$A:$A,"GERAL",CONFIG_PALLETS!$B:$B,$C154&amp;" ml")&gt;0,SUMIFS(CONFIG_PALLETS!$C:$C,CONFIG_PALLETS!$A:$A,"GERAL",CONFIG_PALLETS!$B:$B,$C154&amp;" ml"),"")))</f>
        <v/>
      </c>
      <c r="G154" s="196" t="str">
        <f t="shared" si="3"/>
        <v/>
      </c>
      <c r="H154" s="197"/>
      <c r="I154" s="193" t="str">
        <f>IF(H154="","",H154*IF(SUMIFS(CONFIG_PALLETS!$D:$D,CONFIG_PALLETS!$A:$A,IF(ISNUMBER(SEARCH("ESPUMA",$B154)),"ESPUMA",IF(OR(ISNUMBER(SEARCH("OLEO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ml")&gt;0,SUMIFS(CONFIG_PALLETS!$D:$D,CONFIG_PALLETS!$A:$A,IF(ISNUMBER(SEARCH("ESPUMA",$B154)),"ESPUMA",IF(OR(ISNUMBER(SEARCH("OLEO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ml"),IF(SUMIFS(CONFIG_PALLETS!$D:$D,CONFIG_PALLETS!$A:$A,"GERAL",CONFIG_PALLETS!$B:$B,$C154&amp;" ml")&gt;0,SUMIFS(CONFIG_PALLETS!$D:$D,CONFIG_PALLETS!$A:$A,"GERAL",CONFIG_PALLETS!$B:$B,$C154&amp;" ml"),12)))</f>
        <v/>
      </c>
    </row>
    <row r="155" spans="1:13" ht="21" customHeight="1" x14ac:dyDescent="0.3">
      <c r="A155" s="215"/>
      <c r="B155" s="191"/>
      <c r="C155" s="192"/>
      <c r="D155" s="193"/>
      <c r="E155" s="194" t="s">
        <v>214</v>
      </c>
      <c r="F155" s="195" t="str">
        <f>IF($B155="","",IF(SUMIFS(CONFIG_PALLETS!$C:$C,CONFIG_PALLETS!$A:$A,TRIM($B155),CONFIG_PALLETS!$B:$B,$C155&amp;" ml")&gt;0,SUMIFS(CONFIG_PALLETS!$C:$C,CONFIG_PALLETS!$A:$A,TRIM($B155),CONFIG_PALLETS!$B:$B,$C155&amp;" ml"),IF(SUMIFS(CONFIG_PALLETS!$C:$C,CONFIG_PALLETS!$A:$A,"GERAL",CONFIG_PALLETS!$B:$B,$C155&amp;" ml")&gt;0,SUMIFS(CONFIG_PALLETS!$C:$C,CONFIG_PALLETS!$A:$A,"GERAL",CONFIG_PALLETS!$B:$B,$C155&amp;" ml"),"")))</f>
        <v/>
      </c>
      <c r="G155" s="196" t="str">
        <f t="shared" si="3"/>
        <v/>
      </c>
      <c r="H155" s="197"/>
      <c r="I155" s="193" t="str">
        <f>IF(H155="","",H155*IF(SUMIFS(CONFIG_PALLETS!$D:$D,CONFIG_PALLETS!$A:$A,IF(ISNUMBER(SEARCH("ESPUMA",$B155)),"ESPUMA",IF(OR(ISNUMBER(SEARCH("OLEO DE COCO",$B155)),ISNUMBER(SEARCH("ÓLEO DE COCO",$B155)),ISNUMBER(SEARCH("COPRA",$B155))),"ÓLEO DE COCO",IF(ISNUMBER(SEARCH("CORANTE",$B155)),"CORANTE",TRIM($B155)))),CONFIG_PALLETS!$B:$B,$C155&amp;" ml")&gt;0,SUMIFS(CONFIG_PALLETS!$D:$D,CONFIG_PALLETS!$A:$A,IF(ISNUMBER(SEARCH("ESPUMA",$B155)),"ESPUMA",IF(OR(ISNUMBER(SEARCH("OLEO DE COCO",$B155)),ISNUMBER(SEARCH("ÓLEO DE COCO",$B155)),ISNUMBER(SEARCH("COPRA",$B155))),"ÓLEO DE COCO",IF(ISNUMBER(SEARCH("CORANTE",$B155)),"CORANTE",TRIM($B155)))),CONFIG_PALLETS!$B:$B,$C155&amp;" ml"),IF(SUMIFS(CONFIG_PALLETS!$D:$D,CONFIG_PALLETS!$A:$A,"GERAL",CONFIG_PALLETS!$B:$B,$C155&amp;" ml")&gt;0,SUMIFS(CONFIG_PALLETS!$D:$D,CONFIG_PALLETS!$A:$A,"GERAL",CONFIG_PALLETS!$B:$B,$C155&amp;" ml"),12)))</f>
        <v/>
      </c>
    </row>
    <row r="156" spans="1:13" ht="21" customHeight="1" x14ac:dyDescent="0.3">
      <c r="A156" s="215"/>
      <c r="B156" s="191"/>
      <c r="C156" s="192"/>
      <c r="D156" s="193"/>
      <c r="E156" s="194" t="s">
        <v>214</v>
      </c>
      <c r="F156" s="195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196" t="str">
        <f t="shared" si="3"/>
        <v/>
      </c>
      <c r="H156" s="197"/>
      <c r="I156" s="193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15" customHeight="1" x14ac:dyDescent="0.3">
      <c r="A157" s="217"/>
      <c r="B157" s="199" t="s">
        <v>216</v>
      </c>
      <c r="C157" s="200"/>
      <c r="D157" s="201">
        <f>SUM(D150:D156)</f>
        <v>953</v>
      </c>
      <c r="E157" s="202"/>
      <c r="F157" s="202"/>
      <c r="G157" s="203">
        <f>SUM(G150:G156)</f>
        <v>9</v>
      </c>
      <c r="H157" s="201">
        <f>SUM(H150:H156)</f>
        <v>889</v>
      </c>
      <c r="I157" s="201">
        <f>SUM(I150:I156)</f>
        <v>8370</v>
      </c>
      <c r="J157" s="28">
        <f>D157</f>
        <v>953</v>
      </c>
      <c r="K157" s="106">
        <f>G157</f>
        <v>9</v>
      </c>
      <c r="L157" s="28">
        <f>H157</f>
        <v>889</v>
      </c>
      <c r="M157" s="28">
        <f>I157</f>
        <v>8370</v>
      </c>
    </row>
    <row r="158" spans="1:13" ht="6" customHeight="1" x14ac:dyDescent="0.3">
      <c r="C158" s="72"/>
    </row>
    <row r="159" spans="1:13" ht="15" customHeight="1" x14ac:dyDescent="0.3">
      <c r="A159" s="30">
        <v>46136</v>
      </c>
      <c r="B159" s="186" t="s">
        <v>78</v>
      </c>
      <c r="C159" s="187" t="s">
        <v>205</v>
      </c>
      <c r="D159" s="188" t="s">
        <v>206</v>
      </c>
      <c r="E159" s="188" t="s">
        <v>207</v>
      </c>
      <c r="F159" s="189" t="s">
        <v>208</v>
      </c>
      <c r="G159" s="188" t="s">
        <v>209</v>
      </c>
      <c r="H159" s="214" t="s">
        <v>210</v>
      </c>
      <c r="I159" s="214" t="s">
        <v>211</v>
      </c>
    </row>
    <row r="160" spans="1:13" ht="21" customHeight="1" x14ac:dyDescent="0.3">
      <c r="A160" s="215"/>
      <c r="B160" s="191" t="s">
        <v>543</v>
      </c>
      <c r="C160" s="192">
        <v>600</v>
      </c>
      <c r="D160" s="193">
        <v>64</v>
      </c>
      <c r="E160" s="194" t="s">
        <v>214</v>
      </c>
      <c r="F160" s="195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>95</v>
      </c>
      <c r="G160" s="196">
        <f>IFERROR(ROUNDUP(D160/F160,0),"")</f>
        <v>1</v>
      </c>
      <c r="H160" s="197">
        <v>64</v>
      </c>
      <c r="I160" s="193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>768</v>
      </c>
    </row>
    <row r="161" spans="1:13" ht="21" customHeight="1" x14ac:dyDescent="0.3">
      <c r="A161" s="215"/>
      <c r="B161" s="191" t="s">
        <v>330</v>
      </c>
      <c r="C161" s="192">
        <v>100</v>
      </c>
      <c r="D161" s="193">
        <v>1920</v>
      </c>
      <c r="E161" s="194" t="s">
        <v>214</v>
      </c>
      <c r="F161" s="195">
        <f>IF($B161="","",IF(SUMIFS(CONFIG_PALLETS!$C:$C,CONFIG_PALLETS!$A:$A,TRIM($B161),CONFIG_PALLETS!$B:$B,$C161&amp;" ml")&gt;0,SUMIFS(CONFIG_PALLETS!$C:$C,CONFIG_PALLETS!$A:$A,TRIM($B161),CONFIG_PALLETS!$B:$B,$C161&amp;" ml"),IF(SUMIFS(CONFIG_PALLETS!$C:$C,CONFIG_PALLETS!$A:$A,"GERAL",CONFIG_PALLETS!$B:$B,$C161&amp;" ml")&gt;0,SUMIFS(CONFIG_PALLETS!$C:$C,CONFIG_PALLETS!$A:$A,"GERAL",CONFIG_PALLETS!$B:$B,$C161&amp;" ml"),"")))</f>
        <v>240</v>
      </c>
      <c r="G161" s="196">
        <f>IFERROR(ROUNDUP(D161/F161,0),"")</f>
        <v>8</v>
      </c>
      <c r="H161" s="197">
        <v>783</v>
      </c>
      <c r="I161" s="193">
        <f>IF(H161="","",H161*IF(SUMIFS(CONFIG_PALLETS!$D:$D,CONFIG_PALLETS!$A:$A,IF(ISNUMBER(SEARCH("ESPUMA",$B161)),"ESPUMA",IF(OR(ISNUMBER(SEARCH("OLEO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ml")&gt;0,SUMIFS(CONFIG_PALLETS!$D:$D,CONFIG_PALLETS!$A:$A,IF(ISNUMBER(SEARCH("ESPUMA",$B161)),"ESPUMA",IF(OR(ISNUMBER(SEARCH("OLEO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ml"),IF(SUMIFS(CONFIG_PALLETS!$D:$D,CONFIG_PALLETS!$A:$A,"GERAL",CONFIG_PALLETS!$B:$B,$C161&amp;" ml")&gt;0,SUMIFS(CONFIG_PALLETS!$D:$D,CONFIG_PALLETS!$A:$A,"GERAL",CONFIG_PALLETS!$B:$B,$C161&amp;" ml"),12)))</f>
        <v>9396</v>
      </c>
    </row>
    <row r="162" spans="1:13" ht="21" customHeight="1" x14ac:dyDescent="0.3">
      <c r="A162" s="215"/>
      <c r="B162" s="191"/>
      <c r="C162" s="192"/>
      <c r="D162" s="193"/>
      <c r="E162" s="194" t="s">
        <v>214</v>
      </c>
      <c r="F162" s="195" t="str">
        <f>IF($B162="","",IF(SUMIFS(CONFIG_PALLETS!$C:$C,CONFIG_PALLETS!$A:$A,TRIM($B162),CONFIG_PALLETS!$B:$B,$C162&amp;" ml")&gt;0,SUMIFS(CONFIG_PALLETS!$C:$C,CONFIG_PALLETS!$A:$A,TRIM($B162),CONFIG_PALLETS!$B:$B,$C162&amp;" ml"),IF(SUMIFS(CONFIG_PALLETS!$C:$C,CONFIG_PALLETS!$A:$A,"GERAL",CONFIG_PALLETS!$B:$B,$C162&amp;" ml")&gt;0,SUMIFS(CONFIG_PALLETS!$C:$C,CONFIG_PALLETS!$A:$A,"GERAL",CONFIG_PALLETS!$B:$B,$C162&amp;" ml"),"")))</f>
        <v/>
      </c>
      <c r="G162" s="196" t="str">
        <f>IFERROR(ROUNDUP(D162/F162,0),"")</f>
        <v/>
      </c>
      <c r="H162" s="197"/>
      <c r="I162" s="193" t="str">
        <f>IF(H162="","",H162*IF(SUMIFS(CONFIG_PALLETS!$D:$D,CONFIG_PALLETS!$A:$A,IF(ISNUMBER(SEARCH("ESPUMA",$B162)),"ESPUMA",IF(OR(ISNUMBER(SEARCH("OLEO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ml")&gt;0,SUMIFS(CONFIG_PALLETS!$D:$D,CONFIG_PALLETS!$A:$A,IF(ISNUMBER(SEARCH("ESPUMA",$B162)),"ESPUMA",IF(OR(ISNUMBER(SEARCH("OLEO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ml"),IF(SUMIFS(CONFIG_PALLETS!$D:$D,CONFIG_PALLETS!$A:$A,"GERAL",CONFIG_PALLETS!$B:$B,$C162&amp;" ml")&gt;0,SUMIFS(CONFIG_PALLETS!$D:$D,CONFIG_PALLETS!$A:$A,"GERAL",CONFIG_PALLETS!$B:$B,$C162&amp;" ml"),12)))</f>
        <v/>
      </c>
    </row>
    <row r="163" spans="1:13" ht="21" customHeight="1" x14ac:dyDescent="0.3">
      <c r="A163" s="215"/>
      <c r="B163" s="191"/>
      <c r="C163" s="192"/>
      <c r="D163" s="193"/>
      <c r="E163" s="194" t="s">
        <v>214</v>
      </c>
      <c r="F163" s="195" t="str">
        <f>IF($B163="","",IF(SUMIFS(CONFIG_PALLETS!$C:$C,CONFIG_PALLETS!$A:$A,TRIM($B163),CONFIG_PALLETS!$B:$B,$C163&amp;" ml")&gt;0,SUMIFS(CONFIG_PALLETS!$C:$C,CONFIG_PALLETS!$A:$A,TRIM($B163),CONFIG_PALLETS!$B:$B,$C163&amp;" ml"),IF(SUMIFS(CONFIG_PALLETS!$C:$C,CONFIG_PALLETS!$A:$A,"GERAL",CONFIG_PALLETS!$B:$B,$C163&amp;" ml")&gt;0,SUMIFS(CONFIG_PALLETS!$C:$C,CONFIG_PALLETS!$A:$A,"GERAL",CONFIG_PALLETS!$B:$B,$C163&amp;" ml"),"")))</f>
        <v/>
      </c>
      <c r="G163" s="196" t="str">
        <f>IFERROR(ROUNDUP(D163/F163,0),"")</f>
        <v/>
      </c>
      <c r="H163" s="197"/>
      <c r="I163" s="193" t="str">
        <f>IF(H163="","",H163*IF(SUMIFS(CONFIG_PALLETS!$D:$D,CONFIG_PALLETS!$A:$A,IF(ISNUMBER(SEARCH("ESPUMA",$B163)),"ESPUMA",IF(OR(ISNUMBER(SEARCH("OLEO DE COCO",$B163)),ISNUMBER(SEARCH("ÓLEO DE COCO",$B163)),ISNUMBER(SEARCH("COPRA",$B163))),"ÓLEO DE COCO",IF(ISNUMBER(SEARCH("CORANTE",$B163)),"CORANTE",TRIM($B163)))),CONFIG_PALLETS!$B:$B,$C163&amp;" ml")&gt;0,SUMIFS(CONFIG_PALLETS!$D:$D,CONFIG_PALLETS!$A:$A,IF(ISNUMBER(SEARCH("ESPUMA",$B163)),"ESPUMA",IF(OR(ISNUMBER(SEARCH("OLEO DE COCO",$B163)),ISNUMBER(SEARCH("ÓLEO DE COCO",$B163)),ISNUMBER(SEARCH("COPRA",$B163))),"ÓLEO DE COCO",IF(ISNUMBER(SEARCH("CORANTE",$B163)),"CORANTE",TRIM($B163)))),CONFIG_PALLETS!$B:$B,$C163&amp;" ml"),IF(SUMIFS(CONFIG_PALLETS!$D:$D,CONFIG_PALLETS!$A:$A,"GERAL",CONFIG_PALLETS!$B:$B,$C163&amp;" ml")&gt;0,SUMIFS(CONFIG_PALLETS!$D:$D,CONFIG_PALLETS!$A:$A,"GERAL",CONFIG_PALLETS!$B:$B,$C163&amp;" ml"),12)))</f>
        <v/>
      </c>
    </row>
    <row r="164" spans="1:13" ht="21" customHeight="1" x14ac:dyDescent="0.3">
      <c r="A164" s="215"/>
      <c r="B164" s="191"/>
      <c r="C164" s="192"/>
      <c r="D164" s="193"/>
      <c r="E164" s="194" t="s">
        <v>214</v>
      </c>
      <c r="F164" s="195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196" t="str">
        <f>IFERROR(ROUNDUP(D164/F164,0),"")</f>
        <v/>
      </c>
      <c r="H164" s="197"/>
      <c r="I164" s="193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</row>
    <row r="165" spans="1:13" ht="15" customHeight="1" x14ac:dyDescent="0.3">
      <c r="A165" s="217"/>
      <c r="B165" s="199" t="s">
        <v>216</v>
      </c>
      <c r="C165" s="200"/>
      <c r="D165" s="201">
        <f>SUM(D158:D164)</f>
        <v>1984</v>
      </c>
      <c r="E165" s="202"/>
      <c r="F165" s="202"/>
      <c r="G165" s="203">
        <f>SUM(G158:G164)</f>
        <v>9</v>
      </c>
      <c r="H165" s="201">
        <f>SUM(H158:H164)</f>
        <v>847</v>
      </c>
      <c r="I165" s="201">
        <f>SUM(I158:I164)</f>
        <v>10164</v>
      </c>
      <c r="J165" s="28">
        <f>D165</f>
        <v>1984</v>
      </c>
      <c r="K165" s="106">
        <f>G165</f>
        <v>9</v>
      </c>
      <c r="L165" s="28">
        <f>H165</f>
        <v>847</v>
      </c>
      <c r="M165" s="28">
        <f>I165</f>
        <v>10164</v>
      </c>
    </row>
    <row r="166" spans="1:13" ht="6" customHeight="1" x14ac:dyDescent="0.3">
      <c r="C166" s="72"/>
    </row>
    <row r="167" spans="1:13" ht="15" customHeight="1" x14ac:dyDescent="0.3">
      <c r="A167" s="30">
        <v>46137</v>
      </c>
      <c r="B167" s="186" t="s">
        <v>78</v>
      </c>
      <c r="C167" s="187" t="s">
        <v>205</v>
      </c>
      <c r="D167" s="188" t="s">
        <v>206</v>
      </c>
      <c r="E167" s="188" t="s">
        <v>207</v>
      </c>
      <c r="F167" s="189" t="s">
        <v>208</v>
      </c>
      <c r="G167" s="188" t="s">
        <v>209</v>
      </c>
      <c r="H167" s="214" t="s">
        <v>210</v>
      </c>
      <c r="I167" s="214" t="s">
        <v>211</v>
      </c>
    </row>
    <row r="168" spans="1:13" ht="21" customHeight="1" x14ac:dyDescent="0.3">
      <c r="A168" s="215"/>
      <c r="B168" s="191" t="s">
        <v>330</v>
      </c>
      <c r="C168" s="192">
        <v>100</v>
      </c>
      <c r="D168" s="193">
        <f>D161-H161</f>
        <v>1137</v>
      </c>
      <c r="E168" s="194" t="s">
        <v>214</v>
      </c>
      <c r="F168" s="195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>240</v>
      </c>
      <c r="G168" s="196">
        <f>IFERROR(ROUNDUP(D168/F168,0),"")</f>
        <v>5</v>
      </c>
      <c r="H168" s="197">
        <v>1141</v>
      </c>
      <c r="I168" s="193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>13692</v>
      </c>
    </row>
    <row r="169" spans="1:13" ht="21" customHeight="1" x14ac:dyDescent="0.3">
      <c r="A169" s="215"/>
      <c r="B169" s="191"/>
      <c r="C169" s="192"/>
      <c r="D169" s="193"/>
      <c r="E169" s="194" t="s">
        <v>214</v>
      </c>
      <c r="F169" s="195" t="str">
        <f>IF($B169="","",IF(SUMIFS(CONFIG_PALLETS!$C:$C,CONFIG_PALLETS!$A:$A,TRIM($B169),CONFIG_PALLETS!$B:$B,$C169&amp;" ml")&gt;0,SUMIFS(CONFIG_PALLETS!$C:$C,CONFIG_PALLETS!$A:$A,TRIM($B169),CONFIG_PALLETS!$B:$B,$C169&amp;" ml"),IF(SUMIFS(CONFIG_PALLETS!$C:$C,CONFIG_PALLETS!$A:$A,"GERAL",CONFIG_PALLETS!$B:$B,$C169&amp;" ml")&gt;0,SUMIFS(CONFIG_PALLETS!$C:$C,CONFIG_PALLETS!$A:$A,"GERAL",CONFIG_PALLETS!$B:$B,$C169&amp;" ml"),"")))</f>
        <v/>
      </c>
      <c r="G169" s="196" t="str">
        <f>IFERROR(ROUNDUP(D169/F169,0),"")</f>
        <v/>
      </c>
      <c r="H169" s="197"/>
      <c r="I169" s="193" t="str">
        <f>IF(H169="","",H169*IF(SUMIFS(CONFIG_PALLETS!$D:$D,CONFIG_PALLETS!$A:$A,IF(ISNUMBER(SEARCH("ESPUMA",$B169)),"ESPUMA",IF(OR(ISNUMBER(SEARCH("OLEO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ml")&gt;0,SUMIFS(CONFIG_PALLETS!$D:$D,CONFIG_PALLETS!$A:$A,IF(ISNUMBER(SEARCH("ESPUMA",$B169)),"ESPUMA",IF(OR(ISNUMBER(SEARCH("OLEO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ml"),IF(SUMIFS(CONFIG_PALLETS!$D:$D,CONFIG_PALLETS!$A:$A,"GERAL",CONFIG_PALLETS!$B:$B,$C169&amp;" ml")&gt;0,SUMIFS(CONFIG_PALLETS!$D:$D,CONFIG_PALLETS!$A:$A,"GERAL",CONFIG_PALLETS!$B:$B,$C169&amp;" ml"),12)))</f>
        <v/>
      </c>
    </row>
    <row r="170" spans="1:13" ht="21" customHeight="1" x14ac:dyDescent="0.3">
      <c r="A170" s="215"/>
      <c r="B170" s="191"/>
      <c r="C170" s="192"/>
      <c r="D170" s="193"/>
      <c r="E170" s="194" t="s">
        <v>214</v>
      </c>
      <c r="F170" s="195" t="str">
        <f>IF($B170="","",IF(SUMIFS(CONFIG_PALLETS!$C:$C,CONFIG_PALLETS!$A:$A,TRIM($B170),CONFIG_PALLETS!$B:$B,$C170&amp;" ml")&gt;0,SUMIFS(CONFIG_PALLETS!$C:$C,CONFIG_PALLETS!$A:$A,TRIM($B170),CONFIG_PALLETS!$B:$B,$C170&amp;" ml"),IF(SUMIFS(CONFIG_PALLETS!$C:$C,CONFIG_PALLETS!$A:$A,"GERAL",CONFIG_PALLETS!$B:$B,$C170&amp;" ml")&gt;0,SUMIFS(CONFIG_PALLETS!$C:$C,CONFIG_PALLETS!$A:$A,"GERAL",CONFIG_PALLETS!$B:$B,$C170&amp;" ml"),"")))</f>
        <v/>
      </c>
      <c r="G170" s="196" t="str">
        <f>IFERROR(ROUNDUP(D170/F170,0),"")</f>
        <v/>
      </c>
      <c r="H170" s="197"/>
      <c r="I170" s="193" t="str">
        <f>IF(H170="","",H170*IF(SUMIFS(CONFIG_PALLETS!$D:$D,CONFIG_PALLETS!$A:$A,IF(ISNUMBER(SEARCH("ESPUMA",$B170)),"ESPUMA",IF(OR(ISNUMBER(SEARCH("OLEO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ml")&gt;0,SUMIFS(CONFIG_PALLETS!$D:$D,CONFIG_PALLETS!$A:$A,IF(ISNUMBER(SEARCH("ESPUMA",$B170)),"ESPUMA",IF(OR(ISNUMBER(SEARCH("OLEO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ml"),IF(SUMIFS(CONFIG_PALLETS!$D:$D,CONFIG_PALLETS!$A:$A,"GERAL",CONFIG_PALLETS!$B:$B,$C170&amp;" ml")&gt;0,SUMIFS(CONFIG_PALLETS!$D:$D,CONFIG_PALLETS!$A:$A,"GERAL",CONFIG_PALLETS!$B:$B,$C170&amp;" ml"),12)))</f>
        <v/>
      </c>
    </row>
    <row r="171" spans="1:13" ht="21" customHeight="1" x14ac:dyDescent="0.3">
      <c r="A171" s="215"/>
      <c r="B171" s="191"/>
      <c r="C171" s="192"/>
      <c r="D171" s="193"/>
      <c r="E171" s="194" t="s">
        <v>214</v>
      </c>
      <c r="F171" s="195" t="str">
        <f>IF($B171="","",IF(SUMIFS(CONFIG_PALLETS!$C:$C,CONFIG_PALLETS!$A:$A,TRIM($B171),CONFIG_PALLETS!$B:$B,$C171&amp;" ml")&gt;0,SUMIFS(CONFIG_PALLETS!$C:$C,CONFIG_PALLETS!$A:$A,TRIM($B171),CONFIG_PALLETS!$B:$B,$C171&amp;" ml"),IF(SUMIFS(CONFIG_PALLETS!$C:$C,CONFIG_PALLETS!$A:$A,"GERAL",CONFIG_PALLETS!$B:$B,$C171&amp;" ml")&gt;0,SUMIFS(CONFIG_PALLETS!$C:$C,CONFIG_PALLETS!$A:$A,"GERAL",CONFIG_PALLETS!$B:$B,$C171&amp;" ml"),"")))</f>
        <v/>
      </c>
      <c r="G171" s="196" t="str">
        <f>IFERROR(ROUNDUP(D171/F171,0),"")</f>
        <v/>
      </c>
      <c r="H171" s="197"/>
      <c r="I171" s="193" t="str">
        <f>IF(H171="","",H171*IF(SUMIFS(CONFIG_PALLETS!$D:$D,CONFIG_PALLETS!$A:$A,IF(ISNUMBER(SEARCH("ESPUMA",$B171)),"ESPUMA",IF(OR(ISNUMBER(SEARCH("OLEO DE COCO",$B171)),ISNUMBER(SEARCH("ÓLEO DE COCO",$B171)),ISNUMBER(SEARCH("COPRA",$B171))),"ÓLEO DE COCO",IF(ISNUMBER(SEARCH("CORANTE",$B171)),"CORANTE",TRIM($B171)))),CONFIG_PALLETS!$B:$B,$C171&amp;" ml")&gt;0,SUMIFS(CONFIG_PALLETS!$D:$D,CONFIG_PALLETS!$A:$A,IF(ISNUMBER(SEARCH("ESPUMA",$B171)),"ESPUMA",IF(OR(ISNUMBER(SEARCH("OLEO DE COCO",$B171)),ISNUMBER(SEARCH("ÓLEO DE COCO",$B171)),ISNUMBER(SEARCH("COPRA",$B171))),"ÓLEO DE COCO",IF(ISNUMBER(SEARCH("CORANTE",$B171)),"CORANTE",TRIM($B171)))),CONFIG_PALLETS!$B:$B,$C171&amp;" ml"),IF(SUMIFS(CONFIG_PALLETS!$D:$D,CONFIG_PALLETS!$A:$A,"GERAL",CONFIG_PALLETS!$B:$B,$C171&amp;" ml")&gt;0,SUMIFS(CONFIG_PALLETS!$D:$D,CONFIG_PALLETS!$A:$A,"GERAL",CONFIG_PALLETS!$B:$B,$C171&amp;" ml"),12)))</f>
        <v/>
      </c>
    </row>
    <row r="172" spans="1:13" ht="21" customHeight="1" x14ac:dyDescent="0.3">
      <c r="A172" s="215"/>
      <c r="B172" s="191"/>
      <c r="C172" s="192"/>
      <c r="D172" s="193"/>
      <c r="E172" s="194" t="s">
        <v>214</v>
      </c>
      <c r="F172" s="195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196" t="str">
        <f>IFERROR(ROUNDUP(D172/F172,0),"")</f>
        <v/>
      </c>
      <c r="H172" s="197"/>
      <c r="I172" s="193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</row>
    <row r="173" spans="1:13" ht="15" customHeight="1" x14ac:dyDescent="0.3">
      <c r="A173" s="217"/>
      <c r="B173" s="199" t="s">
        <v>216</v>
      </c>
      <c r="C173" s="200"/>
      <c r="D173" s="201">
        <f>SUM(D166:D172)</f>
        <v>1137</v>
      </c>
      <c r="E173" s="202"/>
      <c r="F173" s="202"/>
      <c r="G173" s="203">
        <f>SUM(G166:G172)</f>
        <v>5</v>
      </c>
      <c r="H173" s="201">
        <f>SUM(H166:H172)</f>
        <v>1141</v>
      </c>
      <c r="I173" s="201">
        <f>SUM(I166:I172)</f>
        <v>13692</v>
      </c>
      <c r="J173" s="28">
        <f>D173</f>
        <v>1137</v>
      </c>
      <c r="K173" s="106">
        <f>G173</f>
        <v>5</v>
      </c>
      <c r="L173" s="28">
        <f>H173</f>
        <v>1141</v>
      </c>
      <c r="M173" s="28">
        <f>I173</f>
        <v>13692</v>
      </c>
    </row>
    <row r="174" spans="1:13" ht="6" customHeight="1" x14ac:dyDescent="0.3">
      <c r="C174" s="72"/>
    </row>
    <row r="175" spans="1:13" ht="15" customHeight="1" x14ac:dyDescent="0.3">
      <c r="A175" s="30">
        <v>46139</v>
      </c>
      <c r="B175" s="186" t="s">
        <v>78</v>
      </c>
      <c r="C175" s="187" t="s">
        <v>205</v>
      </c>
      <c r="D175" s="188" t="s">
        <v>206</v>
      </c>
      <c r="E175" s="188" t="s">
        <v>207</v>
      </c>
      <c r="F175" s="189" t="s">
        <v>208</v>
      </c>
      <c r="G175" s="188" t="s">
        <v>209</v>
      </c>
      <c r="H175" s="214" t="s">
        <v>210</v>
      </c>
      <c r="I175" s="214" t="s">
        <v>211</v>
      </c>
    </row>
    <row r="176" spans="1:13" ht="21" customHeight="1" x14ac:dyDescent="0.3">
      <c r="A176" s="215"/>
      <c r="B176" s="191" t="s">
        <v>329</v>
      </c>
      <c r="C176" s="192">
        <v>180</v>
      </c>
      <c r="D176" s="193">
        <v>1670</v>
      </c>
      <c r="E176" s="194" t="s">
        <v>214</v>
      </c>
      <c r="F176" s="195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>240</v>
      </c>
      <c r="G176" s="196">
        <f>IFERROR(ROUNDUP(D176/F176,0),"")</f>
        <v>7</v>
      </c>
      <c r="H176" s="197">
        <v>1683</v>
      </c>
      <c r="I176" s="193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>20196</v>
      </c>
    </row>
    <row r="177" spans="1:13" ht="21" customHeight="1" x14ac:dyDescent="0.3">
      <c r="A177" s="215"/>
      <c r="B177" s="191"/>
      <c r="C177" s="192"/>
      <c r="D177" s="193"/>
      <c r="E177" s="194" t="s">
        <v>214</v>
      </c>
      <c r="F177" s="195" t="str">
        <f>IF($B177="","",IF(SUMIFS(CONFIG_PALLETS!$C:$C,CONFIG_PALLETS!$A:$A,TRIM($B177),CONFIG_PALLETS!$B:$B,$C177&amp;" ml")&gt;0,SUMIFS(CONFIG_PALLETS!$C:$C,CONFIG_PALLETS!$A:$A,TRIM($B177),CONFIG_PALLETS!$B:$B,$C177&amp;" ml"),IF(SUMIFS(CONFIG_PALLETS!$C:$C,CONFIG_PALLETS!$A:$A,"GERAL",CONFIG_PALLETS!$B:$B,$C177&amp;" ml")&gt;0,SUMIFS(CONFIG_PALLETS!$C:$C,CONFIG_PALLETS!$A:$A,"GERAL",CONFIG_PALLETS!$B:$B,$C177&amp;" ml"),"")))</f>
        <v/>
      </c>
      <c r="G177" s="196" t="str">
        <f>IFERROR(ROUNDUP(D177/F177,0),"")</f>
        <v/>
      </c>
      <c r="H177" s="197"/>
      <c r="I177" s="193" t="str">
        <f>IF(H177="","",H177*IF(SUMIFS(CONFIG_PALLETS!$D:$D,CONFIG_PALLETS!$A:$A,IF(ISNUMBER(SEARCH("ESPUMA",$B177)),"ESPUMA",IF(OR(ISNUMBER(SEARCH("OLEO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ml")&gt;0,SUMIFS(CONFIG_PALLETS!$D:$D,CONFIG_PALLETS!$A:$A,IF(ISNUMBER(SEARCH("ESPUMA",$B177)),"ESPUMA",IF(OR(ISNUMBER(SEARCH("OLEO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ml"),IF(SUMIFS(CONFIG_PALLETS!$D:$D,CONFIG_PALLETS!$A:$A,"GERAL",CONFIG_PALLETS!$B:$B,$C177&amp;" ml")&gt;0,SUMIFS(CONFIG_PALLETS!$D:$D,CONFIG_PALLETS!$A:$A,"GERAL",CONFIG_PALLETS!$B:$B,$C177&amp;" ml"),12)))</f>
        <v/>
      </c>
    </row>
    <row r="178" spans="1:13" ht="21" customHeight="1" x14ac:dyDescent="0.3">
      <c r="A178" s="215"/>
      <c r="B178" s="191"/>
      <c r="C178" s="192"/>
      <c r="D178" s="193"/>
      <c r="E178" s="194" t="s">
        <v>214</v>
      </c>
      <c r="F178" s="195" t="str">
        <f>IF($B178="","",IF(SUMIFS(CONFIG_PALLETS!$C:$C,CONFIG_PALLETS!$A:$A,TRIM($B178),CONFIG_PALLETS!$B:$B,$C178&amp;" ml")&gt;0,SUMIFS(CONFIG_PALLETS!$C:$C,CONFIG_PALLETS!$A:$A,TRIM($B178),CONFIG_PALLETS!$B:$B,$C178&amp;" ml"),IF(SUMIFS(CONFIG_PALLETS!$C:$C,CONFIG_PALLETS!$A:$A,"GERAL",CONFIG_PALLETS!$B:$B,$C178&amp;" ml")&gt;0,SUMIFS(CONFIG_PALLETS!$C:$C,CONFIG_PALLETS!$A:$A,"GERAL",CONFIG_PALLETS!$B:$B,$C178&amp;" ml"),"")))</f>
        <v/>
      </c>
      <c r="G178" s="196" t="str">
        <f>IFERROR(ROUNDUP(D178/F178,0),"")</f>
        <v/>
      </c>
      <c r="H178" s="197"/>
      <c r="I178" s="193" t="str">
        <f>IF(H178="","",H178*IF(SUMIFS(CONFIG_PALLETS!$D:$D,CONFIG_PALLETS!$A:$A,IF(ISNUMBER(SEARCH("ESPUMA",$B178)),"ESPUMA",IF(OR(ISNUMBER(SEARCH("OLEO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ml")&gt;0,SUMIFS(CONFIG_PALLETS!$D:$D,CONFIG_PALLETS!$A:$A,IF(ISNUMBER(SEARCH("ESPUMA",$B178)),"ESPUMA",IF(OR(ISNUMBER(SEARCH("OLEO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ml"),IF(SUMIFS(CONFIG_PALLETS!$D:$D,CONFIG_PALLETS!$A:$A,"GERAL",CONFIG_PALLETS!$B:$B,$C178&amp;" ml")&gt;0,SUMIFS(CONFIG_PALLETS!$D:$D,CONFIG_PALLETS!$A:$A,"GERAL",CONFIG_PALLETS!$B:$B,$C178&amp;" ml"),12)))</f>
        <v/>
      </c>
    </row>
    <row r="179" spans="1:13" ht="21" customHeight="1" x14ac:dyDescent="0.3">
      <c r="A179" s="215"/>
      <c r="B179" s="191"/>
      <c r="C179" s="192"/>
      <c r="D179" s="193"/>
      <c r="E179" s="194" t="s">
        <v>214</v>
      </c>
      <c r="F179" s="195" t="str">
        <f>IF($B179="","",IF(SUMIFS(CONFIG_PALLETS!$C:$C,CONFIG_PALLETS!$A:$A,TRIM($B179),CONFIG_PALLETS!$B:$B,$C179&amp;" ml")&gt;0,SUMIFS(CONFIG_PALLETS!$C:$C,CONFIG_PALLETS!$A:$A,TRIM($B179),CONFIG_PALLETS!$B:$B,$C179&amp;" ml"),IF(SUMIFS(CONFIG_PALLETS!$C:$C,CONFIG_PALLETS!$A:$A,"GERAL",CONFIG_PALLETS!$B:$B,$C179&amp;" ml")&gt;0,SUMIFS(CONFIG_PALLETS!$C:$C,CONFIG_PALLETS!$A:$A,"GERAL",CONFIG_PALLETS!$B:$B,$C179&amp;" ml"),"")))</f>
        <v/>
      </c>
      <c r="G179" s="196" t="str">
        <f>IFERROR(ROUNDUP(D179/F179,0),"")</f>
        <v/>
      </c>
      <c r="H179" s="197"/>
      <c r="I179" s="193" t="str">
        <f>IF(H179="","",H179*IF(SUMIFS(CONFIG_PALLETS!$D:$D,CONFIG_PALLETS!$A:$A,IF(ISNUMBER(SEARCH("ESPUMA",$B179)),"ESPUMA",IF(OR(ISNUMBER(SEARCH("OLEO DE COCO",$B179)),ISNUMBER(SEARCH("ÓLEO DE COCO",$B179)),ISNUMBER(SEARCH("COPRA",$B179))),"ÓLEO DE COCO",IF(ISNUMBER(SEARCH("CORANTE",$B179)),"CORANTE",TRIM($B179)))),CONFIG_PALLETS!$B:$B,$C179&amp;" ml")&gt;0,SUMIFS(CONFIG_PALLETS!$D:$D,CONFIG_PALLETS!$A:$A,IF(ISNUMBER(SEARCH("ESPUMA",$B179)),"ESPUMA",IF(OR(ISNUMBER(SEARCH("OLEO DE COCO",$B179)),ISNUMBER(SEARCH("ÓLEO DE COCO",$B179)),ISNUMBER(SEARCH("COPRA",$B179))),"ÓLEO DE COCO",IF(ISNUMBER(SEARCH("CORANTE",$B179)),"CORANTE",TRIM($B179)))),CONFIG_PALLETS!$B:$B,$C179&amp;" ml"),IF(SUMIFS(CONFIG_PALLETS!$D:$D,CONFIG_PALLETS!$A:$A,"GERAL",CONFIG_PALLETS!$B:$B,$C179&amp;" ml")&gt;0,SUMIFS(CONFIG_PALLETS!$D:$D,CONFIG_PALLETS!$A:$A,"GERAL",CONFIG_PALLETS!$B:$B,$C179&amp;" ml"),12)))</f>
        <v/>
      </c>
    </row>
    <row r="180" spans="1:13" ht="21" customHeight="1" x14ac:dyDescent="0.3">
      <c r="A180" s="215"/>
      <c r="B180" s="191"/>
      <c r="C180" s="192"/>
      <c r="D180" s="193"/>
      <c r="E180" s="194" t="s">
        <v>214</v>
      </c>
      <c r="F180" s="195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196" t="str">
        <f>IFERROR(ROUNDUP(D180/F180,0),"")</f>
        <v/>
      </c>
      <c r="H180" s="197"/>
      <c r="I180" s="193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</row>
    <row r="181" spans="1:13" ht="15" customHeight="1" x14ac:dyDescent="0.3">
      <c r="A181" s="217"/>
      <c r="B181" s="199" t="s">
        <v>216</v>
      </c>
      <c r="C181" s="200"/>
      <c r="D181" s="201">
        <f>SUM(D174:D180)</f>
        <v>1670</v>
      </c>
      <c r="E181" s="202"/>
      <c r="F181" s="202"/>
      <c r="G181" s="203">
        <f>SUM(G174:G180)</f>
        <v>7</v>
      </c>
      <c r="H181" s="201">
        <f>SUM(H174:H180)</f>
        <v>1683</v>
      </c>
      <c r="I181" s="201">
        <f>SUM(I174:I180)</f>
        <v>20196</v>
      </c>
      <c r="J181" s="28">
        <f>D181</f>
        <v>1670</v>
      </c>
      <c r="K181" s="106">
        <f>G181</f>
        <v>7</v>
      </c>
      <c r="L181" s="28">
        <f>H181</f>
        <v>1683</v>
      </c>
      <c r="M181" s="28">
        <f>I181</f>
        <v>20196</v>
      </c>
    </row>
    <row r="182" spans="1:13" ht="6" customHeight="1" x14ac:dyDescent="0.3">
      <c r="C182" s="72"/>
    </row>
    <row r="183" spans="1:13" ht="15" customHeight="1" x14ac:dyDescent="0.3">
      <c r="A183" s="30">
        <v>46140</v>
      </c>
      <c r="B183" s="186" t="s">
        <v>78</v>
      </c>
      <c r="C183" s="187" t="s">
        <v>205</v>
      </c>
      <c r="D183" s="188" t="s">
        <v>206</v>
      </c>
      <c r="E183" s="188" t="s">
        <v>207</v>
      </c>
      <c r="F183" s="189" t="s">
        <v>208</v>
      </c>
      <c r="G183" s="188" t="s">
        <v>209</v>
      </c>
      <c r="H183" s="214" t="s">
        <v>210</v>
      </c>
      <c r="I183" s="214" t="s">
        <v>211</v>
      </c>
    </row>
    <row r="184" spans="1:13" ht="21" customHeight="1" x14ac:dyDescent="0.3">
      <c r="A184" s="215"/>
      <c r="B184" s="191"/>
      <c r="C184" s="192"/>
      <c r="D184" s="193"/>
      <c r="E184" s="194"/>
      <c r="F184" s="195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196" t="str">
        <f>IFERROR(ROUNDUP(D184/F184,0),"")</f>
        <v/>
      </c>
      <c r="H184" s="197"/>
      <c r="I184" s="193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</row>
    <row r="185" spans="1:13" ht="21" customHeight="1" x14ac:dyDescent="0.3">
      <c r="A185" s="215"/>
      <c r="B185" s="191" t="s">
        <v>229</v>
      </c>
      <c r="C185" s="192">
        <v>180</v>
      </c>
      <c r="D185" s="193">
        <v>480</v>
      </c>
      <c r="E185" s="194" t="s">
        <v>214</v>
      </c>
      <c r="F185" s="195">
        <f>IF($B185="","",IF(SUMIFS(CONFIG_PALLETS!$C:$C,CONFIG_PALLETS!$A:$A,TRIM($B185),CONFIG_PALLETS!$B:$B,$C185&amp;" ml")&gt;0,SUMIFS(CONFIG_PALLETS!$C:$C,CONFIG_PALLETS!$A:$A,TRIM($B185),CONFIG_PALLETS!$B:$B,$C185&amp;" ml"),IF(SUMIFS(CONFIG_PALLETS!$C:$C,CONFIG_PALLETS!$A:$A,"GERAL",CONFIG_PALLETS!$B:$B,$C185&amp;" ml")&gt;0,SUMIFS(CONFIG_PALLETS!$C:$C,CONFIG_PALLETS!$A:$A,"GERAL",CONFIG_PALLETS!$B:$B,$C185&amp;" ml"),"")))</f>
        <v>240</v>
      </c>
      <c r="G185" s="196">
        <f>IFERROR(ROUNDUP(D185/F185,0),"")</f>
        <v>2</v>
      </c>
      <c r="H185" s="197">
        <v>481</v>
      </c>
      <c r="I185" s="193">
        <f>IF(H185="","",H185*IF(SUMIFS(CONFIG_PALLETS!$D:$D,CONFIG_PALLETS!$A:$A,IF(ISNUMBER(SEARCH("ESPUMA",$B185)),"ESPUMA",IF(OR(ISNUMBER(SEARCH("OLEO DE COCO",$B185)),ISNUMBER(SEARCH("ÓLEO DE COCO",$B185)),ISNUMBER(SEARCH("COPRA",$B185))),"ÓLEO DE COCO",IF(ISNUMBER(SEARCH("CORANTE",$B185)),"CORANTE",TRIM($B185)))),CONFIG_PALLETS!$B:$B,$C185&amp;" ml")&gt;0,SUMIFS(CONFIG_PALLETS!$D:$D,CONFIG_PALLETS!$A:$A,IF(ISNUMBER(SEARCH("ESPUMA",$B185)),"ESPUMA",IF(OR(ISNUMBER(SEARCH("OLEO DE COCO",$B185)),ISNUMBER(SEARCH("ÓLEO DE COCO",$B185)),ISNUMBER(SEARCH("COPRA",$B185))),"ÓLEO DE COCO",IF(ISNUMBER(SEARCH("CORANTE",$B185)),"CORANTE",TRIM($B185)))),CONFIG_PALLETS!$B:$B,$C185&amp;" ml"),IF(SUMIFS(CONFIG_PALLETS!$D:$D,CONFIG_PALLETS!$A:$A,"GERAL",CONFIG_PALLETS!$B:$B,$C185&amp;" ml")&gt;0,SUMIFS(CONFIG_PALLETS!$D:$D,CONFIG_PALLETS!$A:$A,"GERAL",CONFIG_PALLETS!$B:$B,$C185&amp;" ml"),12)))</f>
        <v>5772</v>
      </c>
    </row>
    <row r="186" spans="1:13" ht="21" customHeight="1" x14ac:dyDescent="0.3">
      <c r="A186" s="215"/>
      <c r="B186" s="191" t="s">
        <v>537</v>
      </c>
      <c r="C186" s="192">
        <v>600</v>
      </c>
      <c r="D186" s="193">
        <v>3990</v>
      </c>
      <c r="E186" s="194" t="s">
        <v>214</v>
      </c>
      <c r="F186" s="195">
        <f>IF($B186="","",IF(SUMIFS(CONFIG_PALLETS!$C:$C,CONFIG_PALLETS!$A:$A,TRIM($B186),CONFIG_PALLETS!$B:$B,$C186&amp;" ml")&gt;0,SUMIFS(CONFIG_PALLETS!$C:$C,CONFIG_PALLETS!$A:$A,TRIM($B186),CONFIG_PALLETS!$B:$B,$C186&amp;" ml"),IF(SUMIFS(CONFIG_PALLETS!$C:$C,CONFIG_PALLETS!$A:$A,"GERAL",CONFIG_PALLETS!$B:$B,$C186&amp;" ml")&gt;0,SUMIFS(CONFIG_PALLETS!$C:$C,CONFIG_PALLETS!$A:$A,"GERAL",CONFIG_PALLETS!$B:$B,$C186&amp;" ml"),"")))</f>
        <v>190</v>
      </c>
      <c r="G186" s="196">
        <f>IFERROR(ROUNDUP(D186/F186,0),"")</f>
        <v>21</v>
      </c>
      <c r="H186" s="197">
        <v>911</v>
      </c>
      <c r="I186" s="193">
        <f>IF(H186="","",H186*IF(SUMIFS(CONFIG_PALLETS!$D:$D,CONFIG_PALLETS!$A:$A,IF(ISNUMBER(SEARCH("ESPUMA",$B186)),"ESPUMA",IF(OR(ISNUMBER(SEARCH("OLEO DE COCO",$B186)),ISNUMBER(SEARCH("ÓLEO DE COCO",$B186)),ISNUMBER(SEARCH("COPRA",$B186))),"ÓLEO DE COCO",IF(ISNUMBER(SEARCH("CORANTE",$B186)),"CORANTE",TRIM($B186)))),CONFIG_PALLETS!$B:$B,$C186&amp;" ml")&gt;0,SUMIFS(CONFIG_PALLETS!$D:$D,CONFIG_PALLETS!$A:$A,IF(ISNUMBER(SEARCH("ESPUMA",$B186)),"ESPUMA",IF(OR(ISNUMBER(SEARCH("OLEO DE COCO",$B186)),ISNUMBER(SEARCH("ÓLEO DE COCO",$B186)),ISNUMBER(SEARCH("COPRA",$B186))),"ÓLEO DE COCO",IF(ISNUMBER(SEARCH("CORANTE",$B186)),"CORANTE",TRIM($B186)))),CONFIG_PALLETS!$B:$B,$C186&amp;" ml"),IF(SUMIFS(CONFIG_PALLETS!$D:$D,CONFIG_PALLETS!$A:$A,"GERAL",CONFIG_PALLETS!$B:$B,$C186&amp;" ml")&gt;0,SUMIFS(CONFIG_PALLETS!$D:$D,CONFIG_PALLETS!$A:$A,"GERAL",CONFIG_PALLETS!$B:$B,$C186&amp;" ml"),12)))</f>
        <v>5466</v>
      </c>
    </row>
    <row r="187" spans="1:13" ht="21" customHeight="1" x14ac:dyDescent="0.3">
      <c r="A187" s="215"/>
      <c r="B187" s="191"/>
      <c r="C187" s="192"/>
      <c r="D187" s="193"/>
      <c r="E187" s="194" t="s">
        <v>214</v>
      </c>
      <c r="F187" s="195" t="str">
        <f>IF($B187="","",IF(SUMIFS(CONFIG_PALLETS!$C:$C,CONFIG_PALLETS!$A:$A,TRIM($B187),CONFIG_PALLETS!$B:$B,$C187&amp;" ml")&gt;0,SUMIFS(CONFIG_PALLETS!$C:$C,CONFIG_PALLETS!$A:$A,TRIM($B187),CONFIG_PALLETS!$B:$B,$C187&amp;" ml"),IF(SUMIFS(CONFIG_PALLETS!$C:$C,CONFIG_PALLETS!$A:$A,"GERAL",CONFIG_PALLETS!$B:$B,$C187&amp;" ml")&gt;0,SUMIFS(CONFIG_PALLETS!$C:$C,CONFIG_PALLETS!$A:$A,"GERAL",CONFIG_PALLETS!$B:$B,$C187&amp;" ml"),"")))</f>
        <v/>
      </c>
      <c r="G187" s="196" t="str">
        <f>IFERROR(ROUNDUP(D187/F187,0),"")</f>
        <v/>
      </c>
      <c r="H187" s="197"/>
      <c r="I187" s="193" t="str">
        <f>IF(H187="","",H187*IF(SUMIFS(CONFIG_PALLETS!$D:$D,CONFIG_PALLETS!$A:$A,IF(ISNUMBER(SEARCH("ESPUMA",$B187)),"ESPUMA",IF(OR(ISNUMBER(SEARCH("OLEO DE COCO",$B187)),ISNUMBER(SEARCH("ÓLEO DE COCO",$B187)),ISNUMBER(SEARCH("COPRA",$B187))),"ÓLEO DE COCO",IF(ISNUMBER(SEARCH("CORANTE",$B187)),"CORANTE",TRIM($B187)))),CONFIG_PALLETS!$B:$B,$C187&amp;" ml")&gt;0,SUMIFS(CONFIG_PALLETS!$D:$D,CONFIG_PALLETS!$A:$A,IF(ISNUMBER(SEARCH("ESPUMA",$B187)),"ESPUMA",IF(OR(ISNUMBER(SEARCH("OLEO DE COCO",$B187)),ISNUMBER(SEARCH("ÓLEO DE COCO",$B187)),ISNUMBER(SEARCH("COPRA",$B187))),"ÓLEO DE COCO",IF(ISNUMBER(SEARCH("CORANTE",$B187)),"CORANTE",TRIM($B187)))),CONFIG_PALLETS!$B:$B,$C187&amp;" ml"),IF(SUMIFS(CONFIG_PALLETS!$D:$D,CONFIG_PALLETS!$A:$A,"GERAL",CONFIG_PALLETS!$B:$B,$C187&amp;" ml")&gt;0,SUMIFS(CONFIG_PALLETS!$D:$D,CONFIG_PALLETS!$A:$A,"GERAL",CONFIG_PALLETS!$B:$B,$C187&amp;" ml"),12)))</f>
        <v/>
      </c>
    </row>
    <row r="188" spans="1:13" ht="21" customHeight="1" x14ac:dyDescent="0.3">
      <c r="A188" s="215"/>
      <c r="B188" s="191"/>
      <c r="C188" s="192"/>
      <c r="D188" s="193"/>
      <c r="E188" s="194" t="s">
        <v>214</v>
      </c>
      <c r="F188" s="195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196" t="str">
        <f>IFERROR(ROUNDUP(D188/F188,0),"")</f>
        <v/>
      </c>
      <c r="H188" s="197"/>
      <c r="I188" s="193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</row>
    <row r="189" spans="1:13" ht="15" customHeight="1" x14ac:dyDescent="0.3">
      <c r="A189" s="217"/>
      <c r="B189" s="199" t="s">
        <v>216</v>
      </c>
      <c r="C189" s="200"/>
      <c r="D189" s="201">
        <f>SUM(D182:D188)</f>
        <v>4470</v>
      </c>
      <c r="E189" s="202"/>
      <c r="F189" s="202"/>
      <c r="G189" s="203">
        <f>SUM(G182:G188)</f>
        <v>23</v>
      </c>
      <c r="H189" s="201">
        <f>SUM(H182:H188)</f>
        <v>1392</v>
      </c>
      <c r="I189" s="201">
        <f>SUM(I182:I188)</f>
        <v>11238</v>
      </c>
      <c r="J189" s="28">
        <f>D189</f>
        <v>4470</v>
      </c>
      <c r="K189" s="106">
        <f>G189</f>
        <v>23</v>
      </c>
      <c r="L189" s="28">
        <f>H189</f>
        <v>1392</v>
      </c>
      <c r="M189" s="28">
        <f>I189</f>
        <v>11238</v>
      </c>
    </row>
    <row r="190" spans="1:13" ht="6" customHeight="1" x14ac:dyDescent="0.3">
      <c r="C190" s="72"/>
    </row>
    <row r="191" spans="1:13" ht="15" customHeight="1" x14ac:dyDescent="0.3">
      <c r="A191" s="30">
        <v>46141</v>
      </c>
      <c r="B191" s="186" t="s">
        <v>78</v>
      </c>
      <c r="C191" s="187" t="s">
        <v>205</v>
      </c>
      <c r="D191" s="188" t="s">
        <v>206</v>
      </c>
      <c r="E191" s="188" t="s">
        <v>207</v>
      </c>
      <c r="F191" s="189" t="s">
        <v>208</v>
      </c>
      <c r="G191" s="188" t="s">
        <v>209</v>
      </c>
      <c r="H191" s="214" t="s">
        <v>210</v>
      </c>
      <c r="I191" s="214" t="s">
        <v>211</v>
      </c>
    </row>
    <row r="192" spans="1:13" ht="21" customHeight="1" x14ac:dyDescent="0.3">
      <c r="A192" s="215"/>
      <c r="B192" s="191" t="s">
        <v>537</v>
      </c>
      <c r="C192" s="192">
        <v>600</v>
      </c>
      <c r="D192" s="193">
        <f>D186-H186</f>
        <v>3079</v>
      </c>
      <c r="E192" s="194" t="s">
        <v>214</v>
      </c>
      <c r="F192" s="195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>190</v>
      </c>
      <c r="G192" s="196">
        <f>IFERROR(ROUNDUP(D192/F192,0),"")</f>
        <v>17</v>
      </c>
      <c r="H192" s="197">
        <v>1578</v>
      </c>
      <c r="I192" s="193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>9468</v>
      </c>
    </row>
    <row r="193" spans="1:13" ht="21" customHeight="1" x14ac:dyDescent="0.3">
      <c r="A193" s="215"/>
      <c r="B193" s="191"/>
      <c r="C193" s="192"/>
      <c r="D193" s="193"/>
      <c r="E193" s="194" t="s">
        <v>214</v>
      </c>
      <c r="F193" s="195" t="str">
        <f>IF($B193="","",IF(SUMIFS(CONFIG_PALLETS!$C:$C,CONFIG_PALLETS!$A:$A,TRIM($B193),CONFIG_PALLETS!$B:$B,$C193&amp;" ml")&gt;0,SUMIFS(CONFIG_PALLETS!$C:$C,CONFIG_PALLETS!$A:$A,TRIM($B193),CONFIG_PALLETS!$B:$B,$C193&amp;" ml"),IF(SUMIFS(CONFIG_PALLETS!$C:$C,CONFIG_PALLETS!$A:$A,"GERAL",CONFIG_PALLETS!$B:$B,$C193&amp;" ml")&gt;0,SUMIFS(CONFIG_PALLETS!$C:$C,CONFIG_PALLETS!$A:$A,"GERAL",CONFIG_PALLETS!$B:$B,$C193&amp;" ml"),"")))</f>
        <v/>
      </c>
      <c r="G193" s="196" t="str">
        <f>IFERROR(ROUNDUP(D193/F193,0),"")</f>
        <v/>
      </c>
      <c r="H193" s="197"/>
      <c r="I193" s="193" t="str">
        <f>IF(H193="","",H193*IF(SUMIFS(CONFIG_PALLETS!$D:$D,CONFIG_PALLETS!$A:$A,IF(ISNUMBER(SEARCH("ESPUMA",$B193)),"ESPUMA",IF(OR(ISNUMBER(SEARCH("OLEO DE COCO",$B193)),ISNUMBER(SEARCH("ÓLEO DE COCO",$B193)),ISNUMBER(SEARCH("COPRA",$B193))),"ÓLEO DE COCO",IF(ISNUMBER(SEARCH("CORANTE",$B193)),"CORANTE",TRIM($B193)))),CONFIG_PALLETS!$B:$B,$C193&amp;" ml")&gt;0,SUMIFS(CONFIG_PALLETS!$D:$D,CONFIG_PALLETS!$A:$A,IF(ISNUMBER(SEARCH("ESPUMA",$B193)),"ESPUMA",IF(OR(ISNUMBER(SEARCH("OLEO DE COCO",$B193)),ISNUMBER(SEARCH("ÓLEO DE COCO",$B193)),ISNUMBER(SEARCH("COPRA",$B193))),"ÓLEO DE COCO",IF(ISNUMBER(SEARCH("CORANTE",$B193)),"CORANTE",TRIM($B193)))),CONFIG_PALLETS!$B:$B,$C193&amp;" ml"),IF(SUMIFS(CONFIG_PALLETS!$D:$D,CONFIG_PALLETS!$A:$A,"GERAL",CONFIG_PALLETS!$B:$B,$C193&amp;" ml")&gt;0,SUMIFS(CONFIG_PALLETS!$D:$D,CONFIG_PALLETS!$A:$A,"GERAL",CONFIG_PALLETS!$B:$B,$C193&amp;" ml"),12)))</f>
        <v/>
      </c>
    </row>
    <row r="194" spans="1:13" ht="21" customHeight="1" x14ac:dyDescent="0.3">
      <c r="A194" s="215"/>
      <c r="B194" s="191"/>
      <c r="C194" s="192"/>
      <c r="D194" s="193"/>
      <c r="E194" s="194" t="s">
        <v>214</v>
      </c>
      <c r="F194" s="195" t="str">
        <f>IF($B194="","",IF(SUMIFS(CONFIG_PALLETS!$C:$C,CONFIG_PALLETS!$A:$A,TRIM($B194),CONFIG_PALLETS!$B:$B,$C194&amp;" ml")&gt;0,SUMIFS(CONFIG_PALLETS!$C:$C,CONFIG_PALLETS!$A:$A,TRIM($B194),CONFIG_PALLETS!$B:$B,$C194&amp;" ml"),IF(SUMIFS(CONFIG_PALLETS!$C:$C,CONFIG_PALLETS!$A:$A,"GERAL",CONFIG_PALLETS!$B:$B,$C194&amp;" ml")&gt;0,SUMIFS(CONFIG_PALLETS!$C:$C,CONFIG_PALLETS!$A:$A,"GERAL",CONFIG_PALLETS!$B:$B,$C194&amp;" ml"),"")))</f>
        <v/>
      </c>
      <c r="G194" s="196" t="str">
        <f>IFERROR(ROUNDUP(D194/F194,0),"")</f>
        <v/>
      </c>
      <c r="H194" s="197"/>
      <c r="I194" s="193" t="str">
        <f>IF(H194="","",H194*IF(SUMIFS(CONFIG_PALLETS!$D:$D,CONFIG_PALLETS!$A:$A,IF(ISNUMBER(SEARCH("ESPUMA",$B194)),"ESPUMA",IF(OR(ISNUMBER(SEARCH("OLEO DE COCO",$B194)),ISNUMBER(SEARCH("ÓLEO DE COCO",$B194)),ISNUMBER(SEARCH("COPRA",$B194))),"ÓLEO DE COCO",IF(ISNUMBER(SEARCH("CORANTE",$B194)),"CORANTE",TRIM($B194)))),CONFIG_PALLETS!$B:$B,$C194&amp;" ml")&gt;0,SUMIFS(CONFIG_PALLETS!$D:$D,CONFIG_PALLETS!$A:$A,IF(ISNUMBER(SEARCH("ESPUMA",$B194)),"ESPUMA",IF(OR(ISNUMBER(SEARCH("OLEO DE COCO",$B194)),ISNUMBER(SEARCH("ÓLEO DE COCO",$B194)),ISNUMBER(SEARCH("COPRA",$B194))),"ÓLEO DE COCO",IF(ISNUMBER(SEARCH("CORANTE",$B194)),"CORANTE",TRIM($B194)))),CONFIG_PALLETS!$B:$B,$C194&amp;" ml"),IF(SUMIFS(CONFIG_PALLETS!$D:$D,CONFIG_PALLETS!$A:$A,"GERAL",CONFIG_PALLETS!$B:$B,$C194&amp;" ml")&gt;0,SUMIFS(CONFIG_PALLETS!$D:$D,CONFIG_PALLETS!$A:$A,"GERAL",CONFIG_PALLETS!$B:$B,$C194&amp;" ml"),12)))</f>
        <v/>
      </c>
    </row>
    <row r="195" spans="1:13" ht="21" customHeight="1" x14ac:dyDescent="0.3">
      <c r="A195" s="215"/>
      <c r="B195" s="191"/>
      <c r="C195" s="192"/>
      <c r="D195" s="193"/>
      <c r="E195" s="194" t="s">
        <v>214</v>
      </c>
      <c r="F195" s="195" t="str">
        <f>IF($B195="","",IF(SUMIFS(CONFIG_PALLETS!$C:$C,CONFIG_PALLETS!$A:$A,TRIM($B195),CONFIG_PALLETS!$B:$B,$C195&amp;" ml")&gt;0,SUMIFS(CONFIG_PALLETS!$C:$C,CONFIG_PALLETS!$A:$A,TRIM($B195),CONFIG_PALLETS!$B:$B,$C195&amp;" ml"),IF(SUMIFS(CONFIG_PALLETS!$C:$C,CONFIG_PALLETS!$A:$A,"GERAL",CONFIG_PALLETS!$B:$B,$C195&amp;" ml")&gt;0,SUMIFS(CONFIG_PALLETS!$C:$C,CONFIG_PALLETS!$A:$A,"GERAL",CONFIG_PALLETS!$B:$B,$C195&amp;" ml"),"")))</f>
        <v/>
      </c>
      <c r="G195" s="196" t="str">
        <f>IFERROR(ROUNDUP(D195/F195,0),"")</f>
        <v/>
      </c>
      <c r="H195" s="197"/>
      <c r="I195" s="193" t="str">
        <f>IF(H195="","",H195*IF(SUMIFS(CONFIG_PALLETS!$D:$D,CONFIG_PALLETS!$A:$A,IF(ISNUMBER(SEARCH("ESPUMA",$B195)),"ESPUMA",IF(OR(ISNUMBER(SEARCH("OLEO DE COCO",$B195)),ISNUMBER(SEARCH("ÓLEO DE COCO",$B195)),ISNUMBER(SEARCH("COPRA",$B195))),"ÓLEO DE COCO",IF(ISNUMBER(SEARCH("CORANTE",$B195)),"CORANTE",TRIM($B195)))),CONFIG_PALLETS!$B:$B,$C195&amp;" ml")&gt;0,SUMIFS(CONFIG_PALLETS!$D:$D,CONFIG_PALLETS!$A:$A,IF(ISNUMBER(SEARCH("ESPUMA",$B195)),"ESPUMA",IF(OR(ISNUMBER(SEARCH("OLEO DE COCO",$B195)),ISNUMBER(SEARCH("ÓLEO DE COCO",$B195)),ISNUMBER(SEARCH("COPRA",$B195))),"ÓLEO DE COCO",IF(ISNUMBER(SEARCH("CORANTE",$B195)),"CORANTE",TRIM($B195)))),CONFIG_PALLETS!$B:$B,$C195&amp;" ml"),IF(SUMIFS(CONFIG_PALLETS!$D:$D,CONFIG_PALLETS!$A:$A,"GERAL",CONFIG_PALLETS!$B:$B,$C195&amp;" ml")&gt;0,SUMIFS(CONFIG_PALLETS!$D:$D,CONFIG_PALLETS!$A:$A,"GERAL",CONFIG_PALLETS!$B:$B,$C195&amp;" ml"),12)))</f>
        <v/>
      </c>
    </row>
    <row r="196" spans="1:13" ht="21" customHeight="1" x14ac:dyDescent="0.3">
      <c r="A196" s="215"/>
      <c r="B196" s="191"/>
      <c r="C196" s="192"/>
      <c r="D196" s="193"/>
      <c r="E196" s="194" t="s">
        <v>214</v>
      </c>
      <c r="F196" s="195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196" t="str">
        <f>IFERROR(ROUNDUP(D196/F196,0),"")</f>
        <v/>
      </c>
      <c r="H196" s="197"/>
      <c r="I196" s="193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</row>
    <row r="197" spans="1:13" ht="15" customHeight="1" x14ac:dyDescent="0.3">
      <c r="A197" s="217"/>
      <c r="B197" s="199" t="s">
        <v>216</v>
      </c>
      <c r="C197" s="200"/>
      <c r="D197" s="201">
        <f>SUM(D190:D196)</f>
        <v>3079</v>
      </c>
      <c r="E197" s="202"/>
      <c r="F197" s="202"/>
      <c r="G197" s="203">
        <f>SUM(G190:G196)</f>
        <v>17</v>
      </c>
      <c r="H197" s="201">
        <f>SUM(H190:H196)</f>
        <v>1578</v>
      </c>
      <c r="I197" s="201">
        <f>SUM(I190:I196)</f>
        <v>9468</v>
      </c>
      <c r="J197" s="28">
        <f>D197</f>
        <v>3079</v>
      </c>
      <c r="K197" s="106">
        <f>G197</f>
        <v>17</v>
      </c>
      <c r="L197" s="28">
        <f>H197</f>
        <v>1578</v>
      </c>
      <c r="M197" s="28">
        <f>I197</f>
        <v>9468</v>
      </c>
    </row>
    <row r="198" spans="1:13" ht="6" customHeight="1" x14ac:dyDescent="0.3">
      <c r="C198" s="72"/>
    </row>
    <row r="199" spans="1:13" ht="15" customHeight="1" x14ac:dyDescent="0.3">
      <c r="A199" s="30">
        <v>46142</v>
      </c>
      <c r="B199" s="186" t="s">
        <v>78</v>
      </c>
      <c r="C199" s="187" t="s">
        <v>205</v>
      </c>
      <c r="D199" s="188" t="s">
        <v>206</v>
      </c>
      <c r="E199" s="188" t="s">
        <v>207</v>
      </c>
      <c r="F199" s="189" t="s">
        <v>208</v>
      </c>
      <c r="G199" s="188" t="s">
        <v>209</v>
      </c>
      <c r="H199" s="214" t="s">
        <v>210</v>
      </c>
      <c r="I199" s="214" t="s">
        <v>211</v>
      </c>
    </row>
    <row r="200" spans="1:13" ht="21" customHeight="1" x14ac:dyDescent="0.3">
      <c r="A200" s="215"/>
      <c r="B200" s="191" t="s">
        <v>537</v>
      </c>
      <c r="C200" s="192">
        <v>600</v>
      </c>
      <c r="D200" s="193">
        <f>D192-H192</f>
        <v>1501</v>
      </c>
      <c r="E200" s="194" t="s">
        <v>214</v>
      </c>
      <c r="F200" s="195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>190</v>
      </c>
      <c r="G200" s="196">
        <f>IFERROR(ROUNDUP(D200/F200,0),"")</f>
        <v>8</v>
      </c>
      <c r="H200" s="197">
        <v>1140</v>
      </c>
      <c r="I200" s="193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>6840</v>
      </c>
    </row>
    <row r="201" spans="1:13" ht="21" customHeight="1" x14ac:dyDescent="0.3">
      <c r="A201" s="215"/>
      <c r="B201" s="191" t="s">
        <v>544</v>
      </c>
      <c r="C201" s="192">
        <v>600</v>
      </c>
      <c r="D201" s="193">
        <v>665</v>
      </c>
      <c r="E201" s="194" t="s">
        <v>214</v>
      </c>
      <c r="F201" s="195">
        <f>IF($B201="","",IF(SUMIFS(CONFIG_PALLETS!$C:$C,CONFIG_PALLETS!$A:$A,TRIM($B201),CONFIG_PALLETS!$B:$B,$C201&amp;" ml")&gt;0,SUMIFS(CONFIG_PALLETS!$C:$C,CONFIG_PALLETS!$A:$A,TRIM($B201),CONFIG_PALLETS!$B:$B,$C201&amp;" ml"),IF(SUMIFS(CONFIG_PALLETS!$C:$C,CONFIG_PALLETS!$A:$A,"GERAL",CONFIG_PALLETS!$B:$B,$C201&amp;" ml")&gt;0,SUMIFS(CONFIG_PALLETS!$C:$C,CONFIG_PALLETS!$A:$A,"GERAL",CONFIG_PALLETS!$B:$B,$C201&amp;" ml"),"")))</f>
        <v>95</v>
      </c>
      <c r="G201" s="196">
        <f>IFERROR(ROUNDUP(D201/F201,0),"")</f>
        <v>7</v>
      </c>
      <c r="H201" s="197">
        <v>420</v>
      </c>
      <c r="I201" s="193">
        <f>IF(H201="","",H201*IF(SUMIFS(CONFIG_PALLETS!$D:$D,CONFIG_PALLETS!$A:$A,IF(ISNUMBER(SEARCH("ESPUMA",$B201)),"ESPUMA",IF(OR(ISNUMBER(SEARCH("OLEO DE COCO",$B201)),ISNUMBER(SEARCH("ÓLEO DE COCO",$B201)),ISNUMBER(SEARCH("COPRA",$B201))),"ÓLEO DE COCO",IF(ISNUMBER(SEARCH("CORANTE",$B201)),"CORANTE",TRIM($B201)))),CONFIG_PALLETS!$B:$B,$C201&amp;" ml")&gt;0,SUMIFS(CONFIG_PALLETS!$D:$D,CONFIG_PALLETS!$A:$A,IF(ISNUMBER(SEARCH("ESPUMA",$B201)),"ESPUMA",IF(OR(ISNUMBER(SEARCH("OLEO DE COCO",$B201)),ISNUMBER(SEARCH("ÓLEO DE COCO",$B201)),ISNUMBER(SEARCH("COPRA",$B201))),"ÓLEO DE COCO",IF(ISNUMBER(SEARCH("CORANTE",$B201)),"CORANTE",TRIM($B201)))),CONFIG_PALLETS!$B:$B,$C201&amp;" ml"),IF(SUMIFS(CONFIG_PALLETS!$D:$D,CONFIG_PALLETS!$A:$A,"GERAL",CONFIG_PALLETS!$B:$B,$C201&amp;" ml")&gt;0,SUMIFS(CONFIG_PALLETS!$D:$D,CONFIG_PALLETS!$A:$A,"GERAL",CONFIG_PALLETS!$B:$B,$C201&amp;" ml"),12)))</f>
        <v>5040</v>
      </c>
    </row>
    <row r="202" spans="1:13" ht="21" customHeight="1" x14ac:dyDescent="0.3">
      <c r="A202" s="215"/>
      <c r="B202" s="191"/>
      <c r="C202" s="192"/>
      <c r="D202" s="193"/>
      <c r="E202" s="194" t="s">
        <v>214</v>
      </c>
      <c r="F202" s="195" t="str">
        <f>IF($B202="","",IF(SUMIFS(CONFIG_PALLETS!$C:$C,CONFIG_PALLETS!$A:$A,TRIM($B202),CONFIG_PALLETS!$B:$B,$C202&amp;" ml")&gt;0,SUMIFS(CONFIG_PALLETS!$C:$C,CONFIG_PALLETS!$A:$A,TRIM($B202),CONFIG_PALLETS!$B:$B,$C202&amp;" ml"),IF(SUMIFS(CONFIG_PALLETS!$C:$C,CONFIG_PALLETS!$A:$A,"GERAL",CONFIG_PALLETS!$B:$B,$C202&amp;" ml")&gt;0,SUMIFS(CONFIG_PALLETS!$C:$C,CONFIG_PALLETS!$A:$A,"GERAL",CONFIG_PALLETS!$B:$B,$C202&amp;" ml"),"")))</f>
        <v/>
      </c>
      <c r="G202" s="196" t="str">
        <f>IFERROR(ROUNDUP(D202/F202,0),"")</f>
        <v/>
      </c>
      <c r="H202" s="197"/>
      <c r="I202" s="193" t="str">
        <f>IF(H202="","",H202*IF(SUMIFS(CONFIG_PALLETS!$D:$D,CONFIG_PALLETS!$A:$A,IF(ISNUMBER(SEARCH("ESPUMA",$B202)),"ESPUMA",IF(OR(ISNUMBER(SEARCH("OLEO DE COCO",$B202)),ISNUMBER(SEARCH("ÓLEO DE COCO",$B202)),ISNUMBER(SEARCH("COPRA",$B202))),"ÓLEO DE COCO",IF(ISNUMBER(SEARCH("CORANTE",$B202)),"CORANTE",TRIM($B202)))),CONFIG_PALLETS!$B:$B,$C202&amp;" ml")&gt;0,SUMIFS(CONFIG_PALLETS!$D:$D,CONFIG_PALLETS!$A:$A,IF(ISNUMBER(SEARCH("ESPUMA",$B202)),"ESPUMA",IF(OR(ISNUMBER(SEARCH("OLEO DE COCO",$B202)),ISNUMBER(SEARCH("ÓLEO DE COCO",$B202)),ISNUMBER(SEARCH("COPRA",$B202))),"ÓLEO DE COCO",IF(ISNUMBER(SEARCH("CORANTE",$B202)),"CORANTE",TRIM($B202)))),CONFIG_PALLETS!$B:$B,$C202&amp;" ml"),IF(SUMIFS(CONFIG_PALLETS!$D:$D,CONFIG_PALLETS!$A:$A,"GERAL",CONFIG_PALLETS!$B:$B,$C202&amp;" ml")&gt;0,SUMIFS(CONFIG_PALLETS!$D:$D,CONFIG_PALLETS!$A:$A,"GERAL",CONFIG_PALLETS!$B:$B,$C202&amp;" ml"),12)))</f>
        <v/>
      </c>
    </row>
    <row r="203" spans="1:13" ht="21" customHeight="1" x14ac:dyDescent="0.3">
      <c r="A203" s="215"/>
      <c r="B203" s="191"/>
      <c r="C203" s="192"/>
      <c r="D203" s="193"/>
      <c r="E203" s="194" t="s">
        <v>214</v>
      </c>
      <c r="F203" s="195" t="str">
        <f>IF($B203="","",IF(SUMIFS(CONFIG_PALLETS!$C:$C,CONFIG_PALLETS!$A:$A,TRIM($B203),CONFIG_PALLETS!$B:$B,$C203&amp;" ml")&gt;0,SUMIFS(CONFIG_PALLETS!$C:$C,CONFIG_PALLETS!$A:$A,TRIM($B203),CONFIG_PALLETS!$B:$B,$C203&amp;" ml"),IF(SUMIFS(CONFIG_PALLETS!$C:$C,CONFIG_PALLETS!$A:$A,"GERAL",CONFIG_PALLETS!$B:$B,$C203&amp;" ml")&gt;0,SUMIFS(CONFIG_PALLETS!$C:$C,CONFIG_PALLETS!$A:$A,"GERAL",CONFIG_PALLETS!$B:$B,$C203&amp;" ml"),"")))</f>
        <v/>
      </c>
      <c r="G203" s="196" t="str">
        <f>IFERROR(ROUNDUP(D203/F203,0),"")</f>
        <v/>
      </c>
      <c r="H203" s="197"/>
      <c r="I203" s="193" t="str">
        <f>IF(H203="","",H203*IF(SUMIFS(CONFIG_PALLETS!$D:$D,CONFIG_PALLETS!$A:$A,IF(ISNUMBER(SEARCH("ESPUMA",$B203)),"ESPUMA",IF(OR(ISNUMBER(SEARCH("OLEO DE COCO",$B203)),ISNUMBER(SEARCH("ÓLEO DE COCO",$B203)),ISNUMBER(SEARCH("COPRA",$B203))),"ÓLEO DE COCO",IF(ISNUMBER(SEARCH("CORANTE",$B203)),"CORANTE",TRIM($B203)))),CONFIG_PALLETS!$B:$B,$C203&amp;" ml")&gt;0,SUMIFS(CONFIG_PALLETS!$D:$D,CONFIG_PALLETS!$A:$A,IF(ISNUMBER(SEARCH("ESPUMA",$B203)),"ESPUMA",IF(OR(ISNUMBER(SEARCH("OLEO DE COCO",$B203)),ISNUMBER(SEARCH("ÓLEO DE COCO",$B203)),ISNUMBER(SEARCH("COPRA",$B203))),"ÓLEO DE COCO",IF(ISNUMBER(SEARCH("CORANTE",$B203)),"CORANTE",TRIM($B203)))),CONFIG_PALLETS!$B:$B,$C203&amp;" ml"),IF(SUMIFS(CONFIG_PALLETS!$D:$D,CONFIG_PALLETS!$A:$A,"GERAL",CONFIG_PALLETS!$B:$B,$C203&amp;" ml")&gt;0,SUMIFS(CONFIG_PALLETS!$D:$D,CONFIG_PALLETS!$A:$A,"GERAL",CONFIG_PALLETS!$B:$B,$C203&amp;" ml"),12)))</f>
        <v/>
      </c>
    </row>
    <row r="204" spans="1:13" ht="21" customHeight="1" x14ac:dyDescent="0.3">
      <c r="A204" s="215"/>
      <c r="B204" s="191"/>
      <c r="C204" s="192"/>
      <c r="D204" s="193"/>
      <c r="E204" s="194" t="s">
        <v>214</v>
      </c>
      <c r="F204" s="195" t="str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196" t="str">
        <f>IFERROR(ROUNDUP(D204/F204,0),"")</f>
        <v/>
      </c>
      <c r="H204" s="197"/>
      <c r="I204" s="193" t="str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</row>
    <row r="205" spans="1:13" ht="15" customHeight="1" x14ac:dyDescent="0.3">
      <c r="A205" s="217"/>
      <c r="B205" s="199" t="s">
        <v>216</v>
      </c>
      <c r="C205" s="200"/>
      <c r="D205" s="201">
        <f>SUM(D198:D204)</f>
        <v>2166</v>
      </c>
      <c r="E205" s="202"/>
      <c r="F205" s="202"/>
      <c r="G205" s="203">
        <f>SUM(G198:G204)</f>
        <v>15</v>
      </c>
      <c r="H205" s="201">
        <f>SUM(H198:H204)</f>
        <v>1560</v>
      </c>
      <c r="I205" s="201">
        <f>SUM(I198:I204)</f>
        <v>11880</v>
      </c>
      <c r="J205" s="28">
        <f>D205</f>
        <v>2166</v>
      </c>
      <c r="K205" s="106">
        <f>G205</f>
        <v>15</v>
      </c>
      <c r="L205" s="28">
        <f>H205</f>
        <v>1560</v>
      </c>
      <c r="M205" s="28">
        <f>I205</f>
        <v>11880</v>
      </c>
    </row>
    <row r="206" spans="1:13" ht="6" customHeight="1" x14ac:dyDescent="0.3"/>
  </sheetData>
  <mergeCells count="5">
    <mergeCell ref="A1:I1"/>
    <mergeCell ref="A2:F2"/>
    <mergeCell ref="G2:I2"/>
    <mergeCell ref="B26:B28"/>
    <mergeCell ref="B112:B114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205" xr:uid="{00000000-0002-0000-0D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F766E"/>
  </sheetPr>
  <dimension ref="A1:Z59"/>
  <sheetViews>
    <sheetView showGridLines="0" zoomScale="90" zoomScaleNormal="90" workbookViewId="0">
      <selection activeCell="G26" sqref="G26"/>
    </sheetView>
  </sheetViews>
  <sheetFormatPr defaultColWidth="8.6640625" defaultRowHeight="14.4" x14ac:dyDescent="0.3"/>
  <cols>
    <col min="1" max="1" width="12" style="437" customWidth="1"/>
    <col min="2" max="2" width="15" customWidth="1"/>
    <col min="3" max="3" width="14.109375" customWidth="1"/>
    <col min="4" max="4" width="14" customWidth="1"/>
    <col min="5" max="5" width="13.6640625" customWidth="1"/>
    <col min="6" max="6" width="12" customWidth="1"/>
    <col min="7" max="7" width="50" customWidth="1"/>
    <col min="8" max="8" width="4" customWidth="1"/>
    <col min="9" max="9" width="14" customWidth="1"/>
    <col min="10" max="10" width="4" customWidth="1"/>
    <col min="11" max="11" width="13.6640625" customWidth="1"/>
    <col min="12" max="12" width="12" customWidth="1"/>
    <col min="13" max="13" width="18" customWidth="1"/>
    <col min="14" max="14" width="13" customWidth="1"/>
    <col min="25" max="26" width="13" hidden="1" customWidth="1"/>
  </cols>
  <sheetData>
    <row r="1" spans="1:26" ht="19.5" customHeight="1" x14ac:dyDescent="0.4">
      <c r="A1" s="612" t="s">
        <v>545</v>
      </c>
      <c r="B1" s="612"/>
      <c r="C1" s="612"/>
      <c r="D1" s="612"/>
      <c r="E1" s="612"/>
      <c r="F1" s="612"/>
      <c r="G1" s="612"/>
    </row>
    <row r="3" spans="1:26" ht="14.25" customHeight="1" x14ac:dyDescent="0.3">
      <c r="C3" s="148" t="s">
        <v>234</v>
      </c>
      <c r="E3" s="148" t="s">
        <v>235</v>
      </c>
      <c r="G3" s="149" t="s">
        <v>236</v>
      </c>
      <c r="I3" s="148" t="s">
        <v>237</v>
      </c>
      <c r="K3" s="150" t="s">
        <v>238</v>
      </c>
      <c r="L3" s="151" t="s">
        <v>239</v>
      </c>
      <c r="M3" s="151" t="s">
        <v>240</v>
      </c>
    </row>
    <row r="4" spans="1:26" ht="15.75" customHeight="1" x14ac:dyDescent="0.3">
      <c r="C4" s="152">
        <f>SUM(D9:D32)</f>
        <v>256212</v>
      </c>
      <c r="E4" s="152">
        <f>SUM(E9:E32)</f>
        <v>253000</v>
      </c>
      <c r="G4" s="152">
        <f ca="1">IFERROR(SUMIFS(D9:D32,A9:A32,"&lt;="&amp;TODAY(),G9:G32,"&lt;&gt;*Feriado*")/COUNTIFS(A9:A32,"&lt;="&amp;TODAY(),G9:G32,"&lt;&gt;*Feriado*"),0)</f>
        <v>11139.652173913044</v>
      </c>
      <c r="I4" s="152">
        <f>IFERROR(MAX(D9:D32),0)</f>
        <v>20196</v>
      </c>
      <c r="K4" s="153">
        <f>IFERROR(C4/E4,0)</f>
        <v>1.012695652173913</v>
      </c>
      <c r="L4" s="154" t="s">
        <v>241</v>
      </c>
      <c r="M4" s="155" t="s">
        <v>242</v>
      </c>
    </row>
    <row r="5" spans="1:26" ht="15" customHeight="1" x14ac:dyDescent="0.3">
      <c r="L5" s="156" t="s">
        <v>243</v>
      </c>
      <c r="M5" s="157" t="s">
        <v>244</v>
      </c>
    </row>
    <row r="6" spans="1:26" ht="15" customHeight="1" x14ac:dyDescent="0.3">
      <c r="L6" s="158" t="s">
        <v>245</v>
      </c>
      <c r="M6" s="159" t="s">
        <v>246</v>
      </c>
    </row>
    <row r="8" spans="1:26" ht="14.25" customHeight="1" x14ac:dyDescent="0.3">
      <c r="A8" s="446" t="s">
        <v>247</v>
      </c>
      <c r="B8" s="218" t="s">
        <v>248</v>
      </c>
      <c r="C8" s="160" t="s">
        <v>546</v>
      </c>
      <c r="D8" s="160" t="s">
        <v>249</v>
      </c>
      <c r="E8" s="160" t="s">
        <v>250</v>
      </c>
      <c r="F8" s="160" t="s">
        <v>251</v>
      </c>
      <c r="G8" s="161" t="s">
        <v>252</v>
      </c>
      <c r="Y8" t="s">
        <v>253</v>
      </c>
      <c r="Z8" t="s">
        <v>254</v>
      </c>
    </row>
    <row r="9" spans="1:26" ht="15" customHeight="1" x14ac:dyDescent="0.3">
      <c r="A9" s="443">
        <v>46113</v>
      </c>
      <c r="B9" s="219">
        <f>IF(E9&gt;0,COUNTIF($E$9:E9,"&gt;0"),"")</f>
        <v>1</v>
      </c>
      <c r="C9" s="220" t="s">
        <v>547</v>
      </c>
      <c r="D9" s="221">
        <f>'SEMANA ABRIL'!$M$14</f>
        <v>8664</v>
      </c>
      <c r="E9" s="221">
        <f>CONFIG!$B$3</f>
        <v>11000</v>
      </c>
      <c r="F9" s="221">
        <f t="shared" ref="F9:F32" si="0">D9-E9</f>
        <v>-2336</v>
      </c>
      <c r="G9" s="205"/>
      <c r="Y9" s="28">
        <f t="shared" ref="Y9:Y26" si="1">IF(COUNTIF($G9,"*Feriado*")&gt;0,NA(),$D9)</f>
        <v>8664</v>
      </c>
      <c r="Z9" s="28">
        <f t="shared" ref="Z9:Z26" si="2">IF(COUNTIF($G9,"*Feriado*")&gt;0,NA(),$E9)</f>
        <v>11000</v>
      </c>
    </row>
    <row r="10" spans="1:26" ht="15" customHeight="1" x14ac:dyDescent="0.3">
      <c r="A10" s="443">
        <v>46114</v>
      </c>
      <c r="B10" s="219">
        <f>IF(E10&gt;0,COUNTIF($E$9:E10,"&gt;0"),"")</f>
        <v>2</v>
      </c>
      <c r="C10" s="220" t="s">
        <v>548</v>
      </c>
      <c r="D10" s="221">
        <f>'SEMANA ABRIL'!$M$22</f>
        <v>12600</v>
      </c>
      <c r="E10" s="221">
        <f>CONFIG!$B$3</f>
        <v>11000</v>
      </c>
      <c r="F10" s="221">
        <f t="shared" si="0"/>
        <v>1600</v>
      </c>
      <c r="G10" s="205"/>
      <c r="Y10" s="28">
        <f t="shared" si="1"/>
        <v>12600</v>
      </c>
      <c r="Z10" s="28">
        <f t="shared" si="2"/>
        <v>11000</v>
      </c>
    </row>
    <row r="11" spans="1:26" ht="15" customHeight="1" x14ac:dyDescent="0.3">
      <c r="A11" s="443">
        <v>46115</v>
      </c>
      <c r="B11" s="219" t="str">
        <f>IF(E11&gt;0,COUNTIF($E$9:E11,"&gt;0"),"")</f>
        <v/>
      </c>
      <c r="C11" s="220" t="s">
        <v>549</v>
      </c>
      <c r="D11" s="221">
        <f>'SEMANA ABRIL'!$M$30</f>
        <v>0</v>
      </c>
      <c r="E11" s="221">
        <v>0</v>
      </c>
      <c r="F11" s="221">
        <f t="shared" si="0"/>
        <v>0</v>
      </c>
      <c r="G11" s="162" t="s">
        <v>550</v>
      </c>
      <c r="Y11" t="e">
        <f t="shared" si="1"/>
        <v>#N/A</v>
      </c>
      <c r="Z11" t="e">
        <f t="shared" si="2"/>
        <v>#N/A</v>
      </c>
    </row>
    <row r="12" spans="1:26" ht="15" customHeight="1" x14ac:dyDescent="0.3">
      <c r="A12" s="443">
        <v>46118</v>
      </c>
      <c r="B12" s="219">
        <f>IF(E12&gt;0,COUNTIF($E$9:E12,"&gt;0"),"")</f>
        <v>3</v>
      </c>
      <c r="C12" s="220" t="s">
        <v>551</v>
      </c>
      <c r="D12" s="221">
        <f>'SEMANA ABRIL'!$M$42</f>
        <v>9846</v>
      </c>
      <c r="E12" s="221">
        <f>CONFIG!$B$3</f>
        <v>11000</v>
      </c>
      <c r="F12" s="221">
        <f t="shared" si="0"/>
        <v>-1154</v>
      </c>
      <c r="G12" s="205"/>
      <c r="Y12" s="28">
        <f t="shared" si="1"/>
        <v>9846</v>
      </c>
      <c r="Z12" s="28">
        <f t="shared" si="2"/>
        <v>11000</v>
      </c>
    </row>
    <row r="13" spans="1:26" ht="15" customHeight="1" x14ac:dyDescent="0.3">
      <c r="A13" s="443">
        <v>46119</v>
      </c>
      <c r="B13" s="219">
        <f>IF(E13&gt;0,COUNTIF($E$9:E13,"&gt;0"),"")</f>
        <v>4</v>
      </c>
      <c r="C13" s="220" t="s">
        <v>552</v>
      </c>
      <c r="D13" s="221">
        <f>'SEMANA ABRIL'!$M$52</f>
        <v>11046</v>
      </c>
      <c r="E13" s="221">
        <f>CONFIG!$B$3</f>
        <v>11000</v>
      </c>
      <c r="F13" s="221">
        <f t="shared" si="0"/>
        <v>46</v>
      </c>
      <c r="G13" s="205"/>
      <c r="Y13" s="28">
        <f t="shared" si="1"/>
        <v>11046</v>
      </c>
      <c r="Z13" s="28">
        <f t="shared" si="2"/>
        <v>11000</v>
      </c>
    </row>
    <row r="14" spans="1:26" ht="15" customHeight="1" x14ac:dyDescent="0.3">
      <c r="A14" s="443">
        <v>46120</v>
      </c>
      <c r="B14" s="219">
        <f>IF(E14&gt;0,COUNTIF($E$9:E14,"&gt;0"),"")</f>
        <v>5</v>
      </c>
      <c r="C14" s="220" t="s">
        <v>547</v>
      </c>
      <c r="D14" s="221">
        <f>'SEMANA ABRIL'!$M$60</f>
        <v>18036</v>
      </c>
      <c r="E14" s="221">
        <f>CONFIG!$B$3</f>
        <v>11000</v>
      </c>
      <c r="F14" s="221">
        <f t="shared" si="0"/>
        <v>7036</v>
      </c>
      <c r="G14" s="205"/>
      <c r="Y14" s="28">
        <f t="shared" si="1"/>
        <v>18036</v>
      </c>
      <c r="Z14" s="28">
        <f t="shared" si="2"/>
        <v>11000</v>
      </c>
    </row>
    <row r="15" spans="1:26" ht="15" customHeight="1" x14ac:dyDescent="0.3">
      <c r="A15" s="443">
        <v>46121</v>
      </c>
      <c r="B15" s="219">
        <f>IF(E15&gt;0,COUNTIF($E$9:E15,"&gt;0"),"")</f>
        <v>6</v>
      </c>
      <c r="C15" s="220" t="s">
        <v>548</v>
      </c>
      <c r="D15" s="221">
        <f>'SEMANA ABRIL'!$M$68</f>
        <v>12060</v>
      </c>
      <c r="E15" s="221">
        <f>CONFIG!$B$3</f>
        <v>11000</v>
      </c>
      <c r="F15" s="221">
        <f t="shared" si="0"/>
        <v>1060</v>
      </c>
      <c r="G15" s="205"/>
      <c r="Y15" s="28">
        <f t="shared" si="1"/>
        <v>12060</v>
      </c>
      <c r="Z15" s="28">
        <f t="shared" si="2"/>
        <v>11000</v>
      </c>
    </row>
    <row r="16" spans="1:26" ht="15" customHeight="1" x14ac:dyDescent="0.3">
      <c r="A16" s="443">
        <v>46122</v>
      </c>
      <c r="B16" s="219">
        <f>IF(E16&gt;0,COUNTIF($E$9:E16,"&gt;0"),"")</f>
        <v>7</v>
      </c>
      <c r="C16" s="220" t="s">
        <v>549</v>
      </c>
      <c r="D16" s="221">
        <f>'SEMANA ABRIL'!$M$76</f>
        <v>6720</v>
      </c>
      <c r="E16" s="221">
        <f>CONFIG!$B$3</f>
        <v>11000</v>
      </c>
      <c r="F16" s="221">
        <f t="shared" si="0"/>
        <v>-4280</v>
      </c>
      <c r="G16" s="222" t="s">
        <v>553</v>
      </c>
      <c r="Y16" s="28">
        <f t="shared" si="1"/>
        <v>6720</v>
      </c>
      <c r="Z16" s="28">
        <f t="shared" si="2"/>
        <v>11000</v>
      </c>
    </row>
    <row r="17" spans="1:26" ht="15" customHeight="1" x14ac:dyDescent="0.3">
      <c r="A17" s="443">
        <v>46125</v>
      </c>
      <c r="B17" s="219">
        <f>IF(E17&gt;0,COUNTIF($E$9:E17,"&gt;0"),"")</f>
        <v>8</v>
      </c>
      <c r="C17" s="220" t="s">
        <v>551</v>
      </c>
      <c r="D17" s="221">
        <f>'SEMANA ABRIL'!$M$84</f>
        <v>11916</v>
      </c>
      <c r="E17" s="221">
        <f>CONFIG!$B$3</f>
        <v>11000</v>
      </c>
      <c r="F17" s="221">
        <f t="shared" si="0"/>
        <v>916</v>
      </c>
      <c r="G17" s="222" t="s">
        <v>554</v>
      </c>
      <c r="Y17" s="28">
        <f t="shared" si="1"/>
        <v>11916</v>
      </c>
      <c r="Z17" s="28">
        <f t="shared" si="2"/>
        <v>11000</v>
      </c>
    </row>
    <row r="18" spans="1:26" ht="15" customHeight="1" x14ac:dyDescent="0.3">
      <c r="A18" s="443">
        <v>46126</v>
      </c>
      <c r="B18" s="219">
        <f>IF(E18&gt;0,COUNTIF($E$9:E18,"&gt;0"),"")</f>
        <v>9</v>
      </c>
      <c r="C18" s="220" t="s">
        <v>552</v>
      </c>
      <c r="D18" s="221">
        <f>'SEMANA ABRIL'!$M$92</f>
        <v>10242</v>
      </c>
      <c r="E18" s="221">
        <f>CONFIG!$B$3</f>
        <v>11000</v>
      </c>
      <c r="F18" s="221">
        <f t="shared" si="0"/>
        <v>-758</v>
      </c>
      <c r="G18" s="205"/>
      <c r="Y18" s="28">
        <f t="shared" si="1"/>
        <v>10242</v>
      </c>
      <c r="Z18" s="28">
        <f t="shared" si="2"/>
        <v>11000</v>
      </c>
    </row>
    <row r="19" spans="1:26" ht="15" customHeight="1" x14ac:dyDescent="0.3">
      <c r="A19" s="443">
        <v>46127</v>
      </c>
      <c r="B19" s="219">
        <f>IF(E19&gt;0,COUNTIF($E$9:E19,"&gt;0"),"")</f>
        <v>10</v>
      </c>
      <c r="C19" s="220" t="s">
        <v>547</v>
      </c>
      <c r="D19" s="221">
        <f>'SEMANA ABRIL'!$M$100</f>
        <v>10668</v>
      </c>
      <c r="E19" s="221">
        <f>CONFIG!$B$3</f>
        <v>11000</v>
      </c>
      <c r="F19" s="221">
        <f t="shared" si="0"/>
        <v>-332</v>
      </c>
      <c r="G19" s="205"/>
      <c r="Y19" s="28">
        <f t="shared" si="1"/>
        <v>10668</v>
      </c>
      <c r="Z19" s="28">
        <f t="shared" si="2"/>
        <v>11000</v>
      </c>
    </row>
    <row r="20" spans="1:26" ht="15" customHeight="1" x14ac:dyDescent="0.3">
      <c r="A20" s="443">
        <v>46128</v>
      </c>
      <c r="B20" s="219">
        <f>IF(E20&gt;0,COUNTIF($E$9:E20,"&gt;0"),"")</f>
        <v>11</v>
      </c>
      <c r="C20" s="220" t="s">
        <v>548</v>
      </c>
      <c r="D20" s="221">
        <f>'SEMANA ABRIL'!$M$108</f>
        <v>11964</v>
      </c>
      <c r="E20" s="221">
        <f>CONFIG!$B$3</f>
        <v>11000</v>
      </c>
      <c r="F20" s="221">
        <f t="shared" si="0"/>
        <v>964</v>
      </c>
      <c r="G20" s="205"/>
      <c r="Y20" s="28">
        <f t="shared" si="1"/>
        <v>11964</v>
      </c>
      <c r="Z20" s="28">
        <f t="shared" si="2"/>
        <v>11000</v>
      </c>
    </row>
    <row r="21" spans="1:26" ht="30" customHeight="1" x14ac:dyDescent="0.3">
      <c r="A21" s="443">
        <v>46129</v>
      </c>
      <c r="B21" s="223">
        <f>IF(E21&gt;0,COUNTIF($E$9:E21,"&gt;0"),"")</f>
        <v>12</v>
      </c>
      <c r="C21" s="224" t="s">
        <v>549</v>
      </c>
      <c r="D21" s="225">
        <f>'SEMANA ABRIL'!$M$124</f>
        <v>7872</v>
      </c>
      <c r="E21" s="225">
        <f>CONFIG!$B$3</f>
        <v>11000</v>
      </c>
      <c r="F21" s="225">
        <f t="shared" si="0"/>
        <v>-3128</v>
      </c>
      <c r="G21" s="226" t="s">
        <v>555</v>
      </c>
      <c r="Y21" s="28">
        <f t="shared" si="1"/>
        <v>7872</v>
      </c>
      <c r="Z21" s="28">
        <f t="shared" si="2"/>
        <v>11000</v>
      </c>
    </row>
    <row r="22" spans="1:26" ht="15" customHeight="1" x14ac:dyDescent="0.3">
      <c r="A22" s="443">
        <v>46130</v>
      </c>
      <c r="B22" s="219">
        <f>IF(E22&gt;0,COUNTIF($E$9:E22,"&gt;0"),"")</f>
        <v>13</v>
      </c>
      <c r="C22" s="220" t="s">
        <v>556</v>
      </c>
      <c r="D22" s="221">
        <f>'SEMANA ABRIL'!$M$124</f>
        <v>7872</v>
      </c>
      <c r="E22" s="221">
        <f>CONFIG!$B$3</f>
        <v>11000</v>
      </c>
      <c r="F22" s="221">
        <f t="shared" si="0"/>
        <v>-3128</v>
      </c>
      <c r="G22" s="162" t="s">
        <v>557</v>
      </c>
      <c r="Y22" s="28">
        <f t="shared" si="1"/>
        <v>7872</v>
      </c>
      <c r="Z22" s="28">
        <f t="shared" si="2"/>
        <v>11000</v>
      </c>
    </row>
    <row r="23" spans="1:26" ht="15" customHeight="1" x14ac:dyDescent="0.3">
      <c r="A23" s="443">
        <v>46132</v>
      </c>
      <c r="B23" s="219">
        <f>IF(E23&gt;0,COUNTIF($E$9:E23,"&gt;0"),"")</f>
        <v>14</v>
      </c>
      <c r="C23" s="220" t="s">
        <v>551</v>
      </c>
      <c r="D23" s="221">
        <f>'SEMANA ABRIL'!$M$132</f>
        <v>11112</v>
      </c>
      <c r="E23" s="221">
        <f>CONFIG!$B$3</f>
        <v>11000</v>
      </c>
      <c r="F23" s="221">
        <f t="shared" si="0"/>
        <v>112</v>
      </c>
      <c r="G23" s="205"/>
      <c r="Y23" s="28">
        <f t="shared" si="1"/>
        <v>11112</v>
      </c>
      <c r="Z23" s="28">
        <f t="shared" si="2"/>
        <v>11000</v>
      </c>
    </row>
    <row r="24" spans="1:26" ht="15" customHeight="1" x14ac:dyDescent="0.3">
      <c r="A24" s="443">
        <v>46133</v>
      </c>
      <c r="B24" s="219">
        <f>IF(E24&gt;0,COUNTIF($E$9:E24,"&gt;0"),"")</f>
        <v>15</v>
      </c>
      <c r="C24" s="220" t="s">
        <v>552</v>
      </c>
      <c r="D24" s="221">
        <f>'SEMANA ABRIL'!$M$140</f>
        <v>11976</v>
      </c>
      <c r="E24" s="221">
        <f>CONFIG!$B$3</f>
        <v>11000</v>
      </c>
      <c r="F24" s="221">
        <f t="shared" si="0"/>
        <v>976</v>
      </c>
      <c r="G24" s="162" t="s">
        <v>558</v>
      </c>
      <c r="Y24" s="28">
        <f t="shared" si="1"/>
        <v>11976</v>
      </c>
      <c r="Z24" s="28">
        <f t="shared" si="2"/>
        <v>11000</v>
      </c>
    </row>
    <row r="25" spans="1:26" ht="15" customHeight="1" x14ac:dyDescent="0.3">
      <c r="A25" s="443">
        <v>46134</v>
      </c>
      <c r="B25" s="219">
        <f>IF(E25&gt;0,COUNTIF($E$9:E25,"&gt;0"),"")</f>
        <v>16</v>
      </c>
      <c r="C25" s="220" t="s">
        <v>547</v>
      </c>
      <c r="D25" s="221">
        <f>'SEMANA ABRIL'!$M$148</f>
        <v>8610</v>
      </c>
      <c r="E25" s="221">
        <f>CONFIG!$B$3</f>
        <v>11000</v>
      </c>
      <c r="F25" s="221">
        <f t="shared" si="0"/>
        <v>-2390</v>
      </c>
      <c r="G25" s="222" t="s">
        <v>559</v>
      </c>
      <c r="Y25" s="28">
        <f t="shared" si="1"/>
        <v>8610</v>
      </c>
      <c r="Z25" s="28">
        <f t="shared" si="2"/>
        <v>11000</v>
      </c>
    </row>
    <row r="26" spans="1:26" ht="15" customHeight="1" x14ac:dyDescent="0.3">
      <c r="A26" s="443">
        <v>46135</v>
      </c>
      <c r="B26" s="219">
        <f>IF(E26&gt;0,COUNTIF($E$9:E26,"&gt;0"),"")</f>
        <v>17</v>
      </c>
      <c r="C26" s="220" t="s">
        <v>548</v>
      </c>
      <c r="D26" s="221">
        <f>'SEMANA ABRIL'!$M$157</f>
        <v>8370</v>
      </c>
      <c r="E26" s="221">
        <f>CONFIG!$B$3</f>
        <v>11000</v>
      </c>
      <c r="F26" s="221">
        <f t="shared" si="0"/>
        <v>-2630</v>
      </c>
      <c r="G26" s="222" t="s">
        <v>560</v>
      </c>
      <c r="Y26" s="28">
        <f t="shared" si="1"/>
        <v>8370</v>
      </c>
      <c r="Z26" s="28">
        <f t="shared" si="2"/>
        <v>11000</v>
      </c>
    </row>
    <row r="27" spans="1:26" ht="15" customHeight="1" x14ac:dyDescent="0.3">
      <c r="A27" s="443">
        <v>46136</v>
      </c>
      <c r="B27" s="219">
        <f>IF(E27&gt;0,COUNTIF($E$9:E27,"&gt;0"),"")</f>
        <v>18</v>
      </c>
      <c r="C27" s="220" t="s">
        <v>549</v>
      </c>
      <c r="D27" s="221">
        <f>'SEMANA ABRIL'!$M$165</f>
        <v>10164</v>
      </c>
      <c r="E27" s="221">
        <f>CONFIG!$B$3</f>
        <v>11000</v>
      </c>
      <c r="F27" s="221">
        <f t="shared" si="0"/>
        <v>-836</v>
      </c>
      <c r="G27" s="222" t="s">
        <v>561</v>
      </c>
      <c r="Y27" s="28">
        <f>IF(COUNTIF($G26,"*Feriado*")&gt;0,NA(),$D27)</f>
        <v>10164</v>
      </c>
      <c r="Z27" s="28">
        <f>IF(COUNTIF($G26,"*Feriado*")&gt;0,NA(),$E27)</f>
        <v>11000</v>
      </c>
    </row>
    <row r="28" spans="1:26" ht="15" customHeight="1" x14ac:dyDescent="0.3">
      <c r="A28" s="443">
        <v>46137</v>
      </c>
      <c r="B28" s="219">
        <f>IF(E28&gt;0,COUNTIF($E$9:E28,"&gt;0"),"")</f>
        <v>19</v>
      </c>
      <c r="C28" s="220" t="s">
        <v>556</v>
      </c>
      <c r="D28" s="221">
        <f>'SEMANA ABRIL'!I173</f>
        <v>13692</v>
      </c>
      <c r="E28" s="221">
        <f>CONFIG!$B$3</f>
        <v>11000</v>
      </c>
      <c r="F28" s="221">
        <f t="shared" si="0"/>
        <v>2692</v>
      </c>
      <c r="G28" s="205"/>
      <c r="Y28" s="28">
        <f>IF(COUNTIF($G28,"*Feriado*")&gt;0,NA(),$D28)</f>
        <v>13692</v>
      </c>
      <c r="Z28" s="28">
        <f>IF(COUNTIF($G28,"*Feriado*")&gt;0,NA(),$E28)</f>
        <v>11000</v>
      </c>
    </row>
    <row r="29" spans="1:26" ht="15" customHeight="1" x14ac:dyDescent="0.3">
      <c r="A29" s="443">
        <v>46139</v>
      </c>
      <c r="B29" s="219">
        <f>IF(E29&gt;0,COUNTIF($E$9:E29,"&gt;0"),"")</f>
        <v>20</v>
      </c>
      <c r="C29" s="220" t="s">
        <v>551</v>
      </c>
      <c r="D29" s="221">
        <f>'SEMANA ABRIL'!$M$181</f>
        <v>20196</v>
      </c>
      <c r="E29" s="221">
        <f>CONFIG!$B$3</f>
        <v>11000</v>
      </c>
      <c r="F29" s="221">
        <f t="shared" si="0"/>
        <v>9196</v>
      </c>
      <c r="G29" s="205"/>
      <c r="Y29" s="28">
        <f>IF(COUNTIF($G29,"*Feriado*")&gt;0,NA(),$D29)</f>
        <v>20196</v>
      </c>
      <c r="Z29" s="28">
        <f>IF(COUNTIF($G29,"*Feriado*")&gt;0,NA(),$E29)</f>
        <v>11000</v>
      </c>
    </row>
    <row r="30" spans="1:26" ht="15" customHeight="1" x14ac:dyDescent="0.3">
      <c r="A30" s="443">
        <v>46140</v>
      </c>
      <c r="B30" s="219">
        <f>IF(E30&gt;0,COUNTIF($E$9:E30,"&gt;0"),"")</f>
        <v>21</v>
      </c>
      <c r="C30" s="220" t="s">
        <v>552</v>
      </c>
      <c r="D30" s="221">
        <f>'SEMANA ABRIL'!$M$189</f>
        <v>11238</v>
      </c>
      <c r="E30" s="221">
        <f>CONFIG!$B$3</f>
        <v>11000</v>
      </c>
      <c r="F30" s="221">
        <f t="shared" si="0"/>
        <v>238</v>
      </c>
      <c r="G30" s="222" t="s">
        <v>562</v>
      </c>
      <c r="Y30" s="28">
        <f>IF(COUNTIF($G30,"*Feriado*")&gt;0,NA(),$D30)</f>
        <v>11238</v>
      </c>
      <c r="Z30" s="28">
        <f>IF(COUNTIF($G30,"*Feriado*")&gt;0,NA(),$E30)</f>
        <v>11000</v>
      </c>
    </row>
    <row r="31" spans="1:26" ht="15" customHeight="1" x14ac:dyDescent="0.3">
      <c r="A31" s="443">
        <v>46141</v>
      </c>
      <c r="B31" s="219">
        <f>IF(E31&gt;0,COUNTIF($E$9:E31,"&gt;0"),"")</f>
        <v>22</v>
      </c>
      <c r="C31" s="220" t="s">
        <v>547</v>
      </c>
      <c r="D31" s="221">
        <f>'SEMANA ABRIL'!$M$197</f>
        <v>9468</v>
      </c>
      <c r="E31" s="221">
        <f>CONFIG!$B$3</f>
        <v>11000</v>
      </c>
      <c r="F31" s="221">
        <f t="shared" si="0"/>
        <v>-1532</v>
      </c>
      <c r="G31" s="222" t="s">
        <v>563</v>
      </c>
      <c r="Y31" s="28">
        <f>IF(COUNTIF($G31,"*Feriado*")&gt;0,NA(),$D31)</f>
        <v>9468</v>
      </c>
      <c r="Z31" s="28">
        <f>IF(COUNTIF($G31,"*Feriado*")&gt;0,NA(),$E31)</f>
        <v>11000</v>
      </c>
    </row>
    <row r="32" spans="1:26" ht="15" customHeight="1" x14ac:dyDescent="0.3">
      <c r="A32" s="443">
        <v>46142</v>
      </c>
      <c r="B32" s="219">
        <f>IF(E32&gt;0,COUNTIF($E$9:E32,"&gt;0"),"")</f>
        <v>23</v>
      </c>
      <c r="C32" s="220" t="s">
        <v>548</v>
      </c>
      <c r="D32" s="221">
        <f>'SEMANA ABRIL'!$M$205</f>
        <v>11880</v>
      </c>
      <c r="E32" s="221">
        <f>CONFIG!$B$3</f>
        <v>11000</v>
      </c>
      <c r="F32" s="221">
        <f t="shared" si="0"/>
        <v>880</v>
      </c>
      <c r="G32" s="205"/>
      <c r="Y32" s="28">
        <f>IF(COUNTIF($G32,"*Feriado*")&gt;0,NA(),$D32)</f>
        <v>11880</v>
      </c>
      <c r="Z32" s="28">
        <f>IF(COUNTIF($G32,"*Feriado*")&gt;0,NA(),$E32)</f>
        <v>11000</v>
      </c>
    </row>
    <row r="33" spans="4:4" ht="15" customHeight="1" x14ac:dyDescent="0.3">
      <c r="D33" s="28"/>
    </row>
    <row r="34" spans="4:4" ht="14.25" customHeight="1" x14ac:dyDescent="0.3"/>
    <row r="35" spans="4:4" ht="14.25" customHeight="1" x14ac:dyDescent="0.3"/>
    <row r="36" spans="4:4" ht="14.25" customHeight="1" x14ac:dyDescent="0.3"/>
    <row r="37" spans="4:4" ht="14.25" customHeight="1" x14ac:dyDescent="0.3"/>
    <row r="38" spans="4:4" ht="14.25" customHeight="1" x14ac:dyDescent="0.3"/>
    <row r="39" spans="4:4" ht="14.25" customHeight="1" x14ac:dyDescent="0.3"/>
    <row r="40" spans="4:4" ht="14.25" customHeight="1" x14ac:dyDescent="0.3"/>
    <row r="41" spans="4:4" ht="14.25" customHeight="1" x14ac:dyDescent="0.3"/>
    <row r="42" spans="4:4" ht="14.25" customHeight="1" x14ac:dyDescent="0.3"/>
    <row r="43" spans="4:4" ht="14.25" customHeight="1" x14ac:dyDescent="0.3"/>
    <row r="44" spans="4:4" ht="14.25" customHeight="1" x14ac:dyDescent="0.3"/>
    <row r="45" spans="4:4" ht="14.25" customHeight="1" x14ac:dyDescent="0.3"/>
    <row r="46" spans="4:4" ht="14.25" customHeight="1" x14ac:dyDescent="0.3"/>
    <row r="47" spans="4:4" ht="14.25" customHeight="1" x14ac:dyDescent="0.3"/>
    <row r="48" spans="4: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</sheetData>
  <mergeCells count="1">
    <mergeCell ref="A1:G1"/>
  </mergeCells>
  <conditionalFormatting sqref="F9:F32">
    <cfRule type="cellIs" dxfId="44" priority="2" operator="greaterThan">
      <formula>0</formula>
    </cfRule>
    <cfRule type="cellIs" dxfId="43" priority="3" operator="lessThan">
      <formula>0</formula>
    </cfRule>
    <cfRule type="cellIs" dxfId="42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96B0A"/>
  </sheetPr>
  <dimension ref="B1:O299"/>
  <sheetViews>
    <sheetView showGridLines="0" topLeftCell="A178" zoomScaleNormal="100" workbookViewId="0">
      <selection activeCell="L202" sqref="L202"/>
    </sheetView>
  </sheetViews>
  <sheetFormatPr defaultColWidth="8.6640625" defaultRowHeight="15" x14ac:dyDescent="0.25"/>
  <cols>
    <col min="1" max="1" width="2.5546875" style="208" customWidth="1"/>
    <col min="2" max="2" width="13.5546875" style="6" customWidth="1"/>
    <col min="3" max="3" width="7.6640625" style="6" customWidth="1"/>
    <col min="4" max="4" width="12.6640625" style="6" customWidth="1"/>
    <col min="5" max="5" width="9.109375" style="6" customWidth="1"/>
    <col min="6" max="6" width="13.5546875" style="6" customWidth="1"/>
    <col min="7" max="7" width="6.6640625" style="6" customWidth="1"/>
    <col min="8" max="8" width="8" style="6" customWidth="1"/>
    <col min="9" max="9" width="7.5546875" style="6" customWidth="1"/>
    <col min="10" max="10" width="20" style="6" customWidth="1"/>
    <col min="11" max="11" width="9.109375" style="6" customWidth="1"/>
    <col min="12" max="12" width="21" style="6" customWidth="1"/>
    <col min="13" max="13" width="18.109375" style="6" customWidth="1"/>
    <col min="14" max="14" width="17.109375" style="441" customWidth="1"/>
    <col min="15" max="15" width="13.6640625" style="208" customWidth="1"/>
    <col min="16" max="16384" width="8.6640625" style="208"/>
  </cols>
  <sheetData>
    <row r="1" spans="2:15" ht="21.75" customHeight="1" x14ac:dyDescent="0.25">
      <c r="B1" s="632" t="s">
        <v>564</v>
      </c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</row>
    <row r="2" spans="2:15" ht="15" customHeight="1" x14ac:dyDescent="0.25">
      <c r="B2" s="632"/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2"/>
      <c r="N2" s="632"/>
    </row>
    <row r="3" spans="2:15" ht="17.25" customHeight="1" x14ac:dyDescent="0.25">
      <c r="B3" s="227" t="s">
        <v>75</v>
      </c>
      <c r="C3" s="683" t="s">
        <v>76</v>
      </c>
      <c r="D3" s="683"/>
      <c r="E3" s="683" t="s">
        <v>77</v>
      </c>
      <c r="F3" s="683"/>
      <c r="G3" s="683" t="s">
        <v>78</v>
      </c>
      <c r="H3" s="683"/>
      <c r="I3" s="683"/>
      <c r="J3" s="683"/>
      <c r="K3" s="683" t="s">
        <v>79</v>
      </c>
      <c r="L3" s="683"/>
      <c r="M3" s="228" t="s">
        <v>80</v>
      </c>
      <c r="N3" s="438" t="s">
        <v>81</v>
      </c>
    </row>
    <row r="4" spans="2:15" ht="17.25" customHeight="1" x14ac:dyDescent="0.25">
      <c r="B4" s="474" t="s">
        <v>565</v>
      </c>
      <c r="C4" s="665">
        <v>26010509</v>
      </c>
      <c r="D4" s="665"/>
      <c r="E4" s="665"/>
      <c r="F4" s="665"/>
      <c r="G4" s="665" t="s">
        <v>174</v>
      </c>
      <c r="H4" s="665"/>
      <c r="I4" s="665"/>
      <c r="J4" s="665"/>
      <c r="K4" s="665" t="s">
        <v>91</v>
      </c>
      <c r="L4" s="665"/>
      <c r="M4" s="505" t="s">
        <v>566</v>
      </c>
      <c r="N4" s="439">
        <v>46143</v>
      </c>
      <c r="O4" s="230" t="s">
        <v>567</v>
      </c>
    </row>
    <row r="5" spans="2:15" ht="17.25" customHeight="1" x14ac:dyDescent="0.25">
      <c r="B5" s="474" t="s">
        <v>568</v>
      </c>
      <c r="C5" s="663"/>
      <c r="D5" s="663"/>
      <c r="E5" s="663">
        <v>2633431</v>
      </c>
      <c r="F5" s="663"/>
      <c r="G5" s="663" t="s">
        <v>569</v>
      </c>
      <c r="H5" s="663"/>
      <c r="I5" s="663"/>
      <c r="J5" s="663"/>
      <c r="K5" s="663" t="s">
        <v>178</v>
      </c>
      <c r="L5" s="663"/>
      <c r="M5" s="476" t="s">
        <v>570</v>
      </c>
      <c r="N5" s="439">
        <v>46144</v>
      </c>
      <c r="O5" s="230" t="s">
        <v>571</v>
      </c>
    </row>
    <row r="6" spans="2:15" ht="17.25" customHeight="1" x14ac:dyDescent="0.25">
      <c r="B6" s="630" t="s">
        <v>572</v>
      </c>
      <c r="C6" s="630">
        <v>26020510</v>
      </c>
      <c r="D6" s="630"/>
      <c r="E6" s="630"/>
      <c r="F6" s="630"/>
      <c r="G6" s="630" t="s">
        <v>141</v>
      </c>
      <c r="H6" s="630"/>
      <c r="I6" s="630"/>
      <c r="J6" s="630"/>
      <c r="K6" s="630" t="s">
        <v>105</v>
      </c>
      <c r="L6" s="630"/>
      <c r="M6" s="210" t="s">
        <v>308</v>
      </c>
      <c r="N6" s="439">
        <v>46144</v>
      </c>
    </row>
    <row r="7" spans="2:15" ht="17.25" customHeight="1" x14ac:dyDescent="0.25">
      <c r="B7" s="630"/>
      <c r="C7" s="630">
        <v>26020511</v>
      </c>
      <c r="D7" s="630"/>
      <c r="E7" s="630"/>
      <c r="F7" s="630"/>
      <c r="G7" s="630" t="s">
        <v>573</v>
      </c>
      <c r="H7" s="630"/>
      <c r="I7" s="630"/>
      <c r="J7" s="630"/>
      <c r="K7" s="630"/>
      <c r="L7" s="630"/>
      <c r="M7" s="1" t="s">
        <v>308</v>
      </c>
      <c r="N7" s="439">
        <v>46143</v>
      </c>
    </row>
    <row r="8" spans="2:15" ht="17.25" customHeight="1" x14ac:dyDescent="0.25">
      <c r="B8" s="630"/>
      <c r="C8" s="630">
        <v>26020512</v>
      </c>
      <c r="D8" s="630"/>
      <c r="E8" s="630"/>
      <c r="F8" s="630"/>
      <c r="G8" s="630" t="s">
        <v>574</v>
      </c>
      <c r="H8" s="630"/>
      <c r="I8" s="630"/>
      <c r="J8" s="630"/>
      <c r="K8" s="630"/>
      <c r="L8" s="630"/>
      <c r="M8" s="210" t="s">
        <v>308</v>
      </c>
      <c r="N8" s="439">
        <v>46147</v>
      </c>
    </row>
    <row r="9" spans="2:15" ht="17.25" customHeight="1" x14ac:dyDescent="0.25">
      <c r="B9" s="630"/>
      <c r="C9" s="630">
        <v>26020513</v>
      </c>
      <c r="D9" s="630"/>
      <c r="E9" s="630"/>
      <c r="F9" s="630"/>
      <c r="G9" s="630" t="s">
        <v>575</v>
      </c>
      <c r="H9" s="630"/>
      <c r="I9" s="630"/>
      <c r="J9" s="630"/>
      <c r="K9" s="630"/>
      <c r="L9" s="630"/>
      <c r="M9" s="1" t="s">
        <v>308</v>
      </c>
      <c r="N9" s="439">
        <v>46148</v>
      </c>
    </row>
    <row r="10" spans="2:15" ht="17.25" customHeight="1" x14ac:dyDescent="0.25">
      <c r="B10" s="630"/>
      <c r="C10" s="630">
        <v>26020514</v>
      </c>
      <c r="D10" s="630"/>
      <c r="E10" s="630"/>
      <c r="F10" s="630"/>
      <c r="G10" s="630" t="s">
        <v>576</v>
      </c>
      <c r="H10" s="630"/>
      <c r="I10" s="630"/>
      <c r="J10" s="630"/>
      <c r="K10" s="630"/>
      <c r="L10" s="630"/>
      <c r="M10" s="210" t="s">
        <v>308</v>
      </c>
      <c r="N10" s="439">
        <v>46148</v>
      </c>
    </row>
    <row r="11" spans="2:15" ht="17.25" customHeight="1" x14ac:dyDescent="0.25">
      <c r="B11" s="630"/>
      <c r="C11" s="630">
        <v>26020515</v>
      </c>
      <c r="D11" s="630"/>
      <c r="E11" s="630"/>
      <c r="F11" s="630"/>
      <c r="G11" s="630" t="s">
        <v>577</v>
      </c>
      <c r="H11" s="630"/>
      <c r="I11" s="630"/>
      <c r="J11" s="630"/>
      <c r="K11" s="630"/>
      <c r="L11" s="630"/>
      <c r="M11" s="1" t="s">
        <v>308</v>
      </c>
      <c r="N11" s="439">
        <v>46148</v>
      </c>
    </row>
    <row r="12" spans="2:15" ht="17.25" customHeight="1" x14ac:dyDescent="0.25">
      <c r="B12" s="1" t="s">
        <v>578</v>
      </c>
      <c r="C12" s="630"/>
      <c r="D12" s="630"/>
      <c r="E12" s="630">
        <v>26020510</v>
      </c>
      <c r="F12" s="630"/>
      <c r="G12" s="630" t="s">
        <v>141</v>
      </c>
      <c r="H12" s="630"/>
      <c r="I12" s="630"/>
      <c r="J12" s="630"/>
      <c r="K12" s="630" t="s">
        <v>149</v>
      </c>
      <c r="L12" s="630"/>
      <c r="M12" s="1" t="s">
        <v>156</v>
      </c>
      <c r="N12" s="439">
        <v>46149</v>
      </c>
    </row>
    <row r="13" spans="2:15" ht="17.25" customHeight="1" x14ac:dyDescent="0.25">
      <c r="B13" s="630" t="s">
        <v>579</v>
      </c>
      <c r="C13" s="630"/>
      <c r="D13" s="630"/>
      <c r="E13" s="630">
        <v>26020511</v>
      </c>
      <c r="F13" s="630"/>
      <c r="G13" s="630" t="s">
        <v>573</v>
      </c>
      <c r="H13" s="630"/>
      <c r="I13" s="630"/>
      <c r="J13" s="630"/>
      <c r="K13" s="630" t="s">
        <v>105</v>
      </c>
      <c r="L13" s="630"/>
      <c r="M13" s="1" t="s">
        <v>156</v>
      </c>
      <c r="N13" s="439">
        <v>46147</v>
      </c>
    </row>
    <row r="14" spans="2:15" ht="17.25" customHeight="1" x14ac:dyDescent="0.25">
      <c r="B14" s="630"/>
      <c r="C14" s="630"/>
      <c r="D14" s="630"/>
      <c r="E14" s="630">
        <v>26020512</v>
      </c>
      <c r="F14" s="630"/>
      <c r="G14" s="630" t="s">
        <v>574</v>
      </c>
      <c r="H14" s="630"/>
      <c r="I14" s="630"/>
      <c r="J14" s="630"/>
      <c r="K14" s="630"/>
      <c r="L14" s="630"/>
      <c r="M14" s="1" t="s">
        <v>156</v>
      </c>
      <c r="N14" s="439">
        <v>46147</v>
      </c>
    </row>
    <row r="15" spans="2:15" ht="17.25" customHeight="1" x14ac:dyDescent="0.25">
      <c r="B15" s="630"/>
      <c r="C15" s="630"/>
      <c r="D15" s="630"/>
      <c r="E15" s="630">
        <v>26020513</v>
      </c>
      <c r="F15" s="630"/>
      <c r="G15" s="630" t="s">
        <v>575</v>
      </c>
      <c r="H15" s="630"/>
      <c r="I15" s="630"/>
      <c r="J15" s="630"/>
      <c r="K15" s="630"/>
      <c r="L15" s="630"/>
      <c r="M15" s="1" t="s">
        <v>156</v>
      </c>
      <c r="N15" s="439">
        <v>46148</v>
      </c>
    </row>
    <row r="16" spans="2:15" ht="17.25" customHeight="1" x14ac:dyDescent="0.25">
      <c r="B16" s="630"/>
      <c r="C16" s="630"/>
      <c r="D16" s="630"/>
      <c r="E16" s="630">
        <v>26020514</v>
      </c>
      <c r="F16" s="630"/>
      <c r="G16" s="630" t="s">
        <v>576</v>
      </c>
      <c r="H16" s="630"/>
      <c r="I16" s="630"/>
      <c r="J16" s="630"/>
      <c r="K16" s="630"/>
      <c r="L16" s="630"/>
      <c r="M16" s="1" t="s">
        <v>156</v>
      </c>
      <c r="N16" s="439">
        <v>46148</v>
      </c>
    </row>
    <row r="17" spans="2:14" ht="17.25" customHeight="1" x14ac:dyDescent="0.25">
      <c r="B17" s="630"/>
      <c r="C17" s="630"/>
      <c r="D17" s="630"/>
      <c r="E17" s="630">
        <v>26020515</v>
      </c>
      <c r="F17" s="630"/>
      <c r="G17" s="630" t="s">
        <v>577</v>
      </c>
      <c r="H17" s="630"/>
      <c r="I17" s="630"/>
      <c r="J17" s="630"/>
      <c r="K17" s="630"/>
      <c r="L17" s="630"/>
      <c r="M17" s="1" t="s">
        <v>156</v>
      </c>
      <c r="N17" s="439">
        <v>46148</v>
      </c>
    </row>
    <row r="18" spans="2:14" ht="17.25" customHeight="1" x14ac:dyDescent="0.25">
      <c r="B18" s="1" t="s">
        <v>580</v>
      </c>
      <c r="C18" s="630">
        <v>26010516</v>
      </c>
      <c r="D18" s="630"/>
      <c r="E18" s="630"/>
      <c r="F18" s="630"/>
      <c r="G18" s="630" t="s">
        <v>266</v>
      </c>
      <c r="H18" s="630"/>
      <c r="I18" s="630"/>
      <c r="J18" s="630"/>
      <c r="K18" s="630" t="s">
        <v>132</v>
      </c>
      <c r="L18" s="630"/>
      <c r="M18" s="1" t="s">
        <v>165</v>
      </c>
      <c r="N18" s="439">
        <v>46147</v>
      </c>
    </row>
    <row r="19" spans="2:14" ht="17.25" customHeight="1" x14ac:dyDescent="0.25">
      <c r="B19" s="1" t="s">
        <v>581</v>
      </c>
      <c r="C19" s="630">
        <v>26010517</v>
      </c>
      <c r="D19" s="630"/>
      <c r="E19" s="630"/>
      <c r="F19" s="630"/>
      <c r="G19" s="630" t="s">
        <v>163</v>
      </c>
      <c r="H19" s="630"/>
      <c r="I19" s="630"/>
      <c r="J19" s="630"/>
      <c r="K19" s="630" t="s">
        <v>164</v>
      </c>
      <c r="L19" s="630"/>
      <c r="M19" s="1" t="s">
        <v>165</v>
      </c>
      <c r="N19" s="439">
        <v>46149</v>
      </c>
    </row>
    <row r="20" spans="2:14" ht="17.25" customHeight="1" x14ac:dyDescent="0.25">
      <c r="B20" s="1" t="s">
        <v>582</v>
      </c>
      <c r="C20" s="630">
        <v>26010518</v>
      </c>
      <c r="D20" s="630"/>
      <c r="E20" s="630"/>
      <c r="F20" s="630"/>
      <c r="G20" s="630" t="s">
        <v>367</v>
      </c>
      <c r="H20" s="630"/>
      <c r="I20" s="630"/>
      <c r="J20" s="630"/>
      <c r="K20" s="630" t="s">
        <v>447</v>
      </c>
      <c r="L20" s="630"/>
      <c r="M20" s="1" t="s">
        <v>165</v>
      </c>
      <c r="N20" s="439">
        <v>46149</v>
      </c>
    </row>
    <row r="21" spans="2:14" ht="17.25" customHeight="1" x14ac:dyDescent="0.25">
      <c r="B21" s="630" t="s">
        <v>583</v>
      </c>
      <c r="C21" s="630">
        <v>26010519</v>
      </c>
      <c r="D21" s="630"/>
      <c r="E21" s="630"/>
      <c r="F21" s="630"/>
      <c r="G21" s="630" t="s">
        <v>104</v>
      </c>
      <c r="H21" s="630"/>
      <c r="I21" s="630"/>
      <c r="J21" s="630"/>
      <c r="K21" s="630" t="s">
        <v>105</v>
      </c>
      <c r="L21" s="630"/>
      <c r="M21" s="1" t="s">
        <v>106</v>
      </c>
      <c r="N21" s="439">
        <v>46146</v>
      </c>
    </row>
    <row r="22" spans="2:14" ht="17.25" customHeight="1" x14ac:dyDescent="0.25">
      <c r="B22" s="630"/>
      <c r="C22" s="630">
        <v>26010520</v>
      </c>
      <c r="D22" s="630"/>
      <c r="E22" s="630"/>
      <c r="F22" s="630"/>
      <c r="G22" s="630" t="s">
        <v>104</v>
      </c>
      <c r="H22" s="630"/>
      <c r="I22" s="630"/>
      <c r="J22" s="630"/>
      <c r="K22" s="630"/>
      <c r="L22" s="630"/>
      <c r="M22" s="1" t="s">
        <v>106</v>
      </c>
      <c r="N22" s="439">
        <v>46146</v>
      </c>
    </row>
    <row r="23" spans="2:14" ht="17.25" customHeight="1" x14ac:dyDescent="0.25">
      <c r="B23" s="630"/>
      <c r="C23" s="630">
        <v>26010521</v>
      </c>
      <c r="D23" s="630"/>
      <c r="E23" s="630"/>
      <c r="F23" s="630"/>
      <c r="G23" s="630" t="s">
        <v>104</v>
      </c>
      <c r="H23" s="630"/>
      <c r="I23" s="630"/>
      <c r="J23" s="630"/>
      <c r="K23" s="630"/>
      <c r="L23" s="630"/>
      <c r="M23" s="1" t="s">
        <v>106</v>
      </c>
      <c r="N23" s="439">
        <v>46146</v>
      </c>
    </row>
    <row r="24" spans="2:14" ht="17.25" customHeight="1" x14ac:dyDescent="0.25">
      <c r="B24" s="630"/>
      <c r="C24" s="630">
        <v>26010522</v>
      </c>
      <c r="D24" s="630"/>
      <c r="E24" s="620"/>
      <c r="F24" s="620"/>
      <c r="G24" s="630" t="s">
        <v>104</v>
      </c>
      <c r="H24" s="630"/>
      <c r="I24" s="630"/>
      <c r="J24" s="630"/>
      <c r="K24" s="630"/>
      <c r="L24" s="630"/>
      <c r="M24" s="1" t="s">
        <v>106</v>
      </c>
      <c r="N24" s="439">
        <v>46146</v>
      </c>
    </row>
    <row r="25" spans="2:14" ht="17.25" customHeight="1" x14ac:dyDescent="0.25">
      <c r="B25" s="630"/>
      <c r="C25" s="630">
        <v>26010523</v>
      </c>
      <c r="D25" s="630"/>
      <c r="E25" s="620"/>
      <c r="F25" s="620"/>
      <c r="G25" s="630" t="s">
        <v>104</v>
      </c>
      <c r="H25" s="630"/>
      <c r="I25" s="630"/>
      <c r="J25" s="630"/>
      <c r="K25" s="630"/>
      <c r="L25" s="630"/>
      <c r="M25" s="1" t="s">
        <v>106</v>
      </c>
      <c r="N25" s="439">
        <v>46146</v>
      </c>
    </row>
    <row r="26" spans="2:14" ht="17.25" customHeight="1" x14ac:dyDescent="0.25">
      <c r="B26" s="630"/>
      <c r="C26" s="630">
        <v>26010524</v>
      </c>
      <c r="D26" s="630"/>
      <c r="E26" s="630"/>
      <c r="F26" s="630"/>
      <c r="G26" s="630" t="s">
        <v>104</v>
      </c>
      <c r="H26" s="630"/>
      <c r="I26" s="630"/>
      <c r="J26" s="630"/>
      <c r="K26" s="630"/>
      <c r="L26" s="630"/>
      <c r="M26" s="1" t="s">
        <v>106</v>
      </c>
      <c r="N26" s="439">
        <v>46146</v>
      </c>
    </row>
    <row r="27" spans="2:14" ht="17.25" customHeight="1" x14ac:dyDescent="0.25">
      <c r="B27" s="630"/>
      <c r="C27" s="630">
        <v>26010525</v>
      </c>
      <c r="D27" s="630"/>
      <c r="E27" s="630"/>
      <c r="F27" s="630"/>
      <c r="G27" s="630" t="s">
        <v>104</v>
      </c>
      <c r="H27" s="630"/>
      <c r="I27" s="630"/>
      <c r="J27" s="630"/>
      <c r="K27" s="630"/>
      <c r="L27" s="630"/>
      <c r="M27" s="1" t="s">
        <v>106</v>
      </c>
      <c r="N27" s="439">
        <v>46146</v>
      </c>
    </row>
    <row r="28" spans="2:14" ht="17.25" customHeight="1" x14ac:dyDescent="0.25">
      <c r="B28" s="630"/>
      <c r="C28" s="630">
        <v>26010526</v>
      </c>
      <c r="D28" s="630"/>
      <c r="E28" s="630"/>
      <c r="F28" s="630"/>
      <c r="G28" s="630" t="s">
        <v>104</v>
      </c>
      <c r="H28" s="630"/>
      <c r="I28" s="630"/>
      <c r="J28" s="630"/>
      <c r="K28" s="630"/>
      <c r="L28" s="630"/>
      <c r="M28" s="1" t="s">
        <v>106</v>
      </c>
      <c r="N28" s="439">
        <v>46146</v>
      </c>
    </row>
    <row r="29" spans="2:14" ht="17.25" customHeight="1" x14ac:dyDescent="0.25">
      <c r="B29" s="630"/>
      <c r="C29" s="630">
        <v>26010527</v>
      </c>
      <c r="D29" s="630"/>
      <c r="E29" s="630"/>
      <c r="F29" s="630"/>
      <c r="G29" s="630" t="s">
        <v>104</v>
      </c>
      <c r="H29" s="630"/>
      <c r="I29" s="630"/>
      <c r="J29" s="630"/>
      <c r="K29" s="630"/>
      <c r="L29" s="630"/>
      <c r="M29" s="1" t="s">
        <v>106</v>
      </c>
      <c r="N29" s="439">
        <v>46147</v>
      </c>
    </row>
    <row r="30" spans="2:14" ht="17.25" customHeight="1" x14ac:dyDescent="0.25">
      <c r="B30" s="630"/>
      <c r="C30" s="630">
        <v>26010528</v>
      </c>
      <c r="D30" s="630"/>
      <c r="E30" s="630"/>
      <c r="F30" s="630"/>
      <c r="G30" s="630" t="s">
        <v>104</v>
      </c>
      <c r="H30" s="630"/>
      <c r="I30" s="630"/>
      <c r="J30" s="630"/>
      <c r="K30" s="630"/>
      <c r="L30" s="630"/>
      <c r="M30" s="1" t="s">
        <v>106</v>
      </c>
      <c r="N30" s="439">
        <v>46147</v>
      </c>
    </row>
    <row r="31" spans="2:14" ht="17.25" customHeight="1" x14ac:dyDescent="0.25">
      <c r="B31" s="630"/>
      <c r="C31" s="630">
        <v>26010529</v>
      </c>
      <c r="D31" s="630"/>
      <c r="E31" s="630"/>
      <c r="F31" s="630"/>
      <c r="G31" s="630" t="s">
        <v>104</v>
      </c>
      <c r="H31" s="630"/>
      <c r="I31" s="630"/>
      <c r="J31" s="630"/>
      <c r="K31" s="630"/>
      <c r="L31" s="630"/>
      <c r="M31" s="1" t="s">
        <v>106</v>
      </c>
      <c r="N31" s="439">
        <v>46147</v>
      </c>
    </row>
    <row r="32" spans="2:14" ht="17.25" customHeight="1" x14ac:dyDescent="0.25">
      <c r="B32" s="630"/>
      <c r="C32" s="630">
        <v>26010530</v>
      </c>
      <c r="D32" s="630"/>
      <c r="E32" s="630"/>
      <c r="F32" s="630"/>
      <c r="G32" s="630" t="s">
        <v>104</v>
      </c>
      <c r="H32" s="630"/>
      <c r="I32" s="630"/>
      <c r="J32" s="630"/>
      <c r="K32" s="630"/>
      <c r="L32" s="630"/>
      <c r="M32" s="1" t="s">
        <v>106</v>
      </c>
      <c r="N32" s="439">
        <v>46147</v>
      </c>
    </row>
    <row r="33" spans="2:14" ht="17.25" customHeight="1" x14ac:dyDescent="0.25">
      <c r="B33" s="630"/>
      <c r="C33" s="630">
        <v>26010531</v>
      </c>
      <c r="D33" s="630"/>
      <c r="E33" s="620"/>
      <c r="F33" s="620"/>
      <c r="G33" s="630" t="s">
        <v>104</v>
      </c>
      <c r="H33" s="630"/>
      <c r="I33" s="630"/>
      <c r="J33" s="630"/>
      <c r="K33" s="630"/>
      <c r="L33" s="630"/>
      <c r="M33" s="1" t="s">
        <v>106</v>
      </c>
      <c r="N33" s="439">
        <v>46149</v>
      </c>
    </row>
    <row r="34" spans="2:14" ht="17.25" customHeight="1" x14ac:dyDescent="0.25">
      <c r="B34" s="630"/>
      <c r="C34" s="630">
        <v>26010532</v>
      </c>
      <c r="D34" s="630"/>
      <c r="E34" s="630"/>
      <c r="F34" s="630"/>
      <c r="G34" s="630" t="s">
        <v>104</v>
      </c>
      <c r="H34" s="630"/>
      <c r="I34" s="630"/>
      <c r="J34" s="630"/>
      <c r="K34" s="630"/>
      <c r="L34" s="630"/>
      <c r="M34" s="1" t="s">
        <v>106</v>
      </c>
      <c r="N34" s="439">
        <v>46149</v>
      </c>
    </row>
    <row r="35" spans="2:14" ht="17.25" customHeight="1" x14ac:dyDescent="0.25">
      <c r="B35" s="630"/>
      <c r="C35" s="630">
        <v>26010533</v>
      </c>
      <c r="D35" s="630"/>
      <c r="E35" s="620"/>
      <c r="F35" s="620"/>
      <c r="G35" s="630" t="s">
        <v>104</v>
      </c>
      <c r="H35" s="630"/>
      <c r="I35" s="630"/>
      <c r="J35" s="630"/>
      <c r="K35" s="630"/>
      <c r="L35" s="630"/>
      <c r="M35" s="1" t="s">
        <v>106</v>
      </c>
      <c r="N35" s="439">
        <v>46150</v>
      </c>
    </row>
    <row r="36" spans="2:14" ht="17.25" customHeight="1" x14ac:dyDescent="0.25">
      <c r="B36" s="630"/>
      <c r="C36" s="630">
        <v>26010534</v>
      </c>
      <c r="D36" s="630"/>
      <c r="E36" s="630"/>
      <c r="F36" s="630"/>
      <c r="G36" s="630" t="s">
        <v>104</v>
      </c>
      <c r="H36" s="630"/>
      <c r="I36" s="630"/>
      <c r="J36" s="630"/>
      <c r="K36" s="630"/>
      <c r="L36" s="630"/>
      <c r="M36" s="1" t="s">
        <v>106</v>
      </c>
      <c r="N36" s="439">
        <v>46150</v>
      </c>
    </row>
    <row r="37" spans="2:14" ht="17.25" customHeight="1" x14ac:dyDescent="0.25">
      <c r="B37" s="630"/>
      <c r="C37" s="630">
        <v>26010535</v>
      </c>
      <c r="D37" s="630"/>
      <c r="E37" s="630"/>
      <c r="F37" s="630"/>
      <c r="G37" s="630" t="s">
        <v>104</v>
      </c>
      <c r="H37" s="630"/>
      <c r="I37" s="630"/>
      <c r="J37" s="630"/>
      <c r="K37" s="630"/>
      <c r="L37" s="630"/>
      <c r="M37" s="1" t="s">
        <v>106</v>
      </c>
      <c r="N37" s="439">
        <v>46150</v>
      </c>
    </row>
    <row r="38" spans="2:14" ht="17.25" customHeight="1" x14ac:dyDescent="0.25">
      <c r="B38" s="630"/>
      <c r="C38" s="630">
        <v>26010536</v>
      </c>
      <c r="D38" s="630"/>
      <c r="E38" s="630"/>
      <c r="F38" s="630"/>
      <c r="G38" s="630" t="s">
        <v>104</v>
      </c>
      <c r="H38" s="630"/>
      <c r="I38" s="630"/>
      <c r="J38" s="630"/>
      <c r="K38" s="630"/>
      <c r="L38" s="630"/>
      <c r="M38" s="1" t="s">
        <v>106</v>
      </c>
      <c r="N38" s="439">
        <v>46150</v>
      </c>
    </row>
    <row r="39" spans="2:14" ht="17.25" customHeight="1" x14ac:dyDescent="0.25">
      <c r="B39" s="630"/>
      <c r="C39" s="630">
        <v>26010537</v>
      </c>
      <c r="D39" s="630"/>
      <c r="E39" s="630"/>
      <c r="F39" s="630"/>
      <c r="G39" s="630" t="s">
        <v>104</v>
      </c>
      <c r="H39" s="630"/>
      <c r="I39" s="630"/>
      <c r="J39" s="630"/>
      <c r="K39" s="630"/>
      <c r="L39" s="630"/>
      <c r="M39" s="1" t="s">
        <v>106</v>
      </c>
      <c r="N39" s="439">
        <v>46150</v>
      </c>
    </row>
    <row r="40" spans="2:14" ht="17.25" customHeight="1" x14ac:dyDescent="0.25">
      <c r="B40" s="630"/>
      <c r="C40" s="630">
        <v>26010538</v>
      </c>
      <c r="D40" s="630"/>
      <c r="E40" s="630"/>
      <c r="F40" s="630"/>
      <c r="G40" s="630" t="s">
        <v>104</v>
      </c>
      <c r="H40" s="630"/>
      <c r="I40" s="630"/>
      <c r="J40" s="630"/>
      <c r="K40" s="630"/>
      <c r="L40" s="630"/>
      <c r="M40" s="1" t="s">
        <v>106</v>
      </c>
      <c r="N40" s="439">
        <v>46151</v>
      </c>
    </row>
    <row r="41" spans="2:14" ht="17.25" customHeight="1" x14ac:dyDescent="0.25">
      <c r="B41" s="630" t="s">
        <v>584</v>
      </c>
      <c r="C41" s="630">
        <v>26010539</v>
      </c>
      <c r="D41" s="630"/>
      <c r="E41" s="620"/>
      <c r="F41" s="620"/>
      <c r="G41" s="630" t="s">
        <v>104</v>
      </c>
      <c r="H41" s="630"/>
      <c r="I41" s="630"/>
      <c r="J41" s="630"/>
      <c r="K41" s="630" t="s">
        <v>105</v>
      </c>
      <c r="L41" s="630"/>
      <c r="M41" s="1" t="s">
        <v>106</v>
      </c>
      <c r="N41" s="439">
        <v>46151</v>
      </c>
    </row>
    <row r="42" spans="2:14" ht="17.25" customHeight="1" x14ac:dyDescent="0.25">
      <c r="B42" s="630"/>
      <c r="C42" s="630">
        <v>26010540</v>
      </c>
      <c r="D42" s="630"/>
      <c r="E42" s="630"/>
      <c r="F42" s="630"/>
      <c r="G42" s="630" t="s">
        <v>104</v>
      </c>
      <c r="H42" s="630"/>
      <c r="I42" s="630"/>
      <c r="J42" s="630"/>
      <c r="K42" s="630"/>
      <c r="L42" s="630"/>
      <c r="M42" s="1" t="s">
        <v>106</v>
      </c>
      <c r="N42" s="439">
        <v>46151</v>
      </c>
    </row>
    <row r="43" spans="2:14" ht="17.25" customHeight="1" x14ac:dyDescent="0.25">
      <c r="B43" s="630"/>
      <c r="C43" s="630">
        <v>26010541</v>
      </c>
      <c r="D43" s="630"/>
      <c r="E43" s="630"/>
      <c r="F43" s="630"/>
      <c r="G43" s="630" t="s">
        <v>104</v>
      </c>
      <c r="H43" s="630"/>
      <c r="I43" s="630"/>
      <c r="J43" s="630"/>
      <c r="K43" s="630"/>
      <c r="L43" s="630"/>
      <c r="M43" s="1" t="s">
        <v>106</v>
      </c>
      <c r="N43" s="439">
        <v>46151</v>
      </c>
    </row>
    <row r="44" spans="2:14" ht="17.25" customHeight="1" x14ac:dyDescent="0.25">
      <c r="B44" s="630"/>
      <c r="C44" s="630">
        <v>26010542</v>
      </c>
      <c r="D44" s="630"/>
      <c r="E44" s="630"/>
      <c r="F44" s="630"/>
      <c r="G44" s="630" t="s">
        <v>104</v>
      </c>
      <c r="H44" s="630"/>
      <c r="I44" s="630"/>
      <c r="J44" s="630"/>
      <c r="K44" s="630"/>
      <c r="L44" s="630"/>
      <c r="M44" s="1" t="s">
        <v>106</v>
      </c>
      <c r="N44" s="439">
        <v>46151</v>
      </c>
    </row>
    <row r="45" spans="2:14" ht="17.25" customHeight="1" x14ac:dyDescent="0.25">
      <c r="B45" s="630"/>
      <c r="C45" s="630">
        <v>26010543</v>
      </c>
      <c r="D45" s="630"/>
      <c r="E45" s="630"/>
      <c r="F45" s="630"/>
      <c r="G45" s="630" t="s">
        <v>104</v>
      </c>
      <c r="H45" s="630"/>
      <c r="I45" s="630"/>
      <c r="J45" s="630"/>
      <c r="K45" s="630"/>
      <c r="L45" s="630"/>
      <c r="M45" s="1" t="s">
        <v>106</v>
      </c>
      <c r="N45" s="439">
        <v>46151</v>
      </c>
    </row>
    <row r="46" spans="2:14" ht="17.25" customHeight="1" x14ac:dyDescent="0.25">
      <c r="B46" s="630"/>
      <c r="C46" s="630">
        <v>26010544</v>
      </c>
      <c r="D46" s="630"/>
      <c r="E46" s="630"/>
      <c r="F46" s="630"/>
      <c r="G46" s="630" t="s">
        <v>104</v>
      </c>
      <c r="H46" s="630"/>
      <c r="I46" s="630"/>
      <c r="J46" s="630"/>
      <c r="K46" s="630"/>
      <c r="L46" s="630"/>
      <c r="M46" s="1" t="s">
        <v>106</v>
      </c>
      <c r="N46" s="439">
        <v>46153</v>
      </c>
    </row>
    <row r="47" spans="2:14" ht="17.25" customHeight="1" x14ac:dyDescent="0.25">
      <c r="B47" s="630"/>
      <c r="C47" s="630">
        <v>26010545</v>
      </c>
      <c r="D47" s="630"/>
      <c r="E47" s="630"/>
      <c r="F47" s="630"/>
      <c r="G47" s="630" t="s">
        <v>104</v>
      </c>
      <c r="H47" s="630"/>
      <c r="I47" s="630"/>
      <c r="J47" s="630"/>
      <c r="K47" s="630"/>
      <c r="L47" s="630"/>
      <c r="M47" s="1" t="s">
        <v>106</v>
      </c>
      <c r="N47" s="439">
        <v>46153</v>
      </c>
    </row>
    <row r="48" spans="2:14" ht="17.25" customHeight="1" x14ac:dyDescent="0.25">
      <c r="B48" s="630"/>
      <c r="C48" s="630">
        <v>26010546</v>
      </c>
      <c r="D48" s="630"/>
      <c r="E48" s="630"/>
      <c r="F48" s="630"/>
      <c r="G48" s="630" t="s">
        <v>104</v>
      </c>
      <c r="H48" s="630"/>
      <c r="I48" s="630"/>
      <c r="J48" s="630"/>
      <c r="K48" s="630"/>
      <c r="L48" s="630"/>
      <c r="M48" s="1" t="s">
        <v>106</v>
      </c>
      <c r="N48" s="439">
        <v>46153</v>
      </c>
    </row>
    <row r="49" spans="2:15" ht="17.25" customHeight="1" x14ac:dyDescent="0.25">
      <c r="B49" s="630"/>
      <c r="C49" s="630">
        <v>26010547</v>
      </c>
      <c r="D49" s="630"/>
      <c r="E49" s="620"/>
      <c r="F49" s="620"/>
      <c r="G49" s="630" t="s">
        <v>104</v>
      </c>
      <c r="H49" s="630"/>
      <c r="I49" s="630"/>
      <c r="J49" s="630"/>
      <c r="K49" s="630"/>
      <c r="L49" s="630"/>
      <c r="M49" s="1" t="s">
        <v>106</v>
      </c>
      <c r="N49" s="439">
        <v>46153</v>
      </c>
    </row>
    <row r="50" spans="2:15" ht="17.25" customHeight="1" x14ac:dyDescent="0.25">
      <c r="B50" s="630"/>
      <c r="C50" s="630">
        <v>26010548</v>
      </c>
      <c r="D50" s="630"/>
      <c r="E50" s="630"/>
      <c r="F50" s="630"/>
      <c r="G50" s="630" t="s">
        <v>104</v>
      </c>
      <c r="H50" s="630"/>
      <c r="I50" s="630"/>
      <c r="J50" s="630"/>
      <c r="K50" s="630"/>
      <c r="L50" s="630"/>
      <c r="M50" s="1" t="s">
        <v>106</v>
      </c>
      <c r="N50" s="439">
        <v>46154</v>
      </c>
    </row>
    <row r="51" spans="2:15" ht="17.25" customHeight="1" x14ac:dyDescent="0.25">
      <c r="B51" s="630"/>
      <c r="C51" s="630">
        <v>26010549</v>
      </c>
      <c r="D51" s="630"/>
      <c r="E51" s="630"/>
      <c r="F51" s="630"/>
      <c r="G51" s="630" t="s">
        <v>104</v>
      </c>
      <c r="H51" s="630"/>
      <c r="I51" s="630"/>
      <c r="J51" s="630"/>
      <c r="K51" s="630"/>
      <c r="L51" s="630"/>
      <c r="M51" s="1" t="s">
        <v>106</v>
      </c>
      <c r="N51" s="439">
        <v>46154</v>
      </c>
    </row>
    <row r="52" spans="2:15" ht="17.25" customHeight="1" x14ac:dyDescent="0.25">
      <c r="B52" s="630"/>
      <c r="C52" s="630">
        <v>26010550</v>
      </c>
      <c r="D52" s="630"/>
      <c r="E52" s="630"/>
      <c r="F52" s="630"/>
      <c r="G52" s="630" t="s">
        <v>104</v>
      </c>
      <c r="H52" s="630"/>
      <c r="I52" s="630"/>
      <c r="J52" s="630"/>
      <c r="K52" s="630"/>
      <c r="L52" s="630"/>
      <c r="M52" s="1" t="s">
        <v>106</v>
      </c>
      <c r="N52" s="439">
        <v>46154</v>
      </c>
    </row>
    <row r="53" spans="2:15" ht="17.25" customHeight="1" x14ac:dyDescent="0.25">
      <c r="B53" s="630"/>
      <c r="C53" s="630">
        <v>26010551</v>
      </c>
      <c r="D53" s="630"/>
      <c r="E53" s="630"/>
      <c r="F53" s="630"/>
      <c r="G53" s="630" t="s">
        <v>104</v>
      </c>
      <c r="H53" s="630"/>
      <c r="I53" s="630"/>
      <c r="J53" s="630"/>
      <c r="K53" s="630"/>
      <c r="L53" s="630"/>
      <c r="M53" s="1" t="s">
        <v>106</v>
      </c>
      <c r="N53" s="439">
        <v>46154</v>
      </c>
    </row>
    <row r="54" spans="2:15" ht="17.25" customHeight="1" x14ac:dyDescent="0.25">
      <c r="B54" s="630"/>
      <c r="C54" s="630">
        <v>26010552</v>
      </c>
      <c r="D54" s="630"/>
      <c r="E54" s="630"/>
      <c r="F54" s="630"/>
      <c r="G54" s="630" t="s">
        <v>104</v>
      </c>
      <c r="H54" s="630"/>
      <c r="I54" s="630"/>
      <c r="J54" s="630"/>
      <c r="K54" s="630"/>
      <c r="L54" s="630"/>
      <c r="M54" s="1" t="s">
        <v>106</v>
      </c>
      <c r="N54" s="439">
        <v>46154</v>
      </c>
    </row>
    <row r="55" spans="2:15" ht="17.25" customHeight="1" x14ac:dyDescent="0.25">
      <c r="B55" s="630"/>
      <c r="C55" s="630">
        <v>26010553</v>
      </c>
      <c r="D55" s="630"/>
      <c r="E55" s="620"/>
      <c r="F55" s="620"/>
      <c r="G55" s="630" t="s">
        <v>104</v>
      </c>
      <c r="H55" s="630"/>
      <c r="I55" s="630"/>
      <c r="J55" s="630"/>
      <c r="K55" s="630"/>
      <c r="L55" s="630"/>
      <c r="M55" s="1" t="s">
        <v>106</v>
      </c>
      <c r="N55" s="439">
        <v>46154</v>
      </c>
    </row>
    <row r="56" spans="2:15" ht="17.25" customHeight="1" x14ac:dyDescent="0.25">
      <c r="B56" s="630"/>
      <c r="C56" s="630">
        <v>26010554</v>
      </c>
      <c r="D56" s="630"/>
      <c r="E56" s="630"/>
      <c r="F56" s="630"/>
      <c r="G56" s="630" t="s">
        <v>104</v>
      </c>
      <c r="H56" s="630"/>
      <c r="I56" s="630"/>
      <c r="J56" s="630"/>
      <c r="K56" s="630"/>
      <c r="L56" s="630"/>
      <c r="M56" s="1" t="s">
        <v>106</v>
      </c>
      <c r="N56" s="439">
        <v>46154</v>
      </c>
    </row>
    <row r="57" spans="2:15" ht="17.25" customHeight="1" x14ac:dyDescent="0.25">
      <c r="B57" s="630"/>
      <c r="C57" s="630">
        <v>26010555</v>
      </c>
      <c r="D57" s="630"/>
      <c r="E57" s="630"/>
      <c r="F57" s="630"/>
      <c r="G57" s="630" t="s">
        <v>104</v>
      </c>
      <c r="H57" s="630"/>
      <c r="I57" s="630"/>
      <c r="J57" s="630"/>
      <c r="K57" s="630"/>
      <c r="L57" s="630"/>
      <c r="M57" s="1" t="s">
        <v>106</v>
      </c>
      <c r="N57" s="439">
        <v>46155</v>
      </c>
    </row>
    <row r="58" spans="2:15" ht="17.25" customHeight="1" x14ac:dyDescent="0.25">
      <c r="B58" s="630"/>
      <c r="C58" s="630">
        <v>26010556</v>
      </c>
      <c r="D58" s="630"/>
      <c r="E58" s="630"/>
      <c r="F58" s="630"/>
      <c r="G58" s="630" t="s">
        <v>104</v>
      </c>
      <c r="H58" s="630"/>
      <c r="I58" s="630"/>
      <c r="J58" s="630"/>
      <c r="K58" s="630"/>
      <c r="L58" s="630"/>
      <c r="M58" s="1" t="s">
        <v>106</v>
      </c>
      <c r="N58" s="439">
        <v>46155</v>
      </c>
    </row>
    <row r="59" spans="2:15" ht="17.25" customHeight="1" x14ac:dyDescent="0.25">
      <c r="B59" s="630"/>
      <c r="C59" s="630">
        <v>26010557</v>
      </c>
      <c r="D59" s="630"/>
      <c r="E59" s="630"/>
      <c r="F59" s="630"/>
      <c r="G59" s="630" t="s">
        <v>104</v>
      </c>
      <c r="H59" s="630"/>
      <c r="I59" s="630"/>
      <c r="J59" s="630"/>
      <c r="K59" s="630"/>
      <c r="L59" s="630"/>
      <c r="M59" s="1" t="s">
        <v>106</v>
      </c>
      <c r="N59" s="439">
        <v>46155</v>
      </c>
    </row>
    <row r="60" spans="2:15" ht="17.25" customHeight="1" x14ac:dyDescent="0.25">
      <c r="B60" s="630"/>
      <c r="C60" s="630">
        <v>26010558</v>
      </c>
      <c r="D60" s="630"/>
      <c r="E60" s="620"/>
      <c r="F60" s="620"/>
      <c r="G60" s="630" t="s">
        <v>104</v>
      </c>
      <c r="H60" s="630"/>
      <c r="I60" s="630"/>
      <c r="J60" s="630"/>
      <c r="K60" s="630"/>
      <c r="L60" s="630"/>
      <c r="M60" s="1" t="s">
        <v>106</v>
      </c>
      <c r="N60" s="439">
        <v>46155</v>
      </c>
    </row>
    <row r="61" spans="2:15" ht="17.25" customHeight="1" x14ac:dyDescent="0.25">
      <c r="B61" s="476" t="s">
        <v>585</v>
      </c>
      <c r="C61" s="663">
        <v>26010559</v>
      </c>
      <c r="D61" s="663"/>
      <c r="E61" s="663"/>
      <c r="F61" s="663"/>
      <c r="G61" s="663" t="s">
        <v>90</v>
      </c>
      <c r="H61" s="663"/>
      <c r="I61" s="663"/>
      <c r="J61" s="663"/>
      <c r="K61" s="663" t="s">
        <v>91</v>
      </c>
      <c r="L61" s="663"/>
      <c r="M61" s="476" t="s">
        <v>586</v>
      </c>
      <c r="N61" s="439">
        <v>46149</v>
      </c>
      <c r="O61" s="230" t="s">
        <v>567</v>
      </c>
    </row>
    <row r="62" spans="2:15" ht="17.25" customHeight="1" x14ac:dyDescent="0.25">
      <c r="B62" s="1" t="s">
        <v>587</v>
      </c>
      <c r="C62" s="630">
        <v>26070560</v>
      </c>
      <c r="D62" s="630"/>
      <c r="E62" s="630"/>
      <c r="F62" s="630"/>
      <c r="G62" s="630" t="s">
        <v>588</v>
      </c>
      <c r="H62" s="630"/>
      <c r="I62" s="630"/>
      <c r="J62" s="630"/>
      <c r="K62" s="630" t="s">
        <v>105</v>
      </c>
      <c r="L62" s="630"/>
      <c r="M62" s="1" t="s">
        <v>589</v>
      </c>
      <c r="N62" s="439">
        <v>46151</v>
      </c>
    </row>
    <row r="63" spans="2:15" ht="17.25" customHeight="1" x14ac:dyDescent="0.25">
      <c r="B63" s="1" t="s">
        <v>590</v>
      </c>
      <c r="C63" s="630"/>
      <c r="D63" s="630"/>
      <c r="E63" s="630">
        <v>26070560</v>
      </c>
      <c r="F63" s="630"/>
      <c r="G63" s="630" t="s">
        <v>591</v>
      </c>
      <c r="H63" s="630"/>
      <c r="I63" s="630"/>
      <c r="J63" s="630"/>
      <c r="K63" s="630" t="s">
        <v>91</v>
      </c>
      <c r="L63" s="630"/>
      <c r="M63" s="1" t="s">
        <v>592</v>
      </c>
      <c r="N63" s="439">
        <v>46154</v>
      </c>
    </row>
    <row r="64" spans="2:15" ht="17.25" customHeight="1" x14ac:dyDescent="0.25">
      <c r="B64" s="1" t="s">
        <v>593</v>
      </c>
      <c r="C64" s="630" t="s">
        <v>594</v>
      </c>
      <c r="D64" s="630"/>
      <c r="E64" s="630"/>
      <c r="F64" s="630"/>
      <c r="G64" s="630" t="s">
        <v>83</v>
      </c>
      <c r="H64" s="630"/>
      <c r="I64" s="630"/>
      <c r="J64" s="630"/>
      <c r="K64" s="630" t="s">
        <v>60</v>
      </c>
      <c r="L64" s="630"/>
      <c r="M64" s="210" t="s">
        <v>84</v>
      </c>
      <c r="N64" s="439">
        <v>46151</v>
      </c>
    </row>
    <row r="65" spans="2:15" ht="17.25" customHeight="1" x14ac:dyDescent="0.25">
      <c r="B65" s="1" t="s">
        <v>595</v>
      </c>
      <c r="C65" s="630">
        <v>26010562</v>
      </c>
      <c r="D65" s="630"/>
      <c r="E65" s="630"/>
      <c r="F65" s="630"/>
      <c r="G65" s="630" t="s">
        <v>191</v>
      </c>
      <c r="H65" s="630"/>
      <c r="I65" s="630"/>
      <c r="J65" s="630"/>
      <c r="K65" s="630" t="s">
        <v>192</v>
      </c>
      <c r="L65" s="630"/>
      <c r="M65" s="1" t="s">
        <v>169</v>
      </c>
      <c r="N65" s="439">
        <v>46153</v>
      </c>
    </row>
    <row r="66" spans="2:15" ht="17.25" customHeight="1" x14ac:dyDescent="0.25">
      <c r="B66" s="1" t="s">
        <v>596</v>
      </c>
      <c r="C66" s="630">
        <v>26010563</v>
      </c>
      <c r="D66" s="630"/>
      <c r="E66" s="630"/>
      <c r="F66" s="630"/>
      <c r="G66" s="630" t="s">
        <v>597</v>
      </c>
      <c r="H66" s="630"/>
      <c r="I66" s="630"/>
      <c r="J66" s="630"/>
      <c r="K66" s="630" t="s">
        <v>598</v>
      </c>
      <c r="L66" s="630"/>
      <c r="M66" s="1" t="s">
        <v>102</v>
      </c>
      <c r="N66" s="439">
        <v>46153</v>
      </c>
    </row>
    <row r="67" spans="2:15" ht="17.25" customHeight="1" x14ac:dyDescent="0.25">
      <c r="B67" s="2" t="s">
        <v>599</v>
      </c>
      <c r="C67" s="628">
        <v>26010564</v>
      </c>
      <c r="D67" s="628"/>
      <c r="E67" s="628"/>
      <c r="F67" s="628"/>
      <c r="G67" s="628" t="s">
        <v>97</v>
      </c>
      <c r="H67" s="628"/>
      <c r="I67" s="628"/>
      <c r="J67" s="628"/>
      <c r="K67" s="628" t="s">
        <v>56</v>
      </c>
      <c r="L67" s="628"/>
      <c r="M67" s="2" t="s">
        <v>600</v>
      </c>
      <c r="N67" s="439">
        <v>46155</v>
      </c>
      <c r="O67" s="230" t="s">
        <v>601</v>
      </c>
    </row>
    <row r="68" spans="2:15" ht="17.25" customHeight="1" x14ac:dyDescent="0.25">
      <c r="B68" s="630" t="s">
        <v>602</v>
      </c>
      <c r="C68" s="630">
        <v>26010565</v>
      </c>
      <c r="D68" s="630"/>
      <c r="E68" s="620"/>
      <c r="F68" s="620"/>
      <c r="G68" s="630" t="s">
        <v>104</v>
      </c>
      <c r="H68" s="630"/>
      <c r="I68" s="630"/>
      <c r="J68" s="630"/>
      <c r="K68" s="630" t="s">
        <v>105</v>
      </c>
      <c r="L68" s="630"/>
      <c r="M68" s="1" t="s">
        <v>106</v>
      </c>
      <c r="N68" s="439">
        <v>46155</v>
      </c>
    </row>
    <row r="69" spans="2:15" ht="17.25" customHeight="1" x14ac:dyDescent="0.25">
      <c r="B69" s="630"/>
      <c r="C69" s="630">
        <v>26010566</v>
      </c>
      <c r="D69" s="630"/>
      <c r="E69" s="630"/>
      <c r="F69" s="630"/>
      <c r="G69" s="630" t="s">
        <v>104</v>
      </c>
      <c r="H69" s="630"/>
      <c r="I69" s="630"/>
      <c r="J69" s="630"/>
      <c r="K69" s="630"/>
      <c r="L69" s="630"/>
      <c r="M69" s="1" t="s">
        <v>106</v>
      </c>
      <c r="N69" s="439">
        <v>46155</v>
      </c>
    </row>
    <row r="70" spans="2:15" ht="17.25" customHeight="1" x14ac:dyDescent="0.25">
      <c r="B70" s="630"/>
      <c r="C70" s="630">
        <v>26010567</v>
      </c>
      <c r="D70" s="630"/>
      <c r="E70" s="630"/>
      <c r="F70" s="630"/>
      <c r="G70" s="630" t="s">
        <v>104</v>
      </c>
      <c r="H70" s="630"/>
      <c r="I70" s="630"/>
      <c r="J70" s="630"/>
      <c r="K70" s="630"/>
      <c r="L70" s="630"/>
      <c r="M70" s="1" t="s">
        <v>106</v>
      </c>
      <c r="N70" s="439">
        <v>46155</v>
      </c>
    </row>
    <row r="71" spans="2:15" ht="17.25" customHeight="1" x14ac:dyDescent="0.25">
      <c r="B71" s="630"/>
      <c r="C71" s="630">
        <v>26010568</v>
      </c>
      <c r="D71" s="630"/>
      <c r="E71" s="630"/>
      <c r="F71" s="630"/>
      <c r="G71" s="630" t="s">
        <v>104</v>
      </c>
      <c r="H71" s="630"/>
      <c r="I71" s="630"/>
      <c r="J71" s="630"/>
      <c r="K71" s="630"/>
      <c r="L71" s="630"/>
      <c r="M71" s="1" t="s">
        <v>106</v>
      </c>
      <c r="N71" s="439">
        <v>46156</v>
      </c>
    </row>
    <row r="72" spans="2:15" ht="17.25" customHeight="1" x14ac:dyDescent="0.25">
      <c r="B72" s="630"/>
      <c r="C72" s="630">
        <v>26010569</v>
      </c>
      <c r="D72" s="630"/>
      <c r="E72" s="630"/>
      <c r="F72" s="630"/>
      <c r="G72" s="630" t="s">
        <v>104</v>
      </c>
      <c r="H72" s="630"/>
      <c r="I72" s="630"/>
      <c r="J72" s="630"/>
      <c r="K72" s="630"/>
      <c r="L72" s="630"/>
      <c r="M72" s="1" t="s">
        <v>106</v>
      </c>
      <c r="N72" s="439">
        <v>46156</v>
      </c>
    </row>
    <row r="73" spans="2:15" ht="17.25" customHeight="1" x14ac:dyDescent="0.25">
      <c r="B73" s="630"/>
      <c r="C73" s="630">
        <v>26010570</v>
      </c>
      <c r="D73" s="630"/>
      <c r="E73" s="630"/>
      <c r="F73" s="630"/>
      <c r="G73" s="630" t="s">
        <v>104</v>
      </c>
      <c r="H73" s="630"/>
      <c r="I73" s="630"/>
      <c r="J73" s="630"/>
      <c r="K73" s="630"/>
      <c r="L73" s="630"/>
      <c r="M73" s="1" t="s">
        <v>106</v>
      </c>
      <c r="N73" s="439">
        <v>46156</v>
      </c>
    </row>
    <row r="74" spans="2:15" ht="17.25" customHeight="1" x14ac:dyDescent="0.25">
      <c r="B74" s="630"/>
      <c r="C74" s="630">
        <v>26010571</v>
      </c>
      <c r="D74" s="630"/>
      <c r="E74" s="630"/>
      <c r="F74" s="630"/>
      <c r="G74" s="630" t="s">
        <v>104</v>
      </c>
      <c r="H74" s="630"/>
      <c r="I74" s="630"/>
      <c r="J74" s="630"/>
      <c r="K74" s="630"/>
      <c r="L74" s="630"/>
      <c r="M74" s="1" t="s">
        <v>106</v>
      </c>
      <c r="N74" s="439">
        <v>46156</v>
      </c>
    </row>
    <row r="75" spans="2:15" ht="17.25" customHeight="1" x14ac:dyDescent="0.25">
      <c r="B75" s="630"/>
      <c r="C75" s="630">
        <v>26010572</v>
      </c>
      <c r="D75" s="630"/>
      <c r="E75" s="630"/>
      <c r="F75" s="630"/>
      <c r="G75" s="630" t="s">
        <v>104</v>
      </c>
      <c r="H75" s="630"/>
      <c r="I75" s="630"/>
      <c r="J75" s="630"/>
      <c r="K75" s="630"/>
      <c r="L75" s="630"/>
      <c r="M75" s="1" t="s">
        <v>106</v>
      </c>
      <c r="N75" s="439">
        <v>46157</v>
      </c>
    </row>
    <row r="76" spans="2:15" ht="17.25" customHeight="1" x14ac:dyDescent="0.25">
      <c r="B76" s="630"/>
      <c r="C76" s="630">
        <v>26010573</v>
      </c>
      <c r="D76" s="630"/>
      <c r="E76" s="630"/>
      <c r="F76" s="630"/>
      <c r="G76" s="630" t="s">
        <v>104</v>
      </c>
      <c r="H76" s="630"/>
      <c r="I76" s="630"/>
      <c r="J76" s="630"/>
      <c r="K76" s="630"/>
      <c r="L76" s="630"/>
      <c r="M76" s="1" t="s">
        <v>106</v>
      </c>
      <c r="N76" s="439">
        <v>46157</v>
      </c>
    </row>
    <row r="77" spans="2:15" ht="17.25" customHeight="1" x14ac:dyDescent="0.25">
      <c r="B77" s="630"/>
      <c r="C77" s="630">
        <v>26010574</v>
      </c>
      <c r="D77" s="630"/>
      <c r="E77" s="620"/>
      <c r="F77" s="620"/>
      <c r="G77" s="630" t="s">
        <v>104</v>
      </c>
      <c r="H77" s="630"/>
      <c r="I77" s="630"/>
      <c r="J77" s="630"/>
      <c r="K77" s="630"/>
      <c r="L77" s="630"/>
      <c r="M77" s="1" t="s">
        <v>106</v>
      </c>
      <c r="N77" s="439">
        <v>46157</v>
      </c>
    </row>
    <row r="78" spans="2:15" ht="17.25" customHeight="1" x14ac:dyDescent="0.25">
      <c r="B78" s="630"/>
      <c r="C78" s="630">
        <v>26010575</v>
      </c>
      <c r="D78" s="630"/>
      <c r="E78" s="620"/>
      <c r="F78" s="620"/>
      <c r="G78" s="630" t="s">
        <v>104</v>
      </c>
      <c r="H78" s="630"/>
      <c r="I78" s="630"/>
      <c r="J78" s="630"/>
      <c r="K78" s="630"/>
      <c r="L78" s="630"/>
      <c r="M78" s="1" t="s">
        <v>106</v>
      </c>
      <c r="N78" s="439">
        <v>46157</v>
      </c>
    </row>
    <row r="79" spans="2:15" ht="17.25" customHeight="1" x14ac:dyDescent="0.25">
      <c r="B79" s="630"/>
      <c r="C79" s="630">
        <v>26010576</v>
      </c>
      <c r="D79" s="630"/>
      <c r="E79" s="630"/>
      <c r="F79" s="630"/>
      <c r="G79" s="630" t="s">
        <v>196</v>
      </c>
      <c r="H79" s="630"/>
      <c r="I79" s="630"/>
      <c r="J79" s="630"/>
      <c r="K79" s="630"/>
      <c r="L79" s="630"/>
      <c r="M79" s="1" t="s">
        <v>106</v>
      </c>
      <c r="N79" s="439">
        <v>46156</v>
      </c>
    </row>
    <row r="80" spans="2:15" ht="17.25" customHeight="1" x14ac:dyDescent="0.25">
      <c r="B80" s="630"/>
      <c r="C80" s="630">
        <v>26010577</v>
      </c>
      <c r="D80" s="630"/>
      <c r="E80" s="630"/>
      <c r="F80" s="630"/>
      <c r="G80" s="630" t="s">
        <v>196</v>
      </c>
      <c r="H80" s="630"/>
      <c r="I80" s="630"/>
      <c r="J80" s="630"/>
      <c r="K80" s="630"/>
      <c r="L80" s="630"/>
      <c r="M80" s="1" t="s">
        <v>106</v>
      </c>
      <c r="N80" s="439">
        <v>46156</v>
      </c>
    </row>
    <row r="81" spans="2:14" ht="17.25" customHeight="1" x14ac:dyDescent="0.25">
      <c r="B81" s="630"/>
      <c r="C81" s="630">
        <v>26010578</v>
      </c>
      <c r="D81" s="630"/>
      <c r="E81" s="630"/>
      <c r="F81" s="630"/>
      <c r="G81" s="630" t="s">
        <v>196</v>
      </c>
      <c r="H81" s="630"/>
      <c r="I81" s="630"/>
      <c r="J81" s="630"/>
      <c r="K81" s="630"/>
      <c r="L81" s="630"/>
      <c r="M81" s="1" t="s">
        <v>106</v>
      </c>
      <c r="N81" s="439">
        <v>46156</v>
      </c>
    </row>
    <row r="82" spans="2:14" ht="17.25" customHeight="1" x14ac:dyDescent="0.25">
      <c r="B82" s="630"/>
      <c r="C82" s="630">
        <v>26010579</v>
      </c>
      <c r="D82" s="630"/>
      <c r="E82" s="620"/>
      <c r="F82" s="620"/>
      <c r="G82" s="630" t="s">
        <v>196</v>
      </c>
      <c r="H82" s="630"/>
      <c r="I82" s="630"/>
      <c r="J82" s="630"/>
      <c r="K82" s="630"/>
      <c r="L82" s="630"/>
      <c r="M82" s="1" t="s">
        <v>106</v>
      </c>
      <c r="N82" s="439">
        <v>46156</v>
      </c>
    </row>
    <row r="83" spans="2:14" ht="17.25" customHeight="1" x14ac:dyDescent="0.25">
      <c r="B83" s="630"/>
      <c r="C83" s="630">
        <v>26010580</v>
      </c>
      <c r="D83" s="630"/>
      <c r="E83" s="630"/>
      <c r="F83" s="630"/>
      <c r="G83" s="630" t="s">
        <v>104</v>
      </c>
      <c r="H83" s="630"/>
      <c r="I83" s="630"/>
      <c r="J83" s="630"/>
      <c r="K83" s="630"/>
      <c r="L83" s="630"/>
      <c r="M83" s="1" t="s">
        <v>106</v>
      </c>
      <c r="N83" s="439">
        <v>46157</v>
      </c>
    </row>
    <row r="84" spans="2:14" ht="17.25" customHeight="1" x14ac:dyDescent="0.25">
      <c r="B84" s="630"/>
      <c r="C84" s="630">
        <v>26010581</v>
      </c>
      <c r="D84" s="630"/>
      <c r="E84" s="630"/>
      <c r="F84" s="630"/>
      <c r="G84" s="630" t="s">
        <v>104</v>
      </c>
      <c r="H84" s="630"/>
      <c r="I84" s="630"/>
      <c r="J84" s="630"/>
      <c r="K84" s="630"/>
      <c r="L84" s="630"/>
      <c r="M84" s="1" t="s">
        <v>106</v>
      </c>
      <c r="N84" s="439">
        <v>46157</v>
      </c>
    </row>
    <row r="85" spans="2:14" ht="17.25" customHeight="1" x14ac:dyDescent="0.25">
      <c r="B85" s="630"/>
      <c r="C85" s="630">
        <v>26010582</v>
      </c>
      <c r="D85" s="630"/>
      <c r="E85" s="630"/>
      <c r="F85" s="630"/>
      <c r="G85" s="630" t="s">
        <v>104</v>
      </c>
      <c r="H85" s="630"/>
      <c r="I85" s="630"/>
      <c r="J85" s="630"/>
      <c r="K85" s="630"/>
      <c r="L85" s="630"/>
      <c r="M85" s="1" t="s">
        <v>106</v>
      </c>
      <c r="N85" s="439">
        <v>46158</v>
      </c>
    </row>
    <row r="86" spans="2:14" ht="17.25" customHeight="1" x14ac:dyDescent="0.25">
      <c r="B86" s="630"/>
      <c r="C86" s="630">
        <v>26010583</v>
      </c>
      <c r="D86" s="630"/>
      <c r="E86" s="630"/>
      <c r="F86" s="630"/>
      <c r="G86" s="630" t="s">
        <v>104</v>
      </c>
      <c r="H86" s="630"/>
      <c r="I86" s="630"/>
      <c r="J86" s="630"/>
      <c r="K86" s="630"/>
      <c r="L86" s="630"/>
      <c r="M86" s="1" t="s">
        <v>106</v>
      </c>
      <c r="N86" s="439">
        <v>46158</v>
      </c>
    </row>
    <row r="87" spans="2:14" ht="17.25" customHeight="1" x14ac:dyDescent="0.25">
      <c r="B87" s="630"/>
      <c r="C87" s="630">
        <v>26010584</v>
      </c>
      <c r="D87" s="630"/>
      <c r="E87" s="630"/>
      <c r="F87" s="630"/>
      <c r="G87" s="630" t="s">
        <v>104</v>
      </c>
      <c r="H87" s="630"/>
      <c r="I87" s="630"/>
      <c r="J87" s="630"/>
      <c r="K87" s="630"/>
      <c r="L87" s="630"/>
      <c r="M87" s="1" t="s">
        <v>106</v>
      </c>
      <c r="N87" s="439">
        <v>46158</v>
      </c>
    </row>
    <row r="88" spans="2:14" ht="17.25" customHeight="1" x14ac:dyDescent="0.25">
      <c r="B88" s="630"/>
      <c r="C88" s="630">
        <v>26010585</v>
      </c>
      <c r="D88" s="630"/>
      <c r="E88" s="630"/>
      <c r="F88" s="630"/>
      <c r="G88" s="630" t="s">
        <v>104</v>
      </c>
      <c r="H88" s="630"/>
      <c r="I88" s="630"/>
      <c r="J88" s="630"/>
      <c r="K88" s="630"/>
      <c r="L88" s="630"/>
      <c r="M88" s="1" t="s">
        <v>106</v>
      </c>
      <c r="N88" s="439">
        <v>46158</v>
      </c>
    </row>
    <row r="89" spans="2:14" ht="17.25" customHeight="1" x14ac:dyDescent="0.25">
      <c r="B89" s="630"/>
      <c r="C89" s="630">
        <v>26010586</v>
      </c>
      <c r="D89" s="630"/>
      <c r="E89" s="630"/>
      <c r="F89" s="630"/>
      <c r="G89" s="630" t="s">
        <v>104</v>
      </c>
      <c r="H89" s="630"/>
      <c r="I89" s="630"/>
      <c r="J89" s="630"/>
      <c r="K89" s="630"/>
      <c r="L89" s="630"/>
      <c r="M89" s="1" t="s">
        <v>106</v>
      </c>
      <c r="N89" s="439">
        <v>46158</v>
      </c>
    </row>
    <row r="90" spans="2:14" ht="17.25" customHeight="1" x14ac:dyDescent="0.25">
      <c r="B90" s="630"/>
      <c r="C90" s="630">
        <v>26010587</v>
      </c>
      <c r="D90" s="630"/>
      <c r="E90" s="620"/>
      <c r="F90" s="620"/>
      <c r="G90" s="630" t="s">
        <v>104</v>
      </c>
      <c r="H90" s="630"/>
      <c r="I90" s="630"/>
      <c r="J90" s="630"/>
      <c r="K90" s="630"/>
      <c r="L90" s="630"/>
      <c r="M90" s="1" t="s">
        <v>106</v>
      </c>
      <c r="N90" s="439">
        <v>46158</v>
      </c>
    </row>
    <row r="91" spans="2:14" ht="17.25" customHeight="1" x14ac:dyDescent="0.25">
      <c r="B91" s="630"/>
      <c r="C91" s="630">
        <v>26010588</v>
      </c>
      <c r="D91" s="630"/>
      <c r="E91" s="630"/>
      <c r="F91" s="630"/>
      <c r="G91" s="630" t="s">
        <v>104</v>
      </c>
      <c r="H91" s="630"/>
      <c r="I91" s="630"/>
      <c r="J91" s="630"/>
      <c r="K91" s="630"/>
      <c r="L91" s="630"/>
      <c r="M91" s="1" t="s">
        <v>106</v>
      </c>
      <c r="N91" s="439">
        <v>46160</v>
      </c>
    </row>
    <row r="92" spans="2:14" ht="17.25" customHeight="1" x14ac:dyDescent="0.25">
      <c r="B92" s="630"/>
      <c r="C92" s="630">
        <v>26010589</v>
      </c>
      <c r="D92" s="630"/>
      <c r="E92" s="620"/>
      <c r="F92" s="620"/>
      <c r="G92" s="630" t="s">
        <v>104</v>
      </c>
      <c r="H92" s="630"/>
      <c r="I92" s="630"/>
      <c r="J92" s="630"/>
      <c r="K92" s="630"/>
      <c r="L92" s="630"/>
      <c r="M92" s="1" t="s">
        <v>106</v>
      </c>
      <c r="N92" s="439">
        <v>46160</v>
      </c>
    </row>
    <row r="93" spans="2:14" ht="17.25" customHeight="1" x14ac:dyDescent="0.25">
      <c r="B93" s="1" t="s">
        <v>603</v>
      </c>
      <c r="C93" s="630">
        <v>26010590</v>
      </c>
      <c r="D93" s="630"/>
      <c r="E93" s="630"/>
      <c r="F93" s="630"/>
      <c r="G93" s="630" t="s">
        <v>604</v>
      </c>
      <c r="H93" s="630"/>
      <c r="I93" s="630"/>
      <c r="J93" s="630"/>
      <c r="K93" s="630" t="s">
        <v>260</v>
      </c>
      <c r="L93" s="630"/>
      <c r="M93" s="210" t="s">
        <v>391</v>
      </c>
      <c r="N93" s="439">
        <v>46157</v>
      </c>
    </row>
    <row r="94" spans="2:14" ht="17.25" customHeight="1" x14ac:dyDescent="0.25">
      <c r="B94" s="1" t="s">
        <v>605</v>
      </c>
      <c r="C94" s="630" t="s">
        <v>606</v>
      </c>
      <c r="D94" s="630"/>
      <c r="E94" s="630"/>
      <c r="F94" s="630"/>
      <c r="G94" s="630" t="s">
        <v>83</v>
      </c>
      <c r="H94" s="630"/>
      <c r="I94" s="630"/>
      <c r="J94" s="630"/>
      <c r="K94" s="630" t="s">
        <v>60</v>
      </c>
      <c r="L94" s="630"/>
      <c r="M94" s="1" t="s">
        <v>84</v>
      </c>
      <c r="N94" s="439">
        <v>46158</v>
      </c>
    </row>
    <row r="95" spans="2:14" ht="18" customHeight="1" x14ac:dyDescent="0.25">
      <c r="B95" s="663" t="s">
        <v>607</v>
      </c>
      <c r="C95" s="663">
        <v>26010592</v>
      </c>
      <c r="D95" s="663"/>
      <c r="E95" s="663"/>
      <c r="F95" s="663"/>
      <c r="G95" s="663" t="s">
        <v>104</v>
      </c>
      <c r="H95" s="663"/>
      <c r="I95" s="663"/>
      <c r="J95" s="663"/>
      <c r="K95" s="663" t="s">
        <v>105</v>
      </c>
      <c r="L95" s="663"/>
      <c r="M95" s="477" t="s">
        <v>106</v>
      </c>
      <c r="N95" s="475">
        <v>46160</v>
      </c>
    </row>
    <row r="96" spans="2:14" ht="18" customHeight="1" x14ac:dyDescent="0.25">
      <c r="B96" s="663"/>
      <c r="C96" s="673">
        <v>26010593</v>
      </c>
      <c r="D96" s="673"/>
      <c r="E96" s="681"/>
      <c r="F96" s="681"/>
      <c r="G96" s="665" t="s">
        <v>104</v>
      </c>
      <c r="H96" s="665"/>
      <c r="I96" s="665"/>
      <c r="J96" s="665"/>
      <c r="K96" s="663"/>
      <c r="L96" s="663"/>
      <c r="M96" s="484" t="s">
        <v>106</v>
      </c>
      <c r="N96" s="475">
        <v>46160</v>
      </c>
    </row>
    <row r="97" spans="2:14" ht="18" customHeight="1" x14ac:dyDescent="0.25">
      <c r="B97" s="663"/>
      <c r="C97" s="663">
        <v>26010594</v>
      </c>
      <c r="D97" s="663"/>
      <c r="E97" s="682"/>
      <c r="F97" s="682"/>
      <c r="G97" s="663" t="s">
        <v>104</v>
      </c>
      <c r="H97" s="663"/>
      <c r="I97" s="663"/>
      <c r="J97" s="663"/>
      <c r="K97" s="663"/>
      <c r="L97" s="663"/>
      <c r="M97" s="477" t="s">
        <v>106</v>
      </c>
      <c r="N97" s="475">
        <v>46162</v>
      </c>
    </row>
    <row r="98" spans="2:14" ht="18" customHeight="1" x14ac:dyDescent="0.25">
      <c r="B98" s="663"/>
      <c r="C98" s="673">
        <v>26010595</v>
      </c>
      <c r="D98" s="673"/>
      <c r="E98" s="665"/>
      <c r="F98" s="665"/>
      <c r="G98" s="665" t="s">
        <v>104</v>
      </c>
      <c r="H98" s="665"/>
      <c r="I98" s="665"/>
      <c r="J98" s="665"/>
      <c r="K98" s="663"/>
      <c r="L98" s="663"/>
      <c r="M98" s="474" t="s">
        <v>106</v>
      </c>
      <c r="N98" s="475">
        <v>46162</v>
      </c>
    </row>
    <row r="99" spans="2:14" ht="18" customHeight="1" x14ac:dyDescent="0.25">
      <c r="B99" s="663"/>
      <c r="C99" s="663">
        <v>26010596</v>
      </c>
      <c r="D99" s="663"/>
      <c r="E99" s="663"/>
      <c r="F99" s="663"/>
      <c r="G99" s="663" t="s">
        <v>104</v>
      </c>
      <c r="H99" s="663"/>
      <c r="I99" s="663"/>
      <c r="J99" s="663"/>
      <c r="K99" s="663"/>
      <c r="L99" s="663"/>
      <c r="M99" s="477" t="s">
        <v>106</v>
      </c>
      <c r="N99" s="475">
        <v>46162</v>
      </c>
    </row>
    <row r="100" spans="2:14" ht="18" customHeight="1" x14ac:dyDescent="0.25">
      <c r="B100" s="663"/>
      <c r="C100" s="673">
        <v>26010597</v>
      </c>
      <c r="D100" s="673"/>
      <c r="E100" s="665"/>
      <c r="F100" s="665"/>
      <c r="G100" s="665" t="s">
        <v>104</v>
      </c>
      <c r="H100" s="665"/>
      <c r="I100" s="665"/>
      <c r="J100" s="665"/>
      <c r="K100" s="663"/>
      <c r="L100" s="663"/>
      <c r="M100" s="474" t="s">
        <v>106</v>
      </c>
      <c r="N100" s="475">
        <v>46162</v>
      </c>
    </row>
    <row r="101" spans="2:14" ht="18" customHeight="1" x14ac:dyDescent="0.25">
      <c r="B101" s="663"/>
      <c r="C101" s="663">
        <v>26010598</v>
      </c>
      <c r="D101" s="663"/>
      <c r="E101" s="663"/>
      <c r="F101" s="663"/>
      <c r="G101" s="663" t="s">
        <v>104</v>
      </c>
      <c r="H101" s="663"/>
      <c r="I101" s="663"/>
      <c r="J101" s="663"/>
      <c r="K101" s="663"/>
      <c r="L101" s="663"/>
      <c r="M101" s="477" t="s">
        <v>106</v>
      </c>
      <c r="N101" s="475">
        <v>46162</v>
      </c>
    </row>
    <row r="102" spans="2:14" ht="18" customHeight="1" x14ac:dyDescent="0.25">
      <c r="B102" s="663"/>
      <c r="C102" s="673">
        <v>26010599</v>
      </c>
      <c r="D102" s="673"/>
      <c r="E102" s="665"/>
      <c r="F102" s="665"/>
      <c r="G102" s="665" t="s">
        <v>104</v>
      </c>
      <c r="H102" s="665"/>
      <c r="I102" s="665"/>
      <c r="J102" s="665"/>
      <c r="K102" s="663"/>
      <c r="L102" s="663"/>
      <c r="M102" s="474" t="s">
        <v>106</v>
      </c>
      <c r="N102" s="475">
        <v>46162</v>
      </c>
    </row>
    <row r="103" spans="2:14" ht="18" customHeight="1" x14ac:dyDescent="0.25">
      <c r="B103" s="663"/>
      <c r="C103" s="663">
        <v>26010600</v>
      </c>
      <c r="D103" s="663"/>
      <c r="E103" s="682"/>
      <c r="F103" s="682"/>
      <c r="G103" s="663" t="s">
        <v>104</v>
      </c>
      <c r="H103" s="663"/>
      <c r="I103" s="663"/>
      <c r="J103" s="663"/>
      <c r="K103" s="663"/>
      <c r="L103" s="663"/>
      <c r="M103" s="477" t="s">
        <v>106</v>
      </c>
      <c r="N103" s="475">
        <v>46162</v>
      </c>
    </row>
    <row r="104" spans="2:14" ht="18" customHeight="1" x14ac:dyDescent="0.25">
      <c r="B104" s="663"/>
      <c r="C104" s="673">
        <v>26010601</v>
      </c>
      <c r="D104" s="673"/>
      <c r="E104" s="681"/>
      <c r="F104" s="681"/>
      <c r="G104" s="665" t="s">
        <v>104</v>
      </c>
      <c r="H104" s="665"/>
      <c r="I104" s="665"/>
      <c r="J104" s="665"/>
      <c r="K104" s="663"/>
      <c r="L104" s="663"/>
      <c r="M104" s="474" t="s">
        <v>106</v>
      </c>
      <c r="N104" s="475">
        <v>46163</v>
      </c>
    </row>
    <row r="105" spans="2:14" ht="18" customHeight="1" x14ac:dyDescent="0.25">
      <c r="B105" s="663"/>
      <c r="C105" s="663">
        <v>26010602</v>
      </c>
      <c r="D105" s="663"/>
      <c r="E105" s="663"/>
      <c r="F105" s="663"/>
      <c r="G105" s="663" t="s">
        <v>104</v>
      </c>
      <c r="H105" s="663"/>
      <c r="I105" s="663"/>
      <c r="J105" s="663"/>
      <c r="K105" s="663"/>
      <c r="L105" s="663"/>
      <c r="M105" s="477" t="s">
        <v>106</v>
      </c>
      <c r="N105" s="475">
        <v>46163</v>
      </c>
    </row>
    <row r="106" spans="2:14" ht="18" customHeight="1" x14ac:dyDescent="0.25">
      <c r="B106" s="663"/>
      <c r="C106" s="673">
        <v>26010603</v>
      </c>
      <c r="D106" s="673"/>
      <c r="E106" s="665"/>
      <c r="F106" s="665"/>
      <c r="G106" s="665" t="s">
        <v>104</v>
      </c>
      <c r="H106" s="665"/>
      <c r="I106" s="665"/>
      <c r="J106" s="665"/>
      <c r="K106" s="663"/>
      <c r="L106" s="663"/>
      <c r="M106" s="474" t="s">
        <v>106</v>
      </c>
      <c r="N106" s="475">
        <v>46163</v>
      </c>
    </row>
    <row r="107" spans="2:14" ht="17.25" customHeight="1" x14ac:dyDescent="0.25">
      <c r="B107" s="663"/>
      <c r="C107" s="663">
        <v>26010604</v>
      </c>
      <c r="D107" s="663"/>
      <c r="E107" s="663"/>
      <c r="F107" s="663"/>
      <c r="G107" s="663" t="s">
        <v>104</v>
      </c>
      <c r="H107" s="663"/>
      <c r="I107" s="663"/>
      <c r="J107" s="663"/>
      <c r="K107" s="663"/>
      <c r="L107" s="663"/>
      <c r="M107" s="477" t="s">
        <v>106</v>
      </c>
      <c r="N107" s="475">
        <v>46163</v>
      </c>
    </row>
    <row r="108" spans="2:14" ht="17.25" customHeight="1" x14ac:dyDescent="0.25">
      <c r="B108" s="663"/>
      <c r="C108" s="673">
        <v>26010605</v>
      </c>
      <c r="D108" s="673"/>
      <c r="E108" s="665"/>
      <c r="F108" s="665"/>
      <c r="G108" s="665" t="s">
        <v>104</v>
      </c>
      <c r="H108" s="665"/>
      <c r="I108" s="665"/>
      <c r="J108" s="665"/>
      <c r="K108" s="663"/>
      <c r="L108" s="663"/>
      <c r="M108" s="474" t="s">
        <v>106</v>
      </c>
      <c r="N108" s="475">
        <v>46163</v>
      </c>
    </row>
    <row r="109" spans="2:14" ht="18" customHeight="1" x14ac:dyDescent="0.25">
      <c r="B109" s="663"/>
      <c r="C109" s="663">
        <v>26010606</v>
      </c>
      <c r="D109" s="663"/>
      <c r="E109" s="663"/>
      <c r="F109" s="663"/>
      <c r="G109" s="663" t="s">
        <v>104</v>
      </c>
      <c r="H109" s="663"/>
      <c r="I109" s="663"/>
      <c r="J109" s="663"/>
      <c r="K109" s="663"/>
      <c r="L109" s="663"/>
      <c r="M109" s="477" t="s">
        <v>106</v>
      </c>
      <c r="N109" s="475">
        <v>46163</v>
      </c>
    </row>
    <row r="110" spans="2:14" ht="18" customHeight="1" x14ac:dyDescent="0.25">
      <c r="B110" s="663"/>
      <c r="C110" s="673">
        <v>26010607</v>
      </c>
      <c r="D110" s="673"/>
      <c r="E110" s="673"/>
      <c r="F110" s="673"/>
      <c r="G110" s="673" t="s">
        <v>104</v>
      </c>
      <c r="H110" s="673"/>
      <c r="I110" s="673"/>
      <c r="J110" s="673"/>
      <c r="K110" s="663"/>
      <c r="L110" s="663"/>
      <c r="M110" s="484" t="s">
        <v>106</v>
      </c>
      <c r="N110" s="475">
        <v>46163</v>
      </c>
    </row>
    <row r="111" spans="2:14" ht="18" customHeight="1" x14ac:dyDescent="0.25">
      <c r="B111" s="663"/>
      <c r="C111" s="663">
        <v>26010608</v>
      </c>
      <c r="D111" s="663"/>
      <c r="E111" s="663"/>
      <c r="F111" s="663"/>
      <c r="G111" s="663" t="s">
        <v>104</v>
      </c>
      <c r="H111" s="663"/>
      <c r="I111" s="663"/>
      <c r="J111" s="663"/>
      <c r="K111" s="663"/>
      <c r="L111" s="663"/>
      <c r="M111" s="477" t="s">
        <v>106</v>
      </c>
      <c r="N111" s="475">
        <v>46163</v>
      </c>
    </row>
    <row r="112" spans="2:14" ht="18" customHeight="1" x14ac:dyDescent="0.25">
      <c r="B112" s="663"/>
      <c r="C112" s="673">
        <v>26010609</v>
      </c>
      <c r="D112" s="673"/>
      <c r="E112" s="681"/>
      <c r="F112" s="681"/>
      <c r="G112" s="665" t="s">
        <v>104</v>
      </c>
      <c r="H112" s="665"/>
      <c r="I112" s="665"/>
      <c r="J112" s="665"/>
      <c r="K112" s="663"/>
      <c r="L112" s="663"/>
      <c r="M112" s="474" t="s">
        <v>106</v>
      </c>
      <c r="N112" s="475">
        <v>46164</v>
      </c>
    </row>
    <row r="113" spans="2:14" ht="18" customHeight="1" x14ac:dyDescent="0.25">
      <c r="B113" s="663"/>
      <c r="C113" s="663">
        <v>26010610</v>
      </c>
      <c r="D113" s="663"/>
      <c r="E113" s="663"/>
      <c r="F113" s="663"/>
      <c r="G113" s="663" t="s">
        <v>104</v>
      </c>
      <c r="H113" s="663"/>
      <c r="I113" s="663"/>
      <c r="J113" s="663"/>
      <c r="K113" s="663"/>
      <c r="L113" s="663"/>
      <c r="M113" s="477" t="s">
        <v>106</v>
      </c>
      <c r="N113" s="475">
        <v>46164</v>
      </c>
    </row>
    <row r="114" spans="2:14" ht="18" customHeight="1" x14ac:dyDescent="0.25">
      <c r="B114" s="663"/>
      <c r="C114" s="673">
        <v>26010611</v>
      </c>
      <c r="D114" s="673"/>
      <c r="E114" s="665"/>
      <c r="F114" s="665"/>
      <c r="G114" s="665" t="s">
        <v>104</v>
      </c>
      <c r="H114" s="665"/>
      <c r="I114" s="665"/>
      <c r="J114" s="665"/>
      <c r="K114" s="663"/>
      <c r="L114" s="663"/>
      <c r="M114" s="474" t="s">
        <v>106</v>
      </c>
      <c r="N114" s="475">
        <v>46164</v>
      </c>
    </row>
    <row r="115" spans="2:14" ht="18" customHeight="1" x14ac:dyDescent="0.25">
      <c r="B115" s="663"/>
      <c r="C115" s="663">
        <v>26010612</v>
      </c>
      <c r="D115" s="663"/>
      <c r="E115" s="663"/>
      <c r="F115" s="663"/>
      <c r="G115" s="663" t="s">
        <v>104</v>
      </c>
      <c r="H115" s="663"/>
      <c r="I115" s="663"/>
      <c r="J115" s="663"/>
      <c r="K115" s="663"/>
      <c r="L115" s="663"/>
      <c r="M115" s="477" t="s">
        <v>106</v>
      </c>
      <c r="N115" s="475">
        <v>46164</v>
      </c>
    </row>
    <row r="116" spans="2:14" ht="18" customHeight="1" x14ac:dyDescent="0.25">
      <c r="B116" s="663"/>
      <c r="C116" s="673">
        <v>26010613</v>
      </c>
      <c r="D116" s="673"/>
      <c r="E116" s="665"/>
      <c r="F116" s="665"/>
      <c r="G116" s="665" t="s">
        <v>104</v>
      </c>
      <c r="H116" s="665"/>
      <c r="I116" s="665"/>
      <c r="J116" s="665"/>
      <c r="K116" s="663"/>
      <c r="L116" s="663"/>
      <c r="M116" s="474" t="s">
        <v>106</v>
      </c>
      <c r="N116" s="475">
        <v>46165</v>
      </c>
    </row>
    <row r="117" spans="2:14" ht="18" customHeight="1" x14ac:dyDescent="0.25">
      <c r="B117" s="663"/>
      <c r="C117" s="663">
        <v>26010614</v>
      </c>
      <c r="D117" s="663"/>
      <c r="E117" s="663"/>
      <c r="F117" s="663"/>
      <c r="G117" s="663" t="s">
        <v>104</v>
      </c>
      <c r="H117" s="663"/>
      <c r="I117" s="663"/>
      <c r="J117" s="663"/>
      <c r="K117" s="663"/>
      <c r="L117" s="663"/>
      <c r="M117" s="477" t="s">
        <v>106</v>
      </c>
      <c r="N117" s="475">
        <v>46165</v>
      </c>
    </row>
    <row r="118" spans="2:14" ht="18" customHeight="1" x14ac:dyDescent="0.25">
      <c r="B118" s="663"/>
      <c r="C118" s="673">
        <v>26010615</v>
      </c>
      <c r="D118" s="673"/>
      <c r="E118" s="665"/>
      <c r="F118" s="665"/>
      <c r="G118" s="665" t="s">
        <v>104</v>
      </c>
      <c r="H118" s="665"/>
      <c r="I118" s="665"/>
      <c r="J118" s="665"/>
      <c r="K118" s="663"/>
      <c r="L118" s="663"/>
      <c r="M118" s="474" t="s">
        <v>106</v>
      </c>
      <c r="N118" s="475">
        <v>46165</v>
      </c>
    </row>
    <row r="119" spans="2:14" ht="18" customHeight="1" x14ac:dyDescent="0.25">
      <c r="B119" s="663"/>
      <c r="C119" s="663">
        <v>26010616</v>
      </c>
      <c r="D119" s="663"/>
      <c r="E119" s="644"/>
      <c r="F119" s="644"/>
      <c r="G119" s="663" t="s">
        <v>104</v>
      </c>
      <c r="H119" s="663"/>
      <c r="I119" s="663"/>
      <c r="J119" s="663"/>
      <c r="K119" s="663"/>
      <c r="L119" s="663"/>
      <c r="M119" s="477" t="s">
        <v>106</v>
      </c>
      <c r="N119" s="475">
        <v>46165</v>
      </c>
    </row>
    <row r="120" spans="2:14" ht="18" customHeight="1" x14ac:dyDescent="0.25">
      <c r="B120" s="630" t="s">
        <v>608</v>
      </c>
      <c r="C120" s="630"/>
      <c r="D120" s="630"/>
      <c r="E120" s="630">
        <v>26030505</v>
      </c>
      <c r="F120" s="630"/>
      <c r="G120" s="630" t="s">
        <v>305</v>
      </c>
      <c r="H120" s="630"/>
      <c r="I120" s="630"/>
      <c r="J120" s="630"/>
      <c r="K120" s="630" t="s">
        <v>132</v>
      </c>
      <c r="L120" s="630"/>
      <c r="M120" s="210" t="s">
        <v>135</v>
      </c>
      <c r="N120" s="439">
        <v>46160</v>
      </c>
    </row>
    <row r="121" spans="2:14" ht="17.25" customHeight="1" x14ac:dyDescent="0.25">
      <c r="B121" s="630"/>
      <c r="C121" s="630"/>
      <c r="D121" s="630"/>
      <c r="E121" s="630">
        <v>26030506</v>
      </c>
      <c r="F121" s="630"/>
      <c r="G121" s="630" t="s">
        <v>303</v>
      </c>
      <c r="H121" s="630"/>
      <c r="I121" s="630"/>
      <c r="J121" s="630"/>
      <c r="K121" s="630"/>
      <c r="L121" s="630"/>
      <c r="M121" s="1" t="s">
        <v>135</v>
      </c>
      <c r="N121" s="439">
        <v>46160</v>
      </c>
    </row>
    <row r="122" spans="2:14" ht="17.25" customHeight="1" x14ac:dyDescent="0.25">
      <c r="B122" s="630"/>
      <c r="C122" s="630"/>
      <c r="D122" s="630"/>
      <c r="E122" s="630">
        <v>26030507</v>
      </c>
      <c r="F122" s="630"/>
      <c r="G122" s="630" t="s">
        <v>126</v>
      </c>
      <c r="H122" s="630"/>
      <c r="I122" s="630"/>
      <c r="J122" s="630"/>
      <c r="K122" s="630"/>
      <c r="L122" s="630"/>
      <c r="M122" s="210" t="s">
        <v>135</v>
      </c>
      <c r="N122" s="439">
        <v>46160</v>
      </c>
    </row>
    <row r="123" spans="2:14" ht="18" customHeight="1" x14ac:dyDescent="0.25">
      <c r="B123" s="1" t="s">
        <v>609</v>
      </c>
      <c r="C123" s="630">
        <v>26040617</v>
      </c>
      <c r="D123" s="630"/>
      <c r="E123" s="630"/>
      <c r="F123" s="630"/>
      <c r="G123" s="630" t="s">
        <v>294</v>
      </c>
      <c r="H123" s="630"/>
      <c r="I123" s="630"/>
      <c r="J123" s="630"/>
      <c r="K123" s="630" t="s">
        <v>354</v>
      </c>
      <c r="L123" s="630"/>
      <c r="M123" s="210" t="s">
        <v>165</v>
      </c>
      <c r="N123" s="439">
        <v>46160</v>
      </c>
    </row>
    <row r="124" spans="2:14" ht="18" customHeight="1" x14ac:dyDescent="0.25">
      <c r="B124" s="1" t="s">
        <v>610</v>
      </c>
      <c r="C124" s="630">
        <v>26010618</v>
      </c>
      <c r="D124" s="630"/>
      <c r="E124" s="630"/>
      <c r="F124" s="630"/>
      <c r="G124" s="630" t="s">
        <v>611</v>
      </c>
      <c r="H124" s="630"/>
      <c r="I124" s="630"/>
      <c r="J124" s="630"/>
      <c r="K124" s="630" t="s">
        <v>489</v>
      </c>
      <c r="L124" s="630"/>
      <c r="M124" s="1" t="s">
        <v>135</v>
      </c>
      <c r="N124" s="439">
        <v>46161</v>
      </c>
    </row>
    <row r="125" spans="2:14" ht="18" customHeight="1" x14ac:dyDescent="0.25">
      <c r="B125" s="476" t="s">
        <v>612</v>
      </c>
      <c r="C125" s="663">
        <v>26010619</v>
      </c>
      <c r="D125" s="663"/>
      <c r="E125" s="663"/>
      <c r="F125" s="663"/>
      <c r="G125" s="663" t="s">
        <v>181</v>
      </c>
      <c r="H125" s="663"/>
      <c r="I125" s="663"/>
      <c r="J125" s="663"/>
      <c r="K125" s="663" t="s">
        <v>182</v>
      </c>
      <c r="L125" s="663"/>
      <c r="M125" s="477" t="s">
        <v>165</v>
      </c>
      <c r="N125" s="475">
        <v>46162</v>
      </c>
    </row>
    <row r="126" spans="2:14" ht="18" customHeight="1" x14ac:dyDescent="0.25">
      <c r="B126" s="476" t="s">
        <v>613</v>
      </c>
      <c r="C126" s="663">
        <v>26010620</v>
      </c>
      <c r="D126" s="663"/>
      <c r="E126" s="665"/>
      <c r="F126" s="665"/>
      <c r="G126" s="665" t="s">
        <v>376</v>
      </c>
      <c r="H126" s="665"/>
      <c r="I126" s="665"/>
      <c r="J126" s="665"/>
      <c r="K126" s="665" t="s">
        <v>64</v>
      </c>
      <c r="L126" s="665"/>
      <c r="M126" s="474" t="s">
        <v>364</v>
      </c>
      <c r="N126" s="475">
        <v>46163</v>
      </c>
    </row>
    <row r="127" spans="2:14" ht="18" customHeight="1" x14ac:dyDescent="0.25">
      <c r="B127" s="476" t="s">
        <v>614</v>
      </c>
      <c r="C127" s="663">
        <v>26010621</v>
      </c>
      <c r="D127" s="663"/>
      <c r="E127" s="663"/>
      <c r="F127" s="663"/>
      <c r="G127" s="663" t="s">
        <v>615</v>
      </c>
      <c r="H127" s="663"/>
      <c r="I127" s="663"/>
      <c r="J127" s="663"/>
      <c r="K127" s="663" t="s">
        <v>616</v>
      </c>
      <c r="L127" s="663"/>
      <c r="M127" s="477" t="s">
        <v>617</v>
      </c>
      <c r="N127" s="475">
        <v>46165</v>
      </c>
    </row>
    <row r="128" spans="2:14" ht="18" customHeight="1" x14ac:dyDescent="0.25">
      <c r="B128" s="1" t="s">
        <v>618</v>
      </c>
      <c r="C128" s="630">
        <v>26010622</v>
      </c>
      <c r="D128" s="630"/>
      <c r="E128" s="630" t="s">
        <v>619</v>
      </c>
      <c r="F128" s="630"/>
      <c r="G128" s="630" t="s">
        <v>400</v>
      </c>
      <c r="H128" s="630"/>
      <c r="I128" s="630"/>
      <c r="J128" s="630"/>
      <c r="K128" s="630" t="s">
        <v>105</v>
      </c>
      <c r="L128" s="630"/>
      <c r="M128" s="1" t="s">
        <v>385</v>
      </c>
      <c r="N128" s="439">
        <v>46160</v>
      </c>
    </row>
    <row r="129" spans="2:14" ht="18" customHeight="1" x14ac:dyDescent="0.25">
      <c r="B129" s="476" t="s">
        <v>1309</v>
      </c>
      <c r="C129" s="663">
        <v>26010623</v>
      </c>
      <c r="D129" s="663"/>
      <c r="E129" s="663"/>
      <c r="F129" s="663"/>
      <c r="G129" s="663" t="s">
        <v>167</v>
      </c>
      <c r="H129" s="663"/>
      <c r="I129" s="663"/>
      <c r="J129" s="663"/>
      <c r="K129" s="663" t="s">
        <v>274</v>
      </c>
      <c r="L129" s="663"/>
      <c r="M129" s="477" t="s">
        <v>275</v>
      </c>
      <c r="N129" s="475">
        <v>46162</v>
      </c>
    </row>
    <row r="130" spans="2:14" ht="18" customHeight="1" x14ac:dyDescent="0.25">
      <c r="B130" s="654" t="s">
        <v>1310</v>
      </c>
      <c r="C130" s="678">
        <v>26010624</v>
      </c>
      <c r="D130" s="679"/>
      <c r="E130" s="665"/>
      <c r="F130" s="665"/>
      <c r="G130" s="665" t="s">
        <v>115</v>
      </c>
      <c r="H130" s="665"/>
      <c r="I130" s="665"/>
      <c r="J130" s="665"/>
      <c r="K130" s="657" t="s">
        <v>56</v>
      </c>
      <c r="L130" s="658"/>
      <c r="M130" s="474" t="s">
        <v>397</v>
      </c>
      <c r="N130" s="475">
        <v>46162</v>
      </c>
    </row>
    <row r="131" spans="2:14" ht="18" customHeight="1" x14ac:dyDescent="0.25">
      <c r="B131" s="655"/>
      <c r="C131" s="674">
        <v>26010625</v>
      </c>
      <c r="D131" s="675"/>
      <c r="E131" s="644"/>
      <c r="F131" s="644"/>
      <c r="G131" s="674" t="s">
        <v>115</v>
      </c>
      <c r="H131" s="676"/>
      <c r="I131" s="676"/>
      <c r="J131" s="675"/>
      <c r="K131" s="659"/>
      <c r="L131" s="660"/>
      <c r="M131" s="477" t="s">
        <v>589</v>
      </c>
      <c r="N131" s="475">
        <v>46163</v>
      </c>
    </row>
    <row r="132" spans="2:14" ht="18" customHeight="1" x14ac:dyDescent="0.25">
      <c r="B132" s="655"/>
      <c r="C132" s="678">
        <v>26010626</v>
      </c>
      <c r="D132" s="679"/>
      <c r="E132" s="672"/>
      <c r="F132" s="671"/>
      <c r="G132" s="678" t="s">
        <v>115</v>
      </c>
      <c r="H132" s="680"/>
      <c r="I132" s="680"/>
      <c r="J132" s="679"/>
      <c r="K132" s="659"/>
      <c r="L132" s="660"/>
      <c r="M132" s="474" t="s">
        <v>1319</v>
      </c>
      <c r="N132" s="475">
        <v>46164</v>
      </c>
    </row>
    <row r="133" spans="2:14" ht="18" customHeight="1" x14ac:dyDescent="0.25">
      <c r="B133" s="656"/>
      <c r="C133" s="674">
        <v>26010627</v>
      </c>
      <c r="D133" s="675"/>
      <c r="E133" s="644"/>
      <c r="F133" s="644"/>
      <c r="G133" s="674" t="s">
        <v>115</v>
      </c>
      <c r="H133" s="676"/>
      <c r="I133" s="676"/>
      <c r="J133" s="675"/>
      <c r="K133" s="661"/>
      <c r="L133" s="662"/>
      <c r="M133" s="477" t="s">
        <v>589</v>
      </c>
      <c r="N133" s="475">
        <v>46167</v>
      </c>
    </row>
    <row r="134" spans="2:14" ht="18" customHeight="1" x14ac:dyDescent="0.25">
      <c r="B134" s="643" t="s">
        <v>1315</v>
      </c>
      <c r="C134" s="664">
        <v>26010628</v>
      </c>
      <c r="D134" s="664"/>
      <c r="E134" s="677"/>
      <c r="F134" s="664"/>
      <c r="G134" s="664" t="s">
        <v>104</v>
      </c>
      <c r="H134" s="664"/>
      <c r="I134" s="664"/>
      <c r="J134" s="664"/>
      <c r="K134" s="643" t="s">
        <v>105</v>
      </c>
      <c r="L134" s="643"/>
      <c r="M134" s="497" t="s">
        <v>106</v>
      </c>
      <c r="N134" s="475">
        <v>46165</v>
      </c>
    </row>
    <row r="135" spans="2:14" ht="17.25" customHeight="1" x14ac:dyDescent="0.25">
      <c r="B135" s="643"/>
      <c r="C135" s="643">
        <v>26010629</v>
      </c>
      <c r="D135" s="643"/>
      <c r="E135" s="663"/>
      <c r="F135" s="663"/>
      <c r="G135" s="643" t="s">
        <v>104</v>
      </c>
      <c r="H135" s="643"/>
      <c r="I135" s="643"/>
      <c r="J135" s="643"/>
      <c r="K135" s="643"/>
      <c r="L135" s="643"/>
      <c r="M135" s="486" t="s">
        <v>106</v>
      </c>
      <c r="N135" s="475">
        <v>46168</v>
      </c>
    </row>
    <row r="136" spans="2:14" ht="17.25" customHeight="1" x14ac:dyDescent="0.25">
      <c r="B136" s="643"/>
      <c r="C136" s="664">
        <v>26010630</v>
      </c>
      <c r="D136" s="664"/>
      <c r="E136" s="665"/>
      <c r="F136" s="665"/>
      <c r="G136" s="664" t="s">
        <v>104</v>
      </c>
      <c r="H136" s="664"/>
      <c r="I136" s="664"/>
      <c r="J136" s="664"/>
      <c r="K136" s="643"/>
      <c r="L136" s="643"/>
      <c r="M136" s="497" t="s">
        <v>106</v>
      </c>
      <c r="N136" s="475">
        <v>46168</v>
      </c>
    </row>
    <row r="137" spans="2:14" ht="18" customHeight="1" x14ac:dyDescent="0.25">
      <c r="B137" s="643"/>
      <c r="C137" s="643">
        <v>26010631</v>
      </c>
      <c r="D137" s="643"/>
      <c r="E137" s="663"/>
      <c r="F137" s="663"/>
      <c r="G137" s="643" t="s">
        <v>104</v>
      </c>
      <c r="H137" s="643"/>
      <c r="I137" s="643"/>
      <c r="J137" s="643"/>
      <c r="K137" s="643"/>
      <c r="L137" s="643"/>
      <c r="M137" s="486" t="s">
        <v>106</v>
      </c>
      <c r="N137" s="475">
        <v>46168</v>
      </c>
    </row>
    <row r="138" spans="2:14" ht="18" customHeight="1" x14ac:dyDescent="0.25">
      <c r="B138" s="643"/>
      <c r="C138" s="666">
        <v>26010632</v>
      </c>
      <c r="D138" s="666"/>
      <c r="E138" s="673"/>
      <c r="F138" s="673"/>
      <c r="G138" s="664" t="s">
        <v>104</v>
      </c>
      <c r="H138" s="664"/>
      <c r="I138" s="664"/>
      <c r="J138" s="664"/>
      <c r="K138" s="643"/>
      <c r="L138" s="643"/>
      <c r="M138" s="497" t="s">
        <v>106</v>
      </c>
      <c r="N138" s="475">
        <v>46167</v>
      </c>
    </row>
    <row r="139" spans="2:14" ht="18" customHeight="1" x14ac:dyDescent="0.25">
      <c r="B139" s="643"/>
      <c r="C139" s="643">
        <v>26010633</v>
      </c>
      <c r="D139" s="643"/>
      <c r="E139" s="663"/>
      <c r="F139" s="663"/>
      <c r="G139" s="643" t="s">
        <v>104</v>
      </c>
      <c r="H139" s="643"/>
      <c r="I139" s="643"/>
      <c r="J139" s="643"/>
      <c r="K139" s="643"/>
      <c r="L139" s="643"/>
      <c r="M139" s="486" t="s">
        <v>106</v>
      </c>
      <c r="N139" s="475">
        <v>46167</v>
      </c>
    </row>
    <row r="140" spans="2:14" ht="18" customHeight="1" x14ac:dyDescent="0.25">
      <c r="B140" s="643"/>
      <c r="C140" s="664">
        <v>26010634</v>
      </c>
      <c r="D140" s="664"/>
      <c r="E140" s="665"/>
      <c r="F140" s="665"/>
      <c r="G140" s="664" t="s">
        <v>104</v>
      </c>
      <c r="H140" s="664"/>
      <c r="I140" s="664"/>
      <c r="J140" s="664"/>
      <c r="K140" s="643"/>
      <c r="L140" s="643"/>
      <c r="M140" s="474" t="s">
        <v>106</v>
      </c>
      <c r="N140" s="475">
        <v>46167</v>
      </c>
    </row>
    <row r="141" spans="2:14" ht="18" customHeight="1" x14ac:dyDescent="0.25">
      <c r="B141" s="643"/>
      <c r="C141" s="643">
        <v>26010635</v>
      </c>
      <c r="D141" s="643"/>
      <c r="E141" s="663"/>
      <c r="F141" s="663"/>
      <c r="G141" s="643" t="s">
        <v>104</v>
      </c>
      <c r="H141" s="643"/>
      <c r="I141" s="643"/>
      <c r="J141" s="643"/>
      <c r="K141" s="643"/>
      <c r="L141" s="643"/>
      <c r="M141" s="477" t="s">
        <v>106</v>
      </c>
      <c r="N141" s="475">
        <v>46167</v>
      </c>
    </row>
    <row r="142" spans="2:14" ht="18" customHeight="1" x14ac:dyDescent="0.25">
      <c r="B142" s="643"/>
      <c r="C142" s="664">
        <v>26010636</v>
      </c>
      <c r="D142" s="664"/>
      <c r="E142" s="672"/>
      <c r="F142" s="671"/>
      <c r="G142" s="664" t="s">
        <v>104</v>
      </c>
      <c r="H142" s="664"/>
      <c r="I142" s="664"/>
      <c r="J142" s="664"/>
      <c r="K142" s="643"/>
      <c r="L142" s="643"/>
      <c r="M142" s="474" t="s">
        <v>106</v>
      </c>
      <c r="N142" s="475">
        <v>46167</v>
      </c>
    </row>
    <row r="143" spans="2:14" ht="18" customHeight="1" x14ac:dyDescent="0.25">
      <c r="B143" s="643"/>
      <c r="C143" s="643">
        <v>26010637</v>
      </c>
      <c r="D143" s="643"/>
      <c r="E143" s="663"/>
      <c r="F143" s="663"/>
      <c r="G143" s="643" t="s">
        <v>147</v>
      </c>
      <c r="H143" s="643"/>
      <c r="I143" s="643"/>
      <c r="J143" s="643"/>
      <c r="K143" s="643"/>
      <c r="L143" s="643"/>
      <c r="M143" s="477" t="s">
        <v>106</v>
      </c>
      <c r="N143" s="475">
        <v>46167</v>
      </c>
    </row>
    <row r="144" spans="2:14" ht="18" customHeight="1" x14ac:dyDescent="0.25">
      <c r="B144" s="643"/>
      <c r="C144" s="664">
        <v>26010638</v>
      </c>
      <c r="D144" s="664"/>
      <c r="E144" s="665"/>
      <c r="F144" s="665"/>
      <c r="G144" s="664" t="s">
        <v>147</v>
      </c>
      <c r="H144" s="664"/>
      <c r="I144" s="664"/>
      <c r="J144" s="664"/>
      <c r="K144" s="643"/>
      <c r="L144" s="643"/>
      <c r="M144" s="474" t="s">
        <v>106</v>
      </c>
      <c r="N144" s="475">
        <v>46167</v>
      </c>
    </row>
    <row r="145" spans="2:14" ht="18" customHeight="1" x14ac:dyDescent="0.25">
      <c r="B145" s="643"/>
      <c r="C145" s="643">
        <v>26010639</v>
      </c>
      <c r="D145" s="643"/>
      <c r="E145" s="663"/>
      <c r="F145" s="663"/>
      <c r="G145" s="643" t="s">
        <v>147</v>
      </c>
      <c r="H145" s="643"/>
      <c r="I145" s="643"/>
      <c r="J145" s="643"/>
      <c r="K145" s="643"/>
      <c r="L145" s="643"/>
      <c r="M145" s="477" t="s">
        <v>106</v>
      </c>
      <c r="N145" s="475">
        <v>46167</v>
      </c>
    </row>
    <row r="146" spans="2:14" ht="18" customHeight="1" x14ac:dyDescent="0.25">
      <c r="B146" s="643"/>
      <c r="C146" s="664">
        <v>26010640</v>
      </c>
      <c r="D146" s="664"/>
      <c r="E146" s="665"/>
      <c r="F146" s="665"/>
      <c r="G146" s="664" t="s">
        <v>147</v>
      </c>
      <c r="H146" s="664"/>
      <c r="I146" s="664"/>
      <c r="J146" s="664"/>
      <c r="K146" s="643"/>
      <c r="L146" s="643"/>
      <c r="M146" s="474" t="s">
        <v>106</v>
      </c>
      <c r="N146" s="475">
        <v>46168</v>
      </c>
    </row>
    <row r="147" spans="2:14" ht="18" customHeight="1" x14ac:dyDescent="0.25">
      <c r="B147" s="643"/>
      <c r="C147" s="643">
        <v>26010641</v>
      </c>
      <c r="D147" s="643"/>
      <c r="E147" s="663"/>
      <c r="F147" s="663"/>
      <c r="G147" s="643" t="s">
        <v>147</v>
      </c>
      <c r="H147" s="643"/>
      <c r="I147" s="643"/>
      <c r="J147" s="643"/>
      <c r="K147" s="643"/>
      <c r="L147" s="643"/>
      <c r="M147" s="477" t="s">
        <v>106</v>
      </c>
      <c r="N147" s="475">
        <v>46168</v>
      </c>
    </row>
    <row r="148" spans="2:14" ht="17.25" customHeight="1" x14ac:dyDescent="0.25">
      <c r="B148" s="643"/>
      <c r="C148" s="664">
        <v>26010642</v>
      </c>
      <c r="D148" s="664"/>
      <c r="E148" s="665"/>
      <c r="F148" s="665"/>
      <c r="G148" s="664" t="s">
        <v>147</v>
      </c>
      <c r="H148" s="664"/>
      <c r="I148" s="664"/>
      <c r="J148" s="664"/>
      <c r="K148" s="643"/>
      <c r="L148" s="643"/>
      <c r="M148" s="474" t="s">
        <v>106</v>
      </c>
      <c r="N148" s="475">
        <v>46168</v>
      </c>
    </row>
    <row r="149" spans="2:14" ht="18" customHeight="1" x14ac:dyDescent="0.25">
      <c r="B149" s="643"/>
      <c r="C149" s="643">
        <v>26010643</v>
      </c>
      <c r="D149" s="643"/>
      <c r="E149" s="644"/>
      <c r="F149" s="644"/>
      <c r="G149" s="643" t="s">
        <v>147</v>
      </c>
      <c r="H149" s="643"/>
      <c r="I149" s="643"/>
      <c r="J149" s="643"/>
      <c r="K149" s="643"/>
      <c r="L149" s="643"/>
      <c r="M149" s="477" t="s">
        <v>106</v>
      </c>
      <c r="N149" s="475">
        <v>46168</v>
      </c>
    </row>
    <row r="150" spans="2:14" ht="18" customHeight="1" x14ac:dyDescent="0.25">
      <c r="B150" s="643"/>
      <c r="C150" s="666">
        <v>26010644</v>
      </c>
      <c r="D150" s="666"/>
      <c r="E150" s="667"/>
      <c r="F150" s="668"/>
      <c r="G150" s="669" t="s">
        <v>104</v>
      </c>
      <c r="H150" s="670"/>
      <c r="I150" s="670"/>
      <c r="J150" s="671"/>
      <c r="K150" s="643"/>
      <c r="L150" s="643"/>
      <c r="M150" s="497" t="s">
        <v>106</v>
      </c>
      <c r="N150" s="475">
        <v>46169</v>
      </c>
    </row>
    <row r="151" spans="2:14" ht="18" customHeight="1" x14ac:dyDescent="0.25">
      <c r="B151" s="643"/>
      <c r="C151" s="643">
        <v>26010645</v>
      </c>
      <c r="D151" s="643"/>
      <c r="E151" s="663"/>
      <c r="F151" s="663"/>
      <c r="G151" s="643" t="s">
        <v>104</v>
      </c>
      <c r="H151" s="643"/>
      <c r="I151" s="643"/>
      <c r="J151" s="643"/>
      <c r="K151" s="643"/>
      <c r="L151" s="643"/>
      <c r="M151" s="477" t="s">
        <v>106</v>
      </c>
      <c r="N151" s="475">
        <v>46169</v>
      </c>
    </row>
    <row r="152" spans="2:14" ht="18" customHeight="1" x14ac:dyDescent="0.25">
      <c r="B152" s="643"/>
      <c r="C152" s="664">
        <v>26010646</v>
      </c>
      <c r="D152" s="664"/>
      <c r="E152" s="665"/>
      <c r="F152" s="665"/>
      <c r="G152" s="664" t="s">
        <v>104</v>
      </c>
      <c r="H152" s="664"/>
      <c r="I152" s="664"/>
      <c r="J152" s="664"/>
      <c r="K152" s="643"/>
      <c r="L152" s="643"/>
      <c r="M152" s="474" t="s">
        <v>106</v>
      </c>
      <c r="N152" s="475">
        <v>46169</v>
      </c>
    </row>
    <row r="153" spans="2:14" ht="18" customHeight="1" x14ac:dyDescent="0.25">
      <c r="B153" s="643"/>
      <c r="C153" s="643">
        <v>26010647</v>
      </c>
      <c r="D153" s="643"/>
      <c r="E153" s="663"/>
      <c r="F153" s="663"/>
      <c r="G153" s="643" t="s">
        <v>104</v>
      </c>
      <c r="H153" s="643"/>
      <c r="I153" s="643"/>
      <c r="J153" s="643"/>
      <c r="K153" s="643"/>
      <c r="L153" s="643"/>
      <c r="M153" s="477" t="s">
        <v>106</v>
      </c>
      <c r="N153" s="475">
        <v>46170</v>
      </c>
    </row>
    <row r="154" spans="2:14" ht="18" customHeight="1" x14ac:dyDescent="0.25">
      <c r="B154" s="643"/>
      <c r="C154" s="664">
        <v>26010648</v>
      </c>
      <c r="D154" s="664"/>
      <c r="E154" s="665"/>
      <c r="F154" s="665"/>
      <c r="G154" s="664" t="s">
        <v>104</v>
      </c>
      <c r="H154" s="664"/>
      <c r="I154" s="664"/>
      <c r="J154" s="664"/>
      <c r="K154" s="643"/>
      <c r="L154" s="643"/>
      <c r="M154" s="474" t="s">
        <v>106</v>
      </c>
      <c r="N154" s="475">
        <v>46170</v>
      </c>
    </row>
    <row r="155" spans="2:14" ht="18" customHeight="1" x14ac:dyDescent="0.25">
      <c r="B155" s="643"/>
      <c r="C155" s="643">
        <v>26010649</v>
      </c>
      <c r="D155" s="643"/>
      <c r="E155" s="663"/>
      <c r="F155" s="663"/>
      <c r="G155" s="643" t="s">
        <v>104</v>
      </c>
      <c r="H155" s="643"/>
      <c r="I155" s="643"/>
      <c r="J155" s="643"/>
      <c r="K155" s="643"/>
      <c r="L155" s="643"/>
      <c r="M155" s="477" t="s">
        <v>106</v>
      </c>
      <c r="N155" s="475">
        <v>46171</v>
      </c>
    </row>
    <row r="156" spans="2:14" ht="18" customHeight="1" x14ac:dyDescent="0.25">
      <c r="B156" s="643"/>
      <c r="C156" s="664">
        <v>26010650</v>
      </c>
      <c r="D156" s="664"/>
      <c r="E156" s="665"/>
      <c r="F156" s="665"/>
      <c r="G156" s="664" t="s">
        <v>104</v>
      </c>
      <c r="H156" s="664"/>
      <c r="I156" s="664"/>
      <c r="J156" s="664"/>
      <c r="K156" s="643"/>
      <c r="L156" s="643"/>
      <c r="M156" s="474" t="s">
        <v>106</v>
      </c>
      <c r="N156" s="475">
        <v>46171</v>
      </c>
    </row>
    <row r="157" spans="2:14" ht="18" customHeight="1" x14ac:dyDescent="0.25">
      <c r="B157" s="643"/>
      <c r="C157" s="643">
        <v>26010651</v>
      </c>
      <c r="D157" s="643"/>
      <c r="E157" s="663"/>
      <c r="F157" s="663"/>
      <c r="G157" s="643" t="s">
        <v>104</v>
      </c>
      <c r="H157" s="643"/>
      <c r="I157" s="643"/>
      <c r="J157" s="643"/>
      <c r="K157" s="643"/>
      <c r="L157" s="643"/>
      <c r="M157" s="477" t="s">
        <v>106</v>
      </c>
      <c r="N157" s="475">
        <v>46171</v>
      </c>
    </row>
    <row r="158" spans="2:14" ht="18" customHeight="1" x14ac:dyDescent="0.25">
      <c r="B158" s="643"/>
      <c r="C158" s="664">
        <v>26010652</v>
      </c>
      <c r="D158" s="664"/>
      <c r="E158" s="665"/>
      <c r="F158" s="665"/>
      <c r="G158" s="664" t="s">
        <v>104</v>
      </c>
      <c r="H158" s="664"/>
      <c r="I158" s="664"/>
      <c r="J158" s="664"/>
      <c r="K158" s="643"/>
      <c r="L158" s="643"/>
      <c r="M158" s="474" t="s">
        <v>106</v>
      </c>
      <c r="N158" s="475">
        <v>46171</v>
      </c>
    </row>
    <row r="159" spans="2:14" ht="18" customHeight="1" x14ac:dyDescent="0.25">
      <c r="B159" s="651" t="s">
        <v>1322</v>
      </c>
      <c r="C159" s="640">
        <v>26010653</v>
      </c>
      <c r="D159" s="641"/>
      <c r="E159" s="643"/>
      <c r="F159" s="643"/>
      <c r="G159" s="640" t="s">
        <v>393</v>
      </c>
      <c r="H159" s="642"/>
      <c r="I159" s="642"/>
      <c r="J159" s="641"/>
      <c r="K159" s="645" t="s">
        <v>91</v>
      </c>
      <c r="L159" s="646"/>
      <c r="M159" s="486" t="s">
        <v>271</v>
      </c>
      <c r="N159" s="475">
        <v>46167</v>
      </c>
    </row>
    <row r="160" spans="2:14" ht="18" customHeight="1" x14ac:dyDescent="0.25">
      <c r="B160" s="652"/>
      <c r="C160" s="640">
        <v>26010654</v>
      </c>
      <c r="D160" s="641"/>
      <c r="E160" s="643"/>
      <c r="F160" s="643"/>
      <c r="G160" s="640" t="s">
        <v>93</v>
      </c>
      <c r="H160" s="642"/>
      <c r="I160" s="642"/>
      <c r="J160" s="641"/>
      <c r="K160" s="649"/>
      <c r="L160" s="650"/>
      <c r="M160" s="486" t="s">
        <v>487</v>
      </c>
      <c r="N160" s="488">
        <v>46168</v>
      </c>
    </row>
    <row r="161" spans="2:14" ht="18" customHeight="1" x14ac:dyDescent="0.25">
      <c r="B161" s="487" t="s">
        <v>1323</v>
      </c>
      <c r="C161" s="640">
        <v>26010655</v>
      </c>
      <c r="D161" s="641"/>
      <c r="E161" s="643"/>
      <c r="F161" s="643"/>
      <c r="G161" s="643" t="s">
        <v>438</v>
      </c>
      <c r="H161" s="643"/>
      <c r="I161" s="643"/>
      <c r="J161" s="643"/>
      <c r="K161" s="643" t="s">
        <v>101</v>
      </c>
      <c r="L161" s="643"/>
      <c r="M161" s="486" t="s">
        <v>1324</v>
      </c>
      <c r="N161" s="488">
        <v>46168</v>
      </c>
    </row>
    <row r="162" spans="2:14" ht="18" customHeight="1" x14ac:dyDescent="0.25">
      <c r="B162" s="487" t="s">
        <v>1325</v>
      </c>
      <c r="C162" s="640" t="s">
        <v>1331</v>
      </c>
      <c r="D162" s="641"/>
      <c r="E162" s="640"/>
      <c r="F162" s="641"/>
      <c r="G162" s="640" t="s">
        <v>83</v>
      </c>
      <c r="H162" s="642"/>
      <c r="I162" s="642"/>
      <c r="J162" s="641"/>
      <c r="K162" s="640" t="s">
        <v>60</v>
      </c>
      <c r="L162" s="641"/>
      <c r="M162" s="486" t="s">
        <v>84</v>
      </c>
      <c r="N162" s="488">
        <v>46169</v>
      </c>
    </row>
    <row r="163" spans="2:14" ht="18" customHeight="1" x14ac:dyDescent="0.25">
      <c r="B163" s="651" t="s">
        <v>1334</v>
      </c>
      <c r="C163" s="640">
        <v>26010657</v>
      </c>
      <c r="D163" s="641"/>
      <c r="E163" s="644"/>
      <c r="F163" s="644"/>
      <c r="G163" s="643" t="s">
        <v>104</v>
      </c>
      <c r="H163" s="643"/>
      <c r="I163" s="643"/>
      <c r="J163" s="643"/>
      <c r="K163" s="645" t="s">
        <v>105</v>
      </c>
      <c r="L163" s="646"/>
      <c r="M163" s="486" t="s">
        <v>106</v>
      </c>
      <c r="N163" s="488">
        <v>46174</v>
      </c>
    </row>
    <row r="164" spans="2:14" ht="18" customHeight="1" x14ac:dyDescent="0.25">
      <c r="B164" s="653"/>
      <c r="C164" s="640">
        <v>26010658</v>
      </c>
      <c r="D164" s="641"/>
      <c r="E164" s="640"/>
      <c r="F164" s="641"/>
      <c r="G164" s="640" t="s">
        <v>104</v>
      </c>
      <c r="H164" s="642"/>
      <c r="I164" s="642"/>
      <c r="J164" s="641"/>
      <c r="K164" s="647"/>
      <c r="L164" s="648"/>
      <c r="M164" s="486" t="s">
        <v>106</v>
      </c>
      <c r="N164" s="488">
        <v>46174</v>
      </c>
    </row>
    <row r="165" spans="2:14" ht="18" customHeight="1" x14ac:dyDescent="0.25">
      <c r="B165" s="653"/>
      <c r="C165" s="640">
        <v>26010659</v>
      </c>
      <c r="D165" s="641"/>
      <c r="E165" s="643"/>
      <c r="F165" s="643"/>
      <c r="G165" s="640" t="s">
        <v>104</v>
      </c>
      <c r="H165" s="642"/>
      <c r="I165" s="642"/>
      <c r="J165" s="641"/>
      <c r="K165" s="647"/>
      <c r="L165" s="648"/>
      <c r="M165" s="486" t="s">
        <v>106</v>
      </c>
      <c r="N165" s="488">
        <v>46174</v>
      </c>
    </row>
    <row r="166" spans="2:14" ht="18" customHeight="1" x14ac:dyDescent="0.25">
      <c r="B166" s="653"/>
      <c r="C166" s="640">
        <v>26010660</v>
      </c>
      <c r="D166" s="641"/>
      <c r="E166" s="640"/>
      <c r="F166" s="641"/>
      <c r="G166" s="640" t="s">
        <v>104</v>
      </c>
      <c r="H166" s="642"/>
      <c r="I166" s="642"/>
      <c r="J166" s="641"/>
      <c r="K166" s="647"/>
      <c r="L166" s="648"/>
      <c r="M166" s="486" t="s">
        <v>106</v>
      </c>
      <c r="N166" s="488">
        <v>46174</v>
      </c>
    </row>
    <row r="167" spans="2:14" ht="18" customHeight="1" x14ac:dyDescent="0.25">
      <c r="B167" s="653"/>
      <c r="C167" s="640">
        <v>26010661</v>
      </c>
      <c r="D167" s="641"/>
      <c r="E167" s="643"/>
      <c r="F167" s="643"/>
      <c r="G167" s="640" t="s">
        <v>104</v>
      </c>
      <c r="H167" s="642"/>
      <c r="I167" s="642"/>
      <c r="J167" s="641"/>
      <c r="K167" s="647"/>
      <c r="L167" s="648"/>
      <c r="M167" s="486" t="s">
        <v>106</v>
      </c>
      <c r="N167" s="488">
        <v>46174</v>
      </c>
    </row>
    <row r="168" spans="2:14" ht="18" customHeight="1" x14ac:dyDescent="0.25">
      <c r="B168" s="653"/>
      <c r="C168" s="640">
        <v>26010662</v>
      </c>
      <c r="D168" s="641"/>
      <c r="E168" s="640"/>
      <c r="F168" s="641"/>
      <c r="G168" s="640" t="s">
        <v>104</v>
      </c>
      <c r="H168" s="642"/>
      <c r="I168" s="642"/>
      <c r="J168" s="641"/>
      <c r="K168" s="647"/>
      <c r="L168" s="648"/>
      <c r="M168" s="486" t="s">
        <v>106</v>
      </c>
      <c r="N168" s="488">
        <v>46175</v>
      </c>
    </row>
    <row r="169" spans="2:14" ht="18" customHeight="1" x14ac:dyDescent="0.25">
      <c r="B169" s="653"/>
      <c r="C169" s="640">
        <v>26010663</v>
      </c>
      <c r="D169" s="641"/>
      <c r="E169" s="644"/>
      <c r="F169" s="644"/>
      <c r="G169" s="640" t="s">
        <v>104</v>
      </c>
      <c r="H169" s="642"/>
      <c r="I169" s="642"/>
      <c r="J169" s="641"/>
      <c r="K169" s="647"/>
      <c r="L169" s="648"/>
      <c r="M169" s="486" t="s">
        <v>106</v>
      </c>
      <c r="N169" s="488">
        <v>46175</v>
      </c>
    </row>
    <row r="170" spans="2:14" ht="18" customHeight="1" x14ac:dyDescent="0.25">
      <c r="B170" s="653"/>
      <c r="C170" s="640">
        <v>26010664</v>
      </c>
      <c r="D170" s="641"/>
      <c r="E170" s="640"/>
      <c r="F170" s="641"/>
      <c r="G170" s="640" t="s">
        <v>104</v>
      </c>
      <c r="H170" s="642"/>
      <c r="I170" s="642"/>
      <c r="J170" s="641"/>
      <c r="K170" s="647"/>
      <c r="L170" s="648"/>
      <c r="M170" s="486" t="s">
        <v>106</v>
      </c>
      <c r="N170" s="488">
        <v>46175</v>
      </c>
    </row>
    <row r="171" spans="2:14" ht="18" customHeight="1" x14ac:dyDescent="0.25">
      <c r="B171" s="653"/>
      <c r="C171" s="640">
        <v>26010665</v>
      </c>
      <c r="D171" s="641"/>
      <c r="E171" s="644"/>
      <c r="F171" s="644"/>
      <c r="G171" s="640" t="s">
        <v>104</v>
      </c>
      <c r="H171" s="642"/>
      <c r="I171" s="642"/>
      <c r="J171" s="641"/>
      <c r="K171" s="647"/>
      <c r="L171" s="648"/>
      <c r="M171" s="486" t="s">
        <v>106</v>
      </c>
      <c r="N171" s="488">
        <v>46175</v>
      </c>
    </row>
    <row r="172" spans="2:14" ht="18" customHeight="1" x14ac:dyDescent="0.25">
      <c r="B172" s="653"/>
      <c r="C172" s="640">
        <v>26010666</v>
      </c>
      <c r="D172" s="641"/>
      <c r="E172" s="640"/>
      <c r="F172" s="641"/>
      <c r="G172" s="640" t="s">
        <v>104</v>
      </c>
      <c r="H172" s="642"/>
      <c r="I172" s="642"/>
      <c r="J172" s="641"/>
      <c r="K172" s="647"/>
      <c r="L172" s="648"/>
      <c r="M172" s="486" t="s">
        <v>106</v>
      </c>
      <c r="N172" s="488">
        <v>46175</v>
      </c>
    </row>
    <row r="173" spans="2:14" ht="18" customHeight="1" x14ac:dyDescent="0.25">
      <c r="B173" s="653"/>
      <c r="C173" s="640">
        <v>26010667</v>
      </c>
      <c r="D173" s="641"/>
      <c r="E173" s="643"/>
      <c r="F173" s="643"/>
      <c r="G173" s="640" t="s">
        <v>104</v>
      </c>
      <c r="H173" s="642"/>
      <c r="I173" s="642"/>
      <c r="J173" s="641"/>
      <c r="K173" s="647"/>
      <c r="L173" s="648"/>
      <c r="M173" s="486" t="s">
        <v>106</v>
      </c>
      <c r="N173" s="488">
        <v>46175</v>
      </c>
    </row>
    <row r="174" spans="2:14" ht="18" customHeight="1" x14ac:dyDescent="0.25">
      <c r="B174" s="653"/>
      <c r="C174" s="640">
        <v>26010668</v>
      </c>
      <c r="D174" s="641"/>
      <c r="E174" s="643"/>
      <c r="F174" s="643"/>
      <c r="G174" s="640" t="s">
        <v>104</v>
      </c>
      <c r="H174" s="642"/>
      <c r="I174" s="642"/>
      <c r="J174" s="641"/>
      <c r="K174" s="647"/>
      <c r="L174" s="648"/>
      <c r="M174" s="486" t="s">
        <v>106</v>
      </c>
      <c r="N174" s="488">
        <v>46175</v>
      </c>
    </row>
    <row r="175" spans="2:14" ht="18" customHeight="1" x14ac:dyDescent="0.25">
      <c r="B175" s="653"/>
      <c r="C175" s="640">
        <v>26010669</v>
      </c>
      <c r="D175" s="641"/>
      <c r="E175" s="643"/>
      <c r="F175" s="643"/>
      <c r="G175" s="640" t="s">
        <v>104</v>
      </c>
      <c r="H175" s="642"/>
      <c r="I175" s="642"/>
      <c r="J175" s="641"/>
      <c r="K175" s="647"/>
      <c r="L175" s="648"/>
      <c r="M175" s="486" t="s">
        <v>106</v>
      </c>
      <c r="N175" s="488">
        <v>46175</v>
      </c>
    </row>
    <row r="176" spans="2:14" ht="18" customHeight="1" x14ac:dyDescent="0.25">
      <c r="B176" s="653"/>
      <c r="C176" s="640">
        <v>26010670</v>
      </c>
      <c r="D176" s="641"/>
      <c r="E176" s="640"/>
      <c r="F176" s="641"/>
      <c r="G176" s="640" t="s">
        <v>104</v>
      </c>
      <c r="H176" s="642"/>
      <c r="I176" s="642"/>
      <c r="J176" s="641"/>
      <c r="K176" s="647"/>
      <c r="L176" s="648"/>
      <c r="M176" s="486" t="s">
        <v>106</v>
      </c>
      <c r="N176" s="475">
        <v>46176</v>
      </c>
    </row>
    <row r="177" spans="2:14" ht="18" customHeight="1" x14ac:dyDescent="0.25">
      <c r="B177" s="653"/>
      <c r="C177" s="640">
        <v>26010671</v>
      </c>
      <c r="D177" s="641"/>
      <c r="E177" s="644"/>
      <c r="F177" s="644"/>
      <c r="G177" s="640" t="s">
        <v>104</v>
      </c>
      <c r="H177" s="642"/>
      <c r="I177" s="642"/>
      <c r="J177" s="641"/>
      <c r="K177" s="647"/>
      <c r="L177" s="648"/>
      <c r="M177" s="486" t="s">
        <v>106</v>
      </c>
      <c r="N177" s="475">
        <v>46176</v>
      </c>
    </row>
    <row r="178" spans="2:14" ht="18" customHeight="1" x14ac:dyDescent="0.25">
      <c r="B178" s="653"/>
      <c r="C178" s="640">
        <v>26010672</v>
      </c>
      <c r="D178" s="641"/>
      <c r="E178" s="640"/>
      <c r="F178" s="641"/>
      <c r="G178" s="640" t="s">
        <v>104</v>
      </c>
      <c r="H178" s="642"/>
      <c r="I178" s="642"/>
      <c r="J178" s="641"/>
      <c r="K178" s="647"/>
      <c r="L178" s="648"/>
      <c r="M178" s="486" t="s">
        <v>106</v>
      </c>
      <c r="N178" s="475">
        <v>46176</v>
      </c>
    </row>
    <row r="179" spans="2:14" ht="18" customHeight="1" x14ac:dyDescent="0.25">
      <c r="B179" s="653"/>
      <c r="C179" s="640">
        <v>26010673</v>
      </c>
      <c r="D179" s="641"/>
      <c r="E179" s="643"/>
      <c r="F179" s="643"/>
      <c r="G179" s="640" t="s">
        <v>104</v>
      </c>
      <c r="H179" s="642"/>
      <c r="I179" s="642"/>
      <c r="J179" s="641"/>
      <c r="K179" s="647"/>
      <c r="L179" s="648"/>
      <c r="M179" s="486" t="s">
        <v>106</v>
      </c>
      <c r="N179" s="475">
        <v>46176</v>
      </c>
    </row>
    <row r="180" spans="2:14" ht="18" customHeight="1" x14ac:dyDescent="0.25">
      <c r="B180" s="653"/>
      <c r="C180" s="640">
        <v>26010674</v>
      </c>
      <c r="D180" s="641"/>
      <c r="E180" s="640"/>
      <c r="F180" s="641"/>
      <c r="G180" s="640" t="s">
        <v>104</v>
      </c>
      <c r="H180" s="642"/>
      <c r="I180" s="642"/>
      <c r="J180" s="641"/>
      <c r="K180" s="647"/>
      <c r="L180" s="648"/>
      <c r="M180" s="486" t="s">
        <v>106</v>
      </c>
      <c r="N180" s="475">
        <v>46176</v>
      </c>
    </row>
    <row r="181" spans="2:14" ht="18" customHeight="1" x14ac:dyDescent="0.25">
      <c r="B181" s="653"/>
      <c r="C181" s="640">
        <v>26010675</v>
      </c>
      <c r="D181" s="641"/>
      <c r="E181" s="643"/>
      <c r="F181" s="643"/>
      <c r="G181" s="640" t="s">
        <v>104</v>
      </c>
      <c r="H181" s="642"/>
      <c r="I181" s="642"/>
      <c r="J181" s="641"/>
      <c r="K181" s="647"/>
      <c r="L181" s="648"/>
      <c r="M181" s="486" t="s">
        <v>106</v>
      </c>
      <c r="N181" s="475">
        <v>46176</v>
      </c>
    </row>
    <row r="182" spans="2:14" ht="18" customHeight="1" x14ac:dyDescent="0.25">
      <c r="B182" s="653"/>
      <c r="C182" s="640">
        <v>26010676</v>
      </c>
      <c r="D182" s="641"/>
      <c r="E182" s="640"/>
      <c r="F182" s="641"/>
      <c r="G182" s="640" t="s">
        <v>104</v>
      </c>
      <c r="H182" s="642"/>
      <c r="I182" s="642"/>
      <c r="J182" s="641"/>
      <c r="K182" s="647"/>
      <c r="L182" s="648"/>
      <c r="M182" s="486" t="s">
        <v>106</v>
      </c>
      <c r="N182" s="475">
        <v>46176</v>
      </c>
    </row>
    <row r="183" spans="2:14" ht="18" customHeight="1" x14ac:dyDescent="0.25">
      <c r="B183" s="653"/>
      <c r="C183" s="640">
        <v>26010677</v>
      </c>
      <c r="D183" s="641"/>
      <c r="E183" s="643"/>
      <c r="F183" s="643"/>
      <c r="G183" s="640" t="s">
        <v>104</v>
      </c>
      <c r="H183" s="642"/>
      <c r="I183" s="642"/>
      <c r="J183" s="641"/>
      <c r="K183" s="647"/>
      <c r="L183" s="648"/>
      <c r="M183" s="486" t="s">
        <v>106</v>
      </c>
      <c r="N183" s="488">
        <v>46177</v>
      </c>
    </row>
    <row r="184" spans="2:14" ht="18" customHeight="1" x14ac:dyDescent="0.25">
      <c r="B184" s="653"/>
      <c r="C184" s="640">
        <v>26010678</v>
      </c>
      <c r="D184" s="641"/>
      <c r="E184" s="640"/>
      <c r="F184" s="641"/>
      <c r="G184" s="640" t="s">
        <v>104</v>
      </c>
      <c r="H184" s="642"/>
      <c r="I184" s="642"/>
      <c r="J184" s="641"/>
      <c r="K184" s="647"/>
      <c r="L184" s="648"/>
      <c r="M184" s="486" t="s">
        <v>106</v>
      </c>
      <c r="N184" s="488">
        <v>46177</v>
      </c>
    </row>
    <row r="185" spans="2:14" ht="18" customHeight="1" x14ac:dyDescent="0.25">
      <c r="B185" s="653"/>
      <c r="C185" s="640">
        <v>26010679</v>
      </c>
      <c r="D185" s="641"/>
      <c r="E185" s="643"/>
      <c r="F185" s="643"/>
      <c r="G185" s="640" t="s">
        <v>104</v>
      </c>
      <c r="H185" s="642"/>
      <c r="I185" s="642"/>
      <c r="J185" s="641"/>
      <c r="K185" s="647"/>
      <c r="L185" s="648"/>
      <c r="M185" s="486" t="s">
        <v>106</v>
      </c>
      <c r="N185" s="488">
        <v>46177</v>
      </c>
    </row>
    <row r="186" spans="2:14" ht="18" customHeight="1" x14ac:dyDescent="0.25">
      <c r="B186" s="653"/>
      <c r="C186" s="640">
        <v>26010680</v>
      </c>
      <c r="D186" s="641"/>
      <c r="E186" s="640"/>
      <c r="F186" s="641"/>
      <c r="G186" s="640" t="s">
        <v>104</v>
      </c>
      <c r="H186" s="642"/>
      <c r="I186" s="642"/>
      <c r="J186" s="641"/>
      <c r="K186" s="647"/>
      <c r="L186" s="648"/>
      <c r="M186" s="486" t="s">
        <v>106</v>
      </c>
      <c r="N186" s="488">
        <v>46177</v>
      </c>
    </row>
    <row r="187" spans="2:14" ht="18" customHeight="1" x14ac:dyDescent="0.25">
      <c r="B187" s="652"/>
      <c r="C187" s="640">
        <v>26010681</v>
      </c>
      <c r="D187" s="641"/>
      <c r="E187" s="644"/>
      <c r="F187" s="644"/>
      <c r="G187" s="640" t="s">
        <v>104</v>
      </c>
      <c r="H187" s="642"/>
      <c r="I187" s="642"/>
      <c r="J187" s="641"/>
      <c r="K187" s="649"/>
      <c r="L187" s="650"/>
      <c r="M187" s="486" t="s">
        <v>106</v>
      </c>
      <c r="N187" s="488">
        <v>46177</v>
      </c>
    </row>
    <row r="188" spans="2:14" ht="18" customHeight="1" x14ac:dyDescent="0.25">
      <c r="B188" s="651" t="s">
        <v>1335</v>
      </c>
      <c r="C188" s="640">
        <v>26040682</v>
      </c>
      <c r="D188" s="641"/>
      <c r="E188" s="643"/>
      <c r="F188" s="643"/>
      <c r="G188" s="643" t="s">
        <v>294</v>
      </c>
      <c r="H188" s="643"/>
      <c r="I188" s="643"/>
      <c r="J188" s="643"/>
      <c r="K188" s="645" t="s">
        <v>293</v>
      </c>
      <c r="L188" s="646"/>
      <c r="M188" s="486" t="s">
        <v>1344</v>
      </c>
      <c r="N188" s="488">
        <v>46169</v>
      </c>
    </row>
    <row r="189" spans="2:14" ht="18" customHeight="1" x14ac:dyDescent="0.25">
      <c r="B189" s="652"/>
      <c r="C189" s="640">
        <v>26040683</v>
      </c>
      <c r="D189" s="641"/>
      <c r="E189" s="643"/>
      <c r="F189" s="643"/>
      <c r="G189" s="643" t="s">
        <v>1337</v>
      </c>
      <c r="H189" s="643"/>
      <c r="I189" s="643"/>
      <c r="J189" s="643"/>
      <c r="K189" s="649"/>
      <c r="L189" s="650"/>
      <c r="M189" s="486" t="s">
        <v>1344</v>
      </c>
      <c r="N189" s="488">
        <v>46170</v>
      </c>
    </row>
    <row r="190" spans="2:14" ht="18" customHeight="1" x14ac:dyDescent="0.25">
      <c r="B190" s="487" t="s">
        <v>1336</v>
      </c>
      <c r="C190" s="640">
        <v>26040684</v>
      </c>
      <c r="D190" s="641"/>
      <c r="E190" s="640"/>
      <c r="F190" s="641"/>
      <c r="G190" s="640" t="s">
        <v>1337</v>
      </c>
      <c r="H190" s="642"/>
      <c r="I190" s="642"/>
      <c r="J190" s="641"/>
      <c r="K190" s="640" t="s">
        <v>299</v>
      </c>
      <c r="L190" s="641"/>
      <c r="M190" s="486" t="s">
        <v>1339</v>
      </c>
      <c r="N190" s="488">
        <v>46171</v>
      </c>
    </row>
    <row r="191" spans="2:14" ht="18" customHeight="1" x14ac:dyDescent="0.25">
      <c r="B191" s="487" t="s">
        <v>1360</v>
      </c>
      <c r="C191" s="640">
        <v>26010685</v>
      </c>
      <c r="D191" s="641"/>
      <c r="E191" s="643"/>
      <c r="F191" s="643"/>
      <c r="G191" s="643" t="s">
        <v>159</v>
      </c>
      <c r="H191" s="643"/>
      <c r="I191" s="643"/>
      <c r="J191" s="643"/>
      <c r="K191" s="643" t="s">
        <v>160</v>
      </c>
      <c r="L191" s="643"/>
      <c r="M191" s="486" t="s">
        <v>487</v>
      </c>
      <c r="N191" s="488">
        <v>46172</v>
      </c>
    </row>
    <row r="192" spans="2:14" ht="18" customHeight="1" x14ac:dyDescent="0.25">
      <c r="B192" s="487" t="s">
        <v>1361</v>
      </c>
      <c r="C192" s="640">
        <v>26010686</v>
      </c>
      <c r="D192" s="641"/>
      <c r="E192" s="640"/>
      <c r="F192" s="641"/>
      <c r="G192" s="640" t="s">
        <v>191</v>
      </c>
      <c r="H192" s="642"/>
      <c r="I192" s="642"/>
      <c r="J192" s="641"/>
      <c r="K192" s="640" t="s">
        <v>192</v>
      </c>
      <c r="L192" s="641"/>
      <c r="M192" s="486" t="s">
        <v>169</v>
      </c>
      <c r="N192" s="488">
        <v>46172</v>
      </c>
    </row>
    <row r="193" spans="2:14" ht="18" customHeight="1" x14ac:dyDescent="0.25">
      <c r="B193" s="478"/>
      <c r="C193" s="634"/>
      <c r="D193" s="635"/>
      <c r="E193" s="636"/>
      <c r="F193" s="636"/>
      <c r="G193" s="636"/>
      <c r="H193" s="636"/>
      <c r="I193" s="636"/>
      <c r="J193" s="636"/>
      <c r="K193" s="636"/>
      <c r="L193" s="636"/>
      <c r="M193" s="479"/>
      <c r="N193" s="480"/>
    </row>
    <row r="194" spans="2:14" ht="18" customHeight="1" x14ac:dyDescent="0.25">
      <c r="B194" s="481"/>
      <c r="C194" s="637"/>
      <c r="D194" s="638"/>
      <c r="E194" s="637"/>
      <c r="F194" s="638"/>
      <c r="G194" s="637"/>
      <c r="H194" s="639"/>
      <c r="I194" s="639"/>
      <c r="J194" s="638"/>
      <c r="K194" s="637"/>
      <c r="L194" s="638"/>
      <c r="M194" s="482"/>
      <c r="N194" s="480"/>
    </row>
    <row r="195" spans="2:14" ht="18" customHeight="1" x14ac:dyDescent="0.25">
      <c r="B195" s="478"/>
      <c r="C195" s="634"/>
      <c r="D195" s="635"/>
      <c r="E195" s="636"/>
      <c r="F195" s="636"/>
      <c r="G195" s="636"/>
      <c r="H195" s="636"/>
      <c r="I195" s="636"/>
      <c r="J195" s="636"/>
      <c r="K195" s="636"/>
      <c r="L195" s="636"/>
      <c r="M195" s="479"/>
      <c r="N195" s="480"/>
    </row>
    <row r="196" spans="2:14" ht="18" customHeight="1" x14ac:dyDescent="0.25">
      <c r="B196" s="481"/>
      <c r="C196" s="637"/>
      <c r="D196" s="638"/>
      <c r="E196" s="637"/>
      <c r="F196" s="638"/>
      <c r="G196" s="637"/>
      <c r="H196" s="639"/>
      <c r="I196" s="639"/>
      <c r="J196" s="638"/>
      <c r="K196" s="637"/>
      <c r="L196" s="638"/>
      <c r="M196" s="482"/>
      <c r="N196" s="480"/>
    </row>
    <row r="197" spans="2:14" ht="18" customHeight="1" x14ac:dyDescent="0.25">
      <c r="B197" s="478"/>
      <c r="C197" s="634"/>
      <c r="D197" s="635"/>
      <c r="E197" s="636"/>
      <c r="F197" s="636"/>
      <c r="G197" s="636"/>
      <c r="H197" s="636"/>
      <c r="I197" s="636"/>
      <c r="J197" s="636"/>
      <c r="K197" s="636"/>
      <c r="L197" s="636"/>
      <c r="M197" s="479"/>
      <c r="N197" s="480"/>
    </row>
    <row r="198" spans="2:14" ht="18" customHeight="1" x14ac:dyDescent="0.25">
      <c r="B198" s="481"/>
      <c r="C198" s="637"/>
      <c r="D198" s="638"/>
      <c r="E198" s="637"/>
      <c r="F198" s="638"/>
      <c r="G198" s="637"/>
      <c r="H198" s="639"/>
      <c r="I198" s="639"/>
      <c r="J198" s="638"/>
      <c r="K198" s="637"/>
      <c r="L198" s="638"/>
      <c r="M198" s="482"/>
      <c r="N198" s="480"/>
    </row>
    <row r="199" spans="2:14" ht="18" customHeight="1" x14ac:dyDescent="0.25">
      <c r="B199" s="478"/>
      <c r="C199" s="634"/>
      <c r="D199" s="635"/>
      <c r="E199" s="636"/>
      <c r="F199" s="636"/>
      <c r="G199" s="636"/>
      <c r="H199" s="636"/>
      <c r="I199" s="636"/>
      <c r="J199" s="636"/>
      <c r="K199" s="636"/>
      <c r="L199" s="636"/>
      <c r="M199" s="479"/>
      <c r="N199" s="480"/>
    </row>
    <row r="200" spans="2:14" ht="18" customHeight="1" x14ac:dyDescent="0.25">
      <c r="B200" s="481"/>
      <c r="C200" s="637"/>
      <c r="D200" s="638"/>
      <c r="E200" s="637"/>
      <c r="F200" s="638"/>
      <c r="G200" s="637"/>
      <c r="H200" s="639"/>
      <c r="I200" s="639"/>
      <c r="J200" s="638"/>
      <c r="K200" s="637"/>
      <c r="L200" s="638"/>
      <c r="M200" s="482"/>
      <c r="N200" s="480"/>
    </row>
    <row r="201" spans="2:14" ht="18" customHeight="1" x14ac:dyDescent="0.25">
      <c r="N201" s="440"/>
    </row>
    <row r="202" spans="2:14" ht="18" customHeight="1" x14ac:dyDescent="0.25">
      <c r="N202" s="440"/>
    </row>
    <row r="203" spans="2:14" ht="18" customHeight="1" x14ac:dyDescent="0.25">
      <c r="N203" s="440"/>
    </row>
    <row r="204" spans="2:14" ht="18" customHeight="1" x14ac:dyDescent="0.25">
      <c r="N204" s="440"/>
    </row>
    <row r="205" spans="2:14" ht="18" customHeight="1" x14ac:dyDescent="0.25">
      <c r="N205" s="440"/>
    </row>
    <row r="206" spans="2:14" ht="18" customHeight="1" x14ac:dyDescent="0.25">
      <c r="N206" s="440"/>
    </row>
    <row r="207" spans="2:14" ht="18" customHeight="1" x14ac:dyDescent="0.25">
      <c r="N207" s="440"/>
    </row>
    <row r="208" spans="2:14" ht="18" customHeight="1" x14ac:dyDescent="0.25">
      <c r="N208" s="440"/>
    </row>
    <row r="209" spans="14:14" ht="18" customHeight="1" x14ac:dyDescent="0.25">
      <c r="N209" s="440"/>
    </row>
    <row r="210" spans="14:14" ht="18" customHeight="1" x14ac:dyDescent="0.25">
      <c r="N210" s="440"/>
    </row>
    <row r="211" spans="14:14" ht="18" customHeight="1" x14ac:dyDescent="0.25">
      <c r="N211" s="440"/>
    </row>
    <row r="212" spans="14:14" ht="18" customHeight="1" x14ac:dyDescent="0.25">
      <c r="N212" s="440"/>
    </row>
    <row r="213" spans="14:14" ht="18" customHeight="1" x14ac:dyDescent="0.25">
      <c r="N213" s="440"/>
    </row>
    <row r="214" spans="14:14" ht="18" customHeight="1" x14ac:dyDescent="0.25">
      <c r="N214" s="440"/>
    </row>
    <row r="215" spans="14:14" ht="18" customHeight="1" x14ac:dyDescent="0.25">
      <c r="N215" s="440"/>
    </row>
    <row r="216" spans="14:14" ht="18" customHeight="1" x14ac:dyDescent="0.25">
      <c r="N216" s="440"/>
    </row>
    <row r="217" spans="14:14" ht="18" customHeight="1" x14ac:dyDescent="0.25">
      <c r="N217" s="440"/>
    </row>
    <row r="218" spans="14:14" ht="18" customHeight="1" x14ac:dyDescent="0.25">
      <c r="N218" s="440"/>
    </row>
    <row r="219" spans="14:14" ht="18" customHeight="1" x14ac:dyDescent="0.25">
      <c r="N219" s="440"/>
    </row>
    <row r="220" spans="14:14" ht="18" customHeight="1" x14ac:dyDescent="0.25">
      <c r="N220" s="440"/>
    </row>
    <row r="221" spans="14:14" ht="18" customHeight="1" x14ac:dyDescent="0.25">
      <c r="N221" s="440"/>
    </row>
    <row r="222" spans="14:14" ht="18" customHeight="1" x14ac:dyDescent="0.25">
      <c r="N222" s="440"/>
    </row>
    <row r="223" spans="14:14" ht="18" customHeight="1" x14ac:dyDescent="0.25">
      <c r="N223" s="440"/>
    </row>
    <row r="224" spans="14:14" ht="18" customHeight="1" x14ac:dyDescent="0.25">
      <c r="N224" s="440"/>
    </row>
    <row r="225" spans="14:14" ht="18" customHeight="1" x14ac:dyDescent="0.25">
      <c r="N225" s="440"/>
    </row>
    <row r="226" spans="14:14" ht="18" customHeight="1" x14ac:dyDescent="0.25">
      <c r="N226" s="440"/>
    </row>
    <row r="227" spans="14:14" ht="18" customHeight="1" x14ac:dyDescent="0.25">
      <c r="N227" s="440"/>
    </row>
    <row r="228" spans="14:14" ht="18" customHeight="1" x14ac:dyDescent="0.25">
      <c r="N228" s="440"/>
    </row>
    <row r="229" spans="14:14" ht="18" customHeight="1" x14ac:dyDescent="0.25">
      <c r="N229" s="440"/>
    </row>
    <row r="230" spans="14:14" ht="18" customHeight="1" x14ac:dyDescent="0.25">
      <c r="N230" s="440"/>
    </row>
    <row r="231" spans="14:14" ht="18" customHeight="1" x14ac:dyDescent="0.25">
      <c r="N231" s="440"/>
    </row>
    <row r="232" spans="14:14" ht="18" customHeight="1" x14ac:dyDescent="0.25">
      <c r="N232" s="440"/>
    </row>
    <row r="233" spans="14:14" ht="18" customHeight="1" x14ac:dyDescent="0.25">
      <c r="N233" s="440"/>
    </row>
    <row r="234" spans="14:14" ht="18" customHeight="1" x14ac:dyDescent="0.25">
      <c r="N234" s="440"/>
    </row>
    <row r="235" spans="14:14" ht="18" customHeight="1" x14ac:dyDescent="0.25">
      <c r="N235" s="440"/>
    </row>
    <row r="236" spans="14:14" ht="18" customHeight="1" x14ac:dyDescent="0.25">
      <c r="N236" s="440"/>
    </row>
    <row r="237" spans="14:14" ht="18" customHeight="1" x14ac:dyDescent="0.25">
      <c r="N237" s="440"/>
    </row>
    <row r="238" spans="14:14" ht="18" customHeight="1" x14ac:dyDescent="0.25">
      <c r="N238" s="440"/>
    </row>
    <row r="239" spans="14:14" ht="18" customHeight="1" x14ac:dyDescent="0.25">
      <c r="N239" s="440"/>
    </row>
    <row r="240" spans="14:14" ht="18" customHeight="1" x14ac:dyDescent="0.25">
      <c r="N240" s="440"/>
    </row>
    <row r="241" spans="14:14" ht="18" customHeight="1" x14ac:dyDescent="0.25">
      <c r="N241" s="440"/>
    </row>
    <row r="242" spans="14:14" ht="18" customHeight="1" x14ac:dyDescent="0.25">
      <c r="N242" s="440"/>
    </row>
    <row r="243" spans="14:14" ht="18" customHeight="1" x14ac:dyDescent="0.25">
      <c r="N243" s="440"/>
    </row>
    <row r="244" spans="14:14" ht="18" customHeight="1" x14ac:dyDescent="0.25">
      <c r="N244" s="440"/>
    </row>
    <row r="245" spans="14:14" ht="18" customHeight="1" x14ac:dyDescent="0.25">
      <c r="N245" s="440"/>
    </row>
    <row r="246" spans="14:14" ht="18" customHeight="1" x14ac:dyDescent="0.25">
      <c r="N246" s="440"/>
    </row>
    <row r="247" spans="14:14" ht="18" customHeight="1" x14ac:dyDescent="0.25">
      <c r="N247" s="440"/>
    </row>
    <row r="248" spans="14:14" ht="18" customHeight="1" x14ac:dyDescent="0.25">
      <c r="N248" s="440"/>
    </row>
    <row r="249" spans="14:14" ht="18" customHeight="1" x14ac:dyDescent="0.25">
      <c r="N249" s="440"/>
    </row>
    <row r="250" spans="14:14" ht="18" customHeight="1" x14ac:dyDescent="0.25">
      <c r="N250" s="440"/>
    </row>
    <row r="251" spans="14:14" ht="18" customHeight="1" x14ac:dyDescent="0.25">
      <c r="N251" s="440"/>
    </row>
    <row r="252" spans="14:14" ht="18" customHeight="1" x14ac:dyDescent="0.25">
      <c r="N252" s="440"/>
    </row>
    <row r="253" spans="14:14" ht="18" customHeight="1" x14ac:dyDescent="0.25">
      <c r="N253" s="440"/>
    </row>
    <row r="254" spans="14:14" ht="18" customHeight="1" x14ac:dyDescent="0.25">
      <c r="N254" s="440"/>
    </row>
    <row r="255" spans="14:14" ht="18" customHeight="1" x14ac:dyDescent="0.25">
      <c r="N255" s="440"/>
    </row>
    <row r="256" spans="14:14" ht="18" customHeight="1" x14ac:dyDescent="0.25">
      <c r="N256" s="440"/>
    </row>
    <row r="257" spans="14:14" ht="18" customHeight="1" x14ac:dyDescent="0.25">
      <c r="N257" s="440"/>
    </row>
    <row r="258" spans="14:14" ht="18" customHeight="1" x14ac:dyDescent="0.25">
      <c r="N258" s="440"/>
    </row>
    <row r="259" spans="14:14" ht="18" customHeight="1" x14ac:dyDescent="0.25">
      <c r="N259" s="440"/>
    </row>
    <row r="260" spans="14:14" ht="18" customHeight="1" x14ac:dyDescent="0.25">
      <c r="N260" s="440"/>
    </row>
    <row r="261" spans="14:14" ht="18" customHeight="1" x14ac:dyDescent="0.25">
      <c r="N261" s="440"/>
    </row>
    <row r="262" spans="14:14" ht="18" customHeight="1" x14ac:dyDescent="0.25">
      <c r="N262" s="440"/>
    </row>
    <row r="263" spans="14:14" ht="18" customHeight="1" x14ac:dyDescent="0.25">
      <c r="N263" s="440"/>
    </row>
    <row r="264" spans="14:14" ht="18" customHeight="1" x14ac:dyDescent="0.25">
      <c r="N264" s="440"/>
    </row>
    <row r="265" spans="14:14" ht="18" customHeight="1" x14ac:dyDescent="0.25">
      <c r="N265" s="440"/>
    </row>
    <row r="266" spans="14:14" ht="18" customHeight="1" x14ac:dyDescent="0.25">
      <c r="N266" s="440"/>
    </row>
    <row r="267" spans="14:14" ht="18" customHeight="1" x14ac:dyDescent="0.25">
      <c r="N267" s="440"/>
    </row>
    <row r="268" spans="14:14" ht="18" customHeight="1" x14ac:dyDescent="0.25">
      <c r="N268" s="440"/>
    </row>
    <row r="269" spans="14:14" ht="18" customHeight="1" x14ac:dyDescent="0.25">
      <c r="N269" s="440"/>
    </row>
    <row r="270" spans="14:14" ht="18" customHeight="1" x14ac:dyDescent="0.25">
      <c r="N270" s="440"/>
    </row>
    <row r="271" spans="14:14" ht="18" customHeight="1" x14ac:dyDescent="0.25">
      <c r="N271" s="440"/>
    </row>
    <row r="272" spans="14:14" ht="18" customHeight="1" x14ac:dyDescent="0.25">
      <c r="N272" s="440"/>
    </row>
    <row r="273" spans="14:14" ht="18" customHeight="1" x14ac:dyDescent="0.25">
      <c r="N273" s="440"/>
    </row>
    <row r="274" spans="14:14" ht="18" customHeight="1" x14ac:dyDescent="0.25">
      <c r="N274" s="440"/>
    </row>
    <row r="275" spans="14:14" ht="18" customHeight="1" x14ac:dyDescent="0.25">
      <c r="N275" s="440"/>
    </row>
    <row r="276" spans="14:14" ht="18" customHeight="1" x14ac:dyDescent="0.25">
      <c r="N276" s="440"/>
    </row>
    <row r="277" spans="14:14" ht="18" customHeight="1" x14ac:dyDescent="0.25">
      <c r="N277" s="440"/>
    </row>
    <row r="278" spans="14:14" ht="18" customHeight="1" x14ac:dyDescent="0.25">
      <c r="N278" s="440"/>
    </row>
    <row r="279" spans="14:14" ht="18" customHeight="1" x14ac:dyDescent="0.25">
      <c r="N279" s="440"/>
    </row>
    <row r="280" spans="14:14" ht="18" customHeight="1" x14ac:dyDescent="0.25">
      <c r="N280" s="440"/>
    </row>
    <row r="281" spans="14:14" ht="18" customHeight="1" x14ac:dyDescent="0.25">
      <c r="N281" s="440"/>
    </row>
    <row r="282" spans="14:14" ht="18" customHeight="1" x14ac:dyDescent="0.25">
      <c r="N282" s="440"/>
    </row>
    <row r="283" spans="14:14" ht="18" customHeight="1" x14ac:dyDescent="0.25">
      <c r="N283" s="440"/>
    </row>
    <row r="284" spans="14:14" ht="18" customHeight="1" x14ac:dyDescent="0.25">
      <c r="N284" s="440"/>
    </row>
    <row r="285" spans="14:14" ht="18" customHeight="1" x14ac:dyDescent="0.25">
      <c r="N285" s="440"/>
    </row>
    <row r="286" spans="14:14" ht="18" customHeight="1" x14ac:dyDescent="0.25">
      <c r="N286" s="440"/>
    </row>
    <row r="287" spans="14:14" ht="18" customHeight="1" x14ac:dyDescent="0.25">
      <c r="N287" s="440"/>
    </row>
    <row r="288" spans="14:14" ht="18" customHeight="1" x14ac:dyDescent="0.25">
      <c r="N288" s="440"/>
    </row>
    <row r="289" spans="14:14" ht="18" customHeight="1" x14ac:dyDescent="0.25">
      <c r="N289" s="440"/>
    </row>
    <row r="290" spans="14:14" ht="18" customHeight="1" x14ac:dyDescent="0.25">
      <c r="N290" s="440"/>
    </row>
    <row r="291" spans="14:14" ht="18" customHeight="1" x14ac:dyDescent="0.25">
      <c r="N291" s="440"/>
    </row>
    <row r="292" spans="14:14" ht="18" customHeight="1" x14ac:dyDescent="0.25">
      <c r="N292" s="440"/>
    </row>
    <row r="293" spans="14:14" ht="18" customHeight="1" x14ac:dyDescent="0.25">
      <c r="N293" s="440"/>
    </row>
    <row r="294" spans="14:14" ht="18" customHeight="1" x14ac:dyDescent="0.25">
      <c r="N294" s="440"/>
    </row>
    <row r="295" spans="14:14" ht="18" customHeight="1" x14ac:dyDescent="0.25">
      <c r="N295" s="440"/>
    </row>
    <row r="296" spans="14:14" ht="18" customHeight="1" x14ac:dyDescent="0.25">
      <c r="N296" s="440"/>
    </row>
    <row r="297" spans="14:14" ht="18" customHeight="1" x14ac:dyDescent="0.25">
      <c r="N297" s="440"/>
    </row>
    <row r="298" spans="14:14" ht="18" customHeight="1" x14ac:dyDescent="0.25">
      <c r="N298" s="440"/>
    </row>
    <row r="299" spans="14:14" ht="18" customHeight="1" x14ac:dyDescent="0.25">
      <c r="N299" s="440"/>
    </row>
  </sheetData>
  <mergeCells count="655">
    <mergeCell ref="B188:B189"/>
    <mergeCell ref="K188:L189"/>
    <mergeCell ref="B1:N2"/>
    <mergeCell ref="C3:D3"/>
    <mergeCell ref="E3:F3"/>
    <mergeCell ref="G3:J3"/>
    <mergeCell ref="K3:L3"/>
    <mergeCell ref="C4:D4"/>
    <mergeCell ref="E4:F4"/>
    <mergeCell ref="G4:J4"/>
    <mergeCell ref="K4:L4"/>
    <mergeCell ref="C5:D5"/>
    <mergeCell ref="E5:F5"/>
    <mergeCell ref="G5:J5"/>
    <mergeCell ref="K5:L5"/>
    <mergeCell ref="B6:B11"/>
    <mergeCell ref="C6:D6"/>
    <mergeCell ref="E6:F6"/>
    <mergeCell ref="G6:J6"/>
    <mergeCell ref="K6:L11"/>
    <mergeCell ref="C7:D7"/>
    <mergeCell ref="E7:F7"/>
    <mergeCell ref="G7:J7"/>
    <mergeCell ref="C8:D8"/>
    <mergeCell ref="E8:F8"/>
    <mergeCell ref="G8:J8"/>
    <mergeCell ref="C9:D9"/>
    <mergeCell ref="E9:F9"/>
    <mergeCell ref="G9:J9"/>
    <mergeCell ref="C10:D10"/>
    <mergeCell ref="E10:F10"/>
    <mergeCell ref="G10:J10"/>
    <mergeCell ref="C11:D11"/>
    <mergeCell ref="E11:F11"/>
    <mergeCell ref="G11:J11"/>
    <mergeCell ref="C12:D12"/>
    <mergeCell ref="E12:F12"/>
    <mergeCell ref="G12:J12"/>
    <mergeCell ref="K12:L12"/>
    <mergeCell ref="B13:B17"/>
    <mergeCell ref="C13:D13"/>
    <mergeCell ref="E13:F13"/>
    <mergeCell ref="G13:J13"/>
    <mergeCell ref="K13:L17"/>
    <mergeCell ref="C14:D14"/>
    <mergeCell ref="E14:F14"/>
    <mergeCell ref="G14:J14"/>
    <mergeCell ref="C15:D15"/>
    <mergeCell ref="E15:F15"/>
    <mergeCell ref="G15:J15"/>
    <mergeCell ref="C16:D16"/>
    <mergeCell ref="E16:F16"/>
    <mergeCell ref="G16:J16"/>
    <mergeCell ref="C17:D17"/>
    <mergeCell ref="E17:F17"/>
    <mergeCell ref="G17:J17"/>
    <mergeCell ref="C18:D18"/>
    <mergeCell ref="E18:F18"/>
    <mergeCell ref="G18:J18"/>
    <mergeCell ref="K18:L18"/>
    <mergeCell ref="C19:D19"/>
    <mergeCell ref="E19:F19"/>
    <mergeCell ref="G19:J19"/>
    <mergeCell ref="K19:L19"/>
    <mergeCell ref="C20:D20"/>
    <mergeCell ref="E20:F20"/>
    <mergeCell ref="G20:J20"/>
    <mergeCell ref="K20:L20"/>
    <mergeCell ref="B21:B40"/>
    <mergeCell ref="C21:D21"/>
    <mergeCell ref="E21:F21"/>
    <mergeCell ref="G21:J21"/>
    <mergeCell ref="K21:L40"/>
    <mergeCell ref="C22:D22"/>
    <mergeCell ref="E22:F22"/>
    <mergeCell ref="G22:J22"/>
    <mergeCell ref="C23:D23"/>
    <mergeCell ref="E23:F23"/>
    <mergeCell ref="G23:J23"/>
    <mergeCell ref="C24:D24"/>
    <mergeCell ref="E24:F24"/>
    <mergeCell ref="G24:J24"/>
    <mergeCell ref="C25:D25"/>
    <mergeCell ref="E25:F25"/>
    <mergeCell ref="G25:J25"/>
    <mergeCell ref="C26:D26"/>
    <mergeCell ref="E26:F26"/>
    <mergeCell ref="G26:J26"/>
    <mergeCell ref="C27:D27"/>
    <mergeCell ref="E27:F27"/>
    <mergeCell ref="G27:J27"/>
    <mergeCell ref="C28:D28"/>
    <mergeCell ref="E28:F28"/>
    <mergeCell ref="G28:J28"/>
    <mergeCell ref="C29:D29"/>
    <mergeCell ref="E29:F29"/>
    <mergeCell ref="G29:J29"/>
    <mergeCell ref="C30:D30"/>
    <mergeCell ref="E30:F30"/>
    <mergeCell ref="G30:J30"/>
    <mergeCell ref="C31:D31"/>
    <mergeCell ref="E31:F31"/>
    <mergeCell ref="G31:J31"/>
    <mergeCell ref="C32:D32"/>
    <mergeCell ref="E32:F32"/>
    <mergeCell ref="G32:J32"/>
    <mergeCell ref="C33:D33"/>
    <mergeCell ref="E33:F33"/>
    <mergeCell ref="G33:J33"/>
    <mergeCell ref="C34:D34"/>
    <mergeCell ref="E34:F34"/>
    <mergeCell ref="G34:J34"/>
    <mergeCell ref="C35:D35"/>
    <mergeCell ref="E35:F35"/>
    <mergeCell ref="G35:J35"/>
    <mergeCell ref="C36:D36"/>
    <mergeCell ref="E36:F36"/>
    <mergeCell ref="G36:J36"/>
    <mergeCell ref="C37:D37"/>
    <mergeCell ref="E37:F37"/>
    <mergeCell ref="G37:J37"/>
    <mergeCell ref="C38:D38"/>
    <mergeCell ref="E38:F38"/>
    <mergeCell ref="G38:J38"/>
    <mergeCell ref="C39:D39"/>
    <mergeCell ref="E39:F39"/>
    <mergeCell ref="G39:J39"/>
    <mergeCell ref="C40:D40"/>
    <mergeCell ref="E40:F40"/>
    <mergeCell ref="G40:J40"/>
    <mergeCell ref="B41:B60"/>
    <mergeCell ref="C41:D41"/>
    <mergeCell ref="E41:F41"/>
    <mergeCell ref="G41:J41"/>
    <mergeCell ref="K41:L60"/>
    <mergeCell ref="C42:D42"/>
    <mergeCell ref="E42:F42"/>
    <mergeCell ref="G42:J42"/>
    <mergeCell ref="C43:D43"/>
    <mergeCell ref="E43:F43"/>
    <mergeCell ref="G43:J43"/>
    <mergeCell ref="C44:D44"/>
    <mergeCell ref="E44:F44"/>
    <mergeCell ref="G44:J44"/>
    <mergeCell ref="C45:D45"/>
    <mergeCell ref="E45:F45"/>
    <mergeCell ref="G45:J45"/>
    <mergeCell ref="C46:D46"/>
    <mergeCell ref="E46:F46"/>
    <mergeCell ref="G46:J46"/>
    <mergeCell ref="C47:D47"/>
    <mergeCell ref="E47:F47"/>
    <mergeCell ref="G47:J47"/>
    <mergeCell ref="C48:D48"/>
    <mergeCell ref="E48:F48"/>
    <mergeCell ref="G48:J48"/>
    <mergeCell ref="C49:D49"/>
    <mergeCell ref="E49:F49"/>
    <mergeCell ref="G49:J49"/>
    <mergeCell ref="C50:D50"/>
    <mergeCell ref="E50:F50"/>
    <mergeCell ref="G50:J50"/>
    <mergeCell ref="C51:D51"/>
    <mergeCell ref="E51:F51"/>
    <mergeCell ref="G51:J51"/>
    <mergeCell ref="C52:D52"/>
    <mergeCell ref="E52:F52"/>
    <mergeCell ref="G52:J52"/>
    <mergeCell ref="C53:D53"/>
    <mergeCell ref="E53:F53"/>
    <mergeCell ref="G53:J53"/>
    <mergeCell ref="C54:D54"/>
    <mergeCell ref="E54:F54"/>
    <mergeCell ref="G54:J54"/>
    <mergeCell ref="C55:D55"/>
    <mergeCell ref="E55:F55"/>
    <mergeCell ref="G55:J55"/>
    <mergeCell ref="C56:D56"/>
    <mergeCell ref="E56:F56"/>
    <mergeCell ref="G56:J56"/>
    <mergeCell ref="C57:D57"/>
    <mergeCell ref="E57:F57"/>
    <mergeCell ref="G57:J57"/>
    <mergeCell ref="C58:D58"/>
    <mergeCell ref="E58:F58"/>
    <mergeCell ref="G58:J58"/>
    <mergeCell ref="C59:D59"/>
    <mergeCell ref="E59:F59"/>
    <mergeCell ref="G59:J59"/>
    <mergeCell ref="C60:D60"/>
    <mergeCell ref="E60:F60"/>
    <mergeCell ref="G60:J60"/>
    <mergeCell ref="C61:D61"/>
    <mergeCell ref="E61:F61"/>
    <mergeCell ref="G61:J61"/>
    <mergeCell ref="K61:L61"/>
    <mergeCell ref="C62:D62"/>
    <mergeCell ref="E62:F62"/>
    <mergeCell ref="G62:J62"/>
    <mergeCell ref="K62:L62"/>
    <mergeCell ref="C63:D63"/>
    <mergeCell ref="E63:F63"/>
    <mergeCell ref="G63:J63"/>
    <mergeCell ref="K63:L63"/>
    <mergeCell ref="C64:D64"/>
    <mergeCell ref="E64:F64"/>
    <mergeCell ref="G64:J64"/>
    <mergeCell ref="K64:L64"/>
    <mergeCell ref="C65:D65"/>
    <mergeCell ref="E65:F65"/>
    <mergeCell ref="G65:J65"/>
    <mergeCell ref="K65:L65"/>
    <mergeCell ref="C66:D66"/>
    <mergeCell ref="E66:F66"/>
    <mergeCell ref="G66:J66"/>
    <mergeCell ref="K66:L66"/>
    <mergeCell ref="C67:D67"/>
    <mergeCell ref="E67:F67"/>
    <mergeCell ref="G67:J67"/>
    <mergeCell ref="K67:L67"/>
    <mergeCell ref="B68:B92"/>
    <mergeCell ref="C68:D68"/>
    <mergeCell ref="E68:F68"/>
    <mergeCell ref="G68:J68"/>
    <mergeCell ref="K68:L92"/>
    <mergeCell ref="C69:D69"/>
    <mergeCell ref="E69:F69"/>
    <mergeCell ref="G69:J69"/>
    <mergeCell ref="C70:D70"/>
    <mergeCell ref="E70:F70"/>
    <mergeCell ref="G70:J70"/>
    <mergeCell ref="C71:D71"/>
    <mergeCell ref="E71:F71"/>
    <mergeCell ref="G71:J71"/>
    <mergeCell ref="C72:D72"/>
    <mergeCell ref="E72:F72"/>
    <mergeCell ref="G72:J72"/>
    <mergeCell ref="C73:D73"/>
    <mergeCell ref="E73:F73"/>
    <mergeCell ref="G73:J73"/>
    <mergeCell ref="C74:D74"/>
    <mergeCell ref="E74:F74"/>
    <mergeCell ref="G74:J74"/>
    <mergeCell ref="C75:D75"/>
    <mergeCell ref="E75:F75"/>
    <mergeCell ref="G75:J75"/>
    <mergeCell ref="C76:D76"/>
    <mergeCell ref="E76:F76"/>
    <mergeCell ref="G76:J76"/>
    <mergeCell ref="C77:D77"/>
    <mergeCell ref="E77:F77"/>
    <mergeCell ref="G77:J77"/>
    <mergeCell ref="C78:D78"/>
    <mergeCell ref="E78:F78"/>
    <mergeCell ref="G78:J78"/>
    <mergeCell ref="C79:D79"/>
    <mergeCell ref="E79:F79"/>
    <mergeCell ref="G79:J79"/>
    <mergeCell ref="C80:D80"/>
    <mergeCell ref="E80:F80"/>
    <mergeCell ref="G80:J80"/>
    <mergeCell ref="C81:D81"/>
    <mergeCell ref="E81:F81"/>
    <mergeCell ref="G81:J81"/>
    <mergeCell ref="C82:D82"/>
    <mergeCell ref="E82:F82"/>
    <mergeCell ref="G82:J82"/>
    <mergeCell ref="C83:D83"/>
    <mergeCell ref="E83:F83"/>
    <mergeCell ref="G83:J83"/>
    <mergeCell ref="C84:D84"/>
    <mergeCell ref="E84:F84"/>
    <mergeCell ref="G84:J84"/>
    <mergeCell ref="C85:D85"/>
    <mergeCell ref="E85:F85"/>
    <mergeCell ref="G85:J85"/>
    <mergeCell ref="C86:D86"/>
    <mergeCell ref="E86:F86"/>
    <mergeCell ref="G86:J86"/>
    <mergeCell ref="C87:D87"/>
    <mergeCell ref="E87:F87"/>
    <mergeCell ref="G87:J87"/>
    <mergeCell ref="C88:D88"/>
    <mergeCell ref="E88:F88"/>
    <mergeCell ref="G88:J88"/>
    <mergeCell ref="C89:D89"/>
    <mergeCell ref="E89:F89"/>
    <mergeCell ref="G89:J89"/>
    <mergeCell ref="C90:D90"/>
    <mergeCell ref="E90:F90"/>
    <mergeCell ref="G90:J90"/>
    <mergeCell ref="C91:D91"/>
    <mergeCell ref="E91:F91"/>
    <mergeCell ref="G91:J91"/>
    <mergeCell ref="C92:D92"/>
    <mergeCell ref="E92:F92"/>
    <mergeCell ref="G92:J92"/>
    <mergeCell ref="C93:D93"/>
    <mergeCell ref="E93:F93"/>
    <mergeCell ref="G93:J93"/>
    <mergeCell ref="K93:L93"/>
    <mergeCell ref="C94:D94"/>
    <mergeCell ref="E94:F94"/>
    <mergeCell ref="G94:J94"/>
    <mergeCell ref="K94:L94"/>
    <mergeCell ref="K95:L119"/>
    <mergeCell ref="C96:D96"/>
    <mergeCell ref="E96:F96"/>
    <mergeCell ref="G96:J96"/>
    <mergeCell ref="C97:D97"/>
    <mergeCell ref="E97:F97"/>
    <mergeCell ref="G97:J97"/>
    <mergeCell ref="C98:D98"/>
    <mergeCell ref="E98:F98"/>
    <mergeCell ref="G98:J98"/>
    <mergeCell ref="C99:D99"/>
    <mergeCell ref="E99:F99"/>
    <mergeCell ref="G99:J99"/>
    <mergeCell ref="C100:D100"/>
    <mergeCell ref="E100:F100"/>
    <mergeCell ref="G100:J100"/>
    <mergeCell ref="C101:D101"/>
    <mergeCell ref="E101:F101"/>
    <mergeCell ref="G101:J101"/>
    <mergeCell ref="C102:D102"/>
    <mergeCell ref="E102:F102"/>
    <mergeCell ref="G102:J102"/>
    <mergeCell ref="C103:D103"/>
    <mergeCell ref="E103:F103"/>
    <mergeCell ref="G103:J103"/>
    <mergeCell ref="C104:D104"/>
    <mergeCell ref="E104:F104"/>
    <mergeCell ref="G104:J104"/>
    <mergeCell ref="C105:D105"/>
    <mergeCell ref="E105:F105"/>
    <mergeCell ref="G105:J105"/>
    <mergeCell ref="C106:D106"/>
    <mergeCell ref="E106:F106"/>
    <mergeCell ref="G106:J106"/>
    <mergeCell ref="C107:D107"/>
    <mergeCell ref="E107:F107"/>
    <mergeCell ref="G107:J107"/>
    <mergeCell ref="C108:D108"/>
    <mergeCell ref="E108:F108"/>
    <mergeCell ref="G108:J108"/>
    <mergeCell ref="C109:D109"/>
    <mergeCell ref="E109:F109"/>
    <mergeCell ref="G109:J109"/>
    <mergeCell ref="E114:F114"/>
    <mergeCell ref="G114:J114"/>
    <mergeCell ref="C115:D115"/>
    <mergeCell ref="E115:F115"/>
    <mergeCell ref="G115:J115"/>
    <mergeCell ref="C110:D110"/>
    <mergeCell ref="E110:F110"/>
    <mergeCell ref="G110:J110"/>
    <mergeCell ref="C111:D111"/>
    <mergeCell ref="E111:F111"/>
    <mergeCell ref="G111:J111"/>
    <mergeCell ref="C112:D112"/>
    <mergeCell ref="E112:F112"/>
    <mergeCell ref="G112:J112"/>
    <mergeCell ref="C119:D119"/>
    <mergeCell ref="E119:F119"/>
    <mergeCell ref="G119:J119"/>
    <mergeCell ref="B120:B122"/>
    <mergeCell ref="C120:D120"/>
    <mergeCell ref="E120:F120"/>
    <mergeCell ref="G120:J120"/>
    <mergeCell ref="B95:B119"/>
    <mergeCell ref="C95:D95"/>
    <mergeCell ref="E95:F95"/>
    <mergeCell ref="G95:J95"/>
    <mergeCell ref="C116:D116"/>
    <mergeCell ref="E116:F116"/>
    <mergeCell ref="G116:J116"/>
    <mergeCell ref="C117:D117"/>
    <mergeCell ref="E117:F117"/>
    <mergeCell ref="G117:J117"/>
    <mergeCell ref="C118:D118"/>
    <mergeCell ref="E118:F118"/>
    <mergeCell ref="G118:J118"/>
    <mergeCell ref="C113:D113"/>
    <mergeCell ref="E113:F113"/>
    <mergeCell ref="G113:J113"/>
    <mergeCell ref="C114:D114"/>
    <mergeCell ref="K120:L122"/>
    <mergeCell ref="C121:D121"/>
    <mergeCell ref="E121:F121"/>
    <mergeCell ref="G121:J121"/>
    <mergeCell ref="C122:D122"/>
    <mergeCell ref="E122:F122"/>
    <mergeCell ref="G122:J122"/>
    <mergeCell ref="C123:D123"/>
    <mergeCell ref="E123:F123"/>
    <mergeCell ref="G123:J123"/>
    <mergeCell ref="K123:L123"/>
    <mergeCell ref="C124:D124"/>
    <mergeCell ref="E124:F124"/>
    <mergeCell ref="G124:J124"/>
    <mergeCell ref="K124:L124"/>
    <mergeCell ref="C125:D125"/>
    <mergeCell ref="E125:F125"/>
    <mergeCell ref="G125:J125"/>
    <mergeCell ref="K125:L125"/>
    <mergeCell ref="C126:D126"/>
    <mergeCell ref="E126:F126"/>
    <mergeCell ref="G126:J126"/>
    <mergeCell ref="K126:L126"/>
    <mergeCell ref="C127:D127"/>
    <mergeCell ref="E127:F127"/>
    <mergeCell ref="G127:J127"/>
    <mergeCell ref="K127:L127"/>
    <mergeCell ref="C128:D128"/>
    <mergeCell ref="E128:F128"/>
    <mergeCell ref="G128:J128"/>
    <mergeCell ref="K128:L128"/>
    <mergeCell ref="C129:D129"/>
    <mergeCell ref="E129:F129"/>
    <mergeCell ref="G129:J129"/>
    <mergeCell ref="K129:L129"/>
    <mergeCell ref="C130:D130"/>
    <mergeCell ref="E130:F130"/>
    <mergeCell ref="G130:J130"/>
    <mergeCell ref="C131:D131"/>
    <mergeCell ref="E131:F131"/>
    <mergeCell ref="G131:J131"/>
    <mergeCell ref="C132:D132"/>
    <mergeCell ref="E132:F132"/>
    <mergeCell ref="G132:J132"/>
    <mergeCell ref="C133:D133"/>
    <mergeCell ref="E133:F133"/>
    <mergeCell ref="G133:J133"/>
    <mergeCell ref="C134:D134"/>
    <mergeCell ref="E134:F134"/>
    <mergeCell ref="G134:J134"/>
    <mergeCell ref="C135:D135"/>
    <mergeCell ref="E135:F135"/>
    <mergeCell ref="G135:J135"/>
    <mergeCell ref="C136:D136"/>
    <mergeCell ref="E136:F136"/>
    <mergeCell ref="G136:J136"/>
    <mergeCell ref="C137:D137"/>
    <mergeCell ref="E137:F137"/>
    <mergeCell ref="G137:J137"/>
    <mergeCell ref="C138:D138"/>
    <mergeCell ref="E138:F138"/>
    <mergeCell ref="G138:J138"/>
    <mergeCell ref="C139:D139"/>
    <mergeCell ref="E139:F139"/>
    <mergeCell ref="G139:J139"/>
    <mergeCell ref="C140:D140"/>
    <mergeCell ref="E140:F140"/>
    <mergeCell ref="G140:J140"/>
    <mergeCell ref="C141:D141"/>
    <mergeCell ref="E141:F141"/>
    <mergeCell ref="G141:J141"/>
    <mergeCell ref="C142:D142"/>
    <mergeCell ref="E142:F142"/>
    <mergeCell ref="G142:J142"/>
    <mergeCell ref="C143:D143"/>
    <mergeCell ref="E143:F143"/>
    <mergeCell ref="G143:J143"/>
    <mergeCell ref="C144:D144"/>
    <mergeCell ref="E144:F144"/>
    <mergeCell ref="G144:J144"/>
    <mergeCell ref="E150:F150"/>
    <mergeCell ref="G150:J150"/>
    <mergeCell ref="C145:D145"/>
    <mergeCell ref="E145:F145"/>
    <mergeCell ref="G145:J145"/>
    <mergeCell ref="C146:D146"/>
    <mergeCell ref="E146:F146"/>
    <mergeCell ref="G146:J146"/>
    <mergeCell ref="C147:D147"/>
    <mergeCell ref="E147:F147"/>
    <mergeCell ref="G147:J147"/>
    <mergeCell ref="C159:D159"/>
    <mergeCell ref="E159:F159"/>
    <mergeCell ref="G159:J159"/>
    <mergeCell ref="C154:D154"/>
    <mergeCell ref="E154:F154"/>
    <mergeCell ref="G154:J154"/>
    <mergeCell ref="C155:D155"/>
    <mergeCell ref="E155:F155"/>
    <mergeCell ref="G155:J155"/>
    <mergeCell ref="C156:D156"/>
    <mergeCell ref="E156:F156"/>
    <mergeCell ref="G156:J156"/>
    <mergeCell ref="B130:B133"/>
    <mergeCell ref="K130:L133"/>
    <mergeCell ref="C157:D157"/>
    <mergeCell ref="E157:F157"/>
    <mergeCell ref="G157:J157"/>
    <mergeCell ref="C158:D158"/>
    <mergeCell ref="E158:F158"/>
    <mergeCell ref="G158:J158"/>
    <mergeCell ref="C151:D151"/>
    <mergeCell ref="E151:F151"/>
    <mergeCell ref="G151:J151"/>
    <mergeCell ref="C152:D152"/>
    <mergeCell ref="E152:F152"/>
    <mergeCell ref="G152:J152"/>
    <mergeCell ref="C153:D153"/>
    <mergeCell ref="E153:F153"/>
    <mergeCell ref="G153:J153"/>
    <mergeCell ref="C148:D148"/>
    <mergeCell ref="E148:F148"/>
    <mergeCell ref="G148:J148"/>
    <mergeCell ref="C149:D149"/>
    <mergeCell ref="E149:F149"/>
    <mergeCell ref="G149:J149"/>
    <mergeCell ref="C150:D150"/>
    <mergeCell ref="C160:D160"/>
    <mergeCell ref="E160:F160"/>
    <mergeCell ref="G160:J160"/>
    <mergeCell ref="C161:D161"/>
    <mergeCell ref="E161:F161"/>
    <mergeCell ref="G161:J161"/>
    <mergeCell ref="K161:L161"/>
    <mergeCell ref="C162:D162"/>
    <mergeCell ref="E162:F162"/>
    <mergeCell ref="G162:J162"/>
    <mergeCell ref="K162:L162"/>
    <mergeCell ref="E167:F167"/>
    <mergeCell ref="G167:J167"/>
    <mergeCell ref="C168:D168"/>
    <mergeCell ref="E168:F168"/>
    <mergeCell ref="G168:J168"/>
    <mergeCell ref="C163:D163"/>
    <mergeCell ref="E163:F163"/>
    <mergeCell ref="G163:J163"/>
    <mergeCell ref="C164:D164"/>
    <mergeCell ref="E164:F164"/>
    <mergeCell ref="G164:J164"/>
    <mergeCell ref="C165:D165"/>
    <mergeCell ref="E165:F165"/>
    <mergeCell ref="G165:J165"/>
    <mergeCell ref="C172:D172"/>
    <mergeCell ref="E172:F172"/>
    <mergeCell ref="G172:J172"/>
    <mergeCell ref="B134:B158"/>
    <mergeCell ref="K134:L158"/>
    <mergeCell ref="C173:D173"/>
    <mergeCell ref="E173:F173"/>
    <mergeCell ref="G173:J173"/>
    <mergeCell ref="B159:B160"/>
    <mergeCell ref="K159:L160"/>
    <mergeCell ref="B163:B187"/>
    <mergeCell ref="C169:D169"/>
    <mergeCell ref="E169:F169"/>
    <mergeCell ref="G169:J169"/>
    <mergeCell ref="C170:D170"/>
    <mergeCell ref="E170:F170"/>
    <mergeCell ref="G170:J170"/>
    <mergeCell ref="C171:D171"/>
    <mergeCell ref="E171:F171"/>
    <mergeCell ref="G171:J171"/>
    <mergeCell ref="C166:D166"/>
    <mergeCell ref="E166:F166"/>
    <mergeCell ref="G166:J166"/>
    <mergeCell ref="C167:D167"/>
    <mergeCell ref="E178:F178"/>
    <mergeCell ref="G178:J178"/>
    <mergeCell ref="C179:D179"/>
    <mergeCell ref="E179:F179"/>
    <mergeCell ref="G179:J179"/>
    <mergeCell ref="C174:D174"/>
    <mergeCell ref="E174:F174"/>
    <mergeCell ref="G174:J174"/>
    <mergeCell ref="C175:D175"/>
    <mergeCell ref="E175:F175"/>
    <mergeCell ref="G175:J175"/>
    <mergeCell ref="C176:D176"/>
    <mergeCell ref="E176:F176"/>
    <mergeCell ref="G176:J176"/>
    <mergeCell ref="K163:L187"/>
    <mergeCell ref="C183:D183"/>
    <mergeCell ref="E183:F183"/>
    <mergeCell ref="G183:J183"/>
    <mergeCell ref="C184:D184"/>
    <mergeCell ref="E184:F184"/>
    <mergeCell ref="G184:J184"/>
    <mergeCell ref="C185:D185"/>
    <mergeCell ref="E185:F185"/>
    <mergeCell ref="G185:J185"/>
    <mergeCell ref="C180:D180"/>
    <mergeCell ref="E180:F180"/>
    <mergeCell ref="G180:J180"/>
    <mergeCell ref="C181:D181"/>
    <mergeCell ref="E181:F181"/>
    <mergeCell ref="G181:J181"/>
    <mergeCell ref="C182:D182"/>
    <mergeCell ref="E182:F182"/>
    <mergeCell ref="G182:J182"/>
    <mergeCell ref="C177:D177"/>
    <mergeCell ref="E177:F177"/>
    <mergeCell ref="G177:J177"/>
    <mergeCell ref="C178:D178"/>
    <mergeCell ref="C186:D186"/>
    <mergeCell ref="E186:F186"/>
    <mergeCell ref="G186:J186"/>
    <mergeCell ref="C187:D187"/>
    <mergeCell ref="E187:F187"/>
    <mergeCell ref="G187:J187"/>
    <mergeCell ref="C188:D188"/>
    <mergeCell ref="E188:F188"/>
    <mergeCell ref="G188:J188"/>
    <mergeCell ref="C189:D189"/>
    <mergeCell ref="E189:F189"/>
    <mergeCell ref="G189:J189"/>
    <mergeCell ref="C190:D190"/>
    <mergeCell ref="E190:F190"/>
    <mergeCell ref="G190:J190"/>
    <mergeCell ref="K190:L190"/>
    <mergeCell ref="C191:D191"/>
    <mergeCell ref="E191:F191"/>
    <mergeCell ref="G191:J191"/>
    <mergeCell ref="K191:L191"/>
    <mergeCell ref="C192:D192"/>
    <mergeCell ref="E192:F192"/>
    <mergeCell ref="G192:J192"/>
    <mergeCell ref="K192:L192"/>
    <mergeCell ref="C193:D193"/>
    <mergeCell ref="E193:F193"/>
    <mergeCell ref="G193:J193"/>
    <mergeCell ref="K193:L193"/>
    <mergeCell ref="C194:D194"/>
    <mergeCell ref="E194:F194"/>
    <mergeCell ref="G194:J194"/>
    <mergeCell ref="K194:L194"/>
    <mergeCell ref="C195:D195"/>
    <mergeCell ref="E195:F195"/>
    <mergeCell ref="G195:J195"/>
    <mergeCell ref="K195:L195"/>
    <mergeCell ref="C199:D199"/>
    <mergeCell ref="E199:F199"/>
    <mergeCell ref="G199:J199"/>
    <mergeCell ref="K199:L199"/>
    <mergeCell ref="C200:D200"/>
    <mergeCell ref="E200:F200"/>
    <mergeCell ref="G200:J200"/>
    <mergeCell ref="K200:L200"/>
    <mergeCell ref="C196:D196"/>
    <mergeCell ref="E196:F196"/>
    <mergeCell ref="G196:J196"/>
    <mergeCell ref="K196:L196"/>
    <mergeCell ref="C197:D197"/>
    <mergeCell ref="E197:F197"/>
    <mergeCell ref="G197:J197"/>
    <mergeCell ref="K197:L197"/>
    <mergeCell ref="C198:D198"/>
    <mergeCell ref="E198:F198"/>
    <mergeCell ref="G198:J198"/>
    <mergeCell ref="K198:L198"/>
  </mergeCells>
  <phoneticPr fontId="95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2F3A4A"/>
  </sheetPr>
  <dimension ref="A1:P225"/>
  <sheetViews>
    <sheetView showGridLines="0" topLeftCell="A210" zoomScale="90" zoomScaleNormal="90" workbookViewId="0">
      <selection activeCell="H220" sqref="H220"/>
    </sheetView>
  </sheetViews>
  <sheetFormatPr defaultColWidth="8.6640625" defaultRowHeight="14.4" x14ac:dyDescent="0.3"/>
  <cols>
    <col min="1" max="1" width="32.6640625" style="27" customWidth="1"/>
    <col min="2" max="2" width="28" customWidth="1"/>
    <col min="3" max="3" width="14" customWidth="1"/>
    <col min="4" max="4" width="13" customWidth="1"/>
    <col min="5" max="5" width="10" customWidth="1"/>
    <col min="6" max="6" width="13" customWidth="1"/>
    <col min="7" max="7" width="14.33203125" customWidth="1"/>
    <col min="8" max="8" width="13" customWidth="1"/>
    <col min="9" max="9" width="16.6640625" customWidth="1"/>
    <col min="10" max="13" width="12" hidden="1" customWidth="1"/>
  </cols>
  <sheetData>
    <row r="1" spans="1:13" ht="21.75" customHeight="1" x14ac:dyDescent="0.3">
      <c r="A1" s="609" t="s">
        <v>197</v>
      </c>
      <c r="B1" s="609"/>
      <c r="C1" s="609"/>
      <c r="D1" s="609"/>
      <c r="E1" s="609"/>
      <c r="F1" s="609"/>
      <c r="G1" s="609"/>
      <c r="H1" s="609"/>
      <c r="I1" s="609"/>
      <c r="J1" t="s">
        <v>198</v>
      </c>
      <c r="K1" t="s">
        <v>199</v>
      </c>
      <c r="L1" t="s">
        <v>200</v>
      </c>
      <c r="M1" t="s">
        <v>201</v>
      </c>
    </row>
    <row r="2" spans="1:13" ht="18" customHeight="1" x14ac:dyDescent="0.3">
      <c r="A2" s="610" t="s">
        <v>202</v>
      </c>
      <c r="B2" s="610"/>
      <c r="C2" s="610"/>
      <c r="D2" s="610"/>
      <c r="E2" s="610"/>
      <c r="F2" s="610"/>
      <c r="G2" s="610" t="s">
        <v>203</v>
      </c>
      <c r="H2" s="610"/>
      <c r="I2" s="610"/>
    </row>
    <row r="3" spans="1:13" ht="15" customHeight="1" x14ac:dyDescent="0.3">
      <c r="A3" s="30">
        <v>46143</v>
      </c>
      <c r="B3" s="186" t="s">
        <v>78</v>
      </c>
      <c r="C3" s="187" t="s">
        <v>205</v>
      </c>
      <c r="D3" s="188" t="s">
        <v>206</v>
      </c>
      <c r="E3" s="188" t="s">
        <v>207</v>
      </c>
      <c r="F3" s="189" t="s">
        <v>208</v>
      </c>
      <c r="G3" s="188" t="s">
        <v>209</v>
      </c>
      <c r="H3" s="188" t="s">
        <v>210</v>
      </c>
      <c r="I3" s="188" t="s">
        <v>211</v>
      </c>
    </row>
    <row r="4" spans="1:13" ht="21" customHeight="1" x14ac:dyDescent="0.3">
      <c r="A4" s="215"/>
      <c r="B4" s="191" t="s">
        <v>544</v>
      </c>
      <c r="C4" s="192">
        <v>600</v>
      </c>
      <c r="D4" s="193">
        <f>'SEMANA ABRIL'!D201-'SEMANA ABRIL'!H201</f>
        <v>245</v>
      </c>
      <c r="E4" s="194" t="s">
        <v>214</v>
      </c>
      <c r="F4" s="195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>95</v>
      </c>
      <c r="G4" s="196">
        <f t="shared" ref="G4:G9" si="0">IFERROR(ROUNDUP(D4/F4,0),"")</f>
        <v>3</v>
      </c>
      <c r="H4" s="197">
        <v>255</v>
      </c>
      <c r="I4" s="193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>3060</v>
      </c>
    </row>
    <row r="5" spans="1:13" ht="21" customHeight="1" x14ac:dyDescent="0.3">
      <c r="A5" s="215"/>
      <c r="B5" s="191" t="s">
        <v>537</v>
      </c>
      <c r="C5" s="192">
        <v>600</v>
      </c>
      <c r="D5" s="193">
        <v>361</v>
      </c>
      <c r="E5" s="194" t="s">
        <v>214</v>
      </c>
      <c r="F5" s="195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>190</v>
      </c>
      <c r="G5" s="196">
        <f t="shared" si="0"/>
        <v>2</v>
      </c>
      <c r="H5" s="197">
        <v>361</v>
      </c>
      <c r="I5" s="193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>2166</v>
      </c>
    </row>
    <row r="6" spans="1:13" ht="21" customHeight="1" x14ac:dyDescent="0.3">
      <c r="A6" s="215"/>
      <c r="B6" s="191" t="s">
        <v>54</v>
      </c>
      <c r="C6" s="192">
        <v>400</v>
      </c>
      <c r="D6" s="193">
        <v>875</v>
      </c>
      <c r="E6" s="194" t="s">
        <v>214</v>
      </c>
      <c r="F6" s="195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>125</v>
      </c>
      <c r="G6" s="196">
        <f t="shared" si="0"/>
        <v>7</v>
      </c>
      <c r="H6" s="197">
        <v>534</v>
      </c>
      <c r="I6" s="193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>6408</v>
      </c>
    </row>
    <row r="7" spans="1:13" ht="21" customHeight="1" x14ac:dyDescent="0.3">
      <c r="A7" s="215"/>
      <c r="B7" s="191"/>
      <c r="C7" s="192"/>
      <c r="D7" s="193"/>
      <c r="E7" s="194" t="s">
        <v>214</v>
      </c>
      <c r="F7" s="195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196" t="str">
        <f t="shared" si="0"/>
        <v/>
      </c>
      <c r="H7" s="197"/>
      <c r="I7" s="193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</row>
    <row r="8" spans="1:13" ht="21" customHeight="1" x14ac:dyDescent="0.3">
      <c r="A8" s="215"/>
      <c r="B8" s="191"/>
      <c r="C8" s="192"/>
      <c r="D8" s="193"/>
      <c r="E8" s="194" t="s">
        <v>214</v>
      </c>
      <c r="F8" s="195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196" t="str">
        <f t="shared" si="0"/>
        <v/>
      </c>
      <c r="H8" s="197"/>
      <c r="I8" s="193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</row>
    <row r="9" spans="1:13" ht="21" customHeight="1" x14ac:dyDescent="0.3">
      <c r="A9" s="215"/>
      <c r="B9" s="191"/>
      <c r="C9" s="192"/>
      <c r="D9" s="193"/>
      <c r="E9" s="194" t="s">
        <v>214</v>
      </c>
      <c r="F9" s="195" t="str">
        <f>IF($B9="","",IF(SUMIFS(CONFIG_PALLETS!$C:$C,CONFIG_PALLETS!$A:$A,TRIM($B9),CONFIG_PALLETS!$B:$B,$C9&amp;" ml")&gt;0,SUMIFS(CONFIG_PALLETS!$C:$C,CONFIG_PALLETS!$A:$A,TRIM($B9),CONFIG_PALLETS!$B:$B,$C9&amp;" ml"),IF(SUMIFS(CONFIG_PALLETS!$C:$C,CONFIG_PALLETS!$A:$A,"GERAL",CONFIG_PALLETS!$B:$B,$C9&amp;" ml")&gt;0,SUMIFS(CONFIG_PALLETS!$C:$C,CONFIG_PALLETS!$A:$A,"GERAL",CONFIG_PALLETS!$B:$B,$C9&amp;" ml"),"")))</f>
        <v/>
      </c>
      <c r="G9" s="196" t="str">
        <f t="shared" si="0"/>
        <v/>
      </c>
      <c r="H9" s="197"/>
      <c r="I9" s="193" t="str">
        <f>IF(H9="","",H9*IF(SUMIFS(CONFIG_PALLETS!$D:$D,CONFIG_PALLETS!$A:$A,IF(ISNUMBER(SEARCH("ESPUMA",$B9)),"ESPUMA",IF(OR(ISNUMBER(SEARCH("OLEO DE COCO",$B9)),ISNUMBER(SEARCH("ÓLEO DE COCO",$B9)),ISNUMBER(SEARCH("COPRA",$B9))),"ÓLEO DE COCO",IF(ISNUMBER(SEARCH("CORANTE",$B9)),"CORANTE",TRIM($B9)))),CONFIG_PALLETS!$B:$B,$C9&amp;" ml")&gt;0,SUMIFS(CONFIG_PALLETS!$D:$D,CONFIG_PALLETS!$A:$A,IF(ISNUMBER(SEARCH("ESPUMA",$B9)),"ESPUMA",IF(OR(ISNUMBER(SEARCH("OLEO DE COCO",$B9)),ISNUMBER(SEARCH("ÓLEO DE COCO",$B9)),ISNUMBER(SEARCH("COPRA",$B9))),"ÓLEO DE COCO",IF(ISNUMBER(SEARCH("CORANTE",$B9)),"CORANTE",TRIM($B9)))),CONFIG_PALLETS!$B:$B,$C9&amp;" ml"),IF(SUMIFS(CONFIG_PALLETS!$D:$D,CONFIG_PALLETS!$A:$A,"GERAL",CONFIG_PALLETS!$B:$B,$C9&amp;" ml")&gt;0,SUMIFS(CONFIG_PALLETS!$D:$D,CONFIG_PALLETS!$A:$A,"GERAL",CONFIG_PALLETS!$B:$B,$C9&amp;" ml"),12)))</f>
        <v/>
      </c>
    </row>
    <row r="10" spans="1:13" ht="15" customHeight="1" x14ac:dyDescent="0.3">
      <c r="A10" s="217"/>
      <c r="B10" s="199" t="s">
        <v>216</v>
      </c>
      <c r="C10" s="200"/>
      <c r="D10" s="201">
        <f>SUM(D3:D9)</f>
        <v>1481</v>
      </c>
      <c r="E10" s="202"/>
      <c r="F10" s="202"/>
      <c r="G10" s="203">
        <f>SUM(G3:G9)</f>
        <v>12</v>
      </c>
      <c r="H10" s="201">
        <f>SUM(H3:H9)</f>
        <v>1150</v>
      </c>
      <c r="I10" s="201">
        <f>SUM(I3:I9)</f>
        <v>11634</v>
      </c>
      <c r="J10" s="28">
        <f>D10</f>
        <v>1481</v>
      </c>
      <c r="K10" s="106">
        <f>G10</f>
        <v>12</v>
      </c>
      <c r="L10" s="28">
        <f>H10</f>
        <v>1150</v>
      </c>
      <c r="M10" s="28">
        <f>I10</f>
        <v>11634</v>
      </c>
    </row>
    <row r="11" spans="1:13" ht="6" customHeight="1" x14ac:dyDescent="0.3">
      <c r="C11" s="72"/>
    </row>
    <row r="12" spans="1:13" ht="15" customHeight="1" x14ac:dyDescent="0.3">
      <c r="A12" s="30">
        <v>46144</v>
      </c>
      <c r="B12" s="186" t="s">
        <v>78</v>
      </c>
      <c r="C12" s="187" t="s">
        <v>205</v>
      </c>
      <c r="D12" s="188" t="s">
        <v>206</v>
      </c>
      <c r="E12" s="188" t="s">
        <v>207</v>
      </c>
      <c r="F12" s="189" t="s">
        <v>208</v>
      </c>
      <c r="G12" s="188" t="s">
        <v>209</v>
      </c>
      <c r="H12" s="188" t="s">
        <v>210</v>
      </c>
      <c r="I12" s="188" t="s">
        <v>211</v>
      </c>
    </row>
    <row r="13" spans="1:13" ht="21" customHeight="1" x14ac:dyDescent="0.3">
      <c r="A13" s="215"/>
      <c r="B13" s="191" t="s">
        <v>54</v>
      </c>
      <c r="C13" s="192">
        <v>400</v>
      </c>
      <c r="D13" s="193">
        <v>341</v>
      </c>
      <c r="E13" s="194" t="s">
        <v>214</v>
      </c>
      <c r="F13" s="195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>125</v>
      </c>
      <c r="G13" s="196">
        <f>IFERROR(ROUNDUP(D13/F13,0),"")</f>
        <v>3</v>
      </c>
      <c r="H13" s="197">
        <v>341</v>
      </c>
      <c r="I13" s="193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>4092</v>
      </c>
    </row>
    <row r="14" spans="1:13" ht="21" customHeight="1" x14ac:dyDescent="0.3">
      <c r="A14" s="215"/>
      <c r="B14" s="191" t="s">
        <v>620</v>
      </c>
      <c r="C14" s="192">
        <v>400</v>
      </c>
      <c r="D14" s="193">
        <v>2330</v>
      </c>
      <c r="E14" s="194" t="s">
        <v>214</v>
      </c>
      <c r="F14" s="195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>110</v>
      </c>
      <c r="G14" s="196">
        <f>IFERROR(ROUNDUP(D14/F14,0),"")</f>
        <v>22</v>
      </c>
      <c r="H14" s="197">
        <v>686</v>
      </c>
      <c r="I14" s="193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>8232</v>
      </c>
    </row>
    <row r="15" spans="1:13" ht="21" customHeight="1" x14ac:dyDescent="0.3">
      <c r="A15" s="215"/>
      <c r="B15" s="191"/>
      <c r="C15" s="192"/>
      <c r="D15" s="193"/>
      <c r="E15" s="194" t="s">
        <v>214</v>
      </c>
      <c r="F15" s="195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196" t="str">
        <f>IFERROR(ROUNDUP(D15/F15,0),"")</f>
        <v/>
      </c>
      <c r="H15" s="197"/>
      <c r="I15" s="193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3">
      <c r="A16" s="215"/>
      <c r="B16" s="191"/>
      <c r="C16" s="192"/>
      <c r="D16" s="193"/>
      <c r="E16" s="194" t="s">
        <v>214</v>
      </c>
      <c r="F16" s="195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196" t="str">
        <f>IFERROR(ROUNDUP(D16/F16,0),"")</f>
        <v/>
      </c>
      <c r="H16" s="197"/>
      <c r="I16" s="193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21" customHeight="1" x14ac:dyDescent="0.3">
      <c r="A17" s="215"/>
      <c r="B17" s="191"/>
      <c r="C17" s="192"/>
      <c r="D17" s="193"/>
      <c r="E17" s="194" t="s">
        <v>214</v>
      </c>
      <c r="F17" s="195" t="str">
        <f>IF($B17="","",IF(SUMIFS(CONFIG_PALLETS!$C:$C,CONFIG_PALLETS!$A:$A,TRIM($B17),CONFIG_PALLETS!$B:$B,$C17&amp;" ml")&gt;0,SUMIFS(CONFIG_PALLETS!$C:$C,CONFIG_PALLETS!$A:$A,TRIM($B17),CONFIG_PALLETS!$B:$B,$C17&amp;" ml"),IF(SUMIFS(CONFIG_PALLETS!$C:$C,CONFIG_PALLETS!$A:$A,"GERAL",CONFIG_PALLETS!$B:$B,$C17&amp;" ml")&gt;0,SUMIFS(CONFIG_PALLETS!$C:$C,CONFIG_PALLETS!$A:$A,"GERAL",CONFIG_PALLETS!$B:$B,$C17&amp;" ml"),"")))</f>
        <v/>
      </c>
      <c r="G17" s="196" t="str">
        <f>IFERROR(ROUNDUP(D17/F17,0),"")</f>
        <v/>
      </c>
      <c r="H17" s="197"/>
      <c r="I17" s="193" t="str">
        <f>IF(H17="","",H17*IF(SUMIFS(CONFIG_PALLETS!$D:$D,CONFIG_PALLETS!$A:$A,IF(ISNUMBER(SEARCH("ESPUMA",$B17)),"ESPUMA",IF(OR(ISNUMBER(SEARCH("OLEO DE COCO",$B17)),ISNUMBER(SEARCH("ÓLEO DE COCO",$B17)),ISNUMBER(SEARCH("COPRA",$B17))),"ÓLEO DE COCO",IF(ISNUMBER(SEARCH("CORANTE",$B17)),"CORANTE",TRIM($B17)))),CONFIG_PALLETS!$B:$B,$C17&amp;" ml")&gt;0,SUMIFS(CONFIG_PALLETS!$D:$D,CONFIG_PALLETS!$A:$A,IF(ISNUMBER(SEARCH("ESPUMA",$B17)),"ESPUMA",IF(OR(ISNUMBER(SEARCH("OLEO DE COCO",$B17)),ISNUMBER(SEARCH("ÓLEO DE COCO",$B17)),ISNUMBER(SEARCH("COPRA",$B17))),"ÓLEO DE COCO",IF(ISNUMBER(SEARCH("CORANTE",$B17)),"CORANTE",TRIM($B17)))),CONFIG_PALLETS!$B:$B,$C17&amp;" ml"),IF(SUMIFS(CONFIG_PALLETS!$D:$D,CONFIG_PALLETS!$A:$A,"GERAL",CONFIG_PALLETS!$B:$B,$C17&amp;" ml")&gt;0,SUMIFS(CONFIG_PALLETS!$D:$D,CONFIG_PALLETS!$A:$A,"GERAL",CONFIG_PALLETS!$B:$B,$C17&amp;" ml"),12)))</f>
        <v/>
      </c>
    </row>
    <row r="18" spans="1:13" ht="15" customHeight="1" x14ac:dyDescent="0.3">
      <c r="A18" s="217"/>
      <c r="B18" s="199" t="s">
        <v>216</v>
      </c>
      <c r="C18" s="200"/>
      <c r="D18" s="201">
        <f>SUM(D11:D17)</f>
        <v>2671</v>
      </c>
      <c r="E18" s="202"/>
      <c r="F18" s="202"/>
      <c r="G18" s="203">
        <f>SUM(G11:G17)</f>
        <v>25</v>
      </c>
      <c r="H18" s="201">
        <f>SUM(H11:H17)</f>
        <v>1027</v>
      </c>
      <c r="I18" s="201">
        <f>SUM(I11:I17)</f>
        <v>12324</v>
      </c>
      <c r="J18" s="28">
        <f>D18</f>
        <v>2671</v>
      </c>
      <c r="K18" s="106">
        <f>G18</f>
        <v>25</v>
      </c>
      <c r="L18" s="28">
        <f>H18</f>
        <v>1027</v>
      </c>
      <c r="M18" s="28">
        <f>I18</f>
        <v>12324</v>
      </c>
    </row>
    <row r="19" spans="1:13" ht="6" customHeight="1" x14ac:dyDescent="0.3">
      <c r="C19" s="72"/>
    </row>
    <row r="20" spans="1:13" ht="15" customHeight="1" x14ac:dyDescent="0.3">
      <c r="A20" s="30">
        <v>46146</v>
      </c>
      <c r="B20" s="186" t="s">
        <v>78</v>
      </c>
      <c r="C20" s="187" t="s">
        <v>205</v>
      </c>
      <c r="D20" s="188" t="s">
        <v>206</v>
      </c>
      <c r="E20" s="188" t="s">
        <v>207</v>
      </c>
      <c r="F20" s="189" t="s">
        <v>208</v>
      </c>
      <c r="G20" s="188" t="s">
        <v>209</v>
      </c>
      <c r="H20" s="188" t="s">
        <v>210</v>
      </c>
      <c r="I20" s="188" t="s">
        <v>211</v>
      </c>
    </row>
    <row r="21" spans="1:13" ht="21" customHeight="1" x14ac:dyDescent="0.3">
      <c r="A21" s="215"/>
      <c r="B21" s="191" t="s">
        <v>620</v>
      </c>
      <c r="C21" s="192">
        <v>400</v>
      </c>
      <c r="D21" s="193">
        <f>D14-H14</f>
        <v>1644</v>
      </c>
      <c r="E21" s="194" t="s">
        <v>214</v>
      </c>
      <c r="F21" s="195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>110</v>
      </c>
      <c r="G21" s="196">
        <f>IFERROR(ROUNDUP(D21/F21,0),"")</f>
        <v>15</v>
      </c>
      <c r="H21" s="197">
        <v>1479</v>
      </c>
      <c r="I21" s="193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>17748</v>
      </c>
    </row>
    <row r="22" spans="1:13" ht="21" customHeight="1" x14ac:dyDescent="0.3">
      <c r="A22" s="215"/>
      <c r="B22" s="191"/>
      <c r="C22" s="192"/>
      <c r="D22" s="193"/>
      <c r="E22" s="194" t="s">
        <v>214</v>
      </c>
      <c r="F22" s="195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196" t="str">
        <f>IFERROR(ROUNDUP(D22/F22,0),"")</f>
        <v/>
      </c>
      <c r="H22" s="197"/>
      <c r="I22" s="193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</row>
    <row r="23" spans="1:13" ht="21" customHeight="1" x14ac:dyDescent="0.3">
      <c r="A23" s="215"/>
      <c r="B23" s="191"/>
      <c r="C23" s="192"/>
      <c r="D23" s="193"/>
      <c r="E23" s="194" t="s">
        <v>214</v>
      </c>
      <c r="F23" s="195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196" t="str">
        <f>IFERROR(ROUNDUP(D23/F23,0),"")</f>
        <v/>
      </c>
      <c r="H23" s="197"/>
      <c r="I23" s="193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</row>
    <row r="24" spans="1:13" ht="21" customHeight="1" x14ac:dyDescent="0.3">
      <c r="A24" s="215"/>
      <c r="B24" s="191"/>
      <c r="C24" s="192"/>
      <c r="D24" s="193"/>
      <c r="E24" s="194" t="s">
        <v>214</v>
      </c>
      <c r="F24" s="195" t="str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196" t="str">
        <f>IFERROR(ROUNDUP(D24/F24,0),"")</f>
        <v/>
      </c>
      <c r="H24" s="197"/>
      <c r="I24" s="193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</row>
    <row r="25" spans="1:13" ht="21" customHeight="1" x14ac:dyDescent="0.3">
      <c r="A25" s="215"/>
      <c r="B25" s="191"/>
      <c r="C25" s="192"/>
      <c r="D25" s="193"/>
      <c r="E25" s="194" t="s">
        <v>214</v>
      </c>
      <c r="F25" s="195" t="str">
        <f>IF($B25="","",IF(SUMIFS(CONFIG_PALLETS!$C:$C,CONFIG_PALLETS!$A:$A,TRIM($B25),CONFIG_PALLETS!$B:$B,$C25&amp;" ml")&gt;0,SUMIFS(CONFIG_PALLETS!$C:$C,CONFIG_PALLETS!$A:$A,TRIM($B25),CONFIG_PALLETS!$B:$B,$C25&amp;" ml"),IF(SUMIFS(CONFIG_PALLETS!$C:$C,CONFIG_PALLETS!$A:$A,"GERAL",CONFIG_PALLETS!$B:$B,$C25&amp;" ml")&gt;0,SUMIFS(CONFIG_PALLETS!$C:$C,CONFIG_PALLETS!$A:$A,"GERAL",CONFIG_PALLETS!$B:$B,$C25&amp;" ml"),"")))</f>
        <v/>
      </c>
      <c r="G25" s="196" t="str">
        <f>IFERROR(ROUNDUP(D25/F25,0),"")</f>
        <v/>
      </c>
      <c r="H25" s="197"/>
      <c r="I25" s="193" t="str">
        <f>IF(H25="","",H25*IF(SUMIFS(CONFIG_PALLETS!$D:$D,CONFIG_PALLETS!$A:$A,IF(ISNUMBER(SEARCH("ESPUMA",$B25)),"ESPUMA",IF(OR(ISNUMBER(SEARCH("OLEO DE COCO",$B25)),ISNUMBER(SEARCH("ÓLEO DE COCO",$B25)),ISNUMBER(SEARCH("COPRA",$B25))),"ÓLEO DE COCO",IF(ISNUMBER(SEARCH("CORANTE",$B25)),"CORANTE",TRIM($B25)))),CONFIG_PALLETS!$B:$B,$C25&amp;" ml")&gt;0,SUMIFS(CONFIG_PALLETS!$D:$D,CONFIG_PALLETS!$A:$A,IF(ISNUMBER(SEARCH("ESPUMA",$B25)),"ESPUMA",IF(OR(ISNUMBER(SEARCH("OLEO DE COCO",$B25)),ISNUMBER(SEARCH("ÓLEO DE COCO",$B25)),ISNUMBER(SEARCH("COPRA",$B25))),"ÓLEO DE COCO",IF(ISNUMBER(SEARCH("CORANTE",$B25)),"CORANTE",TRIM($B25)))),CONFIG_PALLETS!$B:$B,$C25&amp;" ml"),IF(SUMIFS(CONFIG_PALLETS!$D:$D,CONFIG_PALLETS!$A:$A,"GERAL",CONFIG_PALLETS!$B:$B,$C25&amp;" ml")&gt;0,SUMIFS(CONFIG_PALLETS!$D:$D,CONFIG_PALLETS!$A:$A,"GERAL",CONFIG_PALLETS!$B:$B,$C25&amp;" ml"),12)))</f>
        <v/>
      </c>
    </row>
    <row r="26" spans="1:13" ht="15" customHeight="1" x14ac:dyDescent="0.3">
      <c r="A26" s="217"/>
      <c r="B26" s="199" t="s">
        <v>216</v>
      </c>
      <c r="C26" s="200"/>
      <c r="D26" s="201">
        <f>SUM(D19:D25)</f>
        <v>1644</v>
      </c>
      <c r="E26" s="202"/>
      <c r="F26" s="202"/>
      <c r="G26" s="203">
        <f>SUM(G19:G25)</f>
        <v>15</v>
      </c>
      <c r="H26" s="201">
        <f>SUM(H19:H25)</f>
        <v>1479</v>
      </c>
      <c r="I26" s="201">
        <f>SUM(I19:I25)</f>
        <v>17748</v>
      </c>
      <c r="J26" s="28">
        <f>D26</f>
        <v>1644</v>
      </c>
      <c r="K26" s="106">
        <f>G26</f>
        <v>15</v>
      </c>
      <c r="L26" s="28">
        <f>H26</f>
        <v>1479</v>
      </c>
      <c r="M26" s="28">
        <f>I26</f>
        <v>17748</v>
      </c>
    </row>
    <row r="27" spans="1:13" ht="6" customHeight="1" x14ac:dyDescent="0.3">
      <c r="C27" s="72"/>
    </row>
    <row r="28" spans="1:13" ht="15" customHeight="1" x14ac:dyDescent="0.3">
      <c r="A28" s="30">
        <v>46147</v>
      </c>
      <c r="B28" s="186" t="s">
        <v>78</v>
      </c>
      <c r="C28" s="187" t="s">
        <v>205</v>
      </c>
      <c r="D28" s="188" t="s">
        <v>206</v>
      </c>
      <c r="E28" s="188" t="s">
        <v>207</v>
      </c>
      <c r="F28" s="189" t="s">
        <v>208</v>
      </c>
      <c r="G28" s="188" t="s">
        <v>209</v>
      </c>
      <c r="H28" s="188" t="s">
        <v>210</v>
      </c>
      <c r="I28" s="188" t="s">
        <v>211</v>
      </c>
    </row>
    <row r="29" spans="1:13" ht="21" customHeight="1" x14ac:dyDescent="0.3">
      <c r="A29" s="215"/>
      <c r="B29" s="191" t="s">
        <v>621</v>
      </c>
      <c r="C29" s="192">
        <v>400</v>
      </c>
      <c r="D29" s="193">
        <v>250</v>
      </c>
      <c r="E29" s="194" t="s">
        <v>214</v>
      </c>
      <c r="F29" s="195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>125</v>
      </c>
      <c r="G29" s="196">
        <f t="shared" ref="G29:G34" si="1">IFERROR(ROUNDUP(D29/F29,0),"")</f>
        <v>2</v>
      </c>
      <c r="H29" s="197">
        <v>251</v>
      </c>
      <c r="I29" s="193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>3012</v>
      </c>
    </row>
    <row r="30" spans="1:13" ht="21" customHeight="1" x14ac:dyDescent="0.3">
      <c r="A30" s="215"/>
      <c r="B30" s="191" t="s">
        <v>446</v>
      </c>
      <c r="C30" s="192">
        <v>400</v>
      </c>
      <c r="D30" s="193">
        <v>250</v>
      </c>
      <c r="E30" s="194" t="s">
        <v>214</v>
      </c>
      <c r="F30" s="195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>125</v>
      </c>
      <c r="G30" s="196">
        <f t="shared" si="1"/>
        <v>2</v>
      </c>
      <c r="H30" s="197">
        <v>50</v>
      </c>
      <c r="I30" s="193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>600</v>
      </c>
    </row>
    <row r="31" spans="1:13" ht="21" customHeight="1" x14ac:dyDescent="0.3">
      <c r="A31" s="215"/>
      <c r="B31" s="191" t="s">
        <v>622</v>
      </c>
      <c r="C31" s="192">
        <v>200</v>
      </c>
      <c r="D31" s="193">
        <v>330</v>
      </c>
      <c r="E31" s="194" t="s">
        <v>214</v>
      </c>
      <c r="F31" s="195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>330</v>
      </c>
      <c r="G31" s="196">
        <f t="shared" si="1"/>
        <v>1</v>
      </c>
      <c r="H31" s="197">
        <v>333</v>
      </c>
      <c r="I31" s="193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>1998</v>
      </c>
    </row>
    <row r="32" spans="1:13" ht="21" customHeight="1" x14ac:dyDescent="0.3">
      <c r="A32" s="215"/>
      <c r="B32" s="191" t="s">
        <v>623</v>
      </c>
      <c r="C32" s="192">
        <v>200</v>
      </c>
      <c r="D32" s="193">
        <v>330</v>
      </c>
      <c r="E32" s="194" t="s">
        <v>214</v>
      </c>
      <c r="F32" s="195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>330</v>
      </c>
      <c r="G32" s="196">
        <f t="shared" si="1"/>
        <v>1</v>
      </c>
      <c r="H32" s="197">
        <v>331</v>
      </c>
      <c r="I32" s="193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>1986</v>
      </c>
    </row>
    <row r="33" spans="1:13" ht="21" customHeight="1" x14ac:dyDescent="0.3">
      <c r="A33" s="215"/>
      <c r="B33" s="191" t="s">
        <v>624</v>
      </c>
      <c r="C33" s="192">
        <v>200</v>
      </c>
      <c r="D33" s="193">
        <v>330</v>
      </c>
      <c r="E33" s="194" t="s">
        <v>214</v>
      </c>
      <c r="F33" s="195">
        <f>IF($B33="","",IF(SUMIFS(CONFIG_PALLETS!$C:$C,CONFIG_PALLETS!$A:$A,TRIM($B33),CONFIG_PALLETS!$B:$B,$C33&amp;" ml")&gt;0,SUMIFS(CONFIG_PALLETS!$C:$C,CONFIG_PALLETS!$A:$A,TRIM($B33),CONFIG_PALLETS!$B:$B,$C33&amp;" ml"),IF(SUMIFS(CONFIG_PALLETS!$C:$C,CONFIG_PALLETS!$A:$A,"GERAL",CONFIG_PALLETS!$B:$B,$C33&amp;" ml")&gt;0,SUMIFS(CONFIG_PALLETS!$C:$C,CONFIG_PALLETS!$A:$A,"GERAL",CONFIG_PALLETS!$B:$B,$C33&amp;" ml"),"")))</f>
        <v>330</v>
      </c>
      <c r="G33" s="196">
        <f t="shared" si="1"/>
        <v>1</v>
      </c>
      <c r="H33" s="197">
        <v>174</v>
      </c>
      <c r="I33" s="193">
        <f>IF(H33="","",H33*IF(SUMIFS(CONFIG_PALLETS!$D:$D,CONFIG_PALLETS!$A:$A,IF(ISNUMBER(SEARCH("ESPUMA",$B33)),"ESPUMA",IF(OR(ISNUMBER(SEARCH("OLEO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ml")&gt;0,SUMIFS(CONFIG_PALLETS!$D:$D,CONFIG_PALLETS!$A:$A,IF(ISNUMBER(SEARCH("ESPUMA",$B33)),"ESPUMA",IF(OR(ISNUMBER(SEARCH("OLEO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ml"),IF(SUMIFS(CONFIG_PALLETS!$D:$D,CONFIG_PALLETS!$A:$A,"GERAL",CONFIG_PALLETS!$B:$B,$C33&amp;" ml")&gt;0,SUMIFS(CONFIG_PALLETS!$D:$D,CONFIG_PALLETS!$A:$A,"GERAL",CONFIG_PALLETS!$B:$B,$C33&amp;" ml"),12)))</f>
        <v>1044</v>
      </c>
    </row>
    <row r="34" spans="1:13" ht="21" customHeight="1" x14ac:dyDescent="0.3">
      <c r="A34" s="215"/>
      <c r="B34" s="191"/>
      <c r="C34" s="192"/>
      <c r="D34" s="193"/>
      <c r="E34" s="194" t="s">
        <v>214</v>
      </c>
      <c r="F34" s="195" t="str">
        <f>IF($B34="","",IF(SUMIFS(CONFIG_PALLETS!$C:$C,CONFIG_PALLETS!$A:$A,TRIM($B34),CONFIG_PALLETS!$B:$B,$C34&amp;" ml")&gt;0,SUMIFS(CONFIG_PALLETS!$C:$C,CONFIG_PALLETS!$A:$A,TRIM($B34),CONFIG_PALLETS!$B:$B,$C34&amp;" ml"),IF(SUMIFS(CONFIG_PALLETS!$C:$C,CONFIG_PALLETS!$A:$A,"GERAL",CONFIG_PALLETS!$B:$B,$C34&amp;" ml")&gt;0,SUMIFS(CONFIG_PALLETS!$C:$C,CONFIG_PALLETS!$A:$A,"GERAL",CONFIG_PALLETS!$B:$B,$C34&amp;" ml"),"")))</f>
        <v/>
      </c>
      <c r="G34" s="196" t="str">
        <f t="shared" si="1"/>
        <v/>
      </c>
      <c r="H34" s="197"/>
      <c r="I34" s="193" t="str">
        <f>IF(H34="","",H34*IF(SUMIFS(CONFIG_PALLETS!$D:$D,CONFIG_PALLETS!$A:$A,IF(ISNUMBER(SEARCH("ESPUMA",$B34)),"ESPUMA",IF(OR(ISNUMBER(SEARCH("OLEO DE COCO",$B34)),ISNUMBER(SEARCH("ÓLEO DE COCO",$B34)),ISNUMBER(SEARCH("COPRA",$B34))),"ÓLEO DE COCO",IF(ISNUMBER(SEARCH("CORANTE",$B34)),"CORANTE",TRIM($B34)))),CONFIG_PALLETS!$B:$B,$C34&amp;" ml")&gt;0,SUMIFS(CONFIG_PALLETS!$D:$D,CONFIG_PALLETS!$A:$A,IF(ISNUMBER(SEARCH("ESPUMA",$B34)),"ESPUMA",IF(OR(ISNUMBER(SEARCH("OLEO DE COCO",$B34)),ISNUMBER(SEARCH("ÓLEO DE COCO",$B34)),ISNUMBER(SEARCH("COPRA",$B34))),"ÓLEO DE COCO",IF(ISNUMBER(SEARCH("CORANTE",$B34)),"CORANTE",TRIM($B34)))),CONFIG_PALLETS!$B:$B,$C34&amp;" ml"),IF(SUMIFS(CONFIG_PALLETS!$D:$D,CONFIG_PALLETS!$A:$A,"GERAL",CONFIG_PALLETS!$B:$B,$C34&amp;" ml")&gt;0,SUMIFS(CONFIG_PALLETS!$D:$D,CONFIG_PALLETS!$A:$A,"GERAL",CONFIG_PALLETS!$B:$B,$C34&amp;" ml"),12)))</f>
        <v/>
      </c>
    </row>
    <row r="35" spans="1:13" ht="15" customHeight="1" x14ac:dyDescent="0.3">
      <c r="A35" s="217"/>
      <c r="B35" s="199" t="s">
        <v>216</v>
      </c>
      <c r="C35" s="200"/>
      <c r="D35" s="201">
        <f>SUM(D28:D34)</f>
        <v>1490</v>
      </c>
      <c r="E35" s="202"/>
      <c r="F35" s="202"/>
      <c r="G35" s="203">
        <f>SUM(G28:G34)</f>
        <v>7</v>
      </c>
      <c r="H35" s="201">
        <f>SUM(H28:H34)</f>
        <v>1139</v>
      </c>
      <c r="I35" s="201">
        <f>SUM(I28:I34)</f>
        <v>8640</v>
      </c>
      <c r="J35" s="28">
        <f>D35</f>
        <v>1490</v>
      </c>
      <c r="K35" s="106">
        <f>G35</f>
        <v>7</v>
      </c>
      <c r="L35" s="28">
        <f>H35</f>
        <v>1139</v>
      </c>
      <c r="M35" s="28">
        <f>I35</f>
        <v>8640</v>
      </c>
    </row>
    <row r="36" spans="1:13" ht="6" customHeight="1" x14ac:dyDescent="0.3">
      <c r="C36" s="72"/>
    </row>
    <row r="37" spans="1:13" ht="15" customHeight="1" x14ac:dyDescent="0.3">
      <c r="A37" s="30">
        <v>46148</v>
      </c>
      <c r="B37" s="186" t="s">
        <v>78</v>
      </c>
      <c r="C37" s="187" t="s">
        <v>205</v>
      </c>
      <c r="D37" s="188" t="s">
        <v>206</v>
      </c>
      <c r="E37" s="188" t="s">
        <v>207</v>
      </c>
      <c r="F37" s="189" t="s">
        <v>208</v>
      </c>
      <c r="G37" s="188" t="s">
        <v>209</v>
      </c>
      <c r="H37" s="188" t="s">
        <v>210</v>
      </c>
      <c r="I37" s="188" t="s">
        <v>211</v>
      </c>
    </row>
    <row r="38" spans="1:13" ht="21" customHeight="1" x14ac:dyDescent="0.3">
      <c r="A38" s="215"/>
      <c r="B38" s="191" t="s">
        <v>624</v>
      </c>
      <c r="C38" s="192">
        <v>200</v>
      </c>
      <c r="D38" s="193">
        <f>D33-H33</f>
        <v>156</v>
      </c>
      <c r="E38" s="194" t="s">
        <v>214</v>
      </c>
      <c r="F38" s="195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>330</v>
      </c>
      <c r="G38" s="196">
        <f t="shared" ref="G38:G46" si="2">IFERROR(ROUNDUP(D38/F38,0),"")</f>
        <v>1</v>
      </c>
      <c r="H38" s="197">
        <v>156</v>
      </c>
      <c r="I38" s="193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>936</v>
      </c>
    </row>
    <row r="39" spans="1:13" ht="21" customHeight="1" x14ac:dyDescent="0.3">
      <c r="A39" s="215"/>
      <c r="B39" s="191" t="s">
        <v>625</v>
      </c>
      <c r="C39" s="192">
        <v>200</v>
      </c>
      <c r="D39" s="193">
        <v>330</v>
      </c>
      <c r="E39" s="194" t="s">
        <v>214</v>
      </c>
      <c r="F39" s="195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>330</v>
      </c>
      <c r="G39" s="196">
        <f t="shared" si="2"/>
        <v>1</v>
      </c>
      <c r="H39" s="197">
        <v>334</v>
      </c>
      <c r="I39" s="193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>2004</v>
      </c>
    </row>
    <row r="40" spans="1:13" ht="21" customHeight="1" x14ac:dyDescent="0.3">
      <c r="A40" s="215"/>
      <c r="B40" s="191" t="s">
        <v>626</v>
      </c>
      <c r="C40" s="192">
        <v>200</v>
      </c>
      <c r="D40" s="193">
        <v>330</v>
      </c>
      <c r="E40" s="194" t="s">
        <v>214</v>
      </c>
      <c r="F40" s="195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>330</v>
      </c>
      <c r="G40" s="196">
        <f t="shared" si="2"/>
        <v>1</v>
      </c>
      <c r="H40" s="197">
        <v>333</v>
      </c>
      <c r="I40" s="193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>1998</v>
      </c>
    </row>
    <row r="41" spans="1:13" ht="21" customHeight="1" x14ac:dyDescent="0.3">
      <c r="A41" s="215"/>
      <c r="B41" s="191" t="s">
        <v>627</v>
      </c>
      <c r="C41" s="192">
        <v>200</v>
      </c>
      <c r="D41" s="193">
        <v>330</v>
      </c>
      <c r="E41" s="194" t="s">
        <v>214</v>
      </c>
      <c r="F41" s="195">
        <f>IF($B41="","",IF(SUMIFS(CONFIG_PALLETS!$C:$C,CONFIG_PALLETS!$A:$A,TRIM($B41),CONFIG_PALLETS!$B:$B,$C41&amp;" ml")&gt;0,SUMIFS(CONFIG_PALLETS!$C:$C,CONFIG_PALLETS!$A:$A,TRIM($B41),CONFIG_PALLETS!$B:$B,$C41&amp;" ml"),IF(SUMIFS(CONFIG_PALLETS!$C:$C,CONFIG_PALLETS!$A:$A,"GERAL",CONFIG_PALLETS!$B:$B,$C41&amp;" ml")&gt;0,SUMIFS(CONFIG_PALLETS!$C:$C,CONFIG_PALLETS!$A:$A,"GERAL",CONFIG_PALLETS!$B:$B,$C41&amp;" ml"),"")))</f>
        <v>330</v>
      </c>
      <c r="G41" s="196">
        <f t="shared" si="2"/>
        <v>1</v>
      </c>
      <c r="H41" s="197">
        <v>330</v>
      </c>
      <c r="I41" s="193">
        <f>IF(H41="","",H41*IF(SUMIFS(CONFIG_PALLETS!$D:$D,CONFIG_PALLETS!$A:$A,IF(ISNUMBER(SEARCH("ESPUMA",$B41)),"ESPUMA",IF(OR(ISNUMBER(SEARCH("OLEO DE COCO",$B41)),ISNUMBER(SEARCH("ÓLEO DE COCO",$B41)),ISNUMBER(SEARCH("COPRA",$B41))),"ÓLEO DE COCO",IF(ISNUMBER(SEARCH("CORANTE",$B41)),"CORANTE",TRIM($B41)))),CONFIG_PALLETS!$B:$B,$C41&amp;" ml")&gt;0,SUMIFS(CONFIG_PALLETS!$D:$D,CONFIG_PALLETS!$A:$A,IF(ISNUMBER(SEARCH("ESPUMA",$B41)),"ESPUMA",IF(OR(ISNUMBER(SEARCH("OLEO DE COCO",$B41)),ISNUMBER(SEARCH("ÓLEO DE COCO",$B41)),ISNUMBER(SEARCH("COPRA",$B41))),"ÓLEO DE COCO",IF(ISNUMBER(SEARCH("CORANTE",$B41)),"CORANTE",TRIM($B41)))),CONFIG_PALLETS!$B:$B,$C41&amp;" ml"),IF(SUMIFS(CONFIG_PALLETS!$D:$D,CONFIG_PALLETS!$A:$A,"GERAL",CONFIG_PALLETS!$B:$B,$C41&amp;" ml")&gt;0,SUMIFS(CONFIG_PALLETS!$D:$D,CONFIG_PALLETS!$A:$A,"GERAL",CONFIG_PALLETS!$B:$B,$C41&amp;" ml"),12)))</f>
        <v>1980</v>
      </c>
    </row>
    <row r="42" spans="1:13" ht="21" customHeight="1" x14ac:dyDescent="0.3">
      <c r="A42" s="215"/>
      <c r="B42" s="191" t="s">
        <v>628</v>
      </c>
      <c r="C42" s="192">
        <v>200</v>
      </c>
      <c r="D42" s="193">
        <v>330</v>
      </c>
      <c r="E42" s="194" t="s">
        <v>214</v>
      </c>
      <c r="F42" s="195">
        <f>IF($B42="","",IF(SUMIFS(CONFIG_PALLETS!$C:$C,CONFIG_PALLETS!$A:$A,TRIM($B42),CONFIG_PALLETS!$B:$B,$C42&amp;" ml")&gt;0,SUMIFS(CONFIG_PALLETS!$C:$C,CONFIG_PALLETS!$A:$A,TRIM($B42),CONFIG_PALLETS!$B:$B,$C42&amp;" ml"),IF(SUMIFS(CONFIG_PALLETS!$C:$C,CONFIG_PALLETS!$A:$A,"GERAL",CONFIG_PALLETS!$B:$B,$C42&amp;" ml")&gt;0,SUMIFS(CONFIG_PALLETS!$C:$C,CONFIG_PALLETS!$A:$A,"GERAL",CONFIG_PALLETS!$B:$B,$C42&amp;" ml"),"")))</f>
        <v>330</v>
      </c>
      <c r="G42" s="196">
        <f t="shared" si="2"/>
        <v>1</v>
      </c>
      <c r="H42" s="197">
        <v>332</v>
      </c>
      <c r="I42" s="193">
        <f>IF(H42="","",H42*IF(SUMIFS(CONFIG_PALLETS!$D:$D,CONFIG_PALLETS!$A:$A,IF(ISNUMBER(SEARCH("ESPUMA",$B42)),"ESPUMA",IF(OR(ISNUMBER(SEARCH("OLEO DE COCO",$B42)),ISNUMBER(SEARCH("ÓLEO DE COCO",$B42)),ISNUMBER(SEARCH("COPRA",$B42))),"ÓLEO DE COCO",IF(ISNUMBER(SEARCH("CORANTE",$B42)),"CORANTE",TRIM($B42)))),CONFIG_PALLETS!$B:$B,$C42&amp;" ml")&gt;0,SUMIFS(CONFIG_PALLETS!$D:$D,CONFIG_PALLETS!$A:$A,IF(ISNUMBER(SEARCH("ESPUMA",$B42)),"ESPUMA",IF(OR(ISNUMBER(SEARCH("OLEO DE COCO",$B42)),ISNUMBER(SEARCH("ÓLEO DE COCO",$B42)),ISNUMBER(SEARCH("COPRA",$B42))),"ÓLEO DE COCO",IF(ISNUMBER(SEARCH("CORANTE",$B42)),"CORANTE",TRIM($B42)))),CONFIG_PALLETS!$B:$B,$C42&amp;" ml"),IF(SUMIFS(CONFIG_PALLETS!$D:$D,CONFIG_PALLETS!$A:$A,"GERAL",CONFIG_PALLETS!$B:$B,$C42&amp;" ml")&gt;0,SUMIFS(CONFIG_PALLETS!$D:$D,CONFIG_PALLETS!$A:$A,"GERAL",CONFIG_PALLETS!$B:$B,$C42&amp;" ml"),12)))</f>
        <v>1992</v>
      </c>
    </row>
    <row r="43" spans="1:13" ht="21" customHeight="1" x14ac:dyDescent="0.3">
      <c r="A43" s="215"/>
      <c r="B43" s="191" t="s">
        <v>629</v>
      </c>
      <c r="C43" s="192">
        <v>200</v>
      </c>
      <c r="D43" s="193">
        <v>330</v>
      </c>
      <c r="E43" s="194" t="s">
        <v>214</v>
      </c>
      <c r="F43" s="195">
        <f>IF($B43="","",IF(SUMIFS(CONFIG_PALLETS!$C:$C,CONFIG_PALLETS!$A:$A,TRIM($B43),CONFIG_PALLETS!$B:$B,$C43&amp;" ml")&gt;0,SUMIFS(CONFIG_PALLETS!$C:$C,CONFIG_PALLETS!$A:$A,TRIM($B43),CONFIG_PALLETS!$B:$B,$C43&amp;" ml"),IF(SUMIFS(CONFIG_PALLETS!$C:$C,CONFIG_PALLETS!$A:$A,"GERAL",CONFIG_PALLETS!$B:$B,$C43&amp;" ml")&gt;0,SUMIFS(CONFIG_PALLETS!$C:$C,CONFIG_PALLETS!$A:$A,"GERAL",CONFIG_PALLETS!$B:$B,$C43&amp;" ml"),"")))</f>
        <v>330</v>
      </c>
      <c r="G43" s="196">
        <f t="shared" si="2"/>
        <v>1</v>
      </c>
      <c r="H43" s="197">
        <v>336</v>
      </c>
      <c r="I43" s="193">
        <f>IF(H43="","",H43*IF(SUMIFS(CONFIG_PALLETS!$D:$D,CONFIG_PALLETS!$A:$A,IF(ISNUMBER(SEARCH("ESPUMA",$B43)),"ESPUMA",IF(OR(ISNUMBER(SEARCH("OLEO DE COCO",$B43)),ISNUMBER(SEARCH("ÓLEO DE COCO",$B43)),ISNUMBER(SEARCH("COPRA",$B43))),"ÓLEO DE COCO",IF(ISNUMBER(SEARCH("CORANTE",$B43)),"CORANTE",TRIM($B43)))),CONFIG_PALLETS!$B:$B,$C43&amp;" ml")&gt;0,SUMIFS(CONFIG_PALLETS!$D:$D,CONFIG_PALLETS!$A:$A,IF(ISNUMBER(SEARCH("ESPUMA",$B43)),"ESPUMA",IF(OR(ISNUMBER(SEARCH("OLEO DE COCO",$B43)),ISNUMBER(SEARCH("ÓLEO DE COCO",$B43)),ISNUMBER(SEARCH("COPRA",$B43))),"ÓLEO DE COCO",IF(ISNUMBER(SEARCH("CORANTE",$B43)),"CORANTE",TRIM($B43)))),CONFIG_PALLETS!$B:$B,$C43&amp;" ml"),IF(SUMIFS(CONFIG_PALLETS!$D:$D,CONFIG_PALLETS!$A:$A,"GERAL",CONFIG_PALLETS!$B:$B,$C43&amp;" ml")&gt;0,SUMIFS(CONFIG_PALLETS!$D:$D,CONFIG_PALLETS!$A:$A,"GERAL",CONFIG_PALLETS!$B:$B,$C43&amp;" ml"),12)))</f>
        <v>2016</v>
      </c>
    </row>
    <row r="44" spans="1:13" ht="21" customHeight="1" x14ac:dyDescent="0.3">
      <c r="A44" s="215"/>
      <c r="B44" s="191" t="s">
        <v>630</v>
      </c>
      <c r="C44" s="192">
        <v>200</v>
      </c>
      <c r="D44" s="193">
        <v>330</v>
      </c>
      <c r="E44" s="194" t="s">
        <v>214</v>
      </c>
      <c r="F44" s="195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>330</v>
      </c>
      <c r="G44" s="196">
        <f t="shared" si="2"/>
        <v>1</v>
      </c>
      <c r="H44" s="197">
        <v>64</v>
      </c>
      <c r="I44" s="193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>384</v>
      </c>
    </row>
    <row r="45" spans="1:13" ht="21" customHeight="1" x14ac:dyDescent="0.3">
      <c r="A45" s="215"/>
      <c r="B45" s="191" t="s">
        <v>631</v>
      </c>
      <c r="C45" s="192">
        <v>200</v>
      </c>
      <c r="D45" s="193">
        <v>330</v>
      </c>
      <c r="E45" s="194" t="s">
        <v>214</v>
      </c>
      <c r="F45" s="195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>330</v>
      </c>
      <c r="G45" s="196">
        <f t="shared" si="2"/>
        <v>1</v>
      </c>
      <c r="H45" s="197">
        <v>208</v>
      </c>
      <c r="I45" s="193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>1248</v>
      </c>
    </row>
    <row r="46" spans="1:13" ht="21" customHeight="1" x14ac:dyDescent="0.3">
      <c r="A46" s="215"/>
      <c r="B46" s="191"/>
      <c r="C46" s="192"/>
      <c r="D46" s="193"/>
      <c r="E46" s="194" t="s">
        <v>214</v>
      </c>
      <c r="F46" s="195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196" t="str">
        <f t="shared" si="2"/>
        <v/>
      </c>
      <c r="H46" s="197"/>
      <c r="I46" s="193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</row>
    <row r="47" spans="1:13" ht="15" customHeight="1" x14ac:dyDescent="0.3">
      <c r="A47" s="217"/>
      <c r="B47" s="199" t="s">
        <v>216</v>
      </c>
      <c r="C47" s="200"/>
      <c r="D47" s="201">
        <f>SUM(D40:D46)</f>
        <v>1980</v>
      </c>
      <c r="E47" s="202"/>
      <c r="F47" s="202"/>
      <c r="G47" s="203">
        <f>SUM(G40:G46)</f>
        <v>6</v>
      </c>
      <c r="H47" s="201">
        <f>SUM(H40:H46)</f>
        <v>1603</v>
      </c>
      <c r="I47" s="201">
        <f>SUM(I40:I46)</f>
        <v>9618</v>
      </c>
      <c r="J47" s="28">
        <f>D47</f>
        <v>1980</v>
      </c>
      <c r="K47" s="106">
        <f>G47</f>
        <v>6</v>
      </c>
      <c r="L47" s="28">
        <f>H47</f>
        <v>1603</v>
      </c>
      <c r="M47" s="28">
        <f>I47</f>
        <v>9618</v>
      </c>
    </row>
    <row r="48" spans="1:13" ht="6" customHeight="1" x14ac:dyDescent="0.3">
      <c r="C48" s="72"/>
    </row>
    <row r="49" spans="1:13" ht="15" customHeight="1" x14ac:dyDescent="0.3">
      <c r="A49" s="30">
        <v>46149</v>
      </c>
      <c r="B49" s="186" t="s">
        <v>78</v>
      </c>
      <c r="C49" s="187" t="s">
        <v>205</v>
      </c>
      <c r="D49" s="188" t="s">
        <v>206</v>
      </c>
      <c r="E49" s="188" t="s">
        <v>207</v>
      </c>
      <c r="F49" s="189" t="s">
        <v>208</v>
      </c>
      <c r="G49" s="188" t="s">
        <v>209</v>
      </c>
      <c r="H49" s="188" t="s">
        <v>210</v>
      </c>
      <c r="I49" s="188" t="s">
        <v>211</v>
      </c>
    </row>
    <row r="50" spans="1:13" ht="21" customHeight="1" x14ac:dyDescent="0.3">
      <c r="A50" s="215"/>
      <c r="B50" s="191" t="s">
        <v>631</v>
      </c>
      <c r="C50" s="192">
        <v>200</v>
      </c>
      <c r="D50" s="193">
        <f>D45-H45</f>
        <v>122</v>
      </c>
      <c r="E50" s="194" t="s">
        <v>214</v>
      </c>
      <c r="F50" s="195">
        <f>IF($B50="","",IF(SUMIFS(CONFIG_PALLETS!$C:$C,CONFIG_PALLETS!$A:$A,TRIM($B50),CONFIG_PALLETS!$B:$B,$C50&amp;" ml")&gt;0,SUMIFS(CONFIG_PALLETS!$C:$C,CONFIG_PALLETS!$A:$A,TRIM($B50),CONFIG_PALLETS!$B:$B,$C50&amp;" ml"),IF(SUMIFS(CONFIG_PALLETS!$C:$C,CONFIG_PALLETS!$A:$A,"GERAL",CONFIG_PALLETS!$B:$B,$C50&amp;" ml")&gt;0,SUMIFS(CONFIG_PALLETS!$C:$C,CONFIG_PALLETS!$A:$A,"GERAL",CONFIG_PALLETS!$B:$B,$C50&amp;" ml"),"")))</f>
        <v>330</v>
      </c>
      <c r="G50" s="196">
        <f t="shared" ref="G50:G56" si="3">IFERROR(ROUNDUP(D50/F50,0),"")</f>
        <v>1</v>
      </c>
      <c r="H50" s="197">
        <v>123</v>
      </c>
      <c r="I50" s="193">
        <f>IF(H50="","",H50*IF(SUMIFS(CONFIG_PALLETS!$D:$D,CONFIG_PALLETS!$A:$A,IF(ISNUMBER(SEARCH("ESPUMA",$B50)),"ESPUMA",IF(OR(ISNUMBER(SEARCH("OLEO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ml")&gt;0,SUMIFS(CONFIG_PALLETS!$D:$D,CONFIG_PALLETS!$A:$A,IF(ISNUMBER(SEARCH("ESPUMA",$B50)),"ESPUMA",IF(OR(ISNUMBER(SEARCH("OLEO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ml"),IF(SUMIFS(CONFIG_PALLETS!$D:$D,CONFIG_PALLETS!$A:$A,"GERAL",CONFIG_PALLETS!$B:$B,$C50&amp;" ml")&gt;0,SUMIFS(CONFIG_PALLETS!$D:$D,CONFIG_PALLETS!$A:$A,"GERAL",CONFIG_PALLETS!$B:$B,$C50&amp;" ml"),12)))</f>
        <v>738</v>
      </c>
    </row>
    <row r="51" spans="1:13" ht="21" customHeight="1" x14ac:dyDescent="0.3">
      <c r="A51" s="215"/>
      <c r="B51" s="191" t="s">
        <v>630</v>
      </c>
      <c r="C51" s="192">
        <v>200</v>
      </c>
      <c r="D51" s="193">
        <f>D44-H44</f>
        <v>266</v>
      </c>
      <c r="E51" s="194" t="s">
        <v>214</v>
      </c>
      <c r="F51" s="195">
        <f>IF($B51="","",IF(SUMIFS(CONFIG_PALLETS!$C:$C,CONFIG_PALLETS!$A:$A,TRIM($B51),CONFIG_PALLETS!$B:$B,$C51&amp;" ml")&gt;0,SUMIFS(CONFIG_PALLETS!$C:$C,CONFIG_PALLETS!$A:$A,TRIM($B51),CONFIG_PALLETS!$B:$B,$C51&amp;" ml"),IF(SUMIFS(CONFIG_PALLETS!$C:$C,CONFIG_PALLETS!$A:$A,"GERAL",CONFIG_PALLETS!$B:$B,$C51&amp;" ml")&gt;0,SUMIFS(CONFIG_PALLETS!$C:$C,CONFIG_PALLETS!$A:$A,"GERAL",CONFIG_PALLETS!$B:$B,$C51&amp;" ml"),"")))</f>
        <v>330</v>
      </c>
      <c r="G51" s="196">
        <f t="shared" si="3"/>
        <v>1</v>
      </c>
      <c r="H51" s="197">
        <v>269</v>
      </c>
      <c r="I51" s="193">
        <f>IF(H51="","",H51*IF(SUMIFS(CONFIG_PALLETS!$D:$D,CONFIG_PALLETS!$A:$A,IF(ISNUMBER(SEARCH("ESPUMA",$B51)),"ESPUMA",IF(OR(ISNUMBER(SEARCH("OLEO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ml")&gt;0,SUMIFS(CONFIG_PALLETS!$D:$D,CONFIG_PALLETS!$A:$A,IF(ISNUMBER(SEARCH("ESPUMA",$B51)),"ESPUMA",IF(OR(ISNUMBER(SEARCH("OLEO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ml"),IF(SUMIFS(CONFIG_PALLETS!$D:$D,CONFIG_PALLETS!$A:$A,"GERAL",CONFIG_PALLETS!$B:$B,$C51&amp;" ml")&gt;0,SUMIFS(CONFIG_PALLETS!$D:$D,CONFIG_PALLETS!$A:$A,"GERAL",CONFIG_PALLETS!$B:$B,$C51&amp;" ml"),12)))</f>
        <v>1614</v>
      </c>
    </row>
    <row r="52" spans="1:13" ht="21" customHeight="1" x14ac:dyDescent="0.3">
      <c r="A52" s="215"/>
      <c r="B52" s="191" t="s">
        <v>632</v>
      </c>
      <c r="C52" s="192">
        <v>200</v>
      </c>
      <c r="D52" s="193">
        <v>660</v>
      </c>
      <c r="E52" s="194" t="s">
        <v>214</v>
      </c>
      <c r="F52" s="195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>330</v>
      </c>
      <c r="G52" s="196">
        <f t="shared" si="3"/>
        <v>2</v>
      </c>
      <c r="H52" s="197">
        <v>668</v>
      </c>
      <c r="I52" s="193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>4008</v>
      </c>
    </row>
    <row r="53" spans="1:13" ht="21" customHeight="1" x14ac:dyDescent="0.3">
      <c r="A53" s="215"/>
      <c r="B53" s="191" t="s">
        <v>446</v>
      </c>
      <c r="C53" s="192">
        <v>400</v>
      </c>
      <c r="D53" s="193">
        <v>200</v>
      </c>
      <c r="E53" s="194" t="s">
        <v>214</v>
      </c>
      <c r="F53" s="195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>125</v>
      </c>
      <c r="G53" s="196">
        <f t="shared" si="3"/>
        <v>2</v>
      </c>
      <c r="H53" s="197">
        <v>200</v>
      </c>
      <c r="I53" s="193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>2400</v>
      </c>
    </row>
    <row r="54" spans="1:13" ht="21" customHeight="1" x14ac:dyDescent="0.3">
      <c r="A54" s="215"/>
      <c r="B54" s="191" t="s">
        <v>447</v>
      </c>
      <c r="C54" s="192">
        <v>400</v>
      </c>
      <c r="D54" s="193">
        <v>250</v>
      </c>
      <c r="E54" s="194" t="s">
        <v>214</v>
      </c>
      <c r="F54" s="195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>125</v>
      </c>
      <c r="G54" s="196">
        <f t="shared" si="3"/>
        <v>2</v>
      </c>
      <c r="H54" s="197">
        <v>252</v>
      </c>
      <c r="I54" s="193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>3024</v>
      </c>
    </row>
    <row r="55" spans="1:13" ht="21" customHeight="1" x14ac:dyDescent="0.3">
      <c r="A55" s="215"/>
      <c r="B55" s="191" t="s">
        <v>229</v>
      </c>
      <c r="C55" s="192">
        <v>600</v>
      </c>
      <c r="D55" s="193">
        <v>665</v>
      </c>
      <c r="E55" s="194" t="s">
        <v>214</v>
      </c>
      <c r="F55" s="195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>95</v>
      </c>
      <c r="G55" s="196">
        <f t="shared" si="3"/>
        <v>7</v>
      </c>
      <c r="H55" s="197">
        <v>105</v>
      </c>
      <c r="I55" s="193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>1260</v>
      </c>
    </row>
    <row r="56" spans="1:13" ht="21" customHeight="1" x14ac:dyDescent="0.3">
      <c r="A56" s="215"/>
      <c r="B56" s="191"/>
      <c r="C56" s="192"/>
      <c r="D56" s="193"/>
      <c r="E56" s="194" t="s">
        <v>214</v>
      </c>
      <c r="F56" s="195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196" t="str">
        <f t="shared" si="3"/>
        <v/>
      </c>
      <c r="H56" s="197"/>
      <c r="I56" s="193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15" customHeight="1" x14ac:dyDescent="0.3">
      <c r="A57" s="217"/>
      <c r="B57" s="199" t="s">
        <v>216</v>
      </c>
      <c r="C57" s="200"/>
      <c r="D57" s="201">
        <f>SUM(D50:D56)</f>
        <v>2163</v>
      </c>
      <c r="E57" s="202"/>
      <c r="F57" s="202"/>
      <c r="G57" s="201">
        <f>SUM(G50:G56)</f>
        <v>15</v>
      </c>
      <c r="H57" s="201">
        <f>SUM(H50:H56)</f>
        <v>1617</v>
      </c>
      <c r="I57" s="201">
        <f>SUM(I50:I56)</f>
        <v>13044</v>
      </c>
      <c r="J57" s="28">
        <f>D57</f>
        <v>2163</v>
      </c>
      <c r="K57" s="106">
        <f>G57</f>
        <v>15</v>
      </c>
      <c r="L57" s="28">
        <f>H57</f>
        <v>1617</v>
      </c>
      <c r="M57" s="28">
        <f>I57</f>
        <v>13044</v>
      </c>
    </row>
    <row r="58" spans="1:13" ht="6" customHeight="1" x14ac:dyDescent="0.3">
      <c r="C58" s="72"/>
    </row>
    <row r="59" spans="1:13" ht="15" customHeight="1" x14ac:dyDescent="0.3">
      <c r="A59" s="30">
        <v>46150</v>
      </c>
      <c r="B59" s="186" t="s">
        <v>78</v>
      </c>
      <c r="C59" s="187" t="s">
        <v>205</v>
      </c>
      <c r="D59" s="188" t="s">
        <v>206</v>
      </c>
      <c r="E59" s="188" t="s">
        <v>207</v>
      </c>
      <c r="F59" s="189" t="s">
        <v>208</v>
      </c>
      <c r="G59" s="188" t="s">
        <v>209</v>
      </c>
      <c r="H59" s="188" t="s">
        <v>210</v>
      </c>
      <c r="I59" s="188" t="s">
        <v>211</v>
      </c>
    </row>
    <row r="60" spans="1:13" ht="21" customHeight="1" x14ac:dyDescent="0.3">
      <c r="A60" s="215"/>
      <c r="B60" s="191" t="s">
        <v>229</v>
      </c>
      <c r="C60" s="192">
        <v>600</v>
      </c>
      <c r="D60" s="193">
        <f>D55-H55</f>
        <v>560</v>
      </c>
      <c r="E60" s="194" t="s">
        <v>214</v>
      </c>
      <c r="F60" s="195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>95</v>
      </c>
      <c r="G60" s="196">
        <f>IFERROR(ROUNDUP(D60/F60,0),"")</f>
        <v>6</v>
      </c>
      <c r="H60" s="197">
        <v>531</v>
      </c>
      <c r="I60" s="193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>6372</v>
      </c>
    </row>
    <row r="61" spans="1:13" ht="21" customHeight="1" x14ac:dyDescent="0.3">
      <c r="A61" s="215"/>
      <c r="B61" s="191"/>
      <c r="C61" s="192"/>
      <c r="D61" s="193"/>
      <c r="E61" s="194" t="s">
        <v>214</v>
      </c>
      <c r="F61" s="195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196" t="str">
        <f>IFERROR(ROUNDUP(D61/F61,0),"")</f>
        <v/>
      </c>
      <c r="H61" s="197"/>
      <c r="I61" s="193" t="str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</row>
    <row r="62" spans="1:13" ht="21" customHeight="1" x14ac:dyDescent="0.3">
      <c r="A62" s="215"/>
      <c r="B62" s="191"/>
      <c r="C62" s="192"/>
      <c r="D62" s="193"/>
      <c r="E62" s="194" t="s">
        <v>214</v>
      </c>
      <c r="F62" s="195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196" t="str">
        <f>IFERROR(ROUNDUP(D62/F62,0),"")</f>
        <v/>
      </c>
      <c r="H62" s="197"/>
      <c r="I62" s="193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3" ht="21" customHeight="1" x14ac:dyDescent="0.3">
      <c r="A63" s="215"/>
      <c r="B63" s="191"/>
      <c r="C63" s="192"/>
      <c r="D63" s="193"/>
      <c r="E63" s="194" t="s">
        <v>214</v>
      </c>
      <c r="F63" s="195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196" t="str">
        <f>IFERROR(ROUNDUP(D63/F63,0),"")</f>
        <v/>
      </c>
      <c r="H63" s="197"/>
      <c r="I63" s="193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3">
      <c r="A64" s="215"/>
      <c r="B64" s="191"/>
      <c r="C64" s="192"/>
      <c r="D64" s="193"/>
      <c r="E64" s="194" t="s">
        <v>214</v>
      </c>
      <c r="F64" s="195" t="str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196" t="str">
        <f>IFERROR(ROUNDUP(D64/F64,0),"")</f>
        <v/>
      </c>
      <c r="H64" s="197"/>
      <c r="I64" s="193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15" customHeight="1" x14ac:dyDescent="0.3">
      <c r="A65" s="217"/>
      <c r="B65" s="199" t="s">
        <v>216</v>
      </c>
      <c r="C65" s="200"/>
      <c r="D65" s="201">
        <f>SUM(D58:D64)</f>
        <v>560</v>
      </c>
      <c r="E65" s="202"/>
      <c r="F65" s="202"/>
      <c r="G65" s="203">
        <f>SUM(G58:G64)</f>
        <v>6</v>
      </c>
      <c r="H65" s="201">
        <f>SUM(H58:H64)</f>
        <v>531</v>
      </c>
      <c r="I65" s="201">
        <f>SUM(I58:I64)</f>
        <v>6372</v>
      </c>
      <c r="J65" s="28">
        <f>D65</f>
        <v>560</v>
      </c>
      <c r="K65" s="106">
        <f>G65</f>
        <v>6</v>
      </c>
      <c r="L65" s="28">
        <f>H65</f>
        <v>531</v>
      </c>
      <c r="M65" s="28">
        <f>I65</f>
        <v>6372</v>
      </c>
    </row>
    <row r="66" spans="1:13" ht="6" customHeight="1" x14ac:dyDescent="0.3">
      <c r="C66" s="72"/>
    </row>
    <row r="67" spans="1:13" ht="15" customHeight="1" x14ac:dyDescent="0.3">
      <c r="A67" s="30">
        <v>46151</v>
      </c>
      <c r="B67" s="186" t="s">
        <v>78</v>
      </c>
      <c r="C67" s="187" t="s">
        <v>205</v>
      </c>
      <c r="D67" s="188" t="s">
        <v>206</v>
      </c>
      <c r="E67" s="188" t="s">
        <v>207</v>
      </c>
      <c r="F67" s="189" t="s">
        <v>208</v>
      </c>
      <c r="G67" s="188" t="s">
        <v>209</v>
      </c>
      <c r="H67" s="188" t="s">
        <v>210</v>
      </c>
      <c r="I67" s="188" t="s">
        <v>211</v>
      </c>
    </row>
    <row r="68" spans="1:13" ht="21" customHeight="1" x14ac:dyDescent="0.3">
      <c r="A68" s="215"/>
      <c r="B68" s="191" t="s">
        <v>54</v>
      </c>
      <c r="C68" s="192">
        <v>600</v>
      </c>
      <c r="D68" s="193">
        <f>D60-H60</f>
        <v>29</v>
      </c>
      <c r="E68" s="194" t="s">
        <v>214</v>
      </c>
      <c r="F68" s="195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>95</v>
      </c>
      <c r="G68" s="196">
        <f>IFERROR(ROUNDUP(D68/F68,0),"")</f>
        <v>1</v>
      </c>
      <c r="H68" s="197">
        <v>37</v>
      </c>
      <c r="I68" s="193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>444</v>
      </c>
    </row>
    <row r="69" spans="1:13" ht="21" customHeight="1" x14ac:dyDescent="0.3">
      <c r="A69" s="215"/>
      <c r="B69" s="191" t="s">
        <v>633</v>
      </c>
      <c r="C69" s="192">
        <v>600</v>
      </c>
      <c r="D69" s="193">
        <v>650</v>
      </c>
      <c r="E69" s="194" t="s">
        <v>214</v>
      </c>
      <c r="F69" s="195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>95</v>
      </c>
      <c r="G69" s="196">
        <f>IFERROR(ROUNDUP(D69/F69,0),"")</f>
        <v>7</v>
      </c>
      <c r="H69" s="197">
        <v>641</v>
      </c>
      <c r="I69" s="193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>7692</v>
      </c>
    </row>
    <row r="70" spans="1:13" ht="21" customHeight="1" x14ac:dyDescent="0.3">
      <c r="A70" s="215"/>
      <c r="B70" s="191"/>
      <c r="C70" s="192"/>
      <c r="D70" s="193"/>
      <c r="E70" s="194" t="s">
        <v>214</v>
      </c>
      <c r="F70" s="195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196" t="str">
        <f>IFERROR(ROUNDUP(D70/F70,0),"")</f>
        <v/>
      </c>
      <c r="H70" s="197"/>
      <c r="I70" s="193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</row>
    <row r="71" spans="1:13" ht="21" customHeight="1" x14ac:dyDescent="0.3">
      <c r="A71" s="215"/>
      <c r="B71" s="191"/>
      <c r="C71" s="192"/>
      <c r="D71" s="193"/>
      <c r="E71" s="194" t="s">
        <v>214</v>
      </c>
      <c r="F71" s="195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196" t="str">
        <f>IFERROR(ROUNDUP(D71/F71,0),"")</f>
        <v/>
      </c>
      <c r="H71" s="197"/>
      <c r="I71" s="193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</row>
    <row r="72" spans="1:13" ht="21" customHeight="1" x14ac:dyDescent="0.3">
      <c r="A72" s="215"/>
      <c r="B72" s="191"/>
      <c r="C72" s="192"/>
      <c r="D72" s="193"/>
      <c r="E72" s="194" t="s">
        <v>214</v>
      </c>
      <c r="F72" s="195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196" t="str">
        <f>IFERROR(ROUNDUP(D72/F72,0),"")</f>
        <v/>
      </c>
      <c r="H72" s="197"/>
      <c r="I72" s="193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15" customHeight="1" x14ac:dyDescent="0.3">
      <c r="A73" s="217"/>
      <c r="B73" s="199" t="s">
        <v>216</v>
      </c>
      <c r="C73" s="200"/>
      <c r="D73" s="201">
        <f>SUM(D66:D72)</f>
        <v>679</v>
      </c>
      <c r="E73" s="202"/>
      <c r="F73" s="202"/>
      <c r="G73" s="203">
        <f>SUM(G66:G72)</f>
        <v>8</v>
      </c>
      <c r="H73" s="201">
        <f>SUM(H66:H72)</f>
        <v>678</v>
      </c>
      <c r="I73" s="201">
        <f>SUM(I66:I72)</f>
        <v>8136</v>
      </c>
      <c r="J73" s="28">
        <f>D73</f>
        <v>679</v>
      </c>
      <c r="K73" s="106">
        <f>G73</f>
        <v>8</v>
      </c>
      <c r="L73" s="28">
        <f>H73</f>
        <v>678</v>
      </c>
      <c r="M73" s="28">
        <f>I73</f>
        <v>8136</v>
      </c>
    </row>
    <row r="74" spans="1:13" ht="6" customHeight="1" x14ac:dyDescent="0.3">
      <c r="C74" s="72"/>
    </row>
    <row r="75" spans="1:13" ht="15" customHeight="1" x14ac:dyDescent="0.3">
      <c r="A75" s="30">
        <v>46153</v>
      </c>
      <c r="B75" s="186" t="s">
        <v>78</v>
      </c>
      <c r="C75" s="187" t="s">
        <v>205</v>
      </c>
      <c r="D75" s="188" t="s">
        <v>206</v>
      </c>
      <c r="E75" s="188" t="s">
        <v>207</v>
      </c>
      <c r="F75" s="189" t="s">
        <v>208</v>
      </c>
      <c r="G75" s="188" t="s">
        <v>209</v>
      </c>
      <c r="H75" s="188" t="s">
        <v>210</v>
      </c>
      <c r="I75" s="188" t="s">
        <v>211</v>
      </c>
    </row>
    <row r="76" spans="1:13" ht="21" customHeight="1" x14ac:dyDescent="0.3">
      <c r="A76" s="215"/>
      <c r="B76" s="191" t="s">
        <v>634</v>
      </c>
      <c r="C76" s="192">
        <v>600</v>
      </c>
      <c r="D76" s="193">
        <v>200</v>
      </c>
      <c r="E76" s="194" t="s">
        <v>214</v>
      </c>
      <c r="F76" s="195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>95</v>
      </c>
      <c r="G76" s="196">
        <f t="shared" ref="G76:G81" si="4">IFERROR(ROUNDUP(D76/F76,0),"")</f>
        <v>3</v>
      </c>
      <c r="H76" s="197">
        <v>202</v>
      </c>
      <c r="I76" s="193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>2424</v>
      </c>
    </row>
    <row r="77" spans="1:13" ht="21" customHeight="1" x14ac:dyDescent="0.3">
      <c r="A77" s="215"/>
      <c r="B77" s="191" t="s">
        <v>598</v>
      </c>
      <c r="C77" s="192">
        <v>600</v>
      </c>
      <c r="D77" s="193">
        <v>285</v>
      </c>
      <c r="E77" s="194" t="s">
        <v>214</v>
      </c>
      <c r="F77" s="195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>95</v>
      </c>
      <c r="G77" s="196">
        <f t="shared" si="4"/>
        <v>3</v>
      </c>
      <c r="H77" s="197">
        <v>81</v>
      </c>
      <c r="I77" s="193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>972</v>
      </c>
    </row>
    <row r="78" spans="1:13" ht="21" customHeight="1" x14ac:dyDescent="0.3">
      <c r="A78" s="215"/>
      <c r="B78" s="191"/>
      <c r="C78" s="192"/>
      <c r="D78" s="193"/>
      <c r="E78" s="194" t="s">
        <v>214</v>
      </c>
      <c r="F78" s="195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196" t="str">
        <f t="shared" si="4"/>
        <v/>
      </c>
      <c r="H78" s="197"/>
      <c r="I78" s="193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</row>
    <row r="79" spans="1:13" ht="21" customHeight="1" x14ac:dyDescent="0.3">
      <c r="A79" s="215"/>
      <c r="B79" s="191"/>
      <c r="C79" s="192"/>
      <c r="D79" s="193"/>
      <c r="E79" s="194" t="s">
        <v>214</v>
      </c>
      <c r="F79" s="195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196" t="str">
        <f t="shared" si="4"/>
        <v/>
      </c>
      <c r="H79" s="197"/>
      <c r="I79" s="193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</row>
    <row r="80" spans="1:13" ht="21" customHeight="1" x14ac:dyDescent="0.3">
      <c r="A80" s="215"/>
      <c r="B80" s="191"/>
      <c r="C80" s="192"/>
      <c r="D80" s="193"/>
      <c r="E80" s="194" t="s">
        <v>214</v>
      </c>
      <c r="F80" s="195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196" t="str">
        <f t="shared" si="4"/>
        <v/>
      </c>
      <c r="H80" s="197"/>
      <c r="I80" s="193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21" customHeight="1" x14ac:dyDescent="0.3">
      <c r="A81" s="215"/>
      <c r="B81" s="191"/>
      <c r="C81" s="192"/>
      <c r="D81" s="193"/>
      <c r="E81" s="194" t="s">
        <v>214</v>
      </c>
      <c r="F81" s="195" t="str">
        <f>IF($B81="","",IF(SUMIFS(CONFIG_PALLETS!$C:$C,CONFIG_PALLETS!$A:$A,TRIM($B81),CONFIG_PALLETS!$B:$B,$C81&amp;" ml")&gt;0,SUMIFS(CONFIG_PALLETS!$C:$C,CONFIG_PALLETS!$A:$A,TRIM($B81),CONFIG_PALLETS!$B:$B,$C81&amp;" ml"),IF(SUMIFS(CONFIG_PALLETS!$C:$C,CONFIG_PALLETS!$A:$A,"GERAL",CONFIG_PALLETS!$B:$B,$C81&amp;" ml")&gt;0,SUMIFS(CONFIG_PALLETS!$C:$C,CONFIG_PALLETS!$A:$A,"GERAL",CONFIG_PALLETS!$B:$B,$C81&amp;" ml"),"")))</f>
        <v/>
      </c>
      <c r="G81" s="196" t="str">
        <f t="shared" si="4"/>
        <v/>
      </c>
      <c r="H81" s="197"/>
      <c r="I81" s="193" t="str">
        <f>IF(H81="","",H81*IF(SUMIFS(CONFIG_PALLETS!$D:$D,CONFIG_PALLETS!$A:$A,IF(ISNUMBER(SEARCH("ESPUMA",$B81)),"ESPUMA",IF(OR(ISNUMBER(SEARCH("OLEO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ml")&gt;0,SUMIFS(CONFIG_PALLETS!$D:$D,CONFIG_PALLETS!$A:$A,IF(ISNUMBER(SEARCH("ESPUMA",$B81)),"ESPUMA",IF(OR(ISNUMBER(SEARCH("OLEO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ml"),IF(SUMIFS(CONFIG_PALLETS!$D:$D,CONFIG_PALLETS!$A:$A,"GERAL",CONFIG_PALLETS!$B:$B,$C81&amp;" ml")&gt;0,SUMIFS(CONFIG_PALLETS!$D:$D,CONFIG_PALLETS!$A:$A,"GERAL",CONFIG_PALLETS!$B:$B,$C81&amp;" ml"),12)))</f>
        <v/>
      </c>
    </row>
    <row r="82" spans="1:13" ht="15" customHeight="1" x14ac:dyDescent="0.3">
      <c r="A82" s="217"/>
      <c r="B82" s="199" t="s">
        <v>216</v>
      </c>
      <c r="C82" s="200"/>
      <c r="D82" s="201">
        <f>SUM(D75:D81)</f>
        <v>485</v>
      </c>
      <c r="E82" s="202"/>
      <c r="F82" s="202"/>
      <c r="G82" s="203">
        <f>SUM(G75:G81)</f>
        <v>6</v>
      </c>
      <c r="H82" s="201">
        <f>SUM(H75:H81)</f>
        <v>283</v>
      </c>
      <c r="I82" s="201">
        <f>SUM(I75:I81)</f>
        <v>3396</v>
      </c>
      <c r="J82" s="28">
        <f>D82</f>
        <v>485</v>
      </c>
      <c r="K82" s="106">
        <f>G82</f>
        <v>6</v>
      </c>
      <c r="L82" s="28">
        <f>H82</f>
        <v>283</v>
      </c>
      <c r="M82" s="28">
        <f>I82</f>
        <v>3396</v>
      </c>
    </row>
    <row r="83" spans="1:13" ht="6" customHeight="1" x14ac:dyDescent="0.3">
      <c r="C83" s="72"/>
    </row>
    <row r="84" spans="1:13" ht="15" customHeight="1" x14ac:dyDescent="0.3">
      <c r="A84" s="30">
        <v>46154</v>
      </c>
      <c r="B84" s="186" t="s">
        <v>78</v>
      </c>
      <c r="C84" s="187" t="s">
        <v>205</v>
      </c>
      <c r="D84" s="188" t="s">
        <v>206</v>
      </c>
      <c r="E84" s="188" t="s">
        <v>207</v>
      </c>
      <c r="F84" s="189" t="s">
        <v>208</v>
      </c>
      <c r="G84" s="188" t="s">
        <v>209</v>
      </c>
      <c r="H84" s="188" t="s">
        <v>210</v>
      </c>
      <c r="I84" s="188" t="s">
        <v>211</v>
      </c>
    </row>
    <row r="85" spans="1:13" ht="21" customHeight="1" x14ac:dyDescent="0.3">
      <c r="A85" s="215"/>
      <c r="B85" s="191" t="s">
        <v>598</v>
      </c>
      <c r="C85" s="192">
        <v>600</v>
      </c>
      <c r="D85" s="193">
        <f>D77-H77</f>
        <v>204</v>
      </c>
      <c r="E85" s="194" t="s">
        <v>214</v>
      </c>
      <c r="F85" s="195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>95</v>
      </c>
      <c r="G85" s="196">
        <f>IFERROR(ROUNDUP(D85/F85,0),"")</f>
        <v>3</v>
      </c>
      <c r="H85" s="197">
        <v>205</v>
      </c>
      <c r="I85" s="193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>2460</v>
      </c>
    </row>
    <row r="86" spans="1:13" ht="21" customHeight="1" x14ac:dyDescent="0.3">
      <c r="A86" s="215"/>
      <c r="B86" s="191" t="s">
        <v>543</v>
      </c>
      <c r="C86" s="192">
        <v>600</v>
      </c>
      <c r="D86" s="193">
        <v>1045</v>
      </c>
      <c r="E86" s="194" t="s">
        <v>214</v>
      </c>
      <c r="F86" s="195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>95</v>
      </c>
      <c r="G86" s="196">
        <f>IFERROR(ROUNDUP(D86/F86,0),"")</f>
        <v>11</v>
      </c>
      <c r="H86" s="197">
        <v>700</v>
      </c>
      <c r="I86" s="193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>8400</v>
      </c>
    </row>
    <row r="87" spans="1:13" ht="21" customHeight="1" x14ac:dyDescent="0.3">
      <c r="A87" s="215"/>
      <c r="B87" s="191"/>
      <c r="C87" s="192"/>
      <c r="D87" s="193"/>
      <c r="E87" s="194" t="s">
        <v>214</v>
      </c>
      <c r="F87" s="195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196" t="str">
        <f>IFERROR(ROUNDUP(D87/F87,0),"")</f>
        <v/>
      </c>
      <c r="H87" s="197"/>
      <c r="I87" s="193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</row>
    <row r="88" spans="1:13" ht="21" customHeight="1" x14ac:dyDescent="0.3">
      <c r="A88" s="215"/>
      <c r="B88" s="191"/>
      <c r="C88" s="192"/>
      <c r="D88" s="193"/>
      <c r="E88" s="194" t="s">
        <v>214</v>
      </c>
      <c r="F88" s="195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196" t="str">
        <f>IFERROR(ROUNDUP(D88/F88,0),"")</f>
        <v/>
      </c>
      <c r="H88" s="197"/>
      <c r="I88" s="193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</row>
    <row r="89" spans="1:13" ht="21" customHeight="1" x14ac:dyDescent="0.3">
      <c r="A89" s="215"/>
      <c r="B89" s="191"/>
      <c r="C89" s="192"/>
      <c r="D89" s="193"/>
      <c r="E89" s="194" t="s">
        <v>214</v>
      </c>
      <c r="F89" s="195" t="str">
        <f>IF($B89="","",IF(SUMIFS(CONFIG_PALLETS!$C:$C,CONFIG_PALLETS!$A:$A,TRIM($B89),CONFIG_PALLETS!$B:$B,$C89&amp;" ml")&gt;0,SUMIFS(CONFIG_PALLETS!$C:$C,CONFIG_PALLETS!$A:$A,TRIM($B89),CONFIG_PALLETS!$B:$B,$C89&amp;" ml"),IF(SUMIFS(CONFIG_PALLETS!$C:$C,CONFIG_PALLETS!$A:$A,"GERAL",CONFIG_PALLETS!$B:$B,$C89&amp;" ml")&gt;0,SUMIFS(CONFIG_PALLETS!$C:$C,CONFIG_PALLETS!$A:$A,"GERAL",CONFIG_PALLETS!$B:$B,$C89&amp;" ml"),"")))</f>
        <v/>
      </c>
      <c r="G89" s="196" t="str">
        <f>IFERROR(ROUNDUP(D89/F89,0),"")</f>
        <v/>
      </c>
      <c r="H89" s="197"/>
      <c r="I89" s="193" t="str">
        <f>IF(H89="","",H89*IF(SUMIFS(CONFIG_PALLETS!$D:$D,CONFIG_PALLETS!$A:$A,IF(ISNUMBER(SEARCH("ESPUMA",$B89)),"ESPUMA",IF(OR(ISNUMBER(SEARCH("OLEO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ml")&gt;0,SUMIFS(CONFIG_PALLETS!$D:$D,CONFIG_PALLETS!$A:$A,IF(ISNUMBER(SEARCH("ESPUMA",$B89)),"ESPUMA",IF(OR(ISNUMBER(SEARCH("OLEO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ml"),IF(SUMIFS(CONFIG_PALLETS!$D:$D,CONFIG_PALLETS!$A:$A,"GERAL",CONFIG_PALLETS!$B:$B,$C89&amp;" ml")&gt;0,SUMIFS(CONFIG_PALLETS!$D:$D,CONFIG_PALLETS!$A:$A,"GERAL",CONFIG_PALLETS!$B:$B,$C89&amp;" ml"),12)))</f>
        <v/>
      </c>
    </row>
    <row r="90" spans="1:13" ht="15" customHeight="1" x14ac:dyDescent="0.3">
      <c r="A90" s="217"/>
      <c r="B90" s="199" t="s">
        <v>216</v>
      </c>
      <c r="C90" s="200"/>
      <c r="D90" s="201">
        <f>SUM(D83:D89)</f>
        <v>1249</v>
      </c>
      <c r="E90" s="202"/>
      <c r="F90" s="202"/>
      <c r="G90" s="203">
        <f>SUM(G83:G89)</f>
        <v>14</v>
      </c>
      <c r="H90" s="201">
        <f>SUM(H83:H89)</f>
        <v>905</v>
      </c>
      <c r="I90" s="201">
        <f>SUM(I83:I89)</f>
        <v>10860</v>
      </c>
      <c r="J90" s="28">
        <f>D90</f>
        <v>1249</v>
      </c>
      <c r="K90" s="106">
        <f>G90</f>
        <v>14</v>
      </c>
      <c r="L90" s="28">
        <f>H90</f>
        <v>905</v>
      </c>
      <c r="M90" s="28">
        <f>I90</f>
        <v>10860</v>
      </c>
    </row>
    <row r="91" spans="1:13" ht="6" customHeight="1" x14ac:dyDescent="0.3">
      <c r="C91" s="72"/>
    </row>
    <row r="92" spans="1:13" ht="15" customHeight="1" x14ac:dyDescent="0.3">
      <c r="A92" s="30">
        <v>46155</v>
      </c>
      <c r="B92" s="186" t="s">
        <v>78</v>
      </c>
      <c r="C92" s="187" t="s">
        <v>205</v>
      </c>
      <c r="D92" s="188" t="s">
        <v>206</v>
      </c>
      <c r="E92" s="188" t="s">
        <v>207</v>
      </c>
      <c r="F92" s="189" t="s">
        <v>208</v>
      </c>
      <c r="G92" s="188" t="s">
        <v>209</v>
      </c>
      <c r="H92" s="188" t="s">
        <v>210</v>
      </c>
      <c r="I92" s="188" t="s">
        <v>211</v>
      </c>
    </row>
    <row r="93" spans="1:13" ht="21" customHeight="1" x14ac:dyDescent="0.3">
      <c r="A93" s="215"/>
      <c r="B93" s="191" t="s">
        <v>543</v>
      </c>
      <c r="C93" s="192">
        <v>600</v>
      </c>
      <c r="D93" s="193">
        <f>D86-H86</f>
        <v>345</v>
      </c>
      <c r="E93" s="194" t="s">
        <v>214</v>
      </c>
      <c r="F93" s="195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>95</v>
      </c>
      <c r="G93" s="196">
        <f>IFERROR(ROUNDUP(D93/F93,0),"")</f>
        <v>4</v>
      </c>
      <c r="H93" s="197">
        <v>345</v>
      </c>
      <c r="I93" s="193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>4140</v>
      </c>
    </row>
    <row r="94" spans="1:13" ht="21" customHeight="1" x14ac:dyDescent="0.3">
      <c r="A94" s="215"/>
      <c r="B94" s="191" t="s">
        <v>537</v>
      </c>
      <c r="C94" s="192">
        <v>600</v>
      </c>
      <c r="D94" s="193">
        <v>1900</v>
      </c>
      <c r="E94" s="194" t="s">
        <v>214</v>
      </c>
      <c r="F94" s="195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>190</v>
      </c>
      <c r="G94" s="196">
        <f>IFERROR(ROUNDUP(D94/F94,0),"")</f>
        <v>10</v>
      </c>
      <c r="H94" s="197">
        <v>1127</v>
      </c>
      <c r="I94" s="193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>6762</v>
      </c>
    </row>
    <row r="95" spans="1:13" ht="21" customHeight="1" x14ac:dyDescent="0.3">
      <c r="A95" s="215"/>
      <c r="B95" s="191"/>
      <c r="C95" s="192"/>
      <c r="D95" s="193"/>
      <c r="E95" s="194" t="s">
        <v>214</v>
      </c>
      <c r="F95" s="195" t="str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196" t="str">
        <f>IFERROR(ROUNDUP(D95/F95,0),"")</f>
        <v/>
      </c>
      <c r="H95" s="197"/>
      <c r="I95" s="193" t="str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</row>
    <row r="96" spans="1:13" ht="21" customHeight="1" x14ac:dyDescent="0.3">
      <c r="A96" s="215"/>
      <c r="B96" s="191"/>
      <c r="C96" s="192"/>
      <c r="D96" s="193"/>
      <c r="E96" s="194" t="s">
        <v>214</v>
      </c>
      <c r="F96" s="195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196" t="str">
        <f>IFERROR(ROUNDUP(D96/F96,0),"")</f>
        <v/>
      </c>
      <c r="H96" s="197"/>
      <c r="I96" s="193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</row>
    <row r="97" spans="1:13" ht="21" customHeight="1" x14ac:dyDescent="0.3">
      <c r="A97" s="215"/>
      <c r="B97" s="191"/>
      <c r="C97" s="192"/>
      <c r="D97" s="193"/>
      <c r="E97" s="194" t="s">
        <v>214</v>
      </c>
      <c r="F97" s="195" t="str">
        <f>IF($B97="","",IF(SUMIFS(CONFIG_PALLETS!$C:$C,CONFIG_PALLETS!$A:$A,TRIM($B97),CONFIG_PALLETS!$B:$B,$C97&amp;" ml")&gt;0,SUMIFS(CONFIG_PALLETS!$C:$C,CONFIG_PALLETS!$A:$A,TRIM($B97),CONFIG_PALLETS!$B:$B,$C97&amp;" ml"),IF(SUMIFS(CONFIG_PALLETS!$C:$C,CONFIG_PALLETS!$A:$A,"GERAL",CONFIG_PALLETS!$B:$B,$C97&amp;" ml")&gt;0,SUMIFS(CONFIG_PALLETS!$C:$C,CONFIG_PALLETS!$A:$A,"GERAL",CONFIG_PALLETS!$B:$B,$C97&amp;" ml"),"")))</f>
        <v/>
      </c>
      <c r="G97" s="196" t="str">
        <f>IFERROR(ROUNDUP(D97/F97,0),"")</f>
        <v/>
      </c>
      <c r="H97" s="197"/>
      <c r="I97" s="193" t="str">
        <f>IF(H97="","",H97*IF(SUMIFS(CONFIG_PALLETS!$D:$D,CONFIG_PALLETS!$A:$A,IF(ISNUMBER(SEARCH("ESPUMA",$B97)),"ESPUMA",IF(OR(ISNUMBER(SEARCH("OLEO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ml")&gt;0,SUMIFS(CONFIG_PALLETS!$D:$D,CONFIG_PALLETS!$A:$A,IF(ISNUMBER(SEARCH("ESPUMA",$B97)),"ESPUMA",IF(OR(ISNUMBER(SEARCH("OLEO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ml"),IF(SUMIFS(CONFIG_PALLETS!$D:$D,CONFIG_PALLETS!$A:$A,"GERAL",CONFIG_PALLETS!$B:$B,$C97&amp;" ml")&gt;0,SUMIFS(CONFIG_PALLETS!$D:$D,CONFIG_PALLETS!$A:$A,"GERAL",CONFIG_PALLETS!$B:$B,$C97&amp;" ml"),12)))</f>
        <v/>
      </c>
    </row>
    <row r="98" spans="1:13" ht="15" customHeight="1" x14ac:dyDescent="0.3">
      <c r="A98" s="217"/>
      <c r="B98" s="199" t="s">
        <v>216</v>
      </c>
      <c r="C98" s="200"/>
      <c r="D98" s="201">
        <f>SUM(D91:D97)</f>
        <v>2245</v>
      </c>
      <c r="E98" s="202"/>
      <c r="F98" s="202"/>
      <c r="G98" s="203">
        <f>SUM(G91:G97)</f>
        <v>14</v>
      </c>
      <c r="H98" s="201">
        <f>SUM(H91:H97)</f>
        <v>1472</v>
      </c>
      <c r="I98" s="201">
        <f>SUM(I91:I97)</f>
        <v>10902</v>
      </c>
      <c r="J98" s="28">
        <f>D98</f>
        <v>2245</v>
      </c>
      <c r="K98" s="106">
        <f>G98</f>
        <v>14</v>
      </c>
      <c r="L98" s="28">
        <f>H98</f>
        <v>1472</v>
      </c>
      <c r="M98" s="28">
        <f>I98</f>
        <v>10902</v>
      </c>
    </row>
    <row r="99" spans="1:13" ht="6" customHeight="1" x14ac:dyDescent="0.3">
      <c r="C99" s="72"/>
    </row>
    <row r="100" spans="1:13" ht="15" customHeight="1" x14ac:dyDescent="0.3">
      <c r="A100" s="30">
        <v>46156</v>
      </c>
      <c r="B100" s="186" t="s">
        <v>78</v>
      </c>
      <c r="C100" s="187" t="s">
        <v>205</v>
      </c>
      <c r="D100" s="188" t="s">
        <v>206</v>
      </c>
      <c r="E100" s="188" t="s">
        <v>207</v>
      </c>
      <c r="F100" s="189" t="s">
        <v>208</v>
      </c>
      <c r="G100" s="188" t="s">
        <v>209</v>
      </c>
      <c r="H100" s="188" t="s">
        <v>210</v>
      </c>
      <c r="I100" s="188" t="s">
        <v>211</v>
      </c>
    </row>
    <row r="101" spans="1:13" ht="21" customHeight="1" x14ac:dyDescent="0.3">
      <c r="A101" s="215"/>
      <c r="B101" s="191" t="s">
        <v>537</v>
      </c>
      <c r="C101" s="192">
        <v>600</v>
      </c>
      <c r="D101" s="193">
        <f>D94-H94</f>
        <v>773</v>
      </c>
      <c r="E101" s="194" t="s">
        <v>214</v>
      </c>
      <c r="F101" s="195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>190</v>
      </c>
      <c r="G101" s="196">
        <f>IFERROR(ROUNDUP(D101/F101,0),"")</f>
        <v>5</v>
      </c>
      <c r="H101" s="197">
        <v>773</v>
      </c>
      <c r="I101" s="193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>4638</v>
      </c>
    </row>
    <row r="102" spans="1:13" ht="21" customHeight="1" x14ac:dyDescent="0.3">
      <c r="A102" s="215"/>
      <c r="B102" s="191" t="s">
        <v>54</v>
      </c>
      <c r="C102" s="192">
        <v>600</v>
      </c>
      <c r="D102" s="193">
        <v>1140</v>
      </c>
      <c r="E102" s="194" t="s">
        <v>214</v>
      </c>
      <c r="F102" s="195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>95</v>
      </c>
      <c r="G102" s="196">
        <f>IFERROR(ROUNDUP(D102/F102,0),"")</f>
        <v>12</v>
      </c>
      <c r="H102" s="197">
        <v>269</v>
      </c>
      <c r="I102" s="193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>3228</v>
      </c>
    </row>
    <row r="103" spans="1:13" ht="21" customHeight="1" x14ac:dyDescent="0.3">
      <c r="A103" s="215"/>
      <c r="B103" s="191"/>
      <c r="C103" s="192"/>
      <c r="D103" s="193"/>
      <c r="E103" s="194" t="s">
        <v>214</v>
      </c>
      <c r="F103" s="195" t="str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196" t="str">
        <f>IFERROR(ROUNDUP(D103/F103,0),"")</f>
        <v/>
      </c>
      <c r="H103" s="197"/>
      <c r="I103" s="193" t="str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</row>
    <row r="104" spans="1:13" ht="21" customHeight="1" x14ac:dyDescent="0.3">
      <c r="A104" s="215"/>
      <c r="B104" s="191"/>
      <c r="C104" s="192"/>
      <c r="D104" s="193"/>
      <c r="E104" s="194" t="s">
        <v>214</v>
      </c>
      <c r="F104" s="195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196" t="str">
        <f>IFERROR(ROUNDUP(D104/F104,0),"")</f>
        <v/>
      </c>
      <c r="H104" s="197"/>
      <c r="I104" s="193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</row>
    <row r="105" spans="1:13" ht="21" customHeight="1" x14ac:dyDescent="0.3">
      <c r="A105" s="215"/>
      <c r="B105" s="191"/>
      <c r="C105" s="192"/>
      <c r="D105" s="193"/>
      <c r="E105" s="194" t="s">
        <v>214</v>
      </c>
      <c r="F105" s="195" t="str">
        <f>IF($B105="","",IF(SUMIFS(CONFIG_PALLETS!$C:$C,CONFIG_PALLETS!$A:$A,TRIM($B105),CONFIG_PALLETS!$B:$B,$C105&amp;" ml")&gt;0,SUMIFS(CONFIG_PALLETS!$C:$C,CONFIG_PALLETS!$A:$A,TRIM($B105),CONFIG_PALLETS!$B:$B,$C105&amp;" ml"),IF(SUMIFS(CONFIG_PALLETS!$C:$C,CONFIG_PALLETS!$A:$A,"GERAL",CONFIG_PALLETS!$B:$B,$C105&amp;" ml")&gt;0,SUMIFS(CONFIG_PALLETS!$C:$C,CONFIG_PALLETS!$A:$A,"GERAL",CONFIG_PALLETS!$B:$B,$C105&amp;" ml"),"")))</f>
        <v/>
      </c>
      <c r="G105" s="196" t="str">
        <f>IFERROR(ROUNDUP(D105/F105,0),"")</f>
        <v/>
      </c>
      <c r="H105" s="197"/>
      <c r="I105" s="193" t="str">
        <f>IF(H105="","",H105*IF(SUMIFS(CONFIG_PALLETS!$D:$D,CONFIG_PALLETS!$A:$A,IF(ISNUMBER(SEARCH("ESPUMA",$B105)),"ESPUMA",IF(OR(ISNUMBER(SEARCH("OLEO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ml")&gt;0,SUMIFS(CONFIG_PALLETS!$D:$D,CONFIG_PALLETS!$A:$A,IF(ISNUMBER(SEARCH("ESPUMA",$B105)),"ESPUMA",IF(OR(ISNUMBER(SEARCH("OLEO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ml"),IF(SUMIFS(CONFIG_PALLETS!$D:$D,CONFIG_PALLETS!$A:$A,"GERAL",CONFIG_PALLETS!$B:$B,$C105&amp;" ml")&gt;0,SUMIFS(CONFIG_PALLETS!$D:$D,CONFIG_PALLETS!$A:$A,"GERAL",CONFIG_PALLETS!$B:$B,$C105&amp;" ml"),12)))</f>
        <v/>
      </c>
    </row>
    <row r="106" spans="1:13" ht="15" customHeight="1" x14ac:dyDescent="0.3">
      <c r="A106" s="217"/>
      <c r="B106" s="199" t="s">
        <v>216</v>
      </c>
      <c r="C106" s="200"/>
      <c r="D106" s="201">
        <f>SUM(D99:D105)</f>
        <v>1913</v>
      </c>
      <c r="E106" s="202"/>
      <c r="F106" s="202"/>
      <c r="G106" s="203">
        <f>SUM(G99:G105)</f>
        <v>17</v>
      </c>
      <c r="H106" s="201">
        <f>SUM(H99:H105)</f>
        <v>1042</v>
      </c>
      <c r="I106" s="201">
        <f>SUM(I99:I105)</f>
        <v>7866</v>
      </c>
      <c r="J106" s="28">
        <f>D106</f>
        <v>1913</v>
      </c>
      <c r="K106" s="106">
        <f>G106</f>
        <v>17</v>
      </c>
      <c r="L106" s="28">
        <f>H106</f>
        <v>1042</v>
      </c>
      <c r="M106" s="28">
        <f>I106</f>
        <v>7866</v>
      </c>
    </row>
    <row r="107" spans="1:13" ht="6" customHeight="1" x14ac:dyDescent="0.3">
      <c r="C107" s="72"/>
    </row>
    <row r="108" spans="1:13" ht="15" customHeight="1" x14ac:dyDescent="0.3">
      <c r="A108" s="30">
        <v>46157</v>
      </c>
      <c r="B108" s="186" t="s">
        <v>78</v>
      </c>
      <c r="C108" s="187" t="s">
        <v>205</v>
      </c>
      <c r="D108" s="188" t="s">
        <v>206</v>
      </c>
      <c r="E108" s="188" t="s">
        <v>207</v>
      </c>
      <c r="F108" s="189" t="s">
        <v>208</v>
      </c>
      <c r="G108" s="188" t="s">
        <v>209</v>
      </c>
      <c r="H108" s="188" t="s">
        <v>210</v>
      </c>
      <c r="I108" s="188" t="s">
        <v>211</v>
      </c>
    </row>
    <row r="109" spans="1:13" ht="21" customHeight="1" x14ac:dyDescent="0.3">
      <c r="A109" s="215"/>
      <c r="B109" s="191" t="s">
        <v>229</v>
      </c>
      <c r="C109" s="192">
        <v>600</v>
      </c>
      <c r="D109" s="193">
        <f>D102-H102</f>
        <v>871</v>
      </c>
      <c r="E109" s="194" t="s">
        <v>214</v>
      </c>
      <c r="F109" s="195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>95</v>
      </c>
      <c r="G109" s="196">
        <f>IFERROR(ROUNDUP(D109/F109,0),"")</f>
        <v>10</v>
      </c>
      <c r="H109" s="197">
        <v>449</v>
      </c>
      <c r="I109" s="193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>5388</v>
      </c>
    </row>
    <row r="110" spans="1:13" ht="21" customHeight="1" x14ac:dyDescent="0.3">
      <c r="A110" s="215"/>
      <c r="B110" s="191" t="s">
        <v>60</v>
      </c>
      <c r="C110" s="192">
        <v>600</v>
      </c>
      <c r="D110" s="193">
        <v>665</v>
      </c>
      <c r="E110" s="194" t="s">
        <v>214</v>
      </c>
      <c r="F110" s="195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>95</v>
      </c>
      <c r="G110" s="196">
        <f>IFERROR(ROUNDUP(D110/F110,0),"")</f>
        <v>7</v>
      </c>
      <c r="H110" s="197">
        <v>39</v>
      </c>
      <c r="I110" s="193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>468</v>
      </c>
    </row>
    <row r="111" spans="1:13" ht="21" customHeight="1" x14ac:dyDescent="0.3">
      <c r="A111" s="215"/>
      <c r="B111" s="191"/>
      <c r="C111" s="192"/>
      <c r="D111" s="193"/>
      <c r="E111" s="194" t="s">
        <v>214</v>
      </c>
      <c r="F111" s="195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196" t="str">
        <f>IFERROR(ROUNDUP(D111/F111,0),"")</f>
        <v/>
      </c>
      <c r="H111" s="197"/>
      <c r="I111" s="193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3">
      <c r="A112" s="215"/>
      <c r="B112" s="191"/>
      <c r="C112" s="192"/>
      <c r="D112" s="193"/>
      <c r="E112" s="194" t="s">
        <v>214</v>
      </c>
      <c r="F112" s="195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196" t="str">
        <f>IFERROR(ROUNDUP(D112/F112,0),"")</f>
        <v/>
      </c>
      <c r="H112" s="197"/>
      <c r="I112" s="193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21" customHeight="1" x14ac:dyDescent="0.3">
      <c r="A113" s="215"/>
      <c r="B113" s="191"/>
      <c r="C113" s="192"/>
      <c r="D113" s="193"/>
      <c r="E113" s="194" t="s">
        <v>214</v>
      </c>
      <c r="F113" s="195" t="str">
        <f>IF($B113="","",IF(SUMIFS(CONFIG_PALLETS!$C:$C,CONFIG_PALLETS!$A:$A,TRIM($B113),CONFIG_PALLETS!$B:$B,$C113&amp;" ml")&gt;0,SUMIFS(CONFIG_PALLETS!$C:$C,CONFIG_PALLETS!$A:$A,TRIM($B113),CONFIG_PALLETS!$B:$B,$C113&amp;" ml"),IF(SUMIFS(CONFIG_PALLETS!$C:$C,CONFIG_PALLETS!$A:$A,"GERAL",CONFIG_PALLETS!$B:$B,$C113&amp;" ml")&gt;0,SUMIFS(CONFIG_PALLETS!$C:$C,CONFIG_PALLETS!$A:$A,"GERAL",CONFIG_PALLETS!$B:$B,$C113&amp;" ml"),"")))</f>
        <v/>
      </c>
      <c r="G113" s="196" t="str">
        <f>IFERROR(ROUNDUP(D113/F113,0),"")</f>
        <v/>
      </c>
      <c r="H113" s="197"/>
      <c r="I113" s="193" t="str">
        <f>IF(H113="","",H113*IF(SUMIFS(CONFIG_PALLETS!$D:$D,CONFIG_PALLETS!$A:$A,IF(ISNUMBER(SEARCH("ESPUMA",$B113)),"ESPUMA",IF(OR(ISNUMBER(SEARCH("OLEO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ml")&gt;0,SUMIFS(CONFIG_PALLETS!$D:$D,CONFIG_PALLETS!$A:$A,IF(ISNUMBER(SEARCH("ESPUMA",$B113)),"ESPUMA",IF(OR(ISNUMBER(SEARCH("OLEO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ml"),IF(SUMIFS(CONFIG_PALLETS!$D:$D,CONFIG_PALLETS!$A:$A,"GERAL",CONFIG_PALLETS!$B:$B,$C113&amp;" ml")&gt;0,SUMIFS(CONFIG_PALLETS!$D:$D,CONFIG_PALLETS!$A:$A,"GERAL",CONFIG_PALLETS!$B:$B,$C113&amp;" ml"),12)))</f>
        <v/>
      </c>
    </row>
    <row r="114" spans="1:13" ht="15" customHeight="1" x14ac:dyDescent="0.3">
      <c r="A114" s="217"/>
      <c r="B114" s="199" t="s">
        <v>216</v>
      </c>
      <c r="C114" s="200"/>
      <c r="D114" s="201">
        <f>SUM(D107:D113)</f>
        <v>1536</v>
      </c>
      <c r="E114" s="202"/>
      <c r="F114" s="202"/>
      <c r="G114" s="203">
        <f>SUM(G107:G113)</f>
        <v>17</v>
      </c>
      <c r="H114" s="201">
        <f>SUM(H107:H113)</f>
        <v>488</v>
      </c>
      <c r="I114" s="201">
        <f>SUM(I107:I113)</f>
        <v>5856</v>
      </c>
      <c r="J114" s="28">
        <f>D114</f>
        <v>1536</v>
      </c>
      <c r="K114" s="106">
        <f>G114</f>
        <v>17</v>
      </c>
      <c r="L114" s="28">
        <f>H114</f>
        <v>488</v>
      </c>
      <c r="M114" s="28">
        <f>I114</f>
        <v>5856</v>
      </c>
    </row>
    <row r="115" spans="1:13" ht="6" customHeight="1" x14ac:dyDescent="0.3">
      <c r="C115" s="72"/>
    </row>
    <row r="116" spans="1:13" ht="15" customHeight="1" x14ac:dyDescent="0.3">
      <c r="A116" s="30">
        <v>46158</v>
      </c>
      <c r="B116" s="186" t="s">
        <v>78</v>
      </c>
      <c r="C116" s="187" t="s">
        <v>205</v>
      </c>
      <c r="D116" s="188" t="s">
        <v>206</v>
      </c>
      <c r="E116" s="188" t="s">
        <v>207</v>
      </c>
      <c r="F116" s="189" t="s">
        <v>208</v>
      </c>
      <c r="G116" s="188" t="s">
        <v>209</v>
      </c>
      <c r="H116" s="188" t="s">
        <v>210</v>
      </c>
      <c r="I116" s="188" t="s">
        <v>211</v>
      </c>
    </row>
    <row r="117" spans="1:13" ht="21" customHeight="1" x14ac:dyDescent="0.3">
      <c r="A117" s="215"/>
      <c r="B117" s="191" t="s">
        <v>60</v>
      </c>
      <c r="C117" s="192">
        <v>600</v>
      </c>
      <c r="D117" s="193">
        <f>D110-H110</f>
        <v>626</v>
      </c>
      <c r="E117" s="194" t="s">
        <v>214</v>
      </c>
      <c r="F117" s="195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>95</v>
      </c>
      <c r="G117" s="196">
        <f>IFERROR(ROUNDUP(D117/F117,0),"")</f>
        <v>7</v>
      </c>
      <c r="H117" s="197">
        <v>633</v>
      </c>
      <c r="I117" s="193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>7596</v>
      </c>
    </row>
    <row r="118" spans="1:13" ht="21" customHeight="1" x14ac:dyDescent="0.3">
      <c r="A118" s="215"/>
      <c r="B118" s="191"/>
      <c r="C118" s="192"/>
      <c r="D118" s="193"/>
      <c r="E118" s="194" t="s">
        <v>214</v>
      </c>
      <c r="F118" s="195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196" t="str">
        <f>IFERROR(ROUNDUP(D118/F118,0),"")</f>
        <v/>
      </c>
      <c r="H118" s="197"/>
      <c r="I118" s="193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</row>
    <row r="119" spans="1:13" ht="21" customHeight="1" x14ac:dyDescent="0.3">
      <c r="A119" s="215"/>
      <c r="B119" s="191"/>
      <c r="C119" s="192"/>
      <c r="D119" s="193"/>
      <c r="E119" s="194" t="s">
        <v>214</v>
      </c>
      <c r="F119" s="195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196" t="str">
        <f>IFERROR(ROUNDUP(D119/F119,0),"")</f>
        <v/>
      </c>
      <c r="H119" s="197"/>
      <c r="I119" s="193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</row>
    <row r="120" spans="1:13" ht="21" customHeight="1" x14ac:dyDescent="0.3">
      <c r="A120" s="215"/>
      <c r="B120" s="191"/>
      <c r="C120" s="192"/>
      <c r="D120" s="193"/>
      <c r="E120" s="194" t="s">
        <v>214</v>
      </c>
      <c r="F120" s="195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196" t="str">
        <f>IFERROR(ROUNDUP(D120/F120,0),"")</f>
        <v/>
      </c>
      <c r="H120" s="197"/>
      <c r="I120" s="193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</row>
    <row r="121" spans="1:13" ht="15" customHeight="1" x14ac:dyDescent="0.3">
      <c r="A121" s="217"/>
      <c r="B121" s="199" t="s">
        <v>216</v>
      </c>
      <c r="C121" s="200"/>
      <c r="D121" s="201">
        <f>SUM(D117:D120)</f>
        <v>626</v>
      </c>
      <c r="E121" s="202"/>
      <c r="F121" s="202"/>
      <c r="G121" s="203">
        <f>SUM(G117:G120)</f>
        <v>7</v>
      </c>
      <c r="H121" s="201">
        <f>SUM(H117:H120)</f>
        <v>633</v>
      </c>
      <c r="I121" s="201">
        <f>SUM(I117:I120)</f>
        <v>7596</v>
      </c>
      <c r="J121" s="28">
        <f>D121</f>
        <v>626</v>
      </c>
      <c r="K121" s="106">
        <f>G121</f>
        <v>7</v>
      </c>
      <c r="L121" s="28">
        <f>H121</f>
        <v>633</v>
      </c>
      <c r="M121" s="28">
        <f>I121</f>
        <v>7596</v>
      </c>
    </row>
    <row r="122" spans="1:13" ht="6" customHeight="1" x14ac:dyDescent="0.3">
      <c r="C122" s="72"/>
    </row>
    <row r="123" spans="1:13" ht="15" customHeight="1" x14ac:dyDescent="0.3">
      <c r="A123" s="30">
        <v>46160</v>
      </c>
      <c r="B123" s="186" t="s">
        <v>78</v>
      </c>
      <c r="C123" s="187" t="s">
        <v>205</v>
      </c>
      <c r="D123" s="188" t="s">
        <v>206</v>
      </c>
      <c r="E123" s="188" t="s">
        <v>207</v>
      </c>
      <c r="F123" s="189" t="s">
        <v>208</v>
      </c>
      <c r="G123" s="188" t="s">
        <v>209</v>
      </c>
      <c r="H123" s="188" t="s">
        <v>210</v>
      </c>
      <c r="I123" s="188" t="s">
        <v>211</v>
      </c>
    </row>
    <row r="124" spans="1:13" ht="21" customHeight="1" x14ac:dyDescent="0.3">
      <c r="A124" s="215"/>
      <c r="B124" s="191" t="s">
        <v>635</v>
      </c>
      <c r="C124" s="192">
        <v>70</v>
      </c>
      <c r="D124" s="193">
        <v>240</v>
      </c>
      <c r="E124" s="194" t="s">
        <v>214</v>
      </c>
      <c r="F124" s="195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>240</v>
      </c>
      <c r="G124" s="196">
        <f t="shared" ref="G124:G130" si="5">IFERROR(ROUNDUP(D124/F124,0),"")</f>
        <v>1</v>
      </c>
      <c r="H124" s="197">
        <v>241</v>
      </c>
      <c r="I124" s="193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>2892</v>
      </c>
    </row>
    <row r="125" spans="1:13" ht="21" customHeight="1" x14ac:dyDescent="0.3">
      <c r="A125" s="215"/>
      <c r="B125" s="191" t="s">
        <v>636</v>
      </c>
      <c r="C125" s="192">
        <v>70</v>
      </c>
      <c r="D125" s="193">
        <v>240</v>
      </c>
      <c r="E125" s="194" t="s">
        <v>214</v>
      </c>
      <c r="F125" s="195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>240</v>
      </c>
      <c r="G125" s="196">
        <f t="shared" si="5"/>
        <v>1</v>
      </c>
      <c r="H125" s="197">
        <v>243</v>
      </c>
      <c r="I125" s="193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>2916</v>
      </c>
    </row>
    <row r="126" spans="1:13" ht="21" customHeight="1" x14ac:dyDescent="0.3">
      <c r="A126" s="215"/>
      <c r="B126" s="191" t="s">
        <v>637</v>
      </c>
      <c r="C126" s="192">
        <v>70</v>
      </c>
      <c r="D126" s="193">
        <v>240</v>
      </c>
      <c r="E126" s="194" t="s">
        <v>214</v>
      </c>
      <c r="F126" s="195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>240</v>
      </c>
      <c r="G126" s="196">
        <f t="shared" si="5"/>
        <v>1</v>
      </c>
      <c r="H126" s="197">
        <v>242</v>
      </c>
      <c r="I126" s="193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>2904</v>
      </c>
    </row>
    <row r="127" spans="1:13" ht="21" customHeight="1" x14ac:dyDescent="0.3">
      <c r="A127" s="215"/>
      <c r="B127" s="191" t="s">
        <v>638</v>
      </c>
      <c r="C127" s="192">
        <v>100</v>
      </c>
      <c r="D127" s="193">
        <v>250</v>
      </c>
      <c r="E127" s="194" t="s">
        <v>214</v>
      </c>
      <c r="F127" s="195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>240</v>
      </c>
      <c r="G127" s="196">
        <f t="shared" si="5"/>
        <v>2</v>
      </c>
      <c r="H127" s="197">
        <v>239</v>
      </c>
      <c r="I127" s="193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>2868</v>
      </c>
    </row>
    <row r="128" spans="1:13" ht="21" customHeight="1" x14ac:dyDescent="0.3">
      <c r="A128" s="215"/>
      <c r="B128" s="191"/>
      <c r="C128" s="192"/>
      <c r="D128" s="193"/>
      <c r="E128" s="194" t="s">
        <v>214</v>
      </c>
      <c r="F128" s="195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196" t="str">
        <f t="shared" si="5"/>
        <v/>
      </c>
      <c r="H128" s="197"/>
      <c r="I128" s="193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</row>
    <row r="129" spans="1:13" ht="21" customHeight="1" x14ac:dyDescent="0.3">
      <c r="A129" s="215"/>
      <c r="B129" s="191"/>
      <c r="C129" s="192"/>
      <c r="D129" s="193"/>
      <c r="E129" s="194" t="s">
        <v>214</v>
      </c>
      <c r="F129" s="195" t="str">
        <f>IF($B129="","",IF(SUMIFS(CONFIG_PALLETS!$C:$C,CONFIG_PALLETS!$A:$A,TRIM($B129),CONFIG_PALLETS!$B:$B,$C129&amp;" ml")&gt;0,SUMIFS(CONFIG_PALLETS!$C:$C,CONFIG_PALLETS!$A:$A,TRIM($B129),CONFIG_PALLETS!$B:$B,$C129&amp;" ml"),IF(SUMIFS(CONFIG_PALLETS!$C:$C,CONFIG_PALLETS!$A:$A,"GERAL",CONFIG_PALLETS!$B:$B,$C129&amp;" ml")&gt;0,SUMIFS(CONFIG_PALLETS!$C:$C,CONFIG_PALLETS!$A:$A,"GERAL",CONFIG_PALLETS!$B:$B,$C129&amp;" ml"),"")))</f>
        <v/>
      </c>
      <c r="G129" s="196" t="str">
        <f t="shared" si="5"/>
        <v/>
      </c>
      <c r="H129" s="197"/>
      <c r="I129" s="193" t="str">
        <f>IF(H129="","",H129*IF(SUMIFS(CONFIG_PALLETS!$D:$D,CONFIG_PALLETS!$A:$A,IF(ISNUMBER(SEARCH("ESPUMA",$B129)),"ESPUMA",IF(OR(ISNUMBER(SEARCH("OLEO DE COCO",$B129)),ISNUMBER(SEARCH("ÓLEO DE COCO",$B129)),ISNUMBER(SEARCH("COPRA",$B129))),"ÓLEO DE COCO",IF(ISNUMBER(SEARCH("CORANTE",$B129)),"CORANTE",TRIM($B129)))),CONFIG_PALLETS!$B:$B,$C129&amp;" ml")&gt;0,SUMIFS(CONFIG_PALLETS!$D:$D,CONFIG_PALLETS!$A:$A,IF(ISNUMBER(SEARCH("ESPUMA",$B129)),"ESPUMA",IF(OR(ISNUMBER(SEARCH("OLEO DE COCO",$B129)),ISNUMBER(SEARCH("ÓLEO DE COCO",$B129)),ISNUMBER(SEARCH("COPRA",$B129))),"ÓLEO DE COCO",IF(ISNUMBER(SEARCH("CORANTE",$B129)),"CORANTE",TRIM($B129)))),CONFIG_PALLETS!$B:$B,$C129&amp;" ml"),IF(SUMIFS(CONFIG_PALLETS!$D:$D,CONFIG_PALLETS!$A:$A,"GERAL",CONFIG_PALLETS!$B:$B,$C129&amp;" ml")&gt;0,SUMIFS(CONFIG_PALLETS!$D:$D,CONFIG_PALLETS!$A:$A,"GERAL",CONFIG_PALLETS!$B:$B,$C129&amp;" ml"),12)))</f>
        <v/>
      </c>
    </row>
    <row r="130" spans="1:13" ht="21" customHeight="1" x14ac:dyDescent="0.3">
      <c r="A130" s="215"/>
      <c r="B130" s="191"/>
      <c r="C130" s="192"/>
      <c r="D130" s="193"/>
      <c r="E130" s="194" t="s">
        <v>214</v>
      </c>
      <c r="F130" s="195" t="str">
        <f>IF($B130="","",IF(SUMIFS(CONFIG_PALLETS!$C:$C,CONFIG_PALLETS!$A:$A,TRIM($B130),CONFIG_PALLETS!$B:$B,$C130&amp;" ml")&gt;0,SUMIFS(CONFIG_PALLETS!$C:$C,CONFIG_PALLETS!$A:$A,TRIM($B130),CONFIG_PALLETS!$B:$B,$C130&amp;" ml"),IF(SUMIFS(CONFIG_PALLETS!$C:$C,CONFIG_PALLETS!$A:$A,"GERAL",CONFIG_PALLETS!$B:$B,$C130&amp;" ml")&gt;0,SUMIFS(CONFIG_PALLETS!$C:$C,CONFIG_PALLETS!$A:$A,"GERAL",CONFIG_PALLETS!$B:$B,$C130&amp;" ml"),"")))</f>
        <v/>
      </c>
      <c r="G130" s="196" t="str">
        <f t="shared" si="5"/>
        <v/>
      </c>
      <c r="H130" s="197"/>
      <c r="I130" s="193" t="str">
        <f>IF(H130="","",H130*IF(SUMIFS(CONFIG_PALLETS!$D:$D,CONFIG_PALLETS!$A:$A,IF(ISNUMBER(SEARCH("ESPUMA",$B130)),"ESPUMA",IF(OR(ISNUMBER(SEARCH("OLEO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ml")&gt;0,SUMIFS(CONFIG_PALLETS!$D:$D,CONFIG_PALLETS!$A:$A,IF(ISNUMBER(SEARCH("ESPUMA",$B130)),"ESPUMA",IF(OR(ISNUMBER(SEARCH("OLEO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ml"),IF(SUMIFS(CONFIG_PALLETS!$D:$D,CONFIG_PALLETS!$A:$A,"GERAL",CONFIG_PALLETS!$B:$B,$C130&amp;" ml")&gt;0,SUMIFS(CONFIG_PALLETS!$D:$D,CONFIG_PALLETS!$A:$A,"GERAL",CONFIG_PALLETS!$B:$B,$C130&amp;" ml"),12)))</f>
        <v/>
      </c>
    </row>
    <row r="131" spans="1:13" ht="15" customHeight="1" x14ac:dyDescent="0.3">
      <c r="A131" s="217"/>
      <c r="B131" s="199" t="s">
        <v>216</v>
      </c>
      <c r="C131" s="200"/>
      <c r="D131" s="201">
        <f>SUM(D124:D130)</f>
        <v>970</v>
      </c>
      <c r="E131" s="202"/>
      <c r="F131" s="202"/>
      <c r="G131" s="203">
        <f>SUM(G127:G130)</f>
        <v>2</v>
      </c>
      <c r="H131" s="201">
        <f>SUM(H124:H130)</f>
        <v>965</v>
      </c>
      <c r="I131" s="201">
        <f>SUM(I124:I130)</f>
        <v>11580</v>
      </c>
      <c r="J131" s="28">
        <f>D131</f>
        <v>970</v>
      </c>
      <c r="K131" s="106">
        <f>G131</f>
        <v>2</v>
      </c>
      <c r="L131" s="28">
        <f>H131</f>
        <v>965</v>
      </c>
      <c r="M131" s="28">
        <f>I131</f>
        <v>11580</v>
      </c>
    </row>
    <row r="132" spans="1:13" ht="6" customHeight="1" x14ac:dyDescent="0.3">
      <c r="C132" s="72"/>
    </row>
    <row r="133" spans="1:13" ht="15" customHeight="1" x14ac:dyDescent="0.3">
      <c r="A133" s="30">
        <v>46161</v>
      </c>
      <c r="B133" s="186" t="s">
        <v>78</v>
      </c>
      <c r="C133" s="187" t="s">
        <v>205</v>
      </c>
      <c r="D133" s="188" t="s">
        <v>206</v>
      </c>
      <c r="E133" s="188" t="s">
        <v>207</v>
      </c>
      <c r="F133" s="189" t="s">
        <v>208</v>
      </c>
      <c r="G133" s="188" t="s">
        <v>209</v>
      </c>
      <c r="H133" s="188" t="s">
        <v>210</v>
      </c>
      <c r="I133" s="188" t="s">
        <v>211</v>
      </c>
    </row>
    <row r="134" spans="1:13" ht="21" customHeight="1" x14ac:dyDescent="0.3">
      <c r="A134" s="215"/>
      <c r="B134" s="191" t="s">
        <v>639</v>
      </c>
      <c r="C134" s="192">
        <v>180</v>
      </c>
      <c r="D134" s="193">
        <v>240</v>
      </c>
      <c r="E134" s="194" t="s">
        <v>214</v>
      </c>
      <c r="F134" s="195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>240</v>
      </c>
      <c r="G134" s="196">
        <f>IFERROR(ROUNDUP(D134/F134,0),"")</f>
        <v>1</v>
      </c>
      <c r="H134" s="197">
        <v>240</v>
      </c>
      <c r="I134" s="193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>2880</v>
      </c>
    </row>
    <row r="135" spans="1:13" ht="21" customHeight="1" x14ac:dyDescent="0.3">
      <c r="A135" s="215"/>
      <c r="B135" s="191" t="s">
        <v>229</v>
      </c>
      <c r="C135" s="192">
        <v>180</v>
      </c>
      <c r="D135" s="193">
        <v>500</v>
      </c>
      <c r="E135" s="194" t="s">
        <v>214</v>
      </c>
      <c r="F135" s="195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>240</v>
      </c>
      <c r="G135" s="196">
        <f>IFERROR(ROUNDUP(D135/F135,0),"")</f>
        <v>3</v>
      </c>
      <c r="H135" s="197">
        <v>551</v>
      </c>
      <c r="I135" s="193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>6612</v>
      </c>
    </row>
    <row r="136" spans="1:13" ht="21" customHeight="1" x14ac:dyDescent="0.3">
      <c r="A136" s="215"/>
      <c r="B136" s="191" t="s">
        <v>229</v>
      </c>
      <c r="C136" s="192">
        <v>400</v>
      </c>
      <c r="D136" s="193">
        <v>875</v>
      </c>
      <c r="E136" s="194" t="s">
        <v>214</v>
      </c>
      <c r="F136" s="195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>125</v>
      </c>
      <c r="G136" s="196">
        <f>IFERROR(ROUNDUP(D136/F136,0),"")</f>
        <v>7</v>
      </c>
      <c r="H136" s="197">
        <v>464</v>
      </c>
      <c r="I136" s="193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>5568</v>
      </c>
    </row>
    <row r="137" spans="1:13" ht="21" customHeight="1" x14ac:dyDescent="0.3">
      <c r="A137" s="215"/>
      <c r="B137" s="191"/>
      <c r="C137" s="192"/>
      <c r="D137" s="193"/>
      <c r="E137" s="194" t="s">
        <v>214</v>
      </c>
      <c r="F137" s="195" t="str">
        <f>IF($B137="","",IF(SUMIFS(CONFIG_PALLETS!$C:$C,CONFIG_PALLETS!$A:$A,TRIM($B137),CONFIG_PALLETS!$B:$B,$C137&amp;" ml")&gt;0,SUMIFS(CONFIG_PALLETS!$C:$C,CONFIG_PALLETS!$A:$A,TRIM($B137),CONFIG_PALLETS!$B:$B,$C137&amp;" ml"),IF(SUMIFS(CONFIG_PALLETS!$C:$C,CONFIG_PALLETS!$A:$A,"GERAL",CONFIG_PALLETS!$B:$B,$C137&amp;" ml")&gt;0,SUMIFS(CONFIG_PALLETS!$C:$C,CONFIG_PALLETS!$A:$A,"GERAL",CONFIG_PALLETS!$B:$B,$C137&amp;" ml"),"")))</f>
        <v/>
      </c>
      <c r="G137" s="196" t="str">
        <f>IFERROR(ROUNDUP(D137/F137,0),"")</f>
        <v/>
      </c>
      <c r="H137" s="197"/>
      <c r="I137" s="193" t="str">
        <f>IF(H137="","",H137*IF(SUMIFS(CONFIG_PALLETS!$D:$D,CONFIG_PALLETS!$A:$A,IF(ISNUMBER(SEARCH("ESPUMA",$B137)),"ESPUMA",IF(OR(ISNUMBER(SEARCH("OLEO DE COCO",$B137)),ISNUMBER(SEARCH("ÓLEO DE COCO",$B137)),ISNUMBER(SEARCH("COPRA",$B137))),"ÓLEO DE COCO",IF(ISNUMBER(SEARCH("CORANTE",$B137)),"CORANTE",TRIM($B137)))),CONFIG_PALLETS!$B:$B,$C137&amp;" ml")&gt;0,SUMIFS(CONFIG_PALLETS!$D:$D,CONFIG_PALLETS!$A:$A,IF(ISNUMBER(SEARCH("ESPUMA",$B137)),"ESPUMA",IF(OR(ISNUMBER(SEARCH("OLEO DE COCO",$B137)),ISNUMBER(SEARCH("ÓLEO DE COCO",$B137)),ISNUMBER(SEARCH("COPRA",$B137))),"ÓLEO DE COCO",IF(ISNUMBER(SEARCH("CORANTE",$B137)),"CORANTE",TRIM($B137)))),CONFIG_PALLETS!$B:$B,$C137&amp;" ml"),IF(SUMIFS(CONFIG_PALLETS!$D:$D,CONFIG_PALLETS!$A:$A,"GERAL",CONFIG_PALLETS!$B:$B,$C137&amp;" ml")&gt;0,SUMIFS(CONFIG_PALLETS!$D:$D,CONFIG_PALLETS!$A:$A,"GERAL",CONFIG_PALLETS!$B:$B,$C137&amp;" ml"),12)))</f>
        <v/>
      </c>
    </row>
    <row r="138" spans="1:13" ht="21" customHeight="1" x14ac:dyDescent="0.3">
      <c r="A138" s="215"/>
      <c r="B138" s="191"/>
      <c r="C138" s="192"/>
      <c r="D138" s="193"/>
      <c r="E138" s="194" t="s">
        <v>214</v>
      </c>
      <c r="F138" s="195" t="str">
        <f>IF($B138="","",IF(SUMIFS(CONFIG_PALLETS!$C:$C,CONFIG_PALLETS!$A:$A,TRIM($B138),CONFIG_PALLETS!$B:$B,$C138&amp;" ml")&gt;0,SUMIFS(CONFIG_PALLETS!$C:$C,CONFIG_PALLETS!$A:$A,TRIM($B138),CONFIG_PALLETS!$B:$B,$C138&amp;" ml"),IF(SUMIFS(CONFIG_PALLETS!$C:$C,CONFIG_PALLETS!$A:$A,"GERAL",CONFIG_PALLETS!$B:$B,$C138&amp;" ml")&gt;0,SUMIFS(CONFIG_PALLETS!$C:$C,CONFIG_PALLETS!$A:$A,"GERAL",CONFIG_PALLETS!$B:$B,$C138&amp;" ml"),"")))</f>
        <v/>
      </c>
      <c r="G138" s="196" t="str">
        <f>IFERROR(ROUNDUP(D138/F138,0),"")</f>
        <v/>
      </c>
      <c r="H138" s="197"/>
      <c r="I138" s="193" t="str">
        <f>IF(H138="","",H138*IF(SUMIFS(CONFIG_PALLETS!$D:$D,CONFIG_PALLETS!$A:$A,IF(ISNUMBER(SEARCH("ESPUMA",$B138)),"ESPUMA",IF(OR(ISNUMBER(SEARCH("OLEO DE COCO",$B138)),ISNUMBER(SEARCH("ÓLEO DE COCO",$B138)),ISNUMBER(SEARCH("COPRA",$B138))),"ÓLEO DE COCO",IF(ISNUMBER(SEARCH("CORANTE",$B138)),"CORANTE",TRIM($B138)))),CONFIG_PALLETS!$B:$B,$C138&amp;" ml")&gt;0,SUMIFS(CONFIG_PALLETS!$D:$D,CONFIG_PALLETS!$A:$A,IF(ISNUMBER(SEARCH("ESPUMA",$B138)),"ESPUMA",IF(OR(ISNUMBER(SEARCH("OLEO DE COCO",$B138)),ISNUMBER(SEARCH("ÓLEO DE COCO",$B138)),ISNUMBER(SEARCH("COPRA",$B138))),"ÓLEO DE COCO",IF(ISNUMBER(SEARCH("CORANTE",$B138)),"CORANTE",TRIM($B138)))),CONFIG_PALLETS!$B:$B,$C138&amp;" ml"),IF(SUMIFS(CONFIG_PALLETS!$D:$D,CONFIG_PALLETS!$A:$A,"GERAL",CONFIG_PALLETS!$B:$B,$C138&amp;" ml")&gt;0,SUMIFS(CONFIG_PALLETS!$D:$D,CONFIG_PALLETS!$A:$A,"GERAL",CONFIG_PALLETS!$B:$B,$C138&amp;" ml"),12)))</f>
        <v/>
      </c>
    </row>
    <row r="139" spans="1:13" ht="15" customHeight="1" x14ac:dyDescent="0.3">
      <c r="A139" s="217"/>
      <c r="B139" s="199" t="s">
        <v>216</v>
      </c>
      <c r="C139" s="200"/>
      <c r="D139" s="201">
        <f>SUM(D132:D138)</f>
        <v>1615</v>
      </c>
      <c r="E139" s="202"/>
      <c r="F139" s="202"/>
      <c r="G139" s="203">
        <f>SUM(G132:G138)</f>
        <v>11</v>
      </c>
      <c r="H139" s="201">
        <f>SUM(H132:H138)</f>
        <v>1255</v>
      </c>
      <c r="I139" s="201">
        <f>SUM(I134:I138)</f>
        <v>15060</v>
      </c>
      <c r="J139" s="28">
        <f>D139</f>
        <v>1615</v>
      </c>
      <c r="K139" s="106">
        <f>G139</f>
        <v>11</v>
      </c>
      <c r="L139" s="28">
        <f>H139</f>
        <v>1255</v>
      </c>
      <c r="M139" s="28">
        <f>I139</f>
        <v>15060</v>
      </c>
    </row>
    <row r="140" spans="1:13" ht="6" customHeight="1" x14ac:dyDescent="0.3">
      <c r="C140" s="72"/>
    </row>
    <row r="141" spans="1:13" ht="15" customHeight="1" x14ac:dyDescent="0.3">
      <c r="A141" s="30">
        <v>46162</v>
      </c>
      <c r="B141" s="186" t="s">
        <v>78</v>
      </c>
      <c r="C141" s="187" t="s">
        <v>205</v>
      </c>
      <c r="D141" s="188" t="s">
        <v>206</v>
      </c>
      <c r="E141" s="188" t="s">
        <v>207</v>
      </c>
      <c r="F141" s="189" t="s">
        <v>208</v>
      </c>
      <c r="G141" s="188" t="s">
        <v>209</v>
      </c>
      <c r="H141" s="188" t="s">
        <v>210</v>
      </c>
      <c r="I141" s="188" t="s">
        <v>211</v>
      </c>
    </row>
    <row r="142" spans="1:13" ht="21" customHeight="1" x14ac:dyDescent="0.3">
      <c r="A142" s="215"/>
      <c r="B142" s="469" t="s">
        <v>54</v>
      </c>
      <c r="C142" s="192">
        <v>400</v>
      </c>
      <c r="D142" s="193">
        <f>D136-H136</f>
        <v>411</v>
      </c>
      <c r="E142" s="194" t="s">
        <v>214</v>
      </c>
      <c r="F142" s="195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>125</v>
      </c>
      <c r="G142" s="196">
        <f>IFERROR(ROUNDUP(D142/F142,0),"")</f>
        <v>4</v>
      </c>
      <c r="H142" s="197">
        <v>536</v>
      </c>
      <c r="I142" s="193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>6432</v>
      </c>
    </row>
    <row r="143" spans="1:13" ht="21" customHeight="1" x14ac:dyDescent="0.3">
      <c r="A143" s="215"/>
      <c r="B143" s="191" t="s">
        <v>640</v>
      </c>
      <c r="C143" s="192">
        <v>400</v>
      </c>
      <c r="D143" s="193">
        <v>250</v>
      </c>
      <c r="E143" s="194" t="s">
        <v>214</v>
      </c>
      <c r="F143" s="195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>125</v>
      </c>
      <c r="G143" s="196">
        <f>IFERROR(ROUNDUP(D143/F143,0),"")</f>
        <v>2</v>
      </c>
      <c r="H143" s="197">
        <v>251</v>
      </c>
      <c r="I143" s="193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>3012</v>
      </c>
    </row>
    <row r="144" spans="1:13" ht="21" customHeight="1" x14ac:dyDescent="0.3">
      <c r="A144" s="215"/>
      <c r="B144" s="191" t="s">
        <v>641</v>
      </c>
      <c r="C144" s="192">
        <v>400</v>
      </c>
      <c r="D144" s="193">
        <v>375</v>
      </c>
      <c r="E144" s="194" t="s">
        <v>214</v>
      </c>
      <c r="F144" s="195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>125</v>
      </c>
      <c r="G144" s="196">
        <f>IFERROR(ROUNDUP(D144/F144,0),"")</f>
        <v>3</v>
      </c>
      <c r="H144" s="197">
        <v>340</v>
      </c>
      <c r="I144" s="193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>4080</v>
      </c>
    </row>
    <row r="145" spans="1:13" ht="21" customHeight="1" x14ac:dyDescent="0.3">
      <c r="A145" s="215"/>
      <c r="B145" s="191"/>
      <c r="C145" s="192"/>
      <c r="D145" s="193"/>
      <c r="E145" s="194" t="s">
        <v>214</v>
      </c>
      <c r="F145" s="195" t="str">
        <f>IF($B145="","",IF(SUMIFS(CONFIG_PALLETS!$C:$C,CONFIG_PALLETS!$A:$A,TRIM($B145),CONFIG_PALLETS!$B:$B,$C145&amp;" ml")&gt;0,SUMIFS(CONFIG_PALLETS!$C:$C,CONFIG_PALLETS!$A:$A,TRIM($B145),CONFIG_PALLETS!$B:$B,$C145&amp;" ml"),IF(SUMIFS(CONFIG_PALLETS!$C:$C,CONFIG_PALLETS!$A:$A,"GERAL",CONFIG_PALLETS!$B:$B,$C145&amp;" ml")&gt;0,SUMIFS(CONFIG_PALLETS!$C:$C,CONFIG_PALLETS!$A:$A,"GERAL",CONFIG_PALLETS!$B:$B,$C145&amp;" ml"),"")))</f>
        <v/>
      </c>
      <c r="G145" s="196" t="str">
        <f>IFERROR(ROUNDUP(D145/F145,0),"")</f>
        <v/>
      </c>
      <c r="H145" s="197"/>
      <c r="I145" s="193" t="str">
        <f>IF(H145="","",H145*IF(SUMIFS(CONFIG_PALLETS!$D:$D,CONFIG_PALLETS!$A:$A,IF(ISNUMBER(SEARCH("ESPUMA",$B145)),"ESPUMA",IF(OR(ISNUMBER(SEARCH("OLEO DE COCO",$B145)),ISNUMBER(SEARCH("ÓLEO DE COCO",$B145)),ISNUMBER(SEARCH("COPRA",$B145))),"ÓLEO DE COCO",IF(ISNUMBER(SEARCH("CORANTE",$B145)),"CORANTE",TRIM($B145)))),CONFIG_PALLETS!$B:$B,$C145&amp;" ml")&gt;0,SUMIFS(CONFIG_PALLETS!$D:$D,CONFIG_PALLETS!$A:$A,IF(ISNUMBER(SEARCH("ESPUMA",$B145)),"ESPUMA",IF(OR(ISNUMBER(SEARCH("OLEO DE COCO",$B145)),ISNUMBER(SEARCH("ÓLEO DE COCO",$B145)),ISNUMBER(SEARCH("COPRA",$B145))),"ÓLEO DE COCO",IF(ISNUMBER(SEARCH("CORANTE",$B145)),"CORANTE",TRIM($B145)))),CONFIG_PALLETS!$B:$B,$C145&amp;" ml"),IF(SUMIFS(CONFIG_PALLETS!$D:$D,CONFIG_PALLETS!$A:$A,"GERAL",CONFIG_PALLETS!$B:$B,$C145&amp;" ml")&gt;0,SUMIFS(CONFIG_PALLETS!$D:$D,CONFIG_PALLETS!$A:$A,"GERAL",CONFIG_PALLETS!$B:$B,$C145&amp;" ml"),12)))</f>
        <v/>
      </c>
    </row>
    <row r="146" spans="1:13" ht="21" customHeight="1" x14ac:dyDescent="0.3">
      <c r="A146" s="215"/>
      <c r="B146" s="191"/>
      <c r="C146" s="192"/>
      <c r="D146" s="193"/>
      <c r="E146" s="194" t="s">
        <v>214</v>
      </c>
      <c r="F146" s="195" t="str">
        <f>IF($B146="","",IF(SUMIFS(CONFIG_PALLETS!$C:$C,CONFIG_PALLETS!$A:$A,TRIM($B146),CONFIG_PALLETS!$B:$B,$C146&amp;" ml")&gt;0,SUMIFS(CONFIG_PALLETS!$C:$C,CONFIG_PALLETS!$A:$A,TRIM($B146),CONFIG_PALLETS!$B:$B,$C146&amp;" ml"),IF(SUMIFS(CONFIG_PALLETS!$C:$C,CONFIG_PALLETS!$A:$A,"GERAL",CONFIG_PALLETS!$B:$B,$C146&amp;" ml")&gt;0,SUMIFS(CONFIG_PALLETS!$C:$C,CONFIG_PALLETS!$A:$A,"GERAL",CONFIG_PALLETS!$B:$B,$C146&amp;" ml"),"")))</f>
        <v/>
      </c>
      <c r="G146" s="196" t="str">
        <f>IFERROR(ROUNDUP(D146/F146,0),"")</f>
        <v/>
      </c>
      <c r="H146" s="197"/>
      <c r="I146" s="193" t="str">
        <f>IF(H146="","",H146*IF(SUMIFS(CONFIG_PALLETS!$D:$D,CONFIG_PALLETS!$A:$A,IF(ISNUMBER(SEARCH("ESPUMA",$B146)),"ESPUMA",IF(OR(ISNUMBER(SEARCH("OLEO DE COCO",$B146)),ISNUMBER(SEARCH("ÓLEO DE COCO",$B146)),ISNUMBER(SEARCH("COPRA",$B146))),"ÓLEO DE COCO",IF(ISNUMBER(SEARCH("CORANTE",$B146)),"CORANTE",TRIM($B146)))),CONFIG_PALLETS!$B:$B,$C146&amp;" ml")&gt;0,SUMIFS(CONFIG_PALLETS!$D:$D,CONFIG_PALLETS!$A:$A,IF(ISNUMBER(SEARCH("ESPUMA",$B146)),"ESPUMA",IF(OR(ISNUMBER(SEARCH("OLEO DE COCO",$B146)),ISNUMBER(SEARCH("ÓLEO DE COCO",$B146)),ISNUMBER(SEARCH("COPRA",$B146))),"ÓLEO DE COCO",IF(ISNUMBER(SEARCH("CORANTE",$B146)),"CORANTE",TRIM($B146)))),CONFIG_PALLETS!$B:$B,$C146&amp;" ml"),IF(SUMIFS(CONFIG_PALLETS!$D:$D,CONFIG_PALLETS!$A:$A,"GERAL",CONFIG_PALLETS!$B:$B,$C146&amp;" ml")&gt;0,SUMIFS(CONFIG_PALLETS!$D:$D,CONFIG_PALLETS!$A:$A,"GERAL",CONFIG_PALLETS!$B:$B,$C146&amp;" ml"),12)))</f>
        <v/>
      </c>
    </row>
    <row r="147" spans="1:13" ht="15" customHeight="1" x14ac:dyDescent="0.3">
      <c r="A147" s="217"/>
      <c r="B147" s="199" t="s">
        <v>216</v>
      </c>
      <c r="C147" s="200"/>
      <c r="D147" s="201">
        <f>SUM(D140:D146)</f>
        <v>1036</v>
      </c>
      <c r="E147" s="202"/>
      <c r="F147" s="202"/>
      <c r="G147" s="203">
        <f>SUM(G140:G146)</f>
        <v>9</v>
      </c>
      <c r="H147" s="201">
        <f>SUM(H140:H146)</f>
        <v>1127</v>
      </c>
      <c r="I147" s="201">
        <f>SUM(I142:I146)</f>
        <v>13524</v>
      </c>
      <c r="J147" s="28">
        <f>D147</f>
        <v>1036</v>
      </c>
      <c r="K147" s="106">
        <f>G147</f>
        <v>9</v>
      </c>
      <c r="L147" s="28">
        <f>H147</f>
        <v>1127</v>
      </c>
      <c r="M147" s="28">
        <f>I147</f>
        <v>13524</v>
      </c>
    </row>
    <row r="148" spans="1:13" ht="6" customHeight="1" x14ac:dyDescent="0.3">
      <c r="C148" s="72"/>
    </row>
    <row r="149" spans="1:13" ht="15" customHeight="1" x14ac:dyDescent="0.3">
      <c r="A149" s="30">
        <v>46163</v>
      </c>
      <c r="B149" s="186" t="s">
        <v>78</v>
      </c>
      <c r="C149" s="187" t="s">
        <v>205</v>
      </c>
      <c r="D149" s="188" t="s">
        <v>206</v>
      </c>
      <c r="E149" s="188" t="s">
        <v>207</v>
      </c>
      <c r="F149" s="189" t="s">
        <v>208</v>
      </c>
      <c r="G149" s="188" t="s">
        <v>209</v>
      </c>
      <c r="H149" s="188" t="s">
        <v>210</v>
      </c>
      <c r="I149" s="188" t="s">
        <v>211</v>
      </c>
    </row>
    <row r="150" spans="1:13" ht="21" customHeight="1" x14ac:dyDescent="0.3">
      <c r="A150" s="215"/>
      <c r="B150" s="191" t="s">
        <v>641</v>
      </c>
      <c r="C150" s="192">
        <v>400</v>
      </c>
      <c r="D150" s="193">
        <f>D144-H144</f>
        <v>35</v>
      </c>
      <c r="E150" s="194" t="s">
        <v>214</v>
      </c>
      <c r="F150" s="195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>125</v>
      </c>
      <c r="G150" s="196">
        <f>IFERROR(ROUNDUP(D150/F150,0),"")</f>
        <v>1</v>
      </c>
      <c r="H150" s="197">
        <v>37</v>
      </c>
      <c r="I150" s="193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>444</v>
      </c>
    </row>
    <row r="151" spans="1:13" ht="21" customHeight="1" x14ac:dyDescent="0.3">
      <c r="A151" s="215"/>
      <c r="B151" s="191" t="s">
        <v>642</v>
      </c>
      <c r="C151" s="192">
        <v>400</v>
      </c>
      <c r="D151" s="193">
        <v>2060</v>
      </c>
      <c r="E151" s="194" t="s">
        <v>214</v>
      </c>
      <c r="F151" s="195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>125</v>
      </c>
      <c r="G151" s="196">
        <f>IFERROR(ROUNDUP(D151/F151,0),"")</f>
        <v>17</v>
      </c>
      <c r="H151" s="197">
        <v>1534</v>
      </c>
      <c r="I151" s="193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>18408</v>
      </c>
    </row>
    <row r="152" spans="1:13" ht="21" customHeight="1" x14ac:dyDescent="0.3">
      <c r="A152" s="215"/>
      <c r="B152" s="191"/>
      <c r="C152" s="192"/>
      <c r="D152" s="193"/>
      <c r="E152" s="194" t="s">
        <v>214</v>
      </c>
      <c r="F152" s="195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196" t="str">
        <f>IFERROR(ROUNDUP(D152/F152,0),"")</f>
        <v/>
      </c>
      <c r="H152" s="197"/>
      <c r="I152" s="193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</row>
    <row r="153" spans="1:13" ht="21" customHeight="1" x14ac:dyDescent="0.3">
      <c r="A153" s="215"/>
      <c r="B153" s="191"/>
      <c r="C153" s="192"/>
      <c r="D153" s="193"/>
      <c r="E153" s="194" t="s">
        <v>214</v>
      </c>
      <c r="F153" s="195" t="str">
        <f>IF($B153="","",IF(SUMIFS(CONFIG_PALLETS!$C:$C,CONFIG_PALLETS!$A:$A,TRIM($B153),CONFIG_PALLETS!$B:$B,$C153&amp;" ml")&gt;0,SUMIFS(CONFIG_PALLETS!$C:$C,CONFIG_PALLETS!$A:$A,TRIM($B153),CONFIG_PALLETS!$B:$B,$C153&amp;" ml"),IF(SUMIFS(CONFIG_PALLETS!$C:$C,CONFIG_PALLETS!$A:$A,"GERAL",CONFIG_PALLETS!$B:$B,$C153&amp;" ml")&gt;0,SUMIFS(CONFIG_PALLETS!$C:$C,CONFIG_PALLETS!$A:$A,"GERAL",CONFIG_PALLETS!$B:$B,$C153&amp;" ml"),"")))</f>
        <v/>
      </c>
      <c r="G153" s="196" t="str">
        <f>IFERROR(ROUNDUP(D153/F153,0),"")</f>
        <v/>
      </c>
      <c r="H153" s="197"/>
      <c r="I153" s="193" t="str">
        <f>IF(H153="","",H153*IF(SUMIFS(CONFIG_PALLETS!$D:$D,CONFIG_PALLETS!$A:$A,IF(ISNUMBER(SEARCH("ESPUMA",$B153)),"ESPUMA",IF(OR(ISNUMBER(SEARCH("OLEO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ml")&gt;0,SUMIFS(CONFIG_PALLETS!$D:$D,CONFIG_PALLETS!$A:$A,IF(ISNUMBER(SEARCH("ESPUMA",$B153)),"ESPUMA",IF(OR(ISNUMBER(SEARCH("OLEO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ml"),IF(SUMIFS(CONFIG_PALLETS!$D:$D,CONFIG_PALLETS!$A:$A,"GERAL",CONFIG_PALLETS!$B:$B,$C153&amp;" ml")&gt;0,SUMIFS(CONFIG_PALLETS!$D:$D,CONFIG_PALLETS!$A:$A,"GERAL",CONFIG_PALLETS!$B:$B,$C153&amp;" ml"),12)))</f>
        <v/>
      </c>
    </row>
    <row r="154" spans="1:13" ht="21" customHeight="1" x14ac:dyDescent="0.3">
      <c r="A154" s="215"/>
      <c r="B154" s="191"/>
      <c r="C154" s="192"/>
      <c r="D154" s="193"/>
      <c r="E154" s="194" t="s">
        <v>214</v>
      </c>
      <c r="F154" s="195" t="str">
        <f>IF($B154="","",IF(SUMIFS(CONFIG_PALLETS!$C:$C,CONFIG_PALLETS!$A:$A,TRIM($B154),CONFIG_PALLETS!$B:$B,$C154&amp;" ml")&gt;0,SUMIFS(CONFIG_PALLETS!$C:$C,CONFIG_PALLETS!$A:$A,TRIM($B154),CONFIG_PALLETS!$B:$B,$C154&amp;" ml"),IF(SUMIFS(CONFIG_PALLETS!$C:$C,CONFIG_PALLETS!$A:$A,"GERAL",CONFIG_PALLETS!$B:$B,$C154&amp;" ml")&gt;0,SUMIFS(CONFIG_PALLETS!$C:$C,CONFIG_PALLETS!$A:$A,"GERAL",CONFIG_PALLETS!$B:$B,$C154&amp;" ml"),"")))</f>
        <v/>
      </c>
      <c r="G154" s="196" t="str">
        <f>IFERROR(ROUNDUP(D154/F154,0),"")</f>
        <v/>
      </c>
      <c r="H154" s="197"/>
      <c r="I154" s="193" t="str">
        <f>IF(H154="","",H154*IF(SUMIFS(CONFIG_PALLETS!$D:$D,CONFIG_PALLETS!$A:$A,IF(ISNUMBER(SEARCH("ESPUMA",$B154)),"ESPUMA",IF(OR(ISNUMBER(SEARCH("OLEO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ml")&gt;0,SUMIFS(CONFIG_PALLETS!$D:$D,CONFIG_PALLETS!$A:$A,IF(ISNUMBER(SEARCH("ESPUMA",$B154)),"ESPUMA",IF(OR(ISNUMBER(SEARCH("OLEO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ml"),IF(SUMIFS(CONFIG_PALLETS!$D:$D,CONFIG_PALLETS!$A:$A,"GERAL",CONFIG_PALLETS!$B:$B,$C154&amp;" ml")&gt;0,SUMIFS(CONFIG_PALLETS!$D:$D,CONFIG_PALLETS!$A:$A,"GERAL",CONFIG_PALLETS!$B:$B,$C154&amp;" ml"),12)))</f>
        <v/>
      </c>
    </row>
    <row r="155" spans="1:13" ht="15" customHeight="1" x14ac:dyDescent="0.3">
      <c r="A155" s="217"/>
      <c r="B155" s="199" t="s">
        <v>216</v>
      </c>
      <c r="C155" s="200"/>
      <c r="D155" s="201">
        <f>SUM(D148:D154)</f>
        <v>2095</v>
      </c>
      <c r="E155" s="202"/>
      <c r="F155" s="202"/>
      <c r="G155" s="203">
        <f>SUM(G148:G154)</f>
        <v>18</v>
      </c>
      <c r="H155" s="201">
        <f>SUM(H148:H154)</f>
        <v>1571</v>
      </c>
      <c r="I155" s="201">
        <f>SUM(I150:I154)</f>
        <v>18852</v>
      </c>
      <c r="J155" s="28">
        <f>D155</f>
        <v>2095</v>
      </c>
      <c r="K155" s="106">
        <f>G155</f>
        <v>18</v>
      </c>
      <c r="L155" s="28">
        <f>H155</f>
        <v>1571</v>
      </c>
      <c r="M155" s="28">
        <f>I155</f>
        <v>18852</v>
      </c>
    </row>
    <row r="156" spans="1:13" ht="6" customHeight="1" x14ac:dyDescent="0.3">
      <c r="C156" s="72"/>
    </row>
    <row r="157" spans="1:13" ht="15" customHeight="1" x14ac:dyDescent="0.3">
      <c r="A157" s="30">
        <v>46164</v>
      </c>
      <c r="B157" s="186" t="s">
        <v>78</v>
      </c>
      <c r="C157" s="187" t="s">
        <v>205</v>
      </c>
      <c r="D157" s="188" t="s">
        <v>206</v>
      </c>
      <c r="E157" s="188" t="s">
        <v>207</v>
      </c>
      <c r="F157" s="189" t="s">
        <v>208</v>
      </c>
      <c r="G157" s="188" t="s">
        <v>209</v>
      </c>
      <c r="H157" s="188" t="s">
        <v>210</v>
      </c>
      <c r="I157" s="188" t="s">
        <v>211</v>
      </c>
    </row>
    <row r="158" spans="1:13" ht="21" customHeight="1" x14ac:dyDescent="0.3">
      <c r="A158" s="215"/>
      <c r="B158" s="191" t="s">
        <v>642</v>
      </c>
      <c r="C158" s="192">
        <v>400</v>
      </c>
      <c r="D158" s="193">
        <f>D151-H151</f>
        <v>526</v>
      </c>
      <c r="E158" s="194" t="s">
        <v>214</v>
      </c>
      <c r="F158" s="195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>125</v>
      </c>
      <c r="G158" s="196">
        <f t="shared" ref="G158:G163" si="6">IFERROR(ROUNDUP(D158/F158,0),"")</f>
        <v>5</v>
      </c>
      <c r="H158" s="197">
        <v>527</v>
      </c>
      <c r="I158" s="193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>6324</v>
      </c>
    </row>
    <row r="159" spans="1:13" ht="21" customHeight="1" x14ac:dyDescent="0.3">
      <c r="A159" s="215"/>
      <c r="B159" s="191"/>
      <c r="C159" s="192"/>
      <c r="D159" s="193"/>
      <c r="E159" s="194" t="s">
        <v>214</v>
      </c>
      <c r="F159" s="195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196" t="str">
        <f t="shared" si="6"/>
        <v/>
      </c>
      <c r="H159" s="197"/>
      <c r="I159" s="193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3">
      <c r="A160" s="215"/>
      <c r="B160" s="191"/>
      <c r="C160" s="192"/>
      <c r="D160" s="193"/>
      <c r="E160" s="194" t="s">
        <v>214</v>
      </c>
      <c r="F160" s="195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196" t="str">
        <f t="shared" si="6"/>
        <v/>
      </c>
      <c r="H160" s="197"/>
      <c r="I160" s="193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21" customHeight="1" x14ac:dyDescent="0.3">
      <c r="A161" s="215"/>
      <c r="B161" s="191"/>
      <c r="C161" s="192"/>
      <c r="D161" s="193"/>
      <c r="E161" s="194" t="s">
        <v>214</v>
      </c>
      <c r="F161" s="195" t="str">
        <f>IF($B161="","",IF(SUMIFS(CONFIG_PALLETS!$C:$C,CONFIG_PALLETS!$A:$A,TRIM($B161),CONFIG_PALLETS!$B:$B,$C161&amp;" ml")&gt;0,SUMIFS(CONFIG_PALLETS!$C:$C,CONFIG_PALLETS!$A:$A,TRIM($B161),CONFIG_PALLETS!$B:$B,$C161&amp;" ml"),IF(SUMIFS(CONFIG_PALLETS!$C:$C,CONFIG_PALLETS!$A:$A,"GERAL",CONFIG_PALLETS!$B:$B,$C161&amp;" ml")&gt;0,SUMIFS(CONFIG_PALLETS!$C:$C,CONFIG_PALLETS!$A:$A,"GERAL",CONFIG_PALLETS!$B:$B,$C161&amp;" ml"),"")))</f>
        <v/>
      </c>
      <c r="G161" s="196" t="str">
        <f t="shared" si="6"/>
        <v/>
      </c>
      <c r="H161" s="197"/>
      <c r="I161" s="193" t="str">
        <f>IF(H161="","",H161*IF(SUMIFS(CONFIG_PALLETS!$D:$D,CONFIG_PALLETS!$A:$A,IF(ISNUMBER(SEARCH("ESPUMA",$B161)),"ESPUMA",IF(OR(ISNUMBER(SEARCH("OLEO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ml")&gt;0,SUMIFS(CONFIG_PALLETS!$D:$D,CONFIG_PALLETS!$A:$A,IF(ISNUMBER(SEARCH("ESPUMA",$B161)),"ESPUMA",IF(OR(ISNUMBER(SEARCH("OLEO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ml"),IF(SUMIFS(CONFIG_PALLETS!$D:$D,CONFIG_PALLETS!$A:$A,"GERAL",CONFIG_PALLETS!$B:$B,$C161&amp;" ml")&gt;0,SUMIFS(CONFIG_PALLETS!$D:$D,CONFIG_PALLETS!$A:$A,"GERAL",CONFIG_PALLETS!$B:$B,$C161&amp;" ml"),12)))</f>
        <v/>
      </c>
    </row>
    <row r="162" spans="1:13" ht="21" customHeight="1" x14ac:dyDescent="0.3">
      <c r="A162" s="215"/>
      <c r="B162" s="191"/>
      <c r="C162" s="192"/>
      <c r="D162" s="193"/>
      <c r="E162" s="194" t="s">
        <v>214</v>
      </c>
      <c r="F162" s="195" t="str">
        <f>IF($B162="","",IF(SUMIFS(CONFIG_PALLETS!$C:$C,CONFIG_PALLETS!$A:$A,TRIM($B162),CONFIG_PALLETS!$B:$B,$C162&amp;" ml")&gt;0,SUMIFS(CONFIG_PALLETS!$C:$C,CONFIG_PALLETS!$A:$A,TRIM($B162),CONFIG_PALLETS!$B:$B,$C162&amp;" ml"),IF(SUMIFS(CONFIG_PALLETS!$C:$C,CONFIG_PALLETS!$A:$A,"GERAL",CONFIG_PALLETS!$B:$B,$C162&amp;" ml")&gt;0,SUMIFS(CONFIG_PALLETS!$C:$C,CONFIG_PALLETS!$A:$A,"GERAL",CONFIG_PALLETS!$B:$B,$C162&amp;" ml"),"")))</f>
        <v/>
      </c>
      <c r="G162" s="196" t="str">
        <f t="shared" si="6"/>
        <v/>
      </c>
      <c r="H162" s="197"/>
      <c r="I162" s="193" t="str">
        <f>IF(H162="","",H162*IF(SUMIFS(CONFIG_PALLETS!$D:$D,CONFIG_PALLETS!$A:$A,IF(ISNUMBER(SEARCH("ESPUMA",$B162)),"ESPUMA",IF(OR(ISNUMBER(SEARCH("OLEO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ml")&gt;0,SUMIFS(CONFIG_PALLETS!$D:$D,CONFIG_PALLETS!$A:$A,IF(ISNUMBER(SEARCH("ESPUMA",$B162)),"ESPUMA",IF(OR(ISNUMBER(SEARCH("OLEO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ml"),IF(SUMIFS(CONFIG_PALLETS!$D:$D,CONFIG_PALLETS!$A:$A,"GERAL",CONFIG_PALLETS!$B:$B,$C162&amp;" ml")&gt;0,SUMIFS(CONFIG_PALLETS!$D:$D,CONFIG_PALLETS!$A:$A,"GERAL",CONFIG_PALLETS!$B:$B,$C162&amp;" ml"),12)))</f>
        <v/>
      </c>
    </row>
    <row r="163" spans="1:13" ht="21" customHeight="1" x14ac:dyDescent="0.3">
      <c r="A163" s="215"/>
      <c r="B163" s="191"/>
      <c r="C163" s="192"/>
      <c r="D163" s="193"/>
      <c r="E163" s="194" t="s">
        <v>214</v>
      </c>
      <c r="F163" s="195" t="str">
        <f>IF($B163="","",IF(SUMIFS(CONFIG_PALLETS!$C:$C,CONFIG_PALLETS!$A:$A,TRIM($B163),CONFIG_PALLETS!$B:$B,$C163&amp;" ml")&gt;0,SUMIFS(CONFIG_PALLETS!$C:$C,CONFIG_PALLETS!$A:$A,TRIM($B163),CONFIG_PALLETS!$B:$B,$C163&amp;" ml"),IF(SUMIFS(CONFIG_PALLETS!$C:$C,CONFIG_PALLETS!$A:$A,"GERAL",CONFIG_PALLETS!$B:$B,$C163&amp;" ml")&gt;0,SUMIFS(CONFIG_PALLETS!$C:$C,CONFIG_PALLETS!$A:$A,"GERAL",CONFIG_PALLETS!$B:$B,$C163&amp;" ml"),"")))</f>
        <v/>
      </c>
      <c r="G163" s="196" t="str">
        <f t="shared" si="6"/>
        <v/>
      </c>
      <c r="H163" s="197"/>
      <c r="I163" s="193" t="str">
        <f>IF(H163="","",H163*IF(SUMIFS(CONFIG_PALLETS!$D:$D,CONFIG_PALLETS!$A:$A,IF(ISNUMBER(SEARCH("ESPUMA",$B163)),"ESPUMA",IF(OR(ISNUMBER(SEARCH("OLEO DE COCO",$B163)),ISNUMBER(SEARCH("ÓLEO DE COCO",$B163)),ISNUMBER(SEARCH("COPRA",$B163))),"ÓLEO DE COCO",IF(ISNUMBER(SEARCH("CORANTE",$B163)),"CORANTE",TRIM($B163)))),CONFIG_PALLETS!$B:$B,$C163&amp;" ml")&gt;0,SUMIFS(CONFIG_PALLETS!$D:$D,CONFIG_PALLETS!$A:$A,IF(ISNUMBER(SEARCH("ESPUMA",$B163)),"ESPUMA",IF(OR(ISNUMBER(SEARCH("OLEO DE COCO",$B163)),ISNUMBER(SEARCH("ÓLEO DE COCO",$B163)),ISNUMBER(SEARCH("COPRA",$B163))),"ÓLEO DE COCO",IF(ISNUMBER(SEARCH("CORANTE",$B163)),"CORANTE",TRIM($B163)))),CONFIG_PALLETS!$B:$B,$C163&amp;" ml"),IF(SUMIFS(CONFIG_PALLETS!$D:$D,CONFIG_PALLETS!$A:$A,"GERAL",CONFIG_PALLETS!$B:$B,$C163&amp;" ml")&gt;0,SUMIFS(CONFIG_PALLETS!$D:$D,CONFIG_PALLETS!$A:$A,"GERAL",CONFIG_PALLETS!$B:$B,$C163&amp;" ml"),12)))</f>
        <v/>
      </c>
    </row>
    <row r="164" spans="1:13" ht="15" customHeight="1" x14ac:dyDescent="0.3">
      <c r="A164" s="217"/>
      <c r="B164" s="199" t="s">
        <v>216</v>
      </c>
      <c r="C164" s="200"/>
      <c r="D164" s="201">
        <f>SUM(D156:D163)</f>
        <v>526</v>
      </c>
      <c r="E164" s="202"/>
      <c r="F164" s="202"/>
      <c r="G164" s="203">
        <f>SUM(G156:G163)</f>
        <v>5</v>
      </c>
      <c r="H164" s="201">
        <f>SUM(H156:H163)</f>
        <v>527</v>
      </c>
      <c r="I164" s="201">
        <f>SUM(I156:I163)</f>
        <v>6324</v>
      </c>
      <c r="J164" s="28">
        <f>D164</f>
        <v>526</v>
      </c>
      <c r="K164" s="106">
        <f>G164</f>
        <v>5</v>
      </c>
      <c r="L164" s="28">
        <f>H164</f>
        <v>527</v>
      </c>
      <c r="M164" s="28">
        <f>I164</f>
        <v>6324</v>
      </c>
    </row>
    <row r="165" spans="1:13" ht="6" customHeight="1" x14ac:dyDescent="0.3">
      <c r="C165" s="72"/>
    </row>
    <row r="166" spans="1:13" ht="15" customHeight="1" x14ac:dyDescent="0.3">
      <c r="A166" s="30">
        <v>46165</v>
      </c>
      <c r="B166" s="186" t="s">
        <v>78</v>
      </c>
      <c r="C166" s="187" t="s">
        <v>205</v>
      </c>
      <c r="D166" s="188" t="s">
        <v>206</v>
      </c>
      <c r="E166" s="188" t="s">
        <v>207</v>
      </c>
      <c r="F166" s="189" t="s">
        <v>208</v>
      </c>
      <c r="G166" s="188" t="s">
        <v>209</v>
      </c>
      <c r="H166" s="188" t="s">
        <v>210</v>
      </c>
      <c r="I166" s="188" t="s">
        <v>211</v>
      </c>
    </row>
    <row r="167" spans="1:13" ht="21" customHeight="1" x14ac:dyDescent="0.3">
      <c r="A167" s="215"/>
      <c r="B167" s="191" t="s">
        <v>616</v>
      </c>
      <c r="C167" s="192">
        <v>400</v>
      </c>
      <c r="D167" s="193">
        <v>1650</v>
      </c>
      <c r="E167" s="194" t="s">
        <v>214</v>
      </c>
      <c r="F167" s="195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>125</v>
      </c>
      <c r="G167" s="196">
        <f>IFERROR(ROUNDUP(D167/F167,0),"")</f>
        <v>14</v>
      </c>
      <c r="H167" s="197">
        <v>875</v>
      </c>
      <c r="I167" s="193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>10500</v>
      </c>
    </row>
    <row r="168" spans="1:13" ht="21" customHeight="1" x14ac:dyDescent="0.3">
      <c r="A168" s="215"/>
      <c r="B168" s="191"/>
      <c r="C168" s="192"/>
      <c r="D168" s="193"/>
      <c r="E168" s="194" t="s">
        <v>214</v>
      </c>
      <c r="F168" s="195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196" t="str">
        <f>IFERROR(ROUNDUP(D168/F168,0),"")</f>
        <v/>
      </c>
      <c r="H168" s="197"/>
      <c r="I168" s="193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</row>
    <row r="169" spans="1:13" ht="21" customHeight="1" x14ac:dyDescent="0.3">
      <c r="A169" s="215"/>
      <c r="B169" s="191"/>
      <c r="C169" s="192"/>
      <c r="D169" s="193"/>
      <c r="E169" s="194" t="s">
        <v>214</v>
      </c>
      <c r="F169" s="195" t="str">
        <f>IF($B169="","",IF(SUMIFS(CONFIG_PALLETS!$C:$C,CONFIG_PALLETS!$A:$A,TRIM($B169),CONFIG_PALLETS!$B:$B,$C169&amp;" ml")&gt;0,SUMIFS(CONFIG_PALLETS!$C:$C,CONFIG_PALLETS!$A:$A,TRIM($B169),CONFIG_PALLETS!$B:$B,$C169&amp;" ml"),IF(SUMIFS(CONFIG_PALLETS!$C:$C,CONFIG_PALLETS!$A:$A,"GERAL",CONFIG_PALLETS!$B:$B,$C169&amp;" ml")&gt;0,SUMIFS(CONFIG_PALLETS!$C:$C,CONFIG_PALLETS!$A:$A,"GERAL",CONFIG_PALLETS!$B:$B,$C169&amp;" ml"),"")))</f>
        <v/>
      </c>
      <c r="G169" s="196" t="str">
        <f>IFERROR(ROUNDUP(D169/F169,0),"")</f>
        <v/>
      </c>
      <c r="H169" s="197"/>
      <c r="I169" s="193" t="str">
        <f>IF(H169="","",H169*IF(SUMIFS(CONFIG_PALLETS!$D:$D,CONFIG_PALLETS!$A:$A,IF(ISNUMBER(SEARCH("ESPUMA",$B169)),"ESPUMA",IF(OR(ISNUMBER(SEARCH("OLEO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ml")&gt;0,SUMIFS(CONFIG_PALLETS!$D:$D,CONFIG_PALLETS!$A:$A,IF(ISNUMBER(SEARCH("ESPUMA",$B169)),"ESPUMA",IF(OR(ISNUMBER(SEARCH("OLEO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ml"),IF(SUMIFS(CONFIG_PALLETS!$D:$D,CONFIG_PALLETS!$A:$A,"GERAL",CONFIG_PALLETS!$B:$B,$C169&amp;" ml")&gt;0,SUMIFS(CONFIG_PALLETS!$D:$D,CONFIG_PALLETS!$A:$A,"GERAL",CONFIG_PALLETS!$B:$B,$C169&amp;" ml"),12)))</f>
        <v/>
      </c>
    </row>
    <row r="170" spans="1:13" ht="21" customHeight="1" x14ac:dyDescent="0.3">
      <c r="A170" s="215"/>
      <c r="B170" s="191"/>
      <c r="C170" s="192"/>
      <c r="D170" s="193"/>
      <c r="E170" s="194" t="s">
        <v>214</v>
      </c>
      <c r="F170" s="195" t="str">
        <f>IF($B170="","",IF(SUMIFS(CONFIG_PALLETS!$C:$C,CONFIG_PALLETS!$A:$A,TRIM($B170),CONFIG_PALLETS!$B:$B,$C170&amp;" ml")&gt;0,SUMIFS(CONFIG_PALLETS!$C:$C,CONFIG_PALLETS!$A:$A,TRIM($B170),CONFIG_PALLETS!$B:$B,$C170&amp;" ml"),IF(SUMIFS(CONFIG_PALLETS!$C:$C,CONFIG_PALLETS!$A:$A,"GERAL",CONFIG_PALLETS!$B:$B,$C170&amp;" ml")&gt;0,SUMIFS(CONFIG_PALLETS!$C:$C,CONFIG_PALLETS!$A:$A,"GERAL",CONFIG_PALLETS!$B:$B,$C170&amp;" ml"),"")))</f>
        <v/>
      </c>
      <c r="G170" s="196" t="str">
        <f>IFERROR(ROUNDUP(D170/F170,0),"")</f>
        <v/>
      </c>
      <c r="H170" s="197"/>
      <c r="I170" s="193" t="str">
        <f>IF(H170="","",H170*IF(SUMIFS(CONFIG_PALLETS!$D:$D,CONFIG_PALLETS!$A:$A,IF(ISNUMBER(SEARCH("ESPUMA",$B170)),"ESPUMA",IF(OR(ISNUMBER(SEARCH("OLEO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ml")&gt;0,SUMIFS(CONFIG_PALLETS!$D:$D,CONFIG_PALLETS!$A:$A,IF(ISNUMBER(SEARCH("ESPUMA",$B170)),"ESPUMA",IF(OR(ISNUMBER(SEARCH("OLEO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ml"),IF(SUMIFS(CONFIG_PALLETS!$D:$D,CONFIG_PALLETS!$A:$A,"GERAL",CONFIG_PALLETS!$B:$B,$C170&amp;" ml")&gt;0,SUMIFS(CONFIG_PALLETS!$D:$D,CONFIG_PALLETS!$A:$A,"GERAL",CONFIG_PALLETS!$B:$B,$C170&amp;" ml"),12)))</f>
        <v/>
      </c>
    </row>
    <row r="171" spans="1:13" ht="21" customHeight="1" x14ac:dyDescent="0.3">
      <c r="A171" s="215"/>
      <c r="B171" s="191"/>
      <c r="C171" s="192"/>
      <c r="D171" s="193"/>
      <c r="E171" s="194" t="s">
        <v>214</v>
      </c>
      <c r="F171" s="195" t="str">
        <f>IF($B171="","",IF(SUMIFS(CONFIG_PALLETS!$C:$C,CONFIG_PALLETS!$A:$A,TRIM($B171),CONFIG_PALLETS!$B:$B,$C171&amp;" ml")&gt;0,SUMIFS(CONFIG_PALLETS!$C:$C,CONFIG_PALLETS!$A:$A,TRIM($B171),CONFIG_PALLETS!$B:$B,$C171&amp;" ml"),IF(SUMIFS(CONFIG_PALLETS!$C:$C,CONFIG_PALLETS!$A:$A,"GERAL",CONFIG_PALLETS!$B:$B,$C171&amp;" ml")&gt;0,SUMIFS(CONFIG_PALLETS!$C:$C,CONFIG_PALLETS!$A:$A,"GERAL",CONFIG_PALLETS!$B:$B,$C171&amp;" ml"),"")))</f>
        <v/>
      </c>
      <c r="G171" s="196" t="str">
        <f>IFERROR(ROUNDUP(D171/F171,0),"")</f>
        <v/>
      </c>
      <c r="H171" s="197"/>
      <c r="I171" s="193" t="str">
        <f>IF(H171="","",H171*IF(SUMIFS(CONFIG_PALLETS!$D:$D,CONFIG_PALLETS!$A:$A,IF(ISNUMBER(SEARCH("ESPUMA",$B171)),"ESPUMA",IF(OR(ISNUMBER(SEARCH("OLEO DE COCO",$B171)),ISNUMBER(SEARCH("ÓLEO DE COCO",$B171)),ISNUMBER(SEARCH("COPRA",$B171))),"ÓLEO DE COCO",IF(ISNUMBER(SEARCH("CORANTE",$B171)),"CORANTE",TRIM($B171)))),CONFIG_PALLETS!$B:$B,$C171&amp;" ml")&gt;0,SUMIFS(CONFIG_PALLETS!$D:$D,CONFIG_PALLETS!$A:$A,IF(ISNUMBER(SEARCH("ESPUMA",$B171)),"ESPUMA",IF(OR(ISNUMBER(SEARCH("OLEO DE COCO",$B171)),ISNUMBER(SEARCH("ÓLEO DE COCO",$B171)),ISNUMBER(SEARCH("COPRA",$B171))),"ÓLEO DE COCO",IF(ISNUMBER(SEARCH("CORANTE",$B171)),"CORANTE",TRIM($B171)))),CONFIG_PALLETS!$B:$B,$C171&amp;" ml"),IF(SUMIFS(CONFIG_PALLETS!$D:$D,CONFIG_PALLETS!$A:$A,"GERAL",CONFIG_PALLETS!$B:$B,$C171&amp;" ml")&gt;0,SUMIFS(CONFIG_PALLETS!$D:$D,CONFIG_PALLETS!$A:$A,"GERAL",CONFIG_PALLETS!$B:$B,$C171&amp;" ml"),12)))</f>
        <v/>
      </c>
    </row>
    <row r="172" spans="1:13" ht="15" customHeight="1" x14ac:dyDescent="0.3">
      <c r="A172" s="217"/>
      <c r="B172" s="199" t="s">
        <v>216</v>
      </c>
      <c r="C172" s="200"/>
      <c r="D172" s="201">
        <f>SUM(D165:D171)</f>
        <v>1650</v>
      </c>
      <c r="E172" s="202"/>
      <c r="F172" s="202"/>
      <c r="G172" s="203">
        <f>SUM(G165:G171)</f>
        <v>14</v>
      </c>
      <c r="H172" s="201">
        <f>SUM(H165:H171)</f>
        <v>875</v>
      </c>
      <c r="I172" s="201">
        <f>SUM(I165:I171)</f>
        <v>10500</v>
      </c>
      <c r="J172" s="28">
        <f>D172</f>
        <v>1650</v>
      </c>
      <c r="K172" s="106">
        <f>G172</f>
        <v>14</v>
      </c>
      <c r="L172" s="28">
        <f>H172</f>
        <v>875</v>
      </c>
      <c r="M172" s="28">
        <f>I172</f>
        <v>10500</v>
      </c>
    </row>
    <row r="173" spans="1:13" ht="6" customHeight="1" x14ac:dyDescent="0.3">
      <c r="C173" s="72"/>
    </row>
    <row r="174" spans="1:13" ht="15" customHeight="1" x14ac:dyDescent="0.3">
      <c r="A174" s="30">
        <v>46167</v>
      </c>
      <c r="B174" s="186" t="s">
        <v>78</v>
      </c>
      <c r="C174" s="187" t="s">
        <v>205</v>
      </c>
      <c r="D174" s="188" t="s">
        <v>206</v>
      </c>
      <c r="E174" s="188" t="s">
        <v>207</v>
      </c>
      <c r="F174" s="189" t="s">
        <v>208</v>
      </c>
      <c r="G174" s="188" t="s">
        <v>209</v>
      </c>
      <c r="H174" s="188" t="s">
        <v>210</v>
      </c>
      <c r="I174" s="188" t="s">
        <v>211</v>
      </c>
    </row>
    <row r="175" spans="1:13" ht="21" customHeight="1" x14ac:dyDescent="0.3">
      <c r="A175" s="215"/>
      <c r="B175" s="191" t="s">
        <v>616</v>
      </c>
      <c r="C175" s="192">
        <v>400</v>
      </c>
      <c r="D175" s="193">
        <f>D167-H167</f>
        <v>775</v>
      </c>
      <c r="E175" s="194" t="s">
        <v>214</v>
      </c>
      <c r="F175" s="195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>125</v>
      </c>
      <c r="G175" s="196">
        <f>IFERROR(ROUNDUP(D175/F175,0),"")</f>
        <v>7</v>
      </c>
      <c r="H175" s="197">
        <v>775</v>
      </c>
      <c r="I175" s="193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>9300</v>
      </c>
    </row>
    <row r="176" spans="1:13" ht="21" customHeight="1" x14ac:dyDescent="0.3">
      <c r="A176" s="215"/>
      <c r="B176" s="191" t="s">
        <v>178</v>
      </c>
      <c r="C176" s="192">
        <v>400</v>
      </c>
      <c r="D176" s="193">
        <v>240</v>
      </c>
      <c r="E176" s="194" t="s">
        <v>214</v>
      </c>
      <c r="F176" s="195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>110</v>
      </c>
      <c r="G176" s="196">
        <f>IFERROR(ROUNDUP(D176/F176,0),"")</f>
        <v>3</v>
      </c>
      <c r="H176" s="197">
        <v>261</v>
      </c>
      <c r="I176" s="193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>3132</v>
      </c>
    </row>
    <row r="177" spans="1:13" ht="21" customHeight="1" x14ac:dyDescent="0.3">
      <c r="A177" s="215"/>
      <c r="B177" s="191" t="s">
        <v>643</v>
      </c>
      <c r="C177" s="192">
        <v>400</v>
      </c>
      <c r="D177" s="193">
        <v>125</v>
      </c>
      <c r="E177" s="194" t="s">
        <v>214</v>
      </c>
      <c r="F177" s="195">
        <f>IF($B177="","",IF(SUMIFS(CONFIG_PALLETS!$C:$C,CONFIG_PALLETS!$A:$A,TRIM($B177),CONFIG_PALLETS!$B:$B,$C177&amp;" ml")&gt;0,SUMIFS(CONFIG_PALLETS!$C:$C,CONFIG_PALLETS!$A:$A,TRIM($B177),CONFIG_PALLETS!$B:$B,$C177&amp;" ml"),IF(SUMIFS(CONFIG_PALLETS!$C:$C,CONFIG_PALLETS!$A:$A,"GERAL",CONFIG_PALLETS!$B:$B,$C177&amp;" ml")&gt;0,SUMIFS(CONFIG_PALLETS!$C:$C,CONFIG_PALLETS!$A:$A,"GERAL",CONFIG_PALLETS!$B:$B,$C177&amp;" ml"),"")))</f>
        <v>125</v>
      </c>
      <c r="G177" s="196">
        <f>IFERROR(ROUNDUP(D177/F177,0),"")</f>
        <v>1</v>
      </c>
      <c r="H177" s="197">
        <v>72</v>
      </c>
      <c r="I177" s="193">
        <f>IF(H177="","",H177*IF(SUMIFS(CONFIG_PALLETS!$D:$D,CONFIG_PALLETS!$A:$A,IF(ISNUMBER(SEARCH("ESPUMA",$B177)),"ESPUMA",IF(OR(ISNUMBER(SEARCH("OLEO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ml")&gt;0,SUMIFS(CONFIG_PALLETS!$D:$D,CONFIG_PALLETS!$A:$A,IF(ISNUMBER(SEARCH("ESPUMA",$B177)),"ESPUMA",IF(OR(ISNUMBER(SEARCH("OLEO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ml"),IF(SUMIFS(CONFIG_PALLETS!$D:$D,CONFIG_PALLETS!$A:$A,"GERAL",CONFIG_PALLETS!$B:$B,$C177&amp;" ml")&gt;0,SUMIFS(CONFIG_PALLETS!$D:$D,CONFIG_PALLETS!$A:$A,"GERAL",CONFIG_PALLETS!$B:$B,$C177&amp;" ml"),12)))</f>
        <v>864</v>
      </c>
    </row>
    <row r="178" spans="1:13" ht="21" customHeight="1" x14ac:dyDescent="0.3">
      <c r="A178" s="215"/>
      <c r="B178" s="191"/>
      <c r="C178" s="192"/>
      <c r="D178" s="193"/>
      <c r="E178" s="194" t="s">
        <v>214</v>
      </c>
      <c r="F178" s="195" t="str">
        <f>IF($B178="","",IF(SUMIFS(CONFIG_PALLETS!$C:$C,CONFIG_PALLETS!$A:$A,TRIM($B178),CONFIG_PALLETS!$B:$B,$C178&amp;" ml")&gt;0,SUMIFS(CONFIG_PALLETS!$C:$C,CONFIG_PALLETS!$A:$A,TRIM($B178),CONFIG_PALLETS!$B:$B,$C178&amp;" ml"),IF(SUMIFS(CONFIG_PALLETS!$C:$C,CONFIG_PALLETS!$A:$A,"GERAL",CONFIG_PALLETS!$B:$B,$C178&amp;" ml")&gt;0,SUMIFS(CONFIG_PALLETS!$C:$C,CONFIG_PALLETS!$A:$A,"GERAL",CONFIG_PALLETS!$B:$B,$C178&amp;" ml"),"")))</f>
        <v/>
      </c>
      <c r="G178" s="196" t="str">
        <f>IFERROR(ROUNDUP(D178/F178,0),"")</f>
        <v/>
      </c>
      <c r="H178" s="197"/>
      <c r="I178" s="193" t="str">
        <f>IF(H178="","",H178*IF(SUMIFS(CONFIG_PALLETS!$D:$D,CONFIG_PALLETS!$A:$A,IF(ISNUMBER(SEARCH("ESPUMA",$B178)),"ESPUMA",IF(OR(ISNUMBER(SEARCH("OLEO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ml")&gt;0,SUMIFS(CONFIG_PALLETS!$D:$D,CONFIG_PALLETS!$A:$A,IF(ISNUMBER(SEARCH("ESPUMA",$B178)),"ESPUMA",IF(OR(ISNUMBER(SEARCH("OLEO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ml"),IF(SUMIFS(CONFIG_PALLETS!$D:$D,CONFIG_PALLETS!$A:$A,"GERAL",CONFIG_PALLETS!$B:$B,$C178&amp;" ml")&gt;0,SUMIFS(CONFIG_PALLETS!$D:$D,CONFIG_PALLETS!$A:$A,"GERAL",CONFIG_PALLETS!$B:$B,$C178&amp;" ml"),12)))</f>
        <v/>
      </c>
    </row>
    <row r="179" spans="1:13" ht="21" customHeight="1" x14ac:dyDescent="0.3">
      <c r="A179" s="215"/>
      <c r="B179" s="191"/>
      <c r="C179" s="192"/>
      <c r="D179" s="193"/>
      <c r="E179" s="194" t="s">
        <v>214</v>
      </c>
      <c r="F179" s="195" t="str">
        <f>IF($B179="","",IF(SUMIFS(CONFIG_PALLETS!$C:$C,CONFIG_PALLETS!$A:$A,TRIM($B179),CONFIG_PALLETS!$B:$B,$C179&amp;" ml")&gt;0,SUMIFS(CONFIG_PALLETS!$C:$C,CONFIG_PALLETS!$A:$A,TRIM($B179),CONFIG_PALLETS!$B:$B,$C179&amp;" ml"),IF(SUMIFS(CONFIG_PALLETS!$C:$C,CONFIG_PALLETS!$A:$A,"GERAL",CONFIG_PALLETS!$B:$B,$C179&amp;" ml")&gt;0,SUMIFS(CONFIG_PALLETS!$C:$C,CONFIG_PALLETS!$A:$A,"GERAL",CONFIG_PALLETS!$B:$B,$C179&amp;" ml"),"")))</f>
        <v/>
      </c>
      <c r="G179" s="196" t="str">
        <f>IFERROR(ROUNDUP(D179/F179,0),"")</f>
        <v/>
      </c>
      <c r="H179" s="197"/>
      <c r="I179" s="193" t="str">
        <f>IF(H179="","",H179*IF(SUMIFS(CONFIG_PALLETS!$D:$D,CONFIG_PALLETS!$A:$A,IF(ISNUMBER(SEARCH("ESPUMA",$B179)),"ESPUMA",IF(OR(ISNUMBER(SEARCH("OLEO DE COCO",$B179)),ISNUMBER(SEARCH("ÓLEO DE COCO",$B179)),ISNUMBER(SEARCH("COPRA",$B179))),"ÓLEO DE COCO",IF(ISNUMBER(SEARCH("CORANTE",$B179)),"CORANTE",TRIM($B179)))),CONFIG_PALLETS!$B:$B,$C179&amp;" ml")&gt;0,SUMIFS(CONFIG_PALLETS!$D:$D,CONFIG_PALLETS!$A:$A,IF(ISNUMBER(SEARCH("ESPUMA",$B179)),"ESPUMA",IF(OR(ISNUMBER(SEARCH("OLEO DE COCO",$B179)),ISNUMBER(SEARCH("ÓLEO DE COCO",$B179)),ISNUMBER(SEARCH("COPRA",$B179))),"ÓLEO DE COCO",IF(ISNUMBER(SEARCH("CORANTE",$B179)),"CORANTE",TRIM($B179)))),CONFIG_PALLETS!$B:$B,$C179&amp;" ml"),IF(SUMIFS(CONFIG_PALLETS!$D:$D,CONFIG_PALLETS!$A:$A,"GERAL",CONFIG_PALLETS!$B:$B,$C179&amp;" ml")&gt;0,SUMIFS(CONFIG_PALLETS!$D:$D,CONFIG_PALLETS!$A:$A,"GERAL",CONFIG_PALLETS!$B:$B,$C179&amp;" ml"),12)))</f>
        <v/>
      </c>
    </row>
    <row r="180" spans="1:13" ht="15" customHeight="1" x14ac:dyDescent="0.3">
      <c r="A180" s="217"/>
      <c r="B180" s="199" t="s">
        <v>216</v>
      </c>
      <c r="C180" s="200"/>
      <c r="D180" s="201">
        <f>SUM(D173:D179)</f>
        <v>1140</v>
      </c>
      <c r="E180" s="202"/>
      <c r="F180" s="202"/>
      <c r="G180" s="203">
        <f>SUM(G173:G179)</f>
        <v>11</v>
      </c>
      <c r="H180" s="201">
        <f>SUM(H173:H179)</f>
        <v>1108</v>
      </c>
      <c r="I180" s="201">
        <f>SUM(I173:I179)</f>
        <v>13296</v>
      </c>
      <c r="J180" s="28">
        <f>D180</f>
        <v>1140</v>
      </c>
      <c r="K180" s="106">
        <f>G180</f>
        <v>11</v>
      </c>
      <c r="L180" s="28">
        <f>H180</f>
        <v>1108</v>
      </c>
      <c r="M180" s="28">
        <f>I180</f>
        <v>13296</v>
      </c>
    </row>
    <row r="181" spans="1:13" ht="6" customHeight="1" x14ac:dyDescent="0.3">
      <c r="C181" s="72"/>
    </row>
    <row r="182" spans="1:13" ht="15" customHeight="1" x14ac:dyDescent="0.3">
      <c r="A182" s="30">
        <v>46168</v>
      </c>
      <c r="B182" s="186" t="s">
        <v>78</v>
      </c>
      <c r="C182" s="187" t="s">
        <v>205</v>
      </c>
      <c r="D182" s="188" t="s">
        <v>206</v>
      </c>
      <c r="E182" s="188" t="s">
        <v>207</v>
      </c>
      <c r="F182" s="189" t="s">
        <v>208</v>
      </c>
      <c r="G182" s="188" t="s">
        <v>209</v>
      </c>
      <c r="H182" s="188" t="s">
        <v>210</v>
      </c>
      <c r="I182" s="188" t="s">
        <v>211</v>
      </c>
    </row>
    <row r="183" spans="1:13" ht="21" customHeight="1" x14ac:dyDescent="0.3">
      <c r="A183" s="215"/>
      <c r="B183" s="191" t="s">
        <v>643</v>
      </c>
      <c r="C183" s="192">
        <v>400</v>
      </c>
      <c r="D183" s="193">
        <f>D177-H177</f>
        <v>53</v>
      </c>
      <c r="E183" s="194" t="s">
        <v>214</v>
      </c>
      <c r="F183" s="195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>125</v>
      </c>
      <c r="G183" s="196">
        <f t="shared" ref="G183:G189" si="7">IFERROR(ROUNDUP(D183/F183,0),"")</f>
        <v>1</v>
      </c>
      <c r="H183" s="197">
        <v>53</v>
      </c>
      <c r="I183" s="193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>636</v>
      </c>
    </row>
    <row r="184" spans="1:13" ht="21" customHeight="1" x14ac:dyDescent="0.3">
      <c r="A184" s="215"/>
      <c r="B184" s="191" t="s">
        <v>643</v>
      </c>
      <c r="C184" s="192">
        <v>600</v>
      </c>
      <c r="D184" s="193">
        <v>380</v>
      </c>
      <c r="E184" s="194" t="s">
        <v>214</v>
      </c>
      <c r="F184" s="195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>95</v>
      </c>
      <c r="G184" s="196">
        <f t="shared" si="7"/>
        <v>4</v>
      </c>
      <c r="H184" s="197">
        <v>380</v>
      </c>
      <c r="I184" s="193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>4560</v>
      </c>
    </row>
    <row r="185" spans="1:13" ht="21" customHeight="1" x14ac:dyDescent="0.3">
      <c r="A185" s="215"/>
      <c r="B185" s="191" t="s">
        <v>438</v>
      </c>
      <c r="C185" s="192">
        <v>600</v>
      </c>
      <c r="D185" s="193">
        <v>285</v>
      </c>
      <c r="E185" s="194" t="s">
        <v>214</v>
      </c>
      <c r="F185" s="195">
        <f>IF($B185="","",IF(SUMIFS(CONFIG_PALLETS!$C:$C,CONFIG_PALLETS!$A:$A,TRIM($B185),CONFIG_PALLETS!$B:$B,$C185&amp;" ml")&gt;0,SUMIFS(CONFIG_PALLETS!$C:$C,CONFIG_PALLETS!$A:$A,TRIM($B185),CONFIG_PALLETS!$B:$B,$C185&amp;" ml"),IF(SUMIFS(CONFIG_PALLETS!$C:$C,CONFIG_PALLETS!$A:$A,"GERAL",CONFIG_PALLETS!$B:$B,$C185&amp;" ml")&gt;0,SUMIFS(CONFIG_PALLETS!$C:$C,CONFIG_PALLETS!$A:$A,"GERAL",CONFIG_PALLETS!$B:$B,$C185&amp;" ml"),"")))</f>
        <v>95</v>
      </c>
      <c r="G185" s="196">
        <f t="shared" si="7"/>
        <v>3</v>
      </c>
      <c r="H185" s="197">
        <v>322</v>
      </c>
      <c r="I185" s="193">
        <f>IF(H185="","",H185*IF(SUMIFS(CONFIG_PALLETS!$D:$D,CONFIG_PALLETS!$A:$A,IF(ISNUMBER(SEARCH("ESPUMA",$B185)),"ESPUMA",IF(OR(ISNUMBER(SEARCH("OLEO DE COCO",$B185)),ISNUMBER(SEARCH("ÓLEO DE COCO",$B185)),ISNUMBER(SEARCH("COPRA",$B185))),"ÓLEO DE COCO",IF(ISNUMBER(SEARCH("CORANTE",$B185)),"CORANTE",TRIM($B185)))),CONFIG_PALLETS!$B:$B,$C185&amp;" ml")&gt;0,SUMIFS(CONFIG_PALLETS!$D:$D,CONFIG_PALLETS!$A:$A,IF(ISNUMBER(SEARCH("ESPUMA",$B185)),"ESPUMA",IF(OR(ISNUMBER(SEARCH("OLEO DE COCO",$B185)),ISNUMBER(SEARCH("ÓLEO DE COCO",$B185)),ISNUMBER(SEARCH("COPRA",$B185))),"ÓLEO DE COCO",IF(ISNUMBER(SEARCH("CORANTE",$B185)),"CORANTE",TRIM($B185)))),CONFIG_PALLETS!$B:$B,$C185&amp;" ml"),IF(SUMIFS(CONFIG_PALLETS!$D:$D,CONFIG_PALLETS!$A:$A,"GERAL",CONFIG_PALLETS!$B:$B,$C185&amp;" ml")&gt;0,SUMIFS(CONFIG_PALLETS!$D:$D,CONFIG_PALLETS!$A:$A,"GERAL",CONFIG_PALLETS!$B:$B,$C185&amp;" ml"),12)))</f>
        <v>3864</v>
      </c>
    </row>
    <row r="186" spans="1:13" ht="21" customHeight="1" x14ac:dyDescent="0.3">
      <c r="A186" s="215"/>
      <c r="B186" s="191"/>
      <c r="C186" s="192"/>
      <c r="D186" s="193"/>
      <c r="E186" s="194" t="s">
        <v>214</v>
      </c>
      <c r="F186" s="195" t="str">
        <f>IF($B186="","",IF(SUMIFS(CONFIG_PALLETS!$C:$C,CONFIG_PALLETS!$A:$A,TRIM($B186),CONFIG_PALLETS!$B:$B,$C186&amp;" ml")&gt;0,SUMIFS(CONFIG_PALLETS!$C:$C,CONFIG_PALLETS!$A:$A,TRIM($B186),CONFIG_PALLETS!$B:$B,$C186&amp;" ml"),IF(SUMIFS(CONFIG_PALLETS!$C:$C,CONFIG_PALLETS!$A:$A,"GERAL",CONFIG_PALLETS!$B:$B,$C186&amp;" ml")&gt;0,SUMIFS(CONFIG_PALLETS!$C:$C,CONFIG_PALLETS!$A:$A,"GERAL",CONFIG_PALLETS!$B:$B,$C186&amp;" ml"),"")))</f>
        <v/>
      </c>
      <c r="G186" s="196" t="str">
        <f t="shared" si="7"/>
        <v/>
      </c>
      <c r="H186" s="197"/>
      <c r="I186" s="193" t="str">
        <f>IF(H186="","",H186*IF(SUMIFS(CONFIG_PALLETS!$D:$D,CONFIG_PALLETS!$A:$A,IF(ISNUMBER(SEARCH("ESPUMA",$B186)),"ESPUMA",IF(OR(ISNUMBER(SEARCH("OLEO DE COCO",$B186)),ISNUMBER(SEARCH("ÓLEO DE COCO",$B186)),ISNUMBER(SEARCH("COPRA",$B186))),"ÓLEO DE COCO",IF(ISNUMBER(SEARCH("CORANTE",$B186)),"CORANTE",TRIM($B186)))),CONFIG_PALLETS!$B:$B,$C186&amp;" ml")&gt;0,SUMIFS(CONFIG_PALLETS!$D:$D,CONFIG_PALLETS!$A:$A,IF(ISNUMBER(SEARCH("ESPUMA",$B186)),"ESPUMA",IF(OR(ISNUMBER(SEARCH("OLEO DE COCO",$B186)),ISNUMBER(SEARCH("ÓLEO DE COCO",$B186)),ISNUMBER(SEARCH("COPRA",$B186))),"ÓLEO DE COCO",IF(ISNUMBER(SEARCH("CORANTE",$B186)),"CORANTE",TRIM($B186)))),CONFIG_PALLETS!$B:$B,$C186&amp;" ml"),IF(SUMIFS(CONFIG_PALLETS!$D:$D,CONFIG_PALLETS!$A:$A,"GERAL",CONFIG_PALLETS!$B:$B,$C186&amp;" ml")&gt;0,SUMIFS(CONFIG_PALLETS!$D:$D,CONFIG_PALLETS!$A:$A,"GERAL",CONFIG_PALLETS!$B:$B,$C186&amp;" ml"),12)))</f>
        <v/>
      </c>
    </row>
    <row r="187" spans="1:13" ht="21" customHeight="1" x14ac:dyDescent="0.3">
      <c r="A187" s="215"/>
      <c r="B187" s="191"/>
      <c r="C187" s="192"/>
      <c r="D187" s="193"/>
      <c r="E187" s="194" t="s">
        <v>214</v>
      </c>
      <c r="F187" s="195" t="str">
        <f>IF($B187="","",IF(SUMIFS(CONFIG_PALLETS!$C:$C,CONFIG_PALLETS!$A:$A,TRIM($B187),CONFIG_PALLETS!$B:$B,$C187&amp;" ml")&gt;0,SUMIFS(CONFIG_PALLETS!$C:$C,CONFIG_PALLETS!$A:$A,TRIM($B187),CONFIG_PALLETS!$B:$B,$C187&amp;" ml"),IF(SUMIFS(CONFIG_PALLETS!$C:$C,CONFIG_PALLETS!$A:$A,"GERAL",CONFIG_PALLETS!$B:$B,$C187&amp;" ml")&gt;0,SUMIFS(CONFIG_PALLETS!$C:$C,CONFIG_PALLETS!$A:$A,"GERAL",CONFIG_PALLETS!$B:$B,$C187&amp;" ml"),"")))</f>
        <v/>
      </c>
      <c r="G187" s="196" t="str">
        <f t="shared" si="7"/>
        <v/>
      </c>
      <c r="H187" s="197"/>
      <c r="I187" s="193" t="str">
        <f>IF(H187="","",H187*IF(SUMIFS(CONFIG_PALLETS!$D:$D,CONFIG_PALLETS!$A:$A,IF(ISNUMBER(SEARCH("ESPUMA",$B187)),"ESPUMA",IF(OR(ISNUMBER(SEARCH("OLEO DE COCO",$B187)),ISNUMBER(SEARCH("ÓLEO DE COCO",$B187)),ISNUMBER(SEARCH("COPRA",$B187))),"ÓLEO DE COCO",IF(ISNUMBER(SEARCH("CORANTE",$B187)),"CORANTE",TRIM($B187)))),CONFIG_PALLETS!$B:$B,$C187&amp;" ml")&gt;0,SUMIFS(CONFIG_PALLETS!$D:$D,CONFIG_PALLETS!$A:$A,IF(ISNUMBER(SEARCH("ESPUMA",$B187)),"ESPUMA",IF(OR(ISNUMBER(SEARCH("OLEO DE COCO",$B187)),ISNUMBER(SEARCH("ÓLEO DE COCO",$B187)),ISNUMBER(SEARCH("COPRA",$B187))),"ÓLEO DE COCO",IF(ISNUMBER(SEARCH("CORANTE",$B187)),"CORANTE",TRIM($B187)))),CONFIG_PALLETS!$B:$B,$C187&amp;" ml"),IF(SUMIFS(CONFIG_PALLETS!$D:$D,CONFIG_PALLETS!$A:$A,"GERAL",CONFIG_PALLETS!$B:$B,$C187&amp;" ml")&gt;0,SUMIFS(CONFIG_PALLETS!$D:$D,CONFIG_PALLETS!$A:$A,"GERAL",CONFIG_PALLETS!$B:$B,$C187&amp;" ml"),12)))</f>
        <v/>
      </c>
    </row>
    <row r="188" spans="1:13" ht="21" customHeight="1" x14ac:dyDescent="0.3">
      <c r="A188" s="215"/>
      <c r="B188" s="191"/>
      <c r="C188" s="192"/>
      <c r="D188" s="193"/>
      <c r="E188" s="194" t="s">
        <v>214</v>
      </c>
      <c r="F188" s="195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196" t="str">
        <f t="shared" si="7"/>
        <v/>
      </c>
      <c r="H188" s="197"/>
      <c r="I188" s="193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</row>
    <row r="189" spans="1:13" ht="21" customHeight="1" x14ac:dyDescent="0.3">
      <c r="A189" s="215"/>
      <c r="B189" s="191"/>
      <c r="C189" s="192"/>
      <c r="D189" s="193"/>
      <c r="E189" s="194" t="s">
        <v>214</v>
      </c>
      <c r="F189" s="195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196" t="str">
        <f t="shared" si="7"/>
        <v/>
      </c>
      <c r="H189" s="197"/>
      <c r="I189" s="193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</row>
    <row r="190" spans="1:13" ht="15" customHeight="1" x14ac:dyDescent="0.3">
      <c r="A190" s="217"/>
      <c r="B190" s="199" t="s">
        <v>216</v>
      </c>
      <c r="C190" s="200"/>
      <c r="D190" s="201">
        <f>SUM(D181:D189)</f>
        <v>718</v>
      </c>
      <c r="E190" s="202"/>
      <c r="F190" s="202"/>
      <c r="G190" s="203">
        <f>SUM(G181:G189)</f>
        <v>8</v>
      </c>
      <c r="H190" s="201">
        <f>SUM(H181:H189)</f>
        <v>755</v>
      </c>
      <c r="I190" s="201">
        <f>SUM(I181:I189)</f>
        <v>9060</v>
      </c>
      <c r="J190" s="28">
        <f>D190</f>
        <v>718</v>
      </c>
      <c r="K190" s="106">
        <f>G190</f>
        <v>8</v>
      </c>
      <c r="L190" s="28">
        <f>H190</f>
        <v>755</v>
      </c>
      <c r="M190" s="28">
        <f>I190</f>
        <v>9060</v>
      </c>
    </row>
    <row r="191" spans="1:13" ht="6" customHeight="1" x14ac:dyDescent="0.3">
      <c r="C191" s="72"/>
    </row>
    <row r="192" spans="1:13" ht="15" customHeight="1" x14ac:dyDescent="0.3">
      <c r="A192" s="30">
        <v>46169</v>
      </c>
      <c r="B192" s="186" t="s">
        <v>78</v>
      </c>
      <c r="C192" s="187" t="s">
        <v>205</v>
      </c>
      <c r="D192" s="188" t="s">
        <v>206</v>
      </c>
      <c r="E192" s="188" t="s">
        <v>207</v>
      </c>
      <c r="F192" s="189" t="s">
        <v>208</v>
      </c>
      <c r="G192" s="188" t="s">
        <v>209</v>
      </c>
      <c r="H192" s="188" t="s">
        <v>210</v>
      </c>
      <c r="I192" s="188" t="s">
        <v>211</v>
      </c>
    </row>
    <row r="193" spans="1:13" ht="21" customHeight="1" x14ac:dyDescent="0.3">
      <c r="A193" s="215"/>
      <c r="B193" s="191" t="s">
        <v>544</v>
      </c>
      <c r="C193" s="192">
        <v>600</v>
      </c>
      <c r="D193" s="193">
        <v>665</v>
      </c>
      <c r="E193" s="194" t="s">
        <v>214</v>
      </c>
      <c r="F193" s="195">
        <f>IF($B193="","",IF(SUMIFS(CONFIG_PALLETS!$C:$C,CONFIG_PALLETS!$A:$A,TRIM($B193),CONFIG_PALLETS!$B:$B,$C193&amp;" ml")&gt;0,SUMIFS(CONFIG_PALLETS!$C:$C,CONFIG_PALLETS!$A:$A,TRIM($B193),CONFIG_PALLETS!$B:$B,$C193&amp;" ml"),IF(SUMIFS(CONFIG_PALLETS!$C:$C,CONFIG_PALLETS!$A:$A,"GERAL",CONFIG_PALLETS!$B:$B,$C193&amp;" ml")&gt;0,SUMIFS(CONFIG_PALLETS!$C:$C,CONFIG_PALLETS!$A:$A,"GERAL",CONFIG_PALLETS!$B:$B,$C193&amp;" ml"),"")))</f>
        <v>95</v>
      </c>
      <c r="G193" s="196">
        <f t="shared" ref="G193:G198" si="8">IFERROR(ROUNDUP(D193/F193,0),"")</f>
        <v>7</v>
      </c>
      <c r="H193" s="197">
        <v>673</v>
      </c>
      <c r="I193" s="193">
        <f>IF(H193="","",H193*IF(SUMIFS(CONFIG_PALLETS!$D:$D,CONFIG_PALLETS!$A:$A,IF(ISNUMBER(SEARCH("ESPUMA",$B193)),"ESPUMA",IF(OR(ISNUMBER(SEARCH("OLEO DE COCO",$B193)),ISNUMBER(SEARCH("ÓLEO DE COCO",$B193)),ISNUMBER(SEARCH("COPRA",$B193))),"ÓLEO DE COCO",IF(ISNUMBER(SEARCH("CORANTE",$B193)),"CORANTE",TRIM($B193)))),CONFIG_PALLETS!$B:$B,$C193&amp;" ml")&gt;0,SUMIFS(CONFIG_PALLETS!$D:$D,CONFIG_PALLETS!$A:$A,IF(ISNUMBER(SEARCH("ESPUMA",$B193)),"ESPUMA",IF(OR(ISNUMBER(SEARCH("OLEO DE COCO",$B193)),ISNUMBER(SEARCH("ÓLEO DE COCO",$B193)),ISNUMBER(SEARCH("COPRA",$B193))),"ÓLEO DE COCO",IF(ISNUMBER(SEARCH("CORANTE",$B193)),"CORANTE",TRIM($B193)))),CONFIG_PALLETS!$B:$B,$C193&amp;" ml"),IF(SUMIFS(CONFIG_PALLETS!$D:$D,CONFIG_PALLETS!$A:$A,"GERAL",CONFIG_PALLETS!$B:$B,$C193&amp;" ml")&gt;0,SUMIFS(CONFIG_PALLETS!$D:$D,CONFIG_PALLETS!$A:$A,"GERAL",CONFIG_PALLETS!$B:$B,$C193&amp;" ml"),12)))</f>
        <v>8076</v>
      </c>
    </row>
    <row r="194" spans="1:13" ht="21" customHeight="1" x14ac:dyDescent="0.3">
      <c r="A194" s="215"/>
      <c r="B194" s="191" t="s">
        <v>1328</v>
      </c>
      <c r="C194" s="192">
        <v>100</v>
      </c>
      <c r="D194" s="193">
        <v>840</v>
      </c>
      <c r="E194" s="194" t="s">
        <v>214</v>
      </c>
      <c r="F194" s="195">
        <f>IF($B194="","",IF(SUMIFS(CONFIG_PALLETS!$C:$C,CONFIG_PALLETS!$A:$A,TRIM($B194),CONFIG_PALLETS!$B:$B,$C194&amp;" ml")&gt;0,SUMIFS(CONFIG_PALLETS!$C:$C,CONFIG_PALLETS!$A:$A,TRIM($B194),CONFIG_PALLETS!$B:$B,$C194&amp;" ml"),IF(SUMIFS(CONFIG_PALLETS!$C:$C,CONFIG_PALLETS!$A:$A,"GERAL",CONFIG_PALLETS!$B:$B,$C194&amp;" ml")&gt;0,SUMIFS(CONFIG_PALLETS!$C:$C,CONFIG_PALLETS!$A:$A,"GERAL",CONFIG_PALLETS!$B:$B,$C194&amp;" ml"),"")))</f>
        <v>240</v>
      </c>
      <c r="G194" s="196">
        <f t="shared" si="8"/>
        <v>4</v>
      </c>
      <c r="H194" s="197">
        <v>47</v>
      </c>
      <c r="I194" s="193">
        <f>IF(H194="","",H194*IF(SUMIFS(CONFIG_PALLETS!$D:$D,CONFIG_PALLETS!$A:$A,IF(ISNUMBER(SEARCH("ESPUMA",$B194)),"ESPUMA",IF(OR(ISNUMBER(SEARCH("OLEO DE COCO",$B194)),ISNUMBER(SEARCH("ÓLEO DE COCO",$B194)),ISNUMBER(SEARCH("COPRA",$B194))),"ÓLEO DE COCO",IF(ISNUMBER(SEARCH("CORANTE",$B194)),"CORANTE",TRIM($B194)))),CONFIG_PALLETS!$B:$B,$C194&amp;" ml")&gt;0,SUMIFS(CONFIG_PALLETS!$D:$D,CONFIG_PALLETS!$A:$A,IF(ISNUMBER(SEARCH("ESPUMA",$B194)),"ESPUMA",IF(OR(ISNUMBER(SEARCH("OLEO DE COCO",$B194)),ISNUMBER(SEARCH("ÓLEO DE COCO",$B194)),ISNUMBER(SEARCH("COPRA",$B194))),"ÓLEO DE COCO",IF(ISNUMBER(SEARCH("CORANTE",$B194)),"CORANTE",TRIM($B194)))),CONFIG_PALLETS!$B:$B,$C194&amp;" ml"),IF(SUMIFS(CONFIG_PALLETS!$D:$D,CONFIG_PALLETS!$A:$A,"GERAL",CONFIG_PALLETS!$B:$B,$C194&amp;" ml")&gt;0,SUMIFS(CONFIG_PALLETS!$D:$D,CONFIG_PALLETS!$A:$A,"GERAL",CONFIG_PALLETS!$B:$B,$C194&amp;" ml"),12)))</f>
        <v>564</v>
      </c>
    </row>
    <row r="195" spans="1:13" ht="21" customHeight="1" x14ac:dyDescent="0.3">
      <c r="A195" s="215"/>
      <c r="B195" s="191"/>
      <c r="C195" s="192"/>
      <c r="D195" s="193"/>
      <c r="E195" s="194" t="s">
        <v>214</v>
      </c>
      <c r="F195" s="195" t="str">
        <f>IF($B195="","",IF(SUMIFS(CONFIG_PALLETS!$C:$C,CONFIG_PALLETS!$A:$A,TRIM($B195),CONFIG_PALLETS!$B:$B,$C195&amp;" ml")&gt;0,SUMIFS(CONFIG_PALLETS!$C:$C,CONFIG_PALLETS!$A:$A,TRIM($B195),CONFIG_PALLETS!$B:$B,$C195&amp;" ml"),IF(SUMIFS(CONFIG_PALLETS!$C:$C,CONFIG_PALLETS!$A:$A,"GERAL",CONFIG_PALLETS!$B:$B,$C195&amp;" ml")&gt;0,SUMIFS(CONFIG_PALLETS!$C:$C,CONFIG_PALLETS!$A:$A,"GERAL",CONFIG_PALLETS!$B:$B,$C195&amp;" ml"),"")))</f>
        <v/>
      </c>
      <c r="G195" s="196" t="str">
        <f t="shared" si="8"/>
        <v/>
      </c>
      <c r="H195" s="197"/>
      <c r="I195" s="193" t="str">
        <f>IF(H195="","",H195*IF(SUMIFS(CONFIG_PALLETS!$D:$D,CONFIG_PALLETS!$A:$A,IF(ISNUMBER(SEARCH("ESPUMA",$B195)),"ESPUMA",IF(OR(ISNUMBER(SEARCH("OLEO DE COCO",$B195)),ISNUMBER(SEARCH("ÓLEO DE COCO",$B195)),ISNUMBER(SEARCH("COPRA",$B195))),"ÓLEO DE COCO",IF(ISNUMBER(SEARCH("CORANTE",$B195)),"CORANTE",TRIM($B195)))),CONFIG_PALLETS!$B:$B,$C195&amp;" ml")&gt;0,SUMIFS(CONFIG_PALLETS!$D:$D,CONFIG_PALLETS!$A:$A,IF(ISNUMBER(SEARCH("ESPUMA",$B195)),"ESPUMA",IF(OR(ISNUMBER(SEARCH("OLEO DE COCO",$B195)),ISNUMBER(SEARCH("ÓLEO DE COCO",$B195)),ISNUMBER(SEARCH("COPRA",$B195))),"ÓLEO DE COCO",IF(ISNUMBER(SEARCH("CORANTE",$B195)),"CORANTE",TRIM($B195)))),CONFIG_PALLETS!$B:$B,$C195&amp;" ml"),IF(SUMIFS(CONFIG_PALLETS!$D:$D,CONFIG_PALLETS!$A:$A,"GERAL",CONFIG_PALLETS!$B:$B,$C195&amp;" ml")&gt;0,SUMIFS(CONFIG_PALLETS!$D:$D,CONFIG_PALLETS!$A:$A,"GERAL",CONFIG_PALLETS!$B:$B,$C195&amp;" ml"),12)))</f>
        <v/>
      </c>
    </row>
    <row r="196" spans="1:13" ht="21" customHeight="1" x14ac:dyDescent="0.3">
      <c r="A196" s="215"/>
      <c r="B196" s="191"/>
      <c r="C196" s="192"/>
      <c r="D196" s="193"/>
      <c r="E196" s="194" t="s">
        <v>214</v>
      </c>
      <c r="F196" s="195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196" t="str">
        <f t="shared" si="8"/>
        <v/>
      </c>
      <c r="H196" s="197"/>
      <c r="I196" s="193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</row>
    <row r="197" spans="1:13" ht="21" customHeight="1" x14ac:dyDescent="0.3">
      <c r="A197" s="215"/>
      <c r="B197" s="191"/>
      <c r="C197" s="192"/>
      <c r="D197" s="193"/>
      <c r="E197" s="194" t="s">
        <v>214</v>
      </c>
      <c r="F197" s="195" t="str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196" t="str">
        <f t="shared" si="8"/>
        <v/>
      </c>
      <c r="H197" s="197"/>
      <c r="I197" s="193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</row>
    <row r="198" spans="1:13" ht="21" customHeight="1" x14ac:dyDescent="0.3">
      <c r="A198" s="215"/>
      <c r="B198" s="191"/>
      <c r="C198" s="192"/>
      <c r="D198" s="193"/>
      <c r="E198" s="194" t="s">
        <v>214</v>
      </c>
      <c r="F198" s="195" t="str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196" t="str">
        <f t="shared" si="8"/>
        <v/>
      </c>
      <c r="H198" s="197"/>
      <c r="I198" s="193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</row>
    <row r="199" spans="1:13" ht="15" customHeight="1" x14ac:dyDescent="0.3">
      <c r="A199" s="217"/>
      <c r="B199" s="199" t="s">
        <v>216</v>
      </c>
      <c r="C199" s="200"/>
      <c r="D199" s="201">
        <f>SUM(D191:D198)</f>
        <v>1505</v>
      </c>
      <c r="E199" s="202"/>
      <c r="F199" s="202"/>
      <c r="G199" s="203">
        <f>SUM(G191:G198)</f>
        <v>11</v>
      </c>
      <c r="H199" s="201">
        <f>SUM(H191:H198)</f>
        <v>720</v>
      </c>
      <c r="I199" s="201">
        <f>SUM(I191:I198)</f>
        <v>8640</v>
      </c>
      <c r="J199" s="28">
        <f>D199</f>
        <v>1505</v>
      </c>
      <c r="K199" s="106">
        <f>G199</f>
        <v>11</v>
      </c>
      <c r="L199" s="28">
        <f>H199</f>
        <v>720</v>
      </c>
      <c r="M199" s="28">
        <f>I199</f>
        <v>8640</v>
      </c>
    </row>
    <row r="200" spans="1:13" ht="6" customHeight="1" x14ac:dyDescent="0.3">
      <c r="C200" s="72"/>
    </row>
    <row r="201" spans="1:13" ht="15" customHeight="1" x14ac:dyDescent="0.3">
      <c r="A201" s="30">
        <v>46170</v>
      </c>
      <c r="B201" s="186" t="s">
        <v>78</v>
      </c>
      <c r="C201" s="187" t="s">
        <v>205</v>
      </c>
      <c r="D201" s="188" t="s">
        <v>206</v>
      </c>
      <c r="E201" s="188" t="s">
        <v>207</v>
      </c>
      <c r="F201" s="189" t="s">
        <v>208</v>
      </c>
      <c r="G201" s="188" t="s">
        <v>209</v>
      </c>
      <c r="H201" s="188" t="s">
        <v>210</v>
      </c>
      <c r="I201" s="188" t="s">
        <v>211</v>
      </c>
    </row>
    <row r="202" spans="1:13" ht="21" customHeight="1" x14ac:dyDescent="0.3">
      <c r="A202" s="215"/>
      <c r="B202" s="191" t="s">
        <v>1328</v>
      </c>
      <c r="C202" s="192">
        <v>100</v>
      </c>
      <c r="D202" s="193">
        <f>D194-H194</f>
        <v>793</v>
      </c>
      <c r="E202" s="194" t="s">
        <v>214</v>
      </c>
      <c r="F202" s="195">
        <f>IF($B202="","",IF(SUMIFS(CONFIG_PALLETS!$C:$C,CONFIG_PALLETS!$A:$A,TRIM($B202),CONFIG_PALLETS!$B:$B,$C202&amp;" ml")&gt;0,SUMIFS(CONFIG_PALLETS!$C:$C,CONFIG_PALLETS!$A:$A,TRIM($B202),CONFIG_PALLETS!$B:$B,$C202&amp;" ml"),IF(SUMIFS(CONFIG_PALLETS!$C:$C,CONFIG_PALLETS!$A:$A,"GERAL",CONFIG_PALLETS!$B:$B,$C202&amp;" ml")&gt;0,SUMIFS(CONFIG_PALLETS!$C:$C,CONFIG_PALLETS!$A:$A,"GERAL",CONFIG_PALLETS!$B:$B,$C202&amp;" ml"),"")))</f>
        <v>240</v>
      </c>
      <c r="G202" s="196">
        <f>IFERROR(ROUNDUP(D202/F202,0),"")</f>
        <v>4</v>
      </c>
      <c r="H202" s="197">
        <v>747</v>
      </c>
      <c r="I202" s="193">
        <f>IF(H202="","",H202*IF(SUMIFS(CONFIG_PALLETS!$D:$D,CONFIG_PALLETS!$A:$A,IF(ISNUMBER(SEARCH("ESPUMA",$B202)),"ESPUMA",IF(OR(ISNUMBER(SEARCH("OLEO DE COCO",$B202)),ISNUMBER(SEARCH("ÓLEO DE COCO",$B202)),ISNUMBER(SEARCH("COPRA",$B202))),"ÓLEO DE COCO",IF(ISNUMBER(SEARCH("CORANTE",$B202)),"CORANTE",TRIM($B202)))),CONFIG_PALLETS!$B:$B,$C202&amp;" ml")&gt;0,SUMIFS(CONFIG_PALLETS!$D:$D,CONFIG_PALLETS!$A:$A,IF(ISNUMBER(SEARCH("ESPUMA",$B202)),"ESPUMA",IF(OR(ISNUMBER(SEARCH("OLEO DE COCO",$B202)),ISNUMBER(SEARCH("ÓLEO DE COCO",$B202)),ISNUMBER(SEARCH("COPRA",$B202))),"ÓLEO DE COCO",IF(ISNUMBER(SEARCH("CORANTE",$B202)),"CORANTE",TRIM($B202)))),CONFIG_PALLETS!$B:$B,$C202&amp;" ml"),IF(SUMIFS(CONFIG_PALLETS!$D:$D,CONFIG_PALLETS!$A:$A,"GERAL",CONFIG_PALLETS!$B:$B,$C202&amp;" ml")&gt;0,SUMIFS(CONFIG_PALLETS!$D:$D,CONFIG_PALLETS!$A:$A,"GERAL",CONFIG_PALLETS!$B:$B,$C202&amp;" ml"),12)))</f>
        <v>8964</v>
      </c>
    </row>
    <row r="203" spans="1:13" ht="21" customHeight="1" x14ac:dyDescent="0.3">
      <c r="A203" s="215"/>
      <c r="B203" s="191" t="s">
        <v>327</v>
      </c>
      <c r="C203" s="192">
        <v>100</v>
      </c>
      <c r="D203" s="193">
        <v>840</v>
      </c>
      <c r="E203" s="194" t="s">
        <v>214</v>
      </c>
      <c r="F203" s="195">
        <f>IF($B203="","",IF(SUMIFS(CONFIG_PALLETS!$C:$C,CONFIG_PALLETS!$A:$A,TRIM($B203),CONFIG_PALLETS!$B:$B,$C203&amp;" ml")&gt;0,SUMIFS(CONFIG_PALLETS!$C:$C,CONFIG_PALLETS!$A:$A,TRIM($B203),CONFIG_PALLETS!$B:$B,$C203&amp;" ml"),IF(SUMIFS(CONFIG_PALLETS!$C:$C,CONFIG_PALLETS!$A:$A,"GERAL",CONFIG_PALLETS!$B:$B,$C203&amp;" ml")&gt;0,SUMIFS(CONFIG_PALLETS!$C:$C,CONFIG_PALLETS!$A:$A,"GERAL",CONFIG_PALLETS!$B:$B,$C203&amp;" ml"),"")))</f>
        <v>240</v>
      </c>
      <c r="G203" s="196">
        <f>IFERROR(ROUNDUP(D203/F203,0),"")</f>
        <v>4</v>
      </c>
      <c r="H203" s="197">
        <v>690</v>
      </c>
      <c r="I203" s="193">
        <f>IF(H203="","",H203*IF(SUMIFS(CONFIG_PALLETS!$D:$D,CONFIG_PALLETS!$A:$A,IF(ISNUMBER(SEARCH("ESPUMA",$B203)),"ESPUMA",IF(OR(ISNUMBER(SEARCH("OLEO DE COCO",$B203)),ISNUMBER(SEARCH("ÓLEO DE COCO",$B203)),ISNUMBER(SEARCH("COPRA",$B203))),"ÓLEO DE COCO",IF(ISNUMBER(SEARCH("CORANTE",$B203)),"CORANTE",TRIM($B203)))),CONFIG_PALLETS!$B:$B,$C203&amp;" ml")&gt;0,SUMIFS(CONFIG_PALLETS!$D:$D,CONFIG_PALLETS!$A:$A,IF(ISNUMBER(SEARCH("ESPUMA",$B203)),"ESPUMA",IF(OR(ISNUMBER(SEARCH("OLEO DE COCO",$B203)),ISNUMBER(SEARCH("ÓLEO DE COCO",$B203)),ISNUMBER(SEARCH("COPRA",$B203))),"ÓLEO DE COCO",IF(ISNUMBER(SEARCH("CORANTE",$B203)),"CORANTE",TRIM($B203)))),CONFIG_PALLETS!$B:$B,$C203&amp;" ml"),IF(SUMIFS(CONFIG_PALLETS!$D:$D,CONFIG_PALLETS!$A:$A,"GERAL",CONFIG_PALLETS!$B:$B,$C203&amp;" ml")&gt;0,SUMIFS(CONFIG_PALLETS!$D:$D,CONFIG_PALLETS!$A:$A,"GERAL",CONFIG_PALLETS!$B:$B,$C203&amp;" ml"),12)))</f>
        <v>8280</v>
      </c>
    </row>
    <row r="204" spans="1:13" ht="21" customHeight="1" x14ac:dyDescent="0.3">
      <c r="A204" s="215"/>
      <c r="B204" s="191"/>
      <c r="C204" s="192"/>
      <c r="D204" s="193"/>
      <c r="E204" s="194" t="s">
        <v>214</v>
      </c>
      <c r="F204" s="195" t="str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196" t="str">
        <f>IFERROR(ROUNDUP(D204/F204,0),"")</f>
        <v/>
      </c>
      <c r="H204" s="197"/>
      <c r="I204" s="193" t="str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</row>
    <row r="205" spans="1:13" ht="21" customHeight="1" x14ac:dyDescent="0.3">
      <c r="A205" s="215"/>
      <c r="B205" s="191"/>
      <c r="C205" s="192"/>
      <c r="D205" s="193"/>
      <c r="E205" s="194" t="s">
        <v>214</v>
      </c>
      <c r="F205" s="195" t="str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196" t="str">
        <f>IFERROR(ROUNDUP(D205/F205,0),"")</f>
        <v/>
      </c>
      <c r="H205" s="197"/>
      <c r="I205" s="193" t="str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</row>
    <row r="206" spans="1:13" ht="21" customHeight="1" x14ac:dyDescent="0.3">
      <c r="A206" s="215"/>
      <c r="B206" s="191"/>
      <c r="C206" s="192"/>
      <c r="D206" s="193"/>
      <c r="E206" s="194" t="s">
        <v>214</v>
      </c>
      <c r="F206" s="195" t="str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196" t="str">
        <f>IFERROR(ROUNDUP(D206/F206,0),"")</f>
        <v/>
      </c>
      <c r="H206" s="197"/>
      <c r="I206" s="193" t="str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</row>
    <row r="207" spans="1:13" ht="15" customHeight="1" x14ac:dyDescent="0.3">
      <c r="A207" s="217"/>
      <c r="B207" s="199" t="s">
        <v>216</v>
      </c>
      <c r="C207" s="200"/>
      <c r="D207" s="201">
        <f>SUM(D200:D206)</f>
        <v>1633</v>
      </c>
      <c r="E207" s="202"/>
      <c r="F207" s="202"/>
      <c r="G207" s="203">
        <f>SUM(G200:G206)</f>
        <v>8</v>
      </c>
      <c r="H207" s="201">
        <f>SUM(H200:H206)</f>
        <v>1437</v>
      </c>
      <c r="I207" s="201">
        <f>SUM(I200:I206)</f>
        <v>17244</v>
      </c>
      <c r="J207" s="28">
        <f>D207</f>
        <v>1633</v>
      </c>
      <c r="K207" s="106">
        <f>G207</f>
        <v>8</v>
      </c>
      <c r="L207" s="28">
        <f>H207</f>
        <v>1437</v>
      </c>
      <c r="M207" s="28">
        <f>I207</f>
        <v>17244</v>
      </c>
    </row>
    <row r="208" spans="1:13" ht="6" customHeight="1" x14ac:dyDescent="0.3">
      <c r="C208" s="72"/>
    </row>
    <row r="209" spans="1:16" ht="14.25" customHeight="1" x14ac:dyDescent="0.3">
      <c r="A209" s="30">
        <v>46171</v>
      </c>
      <c r="B209" s="186" t="s">
        <v>78</v>
      </c>
      <c r="C209" s="187" t="s">
        <v>205</v>
      </c>
      <c r="D209" s="188" t="s">
        <v>206</v>
      </c>
      <c r="E209" s="188" t="s">
        <v>207</v>
      </c>
      <c r="F209" s="189" t="s">
        <v>208</v>
      </c>
      <c r="G209" s="188" t="s">
        <v>209</v>
      </c>
      <c r="H209" s="188" t="s">
        <v>210</v>
      </c>
      <c r="I209" s="188" t="s">
        <v>211</v>
      </c>
    </row>
    <row r="210" spans="1:16" ht="21" customHeight="1" x14ac:dyDescent="0.3">
      <c r="A210" s="215"/>
      <c r="B210" s="191" t="s">
        <v>327</v>
      </c>
      <c r="C210" s="192">
        <v>100</v>
      </c>
      <c r="D210" s="193">
        <f>D203-H203</f>
        <v>150</v>
      </c>
      <c r="E210" s="194" t="s">
        <v>214</v>
      </c>
      <c r="F210" s="195">
        <f>IF($B210="","",IF(SUMIFS(CONFIG_PALLETS!$C:$C,CONFIG_PALLETS!$A:$A,TRIM($B210),CONFIG_PALLETS!$B:$B,$C210&amp;" ml")&gt;0,SUMIFS(CONFIG_PALLETS!$C:$C,CONFIG_PALLETS!$A:$A,TRIM($B210),CONFIG_PALLETS!$B:$B,$C210&amp;" ml"),IF(SUMIFS(CONFIG_PALLETS!$C:$C,CONFIG_PALLETS!$A:$A,"GERAL",CONFIG_PALLETS!$B:$B,$C210&amp;" ml")&gt;0,SUMIFS(CONFIG_PALLETS!$C:$C,CONFIG_PALLETS!$A:$A,"GERAL",CONFIG_PALLETS!$B:$B,$C210&amp;" ml"),"")))</f>
        <v>240</v>
      </c>
      <c r="G210" s="196">
        <f>IFERROR(ROUNDUP(D210/F210,0),"")</f>
        <v>1</v>
      </c>
      <c r="H210" s="197">
        <v>147</v>
      </c>
      <c r="I210" s="193">
        <f>IF(H210="","",H210*IF(SUMIFS(CONFIG_PALLETS!$D:$D,CONFIG_PALLETS!$A:$A,IF(ISNUMBER(SEARCH("ESPUMA",$B210)),"ESPUMA",IF(OR(ISNUMBER(SEARCH("OLEO DE COCO",$B210)),ISNUMBER(SEARCH("ÓLEO DE COCO",$B210)),ISNUMBER(SEARCH("COPRA",$B210))),"ÓLEO DE COCO",IF(ISNUMBER(SEARCH("CORANTE",$B210)),"CORANTE",TRIM($B210)))),CONFIG_PALLETS!$B:$B,$C210&amp;" ml")&gt;0,SUMIFS(CONFIG_PALLETS!$D:$D,CONFIG_PALLETS!$A:$A,IF(ISNUMBER(SEARCH("ESPUMA",$B210)),"ESPUMA",IF(OR(ISNUMBER(SEARCH("OLEO DE COCO",$B210)),ISNUMBER(SEARCH("ÓLEO DE COCO",$B210)),ISNUMBER(SEARCH("COPRA",$B210))),"ÓLEO DE COCO",IF(ISNUMBER(SEARCH("CORANTE",$B210)),"CORANTE",TRIM($B210)))),CONFIG_PALLETS!$B:$B,$C210&amp;" ml"),IF(SUMIFS(CONFIG_PALLETS!$D:$D,CONFIG_PALLETS!$A:$A,"GERAL",CONFIG_PALLETS!$B:$B,$C210&amp;" ml")&gt;0,SUMIFS(CONFIG_PALLETS!$D:$D,CONFIG_PALLETS!$A:$A,"GERAL",CONFIG_PALLETS!$B:$B,$C210&amp;" ml"),12)))</f>
        <v>1764</v>
      </c>
    </row>
    <row r="211" spans="1:16" ht="21" customHeight="1" x14ac:dyDescent="0.3">
      <c r="A211" s="215"/>
      <c r="B211" s="191" t="s">
        <v>1329</v>
      </c>
      <c r="C211" s="192">
        <v>100</v>
      </c>
      <c r="D211" s="193">
        <v>500</v>
      </c>
      <c r="E211" s="194" t="s">
        <v>214</v>
      </c>
      <c r="F211" s="195">
        <f>IF($B211="","",IF(SUMIFS(CONFIG_PALLETS!$C:$C,CONFIG_PALLETS!$A:$A,TRIM($B211),CONFIG_PALLETS!$B:$B,$C211&amp;" ml")&gt;0,SUMIFS(CONFIG_PALLETS!$C:$C,CONFIG_PALLETS!$A:$A,TRIM($B211),CONFIG_PALLETS!$B:$B,$C211&amp;" ml"),IF(SUMIFS(CONFIG_PALLETS!$C:$C,CONFIG_PALLETS!$A:$A,"GERAL",CONFIG_PALLETS!$B:$B,$C211&amp;" ml")&gt;0,SUMIFS(CONFIG_PALLETS!$C:$C,CONFIG_PALLETS!$A:$A,"GERAL",CONFIG_PALLETS!$B:$B,$C211&amp;" ml"),"")))</f>
        <v>240</v>
      </c>
      <c r="G211" s="196">
        <f>IFERROR(ROUNDUP(D211/F211,0),"")</f>
        <v>3</v>
      </c>
      <c r="H211" s="197">
        <v>610</v>
      </c>
      <c r="I211" s="193">
        <f>IF(H211="","",H211*IF(SUMIFS(CONFIG_PALLETS!$D:$D,CONFIG_PALLETS!$A:$A,IF(ISNUMBER(SEARCH("ESPUMA",$B211)),"ESPUMA",IF(OR(ISNUMBER(SEARCH("OLEO DE COCO",$B211)),ISNUMBER(SEARCH("ÓLEO DE COCO",$B211)),ISNUMBER(SEARCH("COPRA",$B211))),"ÓLEO DE COCO",IF(ISNUMBER(SEARCH("CORANTE",$B211)),"CORANTE",TRIM($B211)))),CONFIG_PALLETS!$B:$B,$C211&amp;" ml")&gt;0,SUMIFS(CONFIG_PALLETS!$D:$D,CONFIG_PALLETS!$A:$A,IF(ISNUMBER(SEARCH("ESPUMA",$B211)),"ESPUMA",IF(OR(ISNUMBER(SEARCH("OLEO DE COCO",$B211)),ISNUMBER(SEARCH("ÓLEO DE COCO",$B211)),ISNUMBER(SEARCH("COPRA",$B211))),"ÓLEO DE COCO",IF(ISNUMBER(SEARCH("CORANTE",$B211)),"CORANTE",TRIM($B211)))),CONFIG_PALLETS!$B:$B,$C211&amp;" ml"),IF(SUMIFS(CONFIG_PALLETS!$D:$D,CONFIG_PALLETS!$A:$A,"GERAL",CONFIG_PALLETS!$B:$B,$C211&amp;" ml")&gt;0,SUMIFS(CONFIG_PALLETS!$D:$D,CONFIG_PALLETS!$A:$A,"GERAL",CONFIG_PALLETS!$B:$B,$C211&amp;" ml"),12)))</f>
        <v>7320</v>
      </c>
    </row>
    <row r="212" spans="1:16" ht="21" customHeight="1" x14ac:dyDescent="0.3">
      <c r="A212" s="215"/>
      <c r="B212" s="191"/>
      <c r="C212" s="192"/>
      <c r="D212" s="193"/>
      <c r="E212" s="194" t="s">
        <v>214</v>
      </c>
      <c r="F212" s="195" t="str">
        <f>IF($B212="","",IF(SUMIFS(CONFIG_PALLETS!$C:$C,CONFIG_PALLETS!$A:$A,TRIM($B212),CONFIG_PALLETS!$B:$B,$C212&amp;" ml")&gt;0,SUMIFS(CONFIG_PALLETS!$C:$C,CONFIG_PALLETS!$A:$A,TRIM($B212),CONFIG_PALLETS!$B:$B,$C212&amp;" ml"),IF(SUMIFS(CONFIG_PALLETS!$C:$C,CONFIG_PALLETS!$A:$A,"GERAL",CONFIG_PALLETS!$B:$B,$C212&amp;" ml")&gt;0,SUMIFS(CONFIG_PALLETS!$C:$C,CONFIG_PALLETS!$A:$A,"GERAL",CONFIG_PALLETS!$B:$B,$C212&amp;" ml"),"")))</f>
        <v/>
      </c>
      <c r="G212" s="196" t="str">
        <f>IFERROR(ROUNDUP(D212/F212,0),"")</f>
        <v/>
      </c>
      <c r="H212" s="197"/>
      <c r="I212" s="193" t="str">
        <f>IF(H212="","",H212*IF(SUMIFS(CONFIG_PALLETS!$D:$D,CONFIG_PALLETS!$A:$A,IF(ISNUMBER(SEARCH("ESPUMA",$B212)),"ESPUMA",IF(OR(ISNUMBER(SEARCH("OLEO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ml")&gt;0,SUMIFS(CONFIG_PALLETS!$D:$D,CONFIG_PALLETS!$A:$A,IF(ISNUMBER(SEARCH("ESPUMA",$B212)),"ESPUMA",IF(OR(ISNUMBER(SEARCH("OLEO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ml"),IF(SUMIFS(CONFIG_PALLETS!$D:$D,CONFIG_PALLETS!$A:$A,"GERAL",CONFIG_PALLETS!$B:$B,$C212&amp;" ml")&gt;0,SUMIFS(CONFIG_PALLETS!$D:$D,CONFIG_PALLETS!$A:$A,"GERAL",CONFIG_PALLETS!$B:$B,$C212&amp;" ml"),12)))</f>
        <v/>
      </c>
    </row>
    <row r="213" spans="1:16" ht="21" customHeight="1" x14ac:dyDescent="0.3">
      <c r="A213" s="215"/>
      <c r="B213" s="191"/>
      <c r="C213" s="192"/>
      <c r="D213" s="193"/>
      <c r="E213" s="194" t="s">
        <v>214</v>
      </c>
      <c r="F213" s="195" t="str">
        <f>IF($B213="","",IF(SUMIFS(CONFIG_PALLETS!$C:$C,CONFIG_PALLETS!$A:$A,TRIM($B213),CONFIG_PALLETS!$B:$B,$C213&amp;" ml")&gt;0,SUMIFS(CONFIG_PALLETS!$C:$C,CONFIG_PALLETS!$A:$A,TRIM($B213),CONFIG_PALLETS!$B:$B,$C213&amp;" ml"),IF(SUMIFS(CONFIG_PALLETS!$C:$C,CONFIG_PALLETS!$A:$A,"GERAL",CONFIG_PALLETS!$B:$B,$C213&amp;" ml")&gt;0,SUMIFS(CONFIG_PALLETS!$C:$C,CONFIG_PALLETS!$A:$A,"GERAL",CONFIG_PALLETS!$B:$B,$C213&amp;" ml"),"")))</f>
        <v/>
      </c>
      <c r="G213" s="196" t="str">
        <f>IFERROR(ROUNDUP(D213/F213,0),"")</f>
        <v/>
      </c>
      <c r="H213" s="197"/>
      <c r="I213" s="193" t="str">
        <f>IF(H213="","",H213*IF(SUMIFS(CONFIG_PALLETS!$D:$D,CONFIG_PALLETS!$A:$A,IF(ISNUMBER(SEARCH("ESPUMA",$B213)),"ESPUMA",IF(OR(ISNUMBER(SEARCH("OLEO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ml")&gt;0,SUMIFS(CONFIG_PALLETS!$D:$D,CONFIG_PALLETS!$A:$A,IF(ISNUMBER(SEARCH("ESPUMA",$B213)),"ESPUMA",IF(OR(ISNUMBER(SEARCH("OLEO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ml"),IF(SUMIFS(CONFIG_PALLETS!$D:$D,CONFIG_PALLETS!$A:$A,"GERAL",CONFIG_PALLETS!$B:$B,$C213&amp;" ml")&gt;0,SUMIFS(CONFIG_PALLETS!$D:$D,CONFIG_PALLETS!$A:$A,"GERAL",CONFIG_PALLETS!$B:$B,$C213&amp;" ml"),12)))</f>
        <v/>
      </c>
    </row>
    <row r="214" spans="1:16" ht="21" customHeight="1" x14ac:dyDescent="0.3">
      <c r="A214" s="215"/>
      <c r="B214" s="191"/>
      <c r="C214" s="192"/>
      <c r="D214" s="193"/>
      <c r="E214" s="194" t="s">
        <v>214</v>
      </c>
      <c r="F214" s="195" t="str">
        <f>IF($B214="","",IF(SUMIFS(CONFIG_PALLETS!$C:$C,CONFIG_PALLETS!$A:$A,TRIM($B214),CONFIG_PALLETS!$B:$B,$C214&amp;" ml")&gt;0,SUMIFS(CONFIG_PALLETS!$C:$C,CONFIG_PALLETS!$A:$A,TRIM($B214),CONFIG_PALLETS!$B:$B,$C214&amp;" ml"),IF(SUMIFS(CONFIG_PALLETS!$C:$C,CONFIG_PALLETS!$A:$A,"GERAL",CONFIG_PALLETS!$B:$B,$C214&amp;" ml")&gt;0,SUMIFS(CONFIG_PALLETS!$C:$C,CONFIG_PALLETS!$A:$A,"GERAL",CONFIG_PALLETS!$B:$B,$C214&amp;" ml"),"")))</f>
        <v/>
      </c>
      <c r="G214" s="196" t="str">
        <f>IFERROR(ROUNDUP(D214/F214,0),"")</f>
        <v/>
      </c>
      <c r="H214" s="197"/>
      <c r="I214" s="193" t="str">
        <f>IF(H214="","",H214*IF(SUMIFS(CONFIG_PALLETS!$D:$D,CONFIG_PALLETS!$A:$A,IF(ISNUMBER(SEARCH("ESPUMA",$B214)),"ESPUMA",IF(OR(ISNUMBER(SEARCH("OLEO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ml")&gt;0,SUMIFS(CONFIG_PALLETS!$D:$D,CONFIG_PALLETS!$A:$A,IF(ISNUMBER(SEARCH("ESPUMA",$B214)),"ESPUMA",IF(OR(ISNUMBER(SEARCH("OLEO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ml"),IF(SUMIFS(CONFIG_PALLETS!$D:$D,CONFIG_PALLETS!$A:$A,"GERAL",CONFIG_PALLETS!$B:$B,$C214&amp;" ml")&gt;0,SUMIFS(CONFIG_PALLETS!$D:$D,CONFIG_PALLETS!$A:$A,"GERAL",CONFIG_PALLETS!$B:$B,$C214&amp;" ml"),12)))</f>
        <v/>
      </c>
      <c r="O214" s="28"/>
      <c r="P214" s="28"/>
    </row>
    <row r="215" spans="1:16" ht="14.25" customHeight="1" x14ac:dyDescent="0.3">
      <c r="A215" s="217"/>
      <c r="B215" s="199" t="s">
        <v>216</v>
      </c>
      <c r="C215" s="200"/>
      <c r="D215" s="201">
        <f>SUM(D208:D214)</f>
        <v>650</v>
      </c>
      <c r="E215" s="202"/>
      <c r="F215" s="202"/>
      <c r="G215" s="203">
        <f>SUM(G208:G214)</f>
        <v>4</v>
      </c>
      <c r="H215" s="201">
        <f>SUM(H208:H214)</f>
        <v>757</v>
      </c>
      <c r="I215" s="201">
        <f>SUM(I208:I214)</f>
        <v>9084</v>
      </c>
      <c r="J215" s="28">
        <f>D215</f>
        <v>650</v>
      </c>
      <c r="K215" s="106">
        <f>G215</f>
        <v>4</v>
      </c>
      <c r="L215" s="28">
        <f>H215</f>
        <v>757</v>
      </c>
      <c r="M215" s="28">
        <f>I215</f>
        <v>9084</v>
      </c>
      <c r="P215" s="28"/>
    </row>
    <row r="216" spans="1:16" ht="6" customHeight="1" x14ac:dyDescent="0.3">
      <c r="C216" s="72"/>
    </row>
    <row r="217" spans="1:16" ht="14.25" customHeight="1" x14ac:dyDescent="0.3">
      <c r="A217" s="30">
        <v>46172</v>
      </c>
      <c r="B217" s="186" t="s">
        <v>78</v>
      </c>
      <c r="C217" s="187" t="s">
        <v>205</v>
      </c>
      <c r="D217" s="188" t="s">
        <v>206</v>
      </c>
      <c r="E217" s="188" t="s">
        <v>207</v>
      </c>
      <c r="F217" s="189" t="s">
        <v>208</v>
      </c>
      <c r="G217" s="188" t="s">
        <v>209</v>
      </c>
      <c r="H217" s="188" t="s">
        <v>210</v>
      </c>
      <c r="I217" s="188" t="s">
        <v>211</v>
      </c>
    </row>
    <row r="218" spans="1:16" ht="21" customHeight="1" x14ac:dyDescent="0.3">
      <c r="A218" s="215"/>
      <c r="B218" s="191"/>
      <c r="C218" s="192"/>
      <c r="D218" s="193"/>
      <c r="E218" s="194" t="s">
        <v>214</v>
      </c>
      <c r="F218" s="195" t="str">
        <f>IF($B218="","",IF(SUMIFS(CONFIG_PALLETS!$C:$C,CONFIG_PALLETS!$A:$A,TRIM($B218),CONFIG_PALLETS!$B:$B,$C218&amp;" ml")&gt;0,SUMIFS(CONFIG_PALLETS!$C:$C,CONFIG_PALLETS!$A:$A,TRIM($B218),CONFIG_PALLETS!$B:$B,$C218&amp;" ml"),IF(SUMIFS(CONFIG_PALLETS!$C:$C,CONFIG_PALLETS!$A:$A,"GERAL",CONFIG_PALLETS!$B:$B,$C218&amp;" ml")&gt;0,SUMIFS(CONFIG_PALLETS!$C:$C,CONFIG_PALLETS!$A:$A,"GERAL",CONFIG_PALLETS!$B:$B,$C218&amp;" ml"),"")))</f>
        <v/>
      </c>
      <c r="G218" s="196" t="str">
        <f t="shared" ref="G218:G224" si="9">IFERROR(ROUNDUP(D218/F218,0),"")</f>
        <v/>
      </c>
      <c r="H218" s="197"/>
      <c r="I218" s="193" t="str">
        <f>IF(H218="","",H218*IF(SUMIFS(CONFIG_PALLETS!$D:$D,CONFIG_PALLETS!$A:$A,IF(ISNUMBER(SEARCH("ESPUMA",$B218)),"ESPUMA",IF(OR(ISNUMBER(SEARCH("OLEO DE COCO",$B218)),ISNUMBER(SEARCH("ÓLEO DE COCO",$B218)),ISNUMBER(SEARCH("COPRA",$B218))),"ÓLEO DE COCO",IF(ISNUMBER(SEARCH("CORANTE",$B218)),"CORANTE",TRIM($B218)))),CONFIG_PALLETS!$B:$B,$C218&amp;" ml")&gt;0,SUMIFS(CONFIG_PALLETS!$D:$D,CONFIG_PALLETS!$A:$A,IF(ISNUMBER(SEARCH("ESPUMA",$B218)),"ESPUMA",IF(OR(ISNUMBER(SEARCH("OLEO DE COCO",$B218)),ISNUMBER(SEARCH("ÓLEO DE COCO",$B218)),ISNUMBER(SEARCH("COPRA",$B218))),"ÓLEO DE COCO",IF(ISNUMBER(SEARCH("CORANTE",$B218)),"CORANTE",TRIM($B218)))),CONFIG_PALLETS!$B:$B,$C218&amp;" ml"),IF(SUMIFS(CONFIG_PALLETS!$D:$D,CONFIG_PALLETS!$A:$A,"GERAL",CONFIG_PALLETS!$B:$B,$C218&amp;" ml")&gt;0,SUMIFS(CONFIG_PALLETS!$D:$D,CONFIG_PALLETS!$A:$A,"GERAL",CONFIG_PALLETS!$B:$B,$C218&amp;" ml"),12)))</f>
        <v/>
      </c>
    </row>
    <row r="219" spans="1:16" ht="21" customHeight="1" x14ac:dyDescent="0.3">
      <c r="A219" s="215"/>
      <c r="B219" s="191" t="s">
        <v>634</v>
      </c>
      <c r="C219" s="192">
        <v>600</v>
      </c>
      <c r="D219" s="193">
        <v>200</v>
      </c>
      <c r="E219" s="194" t="s">
        <v>214</v>
      </c>
      <c r="F219" s="195">
        <f>IF($B219="","",IF(SUMIFS(CONFIG_PALLETS!$C:$C,CONFIG_PALLETS!$A:$A,TRIM($B219),CONFIG_PALLETS!$B:$B,$C219&amp;" ml")&gt;0,SUMIFS(CONFIG_PALLETS!$C:$C,CONFIG_PALLETS!$A:$A,TRIM($B219),CONFIG_PALLETS!$B:$B,$C219&amp;" ml"),IF(SUMIFS(CONFIG_PALLETS!$C:$C,CONFIG_PALLETS!$A:$A,"GERAL",CONFIG_PALLETS!$B:$B,$C219&amp;" ml")&gt;0,SUMIFS(CONFIG_PALLETS!$C:$C,CONFIG_PALLETS!$A:$A,"GERAL",CONFIG_PALLETS!$B:$B,$C219&amp;" ml"),"")))</f>
        <v>95</v>
      </c>
      <c r="G219" s="196">
        <f t="shared" si="9"/>
        <v>3</v>
      </c>
      <c r="H219" s="197">
        <v>201</v>
      </c>
      <c r="I219" s="193">
        <f>IF(H219="","",H219*IF(SUMIFS(CONFIG_PALLETS!$D:$D,CONFIG_PALLETS!$A:$A,IF(ISNUMBER(SEARCH("ESPUMA",$B219)),"ESPUMA",IF(OR(ISNUMBER(SEARCH("OLEO DE COCO",$B219)),ISNUMBER(SEARCH("ÓLEO DE COCO",$B219)),ISNUMBER(SEARCH("COPRA",$B219))),"ÓLEO DE COCO",IF(ISNUMBER(SEARCH("CORANTE",$B219)),"CORANTE",TRIM($B219)))),CONFIG_PALLETS!$B:$B,$C219&amp;" ml")&gt;0,SUMIFS(CONFIG_PALLETS!$D:$D,CONFIG_PALLETS!$A:$A,IF(ISNUMBER(SEARCH("ESPUMA",$B219)),"ESPUMA",IF(OR(ISNUMBER(SEARCH("OLEO DE COCO",$B219)),ISNUMBER(SEARCH("ÓLEO DE COCO",$B219)),ISNUMBER(SEARCH("COPRA",$B219))),"ÓLEO DE COCO",IF(ISNUMBER(SEARCH("CORANTE",$B219)),"CORANTE",TRIM($B219)))),CONFIG_PALLETS!$B:$B,$C219&amp;" ml"),IF(SUMIFS(CONFIG_PALLETS!$D:$D,CONFIG_PALLETS!$A:$A,"GERAL",CONFIG_PALLETS!$B:$B,$C219&amp;" ml")&gt;0,SUMIFS(CONFIG_PALLETS!$D:$D,CONFIG_PALLETS!$A:$A,"GERAL",CONFIG_PALLETS!$B:$B,$C219&amp;" ml"),12)))</f>
        <v>2412</v>
      </c>
    </row>
    <row r="220" spans="1:16" ht="21" customHeight="1" x14ac:dyDescent="0.3">
      <c r="A220" s="215"/>
      <c r="B220" s="191" t="s">
        <v>160</v>
      </c>
      <c r="C220" s="192">
        <v>600</v>
      </c>
      <c r="D220" s="193">
        <v>380</v>
      </c>
      <c r="E220" s="194" t="s">
        <v>214</v>
      </c>
      <c r="F220" s="195">
        <f>IF($B220="","",IF(SUMIFS(CONFIG_PALLETS!$C:$C,CONFIG_PALLETS!$A:$A,TRIM($B220),CONFIG_PALLETS!$B:$B,$C220&amp;" ml")&gt;0,SUMIFS(CONFIG_PALLETS!$C:$C,CONFIG_PALLETS!$A:$A,TRIM($B220),CONFIG_PALLETS!$B:$B,$C220&amp;" ml"),IF(SUMIFS(CONFIG_PALLETS!$C:$C,CONFIG_PALLETS!$A:$A,"GERAL",CONFIG_PALLETS!$B:$B,$C220&amp;" ml")&gt;0,SUMIFS(CONFIG_PALLETS!$C:$C,CONFIG_PALLETS!$A:$A,"GERAL",CONFIG_PALLETS!$B:$B,$C220&amp;" ml"),"")))</f>
        <v>95</v>
      </c>
      <c r="G220" s="196">
        <f t="shared" si="9"/>
        <v>4</v>
      </c>
      <c r="H220" s="197">
        <v>381</v>
      </c>
      <c r="I220" s="193">
        <f>IF(H220="","",H220*IF(SUMIFS(CONFIG_PALLETS!$D:$D,CONFIG_PALLETS!$A:$A,IF(ISNUMBER(SEARCH("ESPUMA",$B220)),"ESPUMA",IF(OR(ISNUMBER(SEARCH("OLEO DE COCO",$B220)),ISNUMBER(SEARCH("ÓLEO DE COCO",$B220)),ISNUMBER(SEARCH("COPRA",$B220))),"ÓLEO DE COCO",IF(ISNUMBER(SEARCH("CORANTE",$B220)),"CORANTE",TRIM($B220)))),CONFIG_PALLETS!$B:$B,$C220&amp;" ml")&gt;0,SUMIFS(CONFIG_PALLETS!$D:$D,CONFIG_PALLETS!$A:$A,IF(ISNUMBER(SEARCH("ESPUMA",$B220)),"ESPUMA",IF(OR(ISNUMBER(SEARCH("OLEO DE COCO",$B220)),ISNUMBER(SEARCH("ÓLEO DE COCO",$B220)),ISNUMBER(SEARCH("COPRA",$B220))),"ÓLEO DE COCO",IF(ISNUMBER(SEARCH("CORANTE",$B220)),"CORANTE",TRIM($B220)))),CONFIG_PALLETS!$B:$B,$C220&amp;" ml"),IF(SUMIFS(CONFIG_PALLETS!$D:$D,CONFIG_PALLETS!$A:$A,"GERAL",CONFIG_PALLETS!$B:$B,$C220&amp;" ml")&gt;0,SUMIFS(CONFIG_PALLETS!$D:$D,CONFIG_PALLETS!$A:$A,"GERAL",CONFIG_PALLETS!$B:$B,$C220&amp;" ml"),12)))</f>
        <v>4572</v>
      </c>
    </row>
    <row r="221" spans="1:16" ht="21" customHeight="1" x14ac:dyDescent="0.3">
      <c r="A221" s="215"/>
      <c r="B221" s="191"/>
      <c r="C221" s="192"/>
      <c r="D221" s="193"/>
      <c r="E221" s="194" t="s">
        <v>214</v>
      </c>
      <c r="F221" s="195" t="str">
        <f>IF($B221="","",IF(SUMIFS(CONFIG_PALLETS!$C:$C,CONFIG_PALLETS!$A:$A,TRIM($B221),CONFIG_PALLETS!$B:$B,$C221&amp;" ml")&gt;0,SUMIFS(CONFIG_PALLETS!$C:$C,CONFIG_PALLETS!$A:$A,TRIM($B221),CONFIG_PALLETS!$B:$B,$C221&amp;" ml"),IF(SUMIFS(CONFIG_PALLETS!$C:$C,CONFIG_PALLETS!$A:$A,"GERAL",CONFIG_PALLETS!$B:$B,$C221&amp;" ml")&gt;0,SUMIFS(CONFIG_PALLETS!$C:$C,CONFIG_PALLETS!$A:$A,"GERAL",CONFIG_PALLETS!$B:$B,$C221&amp;" ml"),"")))</f>
        <v/>
      </c>
      <c r="G221" s="196" t="str">
        <f t="shared" si="9"/>
        <v/>
      </c>
      <c r="H221" s="197"/>
      <c r="I221" s="193" t="str">
        <f>IF(H221="","",H221*IF(SUMIFS(CONFIG_PALLETS!$D:$D,CONFIG_PALLETS!$A:$A,IF(ISNUMBER(SEARCH("ESPUMA",$B221)),"ESPUMA",IF(OR(ISNUMBER(SEARCH("OLEO DE COCO",$B221)),ISNUMBER(SEARCH("ÓLEO DE COCO",$B221)),ISNUMBER(SEARCH("COPRA",$B221))),"ÓLEO DE COCO",IF(ISNUMBER(SEARCH("CORANTE",$B221)),"CORANTE",TRIM($B221)))),CONFIG_PALLETS!$B:$B,$C221&amp;" ml")&gt;0,SUMIFS(CONFIG_PALLETS!$D:$D,CONFIG_PALLETS!$A:$A,IF(ISNUMBER(SEARCH("ESPUMA",$B221)),"ESPUMA",IF(OR(ISNUMBER(SEARCH("OLEO DE COCO",$B221)),ISNUMBER(SEARCH("ÓLEO DE COCO",$B221)),ISNUMBER(SEARCH("COPRA",$B221))),"ÓLEO DE COCO",IF(ISNUMBER(SEARCH("CORANTE",$B221)),"CORANTE",TRIM($B221)))),CONFIG_PALLETS!$B:$B,$C221&amp;" ml"),IF(SUMIFS(CONFIG_PALLETS!$D:$D,CONFIG_PALLETS!$A:$A,"GERAL",CONFIG_PALLETS!$B:$B,$C221&amp;" ml")&gt;0,SUMIFS(CONFIG_PALLETS!$D:$D,CONFIG_PALLETS!$A:$A,"GERAL",CONFIG_PALLETS!$B:$B,$C221&amp;" ml"),12)))</f>
        <v/>
      </c>
    </row>
    <row r="222" spans="1:16" ht="21" customHeight="1" x14ac:dyDescent="0.3">
      <c r="A222" s="215"/>
      <c r="B222" s="191"/>
      <c r="C222" s="192"/>
      <c r="D222" s="193"/>
      <c r="E222" s="194" t="s">
        <v>214</v>
      </c>
      <c r="F222" s="195" t="str">
        <f>IF($B222="","",IF(SUMIFS(CONFIG_PALLETS!$C:$C,CONFIG_PALLETS!$A:$A,TRIM($B222),CONFIG_PALLETS!$B:$B,$C222&amp;" ml")&gt;0,SUMIFS(CONFIG_PALLETS!$C:$C,CONFIG_PALLETS!$A:$A,TRIM($B222),CONFIG_PALLETS!$B:$B,$C222&amp;" ml"),IF(SUMIFS(CONFIG_PALLETS!$C:$C,CONFIG_PALLETS!$A:$A,"GERAL",CONFIG_PALLETS!$B:$B,$C222&amp;" ml")&gt;0,SUMIFS(CONFIG_PALLETS!$C:$C,CONFIG_PALLETS!$A:$A,"GERAL",CONFIG_PALLETS!$B:$B,$C222&amp;" ml"),"")))</f>
        <v/>
      </c>
      <c r="G222" s="196" t="str">
        <f t="shared" si="9"/>
        <v/>
      </c>
      <c r="H222" s="197"/>
      <c r="I222" s="193" t="str">
        <f>IF(H222="","",H222*IF(SUMIFS(CONFIG_PALLETS!$D:$D,CONFIG_PALLETS!$A:$A,IF(ISNUMBER(SEARCH("ESPUMA",$B222)),"ESPUMA",IF(OR(ISNUMBER(SEARCH("OLEO DE COCO",$B222)),ISNUMBER(SEARCH("ÓLEO DE COCO",$B222)),ISNUMBER(SEARCH("COPRA",$B222))),"ÓLEO DE COCO",IF(ISNUMBER(SEARCH("CORANTE",$B222)),"CORANTE",TRIM($B222)))),CONFIG_PALLETS!$B:$B,$C222&amp;" ml")&gt;0,SUMIFS(CONFIG_PALLETS!$D:$D,CONFIG_PALLETS!$A:$A,IF(ISNUMBER(SEARCH("ESPUMA",$B222)),"ESPUMA",IF(OR(ISNUMBER(SEARCH("OLEO DE COCO",$B222)),ISNUMBER(SEARCH("ÓLEO DE COCO",$B222)),ISNUMBER(SEARCH("COPRA",$B222))),"ÓLEO DE COCO",IF(ISNUMBER(SEARCH("CORANTE",$B222)),"CORANTE",TRIM($B222)))),CONFIG_PALLETS!$B:$B,$C222&amp;" ml"),IF(SUMIFS(CONFIG_PALLETS!$D:$D,CONFIG_PALLETS!$A:$A,"GERAL",CONFIG_PALLETS!$B:$B,$C222&amp;" ml")&gt;0,SUMIFS(CONFIG_PALLETS!$D:$D,CONFIG_PALLETS!$A:$A,"GERAL",CONFIG_PALLETS!$B:$B,$C222&amp;" ml"),12)))</f>
        <v/>
      </c>
    </row>
    <row r="223" spans="1:16" ht="21" customHeight="1" x14ac:dyDescent="0.3">
      <c r="A223" s="215"/>
      <c r="B223" s="191"/>
      <c r="C223" s="192"/>
      <c r="D223" s="193"/>
      <c r="E223" s="194" t="s">
        <v>214</v>
      </c>
      <c r="F223" s="195" t="str">
        <f>IF($B223="","",IF(SUMIFS(CONFIG_PALLETS!$C:$C,CONFIG_PALLETS!$A:$A,TRIM($B223),CONFIG_PALLETS!$B:$B,$C223&amp;" ml")&gt;0,SUMIFS(CONFIG_PALLETS!$C:$C,CONFIG_PALLETS!$A:$A,TRIM($B223),CONFIG_PALLETS!$B:$B,$C223&amp;" ml"),IF(SUMIFS(CONFIG_PALLETS!$C:$C,CONFIG_PALLETS!$A:$A,"GERAL",CONFIG_PALLETS!$B:$B,$C223&amp;" ml")&gt;0,SUMIFS(CONFIG_PALLETS!$C:$C,CONFIG_PALLETS!$A:$A,"GERAL",CONFIG_PALLETS!$B:$B,$C223&amp;" ml"),"")))</f>
        <v/>
      </c>
      <c r="G223" s="196" t="str">
        <f t="shared" si="9"/>
        <v/>
      </c>
      <c r="H223" s="197"/>
      <c r="I223" s="193" t="str">
        <f>IF(H223="","",H223*IF(SUMIFS(CONFIG_PALLETS!$D:$D,CONFIG_PALLETS!$A:$A,IF(ISNUMBER(SEARCH("ESPUMA",$B223)),"ESPUMA",IF(OR(ISNUMBER(SEARCH("OLEO DE COCO",$B223)),ISNUMBER(SEARCH("ÓLEO DE COCO",$B223)),ISNUMBER(SEARCH("COPRA",$B223))),"ÓLEO DE COCO",IF(ISNUMBER(SEARCH("CORANTE",$B223)),"CORANTE",TRIM($B223)))),CONFIG_PALLETS!$B:$B,$C223&amp;" ml")&gt;0,SUMIFS(CONFIG_PALLETS!$D:$D,CONFIG_PALLETS!$A:$A,IF(ISNUMBER(SEARCH("ESPUMA",$B223)),"ESPUMA",IF(OR(ISNUMBER(SEARCH("OLEO DE COCO",$B223)),ISNUMBER(SEARCH("ÓLEO DE COCO",$B223)),ISNUMBER(SEARCH("COPRA",$B223))),"ÓLEO DE COCO",IF(ISNUMBER(SEARCH("CORANTE",$B223)),"CORANTE",TRIM($B223)))),CONFIG_PALLETS!$B:$B,$C223&amp;" ml"),IF(SUMIFS(CONFIG_PALLETS!$D:$D,CONFIG_PALLETS!$A:$A,"GERAL",CONFIG_PALLETS!$B:$B,$C223&amp;" ml")&gt;0,SUMIFS(CONFIG_PALLETS!$D:$D,CONFIG_PALLETS!$A:$A,"GERAL",CONFIG_PALLETS!$B:$B,$C223&amp;" ml"),12)))</f>
        <v/>
      </c>
    </row>
    <row r="224" spans="1:16" ht="21" customHeight="1" x14ac:dyDescent="0.3">
      <c r="A224" s="215"/>
      <c r="B224" s="191"/>
      <c r="C224" s="192"/>
      <c r="D224" s="193"/>
      <c r="E224" s="194" t="s">
        <v>214</v>
      </c>
      <c r="F224" s="195" t="str">
        <f>IF($B224="","",IF(SUMIFS(CONFIG_PALLETS!$C:$C,CONFIG_PALLETS!$A:$A,TRIM($B224),CONFIG_PALLETS!$B:$B,$C224&amp;" ml")&gt;0,SUMIFS(CONFIG_PALLETS!$C:$C,CONFIG_PALLETS!$A:$A,TRIM($B224),CONFIG_PALLETS!$B:$B,$C224&amp;" ml"),IF(SUMIFS(CONFIG_PALLETS!$C:$C,CONFIG_PALLETS!$A:$A,"GERAL",CONFIG_PALLETS!$B:$B,$C224&amp;" ml")&gt;0,SUMIFS(CONFIG_PALLETS!$C:$C,CONFIG_PALLETS!$A:$A,"GERAL",CONFIG_PALLETS!$B:$B,$C224&amp;" ml"),"")))</f>
        <v/>
      </c>
      <c r="G224" s="196" t="str">
        <f t="shared" si="9"/>
        <v/>
      </c>
      <c r="H224" s="197"/>
      <c r="I224" s="193" t="str">
        <f>IF(H224="","",H224*IF(SUMIFS(CONFIG_PALLETS!$D:$D,CONFIG_PALLETS!$A:$A,IF(ISNUMBER(SEARCH("ESPUMA",$B224)),"ESPUMA",IF(OR(ISNUMBER(SEARCH("OLEO DE COCO",$B224)),ISNUMBER(SEARCH("ÓLEO DE COCO",$B224)),ISNUMBER(SEARCH("COPRA",$B224))),"ÓLEO DE COCO",IF(ISNUMBER(SEARCH("CORANTE",$B224)),"CORANTE",TRIM($B224)))),CONFIG_PALLETS!$B:$B,$C224&amp;" ml")&gt;0,SUMIFS(CONFIG_PALLETS!$D:$D,CONFIG_PALLETS!$A:$A,IF(ISNUMBER(SEARCH("ESPUMA",$B224)),"ESPUMA",IF(OR(ISNUMBER(SEARCH("OLEO DE COCO",$B224)),ISNUMBER(SEARCH("ÓLEO DE COCO",$B224)),ISNUMBER(SEARCH("COPRA",$B224))),"ÓLEO DE COCO",IF(ISNUMBER(SEARCH("CORANTE",$B224)),"CORANTE",TRIM($B224)))),CONFIG_PALLETS!$B:$B,$C224&amp;" ml"),IF(SUMIFS(CONFIG_PALLETS!$D:$D,CONFIG_PALLETS!$A:$A,"GERAL",CONFIG_PALLETS!$B:$B,$C224&amp;" ml")&gt;0,SUMIFS(CONFIG_PALLETS!$D:$D,CONFIG_PALLETS!$A:$A,"GERAL",CONFIG_PALLETS!$B:$B,$C224&amp;" ml"),12)))</f>
        <v/>
      </c>
    </row>
    <row r="225" spans="1:13" ht="14.25" customHeight="1" x14ac:dyDescent="0.3">
      <c r="A225" s="217"/>
      <c r="B225" s="199" t="s">
        <v>216</v>
      </c>
      <c r="C225" s="200"/>
      <c r="D225" s="201">
        <f>SUM(D216:D224)</f>
        <v>580</v>
      </c>
      <c r="E225" s="202"/>
      <c r="F225" s="202"/>
      <c r="G225" s="203">
        <f>SUM(G216:G224)</f>
        <v>7</v>
      </c>
      <c r="H225" s="201">
        <f>SUM(H216:H224)</f>
        <v>582</v>
      </c>
      <c r="I225" s="201">
        <f>SUM(I216:I224)</f>
        <v>6984</v>
      </c>
      <c r="J225" s="28">
        <f>D225</f>
        <v>580</v>
      </c>
      <c r="K225" s="106">
        <f>G225</f>
        <v>7</v>
      </c>
      <c r="L225" s="28">
        <f>H225</f>
        <v>582</v>
      </c>
      <c r="M225" s="28">
        <f>I225</f>
        <v>6984</v>
      </c>
    </row>
  </sheetData>
  <mergeCells count="3">
    <mergeCell ref="A1:I1"/>
    <mergeCell ref="A2:F2"/>
    <mergeCell ref="G2:I2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209" xr:uid="{00000000-0002-0000-10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F766E"/>
  </sheetPr>
  <dimension ref="A1:Y59"/>
  <sheetViews>
    <sheetView showGridLines="0" topLeftCell="A12" zoomScale="90" zoomScaleNormal="90" workbookViewId="0">
      <selection activeCell="F18" sqref="F18"/>
    </sheetView>
  </sheetViews>
  <sheetFormatPr defaultColWidth="8.6640625" defaultRowHeight="14.4" x14ac:dyDescent="0.3"/>
  <cols>
    <col min="1" max="1" width="12" style="437" customWidth="1"/>
    <col min="2" max="2" width="15" customWidth="1"/>
    <col min="3" max="3" width="14" customWidth="1"/>
    <col min="4" max="4" width="13.664062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4">
      <c r="A1" s="612" t="s">
        <v>644</v>
      </c>
      <c r="B1" s="612"/>
      <c r="C1" s="612"/>
      <c r="D1" s="612"/>
      <c r="E1" s="612"/>
      <c r="F1" s="612"/>
    </row>
    <row r="3" spans="1:25" ht="14.25" customHeight="1" x14ac:dyDescent="0.3">
      <c r="B3" s="148" t="s">
        <v>234</v>
      </c>
      <c r="D3" s="148" t="s">
        <v>235</v>
      </c>
      <c r="F3" s="149" t="s">
        <v>236</v>
      </c>
      <c r="H3" s="148" t="s">
        <v>237</v>
      </c>
      <c r="J3" s="150" t="s">
        <v>238</v>
      </c>
      <c r="K3" s="151" t="s">
        <v>239</v>
      </c>
      <c r="L3" s="151" t="s">
        <v>240</v>
      </c>
    </row>
    <row r="4" spans="1:25" ht="15.75" customHeight="1" x14ac:dyDescent="0.3">
      <c r="B4" s="152">
        <f>SUM(C9:C34)</f>
        <v>274140</v>
      </c>
      <c r="D4" s="152">
        <f>SUM(D9:D34)</f>
        <v>286000</v>
      </c>
      <c r="F4" s="152">
        <f ca="1">IFERROR(SUMIFS(C9:C34,A9:A34,"&lt;="&amp;TODAY(),F9:F34,"&lt;&gt;*Feriado*")/COUNTIFS(A9:A34,"&lt;="&amp;TODAY(),F9:F34,"&lt;&gt;*Feriado*"),0)</f>
        <v>10500.24</v>
      </c>
      <c r="H4" s="152">
        <f>IFERROR(MAX(C9:C34),0)</f>
        <v>18852</v>
      </c>
      <c r="J4" s="153">
        <f>IFERROR(B4/D4,0)</f>
        <v>0.95853146853146853</v>
      </c>
      <c r="K4" s="154" t="s">
        <v>241</v>
      </c>
      <c r="L4" s="155" t="s">
        <v>242</v>
      </c>
    </row>
    <row r="5" spans="1:25" ht="15" customHeight="1" x14ac:dyDescent="0.3">
      <c r="K5" s="156" t="s">
        <v>243</v>
      </c>
      <c r="L5" s="157" t="s">
        <v>244</v>
      </c>
    </row>
    <row r="6" spans="1:25" ht="15" customHeight="1" x14ac:dyDescent="0.3">
      <c r="K6" s="158" t="s">
        <v>245</v>
      </c>
      <c r="L6" s="159" t="s">
        <v>246</v>
      </c>
    </row>
    <row r="8" spans="1:25" ht="14.25" customHeight="1" x14ac:dyDescent="0.3">
      <c r="A8" s="442" t="s">
        <v>247</v>
      </c>
      <c r="B8" s="231" t="s">
        <v>248</v>
      </c>
      <c r="C8" s="204" t="s">
        <v>249</v>
      </c>
      <c r="D8" s="204" t="s">
        <v>250</v>
      </c>
      <c r="E8" s="204" t="s">
        <v>251</v>
      </c>
      <c r="F8" s="204" t="s">
        <v>252</v>
      </c>
      <c r="W8" s="483" t="s">
        <v>1317</v>
      </c>
      <c r="X8" t="s">
        <v>253</v>
      </c>
      <c r="Y8" t="s">
        <v>254</v>
      </c>
    </row>
    <row r="9" spans="1:25" ht="15" customHeight="1" x14ac:dyDescent="0.3">
      <c r="A9" s="443">
        <v>46143</v>
      </c>
      <c r="B9" s="219">
        <f>IF(D9&gt;0,COUNTIF($D$9:D9,"&gt;0"),"")</f>
        <v>1</v>
      </c>
      <c r="C9" s="221">
        <f>'SEMANA MAIO'!$M$10</f>
        <v>11634</v>
      </c>
      <c r="D9" s="221">
        <f>CONFIG!$B$3</f>
        <v>11000</v>
      </c>
      <c r="E9" s="221">
        <f t="shared" ref="E9:E34" si="0">C9-D9</f>
        <v>634</v>
      </c>
      <c r="F9" s="162" t="s">
        <v>645</v>
      </c>
      <c r="W9" t="str">
        <f>TEXT(A9,"dd/mm")&amp;" "&amp;TEXT(A9,"[$-pt-BR]ddd")</f>
        <v>01/05 sex</v>
      </c>
      <c r="X9" t="e">
        <f>IF(COUNTIF($F9,"*Feriado*")&gt;0,NA(),$C9)</f>
        <v>#N/A</v>
      </c>
      <c r="Y9" t="e">
        <f>IF(COUNTIF($F9,"*Feriado*")&gt;0,NA(),$D9)</f>
        <v>#N/A</v>
      </c>
    </row>
    <row r="10" spans="1:25" ht="15" customHeight="1" x14ac:dyDescent="0.3">
      <c r="A10" s="443">
        <v>46144</v>
      </c>
      <c r="B10" s="219">
        <f>IF(D10&gt;0,COUNTIF($D$9:D10,"&gt;0"),"")</f>
        <v>2</v>
      </c>
      <c r="C10" s="221">
        <f>'SEMANA MAIO'!$M$18</f>
        <v>12324</v>
      </c>
      <c r="D10" s="221">
        <f>CONFIG!$B$3</f>
        <v>11000</v>
      </c>
      <c r="E10" s="221">
        <f t="shared" si="0"/>
        <v>1324</v>
      </c>
      <c r="F10" s="162" t="s">
        <v>557</v>
      </c>
    </row>
    <row r="11" spans="1:25" ht="15" customHeight="1" x14ac:dyDescent="0.3">
      <c r="A11" s="443">
        <v>46146</v>
      </c>
      <c r="B11" s="219">
        <f>IF(D11&gt;0,COUNTIF($D$9:D11,"&gt;0"),"")</f>
        <v>3</v>
      </c>
      <c r="C11" s="221">
        <f>'SEMANA MAIO'!$M$26</f>
        <v>17748</v>
      </c>
      <c r="D11" s="221">
        <f>CONFIG!$B$3</f>
        <v>11000</v>
      </c>
      <c r="E11" s="221">
        <f t="shared" si="0"/>
        <v>6748</v>
      </c>
      <c r="F11" s="232"/>
      <c r="X11" s="28">
        <f t="shared" ref="X11:X30" si="1">IF(COUNTIF($F10,"*Feriado*")&gt;0,NA(),$C10)</f>
        <v>12324</v>
      </c>
      <c r="Y11" s="28">
        <f t="shared" ref="Y11:Y30" si="2">IF(COUNTIF($F10,"*Feriado*")&gt;0,NA(),$D10)</f>
        <v>11000</v>
      </c>
    </row>
    <row r="12" spans="1:25" ht="15" customHeight="1" x14ac:dyDescent="0.3">
      <c r="A12" s="443">
        <v>46147</v>
      </c>
      <c r="B12" s="219">
        <f>IF(D12&gt;0,COUNTIF($D$9:D12,"&gt;0"),"")</f>
        <v>4</v>
      </c>
      <c r="C12" s="221">
        <f>'SEMANA MAIO'!$M$35</f>
        <v>8640</v>
      </c>
      <c r="D12" s="221">
        <f>CONFIG!$B$3</f>
        <v>11000</v>
      </c>
      <c r="E12" s="221">
        <f t="shared" si="0"/>
        <v>-2360</v>
      </c>
      <c r="F12" s="232" t="s">
        <v>646</v>
      </c>
      <c r="X12" s="28">
        <f t="shared" si="1"/>
        <v>17748</v>
      </c>
      <c r="Y12" s="28">
        <f t="shared" si="2"/>
        <v>11000</v>
      </c>
    </row>
    <row r="13" spans="1:25" ht="15" customHeight="1" x14ac:dyDescent="0.3">
      <c r="A13" s="443">
        <v>46148</v>
      </c>
      <c r="B13" s="219">
        <f>IF(D13&gt;0,COUNTIF($D$9:D13,"&gt;0"),"")</f>
        <v>5</v>
      </c>
      <c r="C13" s="221">
        <f>'SEMANA MAIO'!$M$47</f>
        <v>9618</v>
      </c>
      <c r="D13" s="221">
        <f>CONFIG!$B$3</f>
        <v>11000</v>
      </c>
      <c r="E13" s="221">
        <f t="shared" si="0"/>
        <v>-1382</v>
      </c>
      <c r="F13" s="232"/>
      <c r="X13" s="28">
        <f t="shared" si="1"/>
        <v>8640</v>
      </c>
      <c r="Y13" s="28">
        <f t="shared" si="2"/>
        <v>11000</v>
      </c>
    </row>
    <row r="14" spans="1:25" ht="15" customHeight="1" x14ac:dyDescent="0.3">
      <c r="A14" s="443">
        <v>46149</v>
      </c>
      <c r="B14" s="219">
        <f>IF(D14&gt;0,COUNTIF($D$9:D14,"&gt;0"),"")</f>
        <v>6</v>
      </c>
      <c r="C14" s="221">
        <f>'SEMANA MAIO'!$M$57</f>
        <v>13044</v>
      </c>
      <c r="D14" s="221">
        <f>CONFIG!$B$3</f>
        <v>11000</v>
      </c>
      <c r="E14" s="221">
        <f t="shared" si="0"/>
        <v>2044</v>
      </c>
      <c r="F14" s="232"/>
      <c r="X14" s="28">
        <f t="shared" si="1"/>
        <v>9618</v>
      </c>
      <c r="Y14" s="28">
        <f t="shared" si="2"/>
        <v>11000</v>
      </c>
    </row>
    <row r="15" spans="1:25" ht="15" customHeight="1" x14ac:dyDescent="0.3">
      <c r="A15" s="443">
        <v>46150</v>
      </c>
      <c r="B15" s="219">
        <f>IF(D15&gt;0,COUNTIF($D$9:D15,"&gt;0"),"")</f>
        <v>7</v>
      </c>
      <c r="C15" s="221">
        <f>'SEMANA MAIO'!$M$65</f>
        <v>6372</v>
      </c>
      <c r="D15" s="221">
        <f>CONFIG!$B$3</f>
        <v>11000</v>
      </c>
      <c r="E15" s="221">
        <f t="shared" si="0"/>
        <v>-4628</v>
      </c>
      <c r="F15" s="232" t="s">
        <v>647</v>
      </c>
      <c r="X15" s="28">
        <f t="shared" si="1"/>
        <v>13044</v>
      </c>
      <c r="Y15" s="28">
        <f t="shared" si="2"/>
        <v>11000</v>
      </c>
    </row>
    <row r="16" spans="1:25" ht="15" customHeight="1" x14ac:dyDescent="0.3">
      <c r="A16" s="443">
        <v>46151</v>
      </c>
      <c r="B16" s="219">
        <f>IF(D16&gt;0,COUNTIF($D$9:D16,"&gt;0"),"")</f>
        <v>8</v>
      </c>
      <c r="C16" s="221">
        <f>'SEMANA MAIO'!$M$73</f>
        <v>8136</v>
      </c>
      <c r="D16" s="221">
        <f>CONFIG!$B$3</f>
        <v>11000</v>
      </c>
      <c r="E16" s="221">
        <f t="shared" si="0"/>
        <v>-2864</v>
      </c>
      <c r="F16" s="162" t="s">
        <v>557</v>
      </c>
      <c r="X16" s="28">
        <f t="shared" si="1"/>
        <v>6372</v>
      </c>
      <c r="Y16" s="28">
        <f t="shared" si="2"/>
        <v>11000</v>
      </c>
    </row>
    <row r="17" spans="1:25" ht="15" customHeight="1" x14ac:dyDescent="0.3">
      <c r="A17" s="443">
        <v>46153</v>
      </c>
      <c r="B17" s="219">
        <f>IF(D17&gt;0,COUNTIF($D$9:D17,"&gt;0"),"")</f>
        <v>9</v>
      </c>
      <c r="C17" s="221">
        <f>'SEMANA MAIO'!$M$82</f>
        <v>3396</v>
      </c>
      <c r="D17" s="221">
        <f>CONFIG!$B$3</f>
        <v>11000</v>
      </c>
      <c r="E17" s="221">
        <f t="shared" si="0"/>
        <v>-7604</v>
      </c>
      <c r="F17" s="232" t="s">
        <v>648</v>
      </c>
      <c r="X17" s="28">
        <f t="shared" si="1"/>
        <v>8136</v>
      </c>
      <c r="Y17" s="28">
        <f t="shared" si="2"/>
        <v>11000</v>
      </c>
    </row>
    <row r="18" spans="1:25" ht="15" customHeight="1" x14ac:dyDescent="0.3">
      <c r="A18" s="443">
        <v>46154</v>
      </c>
      <c r="B18" s="219">
        <f>IF(D18&gt;0,COUNTIF($D$9:D18,"&gt;0"),"")</f>
        <v>10</v>
      </c>
      <c r="C18" s="221">
        <f>'SEMANA MAIO'!$M$90</f>
        <v>10860</v>
      </c>
      <c r="D18" s="221">
        <f>CONFIG!$B$3</f>
        <v>11000</v>
      </c>
      <c r="E18" s="221">
        <f t="shared" si="0"/>
        <v>-140</v>
      </c>
      <c r="F18" s="232" t="s">
        <v>649</v>
      </c>
      <c r="X18" s="28">
        <f t="shared" si="1"/>
        <v>3396</v>
      </c>
      <c r="Y18" s="28">
        <f t="shared" si="2"/>
        <v>11000</v>
      </c>
    </row>
    <row r="19" spans="1:25" ht="15" customHeight="1" x14ac:dyDescent="0.3">
      <c r="A19" s="443">
        <v>46155</v>
      </c>
      <c r="B19" s="219">
        <f>IF(D19&gt;0,COUNTIF($D$9:D19,"&gt;0"),"")</f>
        <v>11</v>
      </c>
      <c r="C19" s="221">
        <f>'SEMANA MAIO'!$M$98</f>
        <v>10902</v>
      </c>
      <c r="D19" s="221">
        <f>CONFIG!$B$3</f>
        <v>11000</v>
      </c>
      <c r="E19" s="221">
        <f t="shared" si="0"/>
        <v>-98</v>
      </c>
      <c r="F19" s="232"/>
      <c r="X19" s="28">
        <f t="shared" si="1"/>
        <v>10860</v>
      </c>
      <c r="Y19" s="28">
        <f t="shared" si="2"/>
        <v>11000</v>
      </c>
    </row>
    <row r="20" spans="1:25" ht="15" customHeight="1" x14ac:dyDescent="0.3">
      <c r="A20" s="443">
        <v>46156</v>
      </c>
      <c r="B20" s="219">
        <f>IF(D20&gt;0,COUNTIF($D$9:D20,"&gt;0"),"")</f>
        <v>12</v>
      </c>
      <c r="C20" s="221">
        <f>'SEMANA MAIO'!$M$106</f>
        <v>7866</v>
      </c>
      <c r="D20" s="221">
        <f>CONFIG!$B$3</f>
        <v>11000</v>
      </c>
      <c r="E20" s="221">
        <f t="shared" si="0"/>
        <v>-3134</v>
      </c>
      <c r="F20" s="232" t="s">
        <v>650</v>
      </c>
      <c r="X20" s="28">
        <f t="shared" si="1"/>
        <v>10902</v>
      </c>
      <c r="Y20" s="28">
        <f t="shared" si="2"/>
        <v>11000</v>
      </c>
    </row>
    <row r="21" spans="1:25" ht="15" customHeight="1" x14ac:dyDescent="0.3">
      <c r="A21" s="443">
        <v>46157</v>
      </c>
      <c r="B21" s="219">
        <f>IF(D21&gt;0,COUNTIF($D$9:D21,"&gt;0"),"")</f>
        <v>13</v>
      </c>
      <c r="C21" s="221">
        <f>'SEMANA MAIO'!$M$114</f>
        <v>5856</v>
      </c>
      <c r="D21" s="221">
        <f>CONFIG!$B$3</f>
        <v>11000</v>
      </c>
      <c r="E21" s="221">
        <f t="shared" si="0"/>
        <v>-5144</v>
      </c>
      <c r="F21" s="232" t="s">
        <v>647</v>
      </c>
      <c r="X21" s="28">
        <f t="shared" si="1"/>
        <v>7866</v>
      </c>
      <c r="Y21" s="28">
        <f t="shared" si="2"/>
        <v>11000</v>
      </c>
    </row>
    <row r="22" spans="1:25" ht="15" customHeight="1" x14ac:dyDescent="0.3">
      <c r="A22" s="443">
        <v>46158</v>
      </c>
      <c r="B22" s="219">
        <f>IF(D22&gt;0,COUNTIF($D$9:D22,"&gt;0"),"")</f>
        <v>14</v>
      </c>
      <c r="C22" s="221">
        <f>'SEMANA MAIO'!$M$121</f>
        <v>7596</v>
      </c>
      <c r="D22" s="221">
        <f>CONFIG!$B$3</f>
        <v>11000</v>
      </c>
      <c r="E22" s="221">
        <f t="shared" si="0"/>
        <v>-3404</v>
      </c>
      <c r="F22" s="162" t="s">
        <v>557</v>
      </c>
      <c r="X22" s="28">
        <f t="shared" si="1"/>
        <v>5856</v>
      </c>
      <c r="Y22" s="28">
        <f t="shared" si="2"/>
        <v>11000</v>
      </c>
    </row>
    <row r="23" spans="1:25" ht="15" customHeight="1" x14ac:dyDescent="0.3">
      <c r="A23" s="443">
        <v>46160</v>
      </c>
      <c r="B23" s="219">
        <f>IF(D23&gt;0,COUNTIF($D$9:D23,"&gt;0"),"")</f>
        <v>15</v>
      </c>
      <c r="C23" s="221">
        <f>'SEMANA MAIO'!$M$131</f>
        <v>11580</v>
      </c>
      <c r="D23" s="221">
        <f>CONFIG!$B$3</f>
        <v>11000</v>
      </c>
      <c r="E23" s="221">
        <f t="shared" si="0"/>
        <v>580</v>
      </c>
      <c r="F23" s="232"/>
      <c r="X23" s="28">
        <f t="shared" si="1"/>
        <v>7596</v>
      </c>
      <c r="Y23" s="28">
        <f t="shared" si="2"/>
        <v>11000</v>
      </c>
    </row>
    <row r="24" spans="1:25" ht="15" customHeight="1" x14ac:dyDescent="0.3">
      <c r="A24" s="443">
        <v>46161</v>
      </c>
      <c r="B24" s="219">
        <f>IF(D24&gt;0,COUNTIF($D$9:D24,"&gt;0"),"")</f>
        <v>16</v>
      </c>
      <c r="C24" s="221">
        <f>'SEMANA MAIO'!$M$139</f>
        <v>15060</v>
      </c>
      <c r="D24" s="221">
        <f>CONFIG!$B$3</f>
        <v>11000</v>
      </c>
      <c r="E24" s="221">
        <f t="shared" si="0"/>
        <v>4060</v>
      </c>
      <c r="F24" s="232"/>
      <c r="X24" s="28">
        <f t="shared" si="1"/>
        <v>11580</v>
      </c>
      <c r="Y24" s="28">
        <f t="shared" si="2"/>
        <v>11000</v>
      </c>
    </row>
    <row r="25" spans="1:25" ht="15" customHeight="1" x14ac:dyDescent="0.3">
      <c r="A25" s="443">
        <v>46162</v>
      </c>
      <c r="B25" s="219">
        <f>IF(D25&gt;0,COUNTIF($D$9:D25,"&gt;0"),"")</f>
        <v>17</v>
      </c>
      <c r="C25" s="221">
        <f>'SEMANA MAIO'!$M$147</f>
        <v>13524</v>
      </c>
      <c r="D25" s="221">
        <f>CONFIG!$B$3</f>
        <v>11000</v>
      </c>
      <c r="E25" s="221">
        <f t="shared" si="0"/>
        <v>2524</v>
      </c>
      <c r="F25" s="232" t="s">
        <v>1308</v>
      </c>
      <c r="X25" s="28">
        <f t="shared" si="1"/>
        <v>15060</v>
      </c>
      <c r="Y25" s="28">
        <f t="shared" si="2"/>
        <v>11000</v>
      </c>
    </row>
    <row r="26" spans="1:25" ht="15" customHeight="1" x14ac:dyDescent="0.3">
      <c r="A26" s="443">
        <v>46163</v>
      </c>
      <c r="B26" s="219">
        <f>IF(D26&gt;0,COUNTIF($D$9:D26,"&gt;0"),"")</f>
        <v>18</v>
      </c>
      <c r="C26" s="221">
        <f>'SEMANA MAIO'!$M$155</f>
        <v>18852</v>
      </c>
      <c r="D26" s="221">
        <f>CONFIG!$B$3</f>
        <v>11000</v>
      </c>
      <c r="E26" s="221">
        <f t="shared" si="0"/>
        <v>7852</v>
      </c>
      <c r="F26" s="232"/>
      <c r="X26" s="28">
        <f t="shared" si="1"/>
        <v>13524</v>
      </c>
      <c r="Y26" s="28">
        <f t="shared" si="2"/>
        <v>11000</v>
      </c>
    </row>
    <row r="27" spans="1:25" ht="15" customHeight="1" x14ac:dyDescent="0.3">
      <c r="A27" s="443">
        <v>46164</v>
      </c>
      <c r="B27" s="219">
        <f>IF(D27&gt;0,COUNTIF($D$9:D27,"&gt;0"),"")</f>
        <v>19</v>
      </c>
      <c r="C27" s="221">
        <f>'SEMANA MAIO'!$M$164</f>
        <v>6324</v>
      </c>
      <c r="D27" s="221">
        <f>CONFIG!$B$3</f>
        <v>11000</v>
      </c>
      <c r="E27" s="221">
        <f t="shared" si="0"/>
        <v>-4676</v>
      </c>
      <c r="F27" s="232" t="s">
        <v>647</v>
      </c>
      <c r="X27" s="28">
        <f t="shared" si="1"/>
        <v>18852</v>
      </c>
      <c r="Y27" s="28">
        <f t="shared" si="2"/>
        <v>11000</v>
      </c>
    </row>
    <row r="28" spans="1:25" ht="15" customHeight="1" x14ac:dyDescent="0.3">
      <c r="A28" s="443">
        <v>46165</v>
      </c>
      <c r="B28" s="219">
        <f>IF(D28&gt;0,COUNTIF($D$9:D28,"&gt;0"),"")</f>
        <v>20</v>
      </c>
      <c r="C28" s="221">
        <f>'SEMANA MAIO'!$M$172</f>
        <v>10500</v>
      </c>
      <c r="D28" s="221">
        <f>CONFIG!$B$3</f>
        <v>11000</v>
      </c>
      <c r="E28" s="221">
        <f t="shared" si="0"/>
        <v>-500</v>
      </c>
      <c r="F28" s="162" t="s">
        <v>557</v>
      </c>
      <c r="X28" s="28">
        <f t="shared" si="1"/>
        <v>6324</v>
      </c>
      <c r="Y28" s="28">
        <f t="shared" si="2"/>
        <v>11000</v>
      </c>
    </row>
    <row r="29" spans="1:25" ht="28.8" x14ac:dyDescent="0.3">
      <c r="A29" s="443">
        <v>46167</v>
      </c>
      <c r="B29" s="223">
        <f>IF(D29&gt;0,COUNTIF($D$9:D29,"&gt;0"),"")</f>
        <v>21</v>
      </c>
      <c r="C29" s="225">
        <f>'SEMANA MAIO'!$M$180</f>
        <v>13296</v>
      </c>
      <c r="D29" s="225">
        <f>CONFIG!$B$3</f>
        <v>11000</v>
      </c>
      <c r="E29" s="225">
        <f t="shared" si="0"/>
        <v>2296</v>
      </c>
      <c r="F29" s="485" t="s">
        <v>1327</v>
      </c>
      <c r="X29" s="28">
        <f t="shared" si="1"/>
        <v>10500</v>
      </c>
      <c r="Y29" s="28">
        <f t="shared" si="2"/>
        <v>11000</v>
      </c>
    </row>
    <row r="30" spans="1:25" ht="14.25" customHeight="1" x14ac:dyDescent="0.3">
      <c r="A30" s="443">
        <v>46168</v>
      </c>
      <c r="B30" s="219">
        <f>IF(D30&gt;0,COUNTIF($D$9:D30,"&gt;0"),"")</f>
        <v>22</v>
      </c>
      <c r="C30" s="221">
        <f>'SEMANA MAIO'!$M$190</f>
        <v>9060</v>
      </c>
      <c r="D30" s="221">
        <f>CONFIG!$B$3</f>
        <v>11000</v>
      </c>
      <c r="E30" s="221">
        <f t="shared" si="0"/>
        <v>-1940</v>
      </c>
      <c r="F30" s="232" t="s">
        <v>1333</v>
      </c>
      <c r="X30" s="28">
        <f t="shared" si="1"/>
        <v>13296</v>
      </c>
      <c r="Y30" s="28">
        <f t="shared" si="2"/>
        <v>11000</v>
      </c>
    </row>
    <row r="31" spans="1:25" ht="30" customHeight="1" x14ac:dyDescent="0.3">
      <c r="A31" s="443">
        <v>46169</v>
      </c>
      <c r="B31" s="491">
        <f>IF(D31&gt;0,COUNTIF($D$9:D31,"&gt;0"),"")</f>
        <v>23</v>
      </c>
      <c r="C31" s="492">
        <f>'SEMANA MAIO'!$M$199</f>
        <v>8640</v>
      </c>
      <c r="D31" s="492">
        <f>CONFIG!$B$3</f>
        <v>11000</v>
      </c>
      <c r="E31" s="493">
        <f t="shared" si="0"/>
        <v>-2360</v>
      </c>
      <c r="F31" s="490" t="s">
        <v>1342</v>
      </c>
    </row>
    <row r="32" spans="1:25" ht="30" customHeight="1" x14ac:dyDescent="0.3">
      <c r="A32" s="443">
        <v>46170</v>
      </c>
      <c r="B32" s="219">
        <f>IF(D32&gt;0,COUNTIF($D$9:D32,"&gt;0"),"")</f>
        <v>24</v>
      </c>
      <c r="C32" s="221">
        <f>'SEMANA MAIO'!$M$207</f>
        <v>17244</v>
      </c>
      <c r="D32" s="221">
        <f>CONFIG!$B$3</f>
        <v>11000</v>
      </c>
      <c r="E32" s="221">
        <f t="shared" si="0"/>
        <v>6244</v>
      </c>
      <c r="F32" s="494" t="s">
        <v>1345</v>
      </c>
    </row>
    <row r="33" spans="1:6" ht="14.25" customHeight="1" x14ac:dyDescent="0.3">
      <c r="A33" s="443">
        <v>46171</v>
      </c>
      <c r="B33" s="219">
        <f>IF(D33&gt;0,COUNTIF($D$9:D33,"&gt;0"),"")</f>
        <v>25</v>
      </c>
      <c r="C33" s="221">
        <f>'SEMANA MAIO'!$M$215</f>
        <v>9084</v>
      </c>
      <c r="D33" s="221">
        <f>CONFIG!$B$3</f>
        <v>11000</v>
      </c>
      <c r="E33" s="221">
        <f t="shared" si="0"/>
        <v>-1916</v>
      </c>
      <c r="F33" s="232" t="s">
        <v>651</v>
      </c>
    </row>
    <row r="34" spans="1:6" ht="14.25" customHeight="1" x14ac:dyDescent="0.3">
      <c r="A34" s="443">
        <v>46172</v>
      </c>
      <c r="B34" s="219">
        <f>IF(D34&gt;0,COUNTIF($D$9:D34,"&gt;0"),"")</f>
        <v>26</v>
      </c>
      <c r="C34" s="221">
        <f>'SEMANA MAIO'!$M$225</f>
        <v>6984</v>
      </c>
      <c r="D34" s="221">
        <f>CONFIG!$B$3</f>
        <v>11000</v>
      </c>
      <c r="E34" s="221">
        <f t="shared" si="0"/>
        <v>-4016</v>
      </c>
      <c r="F34" s="162" t="s">
        <v>557</v>
      </c>
    </row>
    <row r="35" spans="1:6" ht="14.25" customHeight="1" x14ac:dyDescent="0.3"/>
    <row r="36" spans="1:6" ht="14.25" customHeight="1" x14ac:dyDescent="0.3"/>
    <row r="37" spans="1:6" ht="14.25" customHeight="1" x14ac:dyDescent="0.3"/>
    <row r="38" spans="1:6" ht="14.25" customHeight="1" x14ac:dyDescent="0.3"/>
    <row r="39" spans="1:6" ht="14.25" customHeight="1" x14ac:dyDescent="0.3"/>
    <row r="40" spans="1:6" ht="14.25" customHeight="1" x14ac:dyDescent="0.3"/>
    <row r="41" spans="1:6" ht="14.25" customHeight="1" x14ac:dyDescent="0.3"/>
    <row r="42" spans="1:6" ht="14.25" customHeight="1" x14ac:dyDescent="0.3"/>
    <row r="43" spans="1:6" ht="14.25" customHeight="1" x14ac:dyDescent="0.3"/>
    <row r="44" spans="1:6" ht="14.25" customHeight="1" x14ac:dyDescent="0.3"/>
    <row r="45" spans="1:6" ht="14.25" customHeight="1" x14ac:dyDescent="0.3"/>
    <row r="46" spans="1:6" ht="14.25" customHeight="1" x14ac:dyDescent="0.3"/>
    <row r="47" spans="1:6" ht="14.25" customHeight="1" x14ac:dyDescent="0.3"/>
    <row r="48" spans="1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</sheetData>
  <mergeCells count="1">
    <mergeCell ref="A1:F1"/>
  </mergeCells>
  <conditionalFormatting sqref="E9:E30">
    <cfRule type="cellIs" dxfId="41" priority="2" operator="greaterThan">
      <formula>0</formula>
    </cfRule>
    <cfRule type="cellIs" dxfId="40" priority="3" operator="lessThan">
      <formula>0</formula>
    </cfRule>
    <cfRule type="cellIs" dxfId="39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C96B0A"/>
  </sheetPr>
  <dimension ref="B1:N300"/>
  <sheetViews>
    <sheetView showGridLines="0" zoomScaleNormal="100" workbookViewId="0">
      <selection activeCell="E11" sqref="E11:F11"/>
    </sheetView>
  </sheetViews>
  <sheetFormatPr defaultColWidth="8.6640625" defaultRowHeight="17.399999999999999" x14ac:dyDescent="0.3"/>
  <cols>
    <col min="1" max="1" width="2.5546875" customWidth="1"/>
    <col min="2" max="2" width="13.5546875" style="5" customWidth="1"/>
    <col min="3" max="3" width="7.6640625" style="6" customWidth="1"/>
    <col min="4" max="4" width="12.6640625" style="6" customWidth="1"/>
    <col min="5" max="5" width="9.109375" style="7" customWidth="1"/>
    <col min="6" max="6" width="13.5546875" style="7" customWidth="1"/>
    <col min="7" max="7" width="6.6640625" style="7" customWidth="1"/>
    <col min="8" max="8" width="8" style="7" customWidth="1"/>
    <col min="9" max="9" width="7.5546875" style="7" customWidth="1"/>
    <col min="10" max="10" width="20" style="7" customWidth="1"/>
    <col min="11" max="11" width="9.109375" style="7" customWidth="1"/>
    <col min="12" max="12" width="21" style="7" customWidth="1"/>
    <col min="13" max="13" width="18.109375" style="6" customWidth="1"/>
    <col min="14" max="14" width="17.109375" style="441" customWidth="1"/>
  </cols>
  <sheetData>
    <row r="1" spans="2:14" ht="21.75" customHeight="1" x14ac:dyDescent="0.3">
      <c r="B1" s="561" t="s">
        <v>652</v>
      </c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561"/>
    </row>
    <row r="2" spans="2:14" ht="15" customHeight="1" x14ac:dyDescent="0.3"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</row>
    <row r="3" spans="2:14" ht="17.25" customHeight="1" x14ac:dyDescent="0.3">
      <c r="B3" s="163" t="s">
        <v>75</v>
      </c>
      <c r="C3" s="562" t="s">
        <v>76</v>
      </c>
      <c r="D3" s="562"/>
      <c r="E3" s="562" t="s">
        <v>77</v>
      </c>
      <c r="F3" s="562"/>
      <c r="G3" s="562" t="s">
        <v>78</v>
      </c>
      <c r="H3" s="562"/>
      <c r="I3" s="562"/>
      <c r="J3" s="562"/>
      <c r="K3" s="562" t="s">
        <v>79</v>
      </c>
      <c r="L3" s="562"/>
      <c r="M3" s="164" t="s">
        <v>80</v>
      </c>
      <c r="N3" s="438" t="s">
        <v>81</v>
      </c>
    </row>
    <row r="4" spans="2:14" ht="17.25" customHeight="1" x14ac:dyDescent="0.3">
      <c r="B4" s="689" t="s">
        <v>1385</v>
      </c>
      <c r="C4" s="629">
        <v>26010687</v>
      </c>
      <c r="D4" s="629"/>
      <c r="E4" s="629"/>
      <c r="F4" s="629"/>
      <c r="G4" s="685" t="s">
        <v>104</v>
      </c>
      <c r="H4" s="685"/>
      <c r="I4" s="685"/>
      <c r="J4" s="685"/>
      <c r="K4" s="690" t="s">
        <v>105</v>
      </c>
      <c r="L4" s="691"/>
      <c r="M4" s="482" t="s">
        <v>106</v>
      </c>
      <c r="N4" s="438">
        <v>46177</v>
      </c>
    </row>
    <row r="5" spans="2:14" ht="17.25" customHeight="1" x14ac:dyDescent="0.3">
      <c r="B5" s="689"/>
      <c r="C5" s="686">
        <v>26010688</v>
      </c>
      <c r="D5" s="687"/>
      <c r="E5" s="628"/>
      <c r="F5" s="628"/>
      <c r="G5" s="628" t="s">
        <v>104</v>
      </c>
      <c r="H5" s="628"/>
      <c r="I5" s="628"/>
      <c r="J5" s="628"/>
      <c r="K5" s="692"/>
      <c r="L5" s="693"/>
      <c r="M5" s="2" t="s">
        <v>106</v>
      </c>
      <c r="N5" s="438">
        <v>46177</v>
      </c>
    </row>
    <row r="6" spans="2:14" ht="17.25" customHeight="1" x14ac:dyDescent="0.3">
      <c r="B6" s="689"/>
      <c r="C6" s="696">
        <v>26010689</v>
      </c>
      <c r="D6" s="697"/>
      <c r="E6" s="629"/>
      <c r="F6" s="629"/>
      <c r="G6" s="685" t="s">
        <v>104</v>
      </c>
      <c r="H6" s="685"/>
      <c r="I6" s="685"/>
      <c r="J6" s="685"/>
      <c r="K6" s="692"/>
      <c r="L6" s="693"/>
      <c r="M6" s="482" t="s">
        <v>106</v>
      </c>
      <c r="N6" s="438">
        <v>46177</v>
      </c>
    </row>
    <row r="7" spans="2:14" ht="17.25" customHeight="1" x14ac:dyDescent="0.3">
      <c r="B7" s="689"/>
      <c r="C7" s="686">
        <v>26010690</v>
      </c>
      <c r="D7" s="687"/>
      <c r="E7" s="628"/>
      <c r="F7" s="628"/>
      <c r="G7" s="628" t="s">
        <v>104</v>
      </c>
      <c r="H7" s="628"/>
      <c r="I7" s="628"/>
      <c r="J7" s="628"/>
      <c r="K7" s="692"/>
      <c r="L7" s="693"/>
      <c r="M7" s="2" t="s">
        <v>106</v>
      </c>
      <c r="N7" s="438"/>
    </row>
    <row r="8" spans="2:14" ht="17.25" customHeight="1" x14ac:dyDescent="0.3">
      <c r="B8" s="689"/>
      <c r="C8" s="629">
        <v>26010691</v>
      </c>
      <c r="D8" s="629"/>
      <c r="E8" s="629"/>
      <c r="F8" s="629"/>
      <c r="G8" s="685" t="s">
        <v>104</v>
      </c>
      <c r="H8" s="685"/>
      <c r="I8" s="685"/>
      <c r="J8" s="685"/>
      <c r="K8" s="692"/>
      <c r="L8" s="693"/>
      <c r="M8" s="482" t="s">
        <v>106</v>
      </c>
      <c r="N8" s="438"/>
    </row>
    <row r="9" spans="2:14" ht="17.25" customHeight="1" x14ac:dyDescent="0.3">
      <c r="B9" s="689"/>
      <c r="C9" s="686">
        <v>26010692</v>
      </c>
      <c r="D9" s="687"/>
      <c r="E9" s="628"/>
      <c r="F9" s="628"/>
      <c r="G9" s="628" t="s">
        <v>104</v>
      </c>
      <c r="H9" s="628"/>
      <c r="I9" s="628"/>
      <c r="J9" s="628"/>
      <c r="K9" s="692"/>
      <c r="L9" s="693"/>
      <c r="M9" s="2" t="s">
        <v>106</v>
      </c>
      <c r="N9" s="438"/>
    </row>
    <row r="10" spans="2:14" ht="17.25" customHeight="1" x14ac:dyDescent="0.3">
      <c r="B10" s="689"/>
      <c r="C10" s="629">
        <v>26010693</v>
      </c>
      <c r="D10" s="629"/>
      <c r="E10" s="629"/>
      <c r="F10" s="629"/>
      <c r="G10" s="685" t="s">
        <v>104</v>
      </c>
      <c r="H10" s="685"/>
      <c r="I10" s="685"/>
      <c r="J10" s="685"/>
      <c r="K10" s="692"/>
      <c r="L10" s="693"/>
      <c r="M10" s="482" t="s">
        <v>106</v>
      </c>
      <c r="N10" s="438"/>
    </row>
    <row r="11" spans="2:14" ht="17.25" customHeight="1" x14ac:dyDescent="0.3">
      <c r="B11" s="689"/>
      <c r="C11" s="686">
        <v>26010694</v>
      </c>
      <c r="D11" s="687"/>
      <c r="E11" s="688"/>
      <c r="F11" s="688"/>
      <c r="G11" s="628" t="s">
        <v>104</v>
      </c>
      <c r="H11" s="628"/>
      <c r="I11" s="628"/>
      <c r="J11" s="628"/>
      <c r="K11" s="692"/>
      <c r="L11" s="693"/>
      <c r="M11" s="2" t="s">
        <v>106</v>
      </c>
      <c r="N11" s="438"/>
    </row>
    <row r="12" spans="2:14" ht="17.25" customHeight="1" x14ac:dyDescent="0.3">
      <c r="B12" s="689"/>
      <c r="C12" s="629">
        <v>26010695</v>
      </c>
      <c r="D12" s="629"/>
      <c r="E12" s="629"/>
      <c r="F12" s="629"/>
      <c r="G12" s="685" t="s">
        <v>104</v>
      </c>
      <c r="H12" s="685"/>
      <c r="I12" s="685"/>
      <c r="J12" s="685"/>
      <c r="K12" s="692"/>
      <c r="L12" s="693"/>
      <c r="M12" s="482" t="s">
        <v>106</v>
      </c>
      <c r="N12" s="438"/>
    </row>
    <row r="13" spans="2:14" ht="17.25" customHeight="1" x14ac:dyDescent="0.3">
      <c r="B13" s="689"/>
      <c r="C13" s="686">
        <v>26010696</v>
      </c>
      <c r="D13" s="687"/>
      <c r="E13" s="628"/>
      <c r="F13" s="628"/>
      <c r="G13" s="628" t="s">
        <v>104</v>
      </c>
      <c r="H13" s="628"/>
      <c r="I13" s="628"/>
      <c r="J13" s="628"/>
      <c r="K13" s="692"/>
      <c r="L13" s="693"/>
      <c r="M13" s="2" t="s">
        <v>106</v>
      </c>
      <c r="N13" s="438"/>
    </row>
    <row r="14" spans="2:14" ht="17.25" customHeight="1" x14ac:dyDescent="0.3">
      <c r="B14" s="689"/>
      <c r="C14" s="629">
        <v>26010697</v>
      </c>
      <c r="D14" s="629"/>
      <c r="E14" s="629"/>
      <c r="F14" s="629"/>
      <c r="G14" s="685" t="s">
        <v>104</v>
      </c>
      <c r="H14" s="685"/>
      <c r="I14" s="685"/>
      <c r="J14" s="685"/>
      <c r="K14" s="692"/>
      <c r="L14" s="693"/>
      <c r="M14" s="482" t="s">
        <v>106</v>
      </c>
      <c r="N14" s="438"/>
    </row>
    <row r="15" spans="2:14" ht="17.25" customHeight="1" x14ac:dyDescent="0.3">
      <c r="B15" s="689"/>
      <c r="C15" s="686">
        <v>26010698</v>
      </c>
      <c r="D15" s="687"/>
      <c r="E15" s="688" t="s">
        <v>406</v>
      </c>
      <c r="F15" s="688"/>
      <c r="G15" s="628" t="s">
        <v>104</v>
      </c>
      <c r="H15" s="628"/>
      <c r="I15" s="628"/>
      <c r="J15" s="628"/>
      <c r="K15" s="692"/>
      <c r="L15" s="693"/>
      <c r="M15" s="2" t="s">
        <v>106</v>
      </c>
      <c r="N15" s="438"/>
    </row>
    <row r="16" spans="2:14" ht="17.25" customHeight="1" x14ac:dyDescent="0.3">
      <c r="B16" s="689"/>
      <c r="C16" s="629">
        <v>26010699</v>
      </c>
      <c r="D16" s="629"/>
      <c r="E16" s="629"/>
      <c r="F16" s="629"/>
      <c r="G16" s="685" t="s">
        <v>104</v>
      </c>
      <c r="H16" s="685"/>
      <c r="I16" s="685"/>
      <c r="J16" s="685"/>
      <c r="K16" s="692"/>
      <c r="L16" s="693"/>
      <c r="M16" s="482" t="s">
        <v>106</v>
      </c>
      <c r="N16" s="438"/>
    </row>
    <row r="17" spans="2:14" ht="17.25" customHeight="1" x14ac:dyDescent="0.3">
      <c r="B17" s="689"/>
      <c r="C17" s="686">
        <v>26010700</v>
      </c>
      <c r="D17" s="687"/>
      <c r="E17" s="628"/>
      <c r="F17" s="628"/>
      <c r="G17" s="628" t="s">
        <v>104</v>
      </c>
      <c r="H17" s="628"/>
      <c r="I17" s="628"/>
      <c r="J17" s="628"/>
      <c r="K17" s="692"/>
      <c r="L17" s="693"/>
      <c r="M17" s="2" t="s">
        <v>106</v>
      </c>
      <c r="N17" s="438"/>
    </row>
    <row r="18" spans="2:14" ht="17.25" customHeight="1" x14ac:dyDescent="0.3">
      <c r="B18" s="689"/>
      <c r="C18" s="629">
        <v>26010701</v>
      </c>
      <c r="D18" s="629"/>
      <c r="E18" s="629"/>
      <c r="F18" s="629"/>
      <c r="G18" s="685" t="s">
        <v>104</v>
      </c>
      <c r="H18" s="685"/>
      <c r="I18" s="685"/>
      <c r="J18" s="685"/>
      <c r="K18" s="694"/>
      <c r="L18" s="695"/>
      <c r="M18" s="482" t="s">
        <v>106</v>
      </c>
      <c r="N18" s="438"/>
    </row>
    <row r="19" spans="2:14" ht="17.25" customHeight="1" x14ac:dyDescent="0.3">
      <c r="B19" s="183" t="s">
        <v>1386</v>
      </c>
      <c r="C19" s="629">
        <v>26010702</v>
      </c>
      <c r="D19" s="629"/>
      <c r="E19" s="628"/>
      <c r="F19" s="628"/>
      <c r="G19" s="628" t="s">
        <v>408</v>
      </c>
      <c r="H19" s="628"/>
      <c r="I19" s="628"/>
      <c r="J19" s="628"/>
      <c r="K19" s="628" t="s">
        <v>56</v>
      </c>
      <c r="L19" s="628"/>
      <c r="M19" s="2" t="s">
        <v>1387</v>
      </c>
      <c r="N19" s="475">
        <v>46177</v>
      </c>
    </row>
    <row r="20" spans="2:14" ht="17.25" customHeight="1" x14ac:dyDescent="0.3">
      <c r="B20" s="181" t="s">
        <v>1413</v>
      </c>
      <c r="C20" s="629">
        <v>26010703</v>
      </c>
      <c r="D20" s="629"/>
      <c r="E20" s="629"/>
      <c r="F20" s="629"/>
      <c r="G20" s="629" t="s">
        <v>83</v>
      </c>
      <c r="H20" s="629"/>
      <c r="I20" s="629"/>
      <c r="J20" s="629"/>
      <c r="K20" s="629" t="s">
        <v>60</v>
      </c>
      <c r="L20" s="629"/>
      <c r="M20" s="3" t="s">
        <v>84</v>
      </c>
      <c r="N20" s="438"/>
    </row>
    <row r="21" spans="2:14" ht="17.25" customHeight="1" x14ac:dyDescent="0.3">
      <c r="B21" s="698" t="s">
        <v>1414</v>
      </c>
      <c r="C21" s="628">
        <v>26010704</v>
      </c>
      <c r="D21" s="628"/>
      <c r="E21" s="628"/>
      <c r="F21" s="628"/>
      <c r="G21" s="628" t="s">
        <v>90</v>
      </c>
      <c r="H21" s="628"/>
      <c r="I21" s="628"/>
      <c r="J21" s="628"/>
      <c r="K21" s="701" t="s">
        <v>91</v>
      </c>
      <c r="L21" s="702"/>
      <c r="M21" s="2" t="s">
        <v>511</v>
      </c>
      <c r="N21" s="438"/>
    </row>
    <row r="22" spans="2:14" ht="17.25" customHeight="1" x14ac:dyDescent="0.3">
      <c r="B22" s="699"/>
      <c r="C22" s="629">
        <v>26010705</v>
      </c>
      <c r="D22" s="629"/>
      <c r="E22" s="629"/>
      <c r="F22" s="629"/>
      <c r="G22" s="629" t="s">
        <v>93</v>
      </c>
      <c r="H22" s="629"/>
      <c r="I22" s="629"/>
      <c r="J22" s="629"/>
      <c r="K22" s="703"/>
      <c r="L22" s="704"/>
      <c r="M22" s="3" t="s">
        <v>1416</v>
      </c>
      <c r="N22" s="438"/>
    </row>
    <row r="23" spans="2:14" ht="17.25" customHeight="1" x14ac:dyDescent="0.3">
      <c r="B23" s="699"/>
      <c r="C23" s="628">
        <v>26010706</v>
      </c>
      <c r="D23" s="628"/>
      <c r="E23" s="628"/>
      <c r="F23" s="628"/>
      <c r="G23" s="628" t="s">
        <v>174</v>
      </c>
      <c r="H23" s="628"/>
      <c r="I23" s="628"/>
      <c r="J23" s="628"/>
      <c r="K23" s="703"/>
      <c r="L23" s="704"/>
      <c r="M23" s="2" t="s">
        <v>1419</v>
      </c>
      <c r="N23" s="438"/>
    </row>
    <row r="24" spans="2:14" ht="17.25" customHeight="1" x14ac:dyDescent="0.3">
      <c r="B24" s="700"/>
      <c r="C24" s="629">
        <v>26010707</v>
      </c>
      <c r="D24" s="629"/>
      <c r="E24" s="629"/>
      <c r="F24" s="629"/>
      <c r="G24" s="629" t="s">
        <v>393</v>
      </c>
      <c r="H24" s="629"/>
      <c r="I24" s="629"/>
      <c r="J24" s="629"/>
      <c r="K24" s="705"/>
      <c r="L24" s="706"/>
      <c r="M24" s="3" t="s">
        <v>1415</v>
      </c>
      <c r="N24" s="438"/>
    </row>
    <row r="25" spans="2:14" ht="17.25" customHeight="1" x14ac:dyDescent="0.3">
      <c r="B25" s="183" t="s">
        <v>1417</v>
      </c>
      <c r="C25" s="628">
        <v>26010708</v>
      </c>
      <c r="D25" s="628"/>
      <c r="E25" s="628"/>
      <c r="F25" s="628"/>
      <c r="G25" s="628" t="s">
        <v>1418</v>
      </c>
      <c r="H25" s="628"/>
      <c r="I25" s="628"/>
      <c r="J25" s="628"/>
      <c r="K25" s="628" t="s">
        <v>101</v>
      </c>
      <c r="L25" s="628"/>
      <c r="M25" s="213" t="s">
        <v>102</v>
      </c>
      <c r="N25" s="438"/>
    </row>
    <row r="26" spans="2:14" ht="17.25" customHeight="1" x14ac:dyDescent="0.3">
      <c r="B26" s="181" t="s">
        <v>1421</v>
      </c>
      <c r="C26" s="684">
        <v>26010709</v>
      </c>
      <c r="D26" s="684"/>
      <c r="E26" s="629"/>
      <c r="F26" s="629"/>
      <c r="G26" s="629" t="s">
        <v>191</v>
      </c>
      <c r="H26" s="629"/>
      <c r="I26" s="629"/>
      <c r="J26" s="629"/>
      <c r="K26" s="629" t="s">
        <v>192</v>
      </c>
      <c r="L26" s="629"/>
      <c r="M26" s="3" t="s">
        <v>169</v>
      </c>
      <c r="N26" s="438"/>
    </row>
    <row r="27" spans="2:14" ht="17.25" customHeight="1" x14ac:dyDescent="0.3">
      <c r="B27" s="183"/>
      <c r="C27" s="628"/>
      <c r="D27" s="628"/>
      <c r="E27" s="628"/>
      <c r="F27" s="628"/>
      <c r="G27" s="628"/>
      <c r="H27" s="628"/>
      <c r="I27" s="628"/>
      <c r="J27" s="628"/>
      <c r="K27" s="628"/>
      <c r="L27" s="628"/>
      <c r="M27" s="2"/>
      <c r="N27" s="438"/>
    </row>
    <row r="28" spans="2:14" ht="17.25" customHeight="1" x14ac:dyDescent="0.3">
      <c r="B28" s="181"/>
      <c r="C28" s="629"/>
      <c r="D28" s="629"/>
      <c r="E28" s="629"/>
      <c r="F28" s="629"/>
      <c r="G28" s="629"/>
      <c r="H28" s="629"/>
      <c r="I28" s="629"/>
      <c r="J28" s="629"/>
      <c r="K28" s="629"/>
      <c r="L28" s="629"/>
      <c r="M28" s="3"/>
      <c r="N28" s="438"/>
    </row>
    <row r="29" spans="2:14" ht="17.25" customHeight="1" x14ac:dyDescent="0.3">
      <c r="B29" s="183"/>
      <c r="C29" s="628"/>
      <c r="D29" s="628"/>
      <c r="E29" s="628"/>
      <c r="F29" s="628"/>
      <c r="G29" s="628"/>
      <c r="H29" s="628"/>
      <c r="I29" s="628"/>
      <c r="J29" s="628"/>
      <c r="K29" s="628"/>
      <c r="L29" s="628"/>
      <c r="M29" s="2"/>
      <c r="N29" s="438"/>
    </row>
    <row r="30" spans="2:14" ht="17.25" customHeight="1" x14ac:dyDescent="0.3">
      <c r="B30" s="181"/>
      <c r="C30" s="629"/>
      <c r="D30" s="629"/>
      <c r="E30" s="629"/>
      <c r="F30" s="629"/>
      <c r="G30" s="629"/>
      <c r="H30" s="629"/>
      <c r="I30" s="629"/>
      <c r="J30" s="629"/>
      <c r="K30" s="629"/>
      <c r="L30" s="629"/>
      <c r="M30" s="3"/>
      <c r="N30" s="438"/>
    </row>
    <row r="31" spans="2:14" ht="17.25" customHeight="1" x14ac:dyDescent="0.3">
      <c r="B31" s="183"/>
      <c r="C31" s="628"/>
      <c r="D31" s="628"/>
      <c r="E31" s="628"/>
      <c r="F31" s="628"/>
      <c r="G31" s="628"/>
      <c r="H31" s="628"/>
      <c r="I31" s="628"/>
      <c r="J31" s="628"/>
      <c r="K31" s="628"/>
      <c r="L31" s="628"/>
      <c r="M31" s="2"/>
      <c r="N31" s="438"/>
    </row>
    <row r="32" spans="2:14" ht="17.25" customHeight="1" x14ac:dyDescent="0.3">
      <c r="B32" s="181"/>
      <c r="C32" s="629"/>
      <c r="D32" s="629"/>
      <c r="E32" s="629"/>
      <c r="F32" s="629"/>
      <c r="G32" s="629"/>
      <c r="H32" s="629"/>
      <c r="I32" s="629"/>
      <c r="J32" s="629"/>
      <c r="K32" s="629"/>
      <c r="L32" s="629"/>
      <c r="M32" s="3"/>
      <c r="N32" s="438"/>
    </row>
    <row r="33" spans="2:14" ht="17.25" customHeight="1" x14ac:dyDescent="0.3">
      <c r="B33" s="183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2"/>
      <c r="N33" s="438"/>
    </row>
    <row r="34" spans="2:14" ht="17.25" customHeight="1" x14ac:dyDescent="0.3">
      <c r="B34" s="181"/>
      <c r="C34" s="629"/>
      <c r="D34" s="629"/>
      <c r="E34" s="629"/>
      <c r="F34" s="629"/>
      <c r="G34" s="629"/>
      <c r="H34" s="629"/>
      <c r="I34" s="629"/>
      <c r="J34" s="629"/>
      <c r="K34" s="629"/>
      <c r="L34" s="629"/>
      <c r="M34" s="229"/>
      <c r="N34" s="438"/>
    </row>
    <row r="35" spans="2:14" ht="17.25" customHeight="1" x14ac:dyDescent="0.3">
      <c r="B35" s="183"/>
      <c r="C35" s="628"/>
      <c r="D35" s="628"/>
      <c r="E35" s="628"/>
      <c r="F35" s="628"/>
      <c r="G35" s="628"/>
      <c r="H35" s="628"/>
      <c r="I35" s="628"/>
      <c r="J35" s="628"/>
      <c r="K35" s="628"/>
      <c r="L35" s="628"/>
      <c r="M35" s="2"/>
      <c r="N35" s="438"/>
    </row>
    <row r="36" spans="2:14" ht="17.25" customHeight="1" x14ac:dyDescent="0.3">
      <c r="B36" s="181"/>
      <c r="C36" s="629"/>
      <c r="D36" s="629"/>
      <c r="E36" s="629"/>
      <c r="F36" s="629"/>
      <c r="G36" s="629"/>
      <c r="H36" s="629"/>
      <c r="I36" s="629"/>
      <c r="J36" s="629"/>
      <c r="K36" s="629"/>
      <c r="L36" s="629"/>
      <c r="M36" s="3"/>
      <c r="N36" s="438"/>
    </row>
    <row r="37" spans="2:14" ht="17.25" customHeight="1" x14ac:dyDescent="0.3">
      <c r="B37" s="183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2"/>
      <c r="N37" s="438"/>
    </row>
    <row r="38" spans="2:14" ht="17.25" customHeight="1" x14ac:dyDescent="0.3">
      <c r="B38" s="181"/>
      <c r="C38" s="629"/>
      <c r="D38" s="629"/>
      <c r="E38" s="629"/>
      <c r="F38" s="629"/>
      <c r="G38" s="629"/>
      <c r="H38" s="629"/>
      <c r="I38" s="629"/>
      <c r="J38" s="629"/>
      <c r="K38" s="629"/>
      <c r="L38" s="629"/>
      <c r="M38" s="3"/>
      <c r="N38" s="438"/>
    </row>
    <row r="39" spans="2:14" ht="17.25" customHeight="1" x14ac:dyDescent="0.3">
      <c r="B39" s="183"/>
      <c r="C39" s="628"/>
      <c r="D39" s="628"/>
      <c r="E39" s="628"/>
      <c r="F39" s="628"/>
      <c r="G39" s="628"/>
      <c r="H39" s="628"/>
      <c r="I39" s="628"/>
      <c r="J39" s="628"/>
      <c r="K39" s="628"/>
      <c r="L39" s="628"/>
      <c r="M39" s="2"/>
      <c r="N39" s="438"/>
    </row>
    <row r="40" spans="2:14" ht="17.25" customHeight="1" x14ac:dyDescent="0.3">
      <c r="B40" s="181"/>
      <c r="C40" s="629"/>
      <c r="D40" s="629"/>
      <c r="E40" s="629"/>
      <c r="F40" s="629"/>
      <c r="G40" s="629"/>
      <c r="H40" s="629"/>
      <c r="I40" s="629"/>
      <c r="J40" s="629"/>
      <c r="K40" s="629"/>
      <c r="L40" s="629"/>
      <c r="M40" s="3"/>
      <c r="N40" s="438"/>
    </row>
    <row r="41" spans="2:14" ht="17.25" customHeight="1" x14ac:dyDescent="0.3">
      <c r="B41" s="183"/>
      <c r="C41" s="628"/>
      <c r="D41" s="628"/>
      <c r="E41" s="628"/>
      <c r="F41" s="628"/>
      <c r="G41" s="628"/>
      <c r="H41" s="628"/>
      <c r="I41" s="628"/>
      <c r="J41" s="628"/>
      <c r="K41" s="628"/>
      <c r="L41" s="628"/>
      <c r="M41" s="2"/>
      <c r="N41" s="438"/>
    </row>
    <row r="42" spans="2:14" ht="17.25" customHeight="1" x14ac:dyDescent="0.3">
      <c r="B42" s="181"/>
      <c r="C42" s="629"/>
      <c r="D42" s="629"/>
      <c r="E42" s="629"/>
      <c r="F42" s="629"/>
      <c r="G42" s="629"/>
      <c r="H42" s="629"/>
      <c r="I42" s="629"/>
      <c r="J42" s="629"/>
      <c r="K42" s="629"/>
      <c r="L42" s="629"/>
      <c r="M42" s="229"/>
      <c r="N42" s="438"/>
    </row>
    <row r="43" spans="2:14" ht="17.25" customHeight="1" x14ac:dyDescent="0.3">
      <c r="B43" s="183"/>
      <c r="C43" s="628"/>
      <c r="D43" s="628"/>
      <c r="E43" s="628"/>
      <c r="F43" s="628"/>
      <c r="G43" s="628"/>
      <c r="H43" s="628"/>
      <c r="I43" s="628"/>
      <c r="J43" s="628"/>
      <c r="K43" s="628"/>
      <c r="L43" s="628"/>
      <c r="M43" s="2"/>
      <c r="N43" s="438"/>
    </row>
    <row r="44" spans="2:14" ht="17.25" customHeight="1" x14ac:dyDescent="0.3">
      <c r="B44" s="181"/>
      <c r="C44" s="629"/>
      <c r="D44" s="629"/>
      <c r="E44" s="629"/>
      <c r="F44" s="629"/>
      <c r="G44" s="629"/>
      <c r="H44" s="629"/>
      <c r="I44" s="629"/>
      <c r="J44" s="629"/>
      <c r="K44" s="629"/>
      <c r="L44" s="629"/>
      <c r="M44" s="3"/>
      <c r="N44" s="438"/>
    </row>
    <row r="45" spans="2:14" ht="17.25" customHeight="1" x14ac:dyDescent="0.3">
      <c r="B45" s="183"/>
      <c r="C45" s="628"/>
      <c r="D45" s="628"/>
      <c r="E45" s="628"/>
      <c r="F45" s="628"/>
      <c r="G45" s="628"/>
      <c r="H45" s="628"/>
      <c r="I45" s="628"/>
      <c r="J45" s="628"/>
      <c r="K45" s="628"/>
      <c r="L45" s="628"/>
      <c r="M45" s="2"/>
      <c r="N45" s="438"/>
    </row>
    <row r="46" spans="2:14" ht="17.25" customHeight="1" x14ac:dyDescent="0.3">
      <c r="B46" s="181"/>
      <c r="C46" s="629"/>
      <c r="D46" s="629"/>
      <c r="E46" s="629"/>
      <c r="F46" s="629"/>
      <c r="G46" s="629"/>
      <c r="H46" s="629"/>
      <c r="I46" s="629"/>
      <c r="J46" s="629"/>
      <c r="K46" s="629"/>
      <c r="L46" s="629"/>
      <c r="M46" s="3"/>
      <c r="N46" s="438"/>
    </row>
    <row r="47" spans="2:14" ht="17.25" customHeight="1" x14ac:dyDescent="0.3">
      <c r="B47" s="183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2"/>
      <c r="N47" s="438"/>
    </row>
    <row r="48" spans="2:14" ht="17.25" customHeight="1" x14ac:dyDescent="0.3">
      <c r="B48" s="181"/>
      <c r="C48" s="629"/>
      <c r="D48" s="629"/>
      <c r="E48" s="629"/>
      <c r="F48" s="629"/>
      <c r="G48" s="629"/>
      <c r="H48" s="629"/>
      <c r="I48" s="629"/>
      <c r="J48" s="629"/>
      <c r="K48" s="629"/>
      <c r="L48" s="629"/>
      <c r="M48" s="3"/>
      <c r="N48" s="438"/>
    </row>
    <row r="49" spans="2:14" ht="17.25" customHeight="1" x14ac:dyDescent="0.3">
      <c r="B49" s="183"/>
      <c r="C49" s="628"/>
      <c r="D49" s="628"/>
      <c r="E49" s="628"/>
      <c r="F49" s="628"/>
      <c r="G49" s="628"/>
      <c r="H49" s="628"/>
      <c r="I49" s="628"/>
      <c r="J49" s="628"/>
      <c r="K49" s="628"/>
      <c r="L49" s="628"/>
      <c r="M49" s="2"/>
      <c r="N49" s="438"/>
    </row>
    <row r="50" spans="2:14" ht="17.25" customHeight="1" x14ac:dyDescent="0.3">
      <c r="B50" s="181"/>
      <c r="C50" s="629"/>
      <c r="D50" s="629"/>
      <c r="E50" s="629"/>
      <c r="F50" s="629"/>
      <c r="G50" s="629"/>
      <c r="H50" s="629"/>
      <c r="I50" s="629"/>
      <c r="J50" s="629"/>
      <c r="K50" s="629"/>
      <c r="L50" s="629"/>
      <c r="M50" s="3"/>
      <c r="N50" s="438"/>
    </row>
    <row r="51" spans="2:14" ht="17.25" customHeight="1" x14ac:dyDescent="0.3">
      <c r="B51" s="183"/>
      <c r="C51" s="628"/>
      <c r="D51" s="628"/>
      <c r="E51" s="628"/>
      <c r="F51" s="628"/>
      <c r="G51" s="628"/>
      <c r="H51" s="628"/>
      <c r="I51" s="628"/>
      <c r="J51" s="628"/>
      <c r="K51" s="628"/>
      <c r="L51" s="628"/>
      <c r="M51" s="213"/>
      <c r="N51" s="438"/>
    </row>
    <row r="52" spans="2:14" ht="17.25" customHeight="1" x14ac:dyDescent="0.3">
      <c r="B52" s="181"/>
      <c r="C52" s="629"/>
      <c r="D52" s="629"/>
      <c r="E52" s="629"/>
      <c r="F52" s="629"/>
      <c r="G52" s="629"/>
      <c r="H52" s="629"/>
      <c r="I52" s="629"/>
      <c r="J52" s="629"/>
      <c r="K52" s="629"/>
      <c r="L52" s="629"/>
      <c r="M52" s="3"/>
      <c r="N52" s="438"/>
    </row>
    <row r="53" spans="2:14" ht="17.25" customHeight="1" x14ac:dyDescent="0.3">
      <c r="B53" s="183"/>
      <c r="C53" s="628"/>
      <c r="D53" s="628"/>
      <c r="E53" s="628"/>
      <c r="F53" s="628"/>
      <c r="G53" s="628"/>
      <c r="H53" s="628"/>
      <c r="I53" s="628"/>
      <c r="J53" s="628"/>
      <c r="K53" s="628"/>
      <c r="L53" s="628"/>
      <c r="M53" s="2"/>
      <c r="N53" s="438"/>
    </row>
    <row r="54" spans="2:14" ht="17.25" customHeight="1" x14ac:dyDescent="0.3">
      <c r="B54" s="181"/>
      <c r="C54" s="629"/>
      <c r="D54" s="629"/>
      <c r="E54" s="629"/>
      <c r="F54" s="629"/>
      <c r="G54" s="629"/>
      <c r="H54" s="629"/>
      <c r="I54" s="629"/>
      <c r="J54" s="629"/>
      <c r="K54" s="629"/>
      <c r="L54" s="629"/>
      <c r="M54" s="3"/>
      <c r="N54" s="438"/>
    </row>
    <row r="55" spans="2:14" ht="17.25" customHeight="1" x14ac:dyDescent="0.3">
      <c r="B55" s="183"/>
      <c r="C55" s="628"/>
      <c r="D55" s="628"/>
      <c r="E55" s="628"/>
      <c r="F55" s="628"/>
      <c r="G55" s="628"/>
      <c r="H55" s="628"/>
      <c r="I55" s="628"/>
      <c r="J55" s="628"/>
      <c r="K55" s="628"/>
      <c r="L55" s="628"/>
      <c r="M55" s="2"/>
      <c r="N55" s="438"/>
    </row>
    <row r="56" spans="2:14" ht="17.25" customHeight="1" x14ac:dyDescent="0.3">
      <c r="B56" s="181"/>
      <c r="C56" s="629"/>
      <c r="D56" s="629"/>
      <c r="E56" s="629"/>
      <c r="F56" s="629"/>
      <c r="G56" s="629"/>
      <c r="H56" s="629"/>
      <c r="I56" s="629"/>
      <c r="J56" s="629"/>
      <c r="K56" s="629"/>
      <c r="L56" s="629"/>
      <c r="M56" s="3"/>
      <c r="N56" s="438"/>
    </row>
    <row r="57" spans="2:14" ht="17.25" customHeight="1" x14ac:dyDescent="0.3">
      <c r="B57" s="183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2"/>
      <c r="N57" s="438"/>
    </row>
    <row r="58" spans="2:14" ht="17.25" customHeight="1" x14ac:dyDescent="0.3">
      <c r="B58" s="181"/>
      <c r="C58" s="629"/>
      <c r="D58" s="629"/>
      <c r="E58" s="629"/>
      <c r="F58" s="629"/>
      <c r="G58" s="629"/>
      <c r="H58" s="629"/>
      <c r="I58" s="629"/>
      <c r="J58" s="629"/>
      <c r="K58" s="629"/>
      <c r="L58" s="629"/>
      <c r="M58" s="3"/>
      <c r="N58" s="438"/>
    </row>
    <row r="59" spans="2:14" ht="17.25" customHeight="1" x14ac:dyDescent="0.3">
      <c r="B59" s="183"/>
      <c r="C59" s="628"/>
      <c r="D59" s="628"/>
      <c r="E59" s="628"/>
      <c r="F59" s="628"/>
      <c r="G59" s="628"/>
      <c r="H59" s="628"/>
      <c r="I59" s="628"/>
      <c r="J59" s="628"/>
      <c r="K59" s="628"/>
      <c r="L59" s="628"/>
      <c r="M59" s="213"/>
      <c r="N59" s="438"/>
    </row>
    <row r="60" spans="2:14" ht="17.25" customHeight="1" x14ac:dyDescent="0.3">
      <c r="B60" s="181"/>
      <c r="C60" s="629"/>
      <c r="D60" s="629"/>
      <c r="E60" s="629"/>
      <c r="F60" s="629"/>
      <c r="G60" s="629"/>
      <c r="H60" s="629"/>
      <c r="I60" s="629"/>
      <c r="J60" s="629"/>
      <c r="K60" s="629"/>
      <c r="L60" s="629"/>
      <c r="M60" s="3"/>
      <c r="N60" s="438"/>
    </row>
    <row r="61" spans="2:14" ht="17.25" customHeight="1" x14ac:dyDescent="0.3">
      <c r="B61" s="183"/>
      <c r="C61" s="628"/>
      <c r="D61" s="628"/>
      <c r="E61" s="628"/>
      <c r="F61" s="628"/>
      <c r="G61" s="628"/>
      <c r="H61" s="628"/>
      <c r="I61" s="628"/>
      <c r="J61" s="628"/>
      <c r="K61" s="628"/>
      <c r="L61" s="628"/>
      <c r="M61" s="2"/>
      <c r="N61" s="438"/>
    </row>
    <row r="62" spans="2:14" ht="17.25" customHeight="1" x14ac:dyDescent="0.3">
      <c r="B62" s="181"/>
      <c r="C62" s="629"/>
      <c r="D62" s="629"/>
      <c r="E62" s="629"/>
      <c r="F62" s="629"/>
      <c r="G62" s="629"/>
      <c r="H62" s="629"/>
      <c r="I62" s="629"/>
      <c r="J62" s="629"/>
      <c r="K62" s="629"/>
      <c r="L62" s="629"/>
      <c r="M62" s="3"/>
      <c r="N62" s="438"/>
    </row>
    <row r="63" spans="2:14" ht="17.25" customHeight="1" x14ac:dyDescent="0.3">
      <c r="B63" s="183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2"/>
      <c r="N63" s="438"/>
    </row>
    <row r="64" spans="2:14" ht="17.25" customHeight="1" x14ac:dyDescent="0.3">
      <c r="B64" s="181"/>
      <c r="C64" s="629"/>
      <c r="D64" s="629"/>
      <c r="E64" s="629"/>
      <c r="F64" s="629"/>
      <c r="G64" s="629"/>
      <c r="H64" s="629"/>
      <c r="I64" s="629"/>
      <c r="J64" s="629"/>
      <c r="K64" s="629"/>
      <c r="L64" s="629"/>
      <c r="M64" s="3"/>
      <c r="N64" s="438"/>
    </row>
    <row r="65" spans="2:14" ht="17.25" customHeight="1" x14ac:dyDescent="0.3">
      <c r="B65" s="183"/>
      <c r="C65" s="628"/>
      <c r="D65" s="628"/>
      <c r="E65" s="628"/>
      <c r="F65" s="628"/>
      <c r="G65" s="628"/>
      <c r="H65" s="628"/>
      <c r="I65" s="628"/>
      <c r="J65" s="628"/>
      <c r="K65" s="628"/>
      <c r="L65" s="628"/>
      <c r="M65" s="2"/>
      <c r="N65" s="438"/>
    </row>
    <row r="66" spans="2:14" ht="17.25" customHeight="1" x14ac:dyDescent="0.3">
      <c r="B66" s="181"/>
      <c r="C66" s="629"/>
      <c r="D66" s="629"/>
      <c r="E66" s="629"/>
      <c r="F66" s="629"/>
      <c r="G66" s="629"/>
      <c r="H66" s="629"/>
      <c r="I66" s="629"/>
      <c r="J66" s="629"/>
      <c r="K66" s="629"/>
      <c r="L66" s="629"/>
      <c r="M66" s="3"/>
      <c r="N66" s="438"/>
    </row>
    <row r="67" spans="2:14" ht="17.25" customHeight="1" x14ac:dyDescent="0.3">
      <c r="B67" s="183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2"/>
      <c r="N67" s="438"/>
    </row>
    <row r="68" spans="2:14" ht="17.25" customHeight="1" x14ac:dyDescent="0.3">
      <c r="B68" s="181"/>
      <c r="C68" s="629"/>
      <c r="D68" s="629"/>
      <c r="E68" s="629"/>
      <c r="F68" s="629"/>
      <c r="G68" s="629"/>
      <c r="H68" s="629"/>
      <c r="I68" s="629"/>
      <c r="J68" s="629"/>
      <c r="K68" s="629"/>
      <c r="L68" s="629"/>
      <c r="M68" s="229"/>
      <c r="N68" s="438"/>
    </row>
    <row r="69" spans="2:14" ht="17.25" customHeight="1" x14ac:dyDescent="0.3">
      <c r="B69" s="183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2"/>
      <c r="N69" s="438"/>
    </row>
    <row r="70" spans="2:14" ht="17.25" customHeight="1" x14ac:dyDescent="0.3">
      <c r="B70" s="181"/>
      <c r="C70" s="629"/>
      <c r="D70" s="629"/>
      <c r="E70" s="629"/>
      <c r="F70" s="629"/>
      <c r="G70" s="629"/>
      <c r="H70" s="629"/>
      <c r="I70" s="629"/>
      <c r="J70" s="629"/>
      <c r="K70" s="629"/>
      <c r="L70" s="629"/>
      <c r="M70" s="3"/>
      <c r="N70" s="438"/>
    </row>
    <row r="71" spans="2:14" ht="17.25" customHeight="1" x14ac:dyDescent="0.3">
      <c r="B71" s="183"/>
      <c r="C71" s="628"/>
      <c r="D71" s="628"/>
      <c r="E71" s="628"/>
      <c r="F71" s="628"/>
      <c r="G71" s="628"/>
      <c r="H71" s="628"/>
      <c r="I71" s="628"/>
      <c r="J71" s="628"/>
      <c r="K71" s="628"/>
      <c r="L71" s="628"/>
      <c r="M71" s="2"/>
      <c r="N71" s="438"/>
    </row>
    <row r="72" spans="2:14" ht="17.25" customHeight="1" x14ac:dyDescent="0.3">
      <c r="B72" s="181"/>
      <c r="C72" s="629"/>
      <c r="D72" s="629"/>
      <c r="E72" s="629"/>
      <c r="F72" s="629"/>
      <c r="G72" s="629"/>
      <c r="H72" s="629"/>
      <c r="I72" s="629"/>
      <c r="J72" s="629"/>
      <c r="K72" s="629"/>
      <c r="L72" s="629"/>
      <c r="M72" s="3"/>
      <c r="N72" s="438"/>
    </row>
    <row r="73" spans="2:14" ht="17.25" customHeight="1" x14ac:dyDescent="0.3">
      <c r="B73" s="183"/>
      <c r="C73" s="628"/>
      <c r="D73" s="628"/>
      <c r="E73" s="628"/>
      <c r="F73" s="628"/>
      <c r="G73" s="628"/>
      <c r="H73" s="628"/>
      <c r="I73" s="628"/>
      <c r="J73" s="628"/>
      <c r="K73" s="628"/>
      <c r="L73" s="628"/>
      <c r="M73" s="2"/>
      <c r="N73" s="438"/>
    </row>
    <row r="74" spans="2:14" ht="17.25" customHeight="1" x14ac:dyDescent="0.3">
      <c r="B74" s="181"/>
      <c r="C74" s="629"/>
      <c r="D74" s="629"/>
      <c r="E74" s="629"/>
      <c r="F74" s="629"/>
      <c r="G74" s="629"/>
      <c r="H74" s="629"/>
      <c r="I74" s="629"/>
      <c r="J74" s="629"/>
      <c r="K74" s="629"/>
      <c r="L74" s="629"/>
      <c r="M74" s="3"/>
      <c r="N74" s="438"/>
    </row>
    <row r="75" spans="2:14" ht="17.25" customHeight="1" x14ac:dyDescent="0.3">
      <c r="B75" s="183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2"/>
      <c r="N75" s="438"/>
    </row>
    <row r="76" spans="2:14" ht="17.25" customHeight="1" x14ac:dyDescent="0.3">
      <c r="B76" s="181"/>
      <c r="C76" s="629"/>
      <c r="D76" s="629"/>
      <c r="E76" s="629"/>
      <c r="F76" s="629"/>
      <c r="G76" s="629"/>
      <c r="H76" s="629"/>
      <c r="I76" s="629"/>
      <c r="J76" s="629"/>
      <c r="K76" s="629"/>
      <c r="L76" s="629"/>
      <c r="M76" s="229"/>
      <c r="N76" s="438"/>
    </row>
    <row r="77" spans="2:14" ht="17.25" customHeight="1" x14ac:dyDescent="0.3">
      <c r="B77" s="183"/>
      <c r="C77" s="628"/>
      <c r="D77" s="628"/>
      <c r="E77" s="628"/>
      <c r="F77" s="628"/>
      <c r="G77" s="628"/>
      <c r="H77" s="628"/>
      <c r="I77" s="628"/>
      <c r="J77" s="628"/>
      <c r="K77" s="628"/>
      <c r="L77" s="628"/>
      <c r="M77" s="2"/>
      <c r="N77" s="438"/>
    </row>
    <row r="78" spans="2:14" ht="17.25" customHeight="1" x14ac:dyDescent="0.3">
      <c r="B78" s="181"/>
      <c r="C78" s="629"/>
      <c r="D78" s="629"/>
      <c r="E78" s="629"/>
      <c r="F78" s="629"/>
      <c r="G78" s="629"/>
      <c r="H78" s="629"/>
      <c r="I78" s="629"/>
      <c r="J78" s="629"/>
      <c r="K78" s="629"/>
      <c r="L78" s="629"/>
      <c r="M78" s="3"/>
      <c r="N78" s="438"/>
    </row>
    <row r="79" spans="2:14" ht="17.25" customHeight="1" x14ac:dyDescent="0.3">
      <c r="B79" s="183"/>
      <c r="C79" s="628"/>
      <c r="D79" s="628"/>
      <c r="E79" s="628"/>
      <c r="F79" s="628"/>
      <c r="G79" s="628"/>
      <c r="H79" s="628"/>
      <c r="I79" s="628"/>
      <c r="J79" s="628"/>
      <c r="K79" s="628"/>
      <c r="L79" s="628"/>
      <c r="M79" s="2"/>
      <c r="N79" s="438"/>
    </row>
    <row r="80" spans="2:14" ht="17.25" customHeight="1" x14ac:dyDescent="0.3">
      <c r="B80" s="181"/>
      <c r="C80" s="629"/>
      <c r="D80" s="629"/>
      <c r="E80" s="629"/>
      <c r="F80" s="629"/>
      <c r="G80" s="629"/>
      <c r="H80" s="629"/>
      <c r="I80" s="629"/>
      <c r="J80" s="629"/>
      <c r="K80" s="629"/>
      <c r="L80" s="629"/>
      <c r="M80" s="3"/>
      <c r="N80" s="438"/>
    </row>
    <row r="81" spans="2:14" ht="17.25" customHeight="1" x14ac:dyDescent="0.3">
      <c r="B81" s="183"/>
      <c r="C81" s="628"/>
      <c r="D81" s="628"/>
      <c r="E81" s="628"/>
      <c r="F81" s="628"/>
      <c r="G81" s="628"/>
      <c r="H81" s="628"/>
      <c r="I81" s="628"/>
      <c r="J81" s="628"/>
      <c r="K81" s="628"/>
      <c r="L81" s="628"/>
      <c r="M81" s="2"/>
      <c r="N81" s="438"/>
    </row>
    <row r="82" spans="2:14" ht="17.25" customHeight="1" x14ac:dyDescent="0.3">
      <c r="B82" s="181"/>
      <c r="C82" s="629"/>
      <c r="D82" s="629"/>
      <c r="E82" s="629"/>
      <c r="F82" s="629"/>
      <c r="G82" s="629"/>
      <c r="H82" s="629"/>
      <c r="I82" s="629"/>
      <c r="J82" s="629"/>
      <c r="K82" s="629"/>
      <c r="L82" s="629"/>
      <c r="M82" s="3"/>
      <c r="N82" s="438"/>
    </row>
    <row r="83" spans="2:14" ht="17.25" customHeight="1" x14ac:dyDescent="0.3">
      <c r="B83" s="183"/>
      <c r="C83" s="628"/>
      <c r="D83" s="628"/>
      <c r="E83" s="628"/>
      <c r="F83" s="628"/>
      <c r="G83" s="628"/>
      <c r="H83" s="628"/>
      <c r="I83" s="628"/>
      <c r="J83" s="628"/>
      <c r="K83" s="628"/>
      <c r="L83" s="628"/>
      <c r="M83" s="2"/>
      <c r="N83" s="438"/>
    </row>
    <row r="84" spans="2:14" ht="17.25" customHeight="1" x14ac:dyDescent="0.3">
      <c r="B84" s="181"/>
      <c r="C84" s="629"/>
      <c r="D84" s="629"/>
      <c r="E84" s="629"/>
      <c r="F84" s="629"/>
      <c r="G84" s="629"/>
      <c r="H84" s="629"/>
      <c r="I84" s="629"/>
      <c r="J84" s="629"/>
      <c r="K84" s="629"/>
      <c r="L84" s="629"/>
      <c r="M84" s="3"/>
      <c r="N84" s="438"/>
    </row>
    <row r="85" spans="2:14" ht="17.25" customHeight="1" x14ac:dyDescent="0.3">
      <c r="B85" s="183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213"/>
      <c r="N85" s="438"/>
    </row>
    <row r="86" spans="2:14" ht="17.25" customHeight="1" x14ac:dyDescent="0.3">
      <c r="B86" s="181"/>
      <c r="C86" s="629"/>
      <c r="D86" s="629"/>
      <c r="E86" s="629"/>
      <c r="F86" s="629"/>
      <c r="G86" s="629"/>
      <c r="H86" s="629"/>
      <c r="I86" s="629"/>
      <c r="J86" s="629"/>
      <c r="K86" s="629"/>
      <c r="L86" s="629"/>
      <c r="M86" s="3"/>
      <c r="N86" s="438"/>
    </row>
    <row r="87" spans="2:14" ht="17.25" customHeight="1" x14ac:dyDescent="0.3">
      <c r="B87" s="183"/>
      <c r="C87" s="628"/>
      <c r="D87" s="628"/>
      <c r="E87" s="628"/>
      <c r="F87" s="628"/>
      <c r="G87" s="628"/>
      <c r="H87" s="628"/>
      <c r="I87" s="628"/>
      <c r="J87" s="628"/>
      <c r="K87" s="628"/>
      <c r="L87" s="628"/>
      <c r="M87" s="2"/>
      <c r="N87" s="438"/>
    </row>
    <row r="88" spans="2:14" ht="17.25" customHeight="1" x14ac:dyDescent="0.3">
      <c r="B88" s="181"/>
      <c r="C88" s="629"/>
      <c r="D88" s="629"/>
      <c r="E88" s="629"/>
      <c r="F88" s="629"/>
      <c r="G88" s="629"/>
      <c r="H88" s="629"/>
      <c r="I88" s="629"/>
      <c r="J88" s="629"/>
      <c r="K88" s="629"/>
      <c r="L88" s="629"/>
      <c r="M88" s="3"/>
      <c r="N88" s="438"/>
    </row>
    <row r="89" spans="2:14" ht="17.25" customHeight="1" x14ac:dyDescent="0.3">
      <c r="B89" s="183"/>
      <c r="C89" s="628"/>
      <c r="D89" s="628"/>
      <c r="E89" s="628"/>
      <c r="F89" s="628"/>
      <c r="G89" s="628"/>
      <c r="H89" s="628"/>
      <c r="I89" s="628"/>
      <c r="J89" s="628"/>
      <c r="K89" s="628"/>
      <c r="L89" s="628"/>
      <c r="M89" s="2"/>
      <c r="N89" s="438"/>
    </row>
    <row r="90" spans="2:14" ht="17.25" customHeight="1" x14ac:dyDescent="0.3">
      <c r="B90" s="181"/>
      <c r="C90" s="629"/>
      <c r="D90" s="629"/>
      <c r="E90" s="629"/>
      <c r="F90" s="629"/>
      <c r="G90" s="629"/>
      <c r="H90" s="629"/>
      <c r="I90" s="629"/>
      <c r="J90" s="629"/>
      <c r="K90" s="629"/>
      <c r="L90" s="629"/>
      <c r="M90" s="3"/>
      <c r="N90" s="438"/>
    </row>
    <row r="91" spans="2:14" ht="17.25" customHeight="1" x14ac:dyDescent="0.3">
      <c r="B91" s="183"/>
      <c r="C91" s="628"/>
      <c r="D91" s="628"/>
      <c r="E91" s="628"/>
      <c r="F91" s="628"/>
      <c r="G91" s="628"/>
      <c r="H91" s="628"/>
      <c r="I91" s="628"/>
      <c r="J91" s="628"/>
      <c r="K91" s="628"/>
      <c r="L91" s="628"/>
      <c r="M91" s="2"/>
      <c r="N91" s="438"/>
    </row>
    <row r="92" spans="2:14" ht="17.25" customHeight="1" x14ac:dyDescent="0.3">
      <c r="B92" s="181"/>
      <c r="C92" s="629"/>
      <c r="D92" s="629"/>
      <c r="E92" s="629"/>
      <c r="F92" s="629"/>
      <c r="G92" s="629"/>
      <c r="H92" s="629"/>
      <c r="I92" s="629"/>
      <c r="J92" s="629"/>
      <c r="K92" s="629"/>
      <c r="L92" s="629"/>
      <c r="M92" s="3"/>
      <c r="N92" s="438"/>
    </row>
    <row r="93" spans="2:14" ht="17.25" customHeight="1" x14ac:dyDescent="0.3">
      <c r="B93" s="183"/>
      <c r="C93" s="628"/>
      <c r="D93" s="628"/>
      <c r="E93" s="628"/>
      <c r="F93" s="628"/>
      <c r="G93" s="628"/>
      <c r="H93" s="628"/>
      <c r="I93" s="628"/>
      <c r="J93" s="628"/>
      <c r="K93" s="628"/>
      <c r="L93" s="628"/>
      <c r="M93" s="213"/>
      <c r="N93" s="438"/>
    </row>
    <row r="94" spans="2:14" ht="17.25" customHeight="1" x14ac:dyDescent="0.3">
      <c r="B94" s="181"/>
      <c r="C94" s="629"/>
      <c r="D94" s="629"/>
      <c r="E94" s="629"/>
      <c r="F94" s="629"/>
      <c r="G94" s="629"/>
      <c r="H94" s="629"/>
      <c r="I94" s="629"/>
      <c r="J94" s="629"/>
      <c r="K94" s="629"/>
      <c r="L94" s="629"/>
      <c r="M94" s="3"/>
      <c r="N94" s="438"/>
    </row>
    <row r="95" spans="2:14" ht="17.25" customHeight="1" x14ac:dyDescent="0.3">
      <c r="B95" s="183"/>
      <c r="C95" s="628"/>
      <c r="D95" s="628"/>
      <c r="E95" s="628"/>
      <c r="F95" s="628"/>
      <c r="G95" s="628"/>
      <c r="H95" s="628"/>
      <c r="I95" s="628"/>
      <c r="J95" s="628"/>
      <c r="K95" s="628"/>
      <c r="L95" s="628"/>
      <c r="M95" s="213"/>
      <c r="N95" s="438"/>
    </row>
    <row r="96" spans="2:14" ht="17.25" customHeight="1" x14ac:dyDescent="0.3">
      <c r="B96" s="181"/>
      <c r="C96" s="629"/>
      <c r="D96" s="629"/>
      <c r="E96" s="629"/>
      <c r="F96" s="629"/>
      <c r="G96" s="629"/>
      <c r="H96" s="629"/>
      <c r="I96" s="629"/>
      <c r="J96" s="629"/>
      <c r="K96" s="629"/>
      <c r="L96" s="629"/>
      <c r="M96" s="3"/>
      <c r="N96" s="438"/>
    </row>
    <row r="97" spans="2:14" ht="17.25" customHeight="1" x14ac:dyDescent="0.3">
      <c r="B97" s="183"/>
      <c r="C97" s="628"/>
      <c r="D97" s="628"/>
      <c r="E97" s="628"/>
      <c r="F97" s="628"/>
      <c r="G97" s="628"/>
      <c r="H97" s="628"/>
      <c r="I97" s="628"/>
      <c r="J97" s="628"/>
      <c r="K97" s="628"/>
      <c r="L97" s="628"/>
      <c r="M97" s="2"/>
      <c r="N97" s="438"/>
    </row>
    <row r="98" spans="2:14" ht="17.25" customHeight="1" x14ac:dyDescent="0.3">
      <c r="B98" s="181"/>
      <c r="C98" s="629"/>
      <c r="D98" s="629"/>
      <c r="E98" s="629"/>
      <c r="F98" s="629"/>
      <c r="G98" s="629"/>
      <c r="H98" s="629"/>
      <c r="I98" s="629"/>
      <c r="J98" s="629"/>
      <c r="K98" s="629"/>
      <c r="L98" s="629"/>
      <c r="M98" s="3"/>
      <c r="N98" s="438"/>
    </row>
    <row r="99" spans="2:14" ht="17.25" customHeight="1" x14ac:dyDescent="0.3">
      <c r="B99" s="183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2"/>
      <c r="N99" s="438"/>
    </row>
    <row r="100" spans="2:14" ht="17.25" customHeight="1" x14ac:dyDescent="0.3">
      <c r="B100" s="181"/>
      <c r="C100" s="629"/>
      <c r="D100" s="629"/>
      <c r="E100" s="629"/>
      <c r="F100" s="629"/>
      <c r="G100" s="629"/>
      <c r="H100" s="629"/>
      <c r="I100" s="629"/>
      <c r="J100" s="629"/>
      <c r="K100" s="629"/>
      <c r="L100" s="629"/>
      <c r="M100" s="3"/>
      <c r="N100" s="438"/>
    </row>
    <row r="101" spans="2:14" ht="17.25" customHeight="1" x14ac:dyDescent="0.3">
      <c r="B101" s="183"/>
      <c r="C101" s="628"/>
      <c r="D101" s="628"/>
      <c r="E101" s="628"/>
      <c r="F101" s="628"/>
      <c r="G101" s="628"/>
      <c r="H101" s="628"/>
      <c r="I101" s="628"/>
      <c r="J101" s="628"/>
      <c r="K101" s="628"/>
      <c r="L101" s="628"/>
      <c r="M101" s="2"/>
      <c r="N101" s="438"/>
    </row>
    <row r="102" spans="2:14" ht="17.25" customHeight="1" x14ac:dyDescent="0.3">
      <c r="B102" s="181"/>
      <c r="C102" s="629"/>
      <c r="D102" s="629"/>
      <c r="E102" s="629"/>
      <c r="F102" s="629"/>
      <c r="G102" s="629"/>
      <c r="H102" s="629"/>
      <c r="I102" s="629"/>
      <c r="J102" s="629"/>
      <c r="K102" s="629"/>
      <c r="L102" s="629"/>
      <c r="M102" s="3"/>
      <c r="N102" s="438"/>
    </row>
    <row r="103" spans="2:14" ht="17.25" customHeight="1" x14ac:dyDescent="0.3">
      <c r="B103" s="183"/>
      <c r="C103" s="628"/>
      <c r="D103" s="628"/>
      <c r="E103" s="628"/>
      <c r="F103" s="628"/>
      <c r="G103" s="628"/>
      <c r="H103" s="628"/>
      <c r="I103" s="628"/>
      <c r="J103" s="628"/>
      <c r="K103" s="628"/>
      <c r="L103" s="628"/>
      <c r="M103" s="213"/>
      <c r="N103" s="438"/>
    </row>
    <row r="104" spans="2:14" ht="17.25" customHeight="1" x14ac:dyDescent="0.3">
      <c r="B104" s="181"/>
      <c r="C104" s="629"/>
      <c r="D104" s="629"/>
      <c r="E104" s="629"/>
      <c r="F104" s="629"/>
      <c r="G104" s="629"/>
      <c r="H104" s="629"/>
      <c r="I104" s="629"/>
      <c r="J104" s="629"/>
      <c r="K104" s="629"/>
      <c r="L104" s="629"/>
      <c r="M104" s="3"/>
      <c r="N104" s="438"/>
    </row>
    <row r="105" spans="2:14" ht="17.25" customHeight="1" x14ac:dyDescent="0.3">
      <c r="B105" s="183"/>
      <c r="C105" s="628"/>
      <c r="D105" s="628"/>
      <c r="E105" s="628"/>
      <c r="F105" s="628"/>
      <c r="G105" s="628"/>
      <c r="H105" s="628"/>
      <c r="I105" s="628"/>
      <c r="J105" s="628"/>
      <c r="K105" s="628"/>
      <c r="L105" s="628"/>
      <c r="M105" s="213"/>
      <c r="N105" s="438"/>
    </row>
    <row r="106" spans="2:14" ht="17.25" customHeight="1" x14ac:dyDescent="0.3">
      <c r="B106" s="181"/>
      <c r="C106" s="629"/>
      <c r="D106" s="629"/>
      <c r="E106" s="629"/>
      <c r="F106" s="629"/>
      <c r="G106" s="629"/>
      <c r="H106" s="629"/>
      <c r="I106" s="629"/>
      <c r="J106" s="629"/>
      <c r="K106" s="629"/>
      <c r="L106" s="629"/>
      <c r="M106" s="3"/>
      <c r="N106" s="438"/>
    </row>
    <row r="107" spans="2:14" ht="17.25" customHeight="1" x14ac:dyDescent="0.3">
      <c r="B107" s="183"/>
      <c r="C107" s="628"/>
      <c r="D107" s="628"/>
      <c r="E107" s="628"/>
      <c r="F107" s="628"/>
      <c r="G107" s="628"/>
      <c r="H107" s="628"/>
      <c r="I107" s="628"/>
      <c r="J107" s="628"/>
      <c r="K107" s="628"/>
      <c r="L107" s="628"/>
      <c r="M107" s="2"/>
      <c r="N107" s="438"/>
    </row>
    <row r="108" spans="2:14" ht="17.25" customHeight="1" x14ac:dyDescent="0.3">
      <c r="B108" s="181"/>
      <c r="C108" s="629"/>
      <c r="D108" s="629"/>
      <c r="E108" s="629"/>
      <c r="F108" s="629"/>
      <c r="G108" s="629"/>
      <c r="H108" s="629"/>
      <c r="I108" s="629"/>
      <c r="J108" s="629"/>
      <c r="K108" s="629"/>
      <c r="L108" s="629"/>
      <c r="M108" s="3"/>
      <c r="N108" s="438"/>
    </row>
    <row r="109" spans="2:14" ht="17.25" customHeight="1" x14ac:dyDescent="0.3">
      <c r="B109" s="183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2"/>
      <c r="N109" s="438"/>
    </row>
    <row r="110" spans="2:14" ht="17.25" customHeight="1" x14ac:dyDescent="0.3">
      <c r="B110" s="181"/>
      <c r="C110" s="629"/>
      <c r="D110" s="629"/>
      <c r="E110" s="629"/>
      <c r="F110" s="629"/>
      <c r="G110" s="629"/>
      <c r="H110" s="629"/>
      <c r="I110" s="629"/>
      <c r="J110" s="629"/>
      <c r="K110" s="629"/>
      <c r="L110" s="629"/>
      <c r="M110" s="3"/>
      <c r="N110" s="438"/>
    </row>
    <row r="111" spans="2:14" ht="17.25" customHeight="1" x14ac:dyDescent="0.3">
      <c r="B111" s="183"/>
      <c r="C111" s="628"/>
      <c r="D111" s="628"/>
      <c r="E111" s="628"/>
      <c r="F111" s="628"/>
      <c r="G111" s="628"/>
      <c r="H111" s="628"/>
      <c r="I111" s="628"/>
      <c r="J111" s="628"/>
      <c r="K111" s="628"/>
      <c r="L111" s="628"/>
      <c r="M111" s="2"/>
      <c r="N111" s="438"/>
    </row>
    <row r="112" spans="2:14" ht="17.25" customHeight="1" x14ac:dyDescent="0.3">
      <c r="B112" s="181"/>
      <c r="C112" s="629"/>
      <c r="D112" s="629"/>
      <c r="E112" s="629"/>
      <c r="F112" s="629"/>
      <c r="G112" s="629"/>
      <c r="H112" s="629"/>
      <c r="I112" s="629"/>
      <c r="J112" s="629"/>
      <c r="K112" s="629"/>
      <c r="L112" s="629"/>
      <c r="M112" s="3"/>
      <c r="N112" s="438"/>
    </row>
    <row r="113" spans="2:14" ht="17.25" customHeight="1" x14ac:dyDescent="0.3">
      <c r="B113" s="183"/>
      <c r="C113" s="628"/>
      <c r="D113" s="628"/>
      <c r="E113" s="628"/>
      <c r="F113" s="628"/>
      <c r="G113" s="628"/>
      <c r="H113" s="628"/>
      <c r="I113" s="628"/>
      <c r="J113" s="628"/>
      <c r="K113" s="628"/>
      <c r="L113" s="628"/>
      <c r="M113" s="213"/>
      <c r="N113" s="438"/>
    </row>
    <row r="114" spans="2:14" ht="17.25" customHeight="1" x14ac:dyDescent="0.3">
      <c r="B114" s="181"/>
      <c r="C114" s="629"/>
      <c r="D114" s="629"/>
      <c r="E114" s="629"/>
      <c r="F114" s="629"/>
      <c r="G114" s="629"/>
      <c r="H114" s="629"/>
      <c r="I114" s="629"/>
      <c r="J114" s="629"/>
      <c r="K114" s="629"/>
      <c r="L114" s="629"/>
      <c r="M114" s="3"/>
      <c r="N114" s="438"/>
    </row>
    <row r="115" spans="2:14" ht="17.25" customHeight="1" x14ac:dyDescent="0.3">
      <c r="B115" s="183"/>
      <c r="C115" s="628"/>
      <c r="D115" s="628"/>
      <c r="E115" s="628"/>
      <c r="F115" s="628"/>
      <c r="G115" s="628"/>
      <c r="H115" s="628"/>
      <c r="I115" s="628"/>
      <c r="J115" s="628"/>
      <c r="K115" s="628"/>
      <c r="L115" s="628"/>
      <c r="M115" s="213"/>
      <c r="N115" s="438"/>
    </row>
    <row r="116" spans="2:14" ht="17.25" customHeight="1" x14ac:dyDescent="0.3">
      <c r="B116" s="181"/>
      <c r="C116" s="629"/>
      <c r="D116" s="629"/>
      <c r="E116" s="629"/>
      <c r="F116" s="629"/>
      <c r="G116" s="629"/>
      <c r="H116" s="629"/>
      <c r="I116" s="629"/>
      <c r="J116" s="629"/>
      <c r="K116" s="629"/>
      <c r="L116" s="629"/>
      <c r="M116" s="3"/>
      <c r="N116" s="438"/>
    </row>
    <row r="117" spans="2:14" ht="17.25" customHeight="1" x14ac:dyDescent="0.3">
      <c r="B117" s="183"/>
      <c r="C117" s="628"/>
      <c r="D117" s="628"/>
      <c r="E117" s="628"/>
      <c r="F117" s="628"/>
      <c r="G117" s="628"/>
      <c r="H117" s="628"/>
      <c r="I117" s="628"/>
      <c r="J117" s="628"/>
      <c r="K117" s="628"/>
      <c r="L117" s="628"/>
      <c r="M117" s="2"/>
      <c r="N117" s="438"/>
    </row>
    <row r="118" spans="2:14" ht="17.25" customHeight="1" x14ac:dyDescent="0.3">
      <c r="B118" s="181"/>
      <c r="C118" s="629"/>
      <c r="D118" s="629"/>
      <c r="E118" s="629"/>
      <c r="F118" s="629"/>
      <c r="G118" s="629"/>
      <c r="H118" s="629"/>
      <c r="I118" s="629"/>
      <c r="J118" s="629"/>
      <c r="K118" s="629"/>
      <c r="L118" s="629"/>
      <c r="M118" s="3"/>
      <c r="N118" s="438"/>
    </row>
    <row r="119" spans="2:14" ht="17.25" customHeight="1" x14ac:dyDescent="0.3">
      <c r="B119" s="183"/>
      <c r="C119" s="628"/>
      <c r="D119" s="628"/>
      <c r="E119" s="628"/>
      <c r="F119" s="628"/>
      <c r="G119" s="628"/>
      <c r="H119" s="628"/>
      <c r="I119" s="628"/>
      <c r="J119" s="628"/>
      <c r="K119" s="628"/>
      <c r="L119" s="628"/>
      <c r="M119" s="2"/>
      <c r="N119" s="438"/>
    </row>
    <row r="120" spans="2:14" ht="17.25" customHeight="1" x14ac:dyDescent="0.3">
      <c r="B120" s="181"/>
      <c r="C120" s="629"/>
      <c r="D120" s="629"/>
      <c r="E120" s="629"/>
      <c r="F120" s="629"/>
      <c r="G120" s="629"/>
      <c r="H120" s="629"/>
      <c r="I120" s="629"/>
      <c r="J120" s="629"/>
      <c r="K120" s="629"/>
      <c r="L120" s="629"/>
      <c r="M120" s="3"/>
      <c r="N120" s="438"/>
    </row>
    <row r="121" spans="2:14" ht="17.25" customHeight="1" x14ac:dyDescent="0.3">
      <c r="B121" s="183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2"/>
      <c r="N121" s="438"/>
    </row>
    <row r="122" spans="2:14" ht="17.25" customHeight="1" x14ac:dyDescent="0.3">
      <c r="B122" s="181"/>
      <c r="C122" s="629"/>
      <c r="D122" s="629"/>
      <c r="E122" s="629"/>
      <c r="F122" s="629"/>
      <c r="G122" s="629"/>
      <c r="H122" s="629"/>
      <c r="I122" s="629"/>
      <c r="J122" s="629"/>
      <c r="K122" s="629"/>
      <c r="L122" s="629"/>
      <c r="M122" s="3"/>
      <c r="N122" s="438"/>
    </row>
    <row r="123" spans="2:14" ht="17.25" customHeight="1" x14ac:dyDescent="0.3">
      <c r="B123" s="183"/>
      <c r="C123" s="628"/>
      <c r="D123" s="628"/>
      <c r="E123" s="628"/>
      <c r="F123" s="628"/>
      <c r="G123" s="628"/>
      <c r="H123" s="628"/>
      <c r="I123" s="628"/>
      <c r="J123" s="628"/>
      <c r="K123" s="628"/>
      <c r="L123" s="628"/>
      <c r="M123" s="213"/>
      <c r="N123" s="438"/>
    </row>
    <row r="124" spans="2:14" ht="17.25" customHeight="1" x14ac:dyDescent="0.3">
      <c r="B124" s="181"/>
      <c r="C124" s="629"/>
      <c r="D124" s="629"/>
      <c r="E124" s="629"/>
      <c r="F124" s="629"/>
      <c r="G124" s="629"/>
      <c r="H124" s="629"/>
      <c r="I124" s="629"/>
      <c r="J124" s="629"/>
      <c r="K124" s="629"/>
      <c r="L124" s="629"/>
      <c r="M124" s="3"/>
      <c r="N124" s="438"/>
    </row>
    <row r="125" spans="2:14" ht="18" customHeight="1" x14ac:dyDescent="0.3">
      <c r="N125" s="437"/>
    </row>
    <row r="126" spans="2:14" ht="18" customHeight="1" x14ac:dyDescent="0.3">
      <c r="N126" s="437"/>
    </row>
    <row r="127" spans="2:14" ht="18" customHeight="1" x14ac:dyDescent="0.3">
      <c r="N127" s="437"/>
    </row>
    <row r="128" spans="2:14" ht="18" customHeight="1" x14ac:dyDescent="0.3">
      <c r="N128" s="437"/>
    </row>
    <row r="129" spans="14:14" ht="18" customHeight="1" x14ac:dyDescent="0.3">
      <c r="N129" s="437"/>
    </row>
    <row r="130" spans="14:14" ht="18" customHeight="1" x14ac:dyDescent="0.3">
      <c r="N130" s="437"/>
    </row>
    <row r="131" spans="14:14" ht="18" customHeight="1" x14ac:dyDescent="0.3">
      <c r="N131" s="437"/>
    </row>
    <row r="132" spans="14:14" ht="18" customHeight="1" x14ac:dyDescent="0.3">
      <c r="N132" s="437"/>
    </row>
    <row r="133" spans="14:14" ht="18" customHeight="1" x14ac:dyDescent="0.3">
      <c r="N133" s="437"/>
    </row>
    <row r="134" spans="14:14" ht="18" customHeight="1" x14ac:dyDescent="0.3">
      <c r="N134" s="437"/>
    </row>
    <row r="135" spans="14:14" ht="18" customHeight="1" x14ac:dyDescent="0.3">
      <c r="N135" s="437"/>
    </row>
    <row r="136" spans="14:14" ht="18" customHeight="1" x14ac:dyDescent="0.3">
      <c r="N136" s="437"/>
    </row>
    <row r="137" spans="14:14" ht="18" customHeight="1" x14ac:dyDescent="0.3">
      <c r="N137" s="437"/>
    </row>
    <row r="138" spans="14:14" ht="18" customHeight="1" x14ac:dyDescent="0.3">
      <c r="N138" s="437"/>
    </row>
    <row r="139" spans="14:14" ht="18" customHeight="1" x14ac:dyDescent="0.3">
      <c r="N139" s="437"/>
    </row>
    <row r="140" spans="14:14" ht="18" customHeight="1" x14ac:dyDescent="0.3">
      <c r="N140" s="437"/>
    </row>
    <row r="141" spans="14:14" ht="18" customHeight="1" x14ac:dyDescent="0.3">
      <c r="N141" s="437"/>
    </row>
    <row r="142" spans="14:14" ht="18" customHeight="1" x14ac:dyDescent="0.3">
      <c r="N142" s="437"/>
    </row>
    <row r="143" spans="14:14" ht="18" customHeight="1" x14ac:dyDescent="0.3">
      <c r="N143" s="437"/>
    </row>
    <row r="144" spans="14:14" ht="18" customHeight="1" x14ac:dyDescent="0.3">
      <c r="N144" s="437"/>
    </row>
    <row r="145" spans="14:14" ht="18" customHeight="1" x14ac:dyDescent="0.3">
      <c r="N145" s="437"/>
    </row>
    <row r="146" spans="14:14" ht="18" customHeight="1" x14ac:dyDescent="0.3">
      <c r="N146" s="437"/>
    </row>
    <row r="147" spans="14:14" ht="18" customHeight="1" x14ac:dyDescent="0.3">
      <c r="N147" s="437"/>
    </row>
    <row r="148" spans="14:14" ht="18" customHeight="1" x14ac:dyDescent="0.3">
      <c r="N148" s="437"/>
    </row>
    <row r="149" spans="14:14" ht="18" customHeight="1" x14ac:dyDescent="0.3">
      <c r="N149" s="437"/>
    </row>
    <row r="150" spans="14:14" ht="18" customHeight="1" x14ac:dyDescent="0.3">
      <c r="N150" s="437"/>
    </row>
    <row r="151" spans="14:14" ht="18" customHeight="1" x14ac:dyDescent="0.3">
      <c r="N151" s="437"/>
    </row>
    <row r="152" spans="14:14" ht="18" customHeight="1" x14ac:dyDescent="0.3">
      <c r="N152" s="437"/>
    </row>
    <row r="153" spans="14:14" ht="18" customHeight="1" x14ac:dyDescent="0.3">
      <c r="N153" s="437"/>
    </row>
    <row r="154" spans="14:14" ht="18" customHeight="1" x14ac:dyDescent="0.3">
      <c r="N154" s="437"/>
    </row>
    <row r="155" spans="14:14" ht="18" customHeight="1" x14ac:dyDescent="0.3">
      <c r="N155" s="437"/>
    </row>
    <row r="156" spans="14:14" ht="18" customHeight="1" x14ac:dyDescent="0.3">
      <c r="N156" s="437"/>
    </row>
    <row r="157" spans="14:14" ht="18" customHeight="1" x14ac:dyDescent="0.3">
      <c r="N157" s="437"/>
    </row>
    <row r="158" spans="14:14" ht="18" customHeight="1" x14ac:dyDescent="0.3">
      <c r="N158" s="437"/>
    </row>
    <row r="159" spans="14:14" ht="18" customHeight="1" x14ac:dyDescent="0.3">
      <c r="N159" s="437"/>
    </row>
    <row r="160" spans="14:14" ht="18" customHeight="1" x14ac:dyDescent="0.3">
      <c r="N160" s="437"/>
    </row>
    <row r="161" spans="14:14" ht="18" customHeight="1" x14ac:dyDescent="0.3">
      <c r="N161" s="437"/>
    </row>
    <row r="162" spans="14:14" ht="18" customHeight="1" x14ac:dyDescent="0.3">
      <c r="N162" s="437"/>
    </row>
    <row r="163" spans="14:14" ht="18" customHeight="1" x14ac:dyDescent="0.3">
      <c r="N163" s="437"/>
    </row>
    <row r="164" spans="14:14" ht="18" customHeight="1" x14ac:dyDescent="0.3">
      <c r="N164" s="437"/>
    </row>
    <row r="165" spans="14:14" ht="18" customHeight="1" x14ac:dyDescent="0.3">
      <c r="N165" s="437"/>
    </row>
    <row r="166" spans="14:14" ht="18" customHeight="1" x14ac:dyDescent="0.3">
      <c r="N166" s="437"/>
    </row>
    <row r="167" spans="14:14" ht="18" customHeight="1" x14ac:dyDescent="0.3">
      <c r="N167" s="437"/>
    </row>
    <row r="168" spans="14:14" ht="18" customHeight="1" x14ac:dyDescent="0.3">
      <c r="N168" s="437"/>
    </row>
    <row r="169" spans="14:14" ht="18" customHeight="1" x14ac:dyDescent="0.3">
      <c r="N169" s="437"/>
    </row>
    <row r="170" spans="14:14" ht="18" customHeight="1" x14ac:dyDescent="0.3">
      <c r="N170" s="437"/>
    </row>
    <row r="171" spans="14:14" ht="18" customHeight="1" x14ac:dyDescent="0.3">
      <c r="N171" s="437"/>
    </row>
    <row r="172" spans="14:14" ht="18" customHeight="1" x14ac:dyDescent="0.3">
      <c r="N172" s="437"/>
    </row>
    <row r="173" spans="14:14" ht="18" customHeight="1" x14ac:dyDescent="0.3">
      <c r="N173" s="437"/>
    </row>
    <row r="174" spans="14:14" ht="18" customHeight="1" x14ac:dyDescent="0.3">
      <c r="N174" s="437"/>
    </row>
    <row r="175" spans="14:14" ht="18" customHeight="1" x14ac:dyDescent="0.3">
      <c r="N175" s="437"/>
    </row>
    <row r="176" spans="14:14" ht="18" customHeight="1" x14ac:dyDescent="0.3">
      <c r="N176" s="437"/>
    </row>
    <row r="177" spans="14:14" ht="18" customHeight="1" x14ac:dyDescent="0.3">
      <c r="N177" s="437"/>
    </row>
    <row r="178" spans="14:14" ht="18" customHeight="1" x14ac:dyDescent="0.3">
      <c r="N178" s="437"/>
    </row>
    <row r="179" spans="14:14" ht="18" customHeight="1" x14ac:dyDescent="0.3">
      <c r="N179" s="437"/>
    </row>
    <row r="180" spans="14:14" ht="18" customHeight="1" x14ac:dyDescent="0.3">
      <c r="N180" s="437"/>
    </row>
    <row r="181" spans="14:14" ht="18" customHeight="1" x14ac:dyDescent="0.3">
      <c r="N181" s="437"/>
    </row>
    <row r="182" spans="14:14" ht="18" customHeight="1" x14ac:dyDescent="0.3">
      <c r="N182" s="437"/>
    </row>
    <row r="183" spans="14:14" ht="18" customHeight="1" x14ac:dyDescent="0.3">
      <c r="N183" s="437"/>
    </row>
    <row r="184" spans="14:14" ht="18" customHeight="1" x14ac:dyDescent="0.3">
      <c r="N184" s="437"/>
    </row>
    <row r="185" spans="14:14" ht="18" customHeight="1" x14ac:dyDescent="0.3">
      <c r="N185" s="437"/>
    </row>
    <row r="186" spans="14:14" ht="18" customHeight="1" x14ac:dyDescent="0.3">
      <c r="N186" s="437"/>
    </row>
    <row r="187" spans="14:14" ht="18" customHeight="1" x14ac:dyDescent="0.3">
      <c r="N187" s="437"/>
    </row>
    <row r="188" spans="14:14" ht="18" customHeight="1" x14ac:dyDescent="0.3">
      <c r="N188" s="437"/>
    </row>
    <row r="189" spans="14:14" ht="18" customHeight="1" x14ac:dyDescent="0.3">
      <c r="N189" s="437"/>
    </row>
    <row r="190" spans="14:14" ht="18" customHeight="1" x14ac:dyDescent="0.3">
      <c r="N190" s="437"/>
    </row>
    <row r="191" spans="14:14" ht="18" customHeight="1" x14ac:dyDescent="0.3">
      <c r="N191" s="437"/>
    </row>
    <row r="192" spans="14:14" ht="18" customHeight="1" x14ac:dyDescent="0.3">
      <c r="N192" s="437"/>
    </row>
    <row r="193" spans="14:14" ht="18" customHeight="1" x14ac:dyDescent="0.3">
      <c r="N193" s="437"/>
    </row>
    <row r="194" spans="14:14" ht="18" customHeight="1" x14ac:dyDescent="0.3">
      <c r="N194" s="437"/>
    </row>
    <row r="195" spans="14:14" ht="18" customHeight="1" x14ac:dyDescent="0.3">
      <c r="N195" s="437"/>
    </row>
    <row r="196" spans="14:14" ht="18" customHeight="1" x14ac:dyDescent="0.3">
      <c r="N196" s="437"/>
    </row>
    <row r="197" spans="14:14" ht="18" customHeight="1" x14ac:dyDescent="0.3">
      <c r="N197" s="437"/>
    </row>
    <row r="198" spans="14:14" ht="18" customHeight="1" x14ac:dyDescent="0.3">
      <c r="N198" s="437"/>
    </row>
    <row r="199" spans="14:14" ht="18" customHeight="1" x14ac:dyDescent="0.3">
      <c r="N199" s="437"/>
    </row>
    <row r="200" spans="14:14" ht="18" customHeight="1" x14ac:dyDescent="0.3">
      <c r="N200" s="437"/>
    </row>
    <row r="201" spans="14:14" ht="18" customHeight="1" x14ac:dyDescent="0.3">
      <c r="N201" s="437"/>
    </row>
    <row r="202" spans="14:14" ht="18" customHeight="1" x14ac:dyDescent="0.3">
      <c r="N202" s="437"/>
    </row>
    <row r="203" spans="14:14" ht="18" customHeight="1" x14ac:dyDescent="0.3">
      <c r="N203" s="437"/>
    </row>
    <row r="204" spans="14:14" ht="18" customHeight="1" x14ac:dyDescent="0.3">
      <c r="N204" s="437"/>
    </row>
    <row r="205" spans="14:14" ht="18" customHeight="1" x14ac:dyDescent="0.3">
      <c r="N205" s="437"/>
    </row>
    <row r="206" spans="14:14" ht="18" customHeight="1" x14ac:dyDescent="0.3">
      <c r="N206" s="437"/>
    </row>
    <row r="207" spans="14:14" ht="18" customHeight="1" x14ac:dyDescent="0.3">
      <c r="N207" s="437"/>
    </row>
    <row r="208" spans="14:14" ht="18" customHeight="1" x14ac:dyDescent="0.3">
      <c r="N208" s="437"/>
    </row>
    <row r="209" spans="14:14" ht="18" customHeight="1" x14ac:dyDescent="0.3">
      <c r="N209" s="437"/>
    </row>
    <row r="210" spans="14:14" ht="18" customHeight="1" x14ac:dyDescent="0.3">
      <c r="N210" s="437"/>
    </row>
    <row r="211" spans="14:14" ht="18" customHeight="1" x14ac:dyDescent="0.3">
      <c r="N211" s="437"/>
    </row>
    <row r="212" spans="14:14" ht="18" customHeight="1" x14ac:dyDescent="0.3">
      <c r="N212" s="437"/>
    </row>
    <row r="213" spans="14:14" ht="18" customHeight="1" x14ac:dyDescent="0.3">
      <c r="N213" s="437"/>
    </row>
    <row r="214" spans="14:14" ht="18" customHeight="1" x14ac:dyDescent="0.3">
      <c r="N214" s="437"/>
    </row>
    <row r="215" spans="14:14" ht="18" customHeight="1" x14ac:dyDescent="0.3">
      <c r="N215" s="437"/>
    </row>
    <row r="216" spans="14:14" ht="18" customHeight="1" x14ac:dyDescent="0.3">
      <c r="N216" s="437"/>
    </row>
    <row r="217" spans="14:14" ht="18" customHeight="1" x14ac:dyDescent="0.3">
      <c r="N217" s="437"/>
    </row>
    <row r="218" spans="14:14" ht="18" customHeight="1" x14ac:dyDescent="0.3">
      <c r="N218" s="437"/>
    </row>
    <row r="219" spans="14:14" ht="18" customHeight="1" x14ac:dyDescent="0.3">
      <c r="N219" s="437"/>
    </row>
    <row r="220" spans="14:14" ht="18" customHeight="1" x14ac:dyDescent="0.3">
      <c r="N220" s="437"/>
    </row>
    <row r="221" spans="14:14" ht="18" customHeight="1" x14ac:dyDescent="0.3">
      <c r="N221" s="437"/>
    </row>
    <row r="222" spans="14:14" ht="18" customHeight="1" x14ac:dyDescent="0.3">
      <c r="N222" s="437"/>
    </row>
    <row r="223" spans="14:14" ht="18" customHeight="1" x14ac:dyDescent="0.3">
      <c r="N223" s="437"/>
    </row>
    <row r="224" spans="14:14" ht="18" customHeight="1" x14ac:dyDescent="0.3">
      <c r="N224" s="437"/>
    </row>
    <row r="225" spans="14:14" ht="18" customHeight="1" x14ac:dyDescent="0.3">
      <c r="N225" s="437"/>
    </row>
    <row r="226" spans="14:14" ht="18" customHeight="1" x14ac:dyDescent="0.3">
      <c r="N226" s="437"/>
    </row>
    <row r="227" spans="14:14" ht="18" customHeight="1" x14ac:dyDescent="0.3">
      <c r="N227" s="437"/>
    </row>
    <row r="228" spans="14:14" ht="18" customHeight="1" x14ac:dyDescent="0.3">
      <c r="N228" s="437"/>
    </row>
    <row r="229" spans="14:14" ht="18" customHeight="1" x14ac:dyDescent="0.3">
      <c r="N229" s="437"/>
    </row>
    <row r="230" spans="14:14" ht="18" customHeight="1" x14ac:dyDescent="0.3">
      <c r="N230" s="437"/>
    </row>
    <row r="231" spans="14:14" ht="18" customHeight="1" x14ac:dyDescent="0.3">
      <c r="N231" s="437"/>
    </row>
    <row r="232" spans="14:14" ht="18" customHeight="1" x14ac:dyDescent="0.3">
      <c r="N232" s="437"/>
    </row>
    <row r="233" spans="14:14" ht="18" customHeight="1" x14ac:dyDescent="0.3">
      <c r="N233" s="437"/>
    </row>
    <row r="234" spans="14:14" ht="18" customHeight="1" x14ac:dyDescent="0.3">
      <c r="N234" s="437"/>
    </row>
    <row r="235" spans="14:14" ht="18" customHeight="1" x14ac:dyDescent="0.3">
      <c r="N235" s="437"/>
    </row>
    <row r="236" spans="14:14" ht="18" customHeight="1" x14ac:dyDescent="0.3">
      <c r="N236" s="437"/>
    </row>
    <row r="237" spans="14:14" ht="18" customHeight="1" x14ac:dyDescent="0.3">
      <c r="N237" s="437"/>
    </row>
    <row r="238" spans="14:14" ht="18" customHeight="1" x14ac:dyDescent="0.3">
      <c r="N238" s="437"/>
    </row>
    <row r="239" spans="14:14" ht="18" customHeight="1" x14ac:dyDescent="0.3">
      <c r="N239" s="437"/>
    </row>
    <row r="240" spans="14:14" ht="18" customHeight="1" x14ac:dyDescent="0.3">
      <c r="N240" s="437"/>
    </row>
    <row r="241" spans="14:14" ht="18" customHeight="1" x14ac:dyDescent="0.3">
      <c r="N241" s="437"/>
    </row>
    <row r="242" spans="14:14" ht="18" customHeight="1" x14ac:dyDescent="0.3">
      <c r="N242" s="437"/>
    </row>
    <row r="243" spans="14:14" ht="18" customHeight="1" x14ac:dyDescent="0.3">
      <c r="N243" s="437"/>
    </row>
    <row r="244" spans="14:14" ht="18" customHeight="1" x14ac:dyDescent="0.3">
      <c r="N244" s="437"/>
    </row>
    <row r="245" spans="14:14" ht="18" customHeight="1" x14ac:dyDescent="0.3">
      <c r="N245" s="437"/>
    </row>
    <row r="246" spans="14:14" ht="18" customHeight="1" x14ac:dyDescent="0.3">
      <c r="N246" s="437"/>
    </row>
    <row r="247" spans="14:14" ht="18" customHeight="1" x14ac:dyDescent="0.3">
      <c r="N247" s="437"/>
    </row>
    <row r="248" spans="14:14" ht="18" customHeight="1" x14ac:dyDescent="0.3">
      <c r="N248" s="437"/>
    </row>
    <row r="249" spans="14:14" ht="18" customHeight="1" x14ac:dyDescent="0.3">
      <c r="N249" s="437"/>
    </row>
    <row r="250" spans="14:14" ht="18" customHeight="1" x14ac:dyDescent="0.3">
      <c r="N250" s="437"/>
    </row>
    <row r="251" spans="14:14" ht="18" customHeight="1" x14ac:dyDescent="0.3">
      <c r="N251" s="437"/>
    </row>
    <row r="252" spans="14:14" ht="18" customHeight="1" x14ac:dyDescent="0.3">
      <c r="N252" s="437"/>
    </row>
    <row r="253" spans="14:14" ht="18" customHeight="1" x14ac:dyDescent="0.3">
      <c r="N253" s="437"/>
    </row>
    <row r="254" spans="14:14" ht="18" customHeight="1" x14ac:dyDescent="0.3">
      <c r="N254" s="437"/>
    </row>
    <row r="255" spans="14:14" ht="18" customHeight="1" x14ac:dyDescent="0.3">
      <c r="N255" s="437"/>
    </row>
    <row r="256" spans="14:14" ht="18" customHeight="1" x14ac:dyDescent="0.3">
      <c r="N256" s="437"/>
    </row>
    <row r="257" spans="14:14" ht="18" customHeight="1" x14ac:dyDescent="0.3">
      <c r="N257" s="437"/>
    </row>
    <row r="258" spans="14:14" ht="18" customHeight="1" x14ac:dyDescent="0.3">
      <c r="N258" s="437"/>
    </row>
    <row r="259" spans="14:14" ht="18" customHeight="1" x14ac:dyDescent="0.3">
      <c r="N259" s="437"/>
    </row>
    <row r="260" spans="14:14" ht="18" customHeight="1" x14ac:dyDescent="0.3">
      <c r="N260" s="437"/>
    </row>
    <row r="261" spans="14:14" ht="18" customHeight="1" x14ac:dyDescent="0.3">
      <c r="N261" s="437"/>
    </row>
    <row r="262" spans="14:14" ht="18" customHeight="1" x14ac:dyDescent="0.3">
      <c r="N262" s="437"/>
    </row>
    <row r="263" spans="14:14" ht="18" customHeight="1" x14ac:dyDescent="0.3">
      <c r="N263" s="437"/>
    </row>
    <row r="264" spans="14:14" ht="18" customHeight="1" x14ac:dyDescent="0.3">
      <c r="N264" s="437"/>
    </row>
    <row r="265" spans="14:14" ht="18" customHeight="1" x14ac:dyDescent="0.3">
      <c r="N265" s="437"/>
    </row>
    <row r="266" spans="14:14" ht="18" customHeight="1" x14ac:dyDescent="0.3">
      <c r="N266" s="437"/>
    </row>
    <row r="267" spans="14:14" ht="18" customHeight="1" x14ac:dyDescent="0.3">
      <c r="N267" s="437"/>
    </row>
    <row r="268" spans="14:14" ht="18" customHeight="1" x14ac:dyDescent="0.3">
      <c r="N268" s="437"/>
    </row>
    <row r="269" spans="14:14" ht="18" customHeight="1" x14ac:dyDescent="0.3">
      <c r="N269" s="437"/>
    </row>
    <row r="270" spans="14:14" ht="18" customHeight="1" x14ac:dyDescent="0.3">
      <c r="N270" s="437"/>
    </row>
    <row r="271" spans="14:14" ht="18" customHeight="1" x14ac:dyDescent="0.3">
      <c r="N271" s="437"/>
    </row>
    <row r="272" spans="14:14" ht="18" customHeight="1" x14ac:dyDescent="0.3">
      <c r="N272" s="437"/>
    </row>
    <row r="273" spans="14:14" ht="18" customHeight="1" x14ac:dyDescent="0.3">
      <c r="N273" s="437"/>
    </row>
    <row r="274" spans="14:14" ht="18" customHeight="1" x14ac:dyDescent="0.3">
      <c r="N274" s="437"/>
    </row>
    <row r="275" spans="14:14" ht="18" customHeight="1" x14ac:dyDescent="0.3">
      <c r="N275" s="437"/>
    </row>
    <row r="276" spans="14:14" ht="18" customHeight="1" x14ac:dyDescent="0.3">
      <c r="N276" s="437"/>
    </row>
    <row r="277" spans="14:14" ht="18" customHeight="1" x14ac:dyDescent="0.3">
      <c r="N277" s="437"/>
    </row>
    <row r="278" spans="14:14" ht="18" customHeight="1" x14ac:dyDescent="0.3">
      <c r="N278" s="437"/>
    </row>
    <row r="279" spans="14:14" ht="18" customHeight="1" x14ac:dyDescent="0.3">
      <c r="N279" s="437"/>
    </row>
    <row r="280" spans="14:14" ht="18" customHeight="1" x14ac:dyDescent="0.3">
      <c r="N280" s="437"/>
    </row>
    <row r="281" spans="14:14" ht="18" customHeight="1" x14ac:dyDescent="0.3">
      <c r="N281" s="437"/>
    </row>
    <row r="282" spans="14:14" ht="18" customHeight="1" x14ac:dyDescent="0.3">
      <c r="N282" s="437"/>
    </row>
    <row r="283" spans="14:14" ht="18" customHeight="1" x14ac:dyDescent="0.3">
      <c r="N283" s="437"/>
    </row>
    <row r="284" spans="14:14" ht="18" customHeight="1" x14ac:dyDescent="0.3">
      <c r="N284" s="437"/>
    </row>
    <row r="285" spans="14:14" ht="18" customHeight="1" x14ac:dyDescent="0.3">
      <c r="N285" s="437"/>
    </row>
    <row r="286" spans="14:14" ht="18" customHeight="1" x14ac:dyDescent="0.3">
      <c r="N286" s="437"/>
    </row>
    <row r="287" spans="14:14" ht="18" customHeight="1" x14ac:dyDescent="0.3">
      <c r="N287" s="437"/>
    </row>
    <row r="288" spans="14:14" ht="18" customHeight="1" x14ac:dyDescent="0.3">
      <c r="N288" s="437"/>
    </row>
    <row r="289" spans="14:14" ht="18" customHeight="1" x14ac:dyDescent="0.3">
      <c r="N289" s="437"/>
    </row>
    <row r="290" spans="14:14" ht="18" customHeight="1" x14ac:dyDescent="0.3">
      <c r="N290" s="437"/>
    </row>
    <row r="291" spans="14:14" ht="18" customHeight="1" x14ac:dyDescent="0.3">
      <c r="N291" s="437"/>
    </row>
    <row r="292" spans="14:14" ht="18" customHeight="1" x14ac:dyDescent="0.3">
      <c r="N292" s="437"/>
    </row>
    <row r="293" spans="14:14" ht="18" customHeight="1" x14ac:dyDescent="0.3">
      <c r="N293" s="437"/>
    </row>
    <row r="294" spans="14:14" ht="18" customHeight="1" x14ac:dyDescent="0.3">
      <c r="N294" s="437"/>
    </row>
    <row r="295" spans="14:14" ht="18" customHeight="1" x14ac:dyDescent="0.3">
      <c r="N295" s="437"/>
    </row>
    <row r="296" spans="14:14" ht="18" customHeight="1" x14ac:dyDescent="0.3">
      <c r="N296" s="437"/>
    </row>
    <row r="297" spans="14:14" ht="18" customHeight="1" x14ac:dyDescent="0.3">
      <c r="N297" s="437"/>
    </row>
    <row r="298" spans="14:14" ht="18" customHeight="1" x14ac:dyDescent="0.3">
      <c r="N298" s="437"/>
    </row>
    <row r="299" spans="14:14" ht="18" customHeight="1" x14ac:dyDescent="0.3">
      <c r="N299" s="437"/>
    </row>
    <row r="300" spans="14:14" ht="18" customHeight="1" x14ac:dyDescent="0.3">
      <c r="N300" s="437"/>
    </row>
  </sheetData>
  <mergeCells count="474">
    <mergeCell ref="B21:B24"/>
    <mergeCell ref="K21:L24"/>
    <mergeCell ref="C122:D122"/>
    <mergeCell ref="E122:F122"/>
    <mergeCell ref="G122:J122"/>
    <mergeCell ref="K122:L122"/>
    <mergeCell ref="C123:D123"/>
    <mergeCell ref="E123:F123"/>
    <mergeCell ref="G123:J123"/>
    <mergeCell ref="K123:L123"/>
    <mergeCell ref="C116:D116"/>
    <mergeCell ref="E116:F116"/>
    <mergeCell ref="G116:J116"/>
    <mergeCell ref="K116:L116"/>
    <mergeCell ref="C117:D117"/>
    <mergeCell ref="E117:F117"/>
    <mergeCell ref="G117:J117"/>
    <mergeCell ref="K117:L117"/>
    <mergeCell ref="C118:D118"/>
    <mergeCell ref="E118:F118"/>
    <mergeCell ref="G118:J118"/>
    <mergeCell ref="K118:L118"/>
    <mergeCell ref="C113:D113"/>
    <mergeCell ref="E113:F113"/>
    <mergeCell ref="C124:D124"/>
    <mergeCell ref="E124:F124"/>
    <mergeCell ref="G124:J124"/>
    <mergeCell ref="K124:L124"/>
    <mergeCell ref="C119:D119"/>
    <mergeCell ref="E119:F119"/>
    <mergeCell ref="G119:J119"/>
    <mergeCell ref="K119:L119"/>
    <mergeCell ref="C120:D120"/>
    <mergeCell ref="E120:F120"/>
    <mergeCell ref="G120:J120"/>
    <mergeCell ref="K120:L120"/>
    <mergeCell ref="C121:D121"/>
    <mergeCell ref="E121:F121"/>
    <mergeCell ref="G121:J121"/>
    <mergeCell ref="K121:L121"/>
    <mergeCell ref="G113:J113"/>
    <mergeCell ref="K113:L113"/>
    <mergeCell ref="C114:D114"/>
    <mergeCell ref="E114:F114"/>
    <mergeCell ref="G114:J114"/>
    <mergeCell ref="K114:L114"/>
    <mergeCell ref="C115:D115"/>
    <mergeCell ref="E115:F115"/>
    <mergeCell ref="G115:J115"/>
    <mergeCell ref="K115:L115"/>
    <mergeCell ref="C110:D110"/>
    <mergeCell ref="E110:F110"/>
    <mergeCell ref="G110:J110"/>
    <mergeCell ref="K110:L110"/>
    <mergeCell ref="C111:D111"/>
    <mergeCell ref="E111:F111"/>
    <mergeCell ref="G111:J111"/>
    <mergeCell ref="K111:L111"/>
    <mergeCell ref="C112:D112"/>
    <mergeCell ref="E112:F112"/>
    <mergeCell ref="G112:J112"/>
    <mergeCell ref="K112:L112"/>
    <mergeCell ref="C107:D107"/>
    <mergeCell ref="E107:F107"/>
    <mergeCell ref="G107:J107"/>
    <mergeCell ref="K107:L107"/>
    <mergeCell ref="C108:D108"/>
    <mergeCell ref="E108:F108"/>
    <mergeCell ref="G108:J108"/>
    <mergeCell ref="K108:L108"/>
    <mergeCell ref="C109:D109"/>
    <mergeCell ref="E109:F109"/>
    <mergeCell ref="G109:J109"/>
    <mergeCell ref="K109:L109"/>
    <mergeCell ref="C104:D104"/>
    <mergeCell ref="E104:F104"/>
    <mergeCell ref="G104:J104"/>
    <mergeCell ref="K104:L104"/>
    <mergeCell ref="C105:D105"/>
    <mergeCell ref="E105:F105"/>
    <mergeCell ref="G105:J105"/>
    <mergeCell ref="K105:L105"/>
    <mergeCell ref="C106:D106"/>
    <mergeCell ref="E106:F106"/>
    <mergeCell ref="G106:J106"/>
    <mergeCell ref="K106:L106"/>
    <mergeCell ref="C101:D101"/>
    <mergeCell ref="E101:F101"/>
    <mergeCell ref="G101:J101"/>
    <mergeCell ref="K101:L101"/>
    <mergeCell ref="C102:D102"/>
    <mergeCell ref="E102:F102"/>
    <mergeCell ref="G102:J102"/>
    <mergeCell ref="K102:L102"/>
    <mergeCell ref="C103:D103"/>
    <mergeCell ref="E103:F103"/>
    <mergeCell ref="G103:J103"/>
    <mergeCell ref="K103:L103"/>
    <mergeCell ref="C98:D98"/>
    <mergeCell ref="E98:F98"/>
    <mergeCell ref="G98:J98"/>
    <mergeCell ref="K98:L98"/>
    <mergeCell ref="C99:D99"/>
    <mergeCell ref="E99:F99"/>
    <mergeCell ref="G99:J99"/>
    <mergeCell ref="K99:L99"/>
    <mergeCell ref="C100:D100"/>
    <mergeCell ref="E100:F100"/>
    <mergeCell ref="G100:J100"/>
    <mergeCell ref="K100:L100"/>
    <mergeCell ref="C95:D95"/>
    <mergeCell ref="E95:F95"/>
    <mergeCell ref="G95:J95"/>
    <mergeCell ref="K95:L95"/>
    <mergeCell ref="C96:D96"/>
    <mergeCell ref="E96:F96"/>
    <mergeCell ref="G96:J96"/>
    <mergeCell ref="K96:L96"/>
    <mergeCell ref="C97:D97"/>
    <mergeCell ref="E97:F97"/>
    <mergeCell ref="G97:J97"/>
    <mergeCell ref="K97:L97"/>
    <mergeCell ref="B1:N2"/>
    <mergeCell ref="C3:D3"/>
    <mergeCell ref="E3:F3"/>
    <mergeCell ref="G3:J3"/>
    <mergeCell ref="K3:L3"/>
    <mergeCell ref="C4:D4"/>
    <mergeCell ref="E4:F4"/>
    <mergeCell ref="G4:J4"/>
    <mergeCell ref="B4:B18"/>
    <mergeCell ref="K4:L18"/>
    <mergeCell ref="C5:D5"/>
    <mergeCell ref="E5:F5"/>
    <mergeCell ref="G5:J5"/>
    <mergeCell ref="C6:D6"/>
    <mergeCell ref="E6:F6"/>
    <mergeCell ref="G6:J6"/>
    <mergeCell ref="C7:D7"/>
    <mergeCell ref="E7:F7"/>
    <mergeCell ref="G7:J7"/>
    <mergeCell ref="C8:D8"/>
    <mergeCell ref="E8:F8"/>
    <mergeCell ref="G8:J8"/>
    <mergeCell ref="C9:D9"/>
    <mergeCell ref="E9:F9"/>
    <mergeCell ref="G9:J9"/>
    <mergeCell ref="C10:D10"/>
    <mergeCell ref="E10:F10"/>
    <mergeCell ref="G10:J10"/>
    <mergeCell ref="C11:D11"/>
    <mergeCell ref="E11:F11"/>
    <mergeCell ref="G11:J11"/>
    <mergeCell ref="C12:D12"/>
    <mergeCell ref="E12:F12"/>
    <mergeCell ref="G12:J12"/>
    <mergeCell ref="C13:D13"/>
    <mergeCell ref="E13:F13"/>
    <mergeCell ref="G13:J13"/>
    <mergeCell ref="C14:D14"/>
    <mergeCell ref="E14:F14"/>
    <mergeCell ref="G14:J14"/>
    <mergeCell ref="C15:D15"/>
    <mergeCell ref="E15:F15"/>
    <mergeCell ref="G15:J15"/>
    <mergeCell ref="C16:D16"/>
    <mergeCell ref="E16:F16"/>
    <mergeCell ref="G16:J16"/>
    <mergeCell ref="C17:D17"/>
    <mergeCell ref="E17:F17"/>
    <mergeCell ref="G17:J17"/>
    <mergeCell ref="C18:D18"/>
    <mergeCell ref="E18:F18"/>
    <mergeCell ref="G18:J18"/>
    <mergeCell ref="C19:D19"/>
    <mergeCell ref="E19:F19"/>
    <mergeCell ref="G19:J19"/>
    <mergeCell ref="K19:L19"/>
    <mergeCell ref="C20:D20"/>
    <mergeCell ref="E20:F20"/>
    <mergeCell ref="G20:J20"/>
    <mergeCell ref="K20:L20"/>
    <mergeCell ref="C21:D21"/>
    <mergeCell ref="E21:F21"/>
    <mergeCell ref="G21:J21"/>
    <mergeCell ref="C22:D22"/>
    <mergeCell ref="E22:F22"/>
    <mergeCell ref="G22:J22"/>
    <mergeCell ref="C23:D23"/>
    <mergeCell ref="E23:F23"/>
    <mergeCell ref="G23:J23"/>
    <mergeCell ref="C24:D24"/>
    <mergeCell ref="E24:F24"/>
    <mergeCell ref="G24:J24"/>
    <mergeCell ref="C25:D25"/>
    <mergeCell ref="E25:F25"/>
    <mergeCell ref="G25:J25"/>
    <mergeCell ref="K25:L25"/>
    <mergeCell ref="C26:D26"/>
    <mergeCell ref="E26:F26"/>
    <mergeCell ref="G26:J26"/>
    <mergeCell ref="K26:L26"/>
    <mergeCell ref="C27:D27"/>
    <mergeCell ref="E27:F27"/>
    <mergeCell ref="G27:J27"/>
    <mergeCell ref="K27:L27"/>
    <mergeCell ref="C28:D28"/>
    <mergeCell ref="E28:F28"/>
    <mergeCell ref="G28:J28"/>
    <mergeCell ref="K28:L28"/>
    <mergeCell ref="C29:D29"/>
    <mergeCell ref="E29:F29"/>
    <mergeCell ref="G29:J29"/>
    <mergeCell ref="K29:L29"/>
    <mergeCell ref="C30:D30"/>
    <mergeCell ref="E30:F30"/>
    <mergeCell ref="G30:J30"/>
    <mergeCell ref="K30:L30"/>
    <mergeCell ref="C31:D31"/>
    <mergeCell ref="E31:F31"/>
    <mergeCell ref="G31:J31"/>
    <mergeCell ref="K31:L31"/>
    <mergeCell ref="C32:D32"/>
    <mergeCell ref="E32:F32"/>
    <mergeCell ref="G32:J32"/>
    <mergeCell ref="K32:L32"/>
    <mergeCell ref="C33:D33"/>
    <mergeCell ref="E33:F33"/>
    <mergeCell ref="G33:J33"/>
    <mergeCell ref="K33:L33"/>
    <mergeCell ref="C34:D34"/>
    <mergeCell ref="E34:F34"/>
    <mergeCell ref="G34:J34"/>
    <mergeCell ref="K34:L34"/>
    <mergeCell ref="C35:D35"/>
    <mergeCell ref="E35:F35"/>
    <mergeCell ref="G35:J35"/>
    <mergeCell ref="K35:L35"/>
    <mergeCell ref="C36:D36"/>
    <mergeCell ref="E36:F36"/>
    <mergeCell ref="G36:J36"/>
    <mergeCell ref="K36:L36"/>
    <mergeCell ref="C37:D37"/>
    <mergeCell ref="E37:F37"/>
    <mergeCell ref="G37:J37"/>
    <mergeCell ref="K37:L37"/>
    <mergeCell ref="C38:D38"/>
    <mergeCell ref="E38:F38"/>
    <mergeCell ref="G38:J38"/>
    <mergeCell ref="K38:L38"/>
    <mergeCell ref="C39:D39"/>
    <mergeCell ref="E39:F39"/>
    <mergeCell ref="G39:J39"/>
    <mergeCell ref="K39:L39"/>
    <mergeCell ref="C40:D40"/>
    <mergeCell ref="E40:F40"/>
    <mergeCell ref="G40:J40"/>
    <mergeCell ref="K40:L40"/>
    <mergeCell ref="C41:D41"/>
    <mergeCell ref="E41:F41"/>
    <mergeCell ref="G41:J41"/>
    <mergeCell ref="K41:L41"/>
    <mergeCell ref="C42:D42"/>
    <mergeCell ref="E42:F42"/>
    <mergeCell ref="G42:J42"/>
    <mergeCell ref="K42:L42"/>
    <mergeCell ref="C43:D43"/>
    <mergeCell ref="E43:F43"/>
    <mergeCell ref="G43:J43"/>
    <mergeCell ref="K43:L43"/>
    <mergeCell ref="C44:D44"/>
    <mergeCell ref="E44:F44"/>
    <mergeCell ref="G44:J44"/>
    <mergeCell ref="K44:L44"/>
    <mergeCell ref="C45:D45"/>
    <mergeCell ref="E45:F45"/>
    <mergeCell ref="G45:J45"/>
    <mergeCell ref="K45:L45"/>
    <mergeCell ref="C46:D46"/>
    <mergeCell ref="E46:F46"/>
    <mergeCell ref="G46:J46"/>
    <mergeCell ref="K46:L46"/>
    <mergeCell ref="C47:D47"/>
    <mergeCell ref="E47:F47"/>
    <mergeCell ref="G47:J47"/>
    <mergeCell ref="K47:L47"/>
    <mergeCell ref="C48:D48"/>
    <mergeCell ref="E48:F48"/>
    <mergeCell ref="G48:J48"/>
    <mergeCell ref="K48:L48"/>
    <mergeCell ref="C49:D49"/>
    <mergeCell ref="E49:F49"/>
    <mergeCell ref="G49:J49"/>
    <mergeCell ref="K49:L49"/>
    <mergeCell ref="C50:D50"/>
    <mergeCell ref="E50:F50"/>
    <mergeCell ref="G50:J50"/>
    <mergeCell ref="K50:L50"/>
    <mergeCell ref="C51:D51"/>
    <mergeCell ref="E51:F51"/>
    <mergeCell ref="G51:J51"/>
    <mergeCell ref="K51:L51"/>
    <mergeCell ref="C52:D52"/>
    <mergeCell ref="E52:F52"/>
    <mergeCell ref="G52:J52"/>
    <mergeCell ref="K52:L52"/>
    <mergeCell ref="C53:D53"/>
    <mergeCell ref="E53:F53"/>
    <mergeCell ref="G53:J53"/>
    <mergeCell ref="K53:L53"/>
    <mergeCell ref="C54:D54"/>
    <mergeCell ref="E54:F54"/>
    <mergeCell ref="G54:J54"/>
    <mergeCell ref="K54:L54"/>
    <mergeCell ref="C55:D55"/>
    <mergeCell ref="E55:F55"/>
    <mergeCell ref="G55:J55"/>
    <mergeCell ref="K55:L55"/>
    <mergeCell ref="C56:D56"/>
    <mergeCell ref="E56:F56"/>
    <mergeCell ref="G56:J56"/>
    <mergeCell ref="K56:L56"/>
    <mergeCell ref="C57:D57"/>
    <mergeCell ref="E57:F57"/>
    <mergeCell ref="G57:J57"/>
    <mergeCell ref="K57:L57"/>
    <mergeCell ref="C58:D58"/>
    <mergeCell ref="E58:F58"/>
    <mergeCell ref="G58:J58"/>
    <mergeCell ref="K58:L58"/>
    <mergeCell ref="C59:D59"/>
    <mergeCell ref="E59:F59"/>
    <mergeCell ref="G59:J59"/>
    <mergeCell ref="K59:L59"/>
    <mergeCell ref="C60:D60"/>
    <mergeCell ref="E60:F60"/>
    <mergeCell ref="G60:J60"/>
    <mergeCell ref="K60:L60"/>
    <mergeCell ref="C61:D61"/>
    <mergeCell ref="E61:F61"/>
    <mergeCell ref="G61:J61"/>
    <mergeCell ref="K61:L61"/>
    <mergeCell ref="C62:D62"/>
    <mergeCell ref="E62:F62"/>
    <mergeCell ref="G62:J62"/>
    <mergeCell ref="K62:L62"/>
    <mergeCell ref="C63:D63"/>
    <mergeCell ref="E63:F63"/>
    <mergeCell ref="G63:J63"/>
    <mergeCell ref="K63:L63"/>
    <mergeCell ref="C64:D64"/>
    <mergeCell ref="E64:F64"/>
    <mergeCell ref="G64:J64"/>
    <mergeCell ref="K64:L64"/>
    <mergeCell ref="C65:D65"/>
    <mergeCell ref="E65:F65"/>
    <mergeCell ref="G65:J65"/>
    <mergeCell ref="K65:L65"/>
    <mergeCell ref="C66:D66"/>
    <mergeCell ref="E66:F66"/>
    <mergeCell ref="G66:J66"/>
    <mergeCell ref="K66:L66"/>
    <mergeCell ref="C67:D67"/>
    <mergeCell ref="E67:F67"/>
    <mergeCell ref="G67:J67"/>
    <mergeCell ref="K67:L67"/>
    <mergeCell ref="C68:D68"/>
    <mergeCell ref="E68:F68"/>
    <mergeCell ref="G68:J68"/>
    <mergeCell ref="K68:L68"/>
    <mergeCell ref="C69:D69"/>
    <mergeCell ref="E69:F69"/>
    <mergeCell ref="G69:J69"/>
    <mergeCell ref="K69:L69"/>
    <mergeCell ref="C70:D70"/>
    <mergeCell ref="E70:F70"/>
    <mergeCell ref="G70:J70"/>
    <mergeCell ref="K70:L70"/>
    <mergeCell ref="C71:D71"/>
    <mergeCell ref="E71:F71"/>
    <mergeCell ref="G71:J71"/>
    <mergeCell ref="K71:L71"/>
    <mergeCell ref="C72:D72"/>
    <mergeCell ref="E72:F72"/>
    <mergeCell ref="G72:J72"/>
    <mergeCell ref="K72:L72"/>
    <mergeCell ref="C73:D73"/>
    <mergeCell ref="E73:F73"/>
    <mergeCell ref="G73:J73"/>
    <mergeCell ref="K73:L73"/>
    <mergeCell ref="C74:D74"/>
    <mergeCell ref="E74:F74"/>
    <mergeCell ref="G74:J74"/>
    <mergeCell ref="K74:L74"/>
    <mergeCell ref="C75:D75"/>
    <mergeCell ref="E75:F75"/>
    <mergeCell ref="G75:J75"/>
    <mergeCell ref="K75:L75"/>
    <mergeCell ref="C76:D76"/>
    <mergeCell ref="E76:F76"/>
    <mergeCell ref="G76:J76"/>
    <mergeCell ref="K76:L76"/>
    <mergeCell ref="C77:D77"/>
    <mergeCell ref="E77:F77"/>
    <mergeCell ref="G77:J77"/>
    <mergeCell ref="K77:L77"/>
    <mergeCell ref="C78:D78"/>
    <mergeCell ref="E78:F78"/>
    <mergeCell ref="G78:J78"/>
    <mergeCell ref="K78:L78"/>
    <mergeCell ref="C79:D79"/>
    <mergeCell ref="E79:F79"/>
    <mergeCell ref="G79:J79"/>
    <mergeCell ref="K79:L79"/>
    <mergeCell ref="C80:D80"/>
    <mergeCell ref="E80:F80"/>
    <mergeCell ref="G80:J80"/>
    <mergeCell ref="K80:L80"/>
    <mergeCell ref="C81:D81"/>
    <mergeCell ref="E81:F81"/>
    <mergeCell ref="G81:J81"/>
    <mergeCell ref="K81:L81"/>
    <mergeCell ref="C82:D82"/>
    <mergeCell ref="E82:F82"/>
    <mergeCell ref="G82:J82"/>
    <mergeCell ref="K82:L82"/>
    <mergeCell ref="C83:D83"/>
    <mergeCell ref="E83:F83"/>
    <mergeCell ref="G83:J83"/>
    <mergeCell ref="K83:L83"/>
    <mergeCell ref="C84:D84"/>
    <mergeCell ref="E84:F84"/>
    <mergeCell ref="G84:J84"/>
    <mergeCell ref="K84:L84"/>
    <mergeCell ref="C85:D85"/>
    <mergeCell ref="E85:F85"/>
    <mergeCell ref="G85:J85"/>
    <mergeCell ref="K85:L85"/>
    <mergeCell ref="C86:D86"/>
    <mergeCell ref="E86:F86"/>
    <mergeCell ref="G86:J86"/>
    <mergeCell ref="K86:L86"/>
    <mergeCell ref="C87:D87"/>
    <mergeCell ref="E87:F87"/>
    <mergeCell ref="G87:J87"/>
    <mergeCell ref="K87:L87"/>
    <mergeCell ref="C88:D88"/>
    <mergeCell ref="E88:F88"/>
    <mergeCell ref="G88:J88"/>
    <mergeCell ref="K88:L88"/>
    <mergeCell ref="C89:D89"/>
    <mergeCell ref="E89:F89"/>
    <mergeCell ref="G89:J89"/>
    <mergeCell ref="K89:L89"/>
    <mergeCell ref="C90:D90"/>
    <mergeCell ref="E90:F90"/>
    <mergeCell ref="G90:J90"/>
    <mergeCell ref="K90:L90"/>
    <mergeCell ref="C94:D94"/>
    <mergeCell ref="E94:F94"/>
    <mergeCell ref="G94:J94"/>
    <mergeCell ref="K94:L94"/>
    <mergeCell ref="C91:D91"/>
    <mergeCell ref="E91:F91"/>
    <mergeCell ref="G91:J91"/>
    <mergeCell ref="K91:L91"/>
    <mergeCell ref="C92:D92"/>
    <mergeCell ref="E92:F92"/>
    <mergeCell ref="G92:J92"/>
    <mergeCell ref="K92:L92"/>
    <mergeCell ref="C93:D93"/>
    <mergeCell ref="E93:F93"/>
    <mergeCell ref="G93:J93"/>
    <mergeCell ref="K93:L93"/>
  </mergeCells>
  <phoneticPr fontId="95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2F3A4A"/>
  </sheetPr>
  <dimension ref="A1:M217"/>
  <sheetViews>
    <sheetView showGridLines="0" topLeftCell="A49" zoomScale="90" zoomScaleNormal="90" workbookViewId="0">
      <selection activeCell="N88" sqref="N88"/>
    </sheetView>
  </sheetViews>
  <sheetFormatPr defaultColWidth="8.6640625" defaultRowHeight="14.4" x14ac:dyDescent="0.3"/>
  <cols>
    <col min="1" max="1" width="32.6640625" customWidth="1"/>
    <col min="2" max="2" width="28" customWidth="1"/>
    <col min="3" max="3" width="14" customWidth="1"/>
    <col min="4" max="4" width="13" customWidth="1"/>
    <col min="5" max="5" width="10" customWidth="1"/>
    <col min="6" max="8" width="13" customWidth="1"/>
    <col min="9" max="9" width="16.6640625" customWidth="1"/>
    <col min="10" max="13" width="12" hidden="1" customWidth="1"/>
  </cols>
  <sheetData>
    <row r="1" spans="1:13" ht="21.75" customHeight="1" x14ac:dyDescent="0.3">
      <c r="A1" s="609" t="s">
        <v>197</v>
      </c>
      <c r="B1" s="609"/>
      <c r="C1" s="609"/>
      <c r="D1" s="609"/>
      <c r="E1" s="609"/>
      <c r="F1" s="609"/>
      <c r="G1" s="609"/>
      <c r="H1" s="609"/>
      <c r="I1" s="609"/>
      <c r="J1" t="s">
        <v>198</v>
      </c>
      <c r="K1" t="s">
        <v>199</v>
      </c>
      <c r="L1" t="s">
        <v>200</v>
      </c>
      <c r="M1" t="s">
        <v>201</v>
      </c>
    </row>
    <row r="2" spans="1:13" ht="18" customHeight="1" x14ac:dyDescent="0.3">
      <c r="A2" s="610" t="s">
        <v>202</v>
      </c>
      <c r="B2" s="610"/>
      <c r="C2" s="610"/>
      <c r="D2" s="610"/>
      <c r="E2" s="610"/>
      <c r="F2" s="610"/>
      <c r="G2" s="610" t="s">
        <v>203</v>
      </c>
      <c r="H2" s="610"/>
      <c r="I2" s="610"/>
    </row>
    <row r="3" spans="1:13" ht="15" customHeight="1" x14ac:dyDescent="0.3">
      <c r="A3" s="30">
        <v>46174</v>
      </c>
      <c r="B3" s="186" t="s">
        <v>78</v>
      </c>
      <c r="C3" s="187" t="s">
        <v>205</v>
      </c>
      <c r="D3" s="188" t="s">
        <v>206</v>
      </c>
      <c r="E3" s="188" t="s">
        <v>207</v>
      </c>
      <c r="F3" s="189" t="s">
        <v>208</v>
      </c>
      <c r="G3" s="188" t="s">
        <v>209</v>
      </c>
      <c r="H3" s="188" t="s">
        <v>210</v>
      </c>
      <c r="I3" s="188" t="s">
        <v>211</v>
      </c>
    </row>
    <row r="4" spans="1:13" ht="21" customHeight="1" x14ac:dyDescent="0.3">
      <c r="A4" s="190"/>
      <c r="B4" s="191" t="s">
        <v>537</v>
      </c>
      <c r="C4" s="192">
        <v>600</v>
      </c>
      <c r="D4" s="193">
        <v>3990</v>
      </c>
      <c r="E4" s="194" t="s">
        <v>214</v>
      </c>
      <c r="F4" s="195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>190</v>
      </c>
      <c r="G4" s="196">
        <f>IFERROR(ROUNDUP(D4/F4,0),"")</f>
        <v>21</v>
      </c>
      <c r="H4" s="197">
        <v>1463</v>
      </c>
      <c r="I4" s="193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>8778</v>
      </c>
    </row>
    <row r="5" spans="1:13" ht="21" customHeight="1" x14ac:dyDescent="0.3">
      <c r="A5" s="190"/>
      <c r="B5" s="191"/>
      <c r="C5" s="192"/>
      <c r="D5" s="193"/>
      <c r="E5" s="194" t="s">
        <v>214</v>
      </c>
      <c r="F5" s="195" t="str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196" t="str">
        <f>IFERROR(ROUNDUP(D5/F5,0),"")</f>
        <v/>
      </c>
      <c r="H5" s="197"/>
      <c r="I5" s="193" t="str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</row>
    <row r="6" spans="1:13" ht="21" customHeight="1" x14ac:dyDescent="0.3">
      <c r="A6" s="190"/>
      <c r="B6" s="191"/>
      <c r="C6" s="192"/>
      <c r="D6" s="193"/>
      <c r="E6" s="194" t="s">
        <v>214</v>
      </c>
      <c r="F6" s="195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196" t="str">
        <f>IFERROR(ROUNDUP(D6/F6,0),"")</f>
        <v/>
      </c>
      <c r="H6" s="197"/>
      <c r="I6" s="193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</row>
    <row r="7" spans="1:13" ht="21" customHeight="1" x14ac:dyDescent="0.3">
      <c r="A7" s="190"/>
      <c r="B7" s="191"/>
      <c r="C7" s="192"/>
      <c r="D7" s="193"/>
      <c r="E7" s="194" t="s">
        <v>214</v>
      </c>
      <c r="F7" s="195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196" t="str">
        <f>IFERROR(ROUNDUP(D7/F7,0),"")</f>
        <v/>
      </c>
      <c r="H7" s="197"/>
      <c r="I7" s="193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</row>
    <row r="8" spans="1:13" ht="21" customHeight="1" x14ac:dyDescent="0.3">
      <c r="A8" s="190"/>
      <c r="B8" s="191"/>
      <c r="C8" s="192"/>
      <c r="D8" s="193"/>
      <c r="E8" s="194" t="s">
        <v>214</v>
      </c>
      <c r="F8" s="195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196" t="str">
        <f>IFERROR(ROUNDUP(D8/F8,0),"")</f>
        <v/>
      </c>
      <c r="H8" s="197"/>
      <c r="I8" s="193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</row>
    <row r="9" spans="1:13" ht="15" customHeight="1" x14ac:dyDescent="0.3">
      <c r="A9" s="198"/>
      <c r="B9" s="199" t="s">
        <v>216</v>
      </c>
      <c r="C9" s="200"/>
      <c r="D9" s="201">
        <f>SUM(D2:D8)</f>
        <v>3990</v>
      </c>
      <c r="E9" s="202"/>
      <c r="F9" s="202"/>
      <c r="G9" s="203">
        <f>SUM(G2:G8)</f>
        <v>21</v>
      </c>
      <c r="H9" s="201">
        <f>SUM(H2:H8)</f>
        <v>1463</v>
      </c>
      <c r="I9" s="201">
        <f>SUM(I2:I8)</f>
        <v>8778</v>
      </c>
      <c r="J9" s="28">
        <f>D9</f>
        <v>3990</v>
      </c>
      <c r="K9" s="106">
        <f>G9</f>
        <v>21</v>
      </c>
      <c r="L9" s="28">
        <f>H9</f>
        <v>1463</v>
      </c>
      <c r="M9" s="28">
        <f>I9</f>
        <v>8778</v>
      </c>
    </row>
    <row r="10" spans="1:13" ht="6" customHeight="1" x14ac:dyDescent="0.3">
      <c r="C10" s="72"/>
    </row>
    <row r="11" spans="1:13" ht="15" customHeight="1" x14ac:dyDescent="0.3">
      <c r="A11" s="30">
        <v>46175</v>
      </c>
      <c r="B11" s="186" t="s">
        <v>78</v>
      </c>
      <c r="C11" s="187" t="s">
        <v>205</v>
      </c>
      <c r="D11" s="188" t="s">
        <v>206</v>
      </c>
      <c r="E11" s="188" t="s">
        <v>207</v>
      </c>
      <c r="F11" s="189" t="s">
        <v>208</v>
      </c>
      <c r="G11" s="188" t="s">
        <v>209</v>
      </c>
      <c r="H11" s="188" t="s">
        <v>210</v>
      </c>
      <c r="I11" s="188" t="s">
        <v>211</v>
      </c>
    </row>
    <row r="12" spans="1:13" ht="21" customHeight="1" x14ac:dyDescent="0.3">
      <c r="A12" s="190"/>
      <c r="B12" s="469" t="s">
        <v>537</v>
      </c>
      <c r="C12" s="192">
        <v>600</v>
      </c>
      <c r="D12" s="193">
        <f>D4-H4</f>
        <v>2527</v>
      </c>
      <c r="E12" s="194" t="s">
        <v>214</v>
      </c>
      <c r="F12" s="195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>190</v>
      </c>
      <c r="G12" s="196">
        <f>IFERROR(ROUNDUP(D12/F12,0),"")</f>
        <v>14</v>
      </c>
      <c r="H12" s="197">
        <v>1416</v>
      </c>
      <c r="I12" s="193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>8496</v>
      </c>
    </row>
    <row r="13" spans="1:13" ht="21" customHeight="1" x14ac:dyDescent="0.3">
      <c r="A13" s="190"/>
      <c r="B13" s="191"/>
      <c r="C13" s="192"/>
      <c r="D13" s="193"/>
      <c r="E13" s="194" t="s">
        <v>214</v>
      </c>
      <c r="F13" s="195" t="str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196" t="str">
        <f>IFERROR(ROUNDUP(D13/F13,0),"")</f>
        <v/>
      </c>
      <c r="H13" s="197"/>
      <c r="I13" s="193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21" customHeight="1" x14ac:dyDescent="0.3">
      <c r="A14" s="190"/>
      <c r="B14" s="191"/>
      <c r="C14" s="192"/>
      <c r="D14" s="193"/>
      <c r="E14" s="194" t="s">
        <v>214</v>
      </c>
      <c r="F14" s="195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196" t="str">
        <f>IFERROR(ROUNDUP(D14/F14,0),"")</f>
        <v/>
      </c>
      <c r="H14" s="197"/>
      <c r="I14" s="193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</row>
    <row r="15" spans="1:13" ht="21" customHeight="1" x14ac:dyDescent="0.3">
      <c r="A15" s="190"/>
      <c r="B15" s="191"/>
      <c r="C15" s="192"/>
      <c r="D15" s="193"/>
      <c r="E15" s="194" t="s">
        <v>214</v>
      </c>
      <c r="F15" s="195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196" t="str">
        <f>IFERROR(ROUNDUP(D15/F15,0),"")</f>
        <v/>
      </c>
      <c r="H15" s="197"/>
      <c r="I15" s="193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3">
      <c r="A16" s="190"/>
      <c r="B16" s="191"/>
      <c r="C16" s="192"/>
      <c r="D16" s="193"/>
      <c r="E16" s="194" t="s">
        <v>214</v>
      </c>
      <c r="F16" s="195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196" t="str">
        <f>IFERROR(ROUNDUP(D16/F16,0),"")</f>
        <v/>
      </c>
      <c r="H16" s="197"/>
      <c r="I16" s="193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15" customHeight="1" x14ac:dyDescent="0.3">
      <c r="A17" s="198"/>
      <c r="B17" s="199" t="s">
        <v>216</v>
      </c>
      <c r="C17" s="200"/>
      <c r="D17" s="201">
        <f>SUM(D10:D16)</f>
        <v>2527</v>
      </c>
      <c r="E17" s="202"/>
      <c r="F17" s="202"/>
      <c r="G17" s="203">
        <f>SUM(G10:G16)</f>
        <v>14</v>
      </c>
      <c r="H17" s="201">
        <f>SUM(H10:H16)</f>
        <v>1416</v>
      </c>
      <c r="I17" s="201">
        <f>SUM(I10:I16)</f>
        <v>8496</v>
      </c>
      <c r="J17" s="28">
        <f>D17</f>
        <v>2527</v>
      </c>
      <c r="K17" s="106">
        <f>G17</f>
        <v>14</v>
      </c>
      <c r="L17" s="28">
        <f>H17</f>
        <v>1416</v>
      </c>
      <c r="M17" s="28">
        <f>I17</f>
        <v>8496</v>
      </c>
    </row>
    <row r="18" spans="1:13" ht="6" customHeight="1" x14ac:dyDescent="0.3">
      <c r="C18" s="72"/>
    </row>
    <row r="19" spans="1:13" ht="15" customHeight="1" x14ac:dyDescent="0.3">
      <c r="A19" s="30">
        <v>46176</v>
      </c>
      <c r="B19" s="186" t="s">
        <v>78</v>
      </c>
      <c r="C19" s="187" t="s">
        <v>205</v>
      </c>
      <c r="D19" s="188" t="s">
        <v>206</v>
      </c>
      <c r="E19" s="188" t="s">
        <v>207</v>
      </c>
      <c r="F19" s="189" t="s">
        <v>208</v>
      </c>
      <c r="G19" s="188" t="s">
        <v>209</v>
      </c>
      <c r="H19" s="188" t="s">
        <v>210</v>
      </c>
      <c r="I19" s="188" t="s">
        <v>211</v>
      </c>
    </row>
    <row r="20" spans="1:13" ht="21" customHeight="1" x14ac:dyDescent="0.3">
      <c r="A20" s="190"/>
      <c r="B20" s="469" t="s">
        <v>537</v>
      </c>
      <c r="C20" s="192">
        <v>600</v>
      </c>
      <c r="D20" s="193">
        <f>D12-H12</f>
        <v>1111</v>
      </c>
      <c r="E20" s="194" t="s">
        <v>214</v>
      </c>
      <c r="F20" s="195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>190</v>
      </c>
      <c r="G20" s="196">
        <f>IFERROR(ROUNDUP(D20/F20,0),"")</f>
        <v>6</v>
      </c>
      <c r="H20" s="197">
        <v>1111</v>
      </c>
      <c r="I20" s="193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>6666</v>
      </c>
    </row>
    <row r="21" spans="1:13" ht="21" customHeight="1" x14ac:dyDescent="0.3">
      <c r="A21" s="190"/>
      <c r="B21" s="191" t="s">
        <v>543</v>
      </c>
      <c r="C21" s="192">
        <v>600</v>
      </c>
      <c r="D21" s="193">
        <v>1995</v>
      </c>
      <c r="E21" s="194" t="s">
        <v>214</v>
      </c>
      <c r="F21" s="195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>95</v>
      </c>
      <c r="G21" s="196">
        <f>IFERROR(ROUNDUP(D21/F21,0),"")</f>
        <v>21</v>
      </c>
      <c r="H21" s="197">
        <v>330</v>
      </c>
      <c r="I21" s="193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>3960</v>
      </c>
    </row>
    <row r="22" spans="1:13" ht="21" customHeight="1" x14ac:dyDescent="0.3">
      <c r="A22" s="190"/>
      <c r="B22" s="191"/>
      <c r="C22" s="192"/>
      <c r="D22" s="193"/>
      <c r="E22" s="194" t="s">
        <v>214</v>
      </c>
      <c r="F22" s="195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196" t="str">
        <f>IFERROR(ROUNDUP(D22/F22,0),"")</f>
        <v/>
      </c>
      <c r="H22" s="197"/>
      <c r="I22" s="193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</row>
    <row r="23" spans="1:13" ht="21" customHeight="1" x14ac:dyDescent="0.3">
      <c r="A23" s="190"/>
      <c r="B23" s="191"/>
      <c r="C23" s="192"/>
      <c r="D23" s="193"/>
      <c r="E23" s="194" t="s">
        <v>214</v>
      </c>
      <c r="F23" s="195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196" t="str">
        <f>IFERROR(ROUNDUP(D23/F23,0),"")</f>
        <v/>
      </c>
      <c r="H23" s="197"/>
      <c r="I23" s="193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</row>
    <row r="24" spans="1:13" ht="21" customHeight="1" x14ac:dyDescent="0.3">
      <c r="A24" s="190"/>
      <c r="B24" s="191"/>
      <c r="C24" s="192"/>
      <c r="D24" s="193"/>
      <c r="E24" s="194" t="s">
        <v>214</v>
      </c>
      <c r="F24" s="195" t="str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196" t="str">
        <f>IFERROR(ROUNDUP(D24/F24,0),"")</f>
        <v/>
      </c>
      <c r="H24" s="197"/>
      <c r="I24" s="193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</row>
    <row r="25" spans="1:13" ht="15" customHeight="1" x14ac:dyDescent="0.3">
      <c r="A25" s="198"/>
      <c r="B25" s="199" t="s">
        <v>216</v>
      </c>
      <c r="C25" s="200"/>
      <c r="D25" s="201">
        <f>SUM(D18:D24)</f>
        <v>3106</v>
      </c>
      <c r="E25" s="202"/>
      <c r="F25" s="202"/>
      <c r="G25" s="203">
        <f>SUM(G18:G24)</f>
        <v>27</v>
      </c>
      <c r="H25" s="201">
        <f>SUM(H18:H24)</f>
        <v>1441</v>
      </c>
      <c r="I25" s="201">
        <f>SUM(I18:I24)</f>
        <v>10626</v>
      </c>
      <c r="J25" s="28">
        <f>D25</f>
        <v>3106</v>
      </c>
      <c r="K25" s="106">
        <f>G25</f>
        <v>27</v>
      </c>
      <c r="L25" s="28">
        <f>H25</f>
        <v>1441</v>
      </c>
      <c r="M25" s="28">
        <f>I25</f>
        <v>10626</v>
      </c>
    </row>
    <row r="26" spans="1:13" ht="6" customHeight="1" x14ac:dyDescent="0.3">
      <c r="C26" s="72"/>
    </row>
    <row r="27" spans="1:13" ht="15" customHeight="1" x14ac:dyDescent="0.3">
      <c r="A27" s="30">
        <v>46177</v>
      </c>
      <c r="B27" s="186" t="s">
        <v>78</v>
      </c>
      <c r="C27" s="187" t="s">
        <v>205</v>
      </c>
      <c r="D27" s="188" t="s">
        <v>206</v>
      </c>
      <c r="E27" s="188" t="s">
        <v>207</v>
      </c>
      <c r="F27" s="189" t="s">
        <v>208</v>
      </c>
      <c r="G27" s="188" t="s">
        <v>209</v>
      </c>
      <c r="H27" s="188" t="s">
        <v>210</v>
      </c>
      <c r="I27" s="188" t="s">
        <v>211</v>
      </c>
    </row>
    <row r="28" spans="1:13" ht="21" customHeight="1" x14ac:dyDescent="0.3">
      <c r="A28" s="190"/>
      <c r="B28" s="191" t="s">
        <v>543</v>
      </c>
      <c r="C28" s="192">
        <v>600</v>
      </c>
      <c r="D28" s="193">
        <f>D21-H21</f>
        <v>1665</v>
      </c>
      <c r="E28" s="194" t="s">
        <v>214</v>
      </c>
      <c r="F28" s="195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>95</v>
      </c>
      <c r="G28" s="196">
        <f>IFERROR(ROUNDUP(D28/F28,0),"")</f>
        <v>18</v>
      </c>
      <c r="H28" s="197">
        <v>929</v>
      </c>
      <c r="I28" s="193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>11148</v>
      </c>
    </row>
    <row r="29" spans="1:13" ht="21" customHeight="1" x14ac:dyDescent="0.3">
      <c r="A29" s="190"/>
      <c r="B29" s="191"/>
      <c r="C29" s="192"/>
      <c r="D29" s="193"/>
      <c r="E29" s="194" t="s">
        <v>214</v>
      </c>
      <c r="F29" s="195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196" t="str">
        <f>IFERROR(ROUNDUP(D29/F29,0),"")</f>
        <v/>
      </c>
      <c r="H29" s="197"/>
      <c r="I29" s="193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</row>
    <row r="30" spans="1:13" ht="21" customHeight="1" x14ac:dyDescent="0.3">
      <c r="A30" s="190"/>
      <c r="B30" s="191"/>
      <c r="C30" s="192"/>
      <c r="D30" s="193"/>
      <c r="E30" s="194" t="s">
        <v>214</v>
      </c>
      <c r="F30" s="195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196" t="str">
        <f>IFERROR(ROUNDUP(D30/F30,0),"")</f>
        <v/>
      </c>
      <c r="H30" s="197"/>
      <c r="I30" s="193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</row>
    <row r="31" spans="1:13" ht="21" customHeight="1" x14ac:dyDescent="0.3">
      <c r="A31" s="190"/>
      <c r="B31" s="191"/>
      <c r="C31" s="192"/>
      <c r="D31" s="193"/>
      <c r="E31" s="194" t="s">
        <v>214</v>
      </c>
      <c r="F31" s="195" t="str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196" t="str">
        <f>IFERROR(ROUNDUP(D31/F31,0),"")</f>
        <v/>
      </c>
      <c r="H31" s="197"/>
      <c r="I31" s="193" t="str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</row>
    <row r="32" spans="1:13" ht="21" customHeight="1" x14ac:dyDescent="0.3">
      <c r="A32" s="190"/>
      <c r="B32" s="191"/>
      <c r="C32" s="192"/>
      <c r="D32" s="193"/>
      <c r="E32" s="194" t="s">
        <v>214</v>
      </c>
      <c r="F32" s="195" t="str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196" t="str">
        <f>IFERROR(ROUNDUP(D32/F32,0),"")</f>
        <v/>
      </c>
      <c r="H32" s="197"/>
      <c r="I32" s="193" t="str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</row>
    <row r="33" spans="1:13" ht="15" customHeight="1" x14ac:dyDescent="0.3">
      <c r="A33" s="198"/>
      <c r="B33" s="199" t="s">
        <v>216</v>
      </c>
      <c r="C33" s="200"/>
      <c r="D33" s="201">
        <f>SUM(D26:D32)</f>
        <v>1665</v>
      </c>
      <c r="E33" s="202"/>
      <c r="F33" s="202"/>
      <c r="G33" s="203">
        <f>SUM(G26:G32)</f>
        <v>18</v>
      </c>
      <c r="H33" s="201">
        <f>SUM(H26:H32)</f>
        <v>929</v>
      </c>
      <c r="I33" s="201">
        <f>SUM(I26:I32)</f>
        <v>11148</v>
      </c>
      <c r="J33" s="28">
        <f>D33</f>
        <v>1665</v>
      </c>
      <c r="K33" s="106">
        <f>G33</f>
        <v>18</v>
      </c>
      <c r="L33" s="28">
        <f>H33</f>
        <v>929</v>
      </c>
      <c r="M33" s="28">
        <f>I33</f>
        <v>11148</v>
      </c>
    </row>
    <row r="34" spans="1:13" ht="6" customHeight="1" x14ac:dyDescent="0.3">
      <c r="C34" s="72"/>
    </row>
    <row r="35" spans="1:13" ht="15" customHeight="1" x14ac:dyDescent="0.3">
      <c r="A35" s="30">
        <v>46178</v>
      </c>
      <c r="B35" s="186" t="s">
        <v>78</v>
      </c>
      <c r="C35" s="187" t="s">
        <v>205</v>
      </c>
      <c r="D35" s="188" t="s">
        <v>206</v>
      </c>
      <c r="E35" s="188" t="s">
        <v>207</v>
      </c>
      <c r="F35" s="189" t="s">
        <v>208</v>
      </c>
      <c r="G35" s="188" t="s">
        <v>209</v>
      </c>
      <c r="H35" s="188" t="s">
        <v>210</v>
      </c>
      <c r="I35" s="188" t="s">
        <v>211</v>
      </c>
    </row>
    <row r="36" spans="1:13" ht="21" customHeight="1" x14ac:dyDescent="0.3">
      <c r="A36" s="190"/>
      <c r="B36" s="191"/>
      <c r="C36" s="192"/>
      <c r="D36" s="193"/>
      <c r="E36" s="194" t="s">
        <v>214</v>
      </c>
      <c r="F36" s="195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196" t="str">
        <f>IFERROR(ROUNDUP(D36/F36,0),"")</f>
        <v/>
      </c>
      <c r="H36" s="197"/>
      <c r="I36" s="193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</row>
    <row r="37" spans="1:13" ht="21" customHeight="1" x14ac:dyDescent="0.3">
      <c r="A37" s="190"/>
      <c r="B37" s="707" t="s">
        <v>523</v>
      </c>
      <c r="C37" s="708"/>
      <c r="D37" s="709"/>
      <c r="E37" s="194" t="s">
        <v>214</v>
      </c>
      <c r="F37" s="195" t="str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196" t="str">
        <f>IFERROR(ROUNDUP(D37/F37,0),"")</f>
        <v/>
      </c>
      <c r="H37" s="197"/>
      <c r="I37" s="193" t="str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</row>
    <row r="38" spans="1:13" ht="21" customHeight="1" x14ac:dyDescent="0.3">
      <c r="A38" s="190"/>
      <c r="B38" s="710"/>
      <c r="C38" s="711"/>
      <c r="D38" s="712"/>
      <c r="E38" s="194" t="s">
        <v>214</v>
      </c>
      <c r="F38" s="195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196" t="str">
        <f>IFERROR(ROUNDUP(D38/F38,0),"")</f>
        <v/>
      </c>
      <c r="H38" s="197"/>
      <c r="I38" s="193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</row>
    <row r="39" spans="1:13" ht="21" customHeight="1" x14ac:dyDescent="0.3">
      <c r="A39" s="190"/>
      <c r="B39" s="713"/>
      <c r="C39" s="714"/>
      <c r="D39" s="715"/>
      <c r="E39" s="194" t="s">
        <v>214</v>
      </c>
      <c r="F39" s="195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196" t="str">
        <f>IFERROR(ROUNDUP(D39/F39,0),"")</f>
        <v/>
      </c>
      <c r="H39" s="197"/>
      <c r="I39" s="193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</row>
    <row r="40" spans="1:13" ht="21" customHeight="1" x14ac:dyDescent="0.3">
      <c r="A40" s="190"/>
      <c r="B40" s="191"/>
      <c r="C40" s="192"/>
      <c r="D40" s="193"/>
      <c r="E40" s="194" t="s">
        <v>214</v>
      </c>
      <c r="F40" s="195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196" t="str">
        <f>IFERROR(ROUNDUP(D40/F40,0),"")</f>
        <v/>
      </c>
      <c r="H40" s="197"/>
      <c r="I40" s="193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</row>
    <row r="41" spans="1:13" ht="15" customHeight="1" x14ac:dyDescent="0.3">
      <c r="A41" s="198"/>
      <c r="B41" s="199" t="s">
        <v>216</v>
      </c>
      <c r="C41" s="200"/>
      <c r="D41" s="201">
        <f>SUM(D34:D40)</f>
        <v>0</v>
      </c>
      <c r="E41" s="202"/>
      <c r="F41" s="202"/>
      <c r="G41" s="203">
        <f>SUM(G34:G40)</f>
        <v>0</v>
      </c>
      <c r="H41" s="201">
        <f>SUM(H34:H40)</f>
        <v>0</v>
      </c>
      <c r="I41" s="201">
        <f>SUM(I34:I40)</f>
        <v>0</v>
      </c>
      <c r="J41" s="28">
        <f>D41</f>
        <v>0</v>
      </c>
      <c r="K41" s="106">
        <f>G41</f>
        <v>0</v>
      </c>
      <c r="L41" s="28">
        <f>H41</f>
        <v>0</v>
      </c>
      <c r="M41" s="28">
        <f>I41</f>
        <v>0</v>
      </c>
    </row>
    <row r="42" spans="1:13" ht="6" customHeight="1" x14ac:dyDescent="0.3">
      <c r="C42" s="72"/>
    </row>
    <row r="43" spans="1:13" ht="15" customHeight="1" x14ac:dyDescent="0.3">
      <c r="A43" s="235">
        <v>46179</v>
      </c>
      <c r="B43" s="186" t="s">
        <v>78</v>
      </c>
      <c r="C43" s="187" t="s">
        <v>205</v>
      </c>
      <c r="D43" s="188" t="s">
        <v>206</v>
      </c>
      <c r="E43" s="188" t="s">
        <v>207</v>
      </c>
      <c r="F43" s="236" t="s">
        <v>208</v>
      </c>
      <c r="G43" s="188" t="s">
        <v>209</v>
      </c>
      <c r="H43" s="188" t="s">
        <v>210</v>
      </c>
      <c r="I43" s="188" t="s">
        <v>211</v>
      </c>
      <c r="J43" s="237"/>
      <c r="K43" s="237"/>
      <c r="L43" s="237"/>
      <c r="M43" s="237"/>
    </row>
    <row r="44" spans="1:13" ht="21" customHeight="1" x14ac:dyDescent="0.3">
      <c r="A44" s="190"/>
      <c r="B44" s="238"/>
      <c r="C44" s="239"/>
      <c r="D44" s="240"/>
      <c r="E44" s="241" t="s">
        <v>214</v>
      </c>
      <c r="F44" s="242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243" t="str">
        <f>IFERROR(ROUNDUP(D44/F44,0),"")</f>
        <v/>
      </c>
      <c r="H44" s="197"/>
      <c r="I44" s="240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  <c r="J44" s="237"/>
      <c r="K44" s="237"/>
      <c r="L44" s="237"/>
      <c r="M44" s="237"/>
    </row>
    <row r="45" spans="1:13" ht="21" customHeight="1" x14ac:dyDescent="0.3">
      <c r="A45" s="190"/>
      <c r="B45" s="716" t="s">
        <v>540</v>
      </c>
      <c r="C45" s="717"/>
      <c r="D45" s="718"/>
      <c r="E45" s="241" t="s">
        <v>214</v>
      </c>
      <c r="F45" s="242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243" t="str">
        <f>IFERROR(ROUNDUP(D45/F45,0),"")</f>
        <v/>
      </c>
      <c r="H45" s="197"/>
      <c r="I45" s="240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  <c r="J45" s="237"/>
      <c r="K45" s="237"/>
      <c r="L45" s="237"/>
      <c r="M45" s="237"/>
    </row>
    <row r="46" spans="1:13" ht="21" customHeight="1" x14ac:dyDescent="0.3">
      <c r="A46" s="190"/>
      <c r="B46" s="719"/>
      <c r="C46" s="720"/>
      <c r="D46" s="721"/>
      <c r="E46" s="241" t="s">
        <v>214</v>
      </c>
      <c r="F46" s="242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243" t="str">
        <f>IFERROR(ROUNDUP(D46/F46,0),"")</f>
        <v/>
      </c>
      <c r="H46" s="197"/>
      <c r="I46" s="240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  <c r="J46" s="237"/>
      <c r="K46" s="237"/>
      <c r="L46" s="237"/>
      <c r="M46" s="237"/>
    </row>
    <row r="47" spans="1:13" ht="21" customHeight="1" x14ac:dyDescent="0.3">
      <c r="A47" s="190"/>
      <c r="B47" s="722"/>
      <c r="C47" s="723"/>
      <c r="D47" s="724"/>
      <c r="E47" s="241" t="s">
        <v>214</v>
      </c>
      <c r="F47" s="242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243" t="str">
        <f>IFERROR(ROUNDUP(D47/F47,0),"")</f>
        <v/>
      </c>
      <c r="H47" s="197"/>
      <c r="I47" s="240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  <c r="J47" s="237"/>
      <c r="K47" s="237"/>
      <c r="L47" s="237"/>
      <c r="M47" s="237"/>
    </row>
    <row r="48" spans="1:13" ht="21" customHeight="1" x14ac:dyDescent="0.3">
      <c r="A48" s="190"/>
      <c r="B48" s="238"/>
      <c r="C48" s="239"/>
      <c r="D48" s="240"/>
      <c r="E48" s="241" t="s">
        <v>214</v>
      </c>
      <c r="F48" s="242" t="str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243" t="str">
        <f>IFERROR(ROUNDUP(D48/F48,0),"")</f>
        <v/>
      </c>
      <c r="H48" s="197"/>
      <c r="I48" s="240" t="str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  <c r="J48" s="237"/>
      <c r="K48" s="237"/>
      <c r="L48" s="237"/>
      <c r="M48" s="237"/>
    </row>
    <row r="49" spans="1:13" ht="15" customHeight="1" x14ac:dyDescent="0.3">
      <c r="A49" s="244"/>
      <c r="B49" s="199" t="s">
        <v>216</v>
      </c>
      <c r="C49" s="245"/>
      <c r="D49" s="201">
        <f>SUM(D42:D48)</f>
        <v>0</v>
      </c>
      <c r="E49" s="246"/>
      <c r="F49" s="246"/>
      <c r="G49" s="203">
        <f>SUM(G42:G48)</f>
        <v>0</v>
      </c>
      <c r="H49" s="201">
        <f>SUM(H42:H48)</f>
        <v>0</v>
      </c>
      <c r="I49" s="201">
        <f>SUM(I42:I48)</f>
        <v>0</v>
      </c>
      <c r="J49" s="247">
        <f>D49</f>
        <v>0</v>
      </c>
      <c r="K49" s="248">
        <f>G49</f>
        <v>0</v>
      </c>
      <c r="L49" s="247">
        <f>H49</f>
        <v>0</v>
      </c>
      <c r="M49" s="247">
        <f>I49</f>
        <v>0</v>
      </c>
    </row>
    <row r="50" spans="1:13" ht="6" customHeight="1" x14ac:dyDescent="0.3">
      <c r="A50" s="237"/>
      <c r="B50" s="237"/>
      <c r="C50" s="249"/>
      <c r="D50" s="237"/>
      <c r="E50" s="237"/>
      <c r="F50" s="237"/>
      <c r="G50" s="237"/>
      <c r="H50" s="237"/>
      <c r="I50" s="237"/>
      <c r="J50" s="237"/>
      <c r="K50" s="237"/>
      <c r="L50" s="237"/>
      <c r="M50" s="237"/>
    </row>
    <row r="51" spans="1:13" ht="15" customHeight="1" x14ac:dyDescent="0.3">
      <c r="A51" s="30">
        <v>46181</v>
      </c>
      <c r="B51" s="186" t="s">
        <v>78</v>
      </c>
      <c r="C51" s="187" t="s">
        <v>205</v>
      </c>
      <c r="D51" s="188" t="s">
        <v>206</v>
      </c>
      <c r="E51" s="188" t="s">
        <v>207</v>
      </c>
      <c r="F51" s="189" t="s">
        <v>208</v>
      </c>
      <c r="G51" s="188" t="s">
        <v>209</v>
      </c>
      <c r="H51" s="188" t="s">
        <v>210</v>
      </c>
      <c r="I51" s="188" t="s">
        <v>211</v>
      </c>
    </row>
    <row r="52" spans="1:13" ht="21" customHeight="1" x14ac:dyDescent="0.3">
      <c r="A52" s="190"/>
      <c r="B52" s="191" t="s">
        <v>543</v>
      </c>
      <c r="C52" s="192">
        <v>600</v>
      </c>
      <c r="D52" s="193">
        <f>D28-H28</f>
        <v>736</v>
      </c>
      <c r="E52" s="194" t="s">
        <v>214</v>
      </c>
      <c r="F52" s="195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>95</v>
      </c>
      <c r="G52" s="196">
        <f t="shared" ref="G52:G56" si="0">IFERROR(ROUNDUP(D52/F52,0),"")</f>
        <v>8</v>
      </c>
      <c r="H52" s="197"/>
      <c r="I52" s="193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</row>
    <row r="53" spans="1:13" ht="21" customHeight="1" x14ac:dyDescent="0.3">
      <c r="A53" s="190"/>
      <c r="B53" s="191"/>
      <c r="C53" s="192"/>
      <c r="D53" s="193"/>
      <c r="E53" s="194" t="s">
        <v>214</v>
      </c>
      <c r="F53" s="195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196" t="str">
        <f t="shared" si="0"/>
        <v/>
      </c>
      <c r="H53" s="197"/>
      <c r="I53" s="193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</row>
    <row r="54" spans="1:13" ht="21" customHeight="1" x14ac:dyDescent="0.3">
      <c r="A54" s="190"/>
      <c r="B54" s="191"/>
      <c r="C54" s="192"/>
      <c r="D54" s="193"/>
      <c r="E54" s="194" t="s">
        <v>214</v>
      </c>
      <c r="F54" s="195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196" t="str">
        <f t="shared" si="0"/>
        <v/>
      </c>
      <c r="H54" s="197"/>
      <c r="I54" s="193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</row>
    <row r="55" spans="1:13" ht="21" customHeight="1" x14ac:dyDescent="0.3">
      <c r="A55" s="190"/>
      <c r="B55" s="191"/>
      <c r="C55" s="192"/>
      <c r="D55" s="193"/>
      <c r="E55" s="194" t="s">
        <v>214</v>
      </c>
      <c r="F55" s="195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196" t="str">
        <f t="shared" si="0"/>
        <v/>
      </c>
      <c r="H55" s="197"/>
      <c r="I55" s="193" t="str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</row>
    <row r="56" spans="1:13" ht="21" customHeight="1" x14ac:dyDescent="0.3">
      <c r="A56" s="190"/>
      <c r="B56" s="191"/>
      <c r="C56" s="192"/>
      <c r="D56" s="193"/>
      <c r="E56" s="194" t="s">
        <v>214</v>
      </c>
      <c r="F56" s="195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196" t="str">
        <f t="shared" si="0"/>
        <v/>
      </c>
      <c r="H56" s="197"/>
      <c r="I56" s="193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15" customHeight="1" x14ac:dyDescent="0.3">
      <c r="A57" s="198"/>
      <c r="B57" s="199" t="s">
        <v>216</v>
      </c>
      <c r="C57" s="200"/>
      <c r="D57" s="201">
        <f>SUM(D50:D56)</f>
        <v>736</v>
      </c>
      <c r="E57" s="202"/>
      <c r="F57" s="202"/>
      <c r="G57" s="203">
        <f>SUM(G50:G56)</f>
        <v>8</v>
      </c>
      <c r="H57" s="201">
        <f>SUM(H50:H56)</f>
        <v>0</v>
      </c>
      <c r="I57" s="201">
        <f>SUM(I50:I56)</f>
        <v>0</v>
      </c>
      <c r="J57" s="28">
        <f>D57</f>
        <v>736</v>
      </c>
      <c r="K57" s="106">
        <f>G57</f>
        <v>8</v>
      </c>
      <c r="L57" s="28">
        <f>H57</f>
        <v>0</v>
      </c>
      <c r="M57" s="28">
        <f>I57</f>
        <v>0</v>
      </c>
    </row>
    <row r="58" spans="1:13" ht="6" customHeight="1" x14ac:dyDescent="0.3">
      <c r="C58" s="72"/>
    </row>
    <row r="59" spans="1:13" ht="15" customHeight="1" x14ac:dyDescent="0.3">
      <c r="A59" s="30">
        <v>46182</v>
      </c>
      <c r="B59" s="186" t="s">
        <v>78</v>
      </c>
      <c r="C59" s="187" t="s">
        <v>205</v>
      </c>
      <c r="D59" s="188" t="s">
        <v>206</v>
      </c>
      <c r="E59" s="188" t="s">
        <v>207</v>
      </c>
      <c r="F59" s="189" t="s">
        <v>208</v>
      </c>
      <c r="G59" s="188" t="s">
        <v>209</v>
      </c>
      <c r="H59" s="188" t="s">
        <v>210</v>
      </c>
      <c r="I59" s="188" t="s">
        <v>211</v>
      </c>
    </row>
    <row r="60" spans="1:13" ht="21" customHeight="1" x14ac:dyDescent="0.3">
      <c r="A60" s="190"/>
      <c r="B60" s="191"/>
      <c r="C60" s="192"/>
      <c r="D60" s="193"/>
      <c r="E60" s="194" t="s">
        <v>214</v>
      </c>
      <c r="F60" s="195" t="str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196" t="str">
        <f t="shared" ref="G60:G65" si="1">IFERROR(ROUNDUP(D60/F60,0),"")</f>
        <v/>
      </c>
      <c r="H60" s="197"/>
      <c r="I60" s="193" t="str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</row>
    <row r="61" spans="1:13" ht="21" customHeight="1" x14ac:dyDescent="0.3">
      <c r="A61" s="190"/>
      <c r="B61" s="191" t="s">
        <v>544</v>
      </c>
      <c r="C61" s="192">
        <v>600</v>
      </c>
      <c r="D61" s="193">
        <v>665</v>
      </c>
      <c r="E61" s="194" t="s">
        <v>214</v>
      </c>
      <c r="F61" s="195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>95</v>
      </c>
      <c r="G61" s="196">
        <f t="shared" si="1"/>
        <v>7</v>
      </c>
      <c r="H61" s="197"/>
      <c r="I61" s="193" t="str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</row>
    <row r="62" spans="1:13" ht="21" customHeight="1" x14ac:dyDescent="0.3">
      <c r="A62" s="190"/>
      <c r="B62" s="191" t="s">
        <v>54</v>
      </c>
      <c r="C62" s="192">
        <v>600</v>
      </c>
      <c r="D62" s="193">
        <v>1330</v>
      </c>
      <c r="E62" s="194" t="s">
        <v>214</v>
      </c>
      <c r="F62" s="195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>95</v>
      </c>
      <c r="G62" s="196">
        <f t="shared" si="1"/>
        <v>14</v>
      </c>
      <c r="H62" s="197"/>
      <c r="I62" s="193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3" ht="21" customHeight="1" x14ac:dyDescent="0.3">
      <c r="A63" s="190"/>
      <c r="B63" s="191"/>
      <c r="C63" s="192"/>
      <c r="D63" s="193"/>
      <c r="E63" s="194" t="s">
        <v>214</v>
      </c>
      <c r="F63" s="195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196" t="str">
        <f t="shared" si="1"/>
        <v/>
      </c>
      <c r="H63" s="197"/>
      <c r="I63" s="193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3">
      <c r="A64" s="190"/>
      <c r="B64" s="191"/>
      <c r="C64" s="192"/>
      <c r="D64" s="193"/>
      <c r="E64" s="194" t="s">
        <v>214</v>
      </c>
      <c r="F64" s="195" t="str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196" t="str">
        <f t="shared" si="1"/>
        <v/>
      </c>
      <c r="H64" s="197"/>
      <c r="I64" s="193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21" customHeight="1" x14ac:dyDescent="0.3">
      <c r="A65" s="190"/>
      <c r="B65" s="191"/>
      <c r="C65" s="192"/>
      <c r="D65" s="193"/>
      <c r="E65" s="194" t="s">
        <v>214</v>
      </c>
      <c r="F65" s="195" t="str">
        <f>IF($B65="","",IF(SUMIFS(CONFIG_PALLETS!$C:$C,CONFIG_PALLETS!$A:$A,TRIM($B65),CONFIG_PALLETS!$B:$B,$C65&amp;" ml")&gt;0,SUMIFS(CONFIG_PALLETS!$C:$C,CONFIG_PALLETS!$A:$A,TRIM($B65),CONFIG_PALLETS!$B:$B,$C65&amp;" ml"),IF(SUMIFS(CONFIG_PALLETS!$C:$C,CONFIG_PALLETS!$A:$A,"GERAL",CONFIG_PALLETS!$B:$B,$C65&amp;" ml")&gt;0,SUMIFS(CONFIG_PALLETS!$C:$C,CONFIG_PALLETS!$A:$A,"GERAL",CONFIG_PALLETS!$B:$B,$C65&amp;" ml"),"")))</f>
        <v/>
      </c>
      <c r="G65" s="196" t="str">
        <f t="shared" si="1"/>
        <v/>
      </c>
      <c r="H65" s="197"/>
      <c r="I65" s="193" t="str">
        <f>IF(H65="","",H65*IF(SUMIFS(CONFIG_PALLETS!$D:$D,CONFIG_PALLETS!$A:$A,IF(ISNUMBER(SEARCH("ESPUMA",$B65)),"ESPUMA",IF(OR(ISNUMBER(SEARCH("OLEO DE COCO",$B65)),ISNUMBER(SEARCH("ÓLEO DE COCO",$B65)),ISNUMBER(SEARCH("COPRA",$B65))),"ÓLEO DE COCO",IF(ISNUMBER(SEARCH("CORANTE",$B65)),"CORANTE",TRIM($B65)))),CONFIG_PALLETS!$B:$B,$C65&amp;" ml")&gt;0,SUMIFS(CONFIG_PALLETS!$D:$D,CONFIG_PALLETS!$A:$A,IF(ISNUMBER(SEARCH("ESPUMA",$B65)),"ESPUMA",IF(OR(ISNUMBER(SEARCH("OLEO DE COCO",$B65)),ISNUMBER(SEARCH("ÓLEO DE COCO",$B65)),ISNUMBER(SEARCH("COPRA",$B65))),"ÓLEO DE COCO",IF(ISNUMBER(SEARCH("CORANTE",$B65)),"CORANTE",TRIM($B65)))),CONFIG_PALLETS!$B:$B,$C65&amp;" ml"),IF(SUMIFS(CONFIG_PALLETS!$D:$D,CONFIG_PALLETS!$A:$A,"GERAL",CONFIG_PALLETS!$B:$B,$C65&amp;" ml")&gt;0,SUMIFS(CONFIG_PALLETS!$D:$D,CONFIG_PALLETS!$A:$A,"GERAL",CONFIG_PALLETS!$B:$B,$C65&amp;" ml"),12)))</f>
        <v/>
      </c>
    </row>
    <row r="66" spans="1:13" ht="15" customHeight="1" x14ac:dyDescent="0.3">
      <c r="A66" s="198"/>
      <c r="B66" s="199" t="s">
        <v>216</v>
      </c>
      <c r="C66" s="200"/>
      <c r="D66" s="201">
        <f>SUM(D58:D65)</f>
        <v>1995</v>
      </c>
      <c r="E66" s="202"/>
      <c r="F66" s="202"/>
      <c r="G66" s="203">
        <f>SUM(G58:G65)</f>
        <v>21</v>
      </c>
      <c r="H66" s="201">
        <f>SUM(H58:H65)</f>
        <v>0</v>
      </c>
      <c r="I66" s="201">
        <f>SUM(I58:I65)</f>
        <v>0</v>
      </c>
      <c r="J66" s="28">
        <f>D66</f>
        <v>1995</v>
      </c>
      <c r="K66" s="106">
        <f>G66</f>
        <v>21</v>
      </c>
      <c r="L66" s="28">
        <f>H66</f>
        <v>0</v>
      </c>
      <c r="M66" s="28">
        <f>I66</f>
        <v>0</v>
      </c>
    </row>
    <row r="67" spans="1:13" ht="6" customHeight="1" x14ac:dyDescent="0.3">
      <c r="C67" s="72"/>
    </row>
    <row r="68" spans="1:13" ht="15" customHeight="1" x14ac:dyDescent="0.3">
      <c r="A68" s="30">
        <v>46183</v>
      </c>
      <c r="B68" s="186" t="s">
        <v>78</v>
      </c>
      <c r="C68" s="187" t="s">
        <v>205</v>
      </c>
      <c r="D68" s="188" t="s">
        <v>206</v>
      </c>
      <c r="E68" s="188" t="s">
        <v>207</v>
      </c>
      <c r="F68" s="189" t="s">
        <v>208</v>
      </c>
      <c r="G68" s="188" t="s">
        <v>209</v>
      </c>
      <c r="H68" s="188" t="s">
        <v>210</v>
      </c>
      <c r="I68" s="188" t="s">
        <v>211</v>
      </c>
    </row>
    <row r="69" spans="1:13" ht="21" customHeight="1" x14ac:dyDescent="0.3">
      <c r="A69" s="190"/>
      <c r="B69" s="191"/>
      <c r="C69" s="192"/>
      <c r="D69" s="193"/>
      <c r="E69" s="194" t="s">
        <v>214</v>
      </c>
      <c r="F69" s="195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196" t="str">
        <f t="shared" ref="G69:G74" si="2">IFERROR(ROUNDUP(D69/F69,0),"")</f>
        <v/>
      </c>
      <c r="H69" s="197"/>
      <c r="I69" s="193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</row>
    <row r="70" spans="1:13" ht="21" customHeight="1" x14ac:dyDescent="0.3">
      <c r="A70" s="190"/>
      <c r="B70" s="191" t="s">
        <v>1346</v>
      </c>
      <c r="C70" s="192">
        <v>600</v>
      </c>
      <c r="D70" s="193">
        <v>200</v>
      </c>
      <c r="E70" s="194" t="s">
        <v>214</v>
      </c>
      <c r="F70" s="195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>95</v>
      </c>
      <c r="G70" s="196">
        <f t="shared" si="2"/>
        <v>3</v>
      </c>
      <c r="H70" s="197"/>
      <c r="I70" s="193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</row>
    <row r="71" spans="1:13" ht="21" customHeight="1" x14ac:dyDescent="0.3">
      <c r="A71" s="190"/>
      <c r="B71" s="191" t="s">
        <v>537</v>
      </c>
      <c r="C71" s="192">
        <v>600</v>
      </c>
      <c r="D71" s="193">
        <v>3420</v>
      </c>
      <c r="E71" s="194" t="s">
        <v>214</v>
      </c>
      <c r="F71" s="195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>190</v>
      </c>
      <c r="G71" s="196">
        <f t="shared" si="2"/>
        <v>18</v>
      </c>
      <c r="H71" s="197"/>
      <c r="I71" s="193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</row>
    <row r="72" spans="1:13" ht="21" customHeight="1" x14ac:dyDescent="0.3">
      <c r="A72" s="190"/>
      <c r="B72" s="191"/>
      <c r="C72" s="192"/>
      <c r="D72" s="193"/>
      <c r="E72" s="194" t="s">
        <v>214</v>
      </c>
      <c r="F72" s="195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196" t="str">
        <f t="shared" si="2"/>
        <v/>
      </c>
      <c r="H72" s="197"/>
      <c r="I72" s="193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21" customHeight="1" x14ac:dyDescent="0.3">
      <c r="A73" s="190"/>
      <c r="B73" s="191"/>
      <c r="C73" s="192"/>
      <c r="D73" s="193"/>
      <c r="E73" s="194" t="s">
        <v>214</v>
      </c>
      <c r="F73" s="195" t="str">
        <f>IF($B73="","",IF(SUMIFS(CONFIG_PALLETS!$C:$C,CONFIG_PALLETS!$A:$A,TRIM($B73),CONFIG_PALLETS!$B:$B,$C73&amp;" ml")&gt;0,SUMIFS(CONFIG_PALLETS!$C:$C,CONFIG_PALLETS!$A:$A,TRIM($B73),CONFIG_PALLETS!$B:$B,$C73&amp;" ml"),IF(SUMIFS(CONFIG_PALLETS!$C:$C,CONFIG_PALLETS!$A:$A,"GERAL",CONFIG_PALLETS!$B:$B,$C73&amp;" ml")&gt;0,SUMIFS(CONFIG_PALLETS!$C:$C,CONFIG_PALLETS!$A:$A,"GERAL",CONFIG_PALLETS!$B:$B,$C73&amp;" ml"),"")))</f>
        <v/>
      </c>
      <c r="G73" s="196" t="str">
        <f t="shared" si="2"/>
        <v/>
      </c>
      <c r="H73" s="197"/>
      <c r="I73" s="193" t="str">
        <f>IF(H73="","",H73*IF(SUMIFS(CONFIG_PALLETS!$D:$D,CONFIG_PALLETS!$A:$A,IF(ISNUMBER(SEARCH("ESPUMA",$B73)),"ESPUMA",IF(OR(ISNUMBER(SEARCH("OLEO DE COCO",$B73)),ISNUMBER(SEARCH("ÓLEO DE COCO",$B73)),ISNUMBER(SEARCH("COPRA",$B73))),"ÓLEO DE COCO",IF(ISNUMBER(SEARCH("CORANTE",$B73)),"CORANTE",TRIM($B73)))),CONFIG_PALLETS!$B:$B,$C73&amp;" ml")&gt;0,SUMIFS(CONFIG_PALLETS!$D:$D,CONFIG_PALLETS!$A:$A,IF(ISNUMBER(SEARCH("ESPUMA",$B73)),"ESPUMA",IF(OR(ISNUMBER(SEARCH("OLEO DE COCO",$B73)),ISNUMBER(SEARCH("ÓLEO DE COCO",$B73)),ISNUMBER(SEARCH("COPRA",$B73))),"ÓLEO DE COCO",IF(ISNUMBER(SEARCH("CORANTE",$B73)),"CORANTE",TRIM($B73)))),CONFIG_PALLETS!$B:$B,$C73&amp;" ml"),IF(SUMIFS(CONFIG_PALLETS!$D:$D,CONFIG_PALLETS!$A:$A,"GERAL",CONFIG_PALLETS!$B:$B,$C73&amp;" ml")&gt;0,SUMIFS(CONFIG_PALLETS!$D:$D,CONFIG_PALLETS!$A:$A,"GERAL",CONFIG_PALLETS!$B:$B,$C73&amp;" ml"),12)))</f>
        <v/>
      </c>
    </row>
    <row r="74" spans="1:13" ht="21" customHeight="1" x14ac:dyDescent="0.3">
      <c r="A74" s="190"/>
      <c r="B74" s="191"/>
      <c r="C74" s="192"/>
      <c r="D74" s="193"/>
      <c r="E74" s="194" t="s">
        <v>214</v>
      </c>
      <c r="F74" s="195" t="str">
        <f>IF($B74="","",IF(SUMIFS(CONFIG_PALLETS!$C:$C,CONFIG_PALLETS!$A:$A,TRIM($B74),CONFIG_PALLETS!$B:$B,$C74&amp;" ml")&gt;0,SUMIFS(CONFIG_PALLETS!$C:$C,CONFIG_PALLETS!$A:$A,TRIM($B74),CONFIG_PALLETS!$B:$B,$C74&amp;" ml"),IF(SUMIFS(CONFIG_PALLETS!$C:$C,CONFIG_PALLETS!$A:$A,"GERAL",CONFIG_PALLETS!$B:$B,$C74&amp;" ml")&gt;0,SUMIFS(CONFIG_PALLETS!$C:$C,CONFIG_PALLETS!$A:$A,"GERAL",CONFIG_PALLETS!$B:$B,$C74&amp;" ml"),"")))</f>
        <v/>
      </c>
      <c r="G74" s="196" t="str">
        <f t="shared" si="2"/>
        <v/>
      </c>
      <c r="H74" s="197"/>
      <c r="I74" s="193" t="str">
        <f>IF(H74="","",H74*IF(SUMIFS(CONFIG_PALLETS!$D:$D,CONFIG_PALLETS!$A:$A,IF(ISNUMBER(SEARCH("ESPUMA",$B74)),"ESPUMA",IF(OR(ISNUMBER(SEARCH("OLEO DE COCO",$B74)),ISNUMBER(SEARCH("ÓLEO DE COCO",$B74)),ISNUMBER(SEARCH("COPRA",$B74))),"ÓLEO DE COCO",IF(ISNUMBER(SEARCH("CORANTE",$B74)),"CORANTE",TRIM($B74)))),CONFIG_PALLETS!$B:$B,$C74&amp;" ml")&gt;0,SUMIFS(CONFIG_PALLETS!$D:$D,CONFIG_PALLETS!$A:$A,IF(ISNUMBER(SEARCH("ESPUMA",$B74)),"ESPUMA",IF(OR(ISNUMBER(SEARCH("OLEO DE COCO",$B74)),ISNUMBER(SEARCH("ÓLEO DE COCO",$B74)),ISNUMBER(SEARCH("COPRA",$B74))),"ÓLEO DE COCO",IF(ISNUMBER(SEARCH("CORANTE",$B74)),"CORANTE",TRIM($B74)))),CONFIG_PALLETS!$B:$B,$C74&amp;" ml"),IF(SUMIFS(CONFIG_PALLETS!$D:$D,CONFIG_PALLETS!$A:$A,"GERAL",CONFIG_PALLETS!$B:$B,$C74&amp;" ml")&gt;0,SUMIFS(CONFIG_PALLETS!$D:$D,CONFIG_PALLETS!$A:$A,"GERAL",CONFIG_PALLETS!$B:$B,$C74&amp;" ml"),12)))</f>
        <v/>
      </c>
    </row>
    <row r="75" spans="1:13" ht="15" customHeight="1" x14ac:dyDescent="0.3">
      <c r="A75" s="198"/>
      <c r="B75" s="199" t="s">
        <v>216</v>
      </c>
      <c r="C75" s="200"/>
      <c r="D75" s="201">
        <f>SUM(D67:D74)</f>
        <v>3620</v>
      </c>
      <c r="E75" s="202"/>
      <c r="F75" s="202"/>
      <c r="G75" s="203">
        <f>SUM(G67:G74)</f>
        <v>21</v>
      </c>
      <c r="H75" s="201">
        <f>SUM(H67:H74)</f>
        <v>0</v>
      </c>
      <c r="I75" s="201">
        <f>SUM(I67:I74)</f>
        <v>0</v>
      </c>
      <c r="J75" s="28">
        <f>D75</f>
        <v>3620</v>
      </c>
      <c r="K75" s="106">
        <f>G75</f>
        <v>21</v>
      </c>
      <c r="L75" s="28">
        <f>H75</f>
        <v>0</v>
      </c>
      <c r="M75" s="28">
        <f>I75</f>
        <v>0</v>
      </c>
    </row>
    <row r="76" spans="1:13" ht="6" customHeight="1" x14ac:dyDescent="0.3">
      <c r="C76" s="72"/>
    </row>
    <row r="77" spans="1:13" ht="15" customHeight="1" x14ac:dyDescent="0.3">
      <c r="A77" s="30">
        <v>46184</v>
      </c>
      <c r="B77" s="186" t="s">
        <v>78</v>
      </c>
      <c r="C77" s="187" t="s">
        <v>205</v>
      </c>
      <c r="D77" s="188" t="s">
        <v>206</v>
      </c>
      <c r="E77" s="188" t="s">
        <v>207</v>
      </c>
      <c r="F77" s="189" t="s">
        <v>208</v>
      </c>
      <c r="G77" s="188" t="s">
        <v>209</v>
      </c>
      <c r="H77" s="188" t="s">
        <v>210</v>
      </c>
      <c r="I77" s="188" t="s">
        <v>211</v>
      </c>
    </row>
    <row r="78" spans="1:13" ht="21" customHeight="1" x14ac:dyDescent="0.3">
      <c r="A78" s="190"/>
      <c r="B78" s="191"/>
      <c r="C78" s="192"/>
      <c r="D78" s="193"/>
      <c r="E78" s="194" t="s">
        <v>214</v>
      </c>
      <c r="F78" s="195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196" t="str">
        <f>IFERROR(ROUNDUP(D78/F78,0),"")</f>
        <v/>
      </c>
      <c r="H78" s="197"/>
      <c r="I78" s="193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</row>
    <row r="79" spans="1:13" ht="21" customHeight="1" x14ac:dyDescent="0.3">
      <c r="A79" s="190"/>
      <c r="B79" s="191" t="s">
        <v>537</v>
      </c>
      <c r="C79" s="192">
        <v>600</v>
      </c>
      <c r="D79" s="193"/>
      <c r="E79" s="194" t="s">
        <v>214</v>
      </c>
      <c r="F79" s="195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>190</v>
      </c>
      <c r="G79" s="196">
        <f>IFERROR(ROUNDUP(D79/F79,0),"")</f>
        <v>0</v>
      </c>
      <c r="H79" s="197"/>
      <c r="I79" s="193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</row>
    <row r="80" spans="1:13" ht="21" customHeight="1" x14ac:dyDescent="0.3">
      <c r="A80" s="190"/>
      <c r="B80" s="191" t="s">
        <v>543</v>
      </c>
      <c r="C80" s="192">
        <v>600</v>
      </c>
      <c r="D80" s="193">
        <v>1615</v>
      </c>
      <c r="E80" s="194" t="s">
        <v>214</v>
      </c>
      <c r="F80" s="195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>95</v>
      </c>
      <c r="G80" s="196">
        <f>IFERROR(ROUNDUP(D80/F80,0),"")</f>
        <v>17</v>
      </c>
      <c r="H80" s="197"/>
      <c r="I80" s="193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21" customHeight="1" x14ac:dyDescent="0.3">
      <c r="A81" s="190"/>
      <c r="B81" s="191"/>
      <c r="C81" s="192"/>
      <c r="D81" s="193"/>
      <c r="E81" s="194" t="s">
        <v>214</v>
      </c>
      <c r="F81" s="195" t="str">
        <f>IF($B81="","",IF(SUMIFS(CONFIG_PALLETS!$C:$C,CONFIG_PALLETS!$A:$A,TRIM($B81),CONFIG_PALLETS!$B:$B,$C81&amp;" ml")&gt;0,SUMIFS(CONFIG_PALLETS!$C:$C,CONFIG_PALLETS!$A:$A,TRIM($B81),CONFIG_PALLETS!$B:$B,$C81&amp;" ml"),IF(SUMIFS(CONFIG_PALLETS!$C:$C,CONFIG_PALLETS!$A:$A,"GERAL",CONFIG_PALLETS!$B:$B,$C81&amp;" ml")&gt;0,SUMIFS(CONFIG_PALLETS!$C:$C,CONFIG_PALLETS!$A:$A,"GERAL",CONFIG_PALLETS!$B:$B,$C81&amp;" ml"),"")))</f>
        <v/>
      </c>
      <c r="G81" s="196" t="str">
        <f>IFERROR(ROUNDUP(D81/F81,0),"")</f>
        <v/>
      </c>
      <c r="H81" s="197"/>
      <c r="I81" s="193" t="str">
        <f>IF(H81="","",H81*IF(SUMIFS(CONFIG_PALLETS!$D:$D,CONFIG_PALLETS!$A:$A,IF(ISNUMBER(SEARCH("ESPUMA",$B81)),"ESPUMA",IF(OR(ISNUMBER(SEARCH("OLEO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ml")&gt;0,SUMIFS(CONFIG_PALLETS!$D:$D,CONFIG_PALLETS!$A:$A,IF(ISNUMBER(SEARCH("ESPUMA",$B81)),"ESPUMA",IF(OR(ISNUMBER(SEARCH("OLEO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ml"),IF(SUMIFS(CONFIG_PALLETS!$D:$D,CONFIG_PALLETS!$A:$A,"GERAL",CONFIG_PALLETS!$B:$B,$C81&amp;" ml")&gt;0,SUMIFS(CONFIG_PALLETS!$D:$D,CONFIG_PALLETS!$A:$A,"GERAL",CONFIG_PALLETS!$B:$B,$C81&amp;" ml"),12)))</f>
        <v/>
      </c>
    </row>
    <row r="82" spans="1:13" ht="21" customHeight="1" x14ac:dyDescent="0.3">
      <c r="A82" s="190"/>
      <c r="B82" s="191"/>
      <c r="C82" s="192"/>
      <c r="D82" s="193"/>
      <c r="E82" s="194" t="s">
        <v>214</v>
      </c>
      <c r="F82" s="195" t="str">
        <f>IF($B82="","",IF(SUMIFS(CONFIG_PALLETS!$C:$C,CONFIG_PALLETS!$A:$A,TRIM($B82),CONFIG_PALLETS!$B:$B,$C82&amp;" ml")&gt;0,SUMIFS(CONFIG_PALLETS!$C:$C,CONFIG_PALLETS!$A:$A,TRIM($B82),CONFIG_PALLETS!$B:$B,$C82&amp;" ml"),IF(SUMIFS(CONFIG_PALLETS!$C:$C,CONFIG_PALLETS!$A:$A,"GERAL",CONFIG_PALLETS!$B:$B,$C82&amp;" ml")&gt;0,SUMIFS(CONFIG_PALLETS!$C:$C,CONFIG_PALLETS!$A:$A,"GERAL",CONFIG_PALLETS!$B:$B,$C82&amp;" ml"),"")))</f>
        <v/>
      </c>
      <c r="G82" s="196" t="str">
        <f>IFERROR(ROUNDUP(D82/F82,0),"")</f>
        <v/>
      </c>
      <c r="H82" s="197"/>
      <c r="I82" s="193" t="str">
        <f>IF(H82="","",H82*IF(SUMIFS(CONFIG_PALLETS!$D:$D,CONFIG_PALLETS!$A:$A,IF(ISNUMBER(SEARCH("ESPUMA",$B82)),"ESPUMA",IF(OR(ISNUMBER(SEARCH("OLEO DE COCO",$B82)),ISNUMBER(SEARCH("ÓLEO DE COCO",$B82)),ISNUMBER(SEARCH("COPRA",$B82))),"ÓLEO DE COCO",IF(ISNUMBER(SEARCH("CORANTE",$B82)),"CORANTE",TRIM($B82)))),CONFIG_PALLETS!$B:$B,$C82&amp;" ml")&gt;0,SUMIFS(CONFIG_PALLETS!$D:$D,CONFIG_PALLETS!$A:$A,IF(ISNUMBER(SEARCH("ESPUMA",$B82)),"ESPUMA",IF(OR(ISNUMBER(SEARCH("OLEO DE COCO",$B82)),ISNUMBER(SEARCH("ÓLEO DE COCO",$B82)),ISNUMBER(SEARCH("COPRA",$B82))),"ÓLEO DE COCO",IF(ISNUMBER(SEARCH("CORANTE",$B82)),"CORANTE",TRIM($B82)))),CONFIG_PALLETS!$B:$B,$C82&amp;" ml"),IF(SUMIFS(CONFIG_PALLETS!$D:$D,CONFIG_PALLETS!$A:$A,"GERAL",CONFIG_PALLETS!$B:$B,$C82&amp;" ml")&gt;0,SUMIFS(CONFIG_PALLETS!$D:$D,CONFIG_PALLETS!$A:$A,"GERAL",CONFIG_PALLETS!$B:$B,$C82&amp;" ml"),12)))</f>
        <v/>
      </c>
    </row>
    <row r="83" spans="1:13" ht="15" customHeight="1" x14ac:dyDescent="0.3">
      <c r="A83" s="198"/>
      <c r="B83" s="199" t="s">
        <v>216</v>
      </c>
      <c r="C83" s="200"/>
      <c r="D83" s="201">
        <f>SUM(D76:D82)</f>
        <v>1615</v>
      </c>
      <c r="E83" s="202"/>
      <c r="F83" s="202"/>
      <c r="G83" s="203">
        <f>SUM(G76:G82)</f>
        <v>17</v>
      </c>
      <c r="H83" s="201">
        <f>SUM(H76:H82)</f>
        <v>0</v>
      </c>
      <c r="I83" s="201">
        <f>SUM(I76:I82)</f>
        <v>0</v>
      </c>
      <c r="J83" s="28">
        <f>D83</f>
        <v>1615</v>
      </c>
      <c r="K83" s="106">
        <f>G83</f>
        <v>17</v>
      </c>
      <c r="L83" s="28">
        <f>H83</f>
        <v>0</v>
      </c>
      <c r="M83" s="28">
        <f>I83</f>
        <v>0</v>
      </c>
    </row>
    <row r="84" spans="1:13" ht="6" customHeight="1" x14ac:dyDescent="0.3">
      <c r="C84" s="72"/>
    </row>
    <row r="85" spans="1:13" ht="15" customHeight="1" x14ac:dyDescent="0.3">
      <c r="A85" s="30">
        <v>46185</v>
      </c>
      <c r="B85" s="186" t="s">
        <v>78</v>
      </c>
      <c r="C85" s="187" t="s">
        <v>205</v>
      </c>
      <c r="D85" s="188" t="s">
        <v>206</v>
      </c>
      <c r="E85" s="188" t="s">
        <v>207</v>
      </c>
      <c r="F85" s="189" t="s">
        <v>208</v>
      </c>
      <c r="G85" s="188" t="s">
        <v>209</v>
      </c>
      <c r="H85" s="188" t="s">
        <v>210</v>
      </c>
      <c r="I85" s="188" t="s">
        <v>211</v>
      </c>
    </row>
    <row r="86" spans="1:13" ht="21" customHeight="1" x14ac:dyDescent="0.3">
      <c r="A86" s="190"/>
      <c r="B86" s="191"/>
      <c r="C86" s="192"/>
      <c r="D86" s="193"/>
      <c r="E86" s="194" t="s">
        <v>214</v>
      </c>
      <c r="F86" s="195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196" t="str">
        <f t="shared" ref="G86:G94" si="3">IFERROR(ROUNDUP(D86/F86,0),"")</f>
        <v/>
      </c>
      <c r="H86" s="197"/>
      <c r="I86" s="193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</row>
    <row r="87" spans="1:13" ht="21" customHeight="1" x14ac:dyDescent="0.3">
      <c r="A87" s="190"/>
      <c r="B87" s="191" t="s">
        <v>543</v>
      </c>
      <c r="C87" s="192">
        <v>600</v>
      </c>
      <c r="D87" s="193"/>
      <c r="E87" s="194" t="s">
        <v>214</v>
      </c>
      <c r="F87" s="195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>95</v>
      </c>
      <c r="G87" s="196">
        <f t="shared" si="3"/>
        <v>0</v>
      </c>
      <c r="H87" s="197"/>
      <c r="I87" s="193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</row>
    <row r="88" spans="1:13" ht="21" customHeight="1" x14ac:dyDescent="0.3">
      <c r="A88" s="190"/>
      <c r="B88" s="191" t="s">
        <v>444</v>
      </c>
      <c r="C88" s="192">
        <v>600</v>
      </c>
      <c r="D88" s="193">
        <v>475</v>
      </c>
      <c r="E88" s="194" t="s">
        <v>214</v>
      </c>
      <c r="F88" s="195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>95</v>
      </c>
      <c r="G88" s="196">
        <f t="shared" si="3"/>
        <v>5</v>
      </c>
      <c r="H88" s="197"/>
      <c r="I88" s="193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</row>
    <row r="89" spans="1:13" ht="21" customHeight="1" x14ac:dyDescent="0.3">
      <c r="A89" s="190"/>
      <c r="B89" s="191" t="s">
        <v>438</v>
      </c>
      <c r="C89" s="192">
        <v>600</v>
      </c>
      <c r="D89" s="193">
        <v>285</v>
      </c>
      <c r="E89" s="194" t="s">
        <v>214</v>
      </c>
      <c r="F89" s="195">
        <f>IF($B89="","",IF(SUMIFS(CONFIG_PALLETS!$C:$C,CONFIG_PALLETS!$A:$A,TRIM($B89),CONFIG_PALLETS!$B:$B,$C89&amp;" ml")&gt;0,SUMIFS(CONFIG_PALLETS!$C:$C,CONFIG_PALLETS!$A:$A,TRIM($B89),CONFIG_PALLETS!$B:$B,$C89&amp;" ml"),IF(SUMIFS(CONFIG_PALLETS!$C:$C,CONFIG_PALLETS!$A:$A,"GERAL",CONFIG_PALLETS!$B:$B,$C89&amp;" ml")&gt;0,SUMIFS(CONFIG_PALLETS!$C:$C,CONFIG_PALLETS!$A:$A,"GERAL",CONFIG_PALLETS!$B:$B,$C89&amp;" ml"),"")))</f>
        <v>95</v>
      </c>
      <c r="G89" s="196">
        <f t="shared" si="3"/>
        <v>3</v>
      </c>
      <c r="H89" s="197"/>
      <c r="I89" s="193" t="str">
        <f>IF(H89="","",H89*IF(SUMIFS(CONFIG_PALLETS!$D:$D,CONFIG_PALLETS!$A:$A,IF(ISNUMBER(SEARCH("ESPUMA",$B89)),"ESPUMA",IF(OR(ISNUMBER(SEARCH("OLEO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ml")&gt;0,SUMIFS(CONFIG_PALLETS!$D:$D,CONFIG_PALLETS!$A:$A,IF(ISNUMBER(SEARCH("ESPUMA",$B89)),"ESPUMA",IF(OR(ISNUMBER(SEARCH("OLEO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ml"),IF(SUMIFS(CONFIG_PALLETS!$D:$D,CONFIG_PALLETS!$A:$A,"GERAL",CONFIG_PALLETS!$B:$B,$C89&amp;" ml")&gt;0,SUMIFS(CONFIG_PALLETS!$D:$D,CONFIG_PALLETS!$A:$A,"GERAL",CONFIG_PALLETS!$B:$B,$C89&amp;" ml"),12)))</f>
        <v/>
      </c>
    </row>
    <row r="90" spans="1:13" ht="21" customHeight="1" x14ac:dyDescent="0.3">
      <c r="A90" s="190"/>
      <c r="B90" s="191" t="s">
        <v>1422</v>
      </c>
      <c r="C90" s="192">
        <v>200</v>
      </c>
      <c r="D90" s="193">
        <v>167</v>
      </c>
      <c r="E90" s="194" t="s">
        <v>214</v>
      </c>
      <c r="F90" s="195">
        <f>IF($B90="","",IF(SUMIFS(CONFIG_PALLETS!$C:$C,CONFIG_PALLETS!$A:$A,TRIM($B90),CONFIG_PALLETS!$B:$B,$C90&amp;" ml")&gt;0,SUMIFS(CONFIG_PALLETS!$C:$C,CONFIG_PALLETS!$A:$A,TRIM($B90),CONFIG_PALLETS!$B:$B,$C90&amp;" ml"),IF(SUMIFS(CONFIG_PALLETS!$C:$C,CONFIG_PALLETS!$A:$A,"GERAL",CONFIG_PALLETS!$B:$B,$C90&amp;" ml")&gt;0,SUMIFS(CONFIG_PALLETS!$C:$C,CONFIG_PALLETS!$A:$A,"GERAL",CONFIG_PALLETS!$B:$B,$C90&amp;" ml"),"")))</f>
        <v>330</v>
      </c>
      <c r="G90" s="196">
        <f>IFERROR(ROUNDUP(D90/F90,0),"")</f>
        <v>1</v>
      </c>
      <c r="H90" s="197"/>
      <c r="I90" s="193" t="str">
        <f>IF(H90="","",H90*IF(SUMIFS(CONFIG_PALLETS!$D:$D,CONFIG_PALLETS!$A:$A,IF(ISNUMBER(SEARCH("ESPUMA",$B90)),"ESPUMA",IF(OR(ISNUMBER(SEARCH("OLEO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ml")&gt;0,SUMIFS(CONFIG_PALLETS!$D:$D,CONFIG_PALLETS!$A:$A,IF(ISNUMBER(SEARCH("ESPUMA",$B90)),"ESPUMA",IF(OR(ISNUMBER(SEARCH("OLEO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ml"),IF(SUMIFS(CONFIG_PALLETS!$D:$D,CONFIG_PALLETS!$A:$A,"GERAL",CONFIG_PALLETS!$B:$B,$C90&amp;" ml")&gt;0,SUMIFS(CONFIG_PALLETS!$D:$D,CONFIG_PALLETS!$A:$A,"GERAL",CONFIG_PALLETS!$B:$B,$C90&amp;" ml"),12)))</f>
        <v/>
      </c>
    </row>
    <row r="91" spans="1:13" ht="21" customHeight="1" x14ac:dyDescent="0.3">
      <c r="A91" s="190"/>
      <c r="B91" s="191" t="s">
        <v>444</v>
      </c>
      <c r="C91" s="192">
        <v>400</v>
      </c>
      <c r="D91" s="193">
        <v>195</v>
      </c>
      <c r="E91" s="194" t="s">
        <v>214</v>
      </c>
      <c r="F91" s="195">
        <f>IF($B91="","",IF(SUMIFS(CONFIG_PALLETS!$C:$C,CONFIG_PALLETS!$A:$A,TRIM($B91),CONFIG_PALLETS!$B:$B,$C91&amp;" ml")&gt;0,SUMIFS(CONFIG_PALLETS!$C:$C,CONFIG_PALLETS!$A:$A,TRIM($B91),CONFIG_PALLETS!$B:$B,$C91&amp;" ml"),IF(SUMIFS(CONFIG_PALLETS!$C:$C,CONFIG_PALLETS!$A:$A,"GERAL",CONFIG_PALLETS!$B:$B,$C91&amp;" ml")&gt;0,SUMIFS(CONFIG_PALLETS!$C:$C,CONFIG_PALLETS!$A:$A,"GERAL",CONFIG_PALLETS!$B:$B,$C91&amp;" ml"),"")))</f>
        <v>125</v>
      </c>
      <c r="G91" s="196">
        <f t="shared" si="3"/>
        <v>2</v>
      </c>
      <c r="H91" s="197"/>
      <c r="I91" s="193" t="str">
        <f>IF(H91="","",H91*IF(SUMIFS(CONFIG_PALLETS!$D:$D,CONFIG_PALLETS!$A:$A,IF(ISNUMBER(SEARCH("ESPUMA",$B91)),"ESPUMA",IF(OR(ISNUMBER(SEARCH("OLEO DE COCO",$B91)),ISNUMBER(SEARCH("ÓLEO DE COCO",$B91)),ISNUMBER(SEARCH("COPRA",$B91))),"ÓLEO DE COCO",IF(ISNUMBER(SEARCH("CORANTE",$B91)),"CORANTE",TRIM($B91)))),CONFIG_PALLETS!$B:$B,$C91&amp;" ml")&gt;0,SUMIFS(CONFIG_PALLETS!$D:$D,CONFIG_PALLETS!$A:$A,IF(ISNUMBER(SEARCH("ESPUMA",$B91)),"ESPUMA",IF(OR(ISNUMBER(SEARCH("OLEO DE COCO",$B91)),ISNUMBER(SEARCH("ÓLEO DE COCO",$B91)),ISNUMBER(SEARCH("COPRA",$B91))),"ÓLEO DE COCO",IF(ISNUMBER(SEARCH("CORANTE",$B91)),"CORANTE",TRIM($B91)))),CONFIG_PALLETS!$B:$B,$C91&amp;" ml"),IF(SUMIFS(CONFIG_PALLETS!$D:$D,CONFIG_PALLETS!$A:$A,"GERAL",CONFIG_PALLETS!$B:$B,$C91&amp;" ml")&gt;0,SUMIFS(CONFIG_PALLETS!$D:$D,CONFIG_PALLETS!$A:$A,"GERAL",CONFIG_PALLETS!$B:$B,$C91&amp;" ml"),12)))</f>
        <v/>
      </c>
    </row>
    <row r="92" spans="1:13" ht="21" customHeight="1" x14ac:dyDescent="0.3">
      <c r="A92" s="190"/>
      <c r="B92" s="469" t="s">
        <v>54</v>
      </c>
      <c r="C92" s="192">
        <v>400</v>
      </c>
      <c r="D92" s="193">
        <v>2625</v>
      </c>
      <c r="E92" s="194" t="s">
        <v>214</v>
      </c>
      <c r="F92" s="195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>125</v>
      </c>
      <c r="G92" s="196">
        <f t="shared" si="3"/>
        <v>21</v>
      </c>
      <c r="H92" s="197"/>
      <c r="I92" s="193" t="str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</row>
    <row r="93" spans="1:13" ht="21" customHeight="1" x14ac:dyDescent="0.3">
      <c r="A93" s="190"/>
      <c r="B93" s="191"/>
      <c r="C93" s="192"/>
      <c r="D93" s="193"/>
      <c r="E93" s="194" t="s">
        <v>214</v>
      </c>
      <c r="F93" s="195" t="str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196" t="str">
        <f t="shared" si="3"/>
        <v/>
      </c>
      <c r="H93" s="197"/>
      <c r="I93" s="193" t="str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</row>
    <row r="94" spans="1:13" ht="21" customHeight="1" x14ac:dyDescent="0.3">
      <c r="A94" s="190"/>
      <c r="B94" s="191"/>
      <c r="C94" s="192"/>
      <c r="D94" s="193"/>
      <c r="E94" s="194" t="s">
        <v>214</v>
      </c>
      <c r="F94" s="195" t="str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196" t="str">
        <f t="shared" si="3"/>
        <v/>
      </c>
      <c r="H94" s="197"/>
      <c r="I94" s="193" t="str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</row>
    <row r="95" spans="1:13" ht="15" customHeight="1" x14ac:dyDescent="0.3">
      <c r="A95" s="198"/>
      <c r="B95" s="199" t="s">
        <v>216</v>
      </c>
      <c r="C95" s="200"/>
      <c r="D95" s="201">
        <f>SUM(D84:D94)</f>
        <v>3747</v>
      </c>
      <c r="E95" s="202"/>
      <c r="F95" s="202"/>
      <c r="G95" s="203">
        <f>SUM(G84:G94)</f>
        <v>32</v>
      </c>
      <c r="H95" s="201">
        <f>SUM(H84:H94)</f>
        <v>0</v>
      </c>
      <c r="I95" s="201">
        <f>SUM(I84:I94)</f>
        <v>0</v>
      </c>
      <c r="J95" s="28">
        <f>D95</f>
        <v>3747</v>
      </c>
      <c r="K95" s="106">
        <f>G95</f>
        <v>32</v>
      </c>
      <c r="L95" s="28">
        <f>H95</f>
        <v>0</v>
      </c>
      <c r="M95" s="28">
        <f>I95</f>
        <v>0</v>
      </c>
    </row>
    <row r="96" spans="1:13" ht="6" customHeight="1" x14ac:dyDescent="0.3">
      <c r="C96" s="72"/>
    </row>
    <row r="97" spans="1:13" ht="15" customHeight="1" x14ac:dyDescent="0.3">
      <c r="A97" s="235">
        <v>46186</v>
      </c>
      <c r="B97" s="186" t="s">
        <v>78</v>
      </c>
      <c r="C97" s="187" t="s">
        <v>205</v>
      </c>
      <c r="D97" s="188" t="s">
        <v>206</v>
      </c>
      <c r="E97" s="188" t="s">
        <v>207</v>
      </c>
      <c r="F97" s="236" t="s">
        <v>208</v>
      </c>
      <c r="G97" s="188" t="s">
        <v>209</v>
      </c>
      <c r="H97" s="188" t="s">
        <v>210</v>
      </c>
      <c r="I97" s="188" t="s">
        <v>211</v>
      </c>
      <c r="J97" s="237"/>
      <c r="K97" s="237"/>
      <c r="L97" s="237"/>
      <c r="M97" s="237"/>
    </row>
    <row r="98" spans="1:13" ht="21" customHeight="1" x14ac:dyDescent="0.3">
      <c r="A98" s="190"/>
      <c r="B98" s="238"/>
      <c r="C98" s="239"/>
      <c r="D98" s="240"/>
      <c r="E98" s="241" t="s">
        <v>214</v>
      </c>
      <c r="F98" s="242" t="str">
        <f>IF($B98="","",IF(SUMIFS(CONFIG_PALLETS!$C:$C,CONFIG_PALLETS!$A:$A,TRIM($B98),CONFIG_PALLETS!$B:$B,$C98&amp;" ml")&gt;0,SUMIFS(CONFIG_PALLETS!$C:$C,CONFIG_PALLETS!$A:$A,TRIM($B98),CONFIG_PALLETS!$B:$B,$C98&amp;" ml"),IF(SUMIFS(CONFIG_PALLETS!$C:$C,CONFIG_PALLETS!$A:$A,"GERAL",CONFIG_PALLETS!$B:$B,$C98&amp;" ml")&gt;0,SUMIFS(CONFIG_PALLETS!$C:$C,CONFIG_PALLETS!$A:$A,"GERAL",CONFIG_PALLETS!$B:$B,$C98&amp;" ml"),"")))</f>
        <v/>
      </c>
      <c r="G98" s="243" t="str">
        <f>IFERROR(ROUNDUP(D98/F98,0),"")</f>
        <v/>
      </c>
      <c r="H98" s="197"/>
      <c r="I98" s="240" t="str">
        <f>IF(H98="","",H98*IF(SUMIFS(CONFIG_PALLETS!$D:$D,CONFIG_PALLETS!$A:$A,IF(ISNUMBER(SEARCH("ESPUMA",$B98)),"ESPUMA",IF(OR(ISNUMBER(SEARCH("OLEO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ml")&gt;0,SUMIFS(CONFIG_PALLETS!$D:$D,CONFIG_PALLETS!$A:$A,IF(ISNUMBER(SEARCH("ESPUMA",$B98)),"ESPUMA",IF(OR(ISNUMBER(SEARCH("OLEO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ml"),IF(SUMIFS(CONFIG_PALLETS!$D:$D,CONFIG_PALLETS!$A:$A,"GERAL",CONFIG_PALLETS!$B:$B,$C98&amp;" ml")&gt;0,SUMIFS(CONFIG_PALLETS!$D:$D,CONFIG_PALLETS!$A:$A,"GERAL",CONFIG_PALLETS!$B:$B,$C98&amp;" ml"),12)))</f>
        <v/>
      </c>
      <c r="J98" s="237"/>
      <c r="K98" s="237"/>
      <c r="L98" s="237"/>
      <c r="M98" s="237"/>
    </row>
    <row r="99" spans="1:13" ht="21" customHeight="1" x14ac:dyDescent="0.3">
      <c r="A99" s="190"/>
      <c r="B99" s="191" t="s">
        <v>54</v>
      </c>
      <c r="C99" s="192">
        <v>400</v>
      </c>
      <c r="D99" s="240"/>
      <c r="E99" s="241" t="s">
        <v>214</v>
      </c>
      <c r="F99" s="242">
        <f>IF($B99="","",IF(SUMIFS(CONFIG_PALLETS!$C:$C,CONFIG_PALLETS!$A:$A,TRIM($B99),CONFIG_PALLETS!$B:$B,$C99&amp;" ml")&gt;0,SUMIFS(CONFIG_PALLETS!$C:$C,CONFIG_PALLETS!$A:$A,TRIM($B99),CONFIG_PALLETS!$B:$B,$C99&amp;" ml"),IF(SUMIFS(CONFIG_PALLETS!$C:$C,CONFIG_PALLETS!$A:$A,"GERAL",CONFIG_PALLETS!$B:$B,$C99&amp;" ml")&gt;0,SUMIFS(CONFIG_PALLETS!$C:$C,CONFIG_PALLETS!$A:$A,"GERAL",CONFIG_PALLETS!$B:$B,$C99&amp;" ml"),"")))</f>
        <v>125</v>
      </c>
      <c r="G99" s="243">
        <f>IFERROR(ROUNDUP(D99/F99,0),"")</f>
        <v>0</v>
      </c>
      <c r="H99" s="197"/>
      <c r="I99" s="240" t="str">
        <f>IF(H99="","",H99*IF(SUMIFS(CONFIG_PALLETS!$D:$D,CONFIG_PALLETS!$A:$A,IF(ISNUMBER(SEARCH("ESPUMA",$B99)),"ESPUMA",IF(OR(ISNUMBER(SEARCH("OLEO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ml")&gt;0,SUMIFS(CONFIG_PALLETS!$D:$D,CONFIG_PALLETS!$A:$A,IF(ISNUMBER(SEARCH("ESPUMA",$B99)),"ESPUMA",IF(OR(ISNUMBER(SEARCH("OLEO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ml"),IF(SUMIFS(CONFIG_PALLETS!$D:$D,CONFIG_PALLETS!$A:$A,"GERAL",CONFIG_PALLETS!$B:$B,$C99&amp;" ml")&gt;0,SUMIFS(CONFIG_PALLETS!$D:$D,CONFIG_PALLETS!$A:$A,"GERAL",CONFIG_PALLETS!$B:$B,$C99&amp;" ml"),12)))</f>
        <v/>
      </c>
      <c r="J99" s="237"/>
      <c r="K99" s="237"/>
      <c r="L99" s="237"/>
      <c r="M99" s="237"/>
    </row>
    <row r="100" spans="1:13" ht="21" customHeight="1" x14ac:dyDescent="0.3">
      <c r="A100" s="190"/>
      <c r="B100" s="238"/>
      <c r="C100" s="239"/>
      <c r="D100" s="240"/>
      <c r="E100" s="241" t="s">
        <v>214</v>
      </c>
      <c r="F100" s="242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243" t="str">
        <f>IFERROR(ROUNDUP(D100/F100,0),"")</f>
        <v/>
      </c>
      <c r="H100" s="197"/>
      <c r="I100" s="240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  <c r="J100" s="237"/>
      <c r="K100" s="237"/>
      <c r="L100" s="237"/>
      <c r="M100" s="237"/>
    </row>
    <row r="101" spans="1:13" ht="21" customHeight="1" x14ac:dyDescent="0.3">
      <c r="A101" s="190"/>
      <c r="B101" s="238"/>
      <c r="C101" s="239"/>
      <c r="D101" s="240"/>
      <c r="E101" s="241" t="s">
        <v>214</v>
      </c>
      <c r="F101" s="242" t="str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243" t="str">
        <f>IFERROR(ROUNDUP(D101/F101,0),"")</f>
        <v/>
      </c>
      <c r="H101" s="197"/>
      <c r="I101" s="240" t="str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  <c r="J101" s="237"/>
      <c r="K101" s="237"/>
      <c r="L101" s="237"/>
      <c r="M101" s="237"/>
    </row>
    <row r="102" spans="1:13" ht="21" customHeight="1" x14ac:dyDescent="0.3">
      <c r="A102" s="190"/>
      <c r="B102" s="238"/>
      <c r="C102" s="239"/>
      <c r="D102" s="240"/>
      <c r="E102" s="241" t="s">
        <v>214</v>
      </c>
      <c r="F102" s="242" t="str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243" t="str">
        <f>IFERROR(ROUNDUP(D102/F102,0),"")</f>
        <v/>
      </c>
      <c r="H102" s="197"/>
      <c r="I102" s="240" t="str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  <c r="J102" s="237"/>
      <c r="K102" s="237"/>
      <c r="L102" s="237"/>
      <c r="M102" s="237"/>
    </row>
    <row r="103" spans="1:13" ht="15" customHeight="1" x14ac:dyDescent="0.3">
      <c r="A103" s="244"/>
      <c r="B103" s="199" t="s">
        <v>216</v>
      </c>
      <c r="C103" s="245"/>
      <c r="D103" s="201">
        <f>SUM(D96:D102)</f>
        <v>0</v>
      </c>
      <c r="E103" s="246"/>
      <c r="F103" s="246"/>
      <c r="G103" s="203">
        <f>SUM(G96:G102)</f>
        <v>0</v>
      </c>
      <c r="H103" s="201">
        <f>SUM(H96:H102)</f>
        <v>0</v>
      </c>
      <c r="I103" s="201">
        <f>SUM(I96:I102)</f>
        <v>0</v>
      </c>
      <c r="J103" s="247">
        <f>D103</f>
        <v>0</v>
      </c>
      <c r="K103" s="248">
        <f>G103</f>
        <v>0</v>
      </c>
      <c r="L103" s="247">
        <f>H103</f>
        <v>0</v>
      </c>
      <c r="M103" s="247">
        <f>I103</f>
        <v>0</v>
      </c>
    </row>
    <row r="104" spans="1:13" ht="6" customHeight="1" x14ac:dyDescent="0.3">
      <c r="A104" s="237"/>
      <c r="B104" s="237"/>
      <c r="C104" s="249"/>
      <c r="D104" s="237"/>
      <c r="E104" s="237"/>
      <c r="F104" s="237"/>
      <c r="G104" s="237"/>
      <c r="H104" s="237"/>
      <c r="I104" s="237"/>
      <c r="J104" s="237"/>
      <c r="K104" s="237"/>
      <c r="L104" s="237"/>
      <c r="M104" s="237"/>
    </row>
    <row r="105" spans="1:13" ht="15" customHeight="1" x14ac:dyDescent="0.3">
      <c r="A105" s="30">
        <v>46188</v>
      </c>
      <c r="B105" s="186" t="s">
        <v>78</v>
      </c>
      <c r="C105" s="187" t="s">
        <v>205</v>
      </c>
      <c r="D105" s="188" t="s">
        <v>206</v>
      </c>
      <c r="E105" s="188" t="s">
        <v>207</v>
      </c>
      <c r="F105" s="189" t="s">
        <v>208</v>
      </c>
      <c r="G105" s="188" t="s">
        <v>209</v>
      </c>
      <c r="H105" s="188" t="s">
        <v>210</v>
      </c>
      <c r="I105" s="188" t="s">
        <v>211</v>
      </c>
    </row>
    <row r="106" spans="1:13" ht="21" customHeight="1" x14ac:dyDescent="0.3">
      <c r="A106" s="190"/>
      <c r="B106" s="191"/>
      <c r="C106" s="192"/>
      <c r="D106" s="193"/>
      <c r="E106" s="194" t="s">
        <v>214</v>
      </c>
      <c r="F106" s="195" t="str">
        <f>IF($B106="","",IF(SUMIFS(CONFIG_PALLETS!$C:$C,CONFIG_PALLETS!$A:$A,TRIM($B106),CONFIG_PALLETS!$B:$B,$C106&amp;" ml")&gt;0,SUMIFS(CONFIG_PALLETS!$C:$C,CONFIG_PALLETS!$A:$A,TRIM($B106),CONFIG_PALLETS!$B:$B,$C106&amp;" ml"),IF(SUMIFS(CONFIG_PALLETS!$C:$C,CONFIG_PALLETS!$A:$A,"GERAL",CONFIG_PALLETS!$B:$B,$C106&amp;" ml")&gt;0,SUMIFS(CONFIG_PALLETS!$C:$C,CONFIG_PALLETS!$A:$A,"GERAL",CONFIG_PALLETS!$B:$B,$C106&amp;" ml"),"")))</f>
        <v/>
      </c>
      <c r="G106" s="196" t="str">
        <f t="shared" ref="G106:G112" si="4">IFERROR(ROUNDUP(D106/F106,0),"")</f>
        <v/>
      </c>
      <c r="H106" s="197"/>
      <c r="I106" s="193" t="str">
        <f>IF(H106="","",H106*IF(SUMIFS(CONFIG_PALLETS!$D:$D,CONFIG_PALLETS!$A:$A,IF(ISNUMBER(SEARCH("ESPUMA",$B106)),"ESPUMA",IF(OR(ISNUMBER(SEARCH("OLEO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ml")&gt;0,SUMIFS(CONFIG_PALLETS!$D:$D,CONFIG_PALLETS!$A:$A,IF(ISNUMBER(SEARCH("ESPUMA",$B106)),"ESPUMA",IF(OR(ISNUMBER(SEARCH("OLEO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ml"),IF(SUMIFS(CONFIG_PALLETS!$D:$D,CONFIG_PALLETS!$A:$A,"GERAL",CONFIG_PALLETS!$B:$B,$C106&amp;" ml")&gt;0,SUMIFS(CONFIG_PALLETS!$D:$D,CONFIG_PALLETS!$A:$A,"GERAL",CONFIG_PALLETS!$B:$B,$C106&amp;" ml"),12)))</f>
        <v/>
      </c>
    </row>
    <row r="107" spans="1:13" ht="21" customHeight="1" x14ac:dyDescent="0.3">
      <c r="A107" s="190"/>
      <c r="B107" s="191" t="s">
        <v>1347</v>
      </c>
      <c r="C107" s="192">
        <v>400</v>
      </c>
      <c r="D107" s="193">
        <v>250</v>
      </c>
      <c r="E107" s="194" t="s">
        <v>214</v>
      </c>
      <c r="F107" s="195">
        <f>IF($B107="","",IF(SUMIFS(CONFIG_PALLETS!$C:$C,CONFIG_PALLETS!$A:$A,TRIM($B107),CONFIG_PALLETS!$B:$B,$C107&amp;" ml")&gt;0,SUMIFS(CONFIG_PALLETS!$C:$C,CONFIG_PALLETS!$A:$A,TRIM($B107),CONFIG_PALLETS!$B:$B,$C107&amp;" ml"),IF(SUMIFS(CONFIG_PALLETS!$C:$C,CONFIG_PALLETS!$A:$A,"GERAL",CONFIG_PALLETS!$B:$B,$C107&amp;" ml")&gt;0,SUMIFS(CONFIG_PALLETS!$C:$C,CONFIG_PALLETS!$A:$A,"GERAL",CONFIG_PALLETS!$B:$B,$C107&amp;" ml"),"")))</f>
        <v>125</v>
      </c>
      <c r="G107" s="196">
        <f t="shared" si="4"/>
        <v>2</v>
      </c>
      <c r="H107" s="197"/>
      <c r="I107" s="193" t="str">
        <f>IF(H107="","",H107*IF(SUMIFS(CONFIG_PALLETS!$D:$D,CONFIG_PALLETS!$A:$A,IF(ISNUMBER(SEARCH("ESPUMA",$B107)),"ESPUMA",IF(OR(ISNUMBER(SEARCH("OLEO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ml")&gt;0,SUMIFS(CONFIG_PALLETS!$D:$D,CONFIG_PALLETS!$A:$A,IF(ISNUMBER(SEARCH("ESPUMA",$B107)),"ESPUMA",IF(OR(ISNUMBER(SEARCH("OLEO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ml"),IF(SUMIFS(CONFIG_PALLETS!$D:$D,CONFIG_PALLETS!$A:$A,"GERAL",CONFIG_PALLETS!$B:$B,$C107&amp;" ml")&gt;0,SUMIFS(CONFIG_PALLETS!$D:$D,CONFIG_PALLETS!$A:$A,"GERAL",CONFIG_PALLETS!$B:$B,$C107&amp;" ml"),12)))</f>
        <v/>
      </c>
    </row>
    <row r="108" spans="1:13" ht="21" customHeight="1" x14ac:dyDescent="0.3">
      <c r="A108" s="190"/>
      <c r="B108" s="191" t="s">
        <v>168</v>
      </c>
      <c r="C108" s="192">
        <v>400</v>
      </c>
      <c r="D108" s="193">
        <v>200</v>
      </c>
      <c r="E108" s="194" t="s">
        <v>214</v>
      </c>
      <c r="F108" s="195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>125</v>
      </c>
      <c r="G108" s="196">
        <f t="shared" si="4"/>
        <v>2</v>
      </c>
      <c r="H108" s="197"/>
      <c r="I108" s="193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</row>
    <row r="109" spans="1:13" ht="21" customHeight="1" x14ac:dyDescent="0.3">
      <c r="A109" s="190"/>
      <c r="B109" s="191" t="s">
        <v>1348</v>
      </c>
      <c r="C109" s="192">
        <v>400</v>
      </c>
      <c r="D109" s="193">
        <v>250</v>
      </c>
      <c r="E109" s="194" t="s">
        <v>214</v>
      </c>
      <c r="F109" s="195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>125</v>
      </c>
      <c r="G109" s="196">
        <f t="shared" si="4"/>
        <v>2</v>
      </c>
      <c r="H109" s="197"/>
      <c r="I109" s="193" t="str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</row>
    <row r="110" spans="1:13" ht="21" customHeight="1" x14ac:dyDescent="0.3">
      <c r="A110" s="190"/>
      <c r="B110" s="191" t="s">
        <v>178</v>
      </c>
      <c r="C110" s="192">
        <v>400</v>
      </c>
      <c r="D110" s="193">
        <v>2660</v>
      </c>
      <c r="E110" s="194" t="s">
        <v>214</v>
      </c>
      <c r="F110" s="195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>110</v>
      </c>
      <c r="G110" s="196">
        <f t="shared" si="4"/>
        <v>25</v>
      </c>
      <c r="H110" s="197"/>
      <c r="I110" s="193" t="str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</row>
    <row r="111" spans="1:13" ht="21" customHeight="1" x14ac:dyDescent="0.3">
      <c r="A111" s="190"/>
      <c r="B111" s="191"/>
      <c r="C111" s="192"/>
      <c r="D111" s="193"/>
      <c r="E111" s="194" t="s">
        <v>214</v>
      </c>
      <c r="F111" s="195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196" t="str">
        <f t="shared" si="4"/>
        <v/>
      </c>
      <c r="H111" s="197"/>
      <c r="I111" s="193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3">
      <c r="A112" s="190"/>
      <c r="B112" s="191"/>
      <c r="C112" s="192"/>
      <c r="D112" s="193"/>
      <c r="E112" s="194" t="s">
        <v>214</v>
      </c>
      <c r="F112" s="195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196" t="str">
        <f t="shared" si="4"/>
        <v/>
      </c>
      <c r="H112" s="197"/>
      <c r="I112" s="193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15" customHeight="1" x14ac:dyDescent="0.3">
      <c r="A113" s="198"/>
      <c r="B113" s="199" t="s">
        <v>216</v>
      </c>
      <c r="C113" s="200"/>
      <c r="D113" s="201">
        <f>SUM(D104:D112)</f>
        <v>3360</v>
      </c>
      <c r="E113" s="202"/>
      <c r="F113" s="202"/>
      <c r="G113" s="203">
        <f>SUM(G104:G112)</f>
        <v>31</v>
      </c>
      <c r="H113" s="201">
        <f>SUM(H104:H112)</f>
        <v>0</v>
      </c>
      <c r="I113" s="201">
        <f>SUM(I104:I112)</f>
        <v>0</v>
      </c>
      <c r="J113" s="28">
        <f>D113</f>
        <v>3360</v>
      </c>
      <c r="K113" s="106">
        <f>G113</f>
        <v>31</v>
      </c>
      <c r="L113" s="28">
        <f>H113</f>
        <v>0</v>
      </c>
      <c r="M113" s="28">
        <f>I113</f>
        <v>0</v>
      </c>
    </row>
    <row r="114" spans="1:13" ht="6" customHeight="1" x14ac:dyDescent="0.3">
      <c r="C114" s="72"/>
    </row>
    <row r="115" spans="1:13" ht="15" customHeight="1" x14ac:dyDescent="0.3">
      <c r="A115" s="30">
        <v>46189</v>
      </c>
      <c r="B115" s="186" t="s">
        <v>78</v>
      </c>
      <c r="C115" s="187" t="s">
        <v>205</v>
      </c>
      <c r="D115" s="188" t="s">
        <v>206</v>
      </c>
      <c r="E115" s="188" t="s">
        <v>207</v>
      </c>
      <c r="F115" s="189" t="s">
        <v>208</v>
      </c>
      <c r="G115" s="188" t="s">
        <v>209</v>
      </c>
      <c r="H115" s="188" t="s">
        <v>210</v>
      </c>
      <c r="I115" s="188" t="s">
        <v>211</v>
      </c>
    </row>
    <row r="116" spans="1:13" ht="21" customHeight="1" x14ac:dyDescent="0.3">
      <c r="A116" s="190"/>
      <c r="B116" s="191"/>
      <c r="C116" s="192"/>
      <c r="D116" s="193"/>
      <c r="E116" s="194" t="s">
        <v>214</v>
      </c>
      <c r="F116" s="195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196" t="str">
        <f>IFERROR(ROUNDUP(D116/F116,0),"")</f>
        <v/>
      </c>
      <c r="H116" s="197"/>
      <c r="I116" s="193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</row>
    <row r="117" spans="1:13" ht="21" customHeight="1" x14ac:dyDescent="0.3">
      <c r="A117" s="190"/>
      <c r="B117" s="191" t="s">
        <v>178</v>
      </c>
      <c r="C117" s="192">
        <v>400</v>
      </c>
      <c r="D117" s="193"/>
      <c r="E117" s="194" t="s">
        <v>214</v>
      </c>
      <c r="F117" s="195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>110</v>
      </c>
      <c r="G117" s="196">
        <f>IFERROR(ROUNDUP(D117/F117,0),"")</f>
        <v>0</v>
      </c>
      <c r="H117" s="197"/>
      <c r="I117" s="193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</row>
    <row r="118" spans="1:13" ht="21" customHeight="1" x14ac:dyDescent="0.3">
      <c r="A118" s="190"/>
      <c r="B118" s="191"/>
      <c r="C118" s="192"/>
      <c r="D118" s="193"/>
      <c r="E118" s="194" t="s">
        <v>214</v>
      </c>
      <c r="F118" s="195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196" t="str">
        <f>IFERROR(ROUNDUP(D118/F118,0),"")</f>
        <v/>
      </c>
      <c r="H118" s="197"/>
      <c r="I118" s="193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</row>
    <row r="119" spans="1:13" ht="21" customHeight="1" x14ac:dyDescent="0.3">
      <c r="A119" s="190"/>
      <c r="B119" s="191"/>
      <c r="C119" s="192"/>
      <c r="D119" s="193"/>
      <c r="E119" s="194" t="s">
        <v>214</v>
      </c>
      <c r="F119" s="195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196" t="str">
        <f>IFERROR(ROUNDUP(D119/F119,0),"")</f>
        <v/>
      </c>
      <c r="H119" s="197"/>
      <c r="I119" s="193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</row>
    <row r="120" spans="1:13" ht="21" customHeight="1" x14ac:dyDescent="0.3">
      <c r="A120" s="190"/>
      <c r="B120" s="191"/>
      <c r="C120" s="192"/>
      <c r="D120" s="193"/>
      <c r="E120" s="194" t="s">
        <v>214</v>
      </c>
      <c r="F120" s="195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196" t="str">
        <f>IFERROR(ROUNDUP(D120/F120,0),"")</f>
        <v/>
      </c>
      <c r="H120" s="197"/>
      <c r="I120" s="193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</row>
    <row r="121" spans="1:13" ht="15" customHeight="1" x14ac:dyDescent="0.3">
      <c r="A121" s="198"/>
      <c r="B121" s="199" t="s">
        <v>216</v>
      </c>
      <c r="C121" s="200"/>
      <c r="D121" s="201">
        <f>SUM(D114:D120)</f>
        <v>0</v>
      </c>
      <c r="E121" s="202"/>
      <c r="F121" s="202"/>
      <c r="G121" s="203">
        <f>SUM(G114:G120)</f>
        <v>0</v>
      </c>
      <c r="H121" s="201">
        <f>SUM(H114:H120)</f>
        <v>0</v>
      </c>
      <c r="I121" s="201">
        <f>SUM(I114:I120)</f>
        <v>0</v>
      </c>
      <c r="J121" s="28">
        <f>D121</f>
        <v>0</v>
      </c>
      <c r="K121" s="106">
        <f>G121</f>
        <v>0</v>
      </c>
      <c r="L121" s="28">
        <f>H121</f>
        <v>0</v>
      </c>
      <c r="M121" s="28">
        <f>I121</f>
        <v>0</v>
      </c>
    </row>
    <row r="122" spans="1:13" ht="6" customHeight="1" x14ac:dyDescent="0.3">
      <c r="C122" s="72"/>
    </row>
    <row r="123" spans="1:13" ht="15" customHeight="1" x14ac:dyDescent="0.3">
      <c r="A123" s="30">
        <v>46190</v>
      </c>
      <c r="B123" s="186" t="s">
        <v>78</v>
      </c>
      <c r="C123" s="187" t="s">
        <v>205</v>
      </c>
      <c r="D123" s="188" t="s">
        <v>206</v>
      </c>
      <c r="E123" s="188" t="s">
        <v>207</v>
      </c>
      <c r="F123" s="189" t="s">
        <v>208</v>
      </c>
      <c r="G123" s="188" t="s">
        <v>209</v>
      </c>
      <c r="H123" s="188" t="s">
        <v>210</v>
      </c>
      <c r="I123" s="188" t="s">
        <v>211</v>
      </c>
    </row>
    <row r="124" spans="1:13" ht="21" customHeight="1" x14ac:dyDescent="0.3">
      <c r="A124" s="190"/>
      <c r="B124" s="191"/>
      <c r="C124" s="192"/>
      <c r="D124" s="193"/>
      <c r="E124" s="194" t="s">
        <v>214</v>
      </c>
      <c r="F124" s="195" t="str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196" t="str">
        <f>IFERROR(ROUNDUP(D124/F124,0),"")</f>
        <v/>
      </c>
      <c r="H124" s="197"/>
      <c r="I124" s="193" t="str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</row>
    <row r="125" spans="1:13" ht="21" customHeight="1" x14ac:dyDescent="0.3">
      <c r="A125" s="190"/>
      <c r="B125" s="191"/>
      <c r="C125" s="192"/>
      <c r="D125" s="193"/>
      <c r="E125" s="194" t="s">
        <v>214</v>
      </c>
      <c r="F125" s="195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196" t="str">
        <f>IFERROR(ROUNDUP(D125/F125,0),"")</f>
        <v/>
      </c>
      <c r="H125" s="197"/>
      <c r="I125" s="193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</row>
    <row r="126" spans="1:13" ht="21" customHeight="1" x14ac:dyDescent="0.3">
      <c r="A126" s="190"/>
      <c r="B126" s="191"/>
      <c r="C126" s="192"/>
      <c r="D126" s="193"/>
      <c r="E126" s="194" t="s">
        <v>214</v>
      </c>
      <c r="F126" s="195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196" t="str">
        <f>IFERROR(ROUNDUP(D126/F126,0),"")</f>
        <v/>
      </c>
      <c r="H126" s="197"/>
      <c r="I126" s="193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</row>
    <row r="127" spans="1:13" ht="21" customHeight="1" x14ac:dyDescent="0.3">
      <c r="A127" s="190"/>
      <c r="B127" s="191"/>
      <c r="C127" s="192"/>
      <c r="D127" s="193"/>
      <c r="E127" s="194" t="s">
        <v>214</v>
      </c>
      <c r="F127" s="195" t="str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196" t="str">
        <f>IFERROR(ROUNDUP(D127/F127,0),"")</f>
        <v/>
      </c>
      <c r="H127" s="197"/>
      <c r="I127" s="193" t="str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</row>
    <row r="128" spans="1:13" ht="21" customHeight="1" x14ac:dyDescent="0.3">
      <c r="A128" s="190"/>
      <c r="B128" s="191"/>
      <c r="C128" s="192"/>
      <c r="D128" s="193"/>
      <c r="E128" s="194" t="s">
        <v>214</v>
      </c>
      <c r="F128" s="195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196" t="str">
        <f>IFERROR(ROUNDUP(D128/F128,0),"")</f>
        <v/>
      </c>
      <c r="H128" s="197"/>
      <c r="I128" s="193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</row>
    <row r="129" spans="1:13" ht="15" customHeight="1" x14ac:dyDescent="0.3">
      <c r="A129" s="198"/>
      <c r="B129" s="199" t="s">
        <v>216</v>
      </c>
      <c r="C129" s="200"/>
      <c r="D129" s="201">
        <f>SUM(D122:D128)</f>
        <v>0</v>
      </c>
      <c r="E129" s="202"/>
      <c r="F129" s="202"/>
      <c r="G129" s="203">
        <f>SUM(G122:G128)</f>
        <v>0</v>
      </c>
      <c r="H129" s="201">
        <f>SUM(H122:H128)</f>
        <v>0</v>
      </c>
      <c r="I129" s="201">
        <f>SUM(I122:I128)</f>
        <v>0</v>
      </c>
      <c r="J129" s="28">
        <f>D129</f>
        <v>0</v>
      </c>
      <c r="K129" s="106">
        <f>G129</f>
        <v>0</v>
      </c>
      <c r="L129" s="28">
        <f>H129</f>
        <v>0</v>
      </c>
      <c r="M129" s="28">
        <f>I129</f>
        <v>0</v>
      </c>
    </row>
    <row r="130" spans="1:13" ht="6" customHeight="1" x14ac:dyDescent="0.3">
      <c r="C130" s="72"/>
    </row>
    <row r="131" spans="1:13" ht="15" customHeight="1" x14ac:dyDescent="0.3">
      <c r="A131" s="30">
        <v>46191</v>
      </c>
      <c r="B131" s="186" t="s">
        <v>78</v>
      </c>
      <c r="C131" s="187" t="s">
        <v>205</v>
      </c>
      <c r="D131" s="188" t="s">
        <v>206</v>
      </c>
      <c r="E131" s="188" t="s">
        <v>207</v>
      </c>
      <c r="F131" s="189" t="s">
        <v>208</v>
      </c>
      <c r="G131" s="188" t="s">
        <v>209</v>
      </c>
      <c r="H131" s="188" t="s">
        <v>210</v>
      </c>
      <c r="I131" s="188" t="s">
        <v>211</v>
      </c>
    </row>
    <row r="132" spans="1:13" ht="21" customHeight="1" x14ac:dyDescent="0.3">
      <c r="A132" s="190"/>
      <c r="B132" s="191"/>
      <c r="C132" s="192"/>
      <c r="D132" s="193"/>
      <c r="E132" s="194" t="s">
        <v>214</v>
      </c>
      <c r="F132" s="195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196" t="str">
        <f>IFERROR(ROUNDUP(D132/F132,0),"")</f>
        <v/>
      </c>
      <c r="H132" s="197"/>
      <c r="I132" s="193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</row>
    <row r="133" spans="1:13" ht="21" customHeight="1" x14ac:dyDescent="0.3">
      <c r="A133" s="190"/>
      <c r="B133" s="191"/>
      <c r="C133" s="192"/>
      <c r="D133" s="193"/>
      <c r="E133" s="194" t="s">
        <v>214</v>
      </c>
      <c r="F133" s="195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196" t="str">
        <f>IFERROR(ROUNDUP(D133/F133,0),"")</f>
        <v/>
      </c>
      <c r="H133" s="197"/>
      <c r="I133" s="193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</row>
    <row r="134" spans="1:13" ht="21" customHeight="1" x14ac:dyDescent="0.3">
      <c r="A134" s="190"/>
      <c r="B134" s="191"/>
      <c r="C134" s="192"/>
      <c r="D134" s="193"/>
      <c r="E134" s="194" t="s">
        <v>214</v>
      </c>
      <c r="F134" s="195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196" t="str">
        <f>IFERROR(ROUNDUP(D134/F134,0),"")</f>
        <v/>
      </c>
      <c r="H134" s="197"/>
      <c r="I134" s="193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</row>
    <row r="135" spans="1:13" ht="21" customHeight="1" x14ac:dyDescent="0.3">
      <c r="A135" s="190"/>
      <c r="B135" s="191"/>
      <c r="C135" s="192"/>
      <c r="D135" s="193"/>
      <c r="E135" s="194" t="s">
        <v>214</v>
      </c>
      <c r="F135" s="195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196" t="str">
        <f>IFERROR(ROUNDUP(D135/F135,0),"")</f>
        <v/>
      </c>
      <c r="H135" s="197"/>
      <c r="I135" s="193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</row>
    <row r="136" spans="1:13" ht="21" customHeight="1" x14ac:dyDescent="0.3">
      <c r="A136" s="190"/>
      <c r="B136" s="191"/>
      <c r="C136" s="192"/>
      <c r="D136" s="193"/>
      <c r="E136" s="194" t="s">
        <v>214</v>
      </c>
      <c r="F136" s="195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196" t="str">
        <f>IFERROR(ROUNDUP(D136/F136,0),"")</f>
        <v/>
      </c>
      <c r="H136" s="197"/>
      <c r="I136" s="193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</row>
    <row r="137" spans="1:13" ht="15" customHeight="1" x14ac:dyDescent="0.3">
      <c r="A137" s="198"/>
      <c r="B137" s="199" t="s">
        <v>216</v>
      </c>
      <c r="C137" s="200"/>
      <c r="D137" s="201">
        <f>SUM(D130:D136)</f>
        <v>0</v>
      </c>
      <c r="E137" s="202"/>
      <c r="F137" s="202"/>
      <c r="G137" s="203">
        <f>SUM(G130:G136)</f>
        <v>0</v>
      </c>
      <c r="H137" s="201">
        <f>SUM(H130:H136)</f>
        <v>0</v>
      </c>
      <c r="I137" s="201">
        <f>SUM(I130:I136)</f>
        <v>0</v>
      </c>
      <c r="J137" s="28">
        <f>D137</f>
        <v>0</v>
      </c>
      <c r="K137" s="106">
        <f>G137</f>
        <v>0</v>
      </c>
      <c r="L137" s="28">
        <f>H137</f>
        <v>0</v>
      </c>
      <c r="M137" s="28">
        <f>I137</f>
        <v>0</v>
      </c>
    </row>
    <row r="138" spans="1:13" ht="6" customHeight="1" x14ac:dyDescent="0.3">
      <c r="C138" s="72"/>
    </row>
    <row r="139" spans="1:13" ht="15" customHeight="1" x14ac:dyDescent="0.3">
      <c r="A139" s="30">
        <v>46192</v>
      </c>
      <c r="B139" s="186" t="s">
        <v>78</v>
      </c>
      <c r="C139" s="187" t="s">
        <v>205</v>
      </c>
      <c r="D139" s="188" t="s">
        <v>206</v>
      </c>
      <c r="E139" s="188" t="s">
        <v>207</v>
      </c>
      <c r="F139" s="189" t="s">
        <v>208</v>
      </c>
      <c r="G139" s="188" t="s">
        <v>209</v>
      </c>
      <c r="H139" s="188" t="s">
        <v>210</v>
      </c>
      <c r="I139" s="188" t="s">
        <v>211</v>
      </c>
    </row>
    <row r="140" spans="1:13" ht="21" customHeight="1" x14ac:dyDescent="0.3">
      <c r="A140" s="190"/>
      <c r="B140" s="191"/>
      <c r="C140" s="192"/>
      <c r="D140" s="193"/>
      <c r="E140" s="194" t="s">
        <v>214</v>
      </c>
      <c r="F140" s="195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196" t="str">
        <f>IFERROR(ROUNDUP(D140/F140,0),"")</f>
        <v/>
      </c>
      <c r="H140" s="197"/>
      <c r="I140" s="193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</row>
    <row r="141" spans="1:13" ht="21" customHeight="1" x14ac:dyDescent="0.3">
      <c r="A141" s="190"/>
      <c r="B141" s="191"/>
      <c r="C141" s="192"/>
      <c r="D141" s="193"/>
      <c r="E141" s="194" t="s">
        <v>214</v>
      </c>
      <c r="F141" s="195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196" t="str">
        <f>IFERROR(ROUNDUP(D141/F141,0),"")</f>
        <v/>
      </c>
      <c r="H141" s="197"/>
      <c r="I141" s="193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</row>
    <row r="142" spans="1:13" ht="21" customHeight="1" x14ac:dyDescent="0.3">
      <c r="A142" s="190"/>
      <c r="B142" s="191"/>
      <c r="C142" s="192"/>
      <c r="D142" s="193"/>
      <c r="E142" s="194" t="s">
        <v>214</v>
      </c>
      <c r="F142" s="195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196" t="str">
        <f>IFERROR(ROUNDUP(D142/F142,0),"")</f>
        <v/>
      </c>
      <c r="H142" s="197"/>
      <c r="I142" s="193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</row>
    <row r="143" spans="1:13" ht="21" customHeight="1" x14ac:dyDescent="0.3">
      <c r="A143" s="190"/>
      <c r="B143" s="191"/>
      <c r="C143" s="192"/>
      <c r="D143" s="193"/>
      <c r="E143" s="194" t="s">
        <v>214</v>
      </c>
      <c r="F143" s="195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196" t="str">
        <f>IFERROR(ROUNDUP(D143/F143,0),"")</f>
        <v/>
      </c>
      <c r="H143" s="197"/>
      <c r="I143" s="193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</row>
    <row r="144" spans="1:13" ht="21" customHeight="1" x14ac:dyDescent="0.3">
      <c r="A144" s="190"/>
      <c r="B144" s="191"/>
      <c r="C144" s="192"/>
      <c r="D144" s="193"/>
      <c r="E144" s="194" t="s">
        <v>214</v>
      </c>
      <c r="F144" s="195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196" t="str">
        <f>IFERROR(ROUNDUP(D144/F144,0),"")</f>
        <v/>
      </c>
      <c r="H144" s="197"/>
      <c r="I144" s="193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</row>
    <row r="145" spans="1:13" ht="15" customHeight="1" x14ac:dyDescent="0.3">
      <c r="A145" s="198"/>
      <c r="B145" s="199" t="s">
        <v>216</v>
      </c>
      <c r="C145" s="200"/>
      <c r="D145" s="201">
        <f>SUM(D138:D144)</f>
        <v>0</v>
      </c>
      <c r="E145" s="202"/>
      <c r="F145" s="202"/>
      <c r="G145" s="203">
        <f>SUM(G138:G144)</f>
        <v>0</v>
      </c>
      <c r="H145" s="201">
        <f>SUM(H138:H144)</f>
        <v>0</v>
      </c>
      <c r="I145" s="201">
        <f>SUM(I138:I144)</f>
        <v>0</v>
      </c>
      <c r="J145" s="28">
        <f>D145</f>
        <v>0</v>
      </c>
      <c r="K145" s="106">
        <f>G145</f>
        <v>0</v>
      </c>
      <c r="L145" s="28">
        <f>H145</f>
        <v>0</v>
      </c>
      <c r="M145" s="28">
        <f>I145</f>
        <v>0</v>
      </c>
    </row>
    <row r="146" spans="1:13" ht="6" customHeight="1" x14ac:dyDescent="0.3">
      <c r="C146" s="72"/>
    </row>
    <row r="147" spans="1:13" ht="15" customHeight="1" x14ac:dyDescent="0.3">
      <c r="A147" s="235">
        <v>46193</v>
      </c>
      <c r="B147" s="186" t="s">
        <v>78</v>
      </c>
      <c r="C147" s="187" t="s">
        <v>205</v>
      </c>
      <c r="D147" s="188" t="s">
        <v>206</v>
      </c>
      <c r="E147" s="188" t="s">
        <v>207</v>
      </c>
      <c r="F147" s="236" t="s">
        <v>208</v>
      </c>
      <c r="G147" s="188" t="s">
        <v>209</v>
      </c>
      <c r="H147" s="188" t="s">
        <v>210</v>
      </c>
      <c r="I147" s="188" t="s">
        <v>211</v>
      </c>
      <c r="J147" s="237"/>
      <c r="K147" s="237"/>
      <c r="L147" s="237"/>
      <c r="M147" s="237"/>
    </row>
    <row r="148" spans="1:13" ht="21" customHeight="1" x14ac:dyDescent="0.3">
      <c r="A148" s="190"/>
      <c r="B148" s="238"/>
      <c r="C148" s="239"/>
      <c r="D148" s="240"/>
      <c r="E148" s="241" t="s">
        <v>214</v>
      </c>
      <c r="F148" s="242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243" t="str">
        <f>IFERROR(ROUNDUP(D148/F148,0),"")</f>
        <v/>
      </c>
      <c r="H148" s="197"/>
      <c r="I148" s="240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  <c r="J148" s="237"/>
      <c r="K148" s="237"/>
      <c r="L148" s="237"/>
      <c r="M148" s="237"/>
    </row>
    <row r="149" spans="1:13" ht="21" customHeight="1" x14ac:dyDescent="0.3">
      <c r="A149" s="190"/>
      <c r="B149" s="238"/>
      <c r="C149" s="239"/>
      <c r="D149" s="240"/>
      <c r="E149" s="241" t="s">
        <v>214</v>
      </c>
      <c r="F149" s="242" t="str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243" t="str">
        <f>IFERROR(ROUNDUP(D149/F149,0),"")</f>
        <v/>
      </c>
      <c r="H149" s="197"/>
      <c r="I149" s="240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  <c r="J149" s="237"/>
      <c r="K149" s="237"/>
      <c r="L149" s="237"/>
      <c r="M149" s="237"/>
    </row>
    <row r="150" spans="1:13" ht="21" customHeight="1" x14ac:dyDescent="0.3">
      <c r="A150" s="190"/>
      <c r="B150" s="238"/>
      <c r="C150" s="239"/>
      <c r="D150" s="240"/>
      <c r="E150" s="241" t="s">
        <v>214</v>
      </c>
      <c r="F150" s="242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243" t="str">
        <f>IFERROR(ROUNDUP(D150/F150,0),"")</f>
        <v/>
      </c>
      <c r="H150" s="197"/>
      <c r="I150" s="240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  <c r="J150" s="237"/>
      <c r="K150" s="237"/>
      <c r="L150" s="237"/>
      <c r="M150" s="237"/>
    </row>
    <row r="151" spans="1:13" ht="21" customHeight="1" x14ac:dyDescent="0.3">
      <c r="A151" s="190"/>
      <c r="B151" s="238"/>
      <c r="C151" s="239"/>
      <c r="D151" s="240"/>
      <c r="E151" s="241" t="s">
        <v>214</v>
      </c>
      <c r="F151" s="242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243" t="str">
        <f>IFERROR(ROUNDUP(D151/F151,0),"")</f>
        <v/>
      </c>
      <c r="H151" s="197"/>
      <c r="I151" s="240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  <c r="J151" s="237"/>
      <c r="K151" s="237"/>
      <c r="L151" s="237"/>
      <c r="M151" s="237"/>
    </row>
    <row r="152" spans="1:13" ht="21" customHeight="1" x14ac:dyDescent="0.3">
      <c r="A152" s="190"/>
      <c r="B152" s="238"/>
      <c r="C152" s="239"/>
      <c r="D152" s="240"/>
      <c r="E152" s="241" t="s">
        <v>214</v>
      </c>
      <c r="F152" s="242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243" t="str">
        <f>IFERROR(ROUNDUP(D152/F152,0),"")</f>
        <v/>
      </c>
      <c r="H152" s="197"/>
      <c r="I152" s="240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  <c r="J152" s="237"/>
      <c r="K152" s="237"/>
      <c r="L152" s="237"/>
      <c r="M152" s="237"/>
    </row>
    <row r="153" spans="1:13" ht="15" customHeight="1" x14ac:dyDescent="0.3">
      <c r="A153" s="244"/>
      <c r="B153" s="199" t="s">
        <v>216</v>
      </c>
      <c r="C153" s="245"/>
      <c r="D153" s="201">
        <f>SUM(D146:D152)</f>
        <v>0</v>
      </c>
      <c r="E153" s="246"/>
      <c r="F153" s="246"/>
      <c r="G153" s="203">
        <f>SUM(G146:G152)</f>
        <v>0</v>
      </c>
      <c r="H153" s="201">
        <f>SUM(H146:H152)</f>
        <v>0</v>
      </c>
      <c r="I153" s="201">
        <f>SUM(I146:I152)</f>
        <v>0</v>
      </c>
      <c r="J153" s="247">
        <f>D153</f>
        <v>0</v>
      </c>
      <c r="K153" s="248">
        <f>G153</f>
        <v>0</v>
      </c>
      <c r="L153" s="247">
        <f>H153</f>
        <v>0</v>
      </c>
      <c r="M153" s="247">
        <f>I153</f>
        <v>0</v>
      </c>
    </row>
    <row r="154" spans="1:13" ht="6" customHeight="1" x14ac:dyDescent="0.3">
      <c r="A154" s="237"/>
      <c r="B154" s="237"/>
      <c r="C154" s="249"/>
      <c r="D154" s="237"/>
      <c r="E154" s="237"/>
      <c r="F154" s="237"/>
      <c r="G154" s="237"/>
      <c r="H154" s="237"/>
      <c r="I154" s="237"/>
      <c r="J154" s="237"/>
      <c r="K154" s="237"/>
      <c r="L154" s="237"/>
      <c r="M154" s="237"/>
    </row>
    <row r="155" spans="1:13" ht="15" customHeight="1" x14ac:dyDescent="0.3">
      <c r="A155" s="30">
        <v>46195</v>
      </c>
      <c r="B155" s="186" t="s">
        <v>78</v>
      </c>
      <c r="C155" s="187" t="s">
        <v>205</v>
      </c>
      <c r="D155" s="188" t="s">
        <v>206</v>
      </c>
      <c r="E155" s="188" t="s">
        <v>207</v>
      </c>
      <c r="F155" s="189" t="s">
        <v>208</v>
      </c>
      <c r="G155" s="188" t="s">
        <v>209</v>
      </c>
      <c r="H155" s="188" t="s">
        <v>210</v>
      </c>
      <c r="I155" s="188" t="s">
        <v>211</v>
      </c>
    </row>
    <row r="156" spans="1:13" ht="21" customHeight="1" x14ac:dyDescent="0.3">
      <c r="A156" s="190"/>
      <c r="B156" s="191"/>
      <c r="C156" s="192"/>
      <c r="D156" s="193"/>
      <c r="E156" s="194" t="s">
        <v>214</v>
      </c>
      <c r="F156" s="195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196" t="str">
        <f>IFERROR(ROUNDUP(D156/F156,0),"")</f>
        <v/>
      </c>
      <c r="H156" s="197"/>
      <c r="I156" s="193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21" customHeight="1" x14ac:dyDescent="0.3">
      <c r="A157" s="190"/>
      <c r="B157" s="191"/>
      <c r="C157" s="192"/>
      <c r="D157" s="193"/>
      <c r="E157" s="194" t="s">
        <v>214</v>
      </c>
      <c r="F157" s="195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196" t="str">
        <f>IFERROR(ROUNDUP(D157/F157,0),"")</f>
        <v/>
      </c>
      <c r="H157" s="197"/>
      <c r="I157" s="193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</row>
    <row r="158" spans="1:13" ht="21" customHeight="1" x14ac:dyDescent="0.3">
      <c r="A158" s="190"/>
      <c r="B158" s="191"/>
      <c r="C158" s="192"/>
      <c r="D158" s="193"/>
      <c r="E158" s="194" t="s">
        <v>214</v>
      </c>
      <c r="F158" s="195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196" t="str">
        <f>IFERROR(ROUNDUP(D158/F158,0),"")</f>
        <v/>
      </c>
      <c r="H158" s="197"/>
      <c r="I158" s="193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</row>
    <row r="159" spans="1:13" ht="21" customHeight="1" x14ac:dyDescent="0.3">
      <c r="A159" s="190"/>
      <c r="B159" s="191"/>
      <c r="C159" s="192"/>
      <c r="D159" s="193"/>
      <c r="E159" s="194" t="s">
        <v>214</v>
      </c>
      <c r="F159" s="195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196" t="str">
        <f>IFERROR(ROUNDUP(D159/F159,0),"")</f>
        <v/>
      </c>
      <c r="H159" s="197"/>
      <c r="I159" s="193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3">
      <c r="A160" s="190"/>
      <c r="B160" s="191"/>
      <c r="C160" s="192"/>
      <c r="D160" s="193"/>
      <c r="E160" s="194" t="s">
        <v>214</v>
      </c>
      <c r="F160" s="195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196" t="str">
        <f>IFERROR(ROUNDUP(D160/F160,0),"")</f>
        <v/>
      </c>
      <c r="H160" s="197"/>
      <c r="I160" s="193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15" customHeight="1" x14ac:dyDescent="0.3">
      <c r="A161" s="198"/>
      <c r="B161" s="199" t="s">
        <v>216</v>
      </c>
      <c r="C161" s="200"/>
      <c r="D161" s="201">
        <f>SUM(D154:D160)</f>
        <v>0</v>
      </c>
      <c r="E161" s="202"/>
      <c r="F161" s="202"/>
      <c r="G161" s="203">
        <f>SUM(G154:G160)</f>
        <v>0</v>
      </c>
      <c r="H161" s="201">
        <f>SUM(H154:H160)</f>
        <v>0</v>
      </c>
      <c r="I161" s="201">
        <f>SUM(I154:I160)</f>
        <v>0</v>
      </c>
      <c r="J161" s="28">
        <f>D161</f>
        <v>0</v>
      </c>
      <c r="K161" s="106">
        <f>G161</f>
        <v>0</v>
      </c>
      <c r="L161" s="28">
        <f>H161</f>
        <v>0</v>
      </c>
      <c r="M161" s="28">
        <f>I161</f>
        <v>0</v>
      </c>
    </row>
    <row r="162" spans="1:13" ht="6" customHeight="1" x14ac:dyDescent="0.3">
      <c r="C162" s="72"/>
    </row>
    <row r="163" spans="1:13" ht="15" customHeight="1" x14ac:dyDescent="0.3">
      <c r="A163" s="30">
        <v>46196</v>
      </c>
      <c r="B163" s="186" t="s">
        <v>78</v>
      </c>
      <c r="C163" s="187" t="s">
        <v>205</v>
      </c>
      <c r="D163" s="188" t="s">
        <v>206</v>
      </c>
      <c r="E163" s="188" t="s">
        <v>207</v>
      </c>
      <c r="F163" s="189" t="s">
        <v>208</v>
      </c>
      <c r="G163" s="188" t="s">
        <v>209</v>
      </c>
      <c r="H163" s="188" t="s">
        <v>210</v>
      </c>
      <c r="I163" s="188" t="s">
        <v>211</v>
      </c>
    </row>
    <row r="164" spans="1:13" ht="21" customHeight="1" x14ac:dyDescent="0.3">
      <c r="A164" s="190"/>
      <c r="B164" s="191"/>
      <c r="C164" s="192"/>
      <c r="D164" s="193"/>
      <c r="E164" s="194" t="s">
        <v>214</v>
      </c>
      <c r="F164" s="195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196" t="str">
        <f>IFERROR(ROUNDUP(D164/F164,0),"")</f>
        <v/>
      </c>
      <c r="H164" s="197"/>
      <c r="I164" s="193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</row>
    <row r="165" spans="1:13" ht="21" customHeight="1" x14ac:dyDescent="0.3">
      <c r="A165" s="190"/>
      <c r="B165" s="191"/>
      <c r="C165" s="192"/>
      <c r="D165" s="193"/>
      <c r="E165" s="194" t="s">
        <v>214</v>
      </c>
      <c r="F165" s="195" t="str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196" t="str">
        <f>IFERROR(ROUNDUP(D165/F165,0),"")</f>
        <v/>
      </c>
      <c r="H165" s="197"/>
      <c r="I165" s="193" t="str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</row>
    <row r="166" spans="1:13" ht="21" customHeight="1" x14ac:dyDescent="0.3">
      <c r="A166" s="190"/>
      <c r="B166" s="191"/>
      <c r="C166" s="192"/>
      <c r="D166" s="193"/>
      <c r="E166" s="194" t="s">
        <v>214</v>
      </c>
      <c r="F166" s="195" t="str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196" t="str">
        <f>IFERROR(ROUNDUP(D166/F166,0),"")</f>
        <v/>
      </c>
      <c r="H166" s="197"/>
      <c r="I166" s="193" t="str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</row>
    <row r="167" spans="1:13" ht="21" customHeight="1" x14ac:dyDescent="0.3">
      <c r="A167" s="190"/>
      <c r="B167" s="191"/>
      <c r="C167" s="192"/>
      <c r="D167" s="193"/>
      <c r="E167" s="194" t="s">
        <v>214</v>
      </c>
      <c r="F167" s="195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196" t="str">
        <f>IFERROR(ROUNDUP(D167/F167,0),"")</f>
        <v/>
      </c>
      <c r="H167" s="197"/>
      <c r="I167" s="193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</row>
    <row r="168" spans="1:13" ht="21" customHeight="1" x14ac:dyDescent="0.3">
      <c r="A168" s="190"/>
      <c r="B168" s="191"/>
      <c r="C168" s="192"/>
      <c r="D168" s="193"/>
      <c r="E168" s="194" t="s">
        <v>214</v>
      </c>
      <c r="F168" s="195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196" t="str">
        <f>IFERROR(ROUNDUP(D168/F168,0),"")</f>
        <v/>
      </c>
      <c r="H168" s="197"/>
      <c r="I168" s="193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</row>
    <row r="169" spans="1:13" ht="15" customHeight="1" x14ac:dyDescent="0.3">
      <c r="A169" s="198"/>
      <c r="B169" s="199" t="s">
        <v>216</v>
      </c>
      <c r="C169" s="200"/>
      <c r="D169" s="201">
        <f>SUM(D162:D168)</f>
        <v>0</v>
      </c>
      <c r="E169" s="202"/>
      <c r="F169" s="202"/>
      <c r="G169" s="203">
        <f>SUM(G162:G168)</f>
        <v>0</v>
      </c>
      <c r="H169" s="201">
        <f>SUM(H162:H168)</f>
        <v>0</v>
      </c>
      <c r="I169" s="201">
        <f>SUM(I162:I168)</f>
        <v>0</v>
      </c>
      <c r="J169" s="28">
        <f>D169</f>
        <v>0</v>
      </c>
      <c r="K169" s="106">
        <f>G169</f>
        <v>0</v>
      </c>
      <c r="L169" s="28">
        <f>H169</f>
        <v>0</v>
      </c>
      <c r="M169" s="28">
        <f>I169</f>
        <v>0</v>
      </c>
    </row>
    <row r="170" spans="1:13" ht="6" customHeight="1" x14ac:dyDescent="0.3">
      <c r="C170" s="72"/>
    </row>
    <row r="171" spans="1:13" ht="15" customHeight="1" x14ac:dyDescent="0.3">
      <c r="A171" s="30">
        <v>46197</v>
      </c>
      <c r="B171" s="186" t="s">
        <v>78</v>
      </c>
      <c r="C171" s="187" t="s">
        <v>205</v>
      </c>
      <c r="D171" s="188" t="s">
        <v>206</v>
      </c>
      <c r="E171" s="188" t="s">
        <v>207</v>
      </c>
      <c r="F171" s="189" t="s">
        <v>208</v>
      </c>
      <c r="G171" s="188" t="s">
        <v>209</v>
      </c>
      <c r="H171" s="188" t="s">
        <v>210</v>
      </c>
      <c r="I171" s="188" t="s">
        <v>211</v>
      </c>
    </row>
    <row r="172" spans="1:13" ht="21" customHeight="1" x14ac:dyDescent="0.3">
      <c r="A172" s="190"/>
      <c r="B172" s="191"/>
      <c r="C172" s="192"/>
      <c r="D172" s="193"/>
      <c r="E172" s="194" t="s">
        <v>214</v>
      </c>
      <c r="F172" s="195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196" t="str">
        <f>IFERROR(ROUNDUP(D172/F172,0),"")</f>
        <v/>
      </c>
      <c r="H172" s="197"/>
      <c r="I172" s="193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</row>
    <row r="173" spans="1:13" ht="21" customHeight="1" x14ac:dyDescent="0.3">
      <c r="A173" s="190"/>
      <c r="B173" s="191"/>
      <c r="C173" s="192"/>
      <c r="D173" s="193"/>
      <c r="E173" s="194" t="s">
        <v>214</v>
      </c>
      <c r="F173" s="195" t="str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196" t="str">
        <f>IFERROR(ROUNDUP(D173/F173,0),"")</f>
        <v/>
      </c>
      <c r="H173" s="197"/>
      <c r="I173" s="193" t="str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</row>
    <row r="174" spans="1:13" ht="21" customHeight="1" x14ac:dyDescent="0.3">
      <c r="A174" s="190"/>
      <c r="B174" s="191"/>
      <c r="C174" s="192"/>
      <c r="D174" s="193"/>
      <c r="E174" s="194" t="s">
        <v>214</v>
      </c>
      <c r="F174" s="195" t="str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196" t="str">
        <f>IFERROR(ROUNDUP(D174/F174,0),"")</f>
        <v/>
      </c>
      <c r="H174" s="197"/>
      <c r="I174" s="193" t="str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</row>
    <row r="175" spans="1:13" ht="21" customHeight="1" x14ac:dyDescent="0.3">
      <c r="A175" s="190"/>
      <c r="B175" s="191"/>
      <c r="C175" s="192"/>
      <c r="D175" s="193"/>
      <c r="E175" s="194" t="s">
        <v>214</v>
      </c>
      <c r="F175" s="195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196" t="str">
        <f>IFERROR(ROUNDUP(D175/F175,0),"")</f>
        <v/>
      </c>
      <c r="H175" s="197"/>
      <c r="I175" s="193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</row>
    <row r="176" spans="1:13" ht="21" customHeight="1" x14ac:dyDescent="0.3">
      <c r="A176" s="190"/>
      <c r="B176" s="191"/>
      <c r="C176" s="192"/>
      <c r="D176" s="193"/>
      <c r="E176" s="194" t="s">
        <v>214</v>
      </c>
      <c r="F176" s="195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196" t="str">
        <f>IFERROR(ROUNDUP(D176/F176,0),"")</f>
        <v/>
      </c>
      <c r="H176" s="197"/>
      <c r="I176" s="193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</row>
    <row r="177" spans="1:13" ht="15" customHeight="1" x14ac:dyDescent="0.3">
      <c r="A177" s="198"/>
      <c r="B177" s="199" t="s">
        <v>216</v>
      </c>
      <c r="C177" s="200"/>
      <c r="D177" s="201">
        <f>SUM(D170:D176)</f>
        <v>0</v>
      </c>
      <c r="E177" s="202"/>
      <c r="F177" s="202"/>
      <c r="G177" s="203">
        <f>SUM(G170:G176)</f>
        <v>0</v>
      </c>
      <c r="H177" s="201">
        <f>SUM(H170:H176)</f>
        <v>0</v>
      </c>
      <c r="I177" s="201">
        <f>SUM(I170:I176)</f>
        <v>0</v>
      </c>
      <c r="J177" s="28">
        <f>D177</f>
        <v>0</v>
      </c>
      <c r="K177" s="106">
        <f>G177</f>
        <v>0</v>
      </c>
      <c r="L177" s="28">
        <f>H177</f>
        <v>0</v>
      </c>
      <c r="M177" s="28">
        <f>I177</f>
        <v>0</v>
      </c>
    </row>
    <row r="178" spans="1:13" ht="6" customHeight="1" x14ac:dyDescent="0.3">
      <c r="C178" s="72"/>
    </row>
    <row r="179" spans="1:13" ht="15" customHeight="1" x14ac:dyDescent="0.3">
      <c r="A179" s="30">
        <v>46198</v>
      </c>
      <c r="B179" s="186" t="s">
        <v>78</v>
      </c>
      <c r="C179" s="187" t="s">
        <v>205</v>
      </c>
      <c r="D179" s="188" t="s">
        <v>206</v>
      </c>
      <c r="E179" s="188" t="s">
        <v>207</v>
      </c>
      <c r="F179" s="189" t="s">
        <v>208</v>
      </c>
      <c r="G179" s="188" t="s">
        <v>209</v>
      </c>
      <c r="H179" s="188" t="s">
        <v>210</v>
      </c>
      <c r="I179" s="188" t="s">
        <v>211</v>
      </c>
    </row>
    <row r="180" spans="1:13" ht="21" customHeight="1" x14ac:dyDescent="0.3">
      <c r="A180" s="190"/>
      <c r="B180" s="191"/>
      <c r="C180" s="192"/>
      <c r="D180" s="193"/>
      <c r="E180" s="194" t="s">
        <v>214</v>
      </c>
      <c r="F180" s="195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196" t="str">
        <f>IFERROR(ROUNDUP(D180/F180,0),"")</f>
        <v/>
      </c>
      <c r="H180" s="197"/>
      <c r="I180" s="193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</row>
    <row r="181" spans="1:13" ht="21" customHeight="1" x14ac:dyDescent="0.3">
      <c r="A181" s="190"/>
      <c r="B181" s="191"/>
      <c r="C181" s="192"/>
      <c r="D181" s="193"/>
      <c r="E181" s="194" t="s">
        <v>214</v>
      </c>
      <c r="F181" s="195" t="str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196" t="str">
        <f>IFERROR(ROUNDUP(D181/F181,0),"")</f>
        <v/>
      </c>
      <c r="H181" s="197"/>
      <c r="I181" s="193" t="str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</row>
    <row r="182" spans="1:13" ht="21" customHeight="1" x14ac:dyDescent="0.3">
      <c r="A182" s="190"/>
      <c r="B182" s="191"/>
      <c r="C182" s="192"/>
      <c r="D182" s="193"/>
      <c r="E182" s="194" t="s">
        <v>214</v>
      </c>
      <c r="F182" s="195" t="str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196" t="str">
        <f>IFERROR(ROUNDUP(D182/F182,0),"")</f>
        <v/>
      </c>
      <c r="H182" s="197"/>
      <c r="I182" s="193" t="str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</row>
    <row r="183" spans="1:13" ht="21" customHeight="1" x14ac:dyDescent="0.3">
      <c r="A183" s="190"/>
      <c r="B183" s="191"/>
      <c r="C183" s="192"/>
      <c r="D183" s="193"/>
      <c r="E183" s="194" t="s">
        <v>214</v>
      </c>
      <c r="F183" s="195" t="str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196" t="str">
        <f>IFERROR(ROUNDUP(D183/F183,0),"")</f>
        <v/>
      </c>
      <c r="H183" s="197"/>
      <c r="I183" s="193" t="str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</row>
    <row r="184" spans="1:13" ht="21" customHeight="1" x14ac:dyDescent="0.3">
      <c r="A184" s="190"/>
      <c r="B184" s="191"/>
      <c r="C184" s="192"/>
      <c r="D184" s="193"/>
      <c r="E184" s="194" t="s">
        <v>214</v>
      </c>
      <c r="F184" s="195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196" t="str">
        <f>IFERROR(ROUNDUP(D184/F184,0),"")</f>
        <v/>
      </c>
      <c r="H184" s="197"/>
      <c r="I184" s="193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</row>
    <row r="185" spans="1:13" ht="15" customHeight="1" x14ac:dyDescent="0.3">
      <c r="A185" s="198"/>
      <c r="B185" s="199" t="s">
        <v>216</v>
      </c>
      <c r="C185" s="200"/>
      <c r="D185" s="201">
        <f>SUM(D178:D184)</f>
        <v>0</v>
      </c>
      <c r="E185" s="202"/>
      <c r="F185" s="202"/>
      <c r="G185" s="203">
        <f>SUM(G178:G184)</f>
        <v>0</v>
      </c>
      <c r="H185" s="201">
        <f>SUM(H178:H184)</f>
        <v>0</v>
      </c>
      <c r="I185" s="201">
        <f>SUM(I178:I184)</f>
        <v>0</v>
      </c>
      <c r="J185" s="28">
        <f>D185</f>
        <v>0</v>
      </c>
      <c r="K185" s="106">
        <f>G185</f>
        <v>0</v>
      </c>
      <c r="L185" s="28">
        <f>H185</f>
        <v>0</v>
      </c>
      <c r="M185" s="28">
        <f>I185</f>
        <v>0</v>
      </c>
    </row>
    <row r="186" spans="1:13" ht="6" customHeight="1" x14ac:dyDescent="0.3">
      <c r="C186" s="72"/>
    </row>
    <row r="187" spans="1:13" ht="14.25" customHeight="1" x14ac:dyDescent="0.3">
      <c r="A187" s="30">
        <v>46199</v>
      </c>
      <c r="B187" s="186" t="s">
        <v>78</v>
      </c>
      <c r="C187" s="187" t="s">
        <v>205</v>
      </c>
      <c r="D187" s="188" t="s">
        <v>206</v>
      </c>
      <c r="E187" s="188" t="s">
        <v>207</v>
      </c>
      <c r="F187" s="189" t="s">
        <v>208</v>
      </c>
      <c r="G187" s="188" t="s">
        <v>209</v>
      </c>
      <c r="H187" s="188" t="s">
        <v>210</v>
      </c>
      <c r="I187" s="188" t="s">
        <v>211</v>
      </c>
    </row>
    <row r="188" spans="1:13" ht="21" customHeight="1" x14ac:dyDescent="0.3">
      <c r="A188" s="190"/>
      <c r="B188" s="191"/>
      <c r="C188" s="192"/>
      <c r="D188" s="193"/>
      <c r="E188" s="194" t="s">
        <v>214</v>
      </c>
      <c r="F188" s="195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196" t="str">
        <f>IFERROR(ROUNDUP(D188/F188,0),"")</f>
        <v/>
      </c>
      <c r="H188" s="197"/>
      <c r="I188" s="193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</row>
    <row r="189" spans="1:13" ht="21" customHeight="1" x14ac:dyDescent="0.3">
      <c r="A189" s="190"/>
      <c r="B189" s="191"/>
      <c r="C189" s="192"/>
      <c r="D189" s="193"/>
      <c r="E189" s="194" t="s">
        <v>214</v>
      </c>
      <c r="F189" s="195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196" t="str">
        <f>IFERROR(ROUNDUP(D189/F189,0),"")</f>
        <v/>
      </c>
      <c r="H189" s="197"/>
      <c r="I189" s="193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</row>
    <row r="190" spans="1:13" ht="21" customHeight="1" x14ac:dyDescent="0.3">
      <c r="A190" s="190"/>
      <c r="B190" s="191"/>
      <c r="C190" s="192"/>
      <c r="D190" s="193"/>
      <c r="E190" s="194" t="s">
        <v>214</v>
      </c>
      <c r="F190" s="195" t="str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196" t="str">
        <f>IFERROR(ROUNDUP(D190/F190,0),"")</f>
        <v/>
      </c>
      <c r="H190" s="197"/>
      <c r="I190" s="193" t="str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</row>
    <row r="191" spans="1:13" ht="21" customHeight="1" x14ac:dyDescent="0.3">
      <c r="A191" s="190"/>
      <c r="B191" s="191"/>
      <c r="C191" s="192"/>
      <c r="D191" s="193"/>
      <c r="E191" s="194" t="s">
        <v>214</v>
      </c>
      <c r="F191" s="195" t="str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196" t="str">
        <f>IFERROR(ROUNDUP(D191/F191,0),"")</f>
        <v/>
      </c>
      <c r="H191" s="197"/>
      <c r="I191" s="193" t="str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</row>
    <row r="192" spans="1:13" ht="21" customHeight="1" x14ac:dyDescent="0.3">
      <c r="A192" s="190"/>
      <c r="B192" s="191"/>
      <c r="C192" s="192"/>
      <c r="D192" s="193"/>
      <c r="E192" s="194" t="s">
        <v>214</v>
      </c>
      <c r="F192" s="195" t="str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196" t="str">
        <f>IFERROR(ROUNDUP(D192/F192,0),"")</f>
        <v/>
      </c>
      <c r="H192" s="197"/>
      <c r="I192" s="193" t="str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</row>
    <row r="193" spans="1:13" ht="14.25" customHeight="1" x14ac:dyDescent="0.3">
      <c r="A193" s="198"/>
      <c r="B193" s="199" t="s">
        <v>216</v>
      </c>
      <c r="C193" s="200"/>
      <c r="D193" s="201">
        <f>SUM(D186:D192)</f>
        <v>0</v>
      </c>
      <c r="E193" s="202"/>
      <c r="F193" s="202"/>
      <c r="G193" s="203">
        <f>SUM(G186:G192)</f>
        <v>0</v>
      </c>
      <c r="H193" s="201">
        <f>SUM(H186:H192)</f>
        <v>0</v>
      </c>
      <c r="I193" s="201">
        <f>SUM(I186:I192)</f>
        <v>0</v>
      </c>
      <c r="J193" s="28">
        <f>D193</f>
        <v>0</v>
      </c>
      <c r="K193" s="106">
        <f>G193</f>
        <v>0</v>
      </c>
      <c r="L193" s="28">
        <f>H193</f>
        <v>0</v>
      </c>
      <c r="M193" s="28">
        <f>I193</f>
        <v>0</v>
      </c>
    </row>
    <row r="194" spans="1:13" ht="14.25" customHeight="1" x14ac:dyDescent="0.3">
      <c r="C194" s="72"/>
    </row>
    <row r="195" spans="1:13" ht="14.25" customHeight="1" x14ac:dyDescent="0.3">
      <c r="A195" s="235">
        <v>46200</v>
      </c>
      <c r="B195" s="186" t="s">
        <v>78</v>
      </c>
      <c r="C195" s="187" t="s">
        <v>205</v>
      </c>
      <c r="D195" s="188" t="s">
        <v>206</v>
      </c>
      <c r="E195" s="188" t="s">
        <v>207</v>
      </c>
      <c r="F195" s="236" t="s">
        <v>208</v>
      </c>
      <c r="G195" s="188" t="s">
        <v>209</v>
      </c>
      <c r="H195" s="188" t="s">
        <v>210</v>
      </c>
      <c r="I195" s="188" t="s">
        <v>211</v>
      </c>
      <c r="J195" s="237"/>
      <c r="K195" s="237"/>
      <c r="L195" s="237"/>
      <c r="M195" s="237"/>
    </row>
    <row r="196" spans="1:13" ht="21" customHeight="1" x14ac:dyDescent="0.3">
      <c r="A196" s="190"/>
      <c r="B196" s="238"/>
      <c r="C196" s="239"/>
      <c r="D196" s="240"/>
      <c r="E196" s="241" t="s">
        <v>214</v>
      </c>
      <c r="F196" s="242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243" t="str">
        <f>IFERROR(ROUNDUP(D196/F196,0),"")</f>
        <v/>
      </c>
      <c r="H196" s="197"/>
      <c r="I196" s="240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  <c r="J196" s="237"/>
      <c r="K196" s="237"/>
      <c r="L196" s="237"/>
      <c r="M196" s="237"/>
    </row>
    <row r="197" spans="1:13" ht="21" customHeight="1" x14ac:dyDescent="0.3">
      <c r="A197" s="190"/>
      <c r="B197" s="238"/>
      <c r="C197" s="239"/>
      <c r="D197" s="240"/>
      <c r="E197" s="241" t="s">
        <v>214</v>
      </c>
      <c r="F197" s="242" t="str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243" t="str">
        <f>IFERROR(ROUNDUP(D197/F197,0),"")</f>
        <v/>
      </c>
      <c r="H197" s="197"/>
      <c r="I197" s="240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  <c r="J197" s="237"/>
      <c r="K197" s="237"/>
      <c r="L197" s="237"/>
      <c r="M197" s="237"/>
    </row>
    <row r="198" spans="1:13" ht="21" customHeight="1" x14ac:dyDescent="0.3">
      <c r="A198" s="190"/>
      <c r="B198" s="238"/>
      <c r="C198" s="239"/>
      <c r="D198" s="240"/>
      <c r="E198" s="241" t="s">
        <v>214</v>
      </c>
      <c r="F198" s="242" t="str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243" t="str">
        <f>IFERROR(ROUNDUP(D198/F198,0),"")</f>
        <v/>
      </c>
      <c r="H198" s="197"/>
      <c r="I198" s="240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  <c r="J198" s="237"/>
      <c r="K198" s="237"/>
      <c r="L198" s="237"/>
      <c r="M198" s="237"/>
    </row>
    <row r="199" spans="1:13" ht="21" customHeight="1" x14ac:dyDescent="0.3">
      <c r="A199" s="190"/>
      <c r="B199" s="238"/>
      <c r="C199" s="239"/>
      <c r="D199" s="240"/>
      <c r="E199" s="241" t="s">
        <v>214</v>
      </c>
      <c r="F199" s="242" t="str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243" t="str">
        <f>IFERROR(ROUNDUP(D199/F199,0),"")</f>
        <v/>
      </c>
      <c r="H199" s="197"/>
      <c r="I199" s="240" t="str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  <c r="J199" s="237"/>
      <c r="K199" s="237"/>
      <c r="L199" s="237"/>
      <c r="M199" s="237"/>
    </row>
    <row r="200" spans="1:13" ht="21" customHeight="1" x14ac:dyDescent="0.3">
      <c r="A200" s="190"/>
      <c r="B200" s="238"/>
      <c r="C200" s="239"/>
      <c r="D200" s="240"/>
      <c r="E200" s="241" t="s">
        <v>214</v>
      </c>
      <c r="F200" s="242" t="str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243" t="str">
        <f>IFERROR(ROUNDUP(D200/F200,0),"")</f>
        <v/>
      </c>
      <c r="H200" s="197"/>
      <c r="I200" s="240" t="str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  <c r="J200" s="237"/>
      <c r="K200" s="237"/>
      <c r="L200" s="237"/>
      <c r="M200" s="237"/>
    </row>
    <row r="201" spans="1:13" ht="14.25" customHeight="1" x14ac:dyDescent="0.3">
      <c r="A201" s="244"/>
      <c r="B201" s="199" t="s">
        <v>216</v>
      </c>
      <c r="C201" s="245"/>
      <c r="D201" s="201">
        <f>SUM(D194:D200)</f>
        <v>0</v>
      </c>
      <c r="E201" s="246"/>
      <c r="F201" s="246"/>
      <c r="G201" s="203">
        <f>SUM(G194:G200)</f>
        <v>0</v>
      </c>
      <c r="H201" s="201">
        <f>SUM(H194:H200)</f>
        <v>0</v>
      </c>
      <c r="I201" s="201">
        <f>SUM(I194:I200)</f>
        <v>0</v>
      </c>
      <c r="J201" s="247">
        <f>D201</f>
        <v>0</v>
      </c>
      <c r="K201" s="248">
        <f>G201</f>
        <v>0</v>
      </c>
      <c r="L201" s="247">
        <f>H201</f>
        <v>0</v>
      </c>
      <c r="M201" s="247">
        <f>I201</f>
        <v>0</v>
      </c>
    </row>
    <row r="202" spans="1:13" ht="14.25" customHeight="1" x14ac:dyDescent="0.3">
      <c r="A202" s="237"/>
      <c r="B202" s="237"/>
      <c r="C202" s="249"/>
      <c r="D202" s="237"/>
      <c r="E202" s="237"/>
      <c r="F202" s="237"/>
      <c r="G202" s="237"/>
      <c r="H202" s="237"/>
      <c r="I202" s="237"/>
      <c r="J202" s="237"/>
      <c r="K202" s="237"/>
      <c r="L202" s="237"/>
      <c r="M202" s="237"/>
    </row>
    <row r="203" spans="1:13" ht="14.25" customHeight="1" x14ac:dyDescent="0.3">
      <c r="A203" s="30">
        <v>46202</v>
      </c>
      <c r="B203" s="186" t="s">
        <v>78</v>
      </c>
      <c r="C203" s="187" t="s">
        <v>205</v>
      </c>
      <c r="D203" s="188" t="s">
        <v>206</v>
      </c>
      <c r="E203" s="188" t="s">
        <v>207</v>
      </c>
      <c r="F203" s="189" t="s">
        <v>208</v>
      </c>
      <c r="G203" s="188" t="s">
        <v>209</v>
      </c>
      <c r="H203" s="188" t="s">
        <v>210</v>
      </c>
      <c r="I203" s="188" t="s">
        <v>211</v>
      </c>
    </row>
    <row r="204" spans="1:13" ht="21" customHeight="1" x14ac:dyDescent="0.3">
      <c r="A204" s="190"/>
      <c r="B204" s="191"/>
      <c r="C204" s="192"/>
      <c r="D204" s="193"/>
      <c r="E204" s="194" t="s">
        <v>214</v>
      </c>
      <c r="F204" s="195" t="str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196" t="str">
        <f>IFERROR(ROUNDUP(D204/F204,0),"")</f>
        <v/>
      </c>
      <c r="H204" s="197"/>
      <c r="I204" s="193" t="str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</row>
    <row r="205" spans="1:13" ht="21" customHeight="1" x14ac:dyDescent="0.3">
      <c r="A205" s="190"/>
      <c r="B205" s="191"/>
      <c r="C205" s="192"/>
      <c r="D205" s="193"/>
      <c r="E205" s="194" t="s">
        <v>214</v>
      </c>
      <c r="F205" s="195" t="str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196" t="str">
        <f>IFERROR(ROUNDUP(D205/F205,0),"")</f>
        <v/>
      </c>
      <c r="H205" s="197"/>
      <c r="I205" s="193" t="str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</row>
    <row r="206" spans="1:13" ht="21" customHeight="1" x14ac:dyDescent="0.3">
      <c r="A206" s="190"/>
      <c r="B206" s="191"/>
      <c r="C206" s="192"/>
      <c r="D206" s="193"/>
      <c r="E206" s="194" t="s">
        <v>214</v>
      </c>
      <c r="F206" s="195" t="str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196" t="str">
        <f>IFERROR(ROUNDUP(D206/F206,0),"")</f>
        <v/>
      </c>
      <c r="H206" s="197"/>
      <c r="I206" s="193" t="str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</row>
    <row r="207" spans="1:13" ht="21" customHeight="1" x14ac:dyDescent="0.3">
      <c r="A207" s="190"/>
      <c r="B207" s="191"/>
      <c r="C207" s="192"/>
      <c r="D207" s="193"/>
      <c r="E207" s="194" t="s">
        <v>214</v>
      </c>
      <c r="F207" s="195" t="str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196" t="str">
        <f>IFERROR(ROUNDUP(D207/F207,0),"")</f>
        <v/>
      </c>
      <c r="H207" s="197"/>
      <c r="I207" s="193" t="str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</row>
    <row r="208" spans="1:13" ht="21" customHeight="1" x14ac:dyDescent="0.3">
      <c r="A208" s="190"/>
      <c r="B208" s="191"/>
      <c r="C208" s="192"/>
      <c r="D208" s="193"/>
      <c r="E208" s="194" t="s">
        <v>214</v>
      </c>
      <c r="F208" s="195" t="str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196" t="str">
        <f>IFERROR(ROUNDUP(D208/F208,0),"")</f>
        <v/>
      </c>
      <c r="H208" s="197"/>
      <c r="I208" s="193" t="str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</row>
    <row r="209" spans="1:13" ht="14.25" customHeight="1" x14ac:dyDescent="0.3">
      <c r="A209" s="198"/>
      <c r="B209" s="199" t="s">
        <v>216</v>
      </c>
      <c r="C209" s="200"/>
      <c r="D209" s="201">
        <f>SUM(D202:D208)</f>
        <v>0</v>
      </c>
      <c r="E209" s="202"/>
      <c r="F209" s="202"/>
      <c r="G209" s="203">
        <f>SUM(G202:G208)</f>
        <v>0</v>
      </c>
      <c r="H209" s="201">
        <f>SUM(H202:H208)</f>
        <v>0</v>
      </c>
      <c r="I209" s="201">
        <f>SUM(I202:I208)</f>
        <v>0</v>
      </c>
      <c r="J209" s="28">
        <f>D209</f>
        <v>0</v>
      </c>
      <c r="K209" s="106">
        <f>G209</f>
        <v>0</v>
      </c>
      <c r="L209" s="28">
        <f>H209</f>
        <v>0</v>
      </c>
      <c r="M209" s="28">
        <f>I209</f>
        <v>0</v>
      </c>
    </row>
    <row r="210" spans="1:13" ht="14.25" customHeight="1" x14ac:dyDescent="0.3">
      <c r="C210" s="72"/>
    </row>
    <row r="211" spans="1:13" ht="14.25" customHeight="1" x14ac:dyDescent="0.3">
      <c r="A211" s="30">
        <v>46203</v>
      </c>
      <c r="B211" s="186" t="s">
        <v>78</v>
      </c>
      <c r="C211" s="187" t="s">
        <v>205</v>
      </c>
      <c r="D211" s="188" t="s">
        <v>206</v>
      </c>
      <c r="E211" s="188" t="s">
        <v>207</v>
      </c>
      <c r="F211" s="189" t="s">
        <v>208</v>
      </c>
      <c r="G211" s="188" t="s">
        <v>209</v>
      </c>
      <c r="H211" s="188" t="s">
        <v>210</v>
      </c>
      <c r="I211" s="188" t="s">
        <v>211</v>
      </c>
    </row>
    <row r="212" spans="1:13" ht="21" customHeight="1" x14ac:dyDescent="0.3">
      <c r="A212" s="190"/>
      <c r="B212" s="191"/>
      <c r="C212" s="192"/>
      <c r="D212" s="193"/>
      <c r="E212" s="194" t="s">
        <v>214</v>
      </c>
      <c r="F212" s="195" t="str">
        <f>IF($B212="","",IF(SUMIFS(CONFIG_PALLETS!$C:$C,CONFIG_PALLETS!$A:$A,TRIM($B212),CONFIG_PALLETS!$B:$B,$C212&amp;" ml")&gt;0,SUMIFS(CONFIG_PALLETS!$C:$C,CONFIG_PALLETS!$A:$A,TRIM($B212),CONFIG_PALLETS!$B:$B,$C212&amp;" ml"),IF(SUMIFS(CONFIG_PALLETS!$C:$C,CONFIG_PALLETS!$A:$A,"GERAL",CONFIG_PALLETS!$B:$B,$C212&amp;" ml")&gt;0,SUMIFS(CONFIG_PALLETS!$C:$C,CONFIG_PALLETS!$A:$A,"GERAL",CONFIG_PALLETS!$B:$B,$C212&amp;" ml"),"")))</f>
        <v/>
      </c>
      <c r="G212" s="196" t="str">
        <f>IFERROR(ROUNDUP(D212/F212,0),"")</f>
        <v/>
      </c>
      <c r="H212" s="197"/>
      <c r="I212" s="193" t="str">
        <f>IF(H212="","",H212*IF(SUMIFS(CONFIG_PALLETS!$D:$D,CONFIG_PALLETS!$A:$A,IF(ISNUMBER(SEARCH("ESPUMA",$B212)),"ESPUMA",IF(OR(ISNUMBER(SEARCH("OLEO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ml")&gt;0,SUMIFS(CONFIG_PALLETS!$D:$D,CONFIG_PALLETS!$A:$A,IF(ISNUMBER(SEARCH("ESPUMA",$B212)),"ESPUMA",IF(OR(ISNUMBER(SEARCH("OLEO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ml"),IF(SUMIFS(CONFIG_PALLETS!$D:$D,CONFIG_PALLETS!$A:$A,"GERAL",CONFIG_PALLETS!$B:$B,$C212&amp;" ml")&gt;0,SUMIFS(CONFIG_PALLETS!$D:$D,CONFIG_PALLETS!$A:$A,"GERAL",CONFIG_PALLETS!$B:$B,$C212&amp;" ml"),12)))</f>
        <v/>
      </c>
    </row>
    <row r="213" spans="1:13" ht="21" customHeight="1" x14ac:dyDescent="0.3">
      <c r="A213" s="190"/>
      <c r="B213" s="191"/>
      <c r="C213" s="192"/>
      <c r="D213" s="193"/>
      <c r="E213" s="194" t="s">
        <v>214</v>
      </c>
      <c r="F213" s="195" t="str">
        <f>IF($B213="","",IF(SUMIFS(CONFIG_PALLETS!$C:$C,CONFIG_PALLETS!$A:$A,TRIM($B213),CONFIG_PALLETS!$B:$B,$C213&amp;" ml")&gt;0,SUMIFS(CONFIG_PALLETS!$C:$C,CONFIG_PALLETS!$A:$A,TRIM($B213),CONFIG_PALLETS!$B:$B,$C213&amp;" ml"),IF(SUMIFS(CONFIG_PALLETS!$C:$C,CONFIG_PALLETS!$A:$A,"GERAL",CONFIG_PALLETS!$B:$B,$C213&amp;" ml")&gt;0,SUMIFS(CONFIG_PALLETS!$C:$C,CONFIG_PALLETS!$A:$A,"GERAL",CONFIG_PALLETS!$B:$B,$C213&amp;" ml"),"")))</f>
        <v/>
      </c>
      <c r="G213" s="196" t="str">
        <f>IFERROR(ROUNDUP(D213/F213,0),"")</f>
        <v/>
      </c>
      <c r="H213" s="197"/>
      <c r="I213" s="193" t="str">
        <f>IF(H213="","",H213*IF(SUMIFS(CONFIG_PALLETS!$D:$D,CONFIG_PALLETS!$A:$A,IF(ISNUMBER(SEARCH("ESPUMA",$B213)),"ESPUMA",IF(OR(ISNUMBER(SEARCH("OLEO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ml")&gt;0,SUMIFS(CONFIG_PALLETS!$D:$D,CONFIG_PALLETS!$A:$A,IF(ISNUMBER(SEARCH("ESPUMA",$B213)),"ESPUMA",IF(OR(ISNUMBER(SEARCH("OLEO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ml"),IF(SUMIFS(CONFIG_PALLETS!$D:$D,CONFIG_PALLETS!$A:$A,"GERAL",CONFIG_PALLETS!$B:$B,$C213&amp;" ml")&gt;0,SUMIFS(CONFIG_PALLETS!$D:$D,CONFIG_PALLETS!$A:$A,"GERAL",CONFIG_PALLETS!$B:$B,$C213&amp;" ml"),12)))</f>
        <v/>
      </c>
    </row>
    <row r="214" spans="1:13" ht="21" customHeight="1" x14ac:dyDescent="0.3">
      <c r="A214" s="190"/>
      <c r="B214" s="191"/>
      <c r="C214" s="192"/>
      <c r="D214" s="193"/>
      <c r="E214" s="194" t="s">
        <v>214</v>
      </c>
      <c r="F214" s="195" t="str">
        <f>IF($B214="","",IF(SUMIFS(CONFIG_PALLETS!$C:$C,CONFIG_PALLETS!$A:$A,TRIM($B214),CONFIG_PALLETS!$B:$B,$C214&amp;" ml")&gt;0,SUMIFS(CONFIG_PALLETS!$C:$C,CONFIG_PALLETS!$A:$A,TRIM($B214),CONFIG_PALLETS!$B:$B,$C214&amp;" ml"),IF(SUMIFS(CONFIG_PALLETS!$C:$C,CONFIG_PALLETS!$A:$A,"GERAL",CONFIG_PALLETS!$B:$B,$C214&amp;" ml")&gt;0,SUMIFS(CONFIG_PALLETS!$C:$C,CONFIG_PALLETS!$A:$A,"GERAL",CONFIG_PALLETS!$B:$B,$C214&amp;" ml"),"")))</f>
        <v/>
      </c>
      <c r="G214" s="196" t="str">
        <f>IFERROR(ROUNDUP(D214/F214,0),"")</f>
        <v/>
      </c>
      <c r="H214" s="197"/>
      <c r="I214" s="193" t="str">
        <f>IF(H214="","",H214*IF(SUMIFS(CONFIG_PALLETS!$D:$D,CONFIG_PALLETS!$A:$A,IF(ISNUMBER(SEARCH("ESPUMA",$B214)),"ESPUMA",IF(OR(ISNUMBER(SEARCH("OLEO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ml")&gt;0,SUMIFS(CONFIG_PALLETS!$D:$D,CONFIG_PALLETS!$A:$A,IF(ISNUMBER(SEARCH("ESPUMA",$B214)),"ESPUMA",IF(OR(ISNUMBER(SEARCH("OLEO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ml"),IF(SUMIFS(CONFIG_PALLETS!$D:$D,CONFIG_PALLETS!$A:$A,"GERAL",CONFIG_PALLETS!$B:$B,$C214&amp;" ml")&gt;0,SUMIFS(CONFIG_PALLETS!$D:$D,CONFIG_PALLETS!$A:$A,"GERAL",CONFIG_PALLETS!$B:$B,$C214&amp;" ml"),12)))</f>
        <v/>
      </c>
    </row>
    <row r="215" spans="1:13" ht="21" customHeight="1" x14ac:dyDescent="0.3">
      <c r="A215" s="190"/>
      <c r="B215" s="191"/>
      <c r="C215" s="192"/>
      <c r="D215" s="193"/>
      <c r="E215" s="194" t="s">
        <v>214</v>
      </c>
      <c r="F215" s="195" t="str">
        <f>IF($B215="","",IF(SUMIFS(CONFIG_PALLETS!$C:$C,CONFIG_PALLETS!$A:$A,TRIM($B215),CONFIG_PALLETS!$B:$B,$C215&amp;" ml")&gt;0,SUMIFS(CONFIG_PALLETS!$C:$C,CONFIG_PALLETS!$A:$A,TRIM($B215),CONFIG_PALLETS!$B:$B,$C215&amp;" ml"),IF(SUMIFS(CONFIG_PALLETS!$C:$C,CONFIG_PALLETS!$A:$A,"GERAL",CONFIG_PALLETS!$B:$B,$C215&amp;" ml")&gt;0,SUMIFS(CONFIG_PALLETS!$C:$C,CONFIG_PALLETS!$A:$A,"GERAL",CONFIG_PALLETS!$B:$B,$C215&amp;" ml"),"")))</f>
        <v/>
      </c>
      <c r="G215" s="196" t="str">
        <f>IFERROR(ROUNDUP(D215/F215,0),"")</f>
        <v/>
      </c>
      <c r="H215" s="197"/>
      <c r="I215" s="193" t="str">
        <f>IF(H215="","",H215*IF(SUMIFS(CONFIG_PALLETS!$D:$D,CONFIG_PALLETS!$A:$A,IF(ISNUMBER(SEARCH("ESPUMA",$B215)),"ESPUMA",IF(OR(ISNUMBER(SEARCH("OLEO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ml")&gt;0,SUMIFS(CONFIG_PALLETS!$D:$D,CONFIG_PALLETS!$A:$A,IF(ISNUMBER(SEARCH("ESPUMA",$B215)),"ESPUMA",IF(OR(ISNUMBER(SEARCH("OLEO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ml"),IF(SUMIFS(CONFIG_PALLETS!$D:$D,CONFIG_PALLETS!$A:$A,"GERAL",CONFIG_PALLETS!$B:$B,$C215&amp;" ml")&gt;0,SUMIFS(CONFIG_PALLETS!$D:$D,CONFIG_PALLETS!$A:$A,"GERAL",CONFIG_PALLETS!$B:$B,$C215&amp;" ml"),12)))</f>
        <v/>
      </c>
    </row>
    <row r="216" spans="1:13" ht="21" customHeight="1" x14ac:dyDescent="0.3">
      <c r="A216" s="190"/>
      <c r="B216" s="191"/>
      <c r="C216" s="192"/>
      <c r="D216" s="193"/>
      <c r="E216" s="194" t="s">
        <v>214</v>
      </c>
      <c r="F216" s="195" t="str">
        <f>IF($B216="","",IF(SUMIFS(CONFIG_PALLETS!$C:$C,CONFIG_PALLETS!$A:$A,TRIM($B216),CONFIG_PALLETS!$B:$B,$C216&amp;" ml")&gt;0,SUMIFS(CONFIG_PALLETS!$C:$C,CONFIG_PALLETS!$A:$A,TRIM($B216),CONFIG_PALLETS!$B:$B,$C216&amp;" ml"),IF(SUMIFS(CONFIG_PALLETS!$C:$C,CONFIG_PALLETS!$A:$A,"GERAL",CONFIG_PALLETS!$B:$B,$C216&amp;" ml")&gt;0,SUMIFS(CONFIG_PALLETS!$C:$C,CONFIG_PALLETS!$A:$A,"GERAL",CONFIG_PALLETS!$B:$B,$C216&amp;" ml"),"")))</f>
        <v/>
      </c>
      <c r="G216" s="196" t="str">
        <f>IFERROR(ROUNDUP(D216/F216,0),"")</f>
        <v/>
      </c>
      <c r="H216" s="197"/>
      <c r="I216" s="193" t="str">
        <f>IF(H216="","",H216*IF(SUMIFS(CONFIG_PALLETS!$D:$D,CONFIG_PALLETS!$A:$A,IF(ISNUMBER(SEARCH("ESPUMA",$B216)),"ESPUMA",IF(OR(ISNUMBER(SEARCH("OLEO DE COCO",$B216)),ISNUMBER(SEARCH("ÓLEO DE COCO",$B216)),ISNUMBER(SEARCH("COPRA",$B216))),"ÓLEO DE COCO",IF(ISNUMBER(SEARCH("CORANTE",$B216)),"CORANTE",TRIM($B216)))),CONFIG_PALLETS!$B:$B,$C216&amp;" ml")&gt;0,SUMIFS(CONFIG_PALLETS!$D:$D,CONFIG_PALLETS!$A:$A,IF(ISNUMBER(SEARCH("ESPUMA",$B216)),"ESPUMA",IF(OR(ISNUMBER(SEARCH("OLEO DE COCO",$B216)),ISNUMBER(SEARCH("ÓLEO DE COCO",$B216)),ISNUMBER(SEARCH("COPRA",$B216))),"ÓLEO DE COCO",IF(ISNUMBER(SEARCH("CORANTE",$B216)),"CORANTE",TRIM($B216)))),CONFIG_PALLETS!$B:$B,$C216&amp;" ml"),IF(SUMIFS(CONFIG_PALLETS!$D:$D,CONFIG_PALLETS!$A:$A,"GERAL",CONFIG_PALLETS!$B:$B,$C216&amp;" ml")&gt;0,SUMIFS(CONFIG_PALLETS!$D:$D,CONFIG_PALLETS!$A:$A,"GERAL",CONFIG_PALLETS!$B:$B,$C216&amp;" ml"),12)))</f>
        <v/>
      </c>
    </row>
    <row r="217" spans="1:13" ht="14.25" customHeight="1" x14ac:dyDescent="0.3">
      <c r="A217" s="198"/>
      <c r="B217" s="199" t="s">
        <v>216</v>
      </c>
      <c r="C217" s="200"/>
      <c r="D217" s="201">
        <f>SUM(D210:D216)</f>
        <v>0</v>
      </c>
      <c r="E217" s="202"/>
      <c r="F217" s="202"/>
      <c r="G217" s="203">
        <f>SUM(G210:G216)</f>
        <v>0</v>
      </c>
      <c r="H217" s="201">
        <f>SUM(H210:H216)</f>
        <v>0</v>
      </c>
      <c r="I217" s="201">
        <f>SUM(I210:I216)</f>
        <v>0</v>
      </c>
      <c r="J217" s="28">
        <f>D217</f>
        <v>0</v>
      </c>
      <c r="K217" s="106">
        <f>G217</f>
        <v>0</v>
      </c>
      <c r="L217" s="28">
        <f>H217</f>
        <v>0</v>
      </c>
      <c r="M217" s="28">
        <f>I217</f>
        <v>0</v>
      </c>
    </row>
  </sheetData>
  <mergeCells count="5">
    <mergeCell ref="A1:I1"/>
    <mergeCell ref="A2:F2"/>
    <mergeCell ref="G2:I2"/>
    <mergeCell ref="B37:D39"/>
    <mergeCell ref="B45:D47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36 C40:C44 C48:C1185" xr:uid="{00000000-0002-0000-13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F766E"/>
  </sheetPr>
  <dimension ref="A1:Y59"/>
  <sheetViews>
    <sheetView showGridLines="0" zoomScale="90" zoomScaleNormal="90" workbookViewId="0">
      <selection activeCell="F15" sqref="F15"/>
    </sheetView>
  </sheetViews>
  <sheetFormatPr defaultColWidth="8.6640625" defaultRowHeight="14.4" x14ac:dyDescent="0.3"/>
  <cols>
    <col min="1" max="1" width="12" style="437" customWidth="1"/>
    <col min="2" max="2" width="15" customWidth="1"/>
    <col min="3" max="3" width="14" customWidth="1"/>
    <col min="4" max="4" width="13.664062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4">
      <c r="A1" s="612" t="s">
        <v>653</v>
      </c>
      <c r="B1" s="612"/>
      <c r="C1" s="612"/>
      <c r="D1" s="612"/>
      <c r="E1" s="612"/>
      <c r="F1" s="612"/>
    </row>
    <row r="3" spans="1:25" ht="14.25" customHeight="1" x14ac:dyDescent="0.3">
      <c r="B3" s="148" t="s">
        <v>234</v>
      </c>
      <c r="D3" s="148" t="s">
        <v>235</v>
      </c>
      <c r="F3" s="149" t="s">
        <v>236</v>
      </c>
      <c r="H3" s="148" t="s">
        <v>237</v>
      </c>
      <c r="J3" s="150" t="s">
        <v>238</v>
      </c>
      <c r="K3" s="151" t="s">
        <v>239</v>
      </c>
      <c r="L3" s="151" t="s">
        <v>240</v>
      </c>
    </row>
    <row r="4" spans="1:25" ht="15.75" customHeight="1" x14ac:dyDescent="0.3">
      <c r="B4" s="152">
        <f>SUM(C9:C34)</f>
        <v>39048</v>
      </c>
      <c r="D4" s="152">
        <f>SUM(D9:D34)</f>
        <v>264000</v>
      </c>
      <c r="F4" s="152">
        <f ca="1">IFERROR(SUMIFS(C9:C34,A9:A34,"&lt;="&amp;TODAY(),F9:F34,"&lt;&gt;*Feriado*")/COUNTIFS(A9:A34,"&lt;="&amp;TODAY(),F9:F34,"&lt;&gt;*Feriado*"),0)</f>
        <v>5578.2857142857147</v>
      </c>
      <c r="H4" s="152">
        <f>IFERROR(MAX(C9:C34),0)</f>
        <v>11148</v>
      </c>
      <c r="J4" s="153">
        <f>IFERROR(B4/D4,0)</f>
        <v>0.14790909090909091</v>
      </c>
      <c r="K4" s="154" t="s">
        <v>241</v>
      </c>
      <c r="L4" s="155" t="s">
        <v>242</v>
      </c>
    </row>
    <row r="5" spans="1:25" ht="15" customHeight="1" x14ac:dyDescent="0.3">
      <c r="K5" s="156" t="s">
        <v>243</v>
      </c>
      <c r="L5" s="157" t="s">
        <v>244</v>
      </c>
    </row>
    <row r="6" spans="1:25" ht="15" customHeight="1" x14ac:dyDescent="0.3">
      <c r="K6" s="158" t="s">
        <v>245</v>
      </c>
      <c r="L6" s="159" t="s">
        <v>246</v>
      </c>
    </row>
    <row r="8" spans="1:25" ht="14.25" customHeight="1" x14ac:dyDescent="0.3">
      <c r="A8" s="446" t="s">
        <v>247</v>
      </c>
      <c r="B8" s="218" t="s">
        <v>248</v>
      </c>
      <c r="C8" s="160" t="s">
        <v>249</v>
      </c>
      <c r="D8" s="160" t="s">
        <v>250</v>
      </c>
      <c r="E8" s="160" t="s">
        <v>251</v>
      </c>
      <c r="F8" s="161" t="s">
        <v>252</v>
      </c>
      <c r="X8" t="s">
        <v>253</v>
      </c>
      <c r="Y8" t="s">
        <v>254</v>
      </c>
    </row>
    <row r="9" spans="1:25" ht="30" customHeight="1" x14ac:dyDescent="0.3">
      <c r="A9" s="447">
        <v>46174</v>
      </c>
      <c r="B9" s="250">
        <f>IF(D9&gt;0,COUNTIF($D$9:D9,"&gt;0"),"")</f>
        <v>1</v>
      </c>
      <c r="C9" s="251">
        <f>'SEMANA JUNHO'!$M$9</f>
        <v>8778</v>
      </c>
      <c r="D9" s="251">
        <f>CONFIG!$B$3</f>
        <v>11000</v>
      </c>
      <c r="E9" s="252">
        <f t="shared" ref="E9:E34" si="0">C9-D9</f>
        <v>-2222</v>
      </c>
      <c r="F9" s="498" t="s">
        <v>1367</v>
      </c>
      <c r="X9" s="28">
        <f t="shared" ref="X9:X30" si="1">IF(COUNTIF($F9,"*Feriado*")&gt;0,NA(),$C9)</f>
        <v>8778</v>
      </c>
      <c r="Y9" s="28">
        <f t="shared" ref="Y9:Y30" si="2">IF(COUNTIF($F9,"*Feriado*")&gt;0,NA(),$D9)</f>
        <v>11000</v>
      </c>
    </row>
    <row r="10" spans="1:25" ht="15" customHeight="1" x14ac:dyDescent="0.3">
      <c r="A10" s="447">
        <v>46175</v>
      </c>
      <c r="B10" s="250">
        <f>IF(D10&gt;0,COUNTIF($D$9:D10,"&gt;0"),"")</f>
        <v>2</v>
      </c>
      <c r="C10" s="251">
        <f>'SEMANA JUNHO'!$M$17</f>
        <v>8496</v>
      </c>
      <c r="D10" s="251">
        <f>CONFIG!$B$3</f>
        <v>11000</v>
      </c>
      <c r="E10" s="252">
        <f t="shared" si="0"/>
        <v>-2504</v>
      </c>
      <c r="F10" s="498" t="s">
        <v>1383</v>
      </c>
      <c r="X10" s="28">
        <f t="shared" si="1"/>
        <v>8496</v>
      </c>
      <c r="Y10" s="28">
        <f t="shared" si="2"/>
        <v>11000</v>
      </c>
    </row>
    <row r="11" spans="1:25" ht="15" customHeight="1" x14ac:dyDescent="0.3">
      <c r="A11" s="447">
        <v>46176</v>
      </c>
      <c r="B11" s="250">
        <f>IF(D11&gt;0,COUNTIF($D$9:D11,"&gt;0"),"")</f>
        <v>3</v>
      </c>
      <c r="C11" s="251">
        <f>'SEMANA JUNHO'!$M$25</f>
        <v>10626</v>
      </c>
      <c r="D11" s="251">
        <f>CONFIG!$B$3</f>
        <v>11000</v>
      </c>
      <c r="E11" s="252">
        <f t="shared" si="0"/>
        <v>-374</v>
      </c>
      <c r="F11" s="549" t="s">
        <v>1411</v>
      </c>
      <c r="X11" s="28">
        <f t="shared" si="1"/>
        <v>10626</v>
      </c>
      <c r="Y11" s="28">
        <f t="shared" si="2"/>
        <v>11000</v>
      </c>
    </row>
    <row r="12" spans="1:25" ht="15" customHeight="1" x14ac:dyDescent="0.3">
      <c r="A12" s="447">
        <v>46177</v>
      </c>
      <c r="B12" s="250">
        <f>IF(D12&gt;0,COUNTIF($D$9:D12,"&gt;0"),"")</f>
        <v>4</v>
      </c>
      <c r="C12" s="251">
        <f>'SEMANA JUNHO'!$M$33</f>
        <v>11148</v>
      </c>
      <c r="D12" s="251">
        <f>CONFIG!$B$3</f>
        <v>11000</v>
      </c>
      <c r="E12" s="252">
        <f t="shared" si="0"/>
        <v>148</v>
      </c>
      <c r="F12" s="495" t="s">
        <v>1357</v>
      </c>
      <c r="X12" s="28">
        <f t="shared" si="1"/>
        <v>11148</v>
      </c>
      <c r="Y12" s="28">
        <f t="shared" si="2"/>
        <v>11000</v>
      </c>
    </row>
    <row r="13" spans="1:25" ht="15" customHeight="1" x14ac:dyDescent="0.3">
      <c r="A13" s="447">
        <v>46178</v>
      </c>
      <c r="B13" s="250" t="str">
        <f>IF(D13&gt;0,COUNTIF($D$9:D13,"&gt;0"),"")</f>
        <v/>
      </c>
      <c r="C13" s="251">
        <f>'SEMANA JUNHO'!$M$41</f>
        <v>0</v>
      </c>
      <c r="D13" s="251">
        <v>0</v>
      </c>
      <c r="E13" s="252">
        <f t="shared" si="0"/>
        <v>0</v>
      </c>
      <c r="F13" s="495" t="s">
        <v>1358</v>
      </c>
      <c r="X13" s="28">
        <f t="shared" si="1"/>
        <v>0</v>
      </c>
      <c r="Y13" s="28">
        <f t="shared" si="2"/>
        <v>0</v>
      </c>
    </row>
    <row r="14" spans="1:25" ht="15" customHeight="1" x14ac:dyDescent="0.3">
      <c r="A14" s="447">
        <v>46179</v>
      </c>
      <c r="B14" s="250" t="str">
        <f>IF(D14&gt;0,COUNTIF($D$9:D14,"&gt;0"),"")</f>
        <v/>
      </c>
      <c r="C14" s="251">
        <f>'SEMANA JUNHO'!$M$49</f>
        <v>0</v>
      </c>
      <c r="D14" s="251">
        <v>0</v>
      </c>
      <c r="E14" s="252">
        <f t="shared" si="0"/>
        <v>0</v>
      </c>
      <c r="F14" s="495" t="s">
        <v>1363</v>
      </c>
      <c r="X14" s="28">
        <f t="shared" si="1"/>
        <v>0</v>
      </c>
      <c r="Y14" s="28">
        <f t="shared" si="2"/>
        <v>0</v>
      </c>
    </row>
    <row r="15" spans="1:25" ht="15" customHeight="1" x14ac:dyDescent="0.3">
      <c r="A15" s="447">
        <v>46181</v>
      </c>
      <c r="B15" s="250">
        <f>IF(D15&gt;0,COUNTIF($D$9:D15,"&gt;0"),"")</f>
        <v>5</v>
      </c>
      <c r="C15" s="251">
        <f>'SEMANA JUNHO'!$M$57</f>
        <v>0</v>
      </c>
      <c r="D15" s="251">
        <f>CONFIG!$B$3</f>
        <v>11000</v>
      </c>
      <c r="E15" s="252">
        <f t="shared" si="0"/>
        <v>-11000</v>
      </c>
      <c r="F15" s="496"/>
      <c r="X15" s="28">
        <f t="shared" si="1"/>
        <v>0</v>
      </c>
      <c r="Y15" s="28">
        <f t="shared" si="2"/>
        <v>11000</v>
      </c>
    </row>
    <row r="16" spans="1:25" ht="15" customHeight="1" x14ac:dyDescent="0.3">
      <c r="A16" s="447">
        <v>46182</v>
      </c>
      <c r="B16" s="250">
        <f>IF(D16&gt;0,COUNTIF($D$9:D16,"&gt;0"),"")</f>
        <v>6</v>
      </c>
      <c r="C16" s="251">
        <f>'SEMANA JUNHO'!$M$66</f>
        <v>0</v>
      </c>
      <c r="D16" s="251">
        <f>CONFIG!$B$3</f>
        <v>11000</v>
      </c>
      <c r="E16" s="252">
        <f t="shared" si="0"/>
        <v>-11000</v>
      </c>
      <c r="F16" s="496"/>
      <c r="X16" s="28">
        <f t="shared" si="1"/>
        <v>0</v>
      </c>
      <c r="Y16" s="28">
        <f t="shared" si="2"/>
        <v>11000</v>
      </c>
    </row>
    <row r="17" spans="1:25" ht="15" customHeight="1" x14ac:dyDescent="0.3">
      <c r="A17" s="447">
        <v>46183</v>
      </c>
      <c r="B17" s="250">
        <f>IF(D17&gt;0,COUNTIF($D$9:D17,"&gt;0"),"")</f>
        <v>7</v>
      </c>
      <c r="C17" s="251">
        <f>'SEMANA JUNHO'!$M$75</f>
        <v>0</v>
      </c>
      <c r="D17" s="251">
        <f>CONFIG!$B$3</f>
        <v>11000</v>
      </c>
      <c r="E17" s="252">
        <f t="shared" si="0"/>
        <v>-11000</v>
      </c>
      <c r="F17" s="496"/>
      <c r="X17" s="28">
        <f t="shared" si="1"/>
        <v>0</v>
      </c>
      <c r="Y17" s="28">
        <f t="shared" si="2"/>
        <v>11000</v>
      </c>
    </row>
    <row r="18" spans="1:25" ht="15" customHeight="1" x14ac:dyDescent="0.3">
      <c r="A18" s="447">
        <v>46184</v>
      </c>
      <c r="B18" s="250">
        <f>IF(D18&gt;0,COUNTIF($D$9:D18,"&gt;0"),"")</f>
        <v>8</v>
      </c>
      <c r="C18" s="251">
        <f>'SEMANA JUNHO'!$M$83</f>
        <v>0</v>
      </c>
      <c r="D18" s="251">
        <f>CONFIG!$B$3</f>
        <v>11000</v>
      </c>
      <c r="E18" s="252">
        <f t="shared" si="0"/>
        <v>-11000</v>
      </c>
      <c r="F18" s="496"/>
      <c r="X18" s="28">
        <f t="shared" si="1"/>
        <v>0</v>
      </c>
      <c r="Y18" s="28">
        <f t="shared" si="2"/>
        <v>11000</v>
      </c>
    </row>
    <row r="19" spans="1:25" ht="15" customHeight="1" x14ac:dyDescent="0.3">
      <c r="A19" s="447">
        <v>46185</v>
      </c>
      <c r="B19" s="250">
        <f>IF(D19&gt;0,COUNTIF($D$9:D19,"&gt;0"),"")</f>
        <v>9</v>
      </c>
      <c r="C19" s="251">
        <f>'SEMANA JUNHO'!$M$95</f>
        <v>0</v>
      </c>
      <c r="D19" s="251">
        <f>CONFIG!$B$3</f>
        <v>11000</v>
      </c>
      <c r="E19" s="252">
        <f t="shared" si="0"/>
        <v>-11000</v>
      </c>
      <c r="F19" s="496"/>
      <c r="X19" s="28">
        <f t="shared" si="1"/>
        <v>0</v>
      </c>
      <c r="Y19" s="28">
        <f t="shared" si="2"/>
        <v>11000</v>
      </c>
    </row>
    <row r="20" spans="1:25" ht="15" customHeight="1" x14ac:dyDescent="0.3">
      <c r="A20" s="447">
        <v>46186</v>
      </c>
      <c r="B20" s="250">
        <f>IF(D20&gt;0,COUNTIF($D$9:D20,"&gt;0"),"")</f>
        <v>10</v>
      </c>
      <c r="C20" s="251">
        <f>'SEMANA JUNHO'!$M$103</f>
        <v>0</v>
      </c>
      <c r="D20" s="251">
        <f>CONFIG!$B$3</f>
        <v>11000</v>
      </c>
      <c r="E20" s="252">
        <f t="shared" si="0"/>
        <v>-11000</v>
      </c>
      <c r="F20" s="162" t="s">
        <v>1364</v>
      </c>
      <c r="X20" s="28">
        <f t="shared" si="1"/>
        <v>0</v>
      </c>
      <c r="Y20" s="28">
        <f t="shared" si="2"/>
        <v>11000</v>
      </c>
    </row>
    <row r="21" spans="1:25" ht="15" customHeight="1" x14ac:dyDescent="0.3">
      <c r="A21" s="447">
        <v>46188</v>
      </c>
      <c r="B21" s="250">
        <f>IF(D21&gt;0,COUNTIF($D$9:D21,"&gt;0"),"")</f>
        <v>11</v>
      </c>
      <c r="C21" s="251">
        <f>'SEMANA JUNHO'!$M$113</f>
        <v>0</v>
      </c>
      <c r="D21" s="251">
        <f>CONFIG!$B$3</f>
        <v>11000</v>
      </c>
      <c r="E21" s="252">
        <f t="shared" si="0"/>
        <v>-11000</v>
      </c>
      <c r="F21" s="496"/>
      <c r="X21" s="28">
        <f t="shared" si="1"/>
        <v>0</v>
      </c>
      <c r="Y21" s="28">
        <f t="shared" si="2"/>
        <v>11000</v>
      </c>
    </row>
    <row r="22" spans="1:25" ht="15" customHeight="1" x14ac:dyDescent="0.3">
      <c r="A22" s="447">
        <v>46189</v>
      </c>
      <c r="B22" s="250">
        <f>IF(D22&gt;0,COUNTIF($D$9:D22,"&gt;0"),"")</f>
        <v>12</v>
      </c>
      <c r="C22" s="251">
        <f>'SEMANA JUNHO'!$M$121</f>
        <v>0</v>
      </c>
      <c r="D22" s="251">
        <f>CONFIG!$B$3</f>
        <v>11000</v>
      </c>
      <c r="E22" s="252">
        <f t="shared" si="0"/>
        <v>-11000</v>
      </c>
      <c r="F22" s="496"/>
      <c r="X22" s="28">
        <f t="shared" si="1"/>
        <v>0</v>
      </c>
      <c r="Y22" s="28">
        <f t="shared" si="2"/>
        <v>11000</v>
      </c>
    </row>
    <row r="23" spans="1:25" ht="15" customHeight="1" x14ac:dyDescent="0.3">
      <c r="A23" s="447">
        <v>46190</v>
      </c>
      <c r="B23" s="250">
        <f>IF(D23&gt;0,COUNTIF($D$9:D23,"&gt;0"),"")</f>
        <v>13</v>
      </c>
      <c r="C23" s="251">
        <f>'SEMANA JUNHO'!$M$129</f>
        <v>0</v>
      </c>
      <c r="D23" s="251">
        <f>CONFIG!$B$3</f>
        <v>11000</v>
      </c>
      <c r="E23" s="252">
        <f t="shared" si="0"/>
        <v>-11000</v>
      </c>
      <c r="F23" s="496"/>
      <c r="X23" s="28">
        <f t="shared" si="1"/>
        <v>0</v>
      </c>
      <c r="Y23" s="28">
        <f t="shared" si="2"/>
        <v>11000</v>
      </c>
    </row>
    <row r="24" spans="1:25" ht="15" customHeight="1" x14ac:dyDescent="0.3">
      <c r="A24" s="447">
        <v>46191</v>
      </c>
      <c r="B24" s="250">
        <f>IF(D24&gt;0,COUNTIF($D$9:D24,"&gt;0"),"")</f>
        <v>14</v>
      </c>
      <c r="C24" s="251">
        <f>'SEMANA JUNHO'!$M$137</f>
        <v>0</v>
      </c>
      <c r="D24" s="251">
        <f>CONFIG!$B$3</f>
        <v>11000</v>
      </c>
      <c r="E24" s="252">
        <f t="shared" si="0"/>
        <v>-11000</v>
      </c>
      <c r="F24" s="496"/>
      <c r="X24" s="28">
        <f t="shared" si="1"/>
        <v>0</v>
      </c>
      <c r="Y24" s="28">
        <f t="shared" si="2"/>
        <v>11000</v>
      </c>
    </row>
    <row r="25" spans="1:25" ht="15" customHeight="1" x14ac:dyDescent="0.3">
      <c r="A25" s="447">
        <v>46192</v>
      </c>
      <c r="B25" s="250">
        <f>IF(D25&gt;0,COUNTIF($D$9:D25,"&gt;0"),"")</f>
        <v>15</v>
      </c>
      <c r="C25" s="251">
        <f>'SEMANA JUNHO'!$M$145</f>
        <v>0</v>
      </c>
      <c r="D25" s="251">
        <f>CONFIG!$B$3</f>
        <v>11000</v>
      </c>
      <c r="E25" s="252">
        <f t="shared" si="0"/>
        <v>-11000</v>
      </c>
      <c r="F25" s="496"/>
      <c r="X25" s="28">
        <f t="shared" si="1"/>
        <v>0</v>
      </c>
      <c r="Y25" s="28">
        <f t="shared" si="2"/>
        <v>11000</v>
      </c>
    </row>
    <row r="26" spans="1:25" ht="15" customHeight="1" x14ac:dyDescent="0.3">
      <c r="A26" s="447">
        <v>46193</v>
      </c>
      <c r="B26" s="250">
        <f>IF(D26&gt;0,COUNTIF($D$9:D26,"&gt;0"),"")</f>
        <v>16</v>
      </c>
      <c r="C26" s="251">
        <f>'SEMANA JUNHO'!$M$153</f>
        <v>0</v>
      </c>
      <c r="D26" s="251">
        <f>CONFIG!$B$3</f>
        <v>11000</v>
      </c>
      <c r="E26" s="252">
        <f t="shared" si="0"/>
        <v>-11000</v>
      </c>
      <c r="F26" s="162" t="s">
        <v>1364</v>
      </c>
      <c r="X26" s="28">
        <f t="shared" si="1"/>
        <v>0</v>
      </c>
      <c r="Y26" s="28">
        <f t="shared" si="2"/>
        <v>11000</v>
      </c>
    </row>
    <row r="27" spans="1:25" ht="15" customHeight="1" x14ac:dyDescent="0.3">
      <c r="A27" s="447">
        <v>46195</v>
      </c>
      <c r="B27" s="250">
        <f>IF(D27&gt;0,COUNTIF($D$9:D27,"&gt;0"),"")</f>
        <v>17</v>
      </c>
      <c r="C27" s="251">
        <f>'SEMANA JUNHO'!$M$161</f>
        <v>0</v>
      </c>
      <c r="D27" s="251">
        <f>CONFIG!$B$3</f>
        <v>11000</v>
      </c>
      <c r="E27" s="252">
        <f t="shared" si="0"/>
        <v>-11000</v>
      </c>
      <c r="F27" s="496"/>
      <c r="X27" s="28">
        <f t="shared" si="1"/>
        <v>0</v>
      </c>
      <c r="Y27" s="28">
        <f t="shared" si="2"/>
        <v>11000</v>
      </c>
    </row>
    <row r="28" spans="1:25" ht="15" customHeight="1" x14ac:dyDescent="0.3">
      <c r="A28" s="447">
        <v>46196</v>
      </c>
      <c r="B28" s="250">
        <f>IF(D28&gt;0,COUNTIF($D$9:D28,"&gt;0"),"")</f>
        <v>18</v>
      </c>
      <c r="C28" s="251">
        <f>'SEMANA JUNHO'!$M$169</f>
        <v>0</v>
      </c>
      <c r="D28" s="251">
        <f>CONFIG!$B$3</f>
        <v>11000</v>
      </c>
      <c r="E28" s="252">
        <f t="shared" si="0"/>
        <v>-11000</v>
      </c>
      <c r="F28" s="496"/>
      <c r="X28" s="28">
        <f t="shared" si="1"/>
        <v>0</v>
      </c>
      <c r="Y28" s="28">
        <f t="shared" si="2"/>
        <v>11000</v>
      </c>
    </row>
    <row r="29" spans="1:25" ht="15" customHeight="1" x14ac:dyDescent="0.3">
      <c r="A29" s="447">
        <v>46197</v>
      </c>
      <c r="B29" s="250">
        <f>IF(D29&gt;0,COUNTIF($D$9:D29,"&gt;0"),"")</f>
        <v>19</v>
      </c>
      <c r="C29" s="251">
        <f>'SEMANA JUNHO'!$M$177</f>
        <v>0</v>
      </c>
      <c r="D29" s="251">
        <f>CONFIG!$B$3</f>
        <v>11000</v>
      </c>
      <c r="E29" s="252">
        <f t="shared" si="0"/>
        <v>-11000</v>
      </c>
      <c r="F29" s="496"/>
      <c r="X29" s="28">
        <f t="shared" si="1"/>
        <v>0</v>
      </c>
      <c r="Y29" s="28">
        <f t="shared" si="2"/>
        <v>11000</v>
      </c>
    </row>
    <row r="30" spans="1:25" ht="15" customHeight="1" x14ac:dyDescent="0.3">
      <c r="A30" s="447">
        <v>46198</v>
      </c>
      <c r="B30" s="250">
        <f>IF(D30&gt;0,COUNTIF($D$9:D30,"&gt;0"),"")</f>
        <v>20</v>
      </c>
      <c r="C30" s="251">
        <f>'SEMANA JUNHO'!$M$185</f>
        <v>0</v>
      </c>
      <c r="D30" s="251">
        <f>CONFIG!$B$3</f>
        <v>11000</v>
      </c>
      <c r="E30" s="252">
        <f t="shared" si="0"/>
        <v>-11000</v>
      </c>
      <c r="F30" s="496"/>
      <c r="X30" s="28">
        <f t="shared" si="1"/>
        <v>0</v>
      </c>
      <c r="Y30" s="28">
        <f t="shared" si="2"/>
        <v>11000</v>
      </c>
    </row>
    <row r="31" spans="1:25" ht="14.25" customHeight="1" x14ac:dyDescent="0.3">
      <c r="A31" s="447">
        <v>46199</v>
      </c>
      <c r="B31" s="250">
        <f>IF(D31&gt;0,COUNTIF($D$9:D31,"&gt;0"),"")</f>
        <v>21</v>
      </c>
      <c r="C31" s="251">
        <f>'SEMANA JUNHO'!$M$193</f>
        <v>0</v>
      </c>
      <c r="D31" s="251">
        <f>CONFIG!$B$3</f>
        <v>11000</v>
      </c>
      <c r="E31" s="252">
        <f t="shared" si="0"/>
        <v>-11000</v>
      </c>
      <c r="F31" s="496"/>
    </row>
    <row r="32" spans="1:25" ht="14.25" customHeight="1" x14ac:dyDescent="0.3">
      <c r="A32" s="447">
        <v>46200</v>
      </c>
      <c r="B32" s="250">
        <f>IF(D32&gt;0,COUNTIF($D$9:D32,"&gt;0"),"")</f>
        <v>22</v>
      </c>
      <c r="C32" s="251">
        <f>'SEMANA JUNHO'!$M$201</f>
        <v>0</v>
      </c>
      <c r="D32" s="251">
        <f>CONFIG!$B$3</f>
        <v>11000</v>
      </c>
      <c r="E32" s="252">
        <f t="shared" si="0"/>
        <v>-11000</v>
      </c>
      <c r="F32" s="162" t="s">
        <v>1364</v>
      </c>
    </row>
    <row r="33" spans="1:6" ht="14.25" customHeight="1" x14ac:dyDescent="0.3">
      <c r="A33" s="447">
        <v>46202</v>
      </c>
      <c r="B33" s="250">
        <f>IF(D33&gt;0,COUNTIF($D$9:D33,"&gt;0"),"")</f>
        <v>23</v>
      </c>
      <c r="C33" s="251">
        <f>'SEMANA JUNHO'!$M$209</f>
        <v>0</v>
      </c>
      <c r="D33" s="251">
        <f>CONFIG!$B$3</f>
        <v>11000</v>
      </c>
      <c r="E33" s="252">
        <f t="shared" si="0"/>
        <v>-11000</v>
      </c>
      <c r="F33" s="496"/>
    </row>
    <row r="34" spans="1:6" ht="14.25" customHeight="1" x14ac:dyDescent="0.3">
      <c r="A34" s="447">
        <v>46203</v>
      </c>
      <c r="B34" s="250">
        <f>IF(D34&gt;0,COUNTIF($D$9:D34,"&gt;0"),"")</f>
        <v>24</v>
      </c>
      <c r="C34" s="251">
        <f>'SEMANA JUNHO'!$M$217</f>
        <v>0</v>
      </c>
      <c r="D34" s="251">
        <f>CONFIG!$B$3</f>
        <v>11000</v>
      </c>
      <c r="E34" s="252">
        <f t="shared" si="0"/>
        <v>-11000</v>
      </c>
      <c r="F34" s="496"/>
    </row>
    <row r="35" spans="1:6" ht="14.25" customHeight="1" x14ac:dyDescent="0.3"/>
    <row r="36" spans="1:6" ht="14.25" customHeight="1" x14ac:dyDescent="0.3"/>
    <row r="37" spans="1:6" ht="14.25" customHeight="1" x14ac:dyDescent="0.3"/>
    <row r="38" spans="1:6" ht="14.25" customHeight="1" x14ac:dyDescent="0.3"/>
    <row r="39" spans="1:6" ht="14.25" customHeight="1" x14ac:dyDescent="0.3"/>
    <row r="40" spans="1:6" ht="14.25" customHeight="1" x14ac:dyDescent="0.3"/>
    <row r="41" spans="1:6" ht="14.25" customHeight="1" x14ac:dyDescent="0.3"/>
    <row r="42" spans="1:6" ht="14.25" customHeight="1" x14ac:dyDescent="0.3"/>
    <row r="43" spans="1:6" ht="14.25" customHeight="1" x14ac:dyDescent="0.3"/>
    <row r="44" spans="1:6" ht="14.25" customHeight="1" x14ac:dyDescent="0.3"/>
    <row r="45" spans="1:6" ht="14.25" customHeight="1" x14ac:dyDescent="0.3"/>
    <row r="46" spans="1:6" ht="14.25" customHeight="1" x14ac:dyDescent="0.3"/>
    <row r="47" spans="1:6" ht="14.25" customHeight="1" x14ac:dyDescent="0.3"/>
    <row r="48" spans="1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</sheetData>
  <mergeCells count="1">
    <mergeCell ref="A1:F1"/>
  </mergeCells>
  <conditionalFormatting sqref="E9:E34">
    <cfRule type="cellIs" dxfId="38" priority="2" operator="greaterThan">
      <formula>0</formula>
    </cfRule>
    <cfRule type="cellIs" dxfId="37" priority="3" operator="lessThan">
      <formula>0</formula>
    </cfRule>
    <cfRule type="cellIs" dxfId="36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C96B0A"/>
  </sheetPr>
  <dimension ref="B1:N300"/>
  <sheetViews>
    <sheetView showGridLines="0" zoomScaleNormal="100" workbookViewId="0"/>
  </sheetViews>
  <sheetFormatPr defaultColWidth="8.6640625" defaultRowHeight="17.399999999999999" x14ac:dyDescent="0.3"/>
  <cols>
    <col min="1" max="1" width="2.5546875" customWidth="1"/>
    <col min="2" max="2" width="13.5546875" style="5" customWidth="1"/>
    <col min="3" max="3" width="7.6640625" style="6" customWidth="1"/>
    <col min="4" max="4" width="12.6640625" style="6" customWidth="1"/>
    <col min="5" max="5" width="9.109375" style="7" customWidth="1"/>
    <col min="6" max="6" width="13.5546875" style="7" customWidth="1"/>
    <col min="7" max="7" width="6.6640625" style="7" customWidth="1"/>
    <col min="8" max="8" width="8" style="7" customWidth="1"/>
    <col min="9" max="9" width="7.5546875" style="7" customWidth="1"/>
    <col min="10" max="10" width="20" style="7" customWidth="1"/>
    <col min="11" max="11" width="9.109375" style="7" customWidth="1"/>
    <col min="12" max="12" width="21" style="7" customWidth="1"/>
    <col min="13" max="13" width="18.109375" style="6" customWidth="1"/>
    <col min="14" max="14" width="17.109375" style="441" customWidth="1"/>
  </cols>
  <sheetData>
    <row r="1" spans="2:14" ht="21.75" customHeight="1" x14ac:dyDescent="0.3">
      <c r="B1" s="561" t="s">
        <v>654</v>
      </c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561"/>
    </row>
    <row r="2" spans="2:14" ht="15" customHeight="1" x14ac:dyDescent="0.3"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</row>
    <row r="3" spans="2:14" ht="17.25" customHeight="1" x14ac:dyDescent="0.3">
      <c r="B3" s="163" t="s">
        <v>75</v>
      </c>
      <c r="C3" s="562" t="s">
        <v>76</v>
      </c>
      <c r="D3" s="562"/>
      <c r="E3" s="562" t="s">
        <v>77</v>
      </c>
      <c r="F3" s="562"/>
      <c r="G3" s="562" t="s">
        <v>78</v>
      </c>
      <c r="H3" s="562"/>
      <c r="I3" s="562"/>
      <c r="J3" s="562"/>
      <c r="K3" s="562" t="s">
        <v>79</v>
      </c>
      <c r="L3" s="562"/>
      <c r="M3" s="164" t="s">
        <v>80</v>
      </c>
      <c r="N3" s="438" t="s">
        <v>81</v>
      </c>
    </row>
    <row r="4" spans="2:14" ht="17.25" customHeight="1" x14ac:dyDescent="0.3">
      <c r="B4" s="255"/>
      <c r="C4" s="725"/>
      <c r="D4" s="725"/>
      <c r="E4" s="725"/>
      <c r="F4" s="725"/>
      <c r="G4" s="725"/>
      <c r="H4" s="725"/>
      <c r="I4" s="725"/>
      <c r="J4" s="725"/>
      <c r="K4" s="725"/>
      <c r="L4" s="725"/>
      <c r="M4" s="256"/>
      <c r="N4" s="438"/>
    </row>
    <row r="5" spans="2:14" ht="17.25" customHeight="1" x14ac:dyDescent="0.3">
      <c r="B5" s="21"/>
      <c r="C5" s="552"/>
      <c r="D5" s="552"/>
      <c r="E5" s="552"/>
      <c r="F5" s="552"/>
      <c r="G5" s="552"/>
      <c r="H5" s="552"/>
      <c r="I5" s="552"/>
      <c r="J5" s="552"/>
      <c r="K5" s="552"/>
      <c r="L5" s="552"/>
      <c r="M5" s="22"/>
      <c r="N5" s="438"/>
    </row>
    <row r="6" spans="2:14" ht="17.25" customHeight="1" x14ac:dyDescent="0.3">
      <c r="B6" s="19"/>
      <c r="C6" s="553"/>
      <c r="D6" s="553"/>
      <c r="E6" s="553"/>
      <c r="F6" s="553"/>
      <c r="G6" s="553"/>
      <c r="H6" s="553"/>
      <c r="I6" s="553"/>
      <c r="J6" s="553"/>
      <c r="K6" s="553"/>
      <c r="L6" s="553"/>
      <c r="M6" s="23"/>
      <c r="N6" s="438"/>
    </row>
    <row r="7" spans="2:14" ht="17.25" customHeight="1" x14ac:dyDescent="0.3">
      <c r="B7" s="21"/>
      <c r="C7" s="552"/>
      <c r="D7" s="552"/>
      <c r="E7" s="552"/>
      <c r="F7" s="552"/>
      <c r="G7" s="552"/>
      <c r="H7" s="552"/>
      <c r="I7" s="552"/>
      <c r="J7" s="552"/>
      <c r="K7" s="552"/>
      <c r="L7" s="552"/>
      <c r="M7" s="24"/>
      <c r="N7" s="438"/>
    </row>
    <row r="8" spans="2:14" ht="17.25" customHeight="1" x14ac:dyDescent="0.3">
      <c r="B8" s="19"/>
      <c r="C8" s="553"/>
      <c r="D8" s="553"/>
      <c r="E8" s="553"/>
      <c r="F8" s="553"/>
      <c r="G8" s="553"/>
      <c r="H8" s="553"/>
      <c r="I8" s="553"/>
      <c r="J8" s="553"/>
      <c r="K8" s="553"/>
      <c r="L8" s="553"/>
      <c r="M8" s="23"/>
      <c r="N8" s="438"/>
    </row>
    <row r="9" spans="2:14" ht="17.25" customHeight="1" x14ac:dyDescent="0.3">
      <c r="B9" s="21"/>
      <c r="C9" s="552"/>
      <c r="D9" s="552"/>
      <c r="E9" s="552"/>
      <c r="F9" s="552"/>
      <c r="G9" s="552"/>
      <c r="H9" s="552"/>
      <c r="I9" s="552"/>
      <c r="J9" s="552"/>
      <c r="K9" s="552"/>
      <c r="L9" s="552"/>
      <c r="M9" s="22"/>
      <c r="N9" s="438"/>
    </row>
    <row r="10" spans="2:14" ht="17.25" customHeight="1" x14ac:dyDescent="0.3">
      <c r="B10" s="19"/>
      <c r="C10" s="553"/>
      <c r="D10" s="553"/>
      <c r="E10" s="553"/>
      <c r="F10" s="553"/>
      <c r="G10" s="553"/>
      <c r="H10" s="553"/>
      <c r="I10" s="553"/>
      <c r="J10" s="553"/>
      <c r="K10" s="553"/>
      <c r="L10" s="553"/>
      <c r="M10" s="20"/>
      <c r="N10" s="438"/>
    </row>
    <row r="11" spans="2:14" ht="17.25" customHeight="1" x14ac:dyDescent="0.3">
      <c r="B11" s="21"/>
      <c r="C11" s="552"/>
      <c r="D11" s="552"/>
      <c r="E11" s="552"/>
      <c r="F11" s="552"/>
      <c r="G11" s="552"/>
      <c r="H11" s="552"/>
      <c r="I11" s="552"/>
      <c r="J11" s="552"/>
      <c r="K11" s="552"/>
      <c r="L11" s="552"/>
      <c r="M11" s="22"/>
      <c r="N11" s="438"/>
    </row>
    <row r="12" spans="2:14" ht="17.25" customHeight="1" x14ac:dyDescent="0.3">
      <c r="B12" s="19"/>
      <c r="C12" s="553"/>
      <c r="D12" s="553"/>
      <c r="E12" s="553"/>
      <c r="F12" s="553"/>
      <c r="G12" s="553"/>
      <c r="H12" s="553"/>
      <c r="I12" s="553"/>
      <c r="J12" s="553"/>
      <c r="K12" s="553"/>
      <c r="L12" s="553"/>
      <c r="M12" s="20"/>
      <c r="N12" s="438"/>
    </row>
    <row r="13" spans="2:14" ht="17.25" customHeight="1" x14ac:dyDescent="0.3">
      <c r="B13" s="21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22"/>
      <c r="N13" s="438"/>
    </row>
    <row r="14" spans="2:14" ht="17.25" customHeight="1" x14ac:dyDescent="0.3">
      <c r="B14" s="19"/>
      <c r="C14" s="553"/>
      <c r="D14" s="553"/>
      <c r="E14" s="553"/>
      <c r="F14" s="553"/>
      <c r="G14" s="553"/>
      <c r="H14" s="553"/>
      <c r="I14" s="553"/>
      <c r="J14" s="553"/>
      <c r="K14" s="553"/>
      <c r="L14" s="553"/>
      <c r="M14" s="20"/>
      <c r="N14" s="438"/>
    </row>
    <row r="15" spans="2:14" ht="17.25" customHeight="1" x14ac:dyDescent="0.3">
      <c r="B15" s="21"/>
      <c r="C15" s="552"/>
      <c r="D15" s="552"/>
      <c r="E15" s="552"/>
      <c r="F15" s="552"/>
      <c r="G15" s="552"/>
      <c r="H15" s="552"/>
      <c r="I15" s="552"/>
      <c r="J15" s="552"/>
      <c r="K15" s="552"/>
      <c r="L15" s="552"/>
      <c r="M15" s="22"/>
      <c r="N15" s="438"/>
    </row>
    <row r="16" spans="2:14" ht="17.25" customHeight="1" x14ac:dyDescent="0.3">
      <c r="B16" s="19"/>
      <c r="C16" s="553"/>
      <c r="D16" s="553"/>
      <c r="E16" s="553"/>
      <c r="F16" s="553"/>
      <c r="G16" s="553"/>
      <c r="H16" s="553"/>
      <c r="I16" s="553"/>
      <c r="J16" s="553"/>
      <c r="K16" s="553"/>
      <c r="L16" s="553"/>
      <c r="M16" s="20"/>
      <c r="N16" s="438"/>
    </row>
    <row r="17" spans="2:14" ht="17.25" customHeight="1" x14ac:dyDescent="0.3">
      <c r="B17" s="21"/>
      <c r="C17" s="552"/>
      <c r="D17" s="552"/>
      <c r="E17" s="552"/>
      <c r="F17" s="552"/>
      <c r="G17" s="552"/>
      <c r="H17" s="552"/>
      <c r="I17" s="552"/>
      <c r="J17" s="552"/>
      <c r="K17" s="552"/>
      <c r="L17" s="552"/>
      <c r="M17" s="24"/>
      <c r="N17" s="438"/>
    </row>
    <row r="18" spans="2:14" ht="17.25" customHeight="1" x14ac:dyDescent="0.3">
      <c r="B18" s="19"/>
      <c r="C18" s="553"/>
      <c r="D18" s="553"/>
      <c r="E18" s="553"/>
      <c r="F18" s="553"/>
      <c r="G18" s="553"/>
      <c r="H18" s="553"/>
      <c r="I18" s="553"/>
      <c r="J18" s="553"/>
      <c r="K18" s="553"/>
      <c r="L18" s="553"/>
      <c r="M18" s="20"/>
      <c r="N18" s="438"/>
    </row>
    <row r="19" spans="2:14" ht="17.25" customHeight="1" x14ac:dyDescent="0.3">
      <c r="B19" s="21"/>
      <c r="C19" s="552"/>
      <c r="D19" s="552"/>
      <c r="E19" s="552"/>
      <c r="F19" s="552"/>
      <c r="G19" s="552"/>
      <c r="H19" s="552"/>
      <c r="I19" s="552"/>
      <c r="J19" s="552"/>
      <c r="K19" s="552"/>
      <c r="L19" s="552"/>
      <c r="M19" s="22"/>
      <c r="N19" s="438"/>
    </row>
    <row r="20" spans="2:14" ht="17.25" customHeight="1" x14ac:dyDescent="0.3">
      <c r="B20" s="19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20"/>
      <c r="N20" s="438"/>
    </row>
    <row r="21" spans="2:14" ht="17.25" customHeight="1" x14ac:dyDescent="0.3">
      <c r="B21" s="21"/>
      <c r="C21" s="552"/>
      <c r="D21" s="552"/>
      <c r="E21" s="552"/>
      <c r="F21" s="552"/>
      <c r="G21" s="552"/>
      <c r="H21" s="552"/>
      <c r="I21" s="552"/>
      <c r="J21" s="552"/>
      <c r="K21" s="552"/>
      <c r="L21" s="552"/>
      <c r="M21" s="22"/>
      <c r="N21" s="438"/>
    </row>
    <row r="22" spans="2:14" ht="17.25" customHeight="1" x14ac:dyDescent="0.3">
      <c r="B22" s="19"/>
      <c r="C22" s="553"/>
      <c r="D22" s="553"/>
      <c r="E22" s="553"/>
      <c r="F22" s="553"/>
      <c r="G22" s="553"/>
      <c r="H22" s="553"/>
      <c r="I22" s="553"/>
      <c r="J22" s="553"/>
      <c r="K22" s="553"/>
      <c r="L22" s="553"/>
      <c r="M22" s="20"/>
      <c r="N22" s="438"/>
    </row>
    <row r="23" spans="2:14" ht="17.25" customHeight="1" x14ac:dyDescent="0.3">
      <c r="B23" s="21"/>
      <c r="C23" s="552"/>
      <c r="D23" s="552"/>
      <c r="E23" s="552"/>
      <c r="F23" s="552"/>
      <c r="G23" s="552"/>
      <c r="H23" s="552"/>
      <c r="I23" s="552"/>
      <c r="J23" s="552"/>
      <c r="K23" s="552"/>
      <c r="L23" s="552"/>
      <c r="M23" s="22"/>
      <c r="N23" s="438"/>
    </row>
    <row r="24" spans="2:14" ht="17.25" customHeight="1" x14ac:dyDescent="0.3">
      <c r="B24" s="19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20"/>
      <c r="N24" s="438"/>
    </row>
    <row r="25" spans="2:14" ht="17.25" customHeight="1" x14ac:dyDescent="0.3">
      <c r="B25" s="21"/>
      <c r="C25" s="552"/>
      <c r="D25" s="552"/>
      <c r="E25" s="552"/>
      <c r="F25" s="552"/>
      <c r="G25" s="552"/>
      <c r="H25" s="552"/>
      <c r="I25" s="552"/>
      <c r="J25" s="552"/>
      <c r="K25" s="552"/>
      <c r="L25" s="552"/>
      <c r="M25" s="24"/>
      <c r="N25" s="438"/>
    </row>
    <row r="26" spans="2:14" ht="17.25" customHeight="1" x14ac:dyDescent="0.3">
      <c r="B26" s="19"/>
      <c r="C26" s="553"/>
      <c r="D26" s="553"/>
      <c r="E26" s="553"/>
      <c r="F26" s="553"/>
      <c r="G26" s="553"/>
      <c r="H26" s="553"/>
      <c r="I26" s="553"/>
      <c r="J26" s="553"/>
      <c r="K26" s="553"/>
      <c r="L26" s="553"/>
      <c r="M26" s="20"/>
      <c r="N26" s="438"/>
    </row>
    <row r="27" spans="2:14" ht="17.25" customHeight="1" x14ac:dyDescent="0.3">
      <c r="B27" s="21"/>
      <c r="C27" s="552"/>
      <c r="D27" s="552"/>
      <c r="E27" s="552"/>
      <c r="F27" s="552"/>
      <c r="G27" s="552"/>
      <c r="H27" s="552"/>
      <c r="I27" s="552"/>
      <c r="J27" s="552"/>
      <c r="K27" s="552"/>
      <c r="L27" s="552"/>
      <c r="M27" s="22"/>
      <c r="N27" s="438"/>
    </row>
    <row r="28" spans="2:14" ht="17.25" customHeight="1" x14ac:dyDescent="0.3">
      <c r="B28" s="19"/>
      <c r="C28" s="553"/>
      <c r="D28" s="553"/>
      <c r="E28" s="553"/>
      <c r="F28" s="553"/>
      <c r="G28" s="553"/>
      <c r="H28" s="553"/>
      <c r="I28" s="553"/>
      <c r="J28" s="553"/>
      <c r="K28" s="553"/>
      <c r="L28" s="553"/>
      <c r="M28" s="20"/>
      <c r="N28" s="438"/>
    </row>
    <row r="29" spans="2:14" ht="17.25" customHeight="1" x14ac:dyDescent="0.3">
      <c r="B29" s="21"/>
      <c r="C29" s="552"/>
      <c r="D29" s="552"/>
      <c r="E29" s="552"/>
      <c r="F29" s="552"/>
      <c r="G29" s="552"/>
      <c r="H29" s="552"/>
      <c r="I29" s="552"/>
      <c r="J29" s="552"/>
      <c r="K29" s="552"/>
      <c r="L29" s="552"/>
      <c r="M29" s="22"/>
      <c r="N29" s="438"/>
    </row>
    <row r="30" spans="2:14" ht="17.25" customHeight="1" x14ac:dyDescent="0.3">
      <c r="B30" s="19"/>
      <c r="C30" s="553"/>
      <c r="D30" s="553"/>
      <c r="E30" s="553"/>
      <c r="F30" s="553"/>
      <c r="G30" s="553"/>
      <c r="H30" s="553"/>
      <c r="I30" s="553"/>
      <c r="J30" s="553"/>
      <c r="K30" s="553"/>
      <c r="L30" s="553"/>
      <c r="M30" s="20"/>
      <c r="N30" s="438"/>
    </row>
    <row r="31" spans="2:14" ht="17.25" customHeight="1" x14ac:dyDescent="0.3">
      <c r="B31" s="21"/>
      <c r="C31" s="552"/>
      <c r="D31" s="552"/>
      <c r="E31" s="552"/>
      <c r="F31" s="552"/>
      <c r="G31" s="552"/>
      <c r="H31" s="552"/>
      <c r="I31" s="552"/>
      <c r="J31" s="552"/>
      <c r="K31" s="552"/>
      <c r="L31" s="552"/>
      <c r="M31" s="22"/>
      <c r="N31" s="438"/>
    </row>
    <row r="32" spans="2:14" ht="17.25" customHeight="1" x14ac:dyDescent="0.3">
      <c r="B32" s="19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20"/>
      <c r="N32" s="438"/>
    </row>
    <row r="33" spans="2:14" ht="17.25" customHeight="1" x14ac:dyDescent="0.3">
      <c r="B33" s="21"/>
      <c r="C33" s="552"/>
      <c r="D33" s="552"/>
      <c r="E33" s="552"/>
      <c r="F33" s="552"/>
      <c r="G33" s="552"/>
      <c r="H33" s="552"/>
      <c r="I33" s="552"/>
      <c r="J33" s="552"/>
      <c r="K33" s="552"/>
      <c r="L33" s="552"/>
      <c r="M33" s="22"/>
      <c r="N33" s="438"/>
    </row>
    <row r="34" spans="2:14" ht="17.25" customHeight="1" x14ac:dyDescent="0.3">
      <c r="B34" s="19"/>
      <c r="C34" s="553"/>
      <c r="D34" s="553"/>
      <c r="E34" s="553"/>
      <c r="F34" s="553"/>
      <c r="G34" s="553"/>
      <c r="H34" s="553"/>
      <c r="I34" s="553"/>
      <c r="J34" s="553"/>
      <c r="K34" s="553"/>
      <c r="L34" s="553"/>
      <c r="M34" s="23"/>
      <c r="N34" s="438"/>
    </row>
    <row r="35" spans="2:14" ht="17.25" customHeight="1" x14ac:dyDescent="0.3">
      <c r="B35" s="21"/>
      <c r="C35" s="552"/>
      <c r="D35" s="552"/>
      <c r="E35" s="552"/>
      <c r="F35" s="552"/>
      <c r="G35" s="552"/>
      <c r="H35" s="552"/>
      <c r="I35" s="552"/>
      <c r="J35" s="552"/>
      <c r="K35" s="552"/>
      <c r="L35" s="552"/>
      <c r="M35" s="22"/>
      <c r="N35" s="438"/>
    </row>
    <row r="36" spans="2:14" ht="17.25" customHeight="1" x14ac:dyDescent="0.3">
      <c r="B36" s="19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20"/>
      <c r="N36" s="438"/>
    </row>
    <row r="37" spans="2:14" ht="17.25" customHeight="1" x14ac:dyDescent="0.3">
      <c r="B37" s="21"/>
      <c r="C37" s="552"/>
      <c r="D37" s="552"/>
      <c r="E37" s="552"/>
      <c r="F37" s="552"/>
      <c r="G37" s="552"/>
      <c r="H37" s="552"/>
      <c r="I37" s="552"/>
      <c r="J37" s="552"/>
      <c r="K37" s="552"/>
      <c r="L37" s="552"/>
      <c r="M37" s="22"/>
      <c r="N37" s="438"/>
    </row>
    <row r="38" spans="2:14" ht="17.25" customHeight="1" x14ac:dyDescent="0.3">
      <c r="B38" s="19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20"/>
      <c r="N38" s="438"/>
    </row>
    <row r="39" spans="2:14" ht="17.25" customHeight="1" x14ac:dyDescent="0.3">
      <c r="B39" s="21"/>
      <c r="C39" s="552"/>
      <c r="D39" s="552"/>
      <c r="E39" s="552"/>
      <c r="F39" s="552"/>
      <c r="G39" s="552"/>
      <c r="H39" s="552"/>
      <c r="I39" s="552"/>
      <c r="J39" s="552"/>
      <c r="K39" s="552"/>
      <c r="L39" s="552"/>
      <c r="M39" s="22"/>
      <c r="N39" s="438"/>
    </row>
    <row r="40" spans="2:14" ht="17.25" customHeight="1" x14ac:dyDescent="0.3">
      <c r="B40" s="19"/>
      <c r="C40" s="553"/>
      <c r="D40" s="553"/>
      <c r="E40" s="553"/>
      <c r="F40" s="553"/>
      <c r="G40" s="553"/>
      <c r="H40" s="553"/>
      <c r="I40" s="553"/>
      <c r="J40" s="553"/>
      <c r="K40" s="553"/>
      <c r="L40" s="553"/>
      <c r="M40" s="20"/>
      <c r="N40" s="438"/>
    </row>
    <row r="41" spans="2:14" ht="17.25" customHeight="1" x14ac:dyDescent="0.3">
      <c r="B41" s="21"/>
      <c r="C41" s="552"/>
      <c r="D41" s="552"/>
      <c r="E41" s="552"/>
      <c r="F41" s="552"/>
      <c r="G41" s="552"/>
      <c r="H41" s="552"/>
      <c r="I41" s="552"/>
      <c r="J41" s="552"/>
      <c r="K41" s="552"/>
      <c r="L41" s="552"/>
      <c r="M41" s="22"/>
      <c r="N41" s="438"/>
    </row>
    <row r="42" spans="2:14" ht="17.25" customHeight="1" x14ac:dyDescent="0.3">
      <c r="B42" s="19"/>
      <c r="C42" s="553"/>
      <c r="D42" s="553"/>
      <c r="E42" s="553"/>
      <c r="F42" s="553"/>
      <c r="G42" s="553"/>
      <c r="H42" s="553"/>
      <c r="I42" s="553"/>
      <c r="J42" s="553"/>
      <c r="K42" s="553"/>
      <c r="L42" s="553"/>
      <c r="M42" s="23"/>
      <c r="N42" s="438"/>
    </row>
    <row r="43" spans="2:14" ht="17.25" customHeight="1" x14ac:dyDescent="0.3">
      <c r="B43" s="21"/>
      <c r="C43" s="552"/>
      <c r="D43" s="552"/>
      <c r="E43" s="552"/>
      <c r="F43" s="552"/>
      <c r="G43" s="552"/>
      <c r="H43" s="552"/>
      <c r="I43" s="552"/>
      <c r="J43" s="552"/>
      <c r="K43" s="552"/>
      <c r="L43" s="552"/>
      <c r="M43" s="22"/>
      <c r="N43" s="438"/>
    </row>
    <row r="44" spans="2:14" ht="17.25" customHeight="1" x14ac:dyDescent="0.3">
      <c r="B44" s="19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20"/>
      <c r="N44" s="438"/>
    </row>
    <row r="45" spans="2:14" ht="17.25" customHeight="1" x14ac:dyDescent="0.3">
      <c r="B45" s="21"/>
      <c r="C45" s="552"/>
      <c r="D45" s="552"/>
      <c r="E45" s="552"/>
      <c r="F45" s="552"/>
      <c r="G45" s="552"/>
      <c r="H45" s="552"/>
      <c r="I45" s="552"/>
      <c r="J45" s="552"/>
      <c r="K45" s="552"/>
      <c r="L45" s="552"/>
      <c r="M45" s="22"/>
      <c r="N45" s="438"/>
    </row>
    <row r="46" spans="2:14" ht="17.25" customHeight="1" x14ac:dyDescent="0.3">
      <c r="B46" s="19"/>
      <c r="C46" s="553"/>
      <c r="D46" s="553"/>
      <c r="E46" s="553"/>
      <c r="F46" s="553"/>
      <c r="G46" s="553"/>
      <c r="H46" s="553"/>
      <c r="I46" s="553"/>
      <c r="J46" s="553"/>
      <c r="K46" s="553"/>
      <c r="L46" s="553"/>
      <c r="M46" s="20"/>
      <c r="N46" s="438"/>
    </row>
    <row r="47" spans="2:14" ht="17.25" customHeight="1" x14ac:dyDescent="0.3">
      <c r="B47" s="21"/>
      <c r="C47" s="552"/>
      <c r="D47" s="552"/>
      <c r="E47" s="552"/>
      <c r="F47" s="552"/>
      <c r="G47" s="552"/>
      <c r="H47" s="552"/>
      <c r="I47" s="552"/>
      <c r="J47" s="552"/>
      <c r="K47" s="552"/>
      <c r="L47" s="552"/>
      <c r="M47" s="22"/>
      <c r="N47" s="438"/>
    </row>
    <row r="48" spans="2:14" ht="17.25" customHeight="1" x14ac:dyDescent="0.3">
      <c r="B48" s="19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20"/>
      <c r="N48" s="438"/>
    </row>
    <row r="49" spans="2:14" ht="17.25" customHeight="1" x14ac:dyDescent="0.3">
      <c r="B49" s="21"/>
      <c r="C49" s="552"/>
      <c r="D49" s="552"/>
      <c r="E49" s="552"/>
      <c r="F49" s="552"/>
      <c r="G49" s="552"/>
      <c r="H49" s="552"/>
      <c r="I49" s="552"/>
      <c r="J49" s="552"/>
      <c r="K49" s="552"/>
      <c r="L49" s="552"/>
      <c r="M49" s="22"/>
      <c r="N49" s="438"/>
    </row>
    <row r="50" spans="2:14" ht="17.25" customHeight="1" x14ac:dyDescent="0.3">
      <c r="B50" s="19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20"/>
      <c r="N50" s="438"/>
    </row>
    <row r="51" spans="2:14" ht="17.25" customHeight="1" x14ac:dyDescent="0.3">
      <c r="B51" s="21"/>
      <c r="C51" s="552"/>
      <c r="D51" s="552"/>
      <c r="E51" s="552"/>
      <c r="F51" s="552"/>
      <c r="G51" s="552"/>
      <c r="H51" s="552"/>
      <c r="I51" s="552"/>
      <c r="J51" s="552"/>
      <c r="K51" s="552"/>
      <c r="L51" s="552"/>
      <c r="M51" s="24"/>
      <c r="N51" s="438"/>
    </row>
    <row r="52" spans="2:14" ht="17.25" customHeight="1" x14ac:dyDescent="0.3">
      <c r="B52" s="19"/>
      <c r="C52" s="553"/>
      <c r="D52" s="553"/>
      <c r="E52" s="553"/>
      <c r="F52" s="553"/>
      <c r="G52" s="553"/>
      <c r="H52" s="553"/>
      <c r="I52" s="553"/>
      <c r="J52" s="553"/>
      <c r="K52" s="553"/>
      <c r="L52" s="553"/>
      <c r="M52" s="20"/>
      <c r="N52" s="438"/>
    </row>
    <row r="53" spans="2:14" ht="17.25" customHeight="1" x14ac:dyDescent="0.3">
      <c r="B53" s="21"/>
      <c r="C53" s="552"/>
      <c r="D53" s="552"/>
      <c r="E53" s="552"/>
      <c r="F53" s="552"/>
      <c r="G53" s="552"/>
      <c r="H53" s="552"/>
      <c r="I53" s="552"/>
      <c r="J53" s="552"/>
      <c r="K53" s="552"/>
      <c r="L53" s="552"/>
      <c r="M53" s="22"/>
      <c r="N53" s="438"/>
    </row>
    <row r="54" spans="2:14" ht="17.25" customHeight="1" x14ac:dyDescent="0.3">
      <c r="B54" s="19"/>
      <c r="C54" s="553"/>
      <c r="D54" s="553"/>
      <c r="E54" s="553"/>
      <c r="F54" s="553"/>
      <c r="G54" s="553"/>
      <c r="H54" s="553"/>
      <c r="I54" s="553"/>
      <c r="J54" s="553"/>
      <c r="K54" s="553"/>
      <c r="L54" s="553"/>
      <c r="M54" s="20"/>
      <c r="N54" s="438"/>
    </row>
    <row r="55" spans="2:14" ht="17.25" customHeight="1" x14ac:dyDescent="0.3">
      <c r="B55" s="21"/>
      <c r="C55" s="552"/>
      <c r="D55" s="552"/>
      <c r="E55" s="552"/>
      <c r="F55" s="552"/>
      <c r="G55" s="552"/>
      <c r="H55" s="552"/>
      <c r="I55" s="552"/>
      <c r="J55" s="552"/>
      <c r="K55" s="552"/>
      <c r="L55" s="552"/>
      <c r="M55" s="22"/>
      <c r="N55" s="438"/>
    </row>
    <row r="56" spans="2:14" ht="17.25" customHeight="1" x14ac:dyDescent="0.3">
      <c r="B56" s="19"/>
      <c r="C56" s="553"/>
      <c r="D56" s="553"/>
      <c r="E56" s="553"/>
      <c r="F56" s="553"/>
      <c r="G56" s="553"/>
      <c r="H56" s="553"/>
      <c r="I56" s="553"/>
      <c r="J56" s="553"/>
      <c r="K56" s="553"/>
      <c r="L56" s="553"/>
      <c r="M56" s="20"/>
      <c r="N56" s="438"/>
    </row>
    <row r="57" spans="2:14" ht="17.25" customHeight="1" x14ac:dyDescent="0.3">
      <c r="B57" s="21"/>
      <c r="C57" s="552"/>
      <c r="D57" s="552"/>
      <c r="E57" s="552"/>
      <c r="F57" s="552"/>
      <c r="G57" s="552"/>
      <c r="H57" s="552"/>
      <c r="I57" s="552"/>
      <c r="J57" s="552"/>
      <c r="K57" s="552"/>
      <c r="L57" s="552"/>
      <c r="M57" s="22"/>
      <c r="N57" s="438"/>
    </row>
    <row r="58" spans="2:14" ht="17.25" customHeight="1" x14ac:dyDescent="0.3">
      <c r="B58" s="19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20"/>
      <c r="N58" s="438"/>
    </row>
    <row r="59" spans="2:14" ht="17.25" customHeight="1" x14ac:dyDescent="0.3">
      <c r="B59" s="21"/>
      <c r="C59" s="552"/>
      <c r="D59" s="552"/>
      <c r="E59" s="552"/>
      <c r="F59" s="552"/>
      <c r="G59" s="552"/>
      <c r="H59" s="552"/>
      <c r="I59" s="552"/>
      <c r="J59" s="552"/>
      <c r="K59" s="552"/>
      <c r="L59" s="552"/>
      <c r="M59" s="24"/>
      <c r="N59" s="438"/>
    </row>
    <row r="60" spans="2:14" ht="17.25" customHeight="1" x14ac:dyDescent="0.3">
      <c r="B60" s="19"/>
      <c r="C60" s="553"/>
      <c r="D60" s="553"/>
      <c r="E60" s="553"/>
      <c r="F60" s="553"/>
      <c r="G60" s="553"/>
      <c r="H60" s="553"/>
      <c r="I60" s="553"/>
      <c r="J60" s="553"/>
      <c r="K60" s="553"/>
      <c r="L60" s="553"/>
      <c r="M60" s="20"/>
      <c r="N60" s="438"/>
    </row>
    <row r="61" spans="2:14" ht="17.25" customHeight="1" x14ac:dyDescent="0.3">
      <c r="B61" s="21"/>
      <c r="C61" s="552"/>
      <c r="D61" s="552"/>
      <c r="E61" s="552"/>
      <c r="F61" s="552"/>
      <c r="G61" s="552"/>
      <c r="H61" s="552"/>
      <c r="I61" s="552"/>
      <c r="J61" s="552"/>
      <c r="K61" s="552"/>
      <c r="L61" s="552"/>
      <c r="M61" s="22"/>
      <c r="N61" s="438"/>
    </row>
    <row r="62" spans="2:14" ht="17.25" customHeight="1" x14ac:dyDescent="0.3">
      <c r="B62" s="19"/>
      <c r="C62" s="553"/>
      <c r="D62" s="553"/>
      <c r="E62" s="553"/>
      <c r="F62" s="553"/>
      <c r="G62" s="553"/>
      <c r="H62" s="553"/>
      <c r="I62" s="553"/>
      <c r="J62" s="553"/>
      <c r="K62" s="553"/>
      <c r="L62" s="553"/>
      <c r="M62" s="20"/>
      <c r="N62" s="438"/>
    </row>
    <row r="63" spans="2:14" ht="17.25" customHeight="1" x14ac:dyDescent="0.3">
      <c r="B63" s="21"/>
      <c r="C63" s="552"/>
      <c r="D63" s="552"/>
      <c r="E63" s="552"/>
      <c r="F63" s="552"/>
      <c r="G63" s="552"/>
      <c r="H63" s="552"/>
      <c r="I63" s="552"/>
      <c r="J63" s="552"/>
      <c r="K63" s="552"/>
      <c r="L63" s="552"/>
      <c r="M63" s="22"/>
      <c r="N63" s="438"/>
    </row>
    <row r="64" spans="2:14" ht="17.25" customHeight="1" x14ac:dyDescent="0.3">
      <c r="B64" s="19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20"/>
      <c r="N64" s="438"/>
    </row>
    <row r="65" spans="2:14" ht="17.25" customHeight="1" x14ac:dyDescent="0.3">
      <c r="B65" s="21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22"/>
      <c r="N65" s="438"/>
    </row>
    <row r="66" spans="2:14" ht="17.25" customHeight="1" x14ac:dyDescent="0.3">
      <c r="B66" s="19"/>
      <c r="C66" s="553"/>
      <c r="D66" s="553"/>
      <c r="E66" s="553"/>
      <c r="F66" s="553"/>
      <c r="G66" s="553"/>
      <c r="H66" s="553"/>
      <c r="I66" s="553"/>
      <c r="J66" s="553"/>
      <c r="K66" s="553"/>
      <c r="L66" s="553"/>
      <c r="M66" s="20"/>
      <c r="N66" s="438"/>
    </row>
    <row r="67" spans="2:14" ht="17.25" customHeight="1" x14ac:dyDescent="0.3">
      <c r="B67" s="21"/>
      <c r="C67" s="552"/>
      <c r="D67" s="552"/>
      <c r="E67" s="552"/>
      <c r="F67" s="552"/>
      <c r="G67" s="552"/>
      <c r="H67" s="552"/>
      <c r="I67" s="552"/>
      <c r="J67" s="552"/>
      <c r="K67" s="552"/>
      <c r="L67" s="552"/>
      <c r="M67" s="22"/>
      <c r="N67" s="438"/>
    </row>
    <row r="68" spans="2:14" ht="17.25" customHeight="1" x14ac:dyDescent="0.3">
      <c r="B68" s="19"/>
      <c r="C68" s="553"/>
      <c r="D68" s="553"/>
      <c r="E68" s="553"/>
      <c r="F68" s="553"/>
      <c r="G68" s="553"/>
      <c r="H68" s="553"/>
      <c r="I68" s="553"/>
      <c r="J68" s="553"/>
      <c r="K68" s="553"/>
      <c r="L68" s="553"/>
      <c r="M68" s="23"/>
      <c r="N68" s="438"/>
    </row>
    <row r="69" spans="2:14" ht="17.25" customHeight="1" x14ac:dyDescent="0.3">
      <c r="B69" s="21"/>
      <c r="C69" s="552"/>
      <c r="D69" s="552"/>
      <c r="E69" s="552"/>
      <c r="F69" s="552"/>
      <c r="G69" s="552"/>
      <c r="H69" s="552"/>
      <c r="I69" s="552"/>
      <c r="J69" s="552"/>
      <c r="K69" s="552"/>
      <c r="L69" s="552"/>
      <c r="M69" s="22"/>
      <c r="N69" s="438"/>
    </row>
    <row r="70" spans="2:14" ht="17.25" customHeight="1" x14ac:dyDescent="0.3">
      <c r="B70" s="19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20"/>
      <c r="N70" s="438"/>
    </row>
    <row r="71" spans="2:14" ht="17.25" customHeight="1" x14ac:dyDescent="0.3">
      <c r="B71" s="21"/>
      <c r="C71" s="552"/>
      <c r="D71" s="552"/>
      <c r="E71" s="552"/>
      <c r="F71" s="552"/>
      <c r="G71" s="552"/>
      <c r="H71" s="552"/>
      <c r="I71" s="552"/>
      <c r="J71" s="552"/>
      <c r="K71" s="552"/>
      <c r="L71" s="552"/>
      <c r="M71" s="22"/>
      <c r="N71" s="438"/>
    </row>
    <row r="72" spans="2:14" ht="17.25" customHeight="1" x14ac:dyDescent="0.3">
      <c r="B72" s="19"/>
      <c r="C72" s="553"/>
      <c r="D72" s="553"/>
      <c r="E72" s="553"/>
      <c r="F72" s="553"/>
      <c r="G72" s="553"/>
      <c r="H72" s="553"/>
      <c r="I72" s="553"/>
      <c r="J72" s="553"/>
      <c r="K72" s="553"/>
      <c r="L72" s="553"/>
      <c r="M72" s="20"/>
      <c r="N72" s="438"/>
    </row>
    <row r="73" spans="2:14" ht="17.25" customHeight="1" x14ac:dyDescent="0.3">
      <c r="B73" s="21"/>
      <c r="C73" s="552"/>
      <c r="D73" s="552"/>
      <c r="E73" s="552"/>
      <c r="F73" s="552"/>
      <c r="G73" s="552"/>
      <c r="H73" s="552"/>
      <c r="I73" s="552"/>
      <c r="J73" s="552"/>
      <c r="K73" s="552"/>
      <c r="L73" s="552"/>
      <c r="M73" s="22"/>
      <c r="N73" s="438"/>
    </row>
    <row r="74" spans="2:14" ht="17.25" customHeight="1" x14ac:dyDescent="0.3">
      <c r="B74" s="19"/>
      <c r="C74" s="553"/>
      <c r="D74" s="553"/>
      <c r="E74" s="553"/>
      <c r="F74" s="553"/>
      <c r="G74" s="553"/>
      <c r="H74" s="553"/>
      <c r="I74" s="553"/>
      <c r="J74" s="553"/>
      <c r="K74" s="553"/>
      <c r="L74" s="553"/>
      <c r="M74" s="20"/>
      <c r="N74" s="438"/>
    </row>
    <row r="75" spans="2:14" ht="17.25" customHeight="1" x14ac:dyDescent="0.3">
      <c r="B75" s="21"/>
      <c r="C75" s="552"/>
      <c r="D75" s="552"/>
      <c r="E75" s="552"/>
      <c r="F75" s="552"/>
      <c r="G75" s="552"/>
      <c r="H75" s="552"/>
      <c r="I75" s="552"/>
      <c r="J75" s="552"/>
      <c r="K75" s="552"/>
      <c r="L75" s="552"/>
      <c r="M75" s="22"/>
      <c r="N75" s="438"/>
    </row>
    <row r="76" spans="2:14" ht="17.25" customHeight="1" x14ac:dyDescent="0.3">
      <c r="B76" s="19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23"/>
      <c r="N76" s="438"/>
    </row>
    <row r="77" spans="2:14" ht="17.25" customHeight="1" x14ac:dyDescent="0.3">
      <c r="B77" s="21"/>
      <c r="C77" s="552"/>
      <c r="D77" s="552"/>
      <c r="E77" s="552"/>
      <c r="F77" s="552"/>
      <c r="G77" s="552"/>
      <c r="H77" s="552"/>
      <c r="I77" s="552"/>
      <c r="J77" s="552"/>
      <c r="K77" s="552"/>
      <c r="L77" s="552"/>
      <c r="M77" s="22"/>
      <c r="N77" s="438"/>
    </row>
    <row r="78" spans="2:14" ht="17.25" customHeight="1" x14ac:dyDescent="0.3">
      <c r="B78" s="19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20"/>
      <c r="N78" s="438"/>
    </row>
    <row r="79" spans="2:14" ht="17.25" customHeight="1" x14ac:dyDescent="0.3">
      <c r="B79" s="21"/>
      <c r="C79" s="552"/>
      <c r="D79" s="552"/>
      <c r="E79" s="552"/>
      <c r="F79" s="552"/>
      <c r="G79" s="552"/>
      <c r="H79" s="552"/>
      <c r="I79" s="552"/>
      <c r="J79" s="552"/>
      <c r="K79" s="552"/>
      <c r="L79" s="552"/>
      <c r="M79" s="22"/>
      <c r="N79" s="438"/>
    </row>
    <row r="80" spans="2:14" ht="17.25" customHeight="1" x14ac:dyDescent="0.3">
      <c r="B80" s="19"/>
      <c r="C80" s="553"/>
      <c r="D80" s="553"/>
      <c r="E80" s="553"/>
      <c r="F80" s="553"/>
      <c r="G80" s="553"/>
      <c r="H80" s="553"/>
      <c r="I80" s="553"/>
      <c r="J80" s="553"/>
      <c r="K80" s="553"/>
      <c r="L80" s="553"/>
      <c r="M80" s="20"/>
      <c r="N80" s="438"/>
    </row>
    <row r="81" spans="2:14" ht="17.25" customHeight="1" x14ac:dyDescent="0.3">
      <c r="B81" s="21"/>
      <c r="C81" s="552"/>
      <c r="D81" s="552"/>
      <c r="E81" s="552"/>
      <c r="F81" s="552"/>
      <c r="G81" s="552"/>
      <c r="H81" s="552"/>
      <c r="I81" s="552"/>
      <c r="J81" s="552"/>
      <c r="K81" s="552"/>
      <c r="L81" s="552"/>
      <c r="M81" s="22"/>
      <c r="N81" s="438"/>
    </row>
    <row r="82" spans="2:14" ht="17.25" customHeight="1" x14ac:dyDescent="0.3">
      <c r="B82" s="19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20"/>
      <c r="N82" s="438"/>
    </row>
    <row r="83" spans="2:14" ht="17.25" customHeight="1" x14ac:dyDescent="0.3">
      <c r="B83" s="21"/>
      <c r="C83" s="552"/>
      <c r="D83" s="552"/>
      <c r="E83" s="552"/>
      <c r="F83" s="552"/>
      <c r="G83" s="552"/>
      <c r="H83" s="552"/>
      <c r="I83" s="552"/>
      <c r="J83" s="552"/>
      <c r="K83" s="552"/>
      <c r="L83" s="552"/>
      <c r="M83" s="22"/>
      <c r="N83" s="438"/>
    </row>
    <row r="84" spans="2:14" ht="17.25" customHeight="1" x14ac:dyDescent="0.3">
      <c r="B84" s="19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20"/>
      <c r="N84" s="438"/>
    </row>
    <row r="85" spans="2:14" ht="17.25" customHeight="1" x14ac:dyDescent="0.3">
      <c r="B85" s="21"/>
      <c r="C85" s="552"/>
      <c r="D85" s="552"/>
      <c r="E85" s="552"/>
      <c r="F85" s="552"/>
      <c r="G85" s="552"/>
      <c r="H85" s="552"/>
      <c r="I85" s="552"/>
      <c r="J85" s="552"/>
      <c r="K85" s="552"/>
      <c r="L85" s="552"/>
      <c r="M85" s="24"/>
      <c r="N85" s="438"/>
    </row>
    <row r="86" spans="2:14" ht="17.25" customHeight="1" x14ac:dyDescent="0.3">
      <c r="B86" s="19"/>
      <c r="C86" s="553"/>
      <c r="D86" s="553"/>
      <c r="E86" s="553"/>
      <c r="F86" s="553"/>
      <c r="G86" s="553"/>
      <c r="H86" s="553"/>
      <c r="I86" s="553"/>
      <c r="J86" s="553"/>
      <c r="K86" s="553"/>
      <c r="L86" s="553"/>
      <c r="M86" s="20"/>
      <c r="N86" s="438"/>
    </row>
    <row r="87" spans="2:14" ht="17.25" customHeight="1" x14ac:dyDescent="0.3">
      <c r="B87" s="21"/>
      <c r="C87" s="552"/>
      <c r="D87" s="552"/>
      <c r="E87" s="552"/>
      <c r="F87" s="552"/>
      <c r="G87" s="552"/>
      <c r="H87" s="552"/>
      <c r="I87" s="552"/>
      <c r="J87" s="552"/>
      <c r="K87" s="552"/>
      <c r="L87" s="552"/>
      <c r="M87" s="22"/>
      <c r="N87" s="438"/>
    </row>
    <row r="88" spans="2:14" ht="17.25" customHeight="1" x14ac:dyDescent="0.3">
      <c r="B88" s="19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20"/>
      <c r="N88" s="438"/>
    </row>
    <row r="89" spans="2:14" ht="17.25" customHeight="1" x14ac:dyDescent="0.3">
      <c r="B89" s="21"/>
      <c r="C89" s="552"/>
      <c r="D89" s="552"/>
      <c r="E89" s="552"/>
      <c r="F89" s="552"/>
      <c r="G89" s="552"/>
      <c r="H89" s="552"/>
      <c r="I89" s="552"/>
      <c r="J89" s="552"/>
      <c r="K89" s="552"/>
      <c r="L89" s="552"/>
      <c r="M89" s="22"/>
      <c r="N89" s="438"/>
    </row>
    <row r="90" spans="2:14" ht="17.25" customHeight="1" x14ac:dyDescent="0.3">
      <c r="B90" s="19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20"/>
      <c r="N90" s="438"/>
    </row>
    <row r="91" spans="2:14" ht="17.25" customHeight="1" x14ac:dyDescent="0.3">
      <c r="B91" s="21"/>
      <c r="C91" s="552"/>
      <c r="D91" s="552"/>
      <c r="E91" s="552"/>
      <c r="F91" s="552"/>
      <c r="G91" s="552"/>
      <c r="H91" s="552"/>
      <c r="I91" s="552"/>
      <c r="J91" s="552"/>
      <c r="K91" s="552"/>
      <c r="L91" s="552"/>
      <c r="M91" s="22"/>
      <c r="N91" s="438"/>
    </row>
    <row r="92" spans="2:14" ht="17.25" customHeight="1" x14ac:dyDescent="0.3">
      <c r="B92" s="19"/>
      <c r="C92" s="553"/>
      <c r="D92" s="553"/>
      <c r="E92" s="553"/>
      <c r="F92" s="553"/>
      <c r="G92" s="553"/>
      <c r="H92" s="553"/>
      <c r="I92" s="553"/>
      <c r="J92" s="553"/>
      <c r="K92" s="553"/>
      <c r="L92" s="553"/>
      <c r="M92" s="20"/>
      <c r="N92" s="438"/>
    </row>
    <row r="93" spans="2:14" ht="17.25" customHeight="1" x14ac:dyDescent="0.3">
      <c r="B93" s="21"/>
      <c r="C93" s="552"/>
      <c r="D93" s="552"/>
      <c r="E93" s="552"/>
      <c r="F93" s="552"/>
      <c r="G93" s="552"/>
      <c r="H93" s="552"/>
      <c r="I93" s="552"/>
      <c r="J93" s="552"/>
      <c r="K93" s="552"/>
      <c r="L93" s="552"/>
      <c r="M93" s="24"/>
      <c r="N93" s="438"/>
    </row>
    <row r="94" spans="2:14" ht="17.25" customHeight="1" x14ac:dyDescent="0.3">
      <c r="B94" s="25"/>
      <c r="C94" s="601"/>
      <c r="D94" s="601"/>
      <c r="E94" s="601"/>
      <c r="F94" s="601"/>
      <c r="G94" s="601"/>
      <c r="H94" s="601"/>
      <c r="I94" s="601"/>
      <c r="J94" s="601"/>
      <c r="K94" s="601"/>
      <c r="L94" s="601"/>
      <c r="M94" s="26"/>
      <c r="N94" s="438"/>
    </row>
    <row r="95" spans="2:14" ht="18" customHeight="1" x14ac:dyDescent="0.3">
      <c r="N95" s="437"/>
    </row>
    <row r="96" spans="2:14" ht="18" customHeight="1" x14ac:dyDescent="0.3">
      <c r="N96" s="437"/>
    </row>
    <row r="97" spans="14:14" ht="18" customHeight="1" x14ac:dyDescent="0.3">
      <c r="N97" s="437"/>
    </row>
    <row r="98" spans="14:14" ht="18" customHeight="1" x14ac:dyDescent="0.3">
      <c r="N98" s="437"/>
    </row>
    <row r="99" spans="14:14" ht="18" customHeight="1" x14ac:dyDescent="0.3">
      <c r="N99" s="437"/>
    </row>
    <row r="100" spans="14:14" ht="18" customHeight="1" x14ac:dyDescent="0.3">
      <c r="N100" s="437"/>
    </row>
    <row r="101" spans="14:14" ht="18" customHeight="1" x14ac:dyDescent="0.3">
      <c r="N101" s="437"/>
    </row>
    <row r="102" spans="14:14" ht="18" customHeight="1" x14ac:dyDescent="0.3">
      <c r="N102" s="437"/>
    </row>
    <row r="103" spans="14:14" ht="18" customHeight="1" x14ac:dyDescent="0.3">
      <c r="N103" s="437"/>
    </row>
    <row r="104" spans="14:14" ht="18" customHeight="1" x14ac:dyDescent="0.3">
      <c r="N104" s="437"/>
    </row>
    <row r="105" spans="14:14" ht="18" customHeight="1" x14ac:dyDescent="0.3">
      <c r="N105" s="437"/>
    </row>
    <row r="106" spans="14:14" ht="18" customHeight="1" x14ac:dyDescent="0.3">
      <c r="N106" s="437"/>
    </row>
    <row r="107" spans="14:14" ht="18" customHeight="1" x14ac:dyDescent="0.3">
      <c r="N107" s="437"/>
    </row>
    <row r="108" spans="14:14" ht="18" customHeight="1" x14ac:dyDescent="0.3">
      <c r="N108" s="437"/>
    </row>
    <row r="109" spans="14:14" ht="18" customHeight="1" x14ac:dyDescent="0.3">
      <c r="N109" s="437"/>
    </row>
    <row r="110" spans="14:14" ht="18" customHeight="1" x14ac:dyDescent="0.3">
      <c r="N110" s="437"/>
    </row>
    <row r="111" spans="14:14" ht="18" customHeight="1" x14ac:dyDescent="0.3">
      <c r="N111" s="437"/>
    </row>
    <row r="112" spans="14:14" ht="18" customHeight="1" x14ac:dyDescent="0.3">
      <c r="N112" s="437"/>
    </row>
    <row r="113" spans="14:14" ht="18" customHeight="1" x14ac:dyDescent="0.3">
      <c r="N113" s="437"/>
    </row>
    <row r="114" spans="14:14" ht="18" customHeight="1" x14ac:dyDescent="0.3">
      <c r="N114" s="437"/>
    </row>
    <row r="115" spans="14:14" ht="18" customHeight="1" x14ac:dyDescent="0.3">
      <c r="N115" s="437"/>
    </row>
    <row r="116" spans="14:14" ht="18" customHeight="1" x14ac:dyDescent="0.3">
      <c r="N116" s="437"/>
    </row>
    <row r="117" spans="14:14" ht="18" customHeight="1" x14ac:dyDescent="0.3">
      <c r="N117" s="437"/>
    </row>
    <row r="118" spans="14:14" ht="18" customHeight="1" x14ac:dyDescent="0.3">
      <c r="N118" s="437"/>
    </row>
    <row r="119" spans="14:14" ht="18" customHeight="1" x14ac:dyDescent="0.3">
      <c r="N119" s="437"/>
    </row>
    <row r="120" spans="14:14" ht="18" customHeight="1" x14ac:dyDescent="0.3">
      <c r="N120" s="437"/>
    </row>
    <row r="121" spans="14:14" ht="18" customHeight="1" x14ac:dyDescent="0.3">
      <c r="N121" s="437"/>
    </row>
    <row r="122" spans="14:14" ht="18" customHeight="1" x14ac:dyDescent="0.3">
      <c r="N122" s="437"/>
    </row>
    <row r="123" spans="14:14" ht="18" customHeight="1" x14ac:dyDescent="0.3">
      <c r="N123" s="437"/>
    </row>
    <row r="124" spans="14:14" ht="18" customHeight="1" x14ac:dyDescent="0.3">
      <c r="N124" s="437"/>
    </row>
    <row r="125" spans="14:14" ht="18" customHeight="1" x14ac:dyDescent="0.3">
      <c r="N125" s="437"/>
    </row>
    <row r="126" spans="14:14" ht="18" customHeight="1" x14ac:dyDescent="0.3">
      <c r="N126" s="437"/>
    </row>
    <row r="127" spans="14:14" ht="18" customHeight="1" x14ac:dyDescent="0.3">
      <c r="N127" s="437"/>
    </row>
    <row r="128" spans="14:14" ht="18" customHeight="1" x14ac:dyDescent="0.3">
      <c r="N128" s="437"/>
    </row>
    <row r="129" spans="14:14" ht="18" customHeight="1" x14ac:dyDescent="0.3">
      <c r="N129" s="437"/>
    </row>
    <row r="130" spans="14:14" ht="18" customHeight="1" x14ac:dyDescent="0.3">
      <c r="N130" s="437"/>
    </row>
    <row r="131" spans="14:14" ht="18" customHeight="1" x14ac:dyDescent="0.3">
      <c r="N131" s="437"/>
    </row>
    <row r="132" spans="14:14" ht="18" customHeight="1" x14ac:dyDescent="0.3">
      <c r="N132" s="437"/>
    </row>
    <row r="133" spans="14:14" ht="18" customHeight="1" x14ac:dyDescent="0.3">
      <c r="N133" s="437"/>
    </row>
    <row r="134" spans="14:14" ht="18" customHeight="1" x14ac:dyDescent="0.3">
      <c r="N134" s="437"/>
    </row>
    <row r="135" spans="14:14" ht="18" customHeight="1" x14ac:dyDescent="0.3">
      <c r="N135" s="437"/>
    </row>
    <row r="136" spans="14:14" ht="18" customHeight="1" x14ac:dyDescent="0.3">
      <c r="N136" s="437"/>
    </row>
    <row r="137" spans="14:14" ht="18" customHeight="1" x14ac:dyDescent="0.3">
      <c r="N137" s="437"/>
    </row>
    <row r="138" spans="14:14" ht="18" customHeight="1" x14ac:dyDescent="0.3">
      <c r="N138" s="437"/>
    </row>
    <row r="139" spans="14:14" ht="18" customHeight="1" x14ac:dyDescent="0.3">
      <c r="N139" s="437"/>
    </row>
    <row r="140" spans="14:14" ht="18" customHeight="1" x14ac:dyDescent="0.3">
      <c r="N140" s="437"/>
    </row>
    <row r="141" spans="14:14" ht="18" customHeight="1" x14ac:dyDescent="0.3">
      <c r="N141" s="437"/>
    </row>
    <row r="142" spans="14:14" ht="18" customHeight="1" x14ac:dyDescent="0.3">
      <c r="N142" s="437"/>
    </row>
    <row r="143" spans="14:14" ht="18" customHeight="1" x14ac:dyDescent="0.3">
      <c r="N143" s="437"/>
    </row>
    <row r="144" spans="14:14" ht="18" customHeight="1" x14ac:dyDescent="0.3">
      <c r="N144" s="437"/>
    </row>
    <row r="145" spans="14:14" ht="18" customHeight="1" x14ac:dyDescent="0.3">
      <c r="N145" s="437"/>
    </row>
    <row r="146" spans="14:14" ht="18" customHeight="1" x14ac:dyDescent="0.3">
      <c r="N146" s="437"/>
    </row>
    <row r="147" spans="14:14" ht="18" customHeight="1" x14ac:dyDescent="0.3">
      <c r="N147" s="437"/>
    </row>
    <row r="148" spans="14:14" ht="18" customHeight="1" x14ac:dyDescent="0.3">
      <c r="N148" s="437"/>
    </row>
    <row r="149" spans="14:14" ht="18" customHeight="1" x14ac:dyDescent="0.3">
      <c r="N149" s="437"/>
    </row>
    <row r="150" spans="14:14" ht="18" customHeight="1" x14ac:dyDescent="0.3">
      <c r="N150" s="437"/>
    </row>
    <row r="151" spans="14:14" ht="18" customHeight="1" x14ac:dyDescent="0.3">
      <c r="N151" s="437"/>
    </row>
    <row r="152" spans="14:14" ht="18" customHeight="1" x14ac:dyDescent="0.3">
      <c r="N152" s="437"/>
    </row>
    <row r="153" spans="14:14" ht="18" customHeight="1" x14ac:dyDescent="0.3">
      <c r="N153" s="437"/>
    </row>
    <row r="154" spans="14:14" ht="18" customHeight="1" x14ac:dyDescent="0.3">
      <c r="N154" s="437"/>
    </row>
    <row r="155" spans="14:14" ht="18" customHeight="1" x14ac:dyDescent="0.3">
      <c r="N155" s="437"/>
    </row>
    <row r="156" spans="14:14" ht="18" customHeight="1" x14ac:dyDescent="0.3">
      <c r="N156" s="437"/>
    </row>
    <row r="157" spans="14:14" ht="18" customHeight="1" x14ac:dyDescent="0.3">
      <c r="N157" s="437"/>
    </row>
    <row r="158" spans="14:14" ht="18" customHeight="1" x14ac:dyDescent="0.3">
      <c r="N158" s="437"/>
    </row>
    <row r="159" spans="14:14" ht="18" customHeight="1" x14ac:dyDescent="0.3">
      <c r="N159" s="437"/>
    </row>
    <row r="160" spans="14:14" ht="18" customHeight="1" x14ac:dyDescent="0.3">
      <c r="N160" s="437"/>
    </row>
    <row r="161" spans="14:14" ht="18" customHeight="1" x14ac:dyDescent="0.3">
      <c r="N161" s="437"/>
    </row>
    <row r="162" spans="14:14" ht="18" customHeight="1" x14ac:dyDescent="0.3">
      <c r="N162" s="437"/>
    </row>
    <row r="163" spans="14:14" ht="18" customHeight="1" x14ac:dyDescent="0.3">
      <c r="N163" s="437"/>
    </row>
    <row r="164" spans="14:14" ht="18" customHeight="1" x14ac:dyDescent="0.3">
      <c r="N164" s="437"/>
    </row>
    <row r="165" spans="14:14" ht="18" customHeight="1" x14ac:dyDescent="0.3">
      <c r="N165" s="437"/>
    </row>
    <row r="166" spans="14:14" ht="18" customHeight="1" x14ac:dyDescent="0.3">
      <c r="N166" s="437"/>
    </row>
    <row r="167" spans="14:14" ht="18" customHeight="1" x14ac:dyDescent="0.3">
      <c r="N167" s="437"/>
    </row>
    <row r="168" spans="14:14" ht="18" customHeight="1" x14ac:dyDescent="0.3">
      <c r="N168" s="437"/>
    </row>
    <row r="169" spans="14:14" ht="18" customHeight="1" x14ac:dyDescent="0.3">
      <c r="N169" s="437"/>
    </row>
    <row r="170" spans="14:14" ht="18" customHeight="1" x14ac:dyDescent="0.3">
      <c r="N170" s="437"/>
    </row>
    <row r="171" spans="14:14" ht="18" customHeight="1" x14ac:dyDescent="0.3">
      <c r="N171" s="437"/>
    </row>
    <row r="172" spans="14:14" ht="18" customHeight="1" x14ac:dyDescent="0.3">
      <c r="N172" s="437"/>
    </row>
    <row r="173" spans="14:14" ht="18" customHeight="1" x14ac:dyDescent="0.3">
      <c r="N173" s="437"/>
    </row>
    <row r="174" spans="14:14" ht="18" customHeight="1" x14ac:dyDescent="0.3">
      <c r="N174" s="437"/>
    </row>
    <row r="175" spans="14:14" ht="18" customHeight="1" x14ac:dyDescent="0.3">
      <c r="N175" s="437"/>
    </row>
    <row r="176" spans="14:14" ht="18" customHeight="1" x14ac:dyDescent="0.3">
      <c r="N176" s="437"/>
    </row>
    <row r="177" spans="14:14" ht="18" customHeight="1" x14ac:dyDescent="0.3">
      <c r="N177" s="437"/>
    </row>
    <row r="178" spans="14:14" ht="18" customHeight="1" x14ac:dyDescent="0.3">
      <c r="N178" s="437"/>
    </row>
    <row r="179" spans="14:14" ht="18" customHeight="1" x14ac:dyDescent="0.3">
      <c r="N179" s="437"/>
    </row>
    <row r="180" spans="14:14" ht="18" customHeight="1" x14ac:dyDescent="0.3">
      <c r="N180" s="437"/>
    </row>
    <row r="181" spans="14:14" ht="18" customHeight="1" x14ac:dyDescent="0.3">
      <c r="N181" s="437"/>
    </row>
    <row r="182" spans="14:14" ht="18" customHeight="1" x14ac:dyDescent="0.3">
      <c r="N182" s="437"/>
    </row>
    <row r="183" spans="14:14" ht="18" customHeight="1" x14ac:dyDescent="0.3">
      <c r="N183" s="437"/>
    </row>
    <row r="184" spans="14:14" ht="18" customHeight="1" x14ac:dyDescent="0.3">
      <c r="N184" s="437"/>
    </row>
    <row r="185" spans="14:14" ht="18" customHeight="1" x14ac:dyDescent="0.3">
      <c r="N185" s="437"/>
    </row>
    <row r="186" spans="14:14" ht="18" customHeight="1" x14ac:dyDescent="0.3">
      <c r="N186" s="437"/>
    </row>
    <row r="187" spans="14:14" ht="18" customHeight="1" x14ac:dyDescent="0.3">
      <c r="N187" s="437"/>
    </row>
    <row r="188" spans="14:14" ht="18" customHeight="1" x14ac:dyDescent="0.3">
      <c r="N188" s="437"/>
    </row>
    <row r="189" spans="14:14" ht="18" customHeight="1" x14ac:dyDescent="0.3">
      <c r="N189" s="437"/>
    </row>
    <row r="190" spans="14:14" ht="18" customHeight="1" x14ac:dyDescent="0.3">
      <c r="N190" s="437"/>
    </row>
    <row r="191" spans="14:14" ht="18" customHeight="1" x14ac:dyDescent="0.3">
      <c r="N191" s="437"/>
    </row>
    <row r="192" spans="14:14" ht="18" customHeight="1" x14ac:dyDescent="0.3">
      <c r="N192" s="437"/>
    </row>
    <row r="193" spans="14:14" ht="18" customHeight="1" x14ac:dyDescent="0.3">
      <c r="N193" s="437"/>
    </row>
    <row r="194" spans="14:14" ht="18" customHeight="1" x14ac:dyDescent="0.3">
      <c r="N194" s="437"/>
    </row>
    <row r="195" spans="14:14" ht="18" customHeight="1" x14ac:dyDescent="0.3">
      <c r="N195" s="437"/>
    </row>
    <row r="196" spans="14:14" ht="18" customHeight="1" x14ac:dyDescent="0.3">
      <c r="N196" s="437"/>
    </row>
    <row r="197" spans="14:14" ht="18" customHeight="1" x14ac:dyDescent="0.3">
      <c r="N197" s="437"/>
    </row>
    <row r="198" spans="14:14" ht="18" customHeight="1" x14ac:dyDescent="0.3">
      <c r="N198" s="437"/>
    </row>
    <row r="199" spans="14:14" ht="18" customHeight="1" x14ac:dyDescent="0.3">
      <c r="N199" s="437"/>
    </row>
    <row r="200" spans="14:14" ht="18" customHeight="1" x14ac:dyDescent="0.3">
      <c r="N200" s="437"/>
    </row>
    <row r="201" spans="14:14" ht="18" customHeight="1" x14ac:dyDescent="0.3">
      <c r="N201" s="437"/>
    </row>
    <row r="202" spans="14:14" ht="18" customHeight="1" x14ac:dyDescent="0.3">
      <c r="N202" s="437"/>
    </row>
    <row r="203" spans="14:14" ht="18" customHeight="1" x14ac:dyDescent="0.3">
      <c r="N203" s="437"/>
    </row>
    <row r="204" spans="14:14" ht="18" customHeight="1" x14ac:dyDescent="0.3">
      <c r="N204" s="437"/>
    </row>
    <row r="205" spans="14:14" ht="18" customHeight="1" x14ac:dyDescent="0.3">
      <c r="N205" s="437"/>
    </row>
    <row r="206" spans="14:14" ht="18" customHeight="1" x14ac:dyDescent="0.3">
      <c r="N206" s="437"/>
    </row>
    <row r="207" spans="14:14" ht="18" customHeight="1" x14ac:dyDescent="0.3">
      <c r="N207" s="437"/>
    </row>
    <row r="208" spans="14:14" ht="18" customHeight="1" x14ac:dyDescent="0.3">
      <c r="N208" s="437"/>
    </row>
    <row r="209" spans="14:14" ht="18" customHeight="1" x14ac:dyDescent="0.3">
      <c r="N209" s="437"/>
    </row>
    <row r="210" spans="14:14" ht="18" customHeight="1" x14ac:dyDescent="0.3">
      <c r="N210" s="437"/>
    </row>
    <row r="211" spans="14:14" ht="18" customHeight="1" x14ac:dyDescent="0.3">
      <c r="N211" s="437"/>
    </row>
    <row r="212" spans="14:14" ht="18" customHeight="1" x14ac:dyDescent="0.3">
      <c r="N212" s="437"/>
    </row>
    <row r="213" spans="14:14" ht="18" customHeight="1" x14ac:dyDescent="0.3">
      <c r="N213" s="437"/>
    </row>
    <row r="214" spans="14:14" ht="18" customHeight="1" x14ac:dyDescent="0.3">
      <c r="N214" s="437"/>
    </row>
    <row r="215" spans="14:14" ht="18" customHeight="1" x14ac:dyDescent="0.3">
      <c r="N215" s="437"/>
    </row>
    <row r="216" spans="14:14" ht="18" customHeight="1" x14ac:dyDescent="0.3">
      <c r="N216" s="437"/>
    </row>
    <row r="217" spans="14:14" ht="18" customHeight="1" x14ac:dyDescent="0.3">
      <c r="N217" s="437"/>
    </row>
    <row r="218" spans="14:14" ht="18" customHeight="1" x14ac:dyDescent="0.3">
      <c r="N218" s="437"/>
    </row>
    <row r="219" spans="14:14" ht="18" customHeight="1" x14ac:dyDescent="0.3">
      <c r="N219" s="437"/>
    </row>
    <row r="220" spans="14:14" ht="18" customHeight="1" x14ac:dyDescent="0.3">
      <c r="N220" s="437"/>
    </row>
    <row r="221" spans="14:14" ht="18" customHeight="1" x14ac:dyDescent="0.3">
      <c r="N221" s="437"/>
    </row>
    <row r="222" spans="14:14" ht="18" customHeight="1" x14ac:dyDescent="0.3">
      <c r="N222" s="437"/>
    </row>
    <row r="223" spans="14:14" ht="18" customHeight="1" x14ac:dyDescent="0.3">
      <c r="N223" s="437"/>
    </row>
    <row r="224" spans="14:14" ht="18" customHeight="1" x14ac:dyDescent="0.3">
      <c r="N224" s="437"/>
    </row>
    <row r="225" spans="14:14" ht="18" customHeight="1" x14ac:dyDescent="0.3">
      <c r="N225" s="437"/>
    </row>
    <row r="226" spans="14:14" ht="18" customHeight="1" x14ac:dyDescent="0.3">
      <c r="N226" s="437"/>
    </row>
    <row r="227" spans="14:14" ht="18" customHeight="1" x14ac:dyDescent="0.3">
      <c r="N227" s="437"/>
    </row>
    <row r="228" spans="14:14" ht="18" customHeight="1" x14ac:dyDescent="0.3">
      <c r="N228" s="437"/>
    </row>
    <row r="229" spans="14:14" ht="18" customHeight="1" x14ac:dyDescent="0.3">
      <c r="N229" s="437"/>
    </row>
    <row r="230" spans="14:14" ht="18" customHeight="1" x14ac:dyDescent="0.3">
      <c r="N230" s="437"/>
    </row>
    <row r="231" spans="14:14" ht="18" customHeight="1" x14ac:dyDescent="0.3">
      <c r="N231" s="437"/>
    </row>
    <row r="232" spans="14:14" ht="18" customHeight="1" x14ac:dyDescent="0.3">
      <c r="N232" s="437"/>
    </row>
    <row r="233" spans="14:14" ht="18" customHeight="1" x14ac:dyDescent="0.3">
      <c r="N233" s="437"/>
    </row>
    <row r="234" spans="14:14" ht="18" customHeight="1" x14ac:dyDescent="0.3">
      <c r="N234" s="437"/>
    </row>
    <row r="235" spans="14:14" ht="18" customHeight="1" x14ac:dyDescent="0.3">
      <c r="N235" s="437"/>
    </row>
    <row r="236" spans="14:14" ht="18" customHeight="1" x14ac:dyDescent="0.3">
      <c r="N236" s="437"/>
    </row>
    <row r="237" spans="14:14" ht="18" customHeight="1" x14ac:dyDescent="0.3">
      <c r="N237" s="437"/>
    </row>
    <row r="238" spans="14:14" ht="18" customHeight="1" x14ac:dyDescent="0.3">
      <c r="N238" s="437"/>
    </row>
    <row r="239" spans="14:14" ht="18" customHeight="1" x14ac:dyDescent="0.3">
      <c r="N239" s="437"/>
    </row>
    <row r="240" spans="14:14" ht="18" customHeight="1" x14ac:dyDescent="0.3">
      <c r="N240" s="437"/>
    </row>
    <row r="241" spans="14:14" ht="18" customHeight="1" x14ac:dyDescent="0.3">
      <c r="N241" s="437"/>
    </row>
    <row r="242" spans="14:14" ht="18" customHeight="1" x14ac:dyDescent="0.3">
      <c r="N242" s="437"/>
    </row>
    <row r="243" spans="14:14" ht="18" customHeight="1" x14ac:dyDescent="0.3">
      <c r="N243" s="437"/>
    </row>
    <row r="244" spans="14:14" ht="18" customHeight="1" x14ac:dyDescent="0.3">
      <c r="N244" s="437"/>
    </row>
    <row r="245" spans="14:14" ht="18" customHeight="1" x14ac:dyDescent="0.3">
      <c r="N245" s="437"/>
    </row>
    <row r="246" spans="14:14" ht="18" customHeight="1" x14ac:dyDescent="0.3">
      <c r="N246" s="437"/>
    </row>
    <row r="247" spans="14:14" ht="18" customHeight="1" x14ac:dyDescent="0.3">
      <c r="N247" s="437"/>
    </row>
    <row r="248" spans="14:14" ht="18" customHeight="1" x14ac:dyDescent="0.3">
      <c r="N248" s="437"/>
    </row>
    <row r="249" spans="14:14" ht="18" customHeight="1" x14ac:dyDescent="0.3">
      <c r="N249" s="437"/>
    </row>
    <row r="250" spans="14:14" ht="18" customHeight="1" x14ac:dyDescent="0.3">
      <c r="N250" s="437"/>
    </row>
    <row r="251" spans="14:14" ht="18" customHeight="1" x14ac:dyDescent="0.3">
      <c r="N251" s="437"/>
    </row>
    <row r="252" spans="14:14" ht="18" customHeight="1" x14ac:dyDescent="0.3">
      <c r="N252" s="437"/>
    </row>
    <row r="253" spans="14:14" ht="18" customHeight="1" x14ac:dyDescent="0.3">
      <c r="N253" s="437"/>
    </row>
    <row r="254" spans="14:14" ht="18" customHeight="1" x14ac:dyDescent="0.3">
      <c r="N254" s="437"/>
    </row>
    <row r="255" spans="14:14" ht="18" customHeight="1" x14ac:dyDescent="0.3">
      <c r="N255" s="437"/>
    </row>
    <row r="256" spans="14:14" ht="18" customHeight="1" x14ac:dyDescent="0.3">
      <c r="N256" s="437"/>
    </row>
    <row r="257" spans="14:14" ht="18" customHeight="1" x14ac:dyDescent="0.3">
      <c r="N257" s="437"/>
    </row>
    <row r="258" spans="14:14" ht="18" customHeight="1" x14ac:dyDescent="0.3">
      <c r="N258" s="437"/>
    </row>
    <row r="259" spans="14:14" ht="18" customHeight="1" x14ac:dyDescent="0.3">
      <c r="N259" s="437"/>
    </row>
    <row r="260" spans="14:14" ht="18" customHeight="1" x14ac:dyDescent="0.3">
      <c r="N260" s="437"/>
    </row>
    <row r="261" spans="14:14" ht="18" customHeight="1" x14ac:dyDescent="0.3">
      <c r="N261" s="437"/>
    </row>
    <row r="262" spans="14:14" ht="18" customHeight="1" x14ac:dyDescent="0.3">
      <c r="N262" s="437"/>
    </row>
    <row r="263" spans="14:14" ht="18" customHeight="1" x14ac:dyDescent="0.3">
      <c r="N263" s="437"/>
    </row>
    <row r="264" spans="14:14" ht="18" customHeight="1" x14ac:dyDescent="0.3">
      <c r="N264" s="437"/>
    </row>
    <row r="265" spans="14:14" ht="18" customHeight="1" x14ac:dyDescent="0.3">
      <c r="N265" s="437"/>
    </row>
    <row r="266" spans="14:14" ht="18" customHeight="1" x14ac:dyDescent="0.3">
      <c r="N266" s="437"/>
    </row>
    <row r="267" spans="14:14" ht="18" customHeight="1" x14ac:dyDescent="0.3">
      <c r="N267" s="437"/>
    </row>
    <row r="268" spans="14:14" ht="18" customHeight="1" x14ac:dyDescent="0.3">
      <c r="N268" s="437"/>
    </row>
    <row r="269" spans="14:14" ht="18" customHeight="1" x14ac:dyDescent="0.3">
      <c r="N269" s="437"/>
    </row>
    <row r="270" spans="14:14" ht="18" customHeight="1" x14ac:dyDescent="0.3">
      <c r="N270" s="437"/>
    </row>
    <row r="271" spans="14:14" ht="18" customHeight="1" x14ac:dyDescent="0.3">
      <c r="N271" s="437"/>
    </row>
    <row r="272" spans="14:14" ht="18" customHeight="1" x14ac:dyDescent="0.3">
      <c r="N272" s="437"/>
    </row>
    <row r="273" spans="14:14" ht="18" customHeight="1" x14ac:dyDescent="0.3">
      <c r="N273" s="437"/>
    </row>
    <row r="274" spans="14:14" ht="18" customHeight="1" x14ac:dyDescent="0.3">
      <c r="N274" s="437"/>
    </row>
    <row r="275" spans="14:14" ht="18" customHeight="1" x14ac:dyDescent="0.3">
      <c r="N275" s="437"/>
    </row>
    <row r="276" spans="14:14" ht="18" customHeight="1" x14ac:dyDescent="0.3">
      <c r="N276" s="437"/>
    </row>
    <row r="277" spans="14:14" ht="18" customHeight="1" x14ac:dyDescent="0.3">
      <c r="N277" s="437"/>
    </row>
    <row r="278" spans="14:14" ht="18" customHeight="1" x14ac:dyDescent="0.3">
      <c r="N278" s="437"/>
    </row>
    <row r="279" spans="14:14" ht="18" customHeight="1" x14ac:dyDescent="0.3">
      <c r="N279" s="437"/>
    </row>
    <row r="280" spans="14:14" ht="18" customHeight="1" x14ac:dyDescent="0.3">
      <c r="N280" s="437"/>
    </row>
    <row r="281" spans="14:14" ht="18" customHeight="1" x14ac:dyDescent="0.3">
      <c r="N281" s="437"/>
    </row>
    <row r="282" spans="14:14" ht="18" customHeight="1" x14ac:dyDescent="0.3">
      <c r="N282" s="437"/>
    </row>
    <row r="283" spans="14:14" ht="18" customHeight="1" x14ac:dyDescent="0.3">
      <c r="N283" s="437"/>
    </row>
    <row r="284" spans="14:14" ht="18" customHeight="1" x14ac:dyDescent="0.3">
      <c r="N284" s="437"/>
    </row>
    <row r="285" spans="14:14" ht="18" customHeight="1" x14ac:dyDescent="0.3">
      <c r="N285" s="437"/>
    </row>
    <row r="286" spans="14:14" ht="18" customHeight="1" x14ac:dyDescent="0.3">
      <c r="N286" s="437"/>
    </row>
    <row r="287" spans="14:14" ht="18" customHeight="1" x14ac:dyDescent="0.3">
      <c r="N287" s="437"/>
    </row>
    <row r="288" spans="14:14" ht="18" customHeight="1" x14ac:dyDescent="0.3">
      <c r="N288" s="437"/>
    </row>
    <row r="289" spans="14:14" ht="18" customHeight="1" x14ac:dyDescent="0.3">
      <c r="N289" s="437"/>
    </row>
    <row r="290" spans="14:14" ht="18" customHeight="1" x14ac:dyDescent="0.3">
      <c r="N290" s="437"/>
    </row>
    <row r="291" spans="14:14" ht="18" customHeight="1" x14ac:dyDescent="0.3">
      <c r="N291" s="437"/>
    </row>
    <row r="292" spans="14:14" ht="18" customHeight="1" x14ac:dyDescent="0.3">
      <c r="N292" s="437"/>
    </row>
    <row r="293" spans="14:14" ht="18" customHeight="1" x14ac:dyDescent="0.3">
      <c r="N293" s="437"/>
    </row>
    <row r="294" spans="14:14" ht="18" customHeight="1" x14ac:dyDescent="0.3">
      <c r="N294" s="437"/>
    </row>
    <row r="295" spans="14:14" ht="18" customHeight="1" x14ac:dyDescent="0.3">
      <c r="N295" s="437"/>
    </row>
    <row r="296" spans="14:14" ht="18" customHeight="1" x14ac:dyDescent="0.3">
      <c r="N296" s="437"/>
    </row>
    <row r="297" spans="14:14" ht="18" customHeight="1" x14ac:dyDescent="0.3">
      <c r="N297" s="437"/>
    </row>
    <row r="298" spans="14:14" ht="18" customHeight="1" x14ac:dyDescent="0.3">
      <c r="N298" s="437"/>
    </row>
    <row r="299" spans="14:14" ht="18" customHeight="1" x14ac:dyDescent="0.3">
      <c r="N299" s="437"/>
    </row>
    <row r="300" spans="14:14" ht="18" customHeight="1" x14ac:dyDescent="0.3">
      <c r="N300" s="437"/>
    </row>
  </sheetData>
  <mergeCells count="369">
    <mergeCell ref="B1:N2"/>
    <mergeCell ref="C3:D3"/>
    <mergeCell ref="E3:F3"/>
    <mergeCell ref="G3:J3"/>
    <mergeCell ref="K3:L3"/>
    <mergeCell ref="C4:D4"/>
    <mergeCell ref="E4:F4"/>
    <mergeCell ref="G4:J4"/>
    <mergeCell ref="K4:L4"/>
    <mergeCell ref="C5:D5"/>
    <mergeCell ref="E5:F5"/>
    <mergeCell ref="G5:J5"/>
    <mergeCell ref="K5:L5"/>
    <mergeCell ref="C6:D6"/>
    <mergeCell ref="E6:F6"/>
    <mergeCell ref="G6:J6"/>
    <mergeCell ref="K6:L6"/>
    <mergeCell ref="C7:D7"/>
    <mergeCell ref="E7:F7"/>
    <mergeCell ref="G7:J7"/>
    <mergeCell ref="K7:L7"/>
    <mergeCell ref="C8:D8"/>
    <mergeCell ref="E8:F8"/>
    <mergeCell ref="G8:J8"/>
    <mergeCell ref="K8:L8"/>
    <mergeCell ref="C9:D9"/>
    <mergeCell ref="E9:F9"/>
    <mergeCell ref="G9:J9"/>
    <mergeCell ref="K9:L9"/>
    <mergeCell ref="C10:D10"/>
    <mergeCell ref="E10:F10"/>
    <mergeCell ref="G10:J10"/>
    <mergeCell ref="K10:L10"/>
    <mergeCell ref="C11:D11"/>
    <mergeCell ref="E11:F11"/>
    <mergeCell ref="G11:J11"/>
    <mergeCell ref="K11:L11"/>
    <mergeCell ref="C12:D12"/>
    <mergeCell ref="E12:F12"/>
    <mergeCell ref="G12:J12"/>
    <mergeCell ref="K12:L12"/>
    <mergeCell ref="C13:D13"/>
    <mergeCell ref="E13:F13"/>
    <mergeCell ref="G13:J13"/>
    <mergeCell ref="K13:L13"/>
    <mergeCell ref="C14:D14"/>
    <mergeCell ref="E14:F14"/>
    <mergeCell ref="G14:J14"/>
    <mergeCell ref="K14:L14"/>
    <mergeCell ref="C15:D15"/>
    <mergeCell ref="E15:F15"/>
    <mergeCell ref="G15:J15"/>
    <mergeCell ref="K15:L15"/>
    <mergeCell ref="C16:D16"/>
    <mergeCell ref="E16:F16"/>
    <mergeCell ref="G16:J16"/>
    <mergeCell ref="K16:L16"/>
    <mergeCell ref="C17:D17"/>
    <mergeCell ref="E17:F17"/>
    <mergeCell ref="G17:J17"/>
    <mergeCell ref="K17:L17"/>
    <mergeCell ref="C18:D18"/>
    <mergeCell ref="E18:F18"/>
    <mergeCell ref="G18:J18"/>
    <mergeCell ref="K18:L18"/>
    <mergeCell ref="C19:D19"/>
    <mergeCell ref="E19:F19"/>
    <mergeCell ref="G19:J19"/>
    <mergeCell ref="K19:L19"/>
    <mergeCell ref="C20:D20"/>
    <mergeCell ref="E20:F20"/>
    <mergeCell ref="G20:J20"/>
    <mergeCell ref="K20:L20"/>
    <mergeCell ref="C21:D21"/>
    <mergeCell ref="E21:F21"/>
    <mergeCell ref="G21:J21"/>
    <mergeCell ref="K21:L21"/>
    <mergeCell ref="C22:D22"/>
    <mergeCell ref="E22:F22"/>
    <mergeCell ref="G22:J22"/>
    <mergeCell ref="K22:L22"/>
    <mergeCell ref="C23:D23"/>
    <mergeCell ref="E23:F23"/>
    <mergeCell ref="G23:J23"/>
    <mergeCell ref="K23:L23"/>
    <mergeCell ref="C24:D24"/>
    <mergeCell ref="E24:F24"/>
    <mergeCell ref="G24:J24"/>
    <mergeCell ref="K24:L24"/>
    <mergeCell ref="C25:D25"/>
    <mergeCell ref="E25:F25"/>
    <mergeCell ref="G25:J25"/>
    <mergeCell ref="K25:L25"/>
    <mergeCell ref="C26:D26"/>
    <mergeCell ref="E26:F26"/>
    <mergeCell ref="G26:J26"/>
    <mergeCell ref="K26:L26"/>
    <mergeCell ref="C27:D27"/>
    <mergeCell ref="E27:F27"/>
    <mergeCell ref="G27:J27"/>
    <mergeCell ref="K27:L27"/>
    <mergeCell ref="C28:D28"/>
    <mergeCell ref="E28:F28"/>
    <mergeCell ref="G28:J28"/>
    <mergeCell ref="K28:L28"/>
    <mergeCell ref="C29:D29"/>
    <mergeCell ref="E29:F29"/>
    <mergeCell ref="G29:J29"/>
    <mergeCell ref="K29:L29"/>
    <mergeCell ref="C30:D30"/>
    <mergeCell ref="E30:F30"/>
    <mergeCell ref="G30:J30"/>
    <mergeCell ref="K30:L30"/>
    <mergeCell ref="C31:D31"/>
    <mergeCell ref="E31:F31"/>
    <mergeCell ref="G31:J31"/>
    <mergeCell ref="K31:L31"/>
    <mergeCell ref="C32:D32"/>
    <mergeCell ref="E32:F32"/>
    <mergeCell ref="G32:J32"/>
    <mergeCell ref="K32:L32"/>
    <mergeCell ref="C33:D33"/>
    <mergeCell ref="E33:F33"/>
    <mergeCell ref="G33:J33"/>
    <mergeCell ref="K33:L33"/>
    <mergeCell ref="C34:D34"/>
    <mergeCell ref="E34:F34"/>
    <mergeCell ref="G34:J34"/>
    <mergeCell ref="K34:L34"/>
    <mergeCell ref="C35:D35"/>
    <mergeCell ref="E35:F35"/>
    <mergeCell ref="G35:J35"/>
    <mergeCell ref="K35:L35"/>
    <mergeCell ref="C36:D36"/>
    <mergeCell ref="E36:F36"/>
    <mergeCell ref="G36:J36"/>
    <mergeCell ref="K36:L36"/>
    <mergeCell ref="C37:D37"/>
    <mergeCell ref="E37:F37"/>
    <mergeCell ref="G37:J37"/>
    <mergeCell ref="K37:L37"/>
    <mergeCell ref="C38:D38"/>
    <mergeCell ref="E38:F38"/>
    <mergeCell ref="G38:J38"/>
    <mergeCell ref="K38:L38"/>
    <mergeCell ref="C39:D39"/>
    <mergeCell ref="E39:F39"/>
    <mergeCell ref="G39:J39"/>
    <mergeCell ref="K39:L39"/>
    <mergeCell ref="C40:D40"/>
    <mergeCell ref="E40:F40"/>
    <mergeCell ref="G40:J40"/>
    <mergeCell ref="K40:L40"/>
    <mergeCell ref="C41:D41"/>
    <mergeCell ref="E41:F41"/>
    <mergeCell ref="G41:J41"/>
    <mergeCell ref="K41:L41"/>
    <mergeCell ref="C42:D42"/>
    <mergeCell ref="E42:F42"/>
    <mergeCell ref="G42:J42"/>
    <mergeCell ref="K42:L42"/>
    <mergeCell ref="C43:D43"/>
    <mergeCell ref="E43:F43"/>
    <mergeCell ref="G43:J43"/>
    <mergeCell ref="K43:L43"/>
    <mergeCell ref="C44:D44"/>
    <mergeCell ref="E44:F44"/>
    <mergeCell ref="G44:J44"/>
    <mergeCell ref="K44:L44"/>
    <mergeCell ref="C45:D45"/>
    <mergeCell ref="E45:F45"/>
    <mergeCell ref="G45:J45"/>
    <mergeCell ref="K45:L45"/>
    <mergeCell ref="C46:D46"/>
    <mergeCell ref="E46:F46"/>
    <mergeCell ref="G46:J46"/>
    <mergeCell ref="K46:L46"/>
    <mergeCell ref="C47:D47"/>
    <mergeCell ref="E47:F47"/>
    <mergeCell ref="G47:J47"/>
    <mergeCell ref="K47:L47"/>
    <mergeCell ref="C48:D48"/>
    <mergeCell ref="E48:F48"/>
    <mergeCell ref="G48:J48"/>
    <mergeCell ref="K48:L48"/>
    <mergeCell ref="C49:D49"/>
    <mergeCell ref="E49:F49"/>
    <mergeCell ref="G49:J49"/>
    <mergeCell ref="K49:L49"/>
    <mergeCell ref="C50:D50"/>
    <mergeCell ref="E50:F50"/>
    <mergeCell ref="G50:J50"/>
    <mergeCell ref="K50:L50"/>
    <mergeCell ref="C51:D51"/>
    <mergeCell ref="E51:F51"/>
    <mergeCell ref="G51:J51"/>
    <mergeCell ref="K51:L51"/>
    <mergeCell ref="C52:D52"/>
    <mergeCell ref="E52:F52"/>
    <mergeCell ref="G52:J52"/>
    <mergeCell ref="K52:L52"/>
    <mergeCell ref="C53:D53"/>
    <mergeCell ref="E53:F53"/>
    <mergeCell ref="G53:J53"/>
    <mergeCell ref="K53:L53"/>
    <mergeCell ref="C54:D54"/>
    <mergeCell ref="E54:F54"/>
    <mergeCell ref="G54:J54"/>
    <mergeCell ref="K54:L54"/>
    <mergeCell ref="C55:D55"/>
    <mergeCell ref="E55:F55"/>
    <mergeCell ref="G55:J55"/>
    <mergeCell ref="K55:L55"/>
    <mergeCell ref="C56:D56"/>
    <mergeCell ref="E56:F56"/>
    <mergeCell ref="G56:J56"/>
    <mergeCell ref="K56:L56"/>
    <mergeCell ref="C57:D57"/>
    <mergeCell ref="E57:F57"/>
    <mergeCell ref="G57:J57"/>
    <mergeCell ref="K57:L57"/>
    <mergeCell ref="C58:D58"/>
    <mergeCell ref="E58:F58"/>
    <mergeCell ref="G58:J58"/>
    <mergeCell ref="K58:L58"/>
    <mergeCell ref="C59:D59"/>
    <mergeCell ref="E59:F59"/>
    <mergeCell ref="G59:J59"/>
    <mergeCell ref="K59:L59"/>
    <mergeCell ref="C60:D60"/>
    <mergeCell ref="E60:F60"/>
    <mergeCell ref="G60:J60"/>
    <mergeCell ref="K60:L60"/>
    <mergeCell ref="C61:D61"/>
    <mergeCell ref="E61:F61"/>
    <mergeCell ref="G61:J61"/>
    <mergeCell ref="K61:L61"/>
    <mergeCell ref="C62:D62"/>
    <mergeCell ref="E62:F62"/>
    <mergeCell ref="G62:J62"/>
    <mergeCell ref="K62:L62"/>
    <mergeCell ref="C63:D63"/>
    <mergeCell ref="E63:F63"/>
    <mergeCell ref="G63:J63"/>
    <mergeCell ref="K63:L63"/>
    <mergeCell ref="C64:D64"/>
    <mergeCell ref="E64:F64"/>
    <mergeCell ref="G64:J64"/>
    <mergeCell ref="K64:L64"/>
    <mergeCell ref="C65:D65"/>
    <mergeCell ref="E65:F65"/>
    <mergeCell ref="G65:J65"/>
    <mergeCell ref="K65:L65"/>
    <mergeCell ref="C66:D66"/>
    <mergeCell ref="E66:F66"/>
    <mergeCell ref="G66:J66"/>
    <mergeCell ref="K66:L66"/>
    <mergeCell ref="C67:D67"/>
    <mergeCell ref="E67:F67"/>
    <mergeCell ref="G67:J67"/>
    <mergeCell ref="K67:L67"/>
    <mergeCell ref="C68:D68"/>
    <mergeCell ref="E68:F68"/>
    <mergeCell ref="G68:J68"/>
    <mergeCell ref="K68:L68"/>
    <mergeCell ref="C69:D69"/>
    <mergeCell ref="E69:F69"/>
    <mergeCell ref="G69:J69"/>
    <mergeCell ref="K69:L69"/>
    <mergeCell ref="C70:D70"/>
    <mergeCell ref="E70:F70"/>
    <mergeCell ref="G70:J70"/>
    <mergeCell ref="K70:L70"/>
    <mergeCell ref="C71:D71"/>
    <mergeCell ref="E71:F71"/>
    <mergeCell ref="G71:J71"/>
    <mergeCell ref="K71:L71"/>
    <mergeCell ref="C72:D72"/>
    <mergeCell ref="E72:F72"/>
    <mergeCell ref="G72:J72"/>
    <mergeCell ref="K72:L72"/>
    <mergeCell ref="C73:D73"/>
    <mergeCell ref="E73:F73"/>
    <mergeCell ref="G73:J73"/>
    <mergeCell ref="K73:L73"/>
    <mergeCell ref="C74:D74"/>
    <mergeCell ref="E74:F74"/>
    <mergeCell ref="G74:J74"/>
    <mergeCell ref="K74:L74"/>
    <mergeCell ref="C75:D75"/>
    <mergeCell ref="E75:F75"/>
    <mergeCell ref="G75:J75"/>
    <mergeCell ref="K75:L75"/>
    <mergeCell ref="C76:D76"/>
    <mergeCell ref="E76:F76"/>
    <mergeCell ref="G76:J76"/>
    <mergeCell ref="K76:L76"/>
    <mergeCell ref="C77:D77"/>
    <mergeCell ref="E77:F77"/>
    <mergeCell ref="G77:J77"/>
    <mergeCell ref="K77:L77"/>
    <mergeCell ref="C78:D78"/>
    <mergeCell ref="E78:F78"/>
    <mergeCell ref="G78:J78"/>
    <mergeCell ref="K78:L78"/>
    <mergeCell ref="C79:D79"/>
    <mergeCell ref="E79:F79"/>
    <mergeCell ref="G79:J79"/>
    <mergeCell ref="K79:L79"/>
    <mergeCell ref="C80:D80"/>
    <mergeCell ref="E80:F80"/>
    <mergeCell ref="G80:J80"/>
    <mergeCell ref="K80:L80"/>
    <mergeCell ref="C81:D81"/>
    <mergeCell ref="E81:F81"/>
    <mergeCell ref="G81:J81"/>
    <mergeCell ref="K81:L81"/>
    <mergeCell ref="C82:D82"/>
    <mergeCell ref="E82:F82"/>
    <mergeCell ref="G82:J82"/>
    <mergeCell ref="K82:L82"/>
    <mergeCell ref="C83:D83"/>
    <mergeCell ref="E83:F83"/>
    <mergeCell ref="G83:J83"/>
    <mergeCell ref="K83:L83"/>
    <mergeCell ref="C84:D84"/>
    <mergeCell ref="E84:F84"/>
    <mergeCell ref="G84:J84"/>
    <mergeCell ref="K84:L84"/>
    <mergeCell ref="C85:D85"/>
    <mergeCell ref="E85:F85"/>
    <mergeCell ref="G85:J85"/>
    <mergeCell ref="K85:L85"/>
    <mergeCell ref="C86:D86"/>
    <mergeCell ref="E86:F86"/>
    <mergeCell ref="G86:J86"/>
    <mergeCell ref="K86:L86"/>
    <mergeCell ref="C87:D87"/>
    <mergeCell ref="E87:F87"/>
    <mergeCell ref="G87:J87"/>
    <mergeCell ref="K87:L87"/>
    <mergeCell ref="C88:D88"/>
    <mergeCell ref="E88:F88"/>
    <mergeCell ref="G88:J88"/>
    <mergeCell ref="K88:L88"/>
    <mergeCell ref="C89:D89"/>
    <mergeCell ref="E89:F89"/>
    <mergeCell ref="G89:J89"/>
    <mergeCell ref="K89:L89"/>
    <mergeCell ref="C90:D90"/>
    <mergeCell ref="E90:F90"/>
    <mergeCell ref="G90:J90"/>
    <mergeCell ref="K90:L90"/>
    <mergeCell ref="C91:D91"/>
    <mergeCell ref="E91:F91"/>
    <mergeCell ref="G91:J91"/>
    <mergeCell ref="K91:L91"/>
    <mergeCell ref="C92:D92"/>
    <mergeCell ref="E92:F92"/>
    <mergeCell ref="G92:J92"/>
    <mergeCell ref="K92:L92"/>
    <mergeCell ref="C93:D93"/>
    <mergeCell ref="E93:F93"/>
    <mergeCell ref="G93:J93"/>
    <mergeCell ref="K93:L93"/>
    <mergeCell ref="C94:D94"/>
    <mergeCell ref="E94:F94"/>
    <mergeCell ref="G94:J94"/>
    <mergeCell ref="K94:L9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2F3A4A"/>
  </sheetPr>
  <dimension ref="A1:M217"/>
  <sheetViews>
    <sheetView showGridLines="0" zoomScale="90" zoomScaleNormal="90" workbookViewId="0">
      <selection sqref="A1:I1"/>
    </sheetView>
  </sheetViews>
  <sheetFormatPr defaultColWidth="8.6640625" defaultRowHeight="14.4" x14ac:dyDescent="0.3"/>
  <cols>
    <col min="1" max="1" width="32.6640625" customWidth="1"/>
    <col min="2" max="2" width="28" customWidth="1"/>
    <col min="3" max="3" width="14" customWidth="1"/>
    <col min="4" max="4" width="13" customWidth="1"/>
    <col min="5" max="5" width="10" customWidth="1"/>
    <col min="6" max="8" width="13" customWidth="1"/>
    <col min="9" max="9" width="16.6640625" customWidth="1"/>
    <col min="10" max="13" width="12" hidden="1" customWidth="1"/>
  </cols>
  <sheetData>
    <row r="1" spans="1:13" ht="21.75" customHeight="1" x14ac:dyDescent="0.3">
      <c r="A1" s="609" t="s">
        <v>197</v>
      </c>
      <c r="B1" s="609"/>
      <c r="C1" s="609"/>
      <c r="D1" s="609"/>
      <c r="E1" s="609"/>
      <c r="F1" s="609"/>
      <c r="G1" s="609"/>
      <c r="H1" s="609"/>
      <c r="I1" s="609"/>
      <c r="J1" t="s">
        <v>198</v>
      </c>
      <c r="K1" t="s">
        <v>199</v>
      </c>
      <c r="L1" t="s">
        <v>200</v>
      </c>
      <c r="M1" t="s">
        <v>201</v>
      </c>
    </row>
    <row r="2" spans="1:13" ht="18" customHeight="1" x14ac:dyDescent="0.3">
      <c r="A2" s="610" t="s">
        <v>202</v>
      </c>
      <c r="B2" s="610"/>
      <c r="C2" s="610"/>
      <c r="D2" s="610"/>
      <c r="E2" s="610"/>
      <c r="F2" s="610"/>
      <c r="G2" s="610" t="s">
        <v>203</v>
      </c>
      <c r="H2" s="610"/>
      <c r="I2" s="610"/>
    </row>
    <row r="3" spans="1:13" ht="15" customHeight="1" x14ac:dyDescent="0.3">
      <c r="A3" s="30">
        <v>46204</v>
      </c>
      <c r="B3" s="186" t="s">
        <v>78</v>
      </c>
      <c r="C3" s="187" t="s">
        <v>205</v>
      </c>
      <c r="D3" s="188" t="s">
        <v>206</v>
      </c>
      <c r="E3" s="188" t="s">
        <v>207</v>
      </c>
      <c r="F3" s="189" t="s">
        <v>208</v>
      </c>
      <c r="G3" s="188" t="s">
        <v>209</v>
      </c>
      <c r="H3" s="188" t="s">
        <v>210</v>
      </c>
      <c r="I3" s="188" t="s">
        <v>211</v>
      </c>
    </row>
    <row r="4" spans="1:13" ht="21" customHeight="1" x14ac:dyDescent="0.3">
      <c r="A4" s="190"/>
      <c r="B4" s="191"/>
      <c r="C4" s="192"/>
      <c r="D4" s="193"/>
      <c r="E4" s="194" t="s">
        <v>214</v>
      </c>
      <c r="F4" s="195" t="str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196" t="str">
        <f>IFERROR(ROUNDUP(D4/F4,0),"")</f>
        <v/>
      </c>
      <c r="H4" s="197"/>
      <c r="I4" s="193" t="str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</row>
    <row r="5" spans="1:13" ht="21" customHeight="1" x14ac:dyDescent="0.3">
      <c r="A5" s="190"/>
      <c r="B5" s="191"/>
      <c r="C5" s="192"/>
      <c r="D5" s="193"/>
      <c r="E5" s="194" t="s">
        <v>214</v>
      </c>
      <c r="F5" s="195" t="str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196" t="str">
        <f>IFERROR(ROUNDUP(D5/F5,0),"")</f>
        <v/>
      </c>
      <c r="H5" s="197"/>
      <c r="I5" s="193" t="str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</row>
    <row r="6" spans="1:13" ht="21" customHeight="1" x14ac:dyDescent="0.3">
      <c r="A6" s="190"/>
      <c r="B6" s="191"/>
      <c r="C6" s="192"/>
      <c r="D6" s="193"/>
      <c r="E6" s="194" t="s">
        <v>214</v>
      </c>
      <c r="F6" s="195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196" t="str">
        <f>IFERROR(ROUNDUP(D6/F6,0),"")</f>
        <v/>
      </c>
      <c r="H6" s="197"/>
      <c r="I6" s="193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</row>
    <row r="7" spans="1:13" ht="21" customHeight="1" x14ac:dyDescent="0.3">
      <c r="A7" s="190"/>
      <c r="B7" s="191"/>
      <c r="C7" s="192"/>
      <c r="D7" s="193"/>
      <c r="E7" s="194" t="s">
        <v>214</v>
      </c>
      <c r="F7" s="195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196" t="str">
        <f>IFERROR(ROUNDUP(D7/F7,0),"")</f>
        <v/>
      </c>
      <c r="H7" s="197"/>
      <c r="I7" s="193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</row>
    <row r="8" spans="1:13" ht="21" customHeight="1" x14ac:dyDescent="0.3">
      <c r="A8" s="190"/>
      <c r="B8" s="191"/>
      <c r="C8" s="192"/>
      <c r="D8" s="193"/>
      <c r="E8" s="194" t="s">
        <v>214</v>
      </c>
      <c r="F8" s="195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196" t="str">
        <f>IFERROR(ROUNDUP(D8/F8,0),"")</f>
        <v/>
      </c>
      <c r="H8" s="197"/>
      <c r="I8" s="193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</row>
    <row r="9" spans="1:13" ht="15" customHeight="1" x14ac:dyDescent="0.3">
      <c r="A9" s="198"/>
      <c r="B9" s="199" t="s">
        <v>216</v>
      </c>
      <c r="C9" s="200"/>
      <c r="D9" s="201">
        <f>SUM(D2:D8)</f>
        <v>0</v>
      </c>
      <c r="E9" s="202"/>
      <c r="F9" s="202"/>
      <c r="G9" s="203">
        <f>SUM(G2:G8)</f>
        <v>0</v>
      </c>
      <c r="H9" s="201">
        <f>SUM(H2:H8)</f>
        <v>0</v>
      </c>
      <c r="I9" s="201">
        <f>SUM(I2:I8)</f>
        <v>0</v>
      </c>
      <c r="J9" s="28">
        <f>D9</f>
        <v>0</v>
      </c>
      <c r="K9" s="106">
        <f>G9</f>
        <v>0</v>
      </c>
      <c r="L9" s="28">
        <f>H9</f>
        <v>0</v>
      </c>
      <c r="M9" s="28">
        <f>I9</f>
        <v>0</v>
      </c>
    </row>
    <row r="10" spans="1:13" ht="6" customHeight="1" x14ac:dyDescent="0.3">
      <c r="C10" s="72"/>
    </row>
    <row r="11" spans="1:13" ht="15" customHeight="1" x14ac:dyDescent="0.3">
      <c r="A11" s="30">
        <v>46205</v>
      </c>
      <c r="B11" s="186" t="s">
        <v>78</v>
      </c>
      <c r="C11" s="187" t="s">
        <v>205</v>
      </c>
      <c r="D11" s="188" t="s">
        <v>206</v>
      </c>
      <c r="E11" s="188" t="s">
        <v>207</v>
      </c>
      <c r="F11" s="189" t="s">
        <v>208</v>
      </c>
      <c r="G11" s="188" t="s">
        <v>209</v>
      </c>
      <c r="H11" s="188" t="s">
        <v>210</v>
      </c>
      <c r="I11" s="188" t="s">
        <v>211</v>
      </c>
    </row>
    <row r="12" spans="1:13" ht="21" customHeight="1" x14ac:dyDescent="0.3">
      <c r="A12" s="190"/>
      <c r="B12" s="191"/>
      <c r="C12" s="192"/>
      <c r="D12" s="193"/>
      <c r="E12" s="194" t="s">
        <v>214</v>
      </c>
      <c r="F12" s="195" t="str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196" t="str">
        <f>IFERROR(ROUNDUP(D12/F12,0),"")</f>
        <v/>
      </c>
      <c r="H12" s="197"/>
      <c r="I12" s="193" t="str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</row>
    <row r="13" spans="1:13" ht="21" customHeight="1" x14ac:dyDescent="0.3">
      <c r="A13" s="190"/>
      <c r="B13" s="191"/>
      <c r="C13" s="192"/>
      <c r="D13" s="193"/>
      <c r="E13" s="194" t="s">
        <v>214</v>
      </c>
      <c r="F13" s="195" t="str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196" t="str">
        <f>IFERROR(ROUNDUP(D13/F13,0),"")</f>
        <v/>
      </c>
      <c r="H13" s="197"/>
      <c r="I13" s="193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21" customHeight="1" x14ac:dyDescent="0.3">
      <c r="A14" s="190"/>
      <c r="B14" s="191"/>
      <c r="C14" s="192"/>
      <c r="D14" s="193"/>
      <c r="E14" s="194" t="s">
        <v>214</v>
      </c>
      <c r="F14" s="195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196" t="str">
        <f>IFERROR(ROUNDUP(D14/F14,0),"")</f>
        <v/>
      </c>
      <c r="H14" s="197"/>
      <c r="I14" s="193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</row>
    <row r="15" spans="1:13" ht="21" customHeight="1" x14ac:dyDescent="0.3">
      <c r="A15" s="190"/>
      <c r="B15" s="191"/>
      <c r="C15" s="192"/>
      <c r="D15" s="193"/>
      <c r="E15" s="194" t="s">
        <v>214</v>
      </c>
      <c r="F15" s="195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196" t="str">
        <f>IFERROR(ROUNDUP(D15/F15,0),"")</f>
        <v/>
      </c>
      <c r="H15" s="197"/>
      <c r="I15" s="193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3">
      <c r="A16" s="190"/>
      <c r="B16" s="191"/>
      <c r="C16" s="192"/>
      <c r="D16" s="193"/>
      <c r="E16" s="194" t="s">
        <v>214</v>
      </c>
      <c r="F16" s="195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196" t="str">
        <f>IFERROR(ROUNDUP(D16/F16,0),"")</f>
        <v/>
      </c>
      <c r="H16" s="197"/>
      <c r="I16" s="193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15" customHeight="1" x14ac:dyDescent="0.3">
      <c r="A17" s="198"/>
      <c r="B17" s="199" t="s">
        <v>216</v>
      </c>
      <c r="C17" s="200"/>
      <c r="D17" s="201">
        <f>SUM(D10:D16)</f>
        <v>0</v>
      </c>
      <c r="E17" s="202"/>
      <c r="F17" s="202"/>
      <c r="G17" s="203">
        <f>SUM(G10:G16)</f>
        <v>0</v>
      </c>
      <c r="H17" s="201">
        <f>SUM(H10:H16)</f>
        <v>0</v>
      </c>
      <c r="I17" s="201">
        <f>SUM(I10:I16)</f>
        <v>0</v>
      </c>
      <c r="J17" s="28">
        <f>D17</f>
        <v>0</v>
      </c>
      <c r="K17" s="106">
        <f>G17</f>
        <v>0</v>
      </c>
      <c r="L17" s="28">
        <f>H17</f>
        <v>0</v>
      </c>
      <c r="M17" s="28">
        <f>I17</f>
        <v>0</v>
      </c>
    </row>
    <row r="18" spans="1:13" ht="6" customHeight="1" x14ac:dyDescent="0.3">
      <c r="C18" s="72"/>
    </row>
    <row r="19" spans="1:13" ht="15" customHeight="1" x14ac:dyDescent="0.3">
      <c r="A19" s="30">
        <v>46206</v>
      </c>
      <c r="B19" s="186" t="s">
        <v>78</v>
      </c>
      <c r="C19" s="187" t="s">
        <v>205</v>
      </c>
      <c r="D19" s="188" t="s">
        <v>206</v>
      </c>
      <c r="E19" s="188" t="s">
        <v>207</v>
      </c>
      <c r="F19" s="189" t="s">
        <v>208</v>
      </c>
      <c r="G19" s="188" t="s">
        <v>209</v>
      </c>
      <c r="H19" s="188" t="s">
        <v>210</v>
      </c>
      <c r="I19" s="188" t="s">
        <v>211</v>
      </c>
    </row>
    <row r="20" spans="1:13" ht="21" customHeight="1" x14ac:dyDescent="0.3">
      <c r="A20" s="190"/>
      <c r="B20" s="191"/>
      <c r="C20" s="192"/>
      <c r="D20" s="193"/>
      <c r="E20" s="194" t="s">
        <v>214</v>
      </c>
      <c r="F20" s="195" t="str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196" t="str">
        <f>IFERROR(ROUNDUP(D20/F20,0),"")</f>
        <v/>
      </c>
      <c r="H20" s="197"/>
      <c r="I20" s="193" t="str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</row>
    <row r="21" spans="1:13" ht="21" customHeight="1" x14ac:dyDescent="0.3">
      <c r="A21" s="190"/>
      <c r="B21" s="191"/>
      <c r="C21" s="192"/>
      <c r="D21" s="193"/>
      <c r="E21" s="194" t="s">
        <v>214</v>
      </c>
      <c r="F21" s="195" t="str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196" t="str">
        <f>IFERROR(ROUNDUP(D21/F21,0),"")</f>
        <v/>
      </c>
      <c r="H21" s="197"/>
      <c r="I21" s="193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</row>
    <row r="22" spans="1:13" ht="21" customHeight="1" x14ac:dyDescent="0.3">
      <c r="A22" s="190"/>
      <c r="B22" s="191"/>
      <c r="C22" s="192"/>
      <c r="D22" s="193"/>
      <c r="E22" s="194" t="s">
        <v>214</v>
      </c>
      <c r="F22" s="195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196" t="str">
        <f>IFERROR(ROUNDUP(D22/F22,0),"")</f>
        <v/>
      </c>
      <c r="H22" s="197"/>
      <c r="I22" s="193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</row>
    <row r="23" spans="1:13" ht="21" customHeight="1" x14ac:dyDescent="0.3">
      <c r="A23" s="190"/>
      <c r="B23" s="191"/>
      <c r="C23" s="192"/>
      <c r="D23" s="193"/>
      <c r="E23" s="194" t="s">
        <v>214</v>
      </c>
      <c r="F23" s="195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196" t="str">
        <f>IFERROR(ROUNDUP(D23/F23,0),"")</f>
        <v/>
      </c>
      <c r="H23" s="197"/>
      <c r="I23" s="193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</row>
    <row r="24" spans="1:13" ht="21" customHeight="1" x14ac:dyDescent="0.3">
      <c r="A24" s="190"/>
      <c r="B24" s="191"/>
      <c r="C24" s="192"/>
      <c r="D24" s="193"/>
      <c r="E24" s="194" t="s">
        <v>214</v>
      </c>
      <c r="F24" s="195" t="str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196" t="str">
        <f>IFERROR(ROUNDUP(D24/F24,0),"")</f>
        <v/>
      </c>
      <c r="H24" s="197"/>
      <c r="I24" s="193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</row>
    <row r="25" spans="1:13" ht="15" customHeight="1" x14ac:dyDescent="0.3">
      <c r="A25" s="198"/>
      <c r="B25" s="199" t="s">
        <v>216</v>
      </c>
      <c r="C25" s="200"/>
      <c r="D25" s="201">
        <f>SUM(D18:D24)</f>
        <v>0</v>
      </c>
      <c r="E25" s="202"/>
      <c r="F25" s="202"/>
      <c r="G25" s="203">
        <f>SUM(G18:G24)</f>
        <v>0</v>
      </c>
      <c r="H25" s="201">
        <f>SUM(H18:H24)</f>
        <v>0</v>
      </c>
      <c r="I25" s="201">
        <f>SUM(I18:I24)</f>
        <v>0</v>
      </c>
      <c r="J25" s="28">
        <f>D25</f>
        <v>0</v>
      </c>
      <c r="K25" s="106">
        <f>G25</f>
        <v>0</v>
      </c>
      <c r="L25" s="28">
        <f>H25</f>
        <v>0</v>
      </c>
      <c r="M25" s="28">
        <f>I25</f>
        <v>0</v>
      </c>
    </row>
    <row r="26" spans="1:13" ht="6" customHeight="1" x14ac:dyDescent="0.3">
      <c r="C26" s="72"/>
    </row>
    <row r="27" spans="1:13" ht="15" customHeight="1" x14ac:dyDescent="0.3">
      <c r="A27" s="235">
        <v>46207</v>
      </c>
      <c r="B27" s="186" t="s">
        <v>78</v>
      </c>
      <c r="C27" s="187" t="s">
        <v>205</v>
      </c>
      <c r="D27" s="188" t="s">
        <v>206</v>
      </c>
      <c r="E27" s="188" t="s">
        <v>207</v>
      </c>
      <c r="F27" s="236" t="s">
        <v>208</v>
      </c>
      <c r="G27" s="188" t="s">
        <v>209</v>
      </c>
      <c r="H27" s="188" t="s">
        <v>210</v>
      </c>
      <c r="I27" s="188" t="s">
        <v>211</v>
      </c>
      <c r="J27" s="237"/>
      <c r="K27" s="237"/>
      <c r="L27" s="237"/>
      <c r="M27" s="237"/>
    </row>
    <row r="28" spans="1:13" ht="21" customHeight="1" x14ac:dyDescent="0.3">
      <c r="A28" s="190"/>
      <c r="B28" s="238"/>
      <c r="C28" s="239"/>
      <c r="D28" s="240"/>
      <c r="E28" s="241" t="s">
        <v>214</v>
      </c>
      <c r="F28" s="242" t="str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243" t="str">
        <f>IFERROR(ROUNDUP(D28/F28,0),"")</f>
        <v/>
      </c>
      <c r="H28" s="197"/>
      <c r="I28" s="240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  <c r="J28" s="237"/>
      <c r="K28" s="237"/>
      <c r="L28" s="237"/>
      <c r="M28" s="237"/>
    </row>
    <row r="29" spans="1:13" ht="21" customHeight="1" x14ac:dyDescent="0.3">
      <c r="A29" s="190"/>
      <c r="B29" s="238"/>
      <c r="C29" s="239"/>
      <c r="D29" s="240"/>
      <c r="E29" s="241" t="s">
        <v>214</v>
      </c>
      <c r="F29" s="242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243" t="str">
        <f>IFERROR(ROUNDUP(D29/F29,0),"")</f>
        <v/>
      </c>
      <c r="H29" s="197"/>
      <c r="I29" s="240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  <c r="J29" s="237"/>
      <c r="K29" s="237"/>
      <c r="L29" s="237"/>
      <c r="M29" s="237"/>
    </row>
    <row r="30" spans="1:13" ht="21" customHeight="1" x14ac:dyDescent="0.3">
      <c r="A30" s="190"/>
      <c r="B30" s="238"/>
      <c r="C30" s="239"/>
      <c r="D30" s="240"/>
      <c r="E30" s="241" t="s">
        <v>214</v>
      </c>
      <c r="F30" s="242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243" t="str">
        <f>IFERROR(ROUNDUP(D30/F30,0),"")</f>
        <v/>
      </c>
      <c r="H30" s="197"/>
      <c r="I30" s="240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  <c r="J30" s="237"/>
      <c r="K30" s="237"/>
      <c r="L30" s="237"/>
      <c r="M30" s="237"/>
    </row>
    <row r="31" spans="1:13" ht="21" customHeight="1" x14ac:dyDescent="0.3">
      <c r="A31" s="190"/>
      <c r="B31" s="238"/>
      <c r="C31" s="239"/>
      <c r="D31" s="240"/>
      <c r="E31" s="241" t="s">
        <v>214</v>
      </c>
      <c r="F31" s="242" t="str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243" t="str">
        <f>IFERROR(ROUNDUP(D31/F31,0),"")</f>
        <v/>
      </c>
      <c r="H31" s="197"/>
      <c r="I31" s="240" t="str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  <c r="J31" s="237"/>
      <c r="K31" s="237"/>
      <c r="L31" s="237"/>
      <c r="M31" s="237"/>
    </row>
    <row r="32" spans="1:13" ht="21" customHeight="1" x14ac:dyDescent="0.3">
      <c r="A32" s="190"/>
      <c r="B32" s="238"/>
      <c r="C32" s="239"/>
      <c r="D32" s="240"/>
      <c r="E32" s="241" t="s">
        <v>214</v>
      </c>
      <c r="F32" s="242" t="str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243" t="str">
        <f>IFERROR(ROUNDUP(D32/F32,0),"")</f>
        <v/>
      </c>
      <c r="H32" s="197"/>
      <c r="I32" s="240" t="str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  <c r="J32" s="237"/>
      <c r="K32" s="237"/>
      <c r="L32" s="237"/>
      <c r="M32" s="237"/>
    </row>
    <row r="33" spans="1:13" ht="15" customHeight="1" x14ac:dyDescent="0.3">
      <c r="A33" s="244"/>
      <c r="B33" s="199" t="s">
        <v>216</v>
      </c>
      <c r="C33" s="245"/>
      <c r="D33" s="201">
        <f>SUM(D26:D32)</f>
        <v>0</v>
      </c>
      <c r="E33" s="246"/>
      <c r="F33" s="246"/>
      <c r="G33" s="203">
        <f>SUM(G26:G32)</f>
        <v>0</v>
      </c>
      <c r="H33" s="201">
        <f>SUM(H26:H32)</f>
        <v>0</v>
      </c>
      <c r="I33" s="201">
        <f>SUM(I26:I32)</f>
        <v>0</v>
      </c>
      <c r="J33" s="247">
        <f>D33</f>
        <v>0</v>
      </c>
      <c r="K33" s="248">
        <f>G33</f>
        <v>0</v>
      </c>
      <c r="L33" s="247">
        <f>H33</f>
        <v>0</v>
      </c>
      <c r="M33" s="247">
        <f>I33</f>
        <v>0</v>
      </c>
    </row>
    <row r="34" spans="1:13" ht="6" customHeight="1" x14ac:dyDescent="0.3">
      <c r="A34" s="237"/>
      <c r="B34" s="237"/>
      <c r="C34" s="249"/>
      <c r="D34" s="237"/>
      <c r="E34" s="237"/>
      <c r="F34" s="237"/>
      <c r="G34" s="237"/>
      <c r="H34" s="237"/>
      <c r="I34" s="237"/>
      <c r="J34" s="237"/>
      <c r="K34" s="237"/>
      <c r="L34" s="237"/>
      <c r="M34" s="237"/>
    </row>
    <row r="35" spans="1:13" ht="15" customHeight="1" x14ac:dyDescent="0.3">
      <c r="A35" s="30">
        <v>46209</v>
      </c>
      <c r="B35" s="186" t="s">
        <v>78</v>
      </c>
      <c r="C35" s="187" t="s">
        <v>205</v>
      </c>
      <c r="D35" s="188" t="s">
        <v>206</v>
      </c>
      <c r="E35" s="188" t="s">
        <v>207</v>
      </c>
      <c r="F35" s="189" t="s">
        <v>208</v>
      </c>
      <c r="G35" s="188" t="s">
        <v>209</v>
      </c>
      <c r="H35" s="188" t="s">
        <v>210</v>
      </c>
      <c r="I35" s="188" t="s">
        <v>211</v>
      </c>
    </row>
    <row r="36" spans="1:13" ht="21" customHeight="1" x14ac:dyDescent="0.3">
      <c r="A36" s="190"/>
      <c r="B36" s="191"/>
      <c r="C36" s="192"/>
      <c r="D36" s="193"/>
      <c r="E36" s="194" t="s">
        <v>214</v>
      </c>
      <c r="F36" s="195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196" t="str">
        <f>IFERROR(ROUNDUP(D36/F36,0),"")</f>
        <v/>
      </c>
      <c r="H36" s="197"/>
      <c r="I36" s="193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</row>
    <row r="37" spans="1:13" ht="21" customHeight="1" x14ac:dyDescent="0.3">
      <c r="A37" s="190"/>
      <c r="B37" s="191"/>
      <c r="C37" s="192"/>
      <c r="D37" s="193"/>
      <c r="E37" s="194" t="s">
        <v>214</v>
      </c>
      <c r="F37" s="195" t="str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196" t="str">
        <f>IFERROR(ROUNDUP(D37/F37,0),"")</f>
        <v/>
      </c>
      <c r="H37" s="197"/>
      <c r="I37" s="193" t="str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</row>
    <row r="38" spans="1:13" ht="21" customHeight="1" x14ac:dyDescent="0.3">
      <c r="A38" s="190"/>
      <c r="B38" s="191"/>
      <c r="C38" s="192"/>
      <c r="D38" s="193"/>
      <c r="E38" s="194" t="s">
        <v>214</v>
      </c>
      <c r="F38" s="195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196" t="str">
        <f>IFERROR(ROUNDUP(D38/F38,0),"")</f>
        <v/>
      </c>
      <c r="H38" s="197"/>
      <c r="I38" s="193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</row>
    <row r="39" spans="1:13" ht="21" customHeight="1" x14ac:dyDescent="0.3">
      <c r="A39" s="190"/>
      <c r="B39" s="191"/>
      <c r="C39" s="192"/>
      <c r="D39" s="193"/>
      <c r="E39" s="194" t="s">
        <v>214</v>
      </c>
      <c r="F39" s="195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196" t="str">
        <f>IFERROR(ROUNDUP(D39/F39,0),"")</f>
        <v/>
      </c>
      <c r="H39" s="197"/>
      <c r="I39" s="193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</row>
    <row r="40" spans="1:13" ht="21" customHeight="1" x14ac:dyDescent="0.3">
      <c r="A40" s="190"/>
      <c r="B40" s="191"/>
      <c r="C40" s="192"/>
      <c r="D40" s="193"/>
      <c r="E40" s="194" t="s">
        <v>214</v>
      </c>
      <c r="F40" s="195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196" t="str">
        <f>IFERROR(ROUNDUP(D40/F40,0),"")</f>
        <v/>
      </c>
      <c r="H40" s="197"/>
      <c r="I40" s="193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</row>
    <row r="41" spans="1:13" ht="15" customHeight="1" x14ac:dyDescent="0.3">
      <c r="A41" s="198"/>
      <c r="B41" s="199" t="s">
        <v>216</v>
      </c>
      <c r="C41" s="200"/>
      <c r="D41" s="201">
        <f>SUM(D34:D40)</f>
        <v>0</v>
      </c>
      <c r="E41" s="202"/>
      <c r="F41" s="202"/>
      <c r="G41" s="203">
        <f>SUM(G34:G40)</f>
        <v>0</v>
      </c>
      <c r="H41" s="201">
        <f>SUM(H34:H40)</f>
        <v>0</v>
      </c>
      <c r="I41" s="201">
        <f>SUM(I34:I40)</f>
        <v>0</v>
      </c>
      <c r="J41" s="28">
        <f>D41</f>
        <v>0</v>
      </c>
      <c r="K41" s="106">
        <f>G41</f>
        <v>0</v>
      </c>
      <c r="L41" s="28">
        <f>H41</f>
        <v>0</v>
      </c>
      <c r="M41" s="28">
        <f>I41</f>
        <v>0</v>
      </c>
    </row>
    <row r="42" spans="1:13" ht="6" customHeight="1" x14ac:dyDescent="0.3">
      <c r="C42" s="72"/>
    </row>
    <row r="43" spans="1:13" ht="15" customHeight="1" x14ac:dyDescent="0.3">
      <c r="A43" s="30">
        <v>46210</v>
      </c>
      <c r="B43" s="186" t="s">
        <v>78</v>
      </c>
      <c r="C43" s="187" t="s">
        <v>205</v>
      </c>
      <c r="D43" s="188" t="s">
        <v>206</v>
      </c>
      <c r="E43" s="188" t="s">
        <v>207</v>
      </c>
      <c r="F43" s="189" t="s">
        <v>208</v>
      </c>
      <c r="G43" s="188" t="s">
        <v>209</v>
      </c>
      <c r="H43" s="188" t="s">
        <v>210</v>
      </c>
      <c r="I43" s="188" t="s">
        <v>211</v>
      </c>
    </row>
    <row r="44" spans="1:13" ht="21" customHeight="1" x14ac:dyDescent="0.3">
      <c r="A44" s="190"/>
      <c r="B44" s="191"/>
      <c r="C44" s="192"/>
      <c r="D44" s="193"/>
      <c r="E44" s="194" t="s">
        <v>214</v>
      </c>
      <c r="F44" s="195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196" t="str">
        <f>IFERROR(ROUNDUP(D44/F44,0),"")</f>
        <v/>
      </c>
      <c r="H44" s="197"/>
      <c r="I44" s="193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</row>
    <row r="45" spans="1:13" ht="21" customHeight="1" x14ac:dyDescent="0.3">
      <c r="A45" s="190"/>
      <c r="B45" s="191"/>
      <c r="C45" s="192"/>
      <c r="D45" s="193"/>
      <c r="E45" s="194" t="s">
        <v>214</v>
      </c>
      <c r="F45" s="195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196" t="str">
        <f>IFERROR(ROUNDUP(D45/F45,0),"")</f>
        <v/>
      </c>
      <c r="H45" s="197"/>
      <c r="I45" s="193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</row>
    <row r="46" spans="1:13" ht="21" customHeight="1" x14ac:dyDescent="0.3">
      <c r="A46" s="190"/>
      <c r="B46" s="191"/>
      <c r="C46" s="192"/>
      <c r="D46" s="193"/>
      <c r="E46" s="194" t="s">
        <v>214</v>
      </c>
      <c r="F46" s="195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196" t="str">
        <f>IFERROR(ROUNDUP(D46/F46,0),"")</f>
        <v/>
      </c>
      <c r="H46" s="197"/>
      <c r="I46" s="193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</row>
    <row r="47" spans="1:13" ht="21" customHeight="1" x14ac:dyDescent="0.3">
      <c r="A47" s="190"/>
      <c r="B47" s="191"/>
      <c r="C47" s="192"/>
      <c r="D47" s="193"/>
      <c r="E47" s="194" t="s">
        <v>214</v>
      </c>
      <c r="F47" s="195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196" t="str">
        <f>IFERROR(ROUNDUP(D47/F47,0),"")</f>
        <v/>
      </c>
      <c r="H47" s="197"/>
      <c r="I47" s="193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</row>
    <row r="48" spans="1:13" ht="21" customHeight="1" x14ac:dyDescent="0.3">
      <c r="A48" s="190"/>
      <c r="B48" s="191"/>
      <c r="C48" s="192"/>
      <c r="D48" s="193"/>
      <c r="E48" s="194" t="s">
        <v>214</v>
      </c>
      <c r="F48" s="195" t="str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196" t="str">
        <f>IFERROR(ROUNDUP(D48/F48,0),"")</f>
        <v/>
      </c>
      <c r="H48" s="197"/>
      <c r="I48" s="193" t="str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</row>
    <row r="49" spans="1:13" ht="15" customHeight="1" x14ac:dyDescent="0.3">
      <c r="A49" s="198"/>
      <c r="B49" s="199" t="s">
        <v>216</v>
      </c>
      <c r="C49" s="200"/>
      <c r="D49" s="201">
        <f>SUM(D42:D48)</f>
        <v>0</v>
      </c>
      <c r="E49" s="202"/>
      <c r="F49" s="202"/>
      <c r="G49" s="203">
        <f>SUM(G42:G48)</f>
        <v>0</v>
      </c>
      <c r="H49" s="201">
        <f>SUM(H42:H48)</f>
        <v>0</v>
      </c>
      <c r="I49" s="201">
        <f>SUM(I42:I48)</f>
        <v>0</v>
      </c>
      <c r="J49" s="28">
        <f>D49</f>
        <v>0</v>
      </c>
      <c r="K49" s="106">
        <f>G49</f>
        <v>0</v>
      </c>
      <c r="L49" s="28">
        <f>H49</f>
        <v>0</v>
      </c>
      <c r="M49" s="28">
        <f>I49</f>
        <v>0</v>
      </c>
    </row>
    <row r="50" spans="1:13" ht="6" customHeight="1" x14ac:dyDescent="0.3">
      <c r="C50" s="72"/>
    </row>
    <row r="51" spans="1:13" ht="15" customHeight="1" x14ac:dyDescent="0.3">
      <c r="A51" s="30">
        <v>46211</v>
      </c>
      <c r="B51" s="186" t="s">
        <v>78</v>
      </c>
      <c r="C51" s="187" t="s">
        <v>205</v>
      </c>
      <c r="D51" s="188" t="s">
        <v>206</v>
      </c>
      <c r="E51" s="188" t="s">
        <v>207</v>
      </c>
      <c r="F51" s="189" t="s">
        <v>208</v>
      </c>
      <c r="G51" s="188" t="s">
        <v>209</v>
      </c>
      <c r="H51" s="188" t="s">
        <v>210</v>
      </c>
      <c r="I51" s="188" t="s">
        <v>211</v>
      </c>
    </row>
    <row r="52" spans="1:13" ht="21" customHeight="1" x14ac:dyDescent="0.3">
      <c r="A52" s="190"/>
      <c r="B52" s="191"/>
      <c r="C52" s="192"/>
      <c r="D52" s="193"/>
      <c r="E52" s="194" t="s">
        <v>214</v>
      </c>
      <c r="F52" s="195" t="str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196" t="str">
        <f>IFERROR(ROUNDUP(D52/F52,0),"")</f>
        <v/>
      </c>
      <c r="H52" s="197"/>
      <c r="I52" s="193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</row>
    <row r="53" spans="1:13" ht="21" customHeight="1" x14ac:dyDescent="0.3">
      <c r="A53" s="190"/>
      <c r="B53" s="191"/>
      <c r="C53" s="192"/>
      <c r="D53" s="193"/>
      <c r="E53" s="194" t="s">
        <v>214</v>
      </c>
      <c r="F53" s="195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196" t="str">
        <f>IFERROR(ROUNDUP(D53/F53,0),"")</f>
        <v/>
      </c>
      <c r="H53" s="197"/>
      <c r="I53" s="193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</row>
    <row r="54" spans="1:13" ht="21" customHeight="1" x14ac:dyDescent="0.3">
      <c r="A54" s="190"/>
      <c r="B54" s="191"/>
      <c r="C54" s="192"/>
      <c r="D54" s="193"/>
      <c r="E54" s="194" t="s">
        <v>214</v>
      </c>
      <c r="F54" s="195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196" t="str">
        <f>IFERROR(ROUNDUP(D54/F54,0),"")</f>
        <v/>
      </c>
      <c r="H54" s="197"/>
      <c r="I54" s="193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</row>
    <row r="55" spans="1:13" ht="21" customHeight="1" x14ac:dyDescent="0.3">
      <c r="A55" s="190"/>
      <c r="B55" s="191"/>
      <c r="C55" s="192"/>
      <c r="D55" s="193"/>
      <c r="E55" s="194" t="s">
        <v>214</v>
      </c>
      <c r="F55" s="195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196" t="str">
        <f>IFERROR(ROUNDUP(D55/F55,0),"")</f>
        <v/>
      </c>
      <c r="H55" s="197"/>
      <c r="I55" s="193" t="str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</row>
    <row r="56" spans="1:13" ht="21" customHeight="1" x14ac:dyDescent="0.3">
      <c r="A56" s="190"/>
      <c r="B56" s="191"/>
      <c r="C56" s="192"/>
      <c r="D56" s="193"/>
      <c r="E56" s="194" t="s">
        <v>214</v>
      </c>
      <c r="F56" s="195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196" t="str">
        <f>IFERROR(ROUNDUP(D56/F56,0),"")</f>
        <v/>
      </c>
      <c r="H56" s="197"/>
      <c r="I56" s="193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15" customHeight="1" x14ac:dyDescent="0.3">
      <c r="A57" s="198"/>
      <c r="B57" s="199" t="s">
        <v>216</v>
      </c>
      <c r="C57" s="200"/>
      <c r="D57" s="201">
        <f>SUM(D50:D56)</f>
        <v>0</v>
      </c>
      <c r="E57" s="202"/>
      <c r="F57" s="202"/>
      <c r="G57" s="203">
        <f>SUM(G50:G56)</f>
        <v>0</v>
      </c>
      <c r="H57" s="201">
        <f>SUM(H50:H56)</f>
        <v>0</v>
      </c>
      <c r="I57" s="201">
        <f>SUM(I50:I56)</f>
        <v>0</v>
      </c>
      <c r="J57" s="28">
        <f>D57</f>
        <v>0</v>
      </c>
      <c r="K57" s="106">
        <f>G57</f>
        <v>0</v>
      </c>
      <c r="L57" s="28">
        <f>H57</f>
        <v>0</v>
      </c>
      <c r="M57" s="28">
        <f>I57</f>
        <v>0</v>
      </c>
    </row>
    <row r="58" spans="1:13" ht="6" customHeight="1" x14ac:dyDescent="0.3">
      <c r="C58" s="72"/>
    </row>
    <row r="59" spans="1:13" ht="15" customHeight="1" x14ac:dyDescent="0.3">
      <c r="A59" s="30">
        <v>46212</v>
      </c>
      <c r="B59" s="186" t="s">
        <v>78</v>
      </c>
      <c r="C59" s="187" t="s">
        <v>205</v>
      </c>
      <c r="D59" s="188" t="s">
        <v>206</v>
      </c>
      <c r="E59" s="188" t="s">
        <v>207</v>
      </c>
      <c r="F59" s="189" t="s">
        <v>208</v>
      </c>
      <c r="G59" s="188" t="s">
        <v>209</v>
      </c>
      <c r="H59" s="188" t="s">
        <v>210</v>
      </c>
      <c r="I59" s="188" t="s">
        <v>211</v>
      </c>
    </row>
    <row r="60" spans="1:13" ht="21" customHeight="1" x14ac:dyDescent="0.3">
      <c r="A60" s="190"/>
      <c r="B60" s="191"/>
      <c r="C60" s="192"/>
      <c r="D60" s="193"/>
      <c r="E60" s="194" t="s">
        <v>214</v>
      </c>
      <c r="F60" s="195" t="str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196" t="str">
        <f>IFERROR(ROUNDUP(D60/F60,0),"")</f>
        <v/>
      </c>
      <c r="H60" s="197"/>
      <c r="I60" s="193" t="str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</row>
    <row r="61" spans="1:13" ht="21" customHeight="1" x14ac:dyDescent="0.3">
      <c r="A61" s="190"/>
      <c r="B61" s="191"/>
      <c r="C61" s="192"/>
      <c r="D61" s="193"/>
      <c r="E61" s="194" t="s">
        <v>214</v>
      </c>
      <c r="F61" s="195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196" t="str">
        <f>IFERROR(ROUNDUP(D61/F61,0),"")</f>
        <v/>
      </c>
      <c r="H61" s="197"/>
      <c r="I61" s="193" t="str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</row>
    <row r="62" spans="1:13" ht="21" customHeight="1" x14ac:dyDescent="0.3">
      <c r="A62" s="190"/>
      <c r="B62" s="191"/>
      <c r="C62" s="192"/>
      <c r="D62" s="193"/>
      <c r="E62" s="194" t="s">
        <v>214</v>
      </c>
      <c r="F62" s="195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196" t="str">
        <f>IFERROR(ROUNDUP(D62/F62,0),"")</f>
        <v/>
      </c>
      <c r="H62" s="197"/>
      <c r="I62" s="193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3" ht="21" customHeight="1" x14ac:dyDescent="0.3">
      <c r="A63" s="190"/>
      <c r="B63" s="191"/>
      <c r="C63" s="192"/>
      <c r="D63" s="193"/>
      <c r="E63" s="194" t="s">
        <v>214</v>
      </c>
      <c r="F63" s="195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196" t="str">
        <f>IFERROR(ROUNDUP(D63/F63,0),"")</f>
        <v/>
      </c>
      <c r="H63" s="197"/>
      <c r="I63" s="193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3">
      <c r="A64" s="190"/>
      <c r="B64" s="191"/>
      <c r="C64" s="192"/>
      <c r="D64" s="193"/>
      <c r="E64" s="194" t="s">
        <v>214</v>
      </c>
      <c r="F64" s="195" t="str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196" t="str">
        <f>IFERROR(ROUNDUP(D64/F64,0),"")</f>
        <v/>
      </c>
      <c r="H64" s="197"/>
      <c r="I64" s="193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15" customHeight="1" x14ac:dyDescent="0.3">
      <c r="A65" s="198"/>
      <c r="B65" s="199" t="s">
        <v>216</v>
      </c>
      <c r="C65" s="200"/>
      <c r="D65" s="201">
        <f>SUM(D58:D64)</f>
        <v>0</v>
      </c>
      <c r="E65" s="202"/>
      <c r="F65" s="202"/>
      <c r="G65" s="203">
        <f>SUM(G58:G64)</f>
        <v>0</v>
      </c>
      <c r="H65" s="201">
        <f>SUM(H58:H64)</f>
        <v>0</v>
      </c>
      <c r="I65" s="201">
        <f>SUM(I58:I64)</f>
        <v>0</v>
      </c>
      <c r="J65" s="28">
        <f>D65</f>
        <v>0</v>
      </c>
      <c r="K65" s="106">
        <f>G65</f>
        <v>0</v>
      </c>
      <c r="L65" s="28">
        <f>H65</f>
        <v>0</v>
      </c>
      <c r="M65" s="28">
        <f>I65</f>
        <v>0</v>
      </c>
    </row>
    <row r="66" spans="1:13" ht="6" customHeight="1" x14ac:dyDescent="0.3">
      <c r="C66" s="72"/>
    </row>
    <row r="67" spans="1:13" ht="15" customHeight="1" x14ac:dyDescent="0.3">
      <c r="A67" s="30">
        <v>46213</v>
      </c>
      <c r="B67" s="186" t="s">
        <v>78</v>
      </c>
      <c r="C67" s="187" t="s">
        <v>205</v>
      </c>
      <c r="D67" s="188" t="s">
        <v>206</v>
      </c>
      <c r="E67" s="188" t="s">
        <v>207</v>
      </c>
      <c r="F67" s="189" t="s">
        <v>208</v>
      </c>
      <c r="G67" s="188" t="s">
        <v>209</v>
      </c>
      <c r="H67" s="188" t="s">
        <v>210</v>
      </c>
      <c r="I67" s="188" t="s">
        <v>211</v>
      </c>
    </row>
    <row r="68" spans="1:13" ht="21" customHeight="1" x14ac:dyDescent="0.3">
      <c r="A68" s="190"/>
      <c r="B68" s="191"/>
      <c r="C68" s="192"/>
      <c r="D68" s="193"/>
      <c r="E68" s="194" t="s">
        <v>214</v>
      </c>
      <c r="F68" s="195" t="str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196" t="str">
        <f>IFERROR(ROUNDUP(D68/F68,0),"")</f>
        <v/>
      </c>
      <c r="H68" s="197"/>
      <c r="I68" s="193" t="str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</row>
    <row r="69" spans="1:13" ht="21" customHeight="1" x14ac:dyDescent="0.3">
      <c r="A69" s="190"/>
      <c r="B69" s="191"/>
      <c r="C69" s="192"/>
      <c r="D69" s="193"/>
      <c r="E69" s="194" t="s">
        <v>214</v>
      </c>
      <c r="F69" s="195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196" t="str">
        <f>IFERROR(ROUNDUP(D69/F69,0),"")</f>
        <v/>
      </c>
      <c r="H69" s="197"/>
      <c r="I69" s="193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</row>
    <row r="70" spans="1:13" ht="21" customHeight="1" x14ac:dyDescent="0.3">
      <c r="A70" s="190"/>
      <c r="B70" s="191"/>
      <c r="C70" s="192"/>
      <c r="D70" s="193"/>
      <c r="E70" s="194" t="s">
        <v>214</v>
      </c>
      <c r="F70" s="195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196" t="str">
        <f>IFERROR(ROUNDUP(D70/F70,0),"")</f>
        <v/>
      </c>
      <c r="H70" s="197"/>
      <c r="I70" s="193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</row>
    <row r="71" spans="1:13" ht="21" customHeight="1" x14ac:dyDescent="0.3">
      <c r="A71" s="190"/>
      <c r="B71" s="191"/>
      <c r="C71" s="192"/>
      <c r="D71" s="193"/>
      <c r="E71" s="194" t="s">
        <v>214</v>
      </c>
      <c r="F71" s="195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196" t="str">
        <f>IFERROR(ROUNDUP(D71/F71,0),"")</f>
        <v/>
      </c>
      <c r="H71" s="197"/>
      <c r="I71" s="193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</row>
    <row r="72" spans="1:13" ht="21" customHeight="1" x14ac:dyDescent="0.3">
      <c r="A72" s="190"/>
      <c r="B72" s="191"/>
      <c r="C72" s="192"/>
      <c r="D72" s="193"/>
      <c r="E72" s="194" t="s">
        <v>214</v>
      </c>
      <c r="F72" s="195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196" t="str">
        <f>IFERROR(ROUNDUP(D72/F72,0),"")</f>
        <v/>
      </c>
      <c r="H72" s="197"/>
      <c r="I72" s="193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15" customHeight="1" x14ac:dyDescent="0.3">
      <c r="A73" s="198"/>
      <c r="B73" s="199" t="s">
        <v>216</v>
      </c>
      <c r="C73" s="200"/>
      <c r="D73" s="201">
        <f>SUM(D66:D72)</f>
        <v>0</v>
      </c>
      <c r="E73" s="202"/>
      <c r="F73" s="202"/>
      <c r="G73" s="203">
        <f>SUM(G66:G72)</f>
        <v>0</v>
      </c>
      <c r="H73" s="201">
        <f>SUM(H66:H72)</f>
        <v>0</v>
      </c>
      <c r="I73" s="201">
        <f>SUM(I66:I72)</f>
        <v>0</v>
      </c>
      <c r="J73" s="28">
        <f>D73</f>
        <v>0</v>
      </c>
      <c r="K73" s="106">
        <f>G73</f>
        <v>0</v>
      </c>
      <c r="L73" s="28">
        <f>H73</f>
        <v>0</v>
      </c>
      <c r="M73" s="28">
        <f>I73</f>
        <v>0</v>
      </c>
    </row>
    <row r="74" spans="1:13" ht="6" customHeight="1" x14ac:dyDescent="0.3">
      <c r="C74" s="72"/>
    </row>
    <row r="75" spans="1:13" ht="15" customHeight="1" x14ac:dyDescent="0.3">
      <c r="A75" s="235">
        <v>46214</v>
      </c>
      <c r="B75" s="186" t="s">
        <v>78</v>
      </c>
      <c r="C75" s="187" t="s">
        <v>205</v>
      </c>
      <c r="D75" s="188" t="s">
        <v>206</v>
      </c>
      <c r="E75" s="188" t="s">
        <v>207</v>
      </c>
      <c r="F75" s="236" t="s">
        <v>208</v>
      </c>
      <c r="G75" s="188" t="s">
        <v>209</v>
      </c>
      <c r="H75" s="188" t="s">
        <v>210</v>
      </c>
      <c r="I75" s="188" t="s">
        <v>211</v>
      </c>
      <c r="J75" s="237"/>
      <c r="K75" s="237"/>
      <c r="L75" s="237"/>
      <c r="M75" s="237"/>
    </row>
    <row r="76" spans="1:13" ht="21" customHeight="1" x14ac:dyDescent="0.3">
      <c r="A76" s="190"/>
      <c r="B76" s="238"/>
      <c r="C76" s="239"/>
      <c r="D76" s="240"/>
      <c r="E76" s="241" t="s">
        <v>214</v>
      </c>
      <c r="F76" s="242" t="str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243" t="str">
        <f>IFERROR(ROUNDUP(D76/F76,0),"")</f>
        <v/>
      </c>
      <c r="H76" s="197"/>
      <c r="I76" s="240" t="str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  <c r="J76" s="237"/>
      <c r="K76" s="237"/>
      <c r="L76" s="237"/>
      <c r="M76" s="237"/>
    </row>
    <row r="77" spans="1:13" ht="21" customHeight="1" x14ac:dyDescent="0.3">
      <c r="A77" s="190"/>
      <c r="B77" s="238"/>
      <c r="C77" s="239"/>
      <c r="D77" s="240"/>
      <c r="E77" s="241" t="s">
        <v>214</v>
      </c>
      <c r="F77" s="242" t="str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243" t="str">
        <f>IFERROR(ROUNDUP(D77/F77,0),"")</f>
        <v/>
      </c>
      <c r="H77" s="197"/>
      <c r="I77" s="240" t="str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  <c r="J77" s="237"/>
      <c r="K77" s="237"/>
      <c r="L77" s="237"/>
      <c r="M77" s="237"/>
    </row>
    <row r="78" spans="1:13" ht="21" customHeight="1" x14ac:dyDescent="0.3">
      <c r="A78" s="190"/>
      <c r="B78" s="238"/>
      <c r="C78" s="239"/>
      <c r="D78" s="240"/>
      <c r="E78" s="241" t="s">
        <v>214</v>
      </c>
      <c r="F78" s="242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243" t="str">
        <f>IFERROR(ROUNDUP(D78/F78,0),"")</f>
        <v/>
      </c>
      <c r="H78" s="197"/>
      <c r="I78" s="240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  <c r="J78" s="237"/>
      <c r="K78" s="237"/>
      <c r="L78" s="237"/>
      <c r="M78" s="237"/>
    </row>
    <row r="79" spans="1:13" ht="21" customHeight="1" x14ac:dyDescent="0.3">
      <c r="A79" s="190"/>
      <c r="B79" s="238"/>
      <c r="C79" s="239"/>
      <c r="D79" s="240"/>
      <c r="E79" s="241" t="s">
        <v>214</v>
      </c>
      <c r="F79" s="242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243" t="str">
        <f>IFERROR(ROUNDUP(D79/F79,0),"")</f>
        <v/>
      </c>
      <c r="H79" s="197"/>
      <c r="I79" s="240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  <c r="J79" s="237"/>
      <c r="K79" s="237"/>
      <c r="L79" s="237"/>
      <c r="M79" s="237"/>
    </row>
    <row r="80" spans="1:13" ht="21" customHeight="1" x14ac:dyDescent="0.3">
      <c r="A80" s="190"/>
      <c r="B80" s="238"/>
      <c r="C80" s="239"/>
      <c r="D80" s="240"/>
      <c r="E80" s="241" t="s">
        <v>214</v>
      </c>
      <c r="F80" s="242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243" t="str">
        <f>IFERROR(ROUNDUP(D80/F80,0),"")</f>
        <v/>
      </c>
      <c r="H80" s="197"/>
      <c r="I80" s="240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  <c r="J80" s="237"/>
      <c r="K80" s="237"/>
      <c r="L80" s="237"/>
      <c r="M80" s="237"/>
    </row>
    <row r="81" spans="1:13" ht="15" customHeight="1" x14ac:dyDescent="0.3">
      <c r="A81" s="244"/>
      <c r="B81" s="199" t="s">
        <v>216</v>
      </c>
      <c r="C81" s="245"/>
      <c r="D81" s="201">
        <f>SUM(D74:D80)</f>
        <v>0</v>
      </c>
      <c r="E81" s="246"/>
      <c r="F81" s="246"/>
      <c r="G81" s="203">
        <f>SUM(G74:G80)</f>
        <v>0</v>
      </c>
      <c r="H81" s="201">
        <f>SUM(H74:H80)</f>
        <v>0</v>
      </c>
      <c r="I81" s="201">
        <f>SUM(I74:I80)</f>
        <v>0</v>
      </c>
      <c r="J81" s="247">
        <f>D81</f>
        <v>0</v>
      </c>
      <c r="K81" s="248">
        <f>G81</f>
        <v>0</v>
      </c>
      <c r="L81" s="247">
        <f>H81</f>
        <v>0</v>
      </c>
      <c r="M81" s="247">
        <f>I81</f>
        <v>0</v>
      </c>
    </row>
    <row r="82" spans="1:13" ht="6" customHeight="1" x14ac:dyDescent="0.3">
      <c r="A82" s="237"/>
      <c r="B82" s="237"/>
      <c r="C82" s="249"/>
      <c r="D82" s="237"/>
      <c r="E82" s="237"/>
      <c r="F82" s="237"/>
      <c r="G82" s="237"/>
      <c r="H82" s="237"/>
      <c r="I82" s="237"/>
      <c r="J82" s="237"/>
      <c r="K82" s="237"/>
      <c r="L82" s="237"/>
      <c r="M82" s="237"/>
    </row>
    <row r="83" spans="1:13" ht="15" customHeight="1" x14ac:dyDescent="0.3">
      <c r="A83" s="30">
        <v>46216</v>
      </c>
      <c r="B83" s="186" t="s">
        <v>78</v>
      </c>
      <c r="C83" s="187" t="s">
        <v>205</v>
      </c>
      <c r="D83" s="188" t="s">
        <v>206</v>
      </c>
      <c r="E83" s="188" t="s">
        <v>207</v>
      </c>
      <c r="F83" s="189" t="s">
        <v>208</v>
      </c>
      <c r="G83" s="188" t="s">
        <v>209</v>
      </c>
      <c r="H83" s="188" t="s">
        <v>210</v>
      </c>
      <c r="I83" s="188" t="s">
        <v>211</v>
      </c>
    </row>
    <row r="84" spans="1:13" ht="21" customHeight="1" x14ac:dyDescent="0.3">
      <c r="A84" s="190"/>
      <c r="B84" s="191"/>
      <c r="C84" s="192"/>
      <c r="D84" s="193"/>
      <c r="E84" s="194" t="s">
        <v>214</v>
      </c>
      <c r="F84" s="195" t="str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196" t="str">
        <f>IFERROR(ROUNDUP(D84/F84,0),"")</f>
        <v/>
      </c>
      <c r="H84" s="197"/>
      <c r="I84" s="193" t="str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</row>
    <row r="85" spans="1:13" ht="21" customHeight="1" x14ac:dyDescent="0.3">
      <c r="A85" s="190"/>
      <c r="B85" s="191"/>
      <c r="C85" s="192"/>
      <c r="D85" s="193"/>
      <c r="E85" s="194" t="s">
        <v>214</v>
      </c>
      <c r="F85" s="195" t="str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196" t="str">
        <f>IFERROR(ROUNDUP(D85/F85,0),"")</f>
        <v/>
      </c>
      <c r="H85" s="197"/>
      <c r="I85" s="193" t="str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</row>
    <row r="86" spans="1:13" ht="21" customHeight="1" x14ac:dyDescent="0.3">
      <c r="A86" s="190"/>
      <c r="B86" s="191"/>
      <c r="C86" s="192"/>
      <c r="D86" s="193"/>
      <c r="E86" s="194" t="s">
        <v>214</v>
      </c>
      <c r="F86" s="195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196" t="str">
        <f>IFERROR(ROUNDUP(D86/F86,0),"")</f>
        <v/>
      </c>
      <c r="H86" s="197"/>
      <c r="I86" s="193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</row>
    <row r="87" spans="1:13" ht="21" customHeight="1" x14ac:dyDescent="0.3">
      <c r="A87" s="190"/>
      <c r="B87" s="191"/>
      <c r="C87" s="192"/>
      <c r="D87" s="193"/>
      <c r="E87" s="194" t="s">
        <v>214</v>
      </c>
      <c r="F87" s="195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196" t="str">
        <f>IFERROR(ROUNDUP(D87/F87,0),"")</f>
        <v/>
      </c>
      <c r="H87" s="197"/>
      <c r="I87" s="193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</row>
    <row r="88" spans="1:13" ht="21" customHeight="1" x14ac:dyDescent="0.3">
      <c r="A88" s="190"/>
      <c r="B88" s="191"/>
      <c r="C88" s="192"/>
      <c r="D88" s="193"/>
      <c r="E88" s="194" t="s">
        <v>214</v>
      </c>
      <c r="F88" s="195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196" t="str">
        <f>IFERROR(ROUNDUP(D88/F88,0),"")</f>
        <v/>
      </c>
      <c r="H88" s="197"/>
      <c r="I88" s="193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</row>
    <row r="89" spans="1:13" ht="15" customHeight="1" x14ac:dyDescent="0.3">
      <c r="A89" s="198"/>
      <c r="B89" s="199" t="s">
        <v>216</v>
      </c>
      <c r="C89" s="200"/>
      <c r="D89" s="201">
        <f>SUM(D82:D88)</f>
        <v>0</v>
      </c>
      <c r="E89" s="202"/>
      <c r="F89" s="202"/>
      <c r="G89" s="203">
        <f>SUM(G82:G88)</f>
        <v>0</v>
      </c>
      <c r="H89" s="201">
        <f>SUM(H82:H88)</f>
        <v>0</v>
      </c>
      <c r="I89" s="201">
        <f>SUM(I82:I88)</f>
        <v>0</v>
      </c>
      <c r="J89" s="28">
        <f>D89</f>
        <v>0</v>
      </c>
      <c r="K89" s="106">
        <f>G89</f>
        <v>0</v>
      </c>
      <c r="L89" s="28">
        <f>H89</f>
        <v>0</v>
      </c>
      <c r="M89" s="28">
        <f>I89</f>
        <v>0</v>
      </c>
    </row>
    <row r="90" spans="1:13" ht="6" customHeight="1" x14ac:dyDescent="0.3">
      <c r="C90" s="72"/>
    </row>
    <row r="91" spans="1:13" ht="15" customHeight="1" x14ac:dyDescent="0.3">
      <c r="A91" s="30">
        <v>46217</v>
      </c>
      <c r="B91" s="186" t="s">
        <v>78</v>
      </c>
      <c r="C91" s="187" t="s">
        <v>205</v>
      </c>
      <c r="D91" s="188" t="s">
        <v>206</v>
      </c>
      <c r="E91" s="188" t="s">
        <v>207</v>
      </c>
      <c r="F91" s="189" t="s">
        <v>208</v>
      </c>
      <c r="G91" s="188" t="s">
        <v>209</v>
      </c>
      <c r="H91" s="188" t="s">
        <v>210</v>
      </c>
      <c r="I91" s="188" t="s">
        <v>211</v>
      </c>
    </row>
    <row r="92" spans="1:13" ht="21" customHeight="1" x14ac:dyDescent="0.3">
      <c r="A92" s="190"/>
      <c r="B92" s="191"/>
      <c r="C92" s="192"/>
      <c r="D92" s="193"/>
      <c r="E92" s="194" t="s">
        <v>214</v>
      </c>
      <c r="F92" s="195" t="str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196" t="str">
        <f>IFERROR(ROUNDUP(D92/F92,0),"")</f>
        <v/>
      </c>
      <c r="H92" s="197"/>
      <c r="I92" s="193" t="str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</row>
    <row r="93" spans="1:13" ht="21" customHeight="1" x14ac:dyDescent="0.3">
      <c r="A93" s="190"/>
      <c r="B93" s="191"/>
      <c r="C93" s="192"/>
      <c r="D93" s="193"/>
      <c r="E93" s="194" t="s">
        <v>214</v>
      </c>
      <c r="F93" s="195" t="str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196" t="str">
        <f>IFERROR(ROUNDUP(D93/F93,0),"")</f>
        <v/>
      </c>
      <c r="H93" s="197"/>
      <c r="I93" s="193" t="str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</row>
    <row r="94" spans="1:13" ht="21" customHeight="1" x14ac:dyDescent="0.3">
      <c r="A94" s="190"/>
      <c r="B94" s="191"/>
      <c r="C94" s="192"/>
      <c r="D94" s="193"/>
      <c r="E94" s="194" t="s">
        <v>214</v>
      </c>
      <c r="F94" s="195" t="str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196" t="str">
        <f>IFERROR(ROUNDUP(D94/F94,0),"")</f>
        <v/>
      </c>
      <c r="H94" s="197"/>
      <c r="I94" s="193" t="str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</row>
    <row r="95" spans="1:13" ht="21" customHeight="1" x14ac:dyDescent="0.3">
      <c r="A95" s="190"/>
      <c r="B95" s="191"/>
      <c r="C95" s="192"/>
      <c r="D95" s="193"/>
      <c r="E95" s="194" t="s">
        <v>214</v>
      </c>
      <c r="F95" s="195" t="str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196" t="str">
        <f>IFERROR(ROUNDUP(D95/F95,0),"")</f>
        <v/>
      </c>
      <c r="H95" s="197"/>
      <c r="I95" s="193" t="str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</row>
    <row r="96" spans="1:13" ht="21" customHeight="1" x14ac:dyDescent="0.3">
      <c r="A96" s="190"/>
      <c r="B96" s="191"/>
      <c r="C96" s="192"/>
      <c r="D96" s="193"/>
      <c r="E96" s="194" t="s">
        <v>214</v>
      </c>
      <c r="F96" s="195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196" t="str">
        <f>IFERROR(ROUNDUP(D96/F96,0),"")</f>
        <v/>
      </c>
      <c r="H96" s="197"/>
      <c r="I96" s="193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</row>
    <row r="97" spans="1:13" ht="15" customHeight="1" x14ac:dyDescent="0.3">
      <c r="A97" s="198"/>
      <c r="B97" s="199" t="s">
        <v>216</v>
      </c>
      <c r="C97" s="200"/>
      <c r="D97" s="201">
        <f>SUM(D90:D96)</f>
        <v>0</v>
      </c>
      <c r="E97" s="202"/>
      <c r="F97" s="202"/>
      <c r="G97" s="203">
        <f>SUM(G90:G96)</f>
        <v>0</v>
      </c>
      <c r="H97" s="201">
        <f>SUM(H90:H96)</f>
        <v>0</v>
      </c>
      <c r="I97" s="201">
        <f>SUM(I90:I96)</f>
        <v>0</v>
      </c>
      <c r="J97" s="28">
        <f>D97</f>
        <v>0</v>
      </c>
      <c r="K97" s="106">
        <f>G97</f>
        <v>0</v>
      </c>
      <c r="L97" s="28">
        <f>H97</f>
        <v>0</v>
      </c>
      <c r="M97" s="28">
        <f>I97</f>
        <v>0</v>
      </c>
    </row>
    <row r="98" spans="1:13" ht="6" customHeight="1" x14ac:dyDescent="0.3">
      <c r="C98" s="72"/>
    </row>
    <row r="99" spans="1:13" ht="15" customHeight="1" x14ac:dyDescent="0.3">
      <c r="A99" s="30">
        <v>46218</v>
      </c>
      <c r="B99" s="186" t="s">
        <v>78</v>
      </c>
      <c r="C99" s="187" t="s">
        <v>205</v>
      </c>
      <c r="D99" s="188" t="s">
        <v>206</v>
      </c>
      <c r="E99" s="188" t="s">
        <v>207</v>
      </c>
      <c r="F99" s="189" t="s">
        <v>208</v>
      </c>
      <c r="G99" s="188" t="s">
        <v>209</v>
      </c>
      <c r="H99" s="188" t="s">
        <v>210</v>
      </c>
      <c r="I99" s="188" t="s">
        <v>211</v>
      </c>
    </row>
    <row r="100" spans="1:13" ht="21" customHeight="1" x14ac:dyDescent="0.3">
      <c r="A100" s="190"/>
      <c r="B100" s="191"/>
      <c r="C100" s="192"/>
      <c r="D100" s="193"/>
      <c r="E100" s="194" t="s">
        <v>214</v>
      </c>
      <c r="F100" s="195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196" t="str">
        <f>IFERROR(ROUNDUP(D100/F100,0),"")</f>
        <v/>
      </c>
      <c r="H100" s="197"/>
      <c r="I100" s="193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</row>
    <row r="101" spans="1:13" ht="21" customHeight="1" x14ac:dyDescent="0.3">
      <c r="A101" s="190"/>
      <c r="B101" s="191"/>
      <c r="C101" s="192"/>
      <c r="D101" s="193"/>
      <c r="E101" s="194" t="s">
        <v>214</v>
      </c>
      <c r="F101" s="195" t="str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196" t="str">
        <f>IFERROR(ROUNDUP(D101/F101,0),"")</f>
        <v/>
      </c>
      <c r="H101" s="197"/>
      <c r="I101" s="193" t="str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</row>
    <row r="102" spans="1:13" ht="21" customHeight="1" x14ac:dyDescent="0.3">
      <c r="A102" s="190"/>
      <c r="B102" s="191"/>
      <c r="C102" s="192"/>
      <c r="D102" s="193"/>
      <c r="E102" s="194" t="s">
        <v>214</v>
      </c>
      <c r="F102" s="195" t="str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196" t="str">
        <f>IFERROR(ROUNDUP(D102/F102,0),"")</f>
        <v/>
      </c>
      <c r="H102" s="197"/>
      <c r="I102" s="193" t="str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</row>
    <row r="103" spans="1:13" ht="21" customHeight="1" x14ac:dyDescent="0.3">
      <c r="A103" s="190"/>
      <c r="B103" s="191"/>
      <c r="C103" s="192"/>
      <c r="D103" s="193"/>
      <c r="E103" s="194" t="s">
        <v>214</v>
      </c>
      <c r="F103" s="195" t="str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196" t="str">
        <f>IFERROR(ROUNDUP(D103/F103,0),"")</f>
        <v/>
      </c>
      <c r="H103" s="197"/>
      <c r="I103" s="193" t="str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</row>
    <row r="104" spans="1:13" ht="21" customHeight="1" x14ac:dyDescent="0.3">
      <c r="A104" s="190"/>
      <c r="B104" s="191"/>
      <c r="C104" s="192"/>
      <c r="D104" s="193"/>
      <c r="E104" s="194" t="s">
        <v>214</v>
      </c>
      <c r="F104" s="195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196" t="str">
        <f>IFERROR(ROUNDUP(D104/F104,0),"")</f>
        <v/>
      </c>
      <c r="H104" s="197"/>
      <c r="I104" s="193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</row>
    <row r="105" spans="1:13" ht="15" customHeight="1" x14ac:dyDescent="0.3">
      <c r="A105" s="198"/>
      <c r="B105" s="199" t="s">
        <v>216</v>
      </c>
      <c r="C105" s="200"/>
      <c r="D105" s="201">
        <f>SUM(D98:D104)</f>
        <v>0</v>
      </c>
      <c r="E105" s="202"/>
      <c r="F105" s="202"/>
      <c r="G105" s="203">
        <f>SUM(G98:G104)</f>
        <v>0</v>
      </c>
      <c r="H105" s="201">
        <f>SUM(H98:H104)</f>
        <v>0</v>
      </c>
      <c r="I105" s="201">
        <f>SUM(I98:I104)</f>
        <v>0</v>
      </c>
      <c r="J105" s="28">
        <f>D105</f>
        <v>0</v>
      </c>
      <c r="K105" s="106">
        <f>G105</f>
        <v>0</v>
      </c>
      <c r="L105" s="28">
        <f>H105</f>
        <v>0</v>
      </c>
      <c r="M105" s="28">
        <f>I105</f>
        <v>0</v>
      </c>
    </row>
    <row r="106" spans="1:13" ht="6" customHeight="1" x14ac:dyDescent="0.3">
      <c r="C106" s="72"/>
    </row>
    <row r="107" spans="1:13" ht="15" customHeight="1" x14ac:dyDescent="0.3">
      <c r="A107" s="30">
        <v>46219</v>
      </c>
      <c r="B107" s="186" t="s">
        <v>78</v>
      </c>
      <c r="C107" s="187" t="s">
        <v>205</v>
      </c>
      <c r="D107" s="188" t="s">
        <v>206</v>
      </c>
      <c r="E107" s="188" t="s">
        <v>207</v>
      </c>
      <c r="F107" s="189" t="s">
        <v>208</v>
      </c>
      <c r="G107" s="188" t="s">
        <v>209</v>
      </c>
      <c r="H107" s="188" t="s">
        <v>210</v>
      </c>
      <c r="I107" s="188" t="s">
        <v>211</v>
      </c>
    </row>
    <row r="108" spans="1:13" ht="21" customHeight="1" x14ac:dyDescent="0.3">
      <c r="A108" s="190"/>
      <c r="B108" s="191"/>
      <c r="C108" s="192"/>
      <c r="D108" s="193"/>
      <c r="E108" s="194" t="s">
        <v>214</v>
      </c>
      <c r="F108" s="195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196" t="str">
        <f>IFERROR(ROUNDUP(D108/F108,0),"")</f>
        <v/>
      </c>
      <c r="H108" s="197"/>
      <c r="I108" s="193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</row>
    <row r="109" spans="1:13" ht="21" customHeight="1" x14ac:dyDescent="0.3">
      <c r="A109" s="190"/>
      <c r="B109" s="191"/>
      <c r="C109" s="192"/>
      <c r="D109" s="193"/>
      <c r="E109" s="194" t="s">
        <v>214</v>
      </c>
      <c r="F109" s="195" t="str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196" t="str">
        <f>IFERROR(ROUNDUP(D109/F109,0),"")</f>
        <v/>
      </c>
      <c r="H109" s="197"/>
      <c r="I109" s="193" t="str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</row>
    <row r="110" spans="1:13" ht="21" customHeight="1" x14ac:dyDescent="0.3">
      <c r="A110" s="190"/>
      <c r="B110" s="191"/>
      <c r="C110" s="192"/>
      <c r="D110" s="193"/>
      <c r="E110" s="194" t="s">
        <v>214</v>
      </c>
      <c r="F110" s="195" t="str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196" t="str">
        <f>IFERROR(ROUNDUP(D110/F110,0),"")</f>
        <v/>
      </c>
      <c r="H110" s="197"/>
      <c r="I110" s="193" t="str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</row>
    <row r="111" spans="1:13" ht="21" customHeight="1" x14ac:dyDescent="0.3">
      <c r="A111" s="190"/>
      <c r="B111" s="191"/>
      <c r="C111" s="192"/>
      <c r="D111" s="193"/>
      <c r="E111" s="194" t="s">
        <v>214</v>
      </c>
      <c r="F111" s="195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196" t="str">
        <f>IFERROR(ROUNDUP(D111/F111,0),"")</f>
        <v/>
      </c>
      <c r="H111" s="197"/>
      <c r="I111" s="193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3">
      <c r="A112" s="190"/>
      <c r="B112" s="191"/>
      <c r="C112" s="192"/>
      <c r="D112" s="193"/>
      <c r="E112" s="194" t="s">
        <v>214</v>
      </c>
      <c r="F112" s="195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196" t="str">
        <f>IFERROR(ROUNDUP(D112/F112,0),"")</f>
        <v/>
      </c>
      <c r="H112" s="197"/>
      <c r="I112" s="193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15" customHeight="1" x14ac:dyDescent="0.3">
      <c r="A113" s="198"/>
      <c r="B113" s="199" t="s">
        <v>216</v>
      </c>
      <c r="C113" s="200"/>
      <c r="D113" s="201">
        <f>SUM(D106:D112)</f>
        <v>0</v>
      </c>
      <c r="E113" s="202"/>
      <c r="F113" s="202"/>
      <c r="G113" s="203">
        <f>SUM(G106:G112)</f>
        <v>0</v>
      </c>
      <c r="H113" s="201">
        <f>SUM(H106:H112)</f>
        <v>0</v>
      </c>
      <c r="I113" s="201">
        <f>SUM(I106:I112)</f>
        <v>0</v>
      </c>
      <c r="J113" s="28">
        <f>D113</f>
        <v>0</v>
      </c>
      <c r="K113" s="106">
        <f>G113</f>
        <v>0</v>
      </c>
      <c r="L113" s="28">
        <f>H113</f>
        <v>0</v>
      </c>
      <c r="M113" s="28">
        <f>I113</f>
        <v>0</v>
      </c>
    </row>
    <row r="114" spans="1:13" ht="6" customHeight="1" x14ac:dyDescent="0.3">
      <c r="C114" s="72"/>
    </row>
    <row r="115" spans="1:13" ht="15" customHeight="1" x14ac:dyDescent="0.3">
      <c r="A115" s="30">
        <v>46220</v>
      </c>
      <c r="B115" s="186" t="s">
        <v>78</v>
      </c>
      <c r="C115" s="187" t="s">
        <v>205</v>
      </c>
      <c r="D115" s="188" t="s">
        <v>206</v>
      </c>
      <c r="E115" s="188" t="s">
        <v>207</v>
      </c>
      <c r="F115" s="189" t="s">
        <v>208</v>
      </c>
      <c r="G115" s="188" t="s">
        <v>209</v>
      </c>
      <c r="H115" s="188" t="s">
        <v>210</v>
      </c>
      <c r="I115" s="188" t="s">
        <v>211</v>
      </c>
    </row>
    <row r="116" spans="1:13" ht="21" customHeight="1" x14ac:dyDescent="0.3">
      <c r="A116" s="190"/>
      <c r="B116" s="191"/>
      <c r="C116" s="192"/>
      <c r="D116" s="193"/>
      <c r="E116" s="194" t="s">
        <v>214</v>
      </c>
      <c r="F116" s="195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196" t="str">
        <f>IFERROR(ROUNDUP(D116/F116,0),"")</f>
        <v/>
      </c>
      <c r="H116" s="197"/>
      <c r="I116" s="193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</row>
    <row r="117" spans="1:13" ht="21" customHeight="1" x14ac:dyDescent="0.3">
      <c r="A117" s="190"/>
      <c r="B117" s="191"/>
      <c r="C117" s="192"/>
      <c r="D117" s="193"/>
      <c r="E117" s="194" t="s">
        <v>214</v>
      </c>
      <c r="F117" s="195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196" t="str">
        <f>IFERROR(ROUNDUP(D117/F117,0),"")</f>
        <v/>
      </c>
      <c r="H117" s="197"/>
      <c r="I117" s="193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</row>
    <row r="118" spans="1:13" ht="21" customHeight="1" x14ac:dyDescent="0.3">
      <c r="A118" s="190"/>
      <c r="B118" s="191"/>
      <c r="C118" s="192"/>
      <c r="D118" s="193"/>
      <c r="E118" s="194" t="s">
        <v>214</v>
      </c>
      <c r="F118" s="195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196" t="str">
        <f>IFERROR(ROUNDUP(D118/F118,0),"")</f>
        <v/>
      </c>
      <c r="H118" s="197"/>
      <c r="I118" s="193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</row>
    <row r="119" spans="1:13" ht="21" customHeight="1" x14ac:dyDescent="0.3">
      <c r="A119" s="190"/>
      <c r="B119" s="191"/>
      <c r="C119" s="192"/>
      <c r="D119" s="193"/>
      <c r="E119" s="194" t="s">
        <v>214</v>
      </c>
      <c r="F119" s="195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196" t="str">
        <f>IFERROR(ROUNDUP(D119/F119,0),"")</f>
        <v/>
      </c>
      <c r="H119" s="197"/>
      <c r="I119" s="193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</row>
    <row r="120" spans="1:13" ht="21" customHeight="1" x14ac:dyDescent="0.3">
      <c r="A120" s="190"/>
      <c r="B120" s="191"/>
      <c r="C120" s="192"/>
      <c r="D120" s="193"/>
      <c r="E120" s="194" t="s">
        <v>214</v>
      </c>
      <c r="F120" s="195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196" t="str">
        <f>IFERROR(ROUNDUP(D120/F120,0),"")</f>
        <v/>
      </c>
      <c r="H120" s="197"/>
      <c r="I120" s="193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</row>
    <row r="121" spans="1:13" ht="15" customHeight="1" x14ac:dyDescent="0.3">
      <c r="A121" s="198"/>
      <c r="B121" s="199" t="s">
        <v>216</v>
      </c>
      <c r="C121" s="200"/>
      <c r="D121" s="201">
        <f>SUM(D114:D120)</f>
        <v>0</v>
      </c>
      <c r="E121" s="202"/>
      <c r="F121" s="202"/>
      <c r="G121" s="203">
        <f>SUM(G114:G120)</f>
        <v>0</v>
      </c>
      <c r="H121" s="201">
        <f>SUM(H114:H120)</f>
        <v>0</v>
      </c>
      <c r="I121" s="201">
        <f>SUM(I114:I120)</f>
        <v>0</v>
      </c>
      <c r="J121" s="28">
        <f>D121</f>
        <v>0</v>
      </c>
      <c r="K121" s="106">
        <f>G121</f>
        <v>0</v>
      </c>
      <c r="L121" s="28">
        <f>H121</f>
        <v>0</v>
      </c>
      <c r="M121" s="28">
        <f>I121</f>
        <v>0</v>
      </c>
    </row>
    <row r="122" spans="1:13" ht="6" customHeight="1" x14ac:dyDescent="0.3">
      <c r="C122" s="72"/>
    </row>
    <row r="123" spans="1:13" ht="15" customHeight="1" x14ac:dyDescent="0.3">
      <c r="A123" s="235">
        <v>46221</v>
      </c>
      <c r="B123" s="186" t="s">
        <v>78</v>
      </c>
      <c r="C123" s="187" t="s">
        <v>205</v>
      </c>
      <c r="D123" s="188" t="s">
        <v>206</v>
      </c>
      <c r="E123" s="188" t="s">
        <v>207</v>
      </c>
      <c r="F123" s="236" t="s">
        <v>208</v>
      </c>
      <c r="G123" s="188" t="s">
        <v>209</v>
      </c>
      <c r="H123" s="188" t="s">
        <v>210</v>
      </c>
      <c r="I123" s="188" t="s">
        <v>211</v>
      </c>
      <c r="J123" s="237"/>
      <c r="K123" s="237"/>
      <c r="L123" s="237"/>
      <c r="M123" s="237"/>
    </row>
    <row r="124" spans="1:13" ht="21" customHeight="1" x14ac:dyDescent="0.3">
      <c r="A124" s="190"/>
      <c r="B124" s="238"/>
      <c r="C124" s="239"/>
      <c r="D124" s="240"/>
      <c r="E124" s="241" t="s">
        <v>214</v>
      </c>
      <c r="F124" s="242" t="str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243" t="str">
        <f>IFERROR(ROUNDUP(D124/F124,0),"")</f>
        <v/>
      </c>
      <c r="H124" s="197"/>
      <c r="I124" s="240" t="str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  <c r="J124" s="237"/>
      <c r="K124" s="237"/>
      <c r="L124" s="237"/>
      <c r="M124" s="237"/>
    </row>
    <row r="125" spans="1:13" ht="21" customHeight="1" x14ac:dyDescent="0.3">
      <c r="A125" s="190"/>
      <c r="B125" s="238"/>
      <c r="C125" s="239"/>
      <c r="D125" s="240"/>
      <c r="E125" s="241" t="s">
        <v>214</v>
      </c>
      <c r="F125" s="242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243" t="str">
        <f>IFERROR(ROUNDUP(D125/F125,0),"")</f>
        <v/>
      </c>
      <c r="H125" s="197"/>
      <c r="I125" s="240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  <c r="J125" s="237"/>
      <c r="K125" s="237"/>
      <c r="L125" s="237"/>
      <c r="M125" s="237"/>
    </row>
    <row r="126" spans="1:13" ht="21" customHeight="1" x14ac:dyDescent="0.3">
      <c r="A126" s="190"/>
      <c r="B126" s="238"/>
      <c r="C126" s="239"/>
      <c r="D126" s="240"/>
      <c r="E126" s="241" t="s">
        <v>214</v>
      </c>
      <c r="F126" s="242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243" t="str">
        <f>IFERROR(ROUNDUP(D126/F126,0),"")</f>
        <v/>
      </c>
      <c r="H126" s="197"/>
      <c r="I126" s="240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  <c r="J126" s="237"/>
      <c r="K126" s="237"/>
      <c r="L126" s="237"/>
      <c r="M126" s="237"/>
    </row>
    <row r="127" spans="1:13" ht="21" customHeight="1" x14ac:dyDescent="0.3">
      <c r="A127" s="190"/>
      <c r="B127" s="238"/>
      <c r="C127" s="239"/>
      <c r="D127" s="240"/>
      <c r="E127" s="241" t="s">
        <v>214</v>
      </c>
      <c r="F127" s="242" t="str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243" t="str">
        <f>IFERROR(ROUNDUP(D127/F127,0),"")</f>
        <v/>
      </c>
      <c r="H127" s="197"/>
      <c r="I127" s="240" t="str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  <c r="J127" s="237"/>
      <c r="K127" s="237"/>
      <c r="L127" s="237"/>
      <c r="M127" s="237"/>
    </row>
    <row r="128" spans="1:13" ht="21" customHeight="1" x14ac:dyDescent="0.3">
      <c r="A128" s="190"/>
      <c r="B128" s="238"/>
      <c r="C128" s="239"/>
      <c r="D128" s="240"/>
      <c r="E128" s="241" t="s">
        <v>214</v>
      </c>
      <c r="F128" s="242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243" t="str">
        <f>IFERROR(ROUNDUP(D128/F128,0),"")</f>
        <v/>
      </c>
      <c r="H128" s="197"/>
      <c r="I128" s="240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  <c r="J128" s="237"/>
      <c r="K128" s="237"/>
      <c r="L128" s="237"/>
      <c r="M128" s="237"/>
    </row>
    <row r="129" spans="1:13" ht="15" customHeight="1" x14ac:dyDescent="0.3">
      <c r="A129" s="244"/>
      <c r="B129" s="199" t="s">
        <v>216</v>
      </c>
      <c r="C129" s="245"/>
      <c r="D129" s="201">
        <f>SUM(D122:D128)</f>
        <v>0</v>
      </c>
      <c r="E129" s="246"/>
      <c r="F129" s="246"/>
      <c r="G129" s="203">
        <f>SUM(G122:G128)</f>
        <v>0</v>
      </c>
      <c r="H129" s="201">
        <f>SUM(H122:H128)</f>
        <v>0</v>
      </c>
      <c r="I129" s="201">
        <f>SUM(I122:I128)</f>
        <v>0</v>
      </c>
      <c r="J129" s="247">
        <f>D129</f>
        <v>0</v>
      </c>
      <c r="K129" s="248">
        <f>G129</f>
        <v>0</v>
      </c>
      <c r="L129" s="247">
        <f>H129</f>
        <v>0</v>
      </c>
      <c r="M129" s="247">
        <f>I129</f>
        <v>0</v>
      </c>
    </row>
    <row r="130" spans="1:13" ht="6" customHeight="1" x14ac:dyDescent="0.3">
      <c r="A130" s="237"/>
      <c r="B130" s="237"/>
      <c r="C130" s="249"/>
      <c r="D130" s="237"/>
      <c r="E130" s="237"/>
      <c r="F130" s="237"/>
      <c r="G130" s="237"/>
      <c r="H130" s="237"/>
      <c r="I130" s="237"/>
      <c r="J130" s="237"/>
      <c r="K130" s="237"/>
      <c r="L130" s="237"/>
      <c r="M130" s="237"/>
    </row>
    <row r="131" spans="1:13" ht="15" customHeight="1" x14ac:dyDescent="0.3">
      <c r="A131" s="30">
        <v>46223</v>
      </c>
      <c r="B131" s="186" t="s">
        <v>78</v>
      </c>
      <c r="C131" s="187" t="s">
        <v>205</v>
      </c>
      <c r="D131" s="188" t="s">
        <v>206</v>
      </c>
      <c r="E131" s="188" t="s">
        <v>207</v>
      </c>
      <c r="F131" s="189" t="s">
        <v>208</v>
      </c>
      <c r="G131" s="188" t="s">
        <v>209</v>
      </c>
      <c r="H131" s="188" t="s">
        <v>210</v>
      </c>
      <c r="I131" s="188" t="s">
        <v>211</v>
      </c>
    </row>
    <row r="132" spans="1:13" ht="21" customHeight="1" x14ac:dyDescent="0.3">
      <c r="A132" s="190"/>
      <c r="B132" s="191"/>
      <c r="C132" s="192"/>
      <c r="D132" s="193"/>
      <c r="E132" s="194" t="s">
        <v>214</v>
      </c>
      <c r="F132" s="195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196" t="str">
        <f>IFERROR(ROUNDUP(D132/F132,0),"")</f>
        <v/>
      </c>
      <c r="H132" s="197"/>
      <c r="I132" s="193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</row>
    <row r="133" spans="1:13" ht="21" customHeight="1" x14ac:dyDescent="0.3">
      <c r="A133" s="190"/>
      <c r="B133" s="191"/>
      <c r="C133" s="192"/>
      <c r="D133" s="193"/>
      <c r="E133" s="194" t="s">
        <v>214</v>
      </c>
      <c r="F133" s="195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196" t="str">
        <f>IFERROR(ROUNDUP(D133/F133,0),"")</f>
        <v/>
      </c>
      <c r="H133" s="197"/>
      <c r="I133" s="193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</row>
    <row r="134" spans="1:13" ht="21" customHeight="1" x14ac:dyDescent="0.3">
      <c r="A134" s="190"/>
      <c r="B134" s="191"/>
      <c r="C134" s="192"/>
      <c r="D134" s="193"/>
      <c r="E134" s="194" t="s">
        <v>214</v>
      </c>
      <c r="F134" s="195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196" t="str">
        <f>IFERROR(ROUNDUP(D134/F134,0),"")</f>
        <v/>
      </c>
      <c r="H134" s="197"/>
      <c r="I134" s="193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</row>
    <row r="135" spans="1:13" ht="21" customHeight="1" x14ac:dyDescent="0.3">
      <c r="A135" s="190"/>
      <c r="B135" s="191"/>
      <c r="C135" s="192"/>
      <c r="D135" s="193"/>
      <c r="E135" s="194" t="s">
        <v>214</v>
      </c>
      <c r="F135" s="195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196" t="str">
        <f>IFERROR(ROUNDUP(D135/F135,0),"")</f>
        <v/>
      </c>
      <c r="H135" s="197"/>
      <c r="I135" s="193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</row>
    <row r="136" spans="1:13" ht="21" customHeight="1" x14ac:dyDescent="0.3">
      <c r="A136" s="190"/>
      <c r="B136" s="191"/>
      <c r="C136" s="192"/>
      <c r="D136" s="193"/>
      <c r="E136" s="194" t="s">
        <v>214</v>
      </c>
      <c r="F136" s="195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196" t="str">
        <f>IFERROR(ROUNDUP(D136/F136,0),"")</f>
        <v/>
      </c>
      <c r="H136" s="197"/>
      <c r="I136" s="193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</row>
    <row r="137" spans="1:13" ht="15" customHeight="1" x14ac:dyDescent="0.3">
      <c r="A137" s="198"/>
      <c r="B137" s="199" t="s">
        <v>216</v>
      </c>
      <c r="C137" s="200"/>
      <c r="D137" s="201">
        <f>SUM(D130:D136)</f>
        <v>0</v>
      </c>
      <c r="E137" s="202"/>
      <c r="F137" s="202"/>
      <c r="G137" s="203">
        <f>SUM(G130:G136)</f>
        <v>0</v>
      </c>
      <c r="H137" s="201">
        <f>SUM(H130:H136)</f>
        <v>0</v>
      </c>
      <c r="I137" s="201">
        <f>SUM(I130:I136)</f>
        <v>0</v>
      </c>
      <c r="J137" s="28">
        <f>D137</f>
        <v>0</v>
      </c>
      <c r="K137" s="106">
        <f>G137</f>
        <v>0</v>
      </c>
      <c r="L137" s="28">
        <f>H137</f>
        <v>0</v>
      </c>
      <c r="M137" s="28">
        <f>I137</f>
        <v>0</v>
      </c>
    </row>
    <row r="138" spans="1:13" ht="6" customHeight="1" x14ac:dyDescent="0.3">
      <c r="C138" s="72"/>
    </row>
    <row r="139" spans="1:13" ht="15" customHeight="1" x14ac:dyDescent="0.3">
      <c r="A139" s="30">
        <v>46224</v>
      </c>
      <c r="B139" s="186" t="s">
        <v>78</v>
      </c>
      <c r="C139" s="187" t="s">
        <v>205</v>
      </c>
      <c r="D139" s="188" t="s">
        <v>206</v>
      </c>
      <c r="E139" s="188" t="s">
        <v>207</v>
      </c>
      <c r="F139" s="189" t="s">
        <v>208</v>
      </c>
      <c r="G139" s="188" t="s">
        <v>209</v>
      </c>
      <c r="H139" s="188" t="s">
        <v>210</v>
      </c>
      <c r="I139" s="188" t="s">
        <v>211</v>
      </c>
    </row>
    <row r="140" spans="1:13" ht="21" customHeight="1" x14ac:dyDescent="0.3">
      <c r="A140" s="190"/>
      <c r="B140" s="191"/>
      <c r="C140" s="192"/>
      <c r="D140" s="193"/>
      <c r="E140" s="194" t="s">
        <v>214</v>
      </c>
      <c r="F140" s="195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196" t="str">
        <f>IFERROR(ROUNDUP(D140/F140,0),"")</f>
        <v/>
      </c>
      <c r="H140" s="197"/>
      <c r="I140" s="193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</row>
    <row r="141" spans="1:13" ht="21" customHeight="1" x14ac:dyDescent="0.3">
      <c r="A141" s="190"/>
      <c r="B141" s="191"/>
      <c r="C141" s="192"/>
      <c r="D141" s="193"/>
      <c r="E141" s="194" t="s">
        <v>214</v>
      </c>
      <c r="F141" s="195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196" t="str">
        <f>IFERROR(ROUNDUP(D141/F141,0),"")</f>
        <v/>
      </c>
      <c r="H141" s="197"/>
      <c r="I141" s="193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</row>
    <row r="142" spans="1:13" ht="21" customHeight="1" x14ac:dyDescent="0.3">
      <c r="A142" s="190"/>
      <c r="B142" s="191"/>
      <c r="C142" s="192"/>
      <c r="D142" s="193"/>
      <c r="E142" s="194" t="s">
        <v>214</v>
      </c>
      <c r="F142" s="195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196" t="str">
        <f>IFERROR(ROUNDUP(D142/F142,0),"")</f>
        <v/>
      </c>
      <c r="H142" s="197"/>
      <c r="I142" s="193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</row>
    <row r="143" spans="1:13" ht="21" customHeight="1" x14ac:dyDescent="0.3">
      <c r="A143" s="190"/>
      <c r="B143" s="191"/>
      <c r="C143" s="192"/>
      <c r="D143" s="193"/>
      <c r="E143" s="194" t="s">
        <v>214</v>
      </c>
      <c r="F143" s="195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196" t="str">
        <f>IFERROR(ROUNDUP(D143/F143,0),"")</f>
        <v/>
      </c>
      <c r="H143" s="197"/>
      <c r="I143" s="193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</row>
    <row r="144" spans="1:13" ht="21" customHeight="1" x14ac:dyDescent="0.3">
      <c r="A144" s="190"/>
      <c r="B144" s="191"/>
      <c r="C144" s="192"/>
      <c r="D144" s="193"/>
      <c r="E144" s="194" t="s">
        <v>214</v>
      </c>
      <c r="F144" s="195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196" t="str">
        <f>IFERROR(ROUNDUP(D144/F144,0),"")</f>
        <v/>
      </c>
      <c r="H144" s="197"/>
      <c r="I144" s="193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</row>
    <row r="145" spans="1:13" ht="15" customHeight="1" x14ac:dyDescent="0.3">
      <c r="A145" s="198"/>
      <c r="B145" s="199" t="s">
        <v>216</v>
      </c>
      <c r="C145" s="200"/>
      <c r="D145" s="201">
        <f>SUM(D138:D144)</f>
        <v>0</v>
      </c>
      <c r="E145" s="202"/>
      <c r="F145" s="202"/>
      <c r="G145" s="203">
        <f>SUM(G138:G144)</f>
        <v>0</v>
      </c>
      <c r="H145" s="201">
        <f>SUM(H138:H144)</f>
        <v>0</v>
      </c>
      <c r="I145" s="201">
        <f>SUM(I138:I144)</f>
        <v>0</v>
      </c>
      <c r="J145" s="28">
        <f>D145</f>
        <v>0</v>
      </c>
      <c r="K145" s="106">
        <f>G145</f>
        <v>0</v>
      </c>
      <c r="L145" s="28">
        <f>H145</f>
        <v>0</v>
      </c>
      <c r="M145" s="28">
        <f>I145</f>
        <v>0</v>
      </c>
    </row>
    <row r="146" spans="1:13" ht="6" customHeight="1" x14ac:dyDescent="0.3">
      <c r="C146" s="72"/>
    </row>
    <row r="147" spans="1:13" ht="15" customHeight="1" x14ac:dyDescent="0.3">
      <c r="A147" s="30">
        <v>46225</v>
      </c>
      <c r="B147" s="186" t="s">
        <v>78</v>
      </c>
      <c r="C147" s="187" t="s">
        <v>205</v>
      </c>
      <c r="D147" s="188" t="s">
        <v>206</v>
      </c>
      <c r="E147" s="188" t="s">
        <v>207</v>
      </c>
      <c r="F147" s="189" t="s">
        <v>208</v>
      </c>
      <c r="G147" s="188" t="s">
        <v>209</v>
      </c>
      <c r="H147" s="188" t="s">
        <v>210</v>
      </c>
      <c r="I147" s="188" t="s">
        <v>211</v>
      </c>
    </row>
    <row r="148" spans="1:13" ht="21" customHeight="1" x14ac:dyDescent="0.3">
      <c r="A148" s="190"/>
      <c r="B148" s="191"/>
      <c r="C148" s="192"/>
      <c r="D148" s="193"/>
      <c r="E148" s="194" t="s">
        <v>214</v>
      </c>
      <c r="F148" s="195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196" t="str">
        <f>IFERROR(ROUNDUP(D148/F148,0),"")</f>
        <v/>
      </c>
      <c r="H148" s="197"/>
      <c r="I148" s="193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</row>
    <row r="149" spans="1:13" ht="21" customHeight="1" x14ac:dyDescent="0.3">
      <c r="A149" s="190"/>
      <c r="B149" s="191"/>
      <c r="C149" s="192"/>
      <c r="D149" s="193"/>
      <c r="E149" s="194" t="s">
        <v>214</v>
      </c>
      <c r="F149" s="195" t="str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196" t="str">
        <f>IFERROR(ROUNDUP(D149/F149,0),"")</f>
        <v/>
      </c>
      <c r="H149" s="197"/>
      <c r="I149" s="193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</row>
    <row r="150" spans="1:13" ht="21" customHeight="1" x14ac:dyDescent="0.3">
      <c r="A150" s="190"/>
      <c r="B150" s="191"/>
      <c r="C150" s="192"/>
      <c r="D150" s="193"/>
      <c r="E150" s="194" t="s">
        <v>214</v>
      </c>
      <c r="F150" s="195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196" t="str">
        <f>IFERROR(ROUNDUP(D150/F150,0),"")</f>
        <v/>
      </c>
      <c r="H150" s="197"/>
      <c r="I150" s="193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</row>
    <row r="151" spans="1:13" ht="21" customHeight="1" x14ac:dyDescent="0.3">
      <c r="A151" s="190"/>
      <c r="B151" s="191"/>
      <c r="C151" s="192"/>
      <c r="D151" s="193"/>
      <c r="E151" s="194" t="s">
        <v>214</v>
      </c>
      <c r="F151" s="195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196" t="str">
        <f>IFERROR(ROUNDUP(D151/F151,0),"")</f>
        <v/>
      </c>
      <c r="H151" s="197"/>
      <c r="I151" s="193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</row>
    <row r="152" spans="1:13" ht="21" customHeight="1" x14ac:dyDescent="0.3">
      <c r="A152" s="190"/>
      <c r="B152" s="191"/>
      <c r="C152" s="192"/>
      <c r="D152" s="193"/>
      <c r="E152" s="194" t="s">
        <v>214</v>
      </c>
      <c r="F152" s="195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196" t="str">
        <f>IFERROR(ROUNDUP(D152/F152,0),"")</f>
        <v/>
      </c>
      <c r="H152" s="197"/>
      <c r="I152" s="193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</row>
    <row r="153" spans="1:13" ht="15" customHeight="1" x14ac:dyDescent="0.3">
      <c r="A153" s="198"/>
      <c r="B153" s="199" t="s">
        <v>216</v>
      </c>
      <c r="C153" s="200"/>
      <c r="D153" s="201">
        <f>SUM(D146:D152)</f>
        <v>0</v>
      </c>
      <c r="E153" s="202"/>
      <c r="F153" s="202"/>
      <c r="G153" s="203">
        <f>SUM(G146:G152)</f>
        <v>0</v>
      </c>
      <c r="H153" s="201">
        <f>SUM(H146:H152)</f>
        <v>0</v>
      </c>
      <c r="I153" s="201">
        <f>SUM(I146:I152)</f>
        <v>0</v>
      </c>
      <c r="J153" s="28">
        <f>D153</f>
        <v>0</v>
      </c>
      <c r="K153" s="106">
        <f>G153</f>
        <v>0</v>
      </c>
      <c r="L153" s="28">
        <f>H153</f>
        <v>0</v>
      </c>
      <c r="M153" s="28">
        <f>I153</f>
        <v>0</v>
      </c>
    </row>
    <row r="154" spans="1:13" ht="6" customHeight="1" x14ac:dyDescent="0.3">
      <c r="C154" s="72"/>
    </row>
    <row r="155" spans="1:13" ht="15" customHeight="1" x14ac:dyDescent="0.3">
      <c r="A155" s="30">
        <v>46226</v>
      </c>
      <c r="B155" s="186" t="s">
        <v>78</v>
      </c>
      <c r="C155" s="187" t="s">
        <v>205</v>
      </c>
      <c r="D155" s="188" t="s">
        <v>206</v>
      </c>
      <c r="E155" s="188" t="s">
        <v>207</v>
      </c>
      <c r="F155" s="189" t="s">
        <v>208</v>
      </c>
      <c r="G155" s="188" t="s">
        <v>209</v>
      </c>
      <c r="H155" s="188" t="s">
        <v>210</v>
      </c>
      <c r="I155" s="188" t="s">
        <v>211</v>
      </c>
    </row>
    <row r="156" spans="1:13" ht="21" customHeight="1" x14ac:dyDescent="0.3">
      <c r="A156" s="190"/>
      <c r="B156" s="191"/>
      <c r="C156" s="192"/>
      <c r="D156" s="193"/>
      <c r="E156" s="194" t="s">
        <v>214</v>
      </c>
      <c r="F156" s="195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196" t="str">
        <f>IFERROR(ROUNDUP(D156/F156,0),"")</f>
        <v/>
      </c>
      <c r="H156" s="197"/>
      <c r="I156" s="193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21" customHeight="1" x14ac:dyDescent="0.3">
      <c r="A157" s="190"/>
      <c r="B157" s="191"/>
      <c r="C157" s="192"/>
      <c r="D157" s="193"/>
      <c r="E157" s="194" t="s">
        <v>214</v>
      </c>
      <c r="F157" s="195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196" t="str">
        <f>IFERROR(ROUNDUP(D157/F157,0),"")</f>
        <v/>
      </c>
      <c r="H157" s="197"/>
      <c r="I157" s="193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</row>
    <row r="158" spans="1:13" ht="21" customHeight="1" x14ac:dyDescent="0.3">
      <c r="A158" s="190"/>
      <c r="B158" s="191"/>
      <c r="C158" s="192"/>
      <c r="D158" s="193"/>
      <c r="E158" s="194" t="s">
        <v>214</v>
      </c>
      <c r="F158" s="195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196" t="str">
        <f>IFERROR(ROUNDUP(D158/F158,0),"")</f>
        <v/>
      </c>
      <c r="H158" s="197"/>
      <c r="I158" s="193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</row>
    <row r="159" spans="1:13" ht="21" customHeight="1" x14ac:dyDescent="0.3">
      <c r="A159" s="190"/>
      <c r="B159" s="191"/>
      <c r="C159" s="192"/>
      <c r="D159" s="193"/>
      <c r="E159" s="194" t="s">
        <v>214</v>
      </c>
      <c r="F159" s="195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196" t="str">
        <f>IFERROR(ROUNDUP(D159/F159,0),"")</f>
        <v/>
      </c>
      <c r="H159" s="197"/>
      <c r="I159" s="193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3">
      <c r="A160" s="190"/>
      <c r="B160" s="191"/>
      <c r="C160" s="192"/>
      <c r="D160" s="193"/>
      <c r="E160" s="194" t="s">
        <v>214</v>
      </c>
      <c r="F160" s="195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196" t="str">
        <f>IFERROR(ROUNDUP(D160/F160,0),"")</f>
        <v/>
      </c>
      <c r="H160" s="197"/>
      <c r="I160" s="193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15" customHeight="1" x14ac:dyDescent="0.3">
      <c r="A161" s="198"/>
      <c r="B161" s="199" t="s">
        <v>216</v>
      </c>
      <c r="C161" s="200"/>
      <c r="D161" s="201">
        <f>SUM(D154:D160)</f>
        <v>0</v>
      </c>
      <c r="E161" s="202"/>
      <c r="F161" s="202"/>
      <c r="G161" s="203">
        <f>SUM(G154:G160)</f>
        <v>0</v>
      </c>
      <c r="H161" s="201">
        <f>SUM(H154:H160)</f>
        <v>0</v>
      </c>
      <c r="I161" s="201">
        <f>SUM(I154:I160)</f>
        <v>0</v>
      </c>
      <c r="J161" s="28">
        <f>D161</f>
        <v>0</v>
      </c>
      <c r="K161" s="106">
        <f>G161</f>
        <v>0</v>
      </c>
      <c r="L161" s="28">
        <f>H161</f>
        <v>0</v>
      </c>
      <c r="M161" s="28">
        <f>I161</f>
        <v>0</v>
      </c>
    </row>
    <row r="162" spans="1:13" ht="6" customHeight="1" x14ac:dyDescent="0.3">
      <c r="C162" s="72"/>
    </row>
    <row r="163" spans="1:13" ht="15" customHeight="1" x14ac:dyDescent="0.3">
      <c r="A163" s="30">
        <v>46227</v>
      </c>
      <c r="B163" s="186" t="s">
        <v>78</v>
      </c>
      <c r="C163" s="187" t="s">
        <v>205</v>
      </c>
      <c r="D163" s="188" t="s">
        <v>206</v>
      </c>
      <c r="E163" s="188" t="s">
        <v>207</v>
      </c>
      <c r="F163" s="189" t="s">
        <v>208</v>
      </c>
      <c r="G163" s="188" t="s">
        <v>209</v>
      </c>
      <c r="H163" s="188" t="s">
        <v>210</v>
      </c>
      <c r="I163" s="188" t="s">
        <v>211</v>
      </c>
    </row>
    <row r="164" spans="1:13" ht="21" customHeight="1" x14ac:dyDescent="0.3">
      <c r="A164" s="190"/>
      <c r="B164" s="191"/>
      <c r="C164" s="192"/>
      <c r="D164" s="193"/>
      <c r="E164" s="194" t="s">
        <v>214</v>
      </c>
      <c r="F164" s="195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196" t="str">
        <f>IFERROR(ROUNDUP(D164/F164,0),"")</f>
        <v/>
      </c>
      <c r="H164" s="197"/>
      <c r="I164" s="193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</row>
    <row r="165" spans="1:13" ht="21" customHeight="1" x14ac:dyDescent="0.3">
      <c r="A165" s="190"/>
      <c r="B165" s="191"/>
      <c r="C165" s="192"/>
      <c r="D165" s="193"/>
      <c r="E165" s="194" t="s">
        <v>214</v>
      </c>
      <c r="F165" s="195" t="str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196" t="str">
        <f>IFERROR(ROUNDUP(D165/F165,0),"")</f>
        <v/>
      </c>
      <c r="H165" s="197"/>
      <c r="I165" s="193" t="str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</row>
    <row r="166" spans="1:13" ht="21" customHeight="1" x14ac:dyDescent="0.3">
      <c r="A166" s="190"/>
      <c r="B166" s="191"/>
      <c r="C166" s="192"/>
      <c r="D166" s="193"/>
      <c r="E166" s="194" t="s">
        <v>214</v>
      </c>
      <c r="F166" s="195" t="str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196" t="str">
        <f>IFERROR(ROUNDUP(D166/F166,0),"")</f>
        <v/>
      </c>
      <c r="H166" s="197"/>
      <c r="I166" s="193" t="str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</row>
    <row r="167" spans="1:13" ht="21" customHeight="1" x14ac:dyDescent="0.3">
      <c r="A167" s="190"/>
      <c r="B167" s="191"/>
      <c r="C167" s="192"/>
      <c r="D167" s="193"/>
      <c r="E167" s="194" t="s">
        <v>214</v>
      </c>
      <c r="F167" s="195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196" t="str">
        <f>IFERROR(ROUNDUP(D167/F167,0),"")</f>
        <v/>
      </c>
      <c r="H167" s="197"/>
      <c r="I167" s="193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</row>
    <row r="168" spans="1:13" ht="21" customHeight="1" x14ac:dyDescent="0.3">
      <c r="A168" s="190"/>
      <c r="B168" s="191"/>
      <c r="C168" s="192"/>
      <c r="D168" s="193"/>
      <c r="E168" s="194" t="s">
        <v>214</v>
      </c>
      <c r="F168" s="195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196" t="str">
        <f>IFERROR(ROUNDUP(D168/F168,0),"")</f>
        <v/>
      </c>
      <c r="H168" s="197"/>
      <c r="I168" s="193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</row>
    <row r="169" spans="1:13" ht="15" customHeight="1" x14ac:dyDescent="0.3">
      <c r="A169" s="198"/>
      <c r="B169" s="199" t="s">
        <v>216</v>
      </c>
      <c r="C169" s="200"/>
      <c r="D169" s="201">
        <f>SUM(D162:D168)</f>
        <v>0</v>
      </c>
      <c r="E169" s="202"/>
      <c r="F169" s="202"/>
      <c r="G169" s="203">
        <f>SUM(G162:G168)</f>
        <v>0</v>
      </c>
      <c r="H169" s="201">
        <f>SUM(H162:H168)</f>
        <v>0</v>
      </c>
      <c r="I169" s="201">
        <f>SUM(I162:I168)</f>
        <v>0</v>
      </c>
      <c r="J169" s="28">
        <f>D169</f>
        <v>0</v>
      </c>
      <c r="K169" s="106">
        <f>G169</f>
        <v>0</v>
      </c>
      <c r="L169" s="28">
        <f>H169</f>
        <v>0</v>
      </c>
      <c r="M169" s="28">
        <f>I169</f>
        <v>0</v>
      </c>
    </row>
    <row r="170" spans="1:13" ht="6" customHeight="1" x14ac:dyDescent="0.3">
      <c r="C170" s="72"/>
    </row>
    <row r="171" spans="1:13" ht="15" customHeight="1" x14ac:dyDescent="0.3">
      <c r="A171" s="235">
        <v>46228</v>
      </c>
      <c r="B171" s="186" t="s">
        <v>78</v>
      </c>
      <c r="C171" s="187" t="s">
        <v>205</v>
      </c>
      <c r="D171" s="188" t="s">
        <v>206</v>
      </c>
      <c r="E171" s="188" t="s">
        <v>207</v>
      </c>
      <c r="F171" s="236" t="s">
        <v>208</v>
      </c>
      <c r="G171" s="188" t="s">
        <v>209</v>
      </c>
      <c r="H171" s="188" t="s">
        <v>210</v>
      </c>
      <c r="I171" s="188" t="s">
        <v>211</v>
      </c>
      <c r="J171" s="237"/>
      <c r="K171" s="237"/>
      <c r="L171" s="237"/>
      <c r="M171" s="237"/>
    </row>
    <row r="172" spans="1:13" ht="21" customHeight="1" x14ac:dyDescent="0.3">
      <c r="A172" s="190"/>
      <c r="B172" s="238"/>
      <c r="C172" s="239"/>
      <c r="D172" s="240"/>
      <c r="E172" s="241" t="s">
        <v>214</v>
      </c>
      <c r="F172" s="242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243" t="str">
        <f>IFERROR(ROUNDUP(D172/F172,0),"")</f>
        <v/>
      </c>
      <c r="H172" s="197"/>
      <c r="I172" s="240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  <c r="J172" s="237"/>
      <c r="K172" s="237"/>
      <c r="L172" s="237"/>
      <c r="M172" s="237"/>
    </row>
    <row r="173" spans="1:13" ht="21" customHeight="1" x14ac:dyDescent="0.3">
      <c r="A173" s="190"/>
      <c r="B173" s="238"/>
      <c r="C173" s="239"/>
      <c r="D173" s="240"/>
      <c r="E173" s="241" t="s">
        <v>214</v>
      </c>
      <c r="F173" s="242" t="str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243" t="str">
        <f>IFERROR(ROUNDUP(D173/F173,0),"")</f>
        <v/>
      </c>
      <c r="H173" s="197"/>
      <c r="I173" s="240" t="str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  <c r="J173" s="237"/>
      <c r="K173" s="237"/>
      <c r="L173" s="237"/>
      <c r="M173" s="237"/>
    </row>
    <row r="174" spans="1:13" ht="21" customHeight="1" x14ac:dyDescent="0.3">
      <c r="A174" s="190"/>
      <c r="B174" s="238"/>
      <c r="C174" s="239"/>
      <c r="D174" s="240"/>
      <c r="E174" s="241" t="s">
        <v>214</v>
      </c>
      <c r="F174" s="242" t="str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243" t="str">
        <f>IFERROR(ROUNDUP(D174/F174,0),"")</f>
        <v/>
      </c>
      <c r="H174" s="197"/>
      <c r="I174" s="240" t="str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  <c r="J174" s="237"/>
      <c r="K174" s="237"/>
      <c r="L174" s="237"/>
      <c r="M174" s="237"/>
    </row>
    <row r="175" spans="1:13" ht="21" customHeight="1" x14ac:dyDescent="0.3">
      <c r="A175" s="190"/>
      <c r="B175" s="238"/>
      <c r="C175" s="239"/>
      <c r="D175" s="240"/>
      <c r="E175" s="241" t="s">
        <v>214</v>
      </c>
      <c r="F175" s="242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243" t="str">
        <f>IFERROR(ROUNDUP(D175/F175,0),"")</f>
        <v/>
      </c>
      <c r="H175" s="197"/>
      <c r="I175" s="240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  <c r="J175" s="237"/>
      <c r="K175" s="237"/>
      <c r="L175" s="237"/>
      <c r="M175" s="237"/>
    </row>
    <row r="176" spans="1:13" ht="21" customHeight="1" x14ac:dyDescent="0.3">
      <c r="A176" s="190"/>
      <c r="B176" s="238"/>
      <c r="C176" s="239"/>
      <c r="D176" s="240"/>
      <c r="E176" s="241" t="s">
        <v>214</v>
      </c>
      <c r="F176" s="242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243" t="str">
        <f>IFERROR(ROUNDUP(D176/F176,0),"")</f>
        <v/>
      </c>
      <c r="H176" s="197"/>
      <c r="I176" s="240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  <c r="J176" s="237"/>
      <c r="K176" s="237"/>
      <c r="L176" s="237"/>
      <c r="M176" s="237"/>
    </row>
    <row r="177" spans="1:13" ht="15" customHeight="1" x14ac:dyDescent="0.3">
      <c r="A177" s="244"/>
      <c r="B177" s="199" t="s">
        <v>216</v>
      </c>
      <c r="C177" s="245"/>
      <c r="D177" s="201">
        <f>SUM(D170:D176)</f>
        <v>0</v>
      </c>
      <c r="E177" s="246"/>
      <c r="F177" s="246"/>
      <c r="G177" s="203">
        <f>SUM(G170:G176)</f>
        <v>0</v>
      </c>
      <c r="H177" s="201">
        <f>SUM(H170:H176)</f>
        <v>0</v>
      </c>
      <c r="I177" s="201">
        <f>SUM(I170:I176)</f>
        <v>0</v>
      </c>
      <c r="J177" s="247">
        <f>D177</f>
        <v>0</v>
      </c>
      <c r="K177" s="248">
        <f>G177</f>
        <v>0</v>
      </c>
      <c r="L177" s="247">
        <f>H177</f>
        <v>0</v>
      </c>
      <c r="M177" s="247">
        <f>I177</f>
        <v>0</v>
      </c>
    </row>
    <row r="178" spans="1:13" ht="6" customHeight="1" x14ac:dyDescent="0.3">
      <c r="A178" s="237"/>
      <c r="B178" s="237"/>
      <c r="C178" s="249"/>
      <c r="D178" s="237"/>
      <c r="E178" s="237"/>
      <c r="F178" s="237"/>
      <c r="G178" s="237"/>
      <c r="H178" s="237"/>
      <c r="I178" s="237"/>
      <c r="J178" s="237"/>
      <c r="K178" s="237"/>
      <c r="L178" s="237"/>
      <c r="M178" s="237"/>
    </row>
    <row r="179" spans="1:13" ht="15" customHeight="1" x14ac:dyDescent="0.3">
      <c r="A179" s="30">
        <v>46230</v>
      </c>
      <c r="B179" s="186" t="s">
        <v>78</v>
      </c>
      <c r="C179" s="187" t="s">
        <v>205</v>
      </c>
      <c r="D179" s="188" t="s">
        <v>206</v>
      </c>
      <c r="E179" s="188" t="s">
        <v>207</v>
      </c>
      <c r="F179" s="189" t="s">
        <v>208</v>
      </c>
      <c r="G179" s="188" t="s">
        <v>209</v>
      </c>
      <c r="H179" s="188" t="s">
        <v>210</v>
      </c>
      <c r="I179" s="188" t="s">
        <v>211</v>
      </c>
    </row>
    <row r="180" spans="1:13" ht="21" customHeight="1" x14ac:dyDescent="0.3">
      <c r="A180" s="190"/>
      <c r="B180" s="191"/>
      <c r="C180" s="192"/>
      <c r="D180" s="193"/>
      <c r="E180" s="194" t="s">
        <v>214</v>
      </c>
      <c r="F180" s="195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196" t="str">
        <f>IFERROR(ROUNDUP(D180/F180,0),"")</f>
        <v/>
      </c>
      <c r="H180" s="197"/>
      <c r="I180" s="193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</row>
    <row r="181" spans="1:13" ht="21" customHeight="1" x14ac:dyDescent="0.3">
      <c r="A181" s="190"/>
      <c r="B181" s="191"/>
      <c r="C181" s="192"/>
      <c r="D181" s="193"/>
      <c r="E181" s="194" t="s">
        <v>214</v>
      </c>
      <c r="F181" s="195" t="str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196" t="str">
        <f>IFERROR(ROUNDUP(D181/F181,0),"")</f>
        <v/>
      </c>
      <c r="H181" s="197"/>
      <c r="I181" s="193" t="str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</row>
    <row r="182" spans="1:13" ht="21" customHeight="1" x14ac:dyDescent="0.3">
      <c r="A182" s="190"/>
      <c r="B182" s="191"/>
      <c r="C182" s="192"/>
      <c r="D182" s="193"/>
      <c r="E182" s="194" t="s">
        <v>214</v>
      </c>
      <c r="F182" s="195" t="str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196" t="str">
        <f>IFERROR(ROUNDUP(D182/F182,0),"")</f>
        <v/>
      </c>
      <c r="H182" s="197"/>
      <c r="I182" s="193" t="str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</row>
    <row r="183" spans="1:13" ht="21" customHeight="1" x14ac:dyDescent="0.3">
      <c r="A183" s="190"/>
      <c r="B183" s="191"/>
      <c r="C183" s="192"/>
      <c r="D183" s="193"/>
      <c r="E183" s="194" t="s">
        <v>214</v>
      </c>
      <c r="F183" s="195" t="str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196" t="str">
        <f>IFERROR(ROUNDUP(D183/F183,0),"")</f>
        <v/>
      </c>
      <c r="H183" s="197"/>
      <c r="I183" s="193" t="str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</row>
    <row r="184" spans="1:13" ht="21" customHeight="1" x14ac:dyDescent="0.3">
      <c r="A184" s="190"/>
      <c r="B184" s="191"/>
      <c r="C184" s="192"/>
      <c r="D184" s="193"/>
      <c r="E184" s="194" t="s">
        <v>214</v>
      </c>
      <c r="F184" s="195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196" t="str">
        <f>IFERROR(ROUNDUP(D184/F184,0),"")</f>
        <v/>
      </c>
      <c r="H184" s="197"/>
      <c r="I184" s="193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</row>
    <row r="185" spans="1:13" ht="15" customHeight="1" x14ac:dyDescent="0.3">
      <c r="A185" s="198"/>
      <c r="B185" s="199" t="s">
        <v>216</v>
      </c>
      <c r="C185" s="200"/>
      <c r="D185" s="201">
        <f>SUM(D178:D184)</f>
        <v>0</v>
      </c>
      <c r="E185" s="202"/>
      <c r="F185" s="202"/>
      <c r="G185" s="203">
        <f>SUM(G178:G184)</f>
        <v>0</v>
      </c>
      <c r="H185" s="201">
        <f>SUM(H178:H184)</f>
        <v>0</v>
      </c>
      <c r="I185" s="201">
        <f>SUM(I178:I184)</f>
        <v>0</v>
      </c>
      <c r="J185" s="28">
        <f>D185</f>
        <v>0</v>
      </c>
      <c r="K185" s="106">
        <f>G185</f>
        <v>0</v>
      </c>
      <c r="L185" s="28">
        <f>H185</f>
        <v>0</v>
      </c>
      <c r="M185" s="28">
        <f>I185</f>
        <v>0</v>
      </c>
    </row>
    <row r="186" spans="1:13" ht="6" customHeight="1" x14ac:dyDescent="0.3">
      <c r="C186" s="72"/>
    </row>
    <row r="187" spans="1:13" ht="14.25" customHeight="1" x14ac:dyDescent="0.3">
      <c r="A187" s="30">
        <v>46231</v>
      </c>
      <c r="B187" s="186" t="s">
        <v>78</v>
      </c>
      <c r="C187" s="187" t="s">
        <v>205</v>
      </c>
      <c r="D187" s="188" t="s">
        <v>206</v>
      </c>
      <c r="E187" s="188" t="s">
        <v>207</v>
      </c>
      <c r="F187" s="189" t="s">
        <v>208</v>
      </c>
      <c r="G187" s="188" t="s">
        <v>209</v>
      </c>
      <c r="H187" s="188" t="s">
        <v>210</v>
      </c>
      <c r="I187" s="188" t="s">
        <v>211</v>
      </c>
    </row>
    <row r="188" spans="1:13" ht="21" customHeight="1" x14ac:dyDescent="0.3">
      <c r="A188" s="190"/>
      <c r="B188" s="191"/>
      <c r="C188" s="192"/>
      <c r="D188" s="193"/>
      <c r="E188" s="194" t="s">
        <v>214</v>
      </c>
      <c r="F188" s="195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196" t="str">
        <f>IFERROR(ROUNDUP(D188/F188,0),"")</f>
        <v/>
      </c>
      <c r="H188" s="197"/>
      <c r="I188" s="193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</row>
    <row r="189" spans="1:13" ht="21" customHeight="1" x14ac:dyDescent="0.3">
      <c r="A189" s="190"/>
      <c r="B189" s="191"/>
      <c r="C189" s="192"/>
      <c r="D189" s="193"/>
      <c r="E189" s="194" t="s">
        <v>214</v>
      </c>
      <c r="F189" s="195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196" t="str">
        <f>IFERROR(ROUNDUP(D189/F189,0),"")</f>
        <v/>
      </c>
      <c r="H189" s="197"/>
      <c r="I189" s="193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</row>
    <row r="190" spans="1:13" ht="21" customHeight="1" x14ac:dyDescent="0.3">
      <c r="A190" s="190"/>
      <c r="B190" s="191"/>
      <c r="C190" s="192"/>
      <c r="D190" s="193"/>
      <c r="E190" s="194" t="s">
        <v>214</v>
      </c>
      <c r="F190" s="195" t="str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196" t="str">
        <f>IFERROR(ROUNDUP(D190/F190,0),"")</f>
        <v/>
      </c>
      <c r="H190" s="197"/>
      <c r="I190" s="193" t="str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</row>
    <row r="191" spans="1:13" ht="21" customHeight="1" x14ac:dyDescent="0.3">
      <c r="A191" s="190"/>
      <c r="B191" s="191"/>
      <c r="C191" s="192"/>
      <c r="D191" s="193"/>
      <c r="E191" s="194" t="s">
        <v>214</v>
      </c>
      <c r="F191" s="195" t="str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196" t="str">
        <f>IFERROR(ROUNDUP(D191/F191,0),"")</f>
        <v/>
      </c>
      <c r="H191" s="197"/>
      <c r="I191" s="193" t="str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</row>
    <row r="192" spans="1:13" ht="21" customHeight="1" x14ac:dyDescent="0.3">
      <c r="A192" s="190"/>
      <c r="B192" s="191"/>
      <c r="C192" s="192"/>
      <c r="D192" s="193"/>
      <c r="E192" s="194" t="s">
        <v>214</v>
      </c>
      <c r="F192" s="195" t="str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196" t="str">
        <f>IFERROR(ROUNDUP(D192/F192,0),"")</f>
        <v/>
      </c>
      <c r="H192" s="197"/>
      <c r="I192" s="193" t="str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</row>
    <row r="193" spans="1:13" ht="14.25" customHeight="1" x14ac:dyDescent="0.3">
      <c r="A193" s="198"/>
      <c r="B193" s="199" t="s">
        <v>216</v>
      </c>
      <c r="C193" s="200"/>
      <c r="D193" s="201">
        <f>SUM(D186:D192)</f>
        <v>0</v>
      </c>
      <c r="E193" s="202"/>
      <c r="F193" s="202"/>
      <c r="G193" s="203">
        <f>SUM(G186:G192)</f>
        <v>0</v>
      </c>
      <c r="H193" s="201">
        <f>SUM(H186:H192)</f>
        <v>0</v>
      </c>
      <c r="I193" s="201">
        <f>SUM(I186:I192)</f>
        <v>0</v>
      </c>
      <c r="J193" s="28">
        <f>D193</f>
        <v>0</v>
      </c>
      <c r="K193" s="106">
        <f>G193</f>
        <v>0</v>
      </c>
      <c r="L193" s="28">
        <f>H193</f>
        <v>0</v>
      </c>
      <c r="M193" s="28">
        <f>I193</f>
        <v>0</v>
      </c>
    </row>
    <row r="194" spans="1:13" ht="14.25" customHeight="1" x14ac:dyDescent="0.3">
      <c r="C194" s="72"/>
    </row>
    <row r="195" spans="1:13" ht="14.25" customHeight="1" x14ac:dyDescent="0.3">
      <c r="A195" s="30">
        <v>46232</v>
      </c>
      <c r="B195" s="186" t="s">
        <v>78</v>
      </c>
      <c r="C195" s="187" t="s">
        <v>205</v>
      </c>
      <c r="D195" s="188" t="s">
        <v>206</v>
      </c>
      <c r="E195" s="188" t="s">
        <v>207</v>
      </c>
      <c r="F195" s="189" t="s">
        <v>208</v>
      </c>
      <c r="G195" s="188" t="s">
        <v>209</v>
      </c>
      <c r="H195" s="188" t="s">
        <v>210</v>
      </c>
      <c r="I195" s="188" t="s">
        <v>211</v>
      </c>
    </row>
    <row r="196" spans="1:13" ht="21" customHeight="1" x14ac:dyDescent="0.3">
      <c r="A196" s="190"/>
      <c r="B196" s="191"/>
      <c r="C196" s="192"/>
      <c r="D196" s="193"/>
      <c r="E196" s="194" t="s">
        <v>214</v>
      </c>
      <c r="F196" s="195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196" t="str">
        <f>IFERROR(ROUNDUP(D196/F196,0),"")</f>
        <v/>
      </c>
      <c r="H196" s="197"/>
      <c r="I196" s="193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</row>
    <row r="197" spans="1:13" ht="21" customHeight="1" x14ac:dyDescent="0.3">
      <c r="A197" s="190"/>
      <c r="B197" s="191"/>
      <c r="C197" s="192"/>
      <c r="D197" s="193"/>
      <c r="E197" s="194" t="s">
        <v>214</v>
      </c>
      <c r="F197" s="195" t="str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196" t="str">
        <f>IFERROR(ROUNDUP(D197/F197,0),"")</f>
        <v/>
      </c>
      <c r="H197" s="197"/>
      <c r="I197" s="193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</row>
    <row r="198" spans="1:13" ht="21" customHeight="1" x14ac:dyDescent="0.3">
      <c r="A198" s="190"/>
      <c r="B198" s="191"/>
      <c r="C198" s="192"/>
      <c r="D198" s="193"/>
      <c r="E198" s="194" t="s">
        <v>214</v>
      </c>
      <c r="F198" s="195" t="str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196" t="str">
        <f>IFERROR(ROUNDUP(D198/F198,0),"")</f>
        <v/>
      </c>
      <c r="H198" s="197"/>
      <c r="I198" s="193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</row>
    <row r="199" spans="1:13" ht="21" customHeight="1" x14ac:dyDescent="0.3">
      <c r="A199" s="190"/>
      <c r="B199" s="191"/>
      <c r="C199" s="192"/>
      <c r="D199" s="193"/>
      <c r="E199" s="194" t="s">
        <v>214</v>
      </c>
      <c r="F199" s="195" t="str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196" t="str">
        <f>IFERROR(ROUNDUP(D199/F199,0),"")</f>
        <v/>
      </c>
      <c r="H199" s="197"/>
      <c r="I199" s="193" t="str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</row>
    <row r="200" spans="1:13" ht="21" customHeight="1" x14ac:dyDescent="0.3">
      <c r="A200" s="190"/>
      <c r="B200" s="191"/>
      <c r="C200" s="192"/>
      <c r="D200" s="193"/>
      <c r="E200" s="194" t="s">
        <v>214</v>
      </c>
      <c r="F200" s="195" t="str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196" t="str">
        <f>IFERROR(ROUNDUP(D200/F200,0),"")</f>
        <v/>
      </c>
      <c r="H200" s="197"/>
      <c r="I200" s="193" t="str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</row>
    <row r="201" spans="1:13" ht="14.25" customHeight="1" x14ac:dyDescent="0.3">
      <c r="A201" s="198"/>
      <c r="B201" s="199" t="s">
        <v>216</v>
      </c>
      <c r="C201" s="200"/>
      <c r="D201" s="201">
        <f>SUM(D194:D200)</f>
        <v>0</v>
      </c>
      <c r="E201" s="202"/>
      <c r="F201" s="202"/>
      <c r="G201" s="203">
        <f>SUM(G194:G200)</f>
        <v>0</v>
      </c>
      <c r="H201" s="201">
        <f>SUM(H194:H200)</f>
        <v>0</v>
      </c>
      <c r="I201" s="201">
        <f>SUM(I194:I200)</f>
        <v>0</v>
      </c>
      <c r="J201" s="28">
        <f>D201</f>
        <v>0</v>
      </c>
      <c r="K201" s="106">
        <f>G201</f>
        <v>0</v>
      </c>
      <c r="L201" s="28">
        <f>H201</f>
        <v>0</v>
      </c>
      <c r="M201" s="28">
        <f>I201</f>
        <v>0</v>
      </c>
    </row>
    <row r="202" spans="1:13" ht="14.25" customHeight="1" x14ac:dyDescent="0.3">
      <c r="C202" s="72"/>
    </row>
    <row r="203" spans="1:13" ht="14.25" customHeight="1" x14ac:dyDescent="0.3">
      <c r="A203" s="30">
        <v>46233</v>
      </c>
      <c r="B203" s="186" t="s">
        <v>78</v>
      </c>
      <c r="C203" s="187" t="s">
        <v>205</v>
      </c>
      <c r="D203" s="188" t="s">
        <v>206</v>
      </c>
      <c r="E203" s="188" t="s">
        <v>207</v>
      </c>
      <c r="F203" s="189" t="s">
        <v>208</v>
      </c>
      <c r="G203" s="188" t="s">
        <v>209</v>
      </c>
      <c r="H203" s="188" t="s">
        <v>210</v>
      </c>
      <c r="I203" s="188" t="s">
        <v>211</v>
      </c>
    </row>
    <row r="204" spans="1:13" ht="21" customHeight="1" x14ac:dyDescent="0.3">
      <c r="A204" s="190"/>
      <c r="B204" s="191"/>
      <c r="C204" s="192"/>
      <c r="D204" s="193"/>
      <c r="E204" s="194" t="s">
        <v>214</v>
      </c>
      <c r="F204" s="195" t="str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196" t="str">
        <f>IFERROR(ROUNDUP(D204/F204,0),"")</f>
        <v/>
      </c>
      <c r="H204" s="197"/>
      <c r="I204" s="193" t="str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</row>
    <row r="205" spans="1:13" ht="21" customHeight="1" x14ac:dyDescent="0.3">
      <c r="A205" s="190"/>
      <c r="B205" s="191"/>
      <c r="C205" s="192"/>
      <c r="D205" s="193"/>
      <c r="E205" s="194" t="s">
        <v>214</v>
      </c>
      <c r="F205" s="195" t="str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196" t="str">
        <f>IFERROR(ROUNDUP(D205/F205,0),"")</f>
        <v/>
      </c>
      <c r="H205" s="197"/>
      <c r="I205" s="193" t="str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</row>
    <row r="206" spans="1:13" ht="21" customHeight="1" x14ac:dyDescent="0.3">
      <c r="A206" s="190"/>
      <c r="B206" s="191"/>
      <c r="C206" s="192"/>
      <c r="D206" s="193"/>
      <c r="E206" s="194" t="s">
        <v>214</v>
      </c>
      <c r="F206" s="195" t="str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196" t="str">
        <f>IFERROR(ROUNDUP(D206/F206,0),"")</f>
        <v/>
      </c>
      <c r="H206" s="197"/>
      <c r="I206" s="193" t="str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</row>
    <row r="207" spans="1:13" ht="21" customHeight="1" x14ac:dyDescent="0.3">
      <c r="A207" s="190"/>
      <c r="B207" s="191"/>
      <c r="C207" s="192"/>
      <c r="D207" s="193"/>
      <c r="E207" s="194" t="s">
        <v>214</v>
      </c>
      <c r="F207" s="195" t="str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196" t="str">
        <f>IFERROR(ROUNDUP(D207/F207,0),"")</f>
        <v/>
      </c>
      <c r="H207" s="197"/>
      <c r="I207" s="193" t="str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</row>
    <row r="208" spans="1:13" ht="21" customHeight="1" x14ac:dyDescent="0.3">
      <c r="A208" s="190"/>
      <c r="B208" s="191"/>
      <c r="C208" s="192"/>
      <c r="D208" s="193"/>
      <c r="E208" s="194" t="s">
        <v>214</v>
      </c>
      <c r="F208" s="195" t="str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196" t="str">
        <f>IFERROR(ROUNDUP(D208/F208,0),"")</f>
        <v/>
      </c>
      <c r="H208" s="197"/>
      <c r="I208" s="193" t="str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</row>
    <row r="209" spans="1:13" ht="14.25" customHeight="1" x14ac:dyDescent="0.3">
      <c r="A209" s="198"/>
      <c r="B209" s="199" t="s">
        <v>216</v>
      </c>
      <c r="C209" s="200"/>
      <c r="D209" s="201">
        <f>SUM(D202:D208)</f>
        <v>0</v>
      </c>
      <c r="E209" s="202"/>
      <c r="F209" s="202"/>
      <c r="G209" s="203">
        <f>SUM(G202:G208)</f>
        <v>0</v>
      </c>
      <c r="H209" s="201">
        <f>SUM(H202:H208)</f>
        <v>0</v>
      </c>
      <c r="I209" s="201">
        <f>SUM(I202:I208)</f>
        <v>0</v>
      </c>
      <c r="J209" s="28">
        <f>D209</f>
        <v>0</v>
      </c>
      <c r="K209" s="106">
        <f>G209</f>
        <v>0</v>
      </c>
      <c r="L209" s="28">
        <f>H209</f>
        <v>0</v>
      </c>
      <c r="M209" s="28">
        <f>I209</f>
        <v>0</v>
      </c>
    </row>
    <row r="210" spans="1:13" ht="14.25" customHeight="1" x14ac:dyDescent="0.3">
      <c r="C210" s="72"/>
    </row>
    <row r="211" spans="1:13" ht="14.25" customHeight="1" x14ac:dyDescent="0.3">
      <c r="A211" s="30">
        <v>46234</v>
      </c>
      <c r="B211" s="186" t="s">
        <v>78</v>
      </c>
      <c r="C211" s="187" t="s">
        <v>205</v>
      </c>
      <c r="D211" s="188" t="s">
        <v>206</v>
      </c>
      <c r="E211" s="188" t="s">
        <v>207</v>
      </c>
      <c r="F211" s="189" t="s">
        <v>208</v>
      </c>
      <c r="G211" s="188" t="s">
        <v>209</v>
      </c>
      <c r="H211" s="188" t="s">
        <v>210</v>
      </c>
      <c r="I211" s="188" t="s">
        <v>211</v>
      </c>
    </row>
    <row r="212" spans="1:13" ht="21" customHeight="1" x14ac:dyDescent="0.3">
      <c r="A212" s="190"/>
      <c r="B212" s="191"/>
      <c r="C212" s="192"/>
      <c r="D212" s="193"/>
      <c r="E212" s="194" t="s">
        <v>214</v>
      </c>
      <c r="F212" s="195" t="str">
        <f>IF($B212="","",IF(SUMIFS(CONFIG_PALLETS!$C:$C,CONFIG_PALLETS!$A:$A,TRIM($B212),CONFIG_PALLETS!$B:$B,$C212&amp;" ml")&gt;0,SUMIFS(CONFIG_PALLETS!$C:$C,CONFIG_PALLETS!$A:$A,TRIM($B212),CONFIG_PALLETS!$B:$B,$C212&amp;" ml"),IF(SUMIFS(CONFIG_PALLETS!$C:$C,CONFIG_PALLETS!$A:$A,"GERAL",CONFIG_PALLETS!$B:$B,$C212&amp;" ml")&gt;0,SUMIFS(CONFIG_PALLETS!$C:$C,CONFIG_PALLETS!$A:$A,"GERAL",CONFIG_PALLETS!$B:$B,$C212&amp;" ml"),"")))</f>
        <v/>
      </c>
      <c r="G212" s="196" t="str">
        <f>IFERROR(ROUNDUP(D212/F212,0),"")</f>
        <v/>
      </c>
      <c r="H212" s="197"/>
      <c r="I212" s="193" t="str">
        <f>IF(H212="","",H212*IF(SUMIFS(CONFIG_PALLETS!$D:$D,CONFIG_PALLETS!$A:$A,IF(ISNUMBER(SEARCH("ESPUMA",$B212)),"ESPUMA",IF(OR(ISNUMBER(SEARCH("OLEO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ml")&gt;0,SUMIFS(CONFIG_PALLETS!$D:$D,CONFIG_PALLETS!$A:$A,IF(ISNUMBER(SEARCH("ESPUMA",$B212)),"ESPUMA",IF(OR(ISNUMBER(SEARCH("OLEO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ml"),IF(SUMIFS(CONFIG_PALLETS!$D:$D,CONFIG_PALLETS!$A:$A,"GERAL",CONFIG_PALLETS!$B:$B,$C212&amp;" ml")&gt;0,SUMIFS(CONFIG_PALLETS!$D:$D,CONFIG_PALLETS!$A:$A,"GERAL",CONFIG_PALLETS!$B:$B,$C212&amp;" ml"),12)))</f>
        <v/>
      </c>
    </row>
    <row r="213" spans="1:13" ht="21" customHeight="1" x14ac:dyDescent="0.3">
      <c r="A213" s="190"/>
      <c r="B213" s="191"/>
      <c r="C213" s="192"/>
      <c r="D213" s="193"/>
      <c r="E213" s="194" t="s">
        <v>214</v>
      </c>
      <c r="F213" s="195" t="str">
        <f>IF($B213="","",IF(SUMIFS(CONFIG_PALLETS!$C:$C,CONFIG_PALLETS!$A:$A,TRIM($B213),CONFIG_PALLETS!$B:$B,$C213&amp;" ml")&gt;0,SUMIFS(CONFIG_PALLETS!$C:$C,CONFIG_PALLETS!$A:$A,TRIM($B213),CONFIG_PALLETS!$B:$B,$C213&amp;" ml"),IF(SUMIFS(CONFIG_PALLETS!$C:$C,CONFIG_PALLETS!$A:$A,"GERAL",CONFIG_PALLETS!$B:$B,$C213&amp;" ml")&gt;0,SUMIFS(CONFIG_PALLETS!$C:$C,CONFIG_PALLETS!$A:$A,"GERAL",CONFIG_PALLETS!$B:$B,$C213&amp;" ml"),"")))</f>
        <v/>
      </c>
      <c r="G213" s="196" t="str">
        <f>IFERROR(ROUNDUP(D213/F213,0),"")</f>
        <v/>
      </c>
      <c r="H213" s="197"/>
      <c r="I213" s="193" t="str">
        <f>IF(H213="","",H213*IF(SUMIFS(CONFIG_PALLETS!$D:$D,CONFIG_PALLETS!$A:$A,IF(ISNUMBER(SEARCH("ESPUMA",$B213)),"ESPUMA",IF(OR(ISNUMBER(SEARCH("OLEO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ml")&gt;0,SUMIFS(CONFIG_PALLETS!$D:$D,CONFIG_PALLETS!$A:$A,IF(ISNUMBER(SEARCH("ESPUMA",$B213)),"ESPUMA",IF(OR(ISNUMBER(SEARCH("OLEO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ml"),IF(SUMIFS(CONFIG_PALLETS!$D:$D,CONFIG_PALLETS!$A:$A,"GERAL",CONFIG_PALLETS!$B:$B,$C213&amp;" ml")&gt;0,SUMIFS(CONFIG_PALLETS!$D:$D,CONFIG_PALLETS!$A:$A,"GERAL",CONFIG_PALLETS!$B:$B,$C213&amp;" ml"),12)))</f>
        <v/>
      </c>
    </row>
    <row r="214" spans="1:13" ht="21" customHeight="1" x14ac:dyDescent="0.3">
      <c r="A214" s="190"/>
      <c r="B214" s="191"/>
      <c r="C214" s="192"/>
      <c r="D214" s="193"/>
      <c r="E214" s="194" t="s">
        <v>214</v>
      </c>
      <c r="F214" s="195" t="str">
        <f>IF($B214="","",IF(SUMIFS(CONFIG_PALLETS!$C:$C,CONFIG_PALLETS!$A:$A,TRIM($B214),CONFIG_PALLETS!$B:$B,$C214&amp;" ml")&gt;0,SUMIFS(CONFIG_PALLETS!$C:$C,CONFIG_PALLETS!$A:$A,TRIM($B214),CONFIG_PALLETS!$B:$B,$C214&amp;" ml"),IF(SUMIFS(CONFIG_PALLETS!$C:$C,CONFIG_PALLETS!$A:$A,"GERAL",CONFIG_PALLETS!$B:$B,$C214&amp;" ml")&gt;0,SUMIFS(CONFIG_PALLETS!$C:$C,CONFIG_PALLETS!$A:$A,"GERAL",CONFIG_PALLETS!$B:$B,$C214&amp;" ml"),"")))</f>
        <v/>
      </c>
      <c r="G214" s="196" t="str">
        <f>IFERROR(ROUNDUP(D214/F214,0),"")</f>
        <v/>
      </c>
      <c r="H214" s="197"/>
      <c r="I214" s="193" t="str">
        <f>IF(H214="","",H214*IF(SUMIFS(CONFIG_PALLETS!$D:$D,CONFIG_PALLETS!$A:$A,IF(ISNUMBER(SEARCH("ESPUMA",$B214)),"ESPUMA",IF(OR(ISNUMBER(SEARCH("OLEO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ml")&gt;0,SUMIFS(CONFIG_PALLETS!$D:$D,CONFIG_PALLETS!$A:$A,IF(ISNUMBER(SEARCH("ESPUMA",$B214)),"ESPUMA",IF(OR(ISNUMBER(SEARCH("OLEO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ml"),IF(SUMIFS(CONFIG_PALLETS!$D:$D,CONFIG_PALLETS!$A:$A,"GERAL",CONFIG_PALLETS!$B:$B,$C214&amp;" ml")&gt;0,SUMIFS(CONFIG_PALLETS!$D:$D,CONFIG_PALLETS!$A:$A,"GERAL",CONFIG_PALLETS!$B:$B,$C214&amp;" ml"),12)))</f>
        <v/>
      </c>
    </row>
    <row r="215" spans="1:13" ht="21" customHeight="1" x14ac:dyDescent="0.3">
      <c r="A215" s="190"/>
      <c r="B215" s="191"/>
      <c r="C215" s="192"/>
      <c r="D215" s="193"/>
      <c r="E215" s="194" t="s">
        <v>214</v>
      </c>
      <c r="F215" s="195" t="str">
        <f>IF($B215="","",IF(SUMIFS(CONFIG_PALLETS!$C:$C,CONFIG_PALLETS!$A:$A,TRIM($B215),CONFIG_PALLETS!$B:$B,$C215&amp;" ml")&gt;0,SUMIFS(CONFIG_PALLETS!$C:$C,CONFIG_PALLETS!$A:$A,TRIM($B215),CONFIG_PALLETS!$B:$B,$C215&amp;" ml"),IF(SUMIFS(CONFIG_PALLETS!$C:$C,CONFIG_PALLETS!$A:$A,"GERAL",CONFIG_PALLETS!$B:$B,$C215&amp;" ml")&gt;0,SUMIFS(CONFIG_PALLETS!$C:$C,CONFIG_PALLETS!$A:$A,"GERAL",CONFIG_PALLETS!$B:$B,$C215&amp;" ml"),"")))</f>
        <v/>
      </c>
      <c r="G215" s="196" t="str">
        <f>IFERROR(ROUNDUP(D215/F215,0),"")</f>
        <v/>
      </c>
      <c r="H215" s="197"/>
      <c r="I215" s="193" t="str">
        <f>IF(H215="","",H215*IF(SUMIFS(CONFIG_PALLETS!$D:$D,CONFIG_PALLETS!$A:$A,IF(ISNUMBER(SEARCH("ESPUMA",$B215)),"ESPUMA",IF(OR(ISNUMBER(SEARCH("OLEO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ml")&gt;0,SUMIFS(CONFIG_PALLETS!$D:$D,CONFIG_PALLETS!$A:$A,IF(ISNUMBER(SEARCH("ESPUMA",$B215)),"ESPUMA",IF(OR(ISNUMBER(SEARCH("OLEO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ml"),IF(SUMIFS(CONFIG_PALLETS!$D:$D,CONFIG_PALLETS!$A:$A,"GERAL",CONFIG_PALLETS!$B:$B,$C215&amp;" ml")&gt;0,SUMIFS(CONFIG_PALLETS!$D:$D,CONFIG_PALLETS!$A:$A,"GERAL",CONFIG_PALLETS!$B:$B,$C215&amp;" ml"),12)))</f>
        <v/>
      </c>
    </row>
    <row r="216" spans="1:13" ht="21" customHeight="1" x14ac:dyDescent="0.3">
      <c r="A216" s="190"/>
      <c r="B216" s="191"/>
      <c r="C216" s="192"/>
      <c r="D216" s="193"/>
      <c r="E216" s="194" t="s">
        <v>214</v>
      </c>
      <c r="F216" s="195" t="str">
        <f>IF($B216="","",IF(SUMIFS(CONFIG_PALLETS!$C:$C,CONFIG_PALLETS!$A:$A,TRIM($B216),CONFIG_PALLETS!$B:$B,$C216&amp;" ml")&gt;0,SUMIFS(CONFIG_PALLETS!$C:$C,CONFIG_PALLETS!$A:$A,TRIM($B216),CONFIG_PALLETS!$B:$B,$C216&amp;" ml"),IF(SUMIFS(CONFIG_PALLETS!$C:$C,CONFIG_PALLETS!$A:$A,"GERAL",CONFIG_PALLETS!$B:$B,$C216&amp;" ml")&gt;0,SUMIFS(CONFIG_PALLETS!$C:$C,CONFIG_PALLETS!$A:$A,"GERAL",CONFIG_PALLETS!$B:$B,$C216&amp;" ml"),"")))</f>
        <v/>
      </c>
      <c r="G216" s="196" t="str">
        <f>IFERROR(ROUNDUP(D216/F216,0),"")</f>
        <v/>
      </c>
      <c r="H216" s="197"/>
      <c r="I216" s="193" t="str">
        <f>IF(H216="","",H216*IF(SUMIFS(CONFIG_PALLETS!$D:$D,CONFIG_PALLETS!$A:$A,IF(ISNUMBER(SEARCH("ESPUMA",$B216)),"ESPUMA",IF(OR(ISNUMBER(SEARCH("OLEO DE COCO",$B216)),ISNUMBER(SEARCH("ÓLEO DE COCO",$B216)),ISNUMBER(SEARCH("COPRA",$B216))),"ÓLEO DE COCO",IF(ISNUMBER(SEARCH("CORANTE",$B216)),"CORANTE",TRIM($B216)))),CONFIG_PALLETS!$B:$B,$C216&amp;" ml")&gt;0,SUMIFS(CONFIG_PALLETS!$D:$D,CONFIG_PALLETS!$A:$A,IF(ISNUMBER(SEARCH("ESPUMA",$B216)),"ESPUMA",IF(OR(ISNUMBER(SEARCH("OLEO DE COCO",$B216)),ISNUMBER(SEARCH("ÓLEO DE COCO",$B216)),ISNUMBER(SEARCH("COPRA",$B216))),"ÓLEO DE COCO",IF(ISNUMBER(SEARCH("CORANTE",$B216)),"CORANTE",TRIM($B216)))),CONFIG_PALLETS!$B:$B,$C216&amp;" ml"),IF(SUMIFS(CONFIG_PALLETS!$D:$D,CONFIG_PALLETS!$A:$A,"GERAL",CONFIG_PALLETS!$B:$B,$C216&amp;" ml")&gt;0,SUMIFS(CONFIG_PALLETS!$D:$D,CONFIG_PALLETS!$A:$A,"GERAL",CONFIG_PALLETS!$B:$B,$C216&amp;" ml"),12)))</f>
        <v/>
      </c>
    </row>
    <row r="217" spans="1:13" ht="14.25" customHeight="1" x14ac:dyDescent="0.3">
      <c r="A217" s="198"/>
      <c r="B217" s="199" t="s">
        <v>216</v>
      </c>
      <c r="C217" s="200"/>
      <c r="D217" s="201">
        <f>SUM(D210:D216)</f>
        <v>0</v>
      </c>
      <c r="E217" s="202"/>
      <c r="F217" s="202"/>
      <c r="G217" s="203">
        <f>SUM(G210:G216)</f>
        <v>0</v>
      </c>
      <c r="H217" s="201">
        <f>SUM(H210:H216)</f>
        <v>0</v>
      </c>
      <c r="I217" s="201">
        <f>SUM(I210:I216)</f>
        <v>0</v>
      </c>
      <c r="J217" s="28">
        <f>D217</f>
        <v>0</v>
      </c>
      <c r="K217" s="106">
        <f>G217</f>
        <v>0</v>
      </c>
      <c r="L217" s="28">
        <f>H217</f>
        <v>0</v>
      </c>
      <c r="M217" s="28">
        <f>I217</f>
        <v>0</v>
      </c>
    </row>
  </sheetData>
  <mergeCells count="3">
    <mergeCell ref="A1:I1"/>
    <mergeCell ref="A2:F2"/>
    <mergeCell ref="G2:I2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85" xr:uid="{00000000-0002-0000-16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F766E"/>
  </sheetPr>
  <dimension ref="A1:Y59"/>
  <sheetViews>
    <sheetView showGridLines="0" topLeftCell="A3" zoomScale="90" zoomScaleNormal="90" workbookViewId="0">
      <selection activeCell="F15" sqref="F15"/>
    </sheetView>
  </sheetViews>
  <sheetFormatPr defaultColWidth="8.6640625" defaultRowHeight="14.4" x14ac:dyDescent="0.3"/>
  <cols>
    <col min="1" max="1" width="12" style="437" customWidth="1"/>
    <col min="2" max="2" width="15" customWidth="1"/>
    <col min="3" max="3" width="14" customWidth="1"/>
    <col min="4" max="4" width="13.664062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4">
      <c r="A1" s="612" t="s">
        <v>655</v>
      </c>
      <c r="B1" s="612"/>
      <c r="C1" s="612"/>
      <c r="D1" s="612"/>
      <c r="E1" s="612"/>
      <c r="F1" s="612"/>
    </row>
    <row r="3" spans="1:25" ht="14.25" customHeight="1" x14ac:dyDescent="0.3">
      <c r="B3" s="148" t="s">
        <v>234</v>
      </c>
      <c r="D3" s="148" t="s">
        <v>235</v>
      </c>
      <c r="F3" s="149" t="s">
        <v>236</v>
      </c>
      <c r="H3" s="148" t="s">
        <v>237</v>
      </c>
      <c r="J3" s="150" t="s">
        <v>238</v>
      </c>
      <c r="K3" s="151" t="s">
        <v>239</v>
      </c>
      <c r="L3" s="151" t="s">
        <v>240</v>
      </c>
    </row>
    <row r="4" spans="1:25" ht="15.75" customHeight="1" x14ac:dyDescent="0.3">
      <c r="B4" s="152">
        <f>SUM(C9:C35)</f>
        <v>0</v>
      </c>
      <c r="D4" s="152">
        <f>SUM(D9:D35)</f>
        <v>297000</v>
      </c>
      <c r="F4" s="152">
        <f ca="1">IFERROR(SUMIFS(C9:C35,A9:A35,"&lt;="&amp;TODAY(),F9:F35,"&lt;&gt;*Feriado*")/COUNTIFS(A9:A35,"&lt;="&amp;TODAY(),F9:F35,"&lt;&gt;*Feriado*"),0)</f>
        <v>0</v>
      </c>
      <c r="H4" s="152">
        <f>IFERROR(MAX(C9:C35),0)</f>
        <v>0</v>
      </c>
      <c r="J4" s="153">
        <f>IFERROR(B4/D4,0)</f>
        <v>0</v>
      </c>
      <c r="K4" s="154" t="s">
        <v>241</v>
      </c>
      <c r="L4" s="155" t="s">
        <v>242</v>
      </c>
    </row>
    <row r="5" spans="1:25" ht="15" customHeight="1" x14ac:dyDescent="0.3">
      <c r="K5" s="156" t="s">
        <v>243</v>
      </c>
      <c r="L5" s="157" t="s">
        <v>244</v>
      </c>
    </row>
    <row r="6" spans="1:25" ht="15" customHeight="1" x14ac:dyDescent="0.3">
      <c r="K6" s="158" t="s">
        <v>245</v>
      </c>
      <c r="L6" s="159" t="s">
        <v>246</v>
      </c>
    </row>
    <row r="8" spans="1:25" ht="14.25" customHeight="1" x14ac:dyDescent="0.3">
      <c r="A8" s="442" t="s">
        <v>247</v>
      </c>
      <c r="B8" s="231" t="s">
        <v>248</v>
      </c>
      <c r="C8" s="204" t="s">
        <v>249</v>
      </c>
      <c r="D8" s="204" t="s">
        <v>250</v>
      </c>
      <c r="E8" s="204" t="s">
        <v>251</v>
      </c>
      <c r="F8" s="204" t="s">
        <v>252</v>
      </c>
      <c r="X8" t="s">
        <v>253</v>
      </c>
      <c r="Y8" t="s">
        <v>254</v>
      </c>
    </row>
    <row r="9" spans="1:25" ht="15" customHeight="1" x14ac:dyDescent="0.3">
      <c r="A9" s="443">
        <v>46204</v>
      </c>
      <c r="B9" s="219">
        <f>IF(D9&gt;0,COUNTIF($D$9:D9,"&gt;0"),"")</f>
        <v>1</v>
      </c>
      <c r="C9" s="221">
        <f>'SEMANA JULHO'!$M$9</f>
        <v>0</v>
      </c>
      <c r="D9" s="221">
        <f>CONFIG!$B$3</f>
        <v>11000</v>
      </c>
      <c r="E9" s="221">
        <f t="shared" ref="E9:E35" si="0">C9-D9</f>
        <v>-11000</v>
      </c>
      <c r="F9" s="253"/>
      <c r="X9" s="28">
        <f t="shared" ref="X9:X31" si="1">IF(COUNTIF($F9,"*Feriado*")&gt;0,NA(),$C9)</f>
        <v>0</v>
      </c>
      <c r="Y9" s="28">
        <f t="shared" ref="Y9:Y31" si="2">IF(COUNTIF($F9,"*Feriado*")&gt;0,NA(),$D9)</f>
        <v>11000</v>
      </c>
    </row>
    <row r="10" spans="1:25" ht="15" customHeight="1" x14ac:dyDescent="0.3">
      <c r="A10" s="443">
        <v>46205</v>
      </c>
      <c r="B10" s="219">
        <f>IF(D10&gt;0,COUNTIF($D$9:D10,"&gt;0"),"")</f>
        <v>2</v>
      </c>
      <c r="C10" s="221">
        <f>'SEMANA JULHO'!$M$17</f>
        <v>0</v>
      </c>
      <c r="D10" s="221">
        <f>CONFIG!$B$3</f>
        <v>11000</v>
      </c>
      <c r="E10" s="221">
        <f t="shared" si="0"/>
        <v>-11000</v>
      </c>
      <c r="F10" s="253"/>
      <c r="X10" s="28">
        <f t="shared" si="1"/>
        <v>0</v>
      </c>
      <c r="Y10" s="28">
        <f t="shared" si="2"/>
        <v>11000</v>
      </c>
    </row>
    <row r="11" spans="1:25" ht="15" customHeight="1" x14ac:dyDescent="0.3">
      <c r="A11" s="443">
        <v>46206</v>
      </c>
      <c r="B11" s="219">
        <f>IF(D11&gt;0,COUNTIF($D$9:D11,"&gt;0"),"")</f>
        <v>3</v>
      </c>
      <c r="C11" s="221">
        <f>'SEMANA JULHO'!$M$25</f>
        <v>0</v>
      </c>
      <c r="D11" s="221">
        <f>CONFIG!$B$3</f>
        <v>11000</v>
      </c>
      <c r="E11" s="221">
        <f t="shared" si="0"/>
        <v>-11000</v>
      </c>
      <c r="F11" s="253"/>
      <c r="X11" s="28">
        <f t="shared" si="1"/>
        <v>0</v>
      </c>
      <c r="Y11" s="28">
        <f t="shared" si="2"/>
        <v>11000</v>
      </c>
    </row>
    <row r="12" spans="1:25" ht="15" customHeight="1" x14ac:dyDescent="0.3">
      <c r="A12" s="443">
        <v>46207</v>
      </c>
      <c r="B12" s="219">
        <f>IF(D12&gt;0,COUNTIF($D$9:D12,"&gt;0"),"")</f>
        <v>4</v>
      </c>
      <c r="C12" s="221">
        <f>'SEMANA JULHO'!$M$33</f>
        <v>0</v>
      </c>
      <c r="D12" s="221">
        <f>CONFIG!$B$3</f>
        <v>11000</v>
      </c>
      <c r="E12" s="221">
        <f t="shared" si="0"/>
        <v>-11000</v>
      </c>
      <c r="F12" s="254" t="s">
        <v>557</v>
      </c>
      <c r="X12" s="28">
        <f t="shared" si="1"/>
        <v>0</v>
      </c>
      <c r="Y12" s="28">
        <f t="shared" si="2"/>
        <v>11000</v>
      </c>
    </row>
    <row r="13" spans="1:25" ht="15" customHeight="1" x14ac:dyDescent="0.3">
      <c r="A13" s="443">
        <v>46209</v>
      </c>
      <c r="B13" s="219">
        <f>IF(D13&gt;0,COUNTIF($D$9:D13,"&gt;0"),"")</f>
        <v>5</v>
      </c>
      <c r="C13" s="221">
        <f>'SEMANA JULHO'!$M$41</f>
        <v>0</v>
      </c>
      <c r="D13" s="221">
        <f>CONFIG!$B$3</f>
        <v>11000</v>
      </c>
      <c r="E13" s="221">
        <f t="shared" si="0"/>
        <v>-11000</v>
      </c>
      <c r="F13" s="253"/>
      <c r="X13" s="28">
        <f t="shared" si="1"/>
        <v>0</v>
      </c>
      <c r="Y13" s="28">
        <f t="shared" si="2"/>
        <v>11000</v>
      </c>
    </row>
    <row r="14" spans="1:25" ht="15" customHeight="1" x14ac:dyDescent="0.3">
      <c r="A14" s="443">
        <v>46210</v>
      </c>
      <c r="B14" s="219">
        <f>IF(D14&gt;0,COUNTIF($D$9:D14,"&gt;0"),"")</f>
        <v>6</v>
      </c>
      <c r="C14" s="221">
        <f>'SEMANA JULHO'!$M$49</f>
        <v>0</v>
      </c>
      <c r="D14" s="221">
        <f>CONFIG!$B$3</f>
        <v>11000</v>
      </c>
      <c r="E14" s="221">
        <f t="shared" si="0"/>
        <v>-11000</v>
      </c>
      <c r="F14" s="253"/>
      <c r="X14" s="28">
        <f t="shared" si="1"/>
        <v>0</v>
      </c>
      <c r="Y14" s="28">
        <f t="shared" si="2"/>
        <v>11000</v>
      </c>
    </row>
    <row r="15" spans="1:25" ht="15" customHeight="1" x14ac:dyDescent="0.3">
      <c r="A15" s="443">
        <v>46211</v>
      </c>
      <c r="B15" s="219">
        <f>IF(D15&gt;0,COUNTIF($D$9:D15,"&gt;0"),"")</f>
        <v>7</v>
      </c>
      <c r="C15" s="221">
        <f>'SEMANA JULHO'!$M$57</f>
        <v>0</v>
      </c>
      <c r="D15" s="221">
        <f>CONFIG!$B$3</f>
        <v>11000</v>
      </c>
      <c r="E15" s="221">
        <f t="shared" si="0"/>
        <v>-11000</v>
      </c>
      <c r="F15" s="253"/>
      <c r="X15" s="28">
        <f t="shared" si="1"/>
        <v>0</v>
      </c>
      <c r="Y15" s="28">
        <f t="shared" si="2"/>
        <v>11000</v>
      </c>
    </row>
    <row r="16" spans="1:25" ht="15" customHeight="1" x14ac:dyDescent="0.3">
      <c r="A16" s="443">
        <v>46212</v>
      </c>
      <c r="B16" s="219">
        <f>IF(D16&gt;0,COUNTIF($D$9:D16,"&gt;0"),"")</f>
        <v>8</v>
      </c>
      <c r="C16" s="221">
        <f>'SEMANA JULHO'!$M$65</f>
        <v>0</v>
      </c>
      <c r="D16" s="221">
        <f>CONFIG!$B$3</f>
        <v>11000</v>
      </c>
      <c r="E16" s="221">
        <f t="shared" si="0"/>
        <v>-11000</v>
      </c>
      <c r="F16" s="253"/>
      <c r="X16" s="28">
        <f t="shared" si="1"/>
        <v>0</v>
      </c>
      <c r="Y16" s="28">
        <f t="shared" si="2"/>
        <v>11000</v>
      </c>
    </row>
    <row r="17" spans="1:25" ht="15" customHeight="1" x14ac:dyDescent="0.3">
      <c r="A17" s="443">
        <v>46213</v>
      </c>
      <c r="B17" s="219">
        <f>IF(D17&gt;0,COUNTIF($D$9:D17,"&gt;0"),"")</f>
        <v>9</v>
      </c>
      <c r="C17" s="221">
        <f>'SEMANA JULHO'!$M$73</f>
        <v>0</v>
      </c>
      <c r="D17" s="221">
        <f>CONFIG!$B$3</f>
        <v>11000</v>
      </c>
      <c r="E17" s="221">
        <f t="shared" si="0"/>
        <v>-11000</v>
      </c>
      <c r="F17" s="253"/>
      <c r="X17" s="28">
        <f t="shared" si="1"/>
        <v>0</v>
      </c>
      <c r="Y17" s="28">
        <f t="shared" si="2"/>
        <v>11000</v>
      </c>
    </row>
    <row r="18" spans="1:25" ht="15" customHeight="1" x14ac:dyDescent="0.3">
      <c r="A18" s="443">
        <v>46214</v>
      </c>
      <c r="B18" s="219">
        <f>IF(D18&gt;0,COUNTIF($D$9:D18,"&gt;0"),"")</f>
        <v>10</v>
      </c>
      <c r="C18" s="221">
        <f>'SEMANA JULHO'!$M$81</f>
        <v>0</v>
      </c>
      <c r="D18" s="221">
        <f>CONFIG!$B$3</f>
        <v>11000</v>
      </c>
      <c r="E18" s="221">
        <f t="shared" si="0"/>
        <v>-11000</v>
      </c>
      <c r="F18" s="254" t="s">
        <v>557</v>
      </c>
      <c r="X18" s="28">
        <f t="shared" si="1"/>
        <v>0</v>
      </c>
      <c r="Y18" s="28">
        <f t="shared" si="2"/>
        <v>11000</v>
      </c>
    </row>
    <row r="19" spans="1:25" ht="15" customHeight="1" x14ac:dyDescent="0.3">
      <c r="A19" s="443">
        <v>46216</v>
      </c>
      <c r="B19" s="219">
        <f>IF(D19&gt;0,COUNTIF($D$9:D19,"&gt;0"),"")</f>
        <v>11</v>
      </c>
      <c r="C19" s="221">
        <f>'SEMANA JULHO'!$M$89</f>
        <v>0</v>
      </c>
      <c r="D19" s="221">
        <f>CONFIG!$B$3</f>
        <v>11000</v>
      </c>
      <c r="E19" s="221">
        <f t="shared" si="0"/>
        <v>-11000</v>
      </c>
      <c r="F19" s="253"/>
      <c r="X19" s="28">
        <f t="shared" si="1"/>
        <v>0</v>
      </c>
      <c r="Y19" s="28">
        <f t="shared" si="2"/>
        <v>11000</v>
      </c>
    </row>
    <row r="20" spans="1:25" ht="15" customHeight="1" x14ac:dyDescent="0.3">
      <c r="A20" s="443">
        <v>46217</v>
      </c>
      <c r="B20" s="219">
        <f>IF(D20&gt;0,COUNTIF($D$9:D20,"&gt;0"),"")</f>
        <v>12</v>
      </c>
      <c r="C20" s="221">
        <f>'SEMANA JULHO'!$M$97</f>
        <v>0</v>
      </c>
      <c r="D20" s="221">
        <f>CONFIG!$B$3</f>
        <v>11000</v>
      </c>
      <c r="E20" s="221">
        <f t="shared" si="0"/>
        <v>-11000</v>
      </c>
      <c r="F20" s="253"/>
      <c r="X20" s="28">
        <f t="shared" si="1"/>
        <v>0</v>
      </c>
      <c r="Y20" s="28">
        <f t="shared" si="2"/>
        <v>11000</v>
      </c>
    </row>
    <row r="21" spans="1:25" ht="15" customHeight="1" x14ac:dyDescent="0.3">
      <c r="A21" s="443">
        <v>46218</v>
      </c>
      <c r="B21" s="219">
        <f>IF(D21&gt;0,COUNTIF($D$9:D21,"&gt;0"),"")</f>
        <v>13</v>
      </c>
      <c r="C21" s="221">
        <f>'SEMANA JULHO'!$M$105</f>
        <v>0</v>
      </c>
      <c r="D21" s="221">
        <f>CONFIG!$B$3</f>
        <v>11000</v>
      </c>
      <c r="E21" s="221">
        <f t="shared" si="0"/>
        <v>-11000</v>
      </c>
      <c r="F21" s="253"/>
      <c r="X21" s="28">
        <f t="shared" si="1"/>
        <v>0</v>
      </c>
      <c r="Y21" s="28">
        <f t="shared" si="2"/>
        <v>11000</v>
      </c>
    </row>
    <row r="22" spans="1:25" ht="15" customHeight="1" x14ac:dyDescent="0.3">
      <c r="A22" s="443">
        <v>46219</v>
      </c>
      <c r="B22" s="219">
        <f>IF(D22&gt;0,COUNTIF($D$9:D22,"&gt;0"),"")</f>
        <v>14</v>
      </c>
      <c r="C22" s="221">
        <f>'SEMANA JULHO'!$M$113</f>
        <v>0</v>
      </c>
      <c r="D22" s="221">
        <f>CONFIG!$B$3</f>
        <v>11000</v>
      </c>
      <c r="E22" s="221">
        <f t="shared" si="0"/>
        <v>-11000</v>
      </c>
      <c r="F22" s="253"/>
      <c r="X22" s="28">
        <f t="shared" si="1"/>
        <v>0</v>
      </c>
      <c r="Y22" s="28">
        <f t="shared" si="2"/>
        <v>11000</v>
      </c>
    </row>
    <row r="23" spans="1:25" ht="15" customHeight="1" x14ac:dyDescent="0.3">
      <c r="A23" s="443">
        <v>46220</v>
      </c>
      <c r="B23" s="219">
        <f>IF(D23&gt;0,COUNTIF($D$9:D23,"&gt;0"),"")</f>
        <v>15</v>
      </c>
      <c r="C23" s="221">
        <f>'SEMANA JULHO'!$M$121</f>
        <v>0</v>
      </c>
      <c r="D23" s="221">
        <f>CONFIG!$B$3</f>
        <v>11000</v>
      </c>
      <c r="E23" s="221">
        <f t="shared" si="0"/>
        <v>-11000</v>
      </c>
      <c r="F23" s="253"/>
      <c r="X23" s="28">
        <f t="shared" si="1"/>
        <v>0</v>
      </c>
      <c r="Y23" s="28">
        <f t="shared" si="2"/>
        <v>11000</v>
      </c>
    </row>
    <row r="24" spans="1:25" ht="15" customHeight="1" x14ac:dyDescent="0.3">
      <c r="A24" s="443">
        <v>46221</v>
      </c>
      <c r="B24" s="219">
        <f>IF(D24&gt;0,COUNTIF($D$9:D24,"&gt;0"),"")</f>
        <v>16</v>
      </c>
      <c r="C24" s="221">
        <f>'SEMANA JULHO'!$M$129</f>
        <v>0</v>
      </c>
      <c r="D24" s="221">
        <f>CONFIG!$B$3</f>
        <v>11000</v>
      </c>
      <c r="E24" s="221">
        <f t="shared" si="0"/>
        <v>-11000</v>
      </c>
      <c r="F24" s="254" t="s">
        <v>557</v>
      </c>
      <c r="X24" s="28">
        <f t="shared" si="1"/>
        <v>0</v>
      </c>
      <c r="Y24" s="28">
        <f t="shared" si="2"/>
        <v>11000</v>
      </c>
    </row>
    <row r="25" spans="1:25" ht="15" customHeight="1" x14ac:dyDescent="0.3">
      <c r="A25" s="443">
        <v>46223</v>
      </c>
      <c r="B25" s="219">
        <f>IF(D25&gt;0,COUNTIF($D$9:D25,"&gt;0"),"")</f>
        <v>17</v>
      </c>
      <c r="C25" s="221">
        <f>'SEMANA JULHO'!$M$137</f>
        <v>0</v>
      </c>
      <c r="D25" s="221">
        <f>CONFIG!$B$3</f>
        <v>11000</v>
      </c>
      <c r="E25" s="221">
        <f t="shared" si="0"/>
        <v>-11000</v>
      </c>
      <c r="F25" s="253"/>
      <c r="X25" s="28">
        <f t="shared" si="1"/>
        <v>0</v>
      </c>
      <c r="Y25" s="28">
        <f t="shared" si="2"/>
        <v>11000</v>
      </c>
    </row>
    <row r="26" spans="1:25" ht="15" customHeight="1" x14ac:dyDescent="0.3">
      <c r="A26" s="443">
        <v>46224</v>
      </c>
      <c r="B26" s="219">
        <f>IF(D26&gt;0,COUNTIF($D$9:D26,"&gt;0"),"")</f>
        <v>18</v>
      </c>
      <c r="C26" s="221">
        <f>'SEMANA JULHO'!$M$145</f>
        <v>0</v>
      </c>
      <c r="D26" s="221">
        <f>CONFIG!$B$3</f>
        <v>11000</v>
      </c>
      <c r="E26" s="221">
        <f t="shared" si="0"/>
        <v>-11000</v>
      </c>
      <c r="F26" s="253"/>
      <c r="X26" s="28">
        <f t="shared" si="1"/>
        <v>0</v>
      </c>
      <c r="Y26" s="28">
        <f t="shared" si="2"/>
        <v>11000</v>
      </c>
    </row>
    <row r="27" spans="1:25" ht="15" customHeight="1" x14ac:dyDescent="0.3">
      <c r="A27" s="443">
        <v>46225</v>
      </c>
      <c r="B27" s="219">
        <f>IF(D27&gt;0,COUNTIF($D$9:D27,"&gt;0"),"")</f>
        <v>19</v>
      </c>
      <c r="C27" s="221">
        <f>'SEMANA JULHO'!$M$153</f>
        <v>0</v>
      </c>
      <c r="D27" s="221">
        <f>CONFIG!$B$3</f>
        <v>11000</v>
      </c>
      <c r="E27" s="221">
        <f t="shared" si="0"/>
        <v>-11000</v>
      </c>
      <c r="F27" s="253"/>
      <c r="X27" s="28">
        <f t="shared" si="1"/>
        <v>0</v>
      </c>
      <c r="Y27" s="28">
        <f t="shared" si="2"/>
        <v>11000</v>
      </c>
    </row>
    <row r="28" spans="1:25" ht="15" customHeight="1" x14ac:dyDescent="0.3">
      <c r="A28" s="443">
        <v>46226</v>
      </c>
      <c r="B28" s="219">
        <f>IF(D28&gt;0,COUNTIF($D$9:D28,"&gt;0"),"")</f>
        <v>20</v>
      </c>
      <c r="C28" s="221">
        <f>'SEMANA JULHO'!$M$161</f>
        <v>0</v>
      </c>
      <c r="D28" s="221">
        <f>CONFIG!$B$3</f>
        <v>11000</v>
      </c>
      <c r="E28" s="221">
        <f t="shared" si="0"/>
        <v>-11000</v>
      </c>
      <c r="F28" s="253"/>
      <c r="X28" s="28">
        <f t="shared" si="1"/>
        <v>0</v>
      </c>
      <c r="Y28" s="28">
        <f t="shared" si="2"/>
        <v>11000</v>
      </c>
    </row>
    <row r="29" spans="1:25" ht="15" customHeight="1" x14ac:dyDescent="0.3">
      <c r="A29" s="443">
        <v>46227</v>
      </c>
      <c r="B29" s="219">
        <f>IF(D29&gt;0,COUNTIF($D$9:D29,"&gt;0"),"")</f>
        <v>21</v>
      </c>
      <c r="C29" s="221">
        <f>'SEMANA JULHO'!$M$169</f>
        <v>0</v>
      </c>
      <c r="D29" s="221">
        <f>CONFIG!$B$3</f>
        <v>11000</v>
      </c>
      <c r="E29" s="221">
        <f t="shared" si="0"/>
        <v>-11000</v>
      </c>
      <c r="F29" s="253"/>
      <c r="X29" s="28">
        <f t="shared" si="1"/>
        <v>0</v>
      </c>
      <c r="Y29" s="28">
        <f t="shared" si="2"/>
        <v>11000</v>
      </c>
    </row>
    <row r="30" spans="1:25" ht="15" customHeight="1" x14ac:dyDescent="0.3">
      <c r="A30" s="443">
        <v>46228</v>
      </c>
      <c r="B30" s="219">
        <f>IF(D30&gt;0,COUNTIF($D$9:D30,"&gt;0"),"")</f>
        <v>22</v>
      </c>
      <c r="C30" s="221">
        <f>'SEMANA JULHO'!$M$177</f>
        <v>0</v>
      </c>
      <c r="D30" s="221">
        <f>CONFIG!$B$3</f>
        <v>11000</v>
      </c>
      <c r="E30" s="221">
        <f t="shared" si="0"/>
        <v>-11000</v>
      </c>
      <c r="F30" s="254" t="s">
        <v>557</v>
      </c>
      <c r="X30" s="28">
        <f t="shared" si="1"/>
        <v>0</v>
      </c>
      <c r="Y30" s="28">
        <f t="shared" si="2"/>
        <v>11000</v>
      </c>
    </row>
    <row r="31" spans="1:25" ht="15" customHeight="1" x14ac:dyDescent="0.3">
      <c r="A31" s="443">
        <v>46230</v>
      </c>
      <c r="B31" s="219">
        <f>IF(D31&gt;0,COUNTIF($D$9:D31,"&gt;0"),"")</f>
        <v>23</v>
      </c>
      <c r="C31" s="221">
        <f>'SEMANA JULHO'!$M$185</f>
        <v>0</v>
      </c>
      <c r="D31" s="221">
        <f>CONFIG!$B$3</f>
        <v>11000</v>
      </c>
      <c r="E31" s="221">
        <f t="shared" si="0"/>
        <v>-11000</v>
      </c>
      <c r="F31" s="253"/>
      <c r="X31" s="28">
        <f t="shared" si="1"/>
        <v>0</v>
      </c>
      <c r="Y31" s="28">
        <f t="shared" si="2"/>
        <v>11000</v>
      </c>
    </row>
    <row r="32" spans="1:25" ht="14.25" customHeight="1" x14ac:dyDescent="0.3">
      <c r="A32" s="443">
        <v>46231</v>
      </c>
      <c r="B32" s="219">
        <f>IF(D32&gt;0,COUNTIF($D$9:D32,"&gt;0"),"")</f>
        <v>24</v>
      </c>
      <c r="C32" s="221">
        <f>'SEMANA JULHO'!$M$193</f>
        <v>0</v>
      </c>
      <c r="D32" s="221">
        <f>CONFIG!$B$3</f>
        <v>11000</v>
      </c>
      <c r="E32" s="221">
        <f t="shared" si="0"/>
        <v>-11000</v>
      </c>
      <c r="F32" s="253"/>
    </row>
    <row r="33" spans="1:6" ht="14.25" customHeight="1" x14ac:dyDescent="0.3">
      <c r="A33" s="443">
        <v>46232</v>
      </c>
      <c r="B33" s="219">
        <f>IF(D33&gt;0,COUNTIF($D$9:D33,"&gt;0"),"")</f>
        <v>25</v>
      </c>
      <c r="C33" s="221">
        <f>'SEMANA JULHO'!$M$201</f>
        <v>0</v>
      </c>
      <c r="D33" s="221">
        <f>CONFIG!$B$3</f>
        <v>11000</v>
      </c>
      <c r="E33" s="221">
        <f t="shared" si="0"/>
        <v>-11000</v>
      </c>
      <c r="F33" s="253"/>
    </row>
    <row r="34" spans="1:6" ht="14.25" customHeight="1" x14ac:dyDescent="0.3">
      <c r="A34" s="443">
        <v>46233</v>
      </c>
      <c r="B34" s="219">
        <f>IF(D34&gt;0,COUNTIF($D$9:D34,"&gt;0"),"")</f>
        <v>26</v>
      </c>
      <c r="C34" s="221">
        <f>'SEMANA JULHO'!$M$209</f>
        <v>0</v>
      </c>
      <c r="D34" s="221">
        <f>CONFIG!$B$3</f>
        <v>11000</v>
      </c>
      <c r="E34" s="221">
        <f t="shared" si="0"/>
        <v>-11000</v>
      </c>
      <c r="F34" s="253"/>
    </row>
    <row r="35" spans="1:6" ht="14.25" customHeight="1" x14ac:dyDescent="0.3">
      <c r="A35" s="443">
        <v>46234</v>
      </c>
      <c r="B35" s="219">
        <f>IF(D35&gt;0,COUNTIF($D$9:D35,"&gt;0"),"")</f>
        <v>27</v>
      </c>
      <c r="C35" s="221">
        <f>'SEMANA JULHO'!$M$217</f>
        <v>0</v>
      </c>
      <c r="D35" s="221">
        <f>CONFIG!$B$3</f>
        <v>11000</v>
      </c>
      <c r="E35" s="221">
        <f t="shared" si="0"/>
        <v>-11000</v>
      </c>
      <c r="F35" s="253"/>
    </row>
    <row r="36" spans="1:6" ht="14.25" customHeight="1" x14ac:dyDescent="0.3"/>
    <row r="37" spans="1:6" ht="14.25" customHeight="1" x14ac:dyDescent="0.3"/>
    <row r="38" spans="1:6" ht="14.25" customHeight="1" x14ac:dyDescent="0.3"/>
    <row r="39" spans="1:6" ht="14.25" customHeight="1" x14ac:dyDescent="0.3"/>
    <row r="40" spans="1:6" ht="14.25" customHeight="1" x14ac:dyDescent="0.3"/>
    <row r="41" spans="1:6" ht="14.25" customHeight="1" x14ac:dyDescent="0.3"/>
    <row r="42" spans="1:6" ht="14.25" customHeight="1" x14ac:dyDescent="0.3"/>
    <row r="43" spans="1:6" ht="14.25" customHeight="1" x14ac:dyDescent="0.3"/>
    <row r="44" spans="1:6" ht="14.25" customHeight="1" x14ac:dyDescent="0.3"/>
    <row r="45" spans="1:6" ht="14.25" customHeight="1" x14ac:dyDescent="0.3"/>
    <row r="46" spans="1:6" ht="14.25" customHeight="1" x14ac:dyDescent="0.3"/>
    <row r="47" spans="1:6" ht="14.25" customHeight="1" x14ac:dyDescent="0.3"/>
    <row r="48" spans="1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</sheetData>
  <mergeCells count="1">
    <mergeCell ref="A1:F1"/>
  </mergeCells>
  <conditionalFormatting sqref="E9:E30">
    <cfRule type="cellIs" dxfId="35" priority="2" operator="greaterThan">
      <formula>0</formula>
    </cfRule>
    <cfRule type="cellIs" dxfId="34" priority="3" operator="lessThan">
      <formula>0</formula>
    </cfRule>
    <cfRule type="cellIs" dxfId="33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C96B0A"/>
  </sheetPr>
  <dimension ref="B1:N300"/>
  <sheetViews>
    <sheetView showGridLines="0" zoomScaleNormal="100" workbookViewId="0"/>
  </sheetViews>
  <sheetFormatPr defaultColWidth="8.6640625" defaultRowHeight="17.399999999999999" x14ac:dyDescent="0.3"/>
  <cols>
    <col min="1" max="1" width="2.5546875" customWidth="1"/>
    <col min="2" max="2" width="13.5546875" style="5" customWidth="1"/>
    <col min="3" max="3" width="7.6640625" style="6" customWidth="1"/>
    <col min="4" max="4" width="12.6640625" style="6" customWidth="1"/>
    <col min="5" max="5" width="9.109375" style="7" customWidth="1"/>
    <col min="6" max="6" width="13.5546875" style="7" customWidth="1"/>
    <col min="7" max="7" width="6.6640625" style="7" customWidth="1"/>
    <col min="8" max="8" width="8" style="7" customWidth="1"/>
    <col min="9" max="9" width="7.5546875" style="7" customWidth="1"/>
    <col min="10" max="10" width="20" style="7" customWidth="1"/>
    <col min="11" max="11" width="9.109375" style="7" customWidth="1"/>
    <col min="12" max="12" width="21" style="7" customWidth="1"/>
    <col min="13" max="13" width="18.109375" style="6" customWidth="1"/>
    <col min="14" max="14" width="17.109375" style="441" customWidth="1"/>
  </cols>
  <sheetData>
    <row r="1" spans="2:14" ht="21.75" customHeight="1" x14ac:dyDescent="0.3">
      <c r="B1" s="561" t="s">
        <v>656</v>
      </c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561"/>
    </row>
    <row r="2" spans="2:14" ht="15" customHeight="1" x14ac:dyDescent="0.3"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</row>
    <row r="3" spans="2:14" ht="17.25" customHeight="1" x14ac:dyDescent="0.3">
      <c r="B3" s="163" t="s">
        <v>75</v>
      </c>
      <c r="C3" s="562" t="s">
        <v>76</v>
      </c>
      <c r="D3" s="562"/>
      <c r="E3" s="562" t="s">
        <v>77</v>
      </c>
      <c r="F3" s="562"/>
      <c r="G3" s="562" t="s">
        <v>78</v>
      </c>
      <c r="H3" s="562"/>
      <c r="I3" s="562"/>
      <c r="J3" s="562"/>
      <c r="K3" s="562" t="s">
        <v>79</v>
      </c>
      <c r="L3" s="562"/>
      <c r="M3" s="164" t="s">
        <v>80</v>
      </c>
      <c r="N3" s="438" t="s">
        <v>81</v>
      </c>
    </row>
    <row r="4" spans="2:14" ht="17.25" customHeight="1" x14ac:dyDescent="0.3">
      <c r="B4" s="233"/>
      <c r="C4" s="605"/>
      <c r="D4" s="605"/>
      <c r="E4" s="605"/>
      <c r="F4" s="605"/>
      <c r="G4" s="605"/>
      <c r="H4" s="605"/>
      <c r="I4" s="605"/>
      <c r="J4" s="605"/>
      <c r="K4" s="605"/>
      <c r="L4" s="605"/>
      <c r="M4" s="234"/>
      <c r="N4" s="438"/>
    </row>
    <row r="5" spans="2:14" ht="17.25" customHeight="1" x14ac:dyDescent="0.3">
      <c r="B5" s="21"/>
      <c r="C5" s="552"/>
      <c r="D5" s="552"/>
      <c r="E5" s="552"/>
      <c r="F5" s="552"/>
      <c r="G5" s="552"/>
      <c r="H5" s="552"/>
      <c r="I5" s="552"/>
      <c r="J5" s="552"/>
      <c r="K5" s="552"/>
      <c r="L5" s="552"/>
      <c r="M5" s="22"/>
      <c r="N5" s="438"/>
    </row>
    <row r="6" spans="2:14" ht="17.25" customHeight="1" x14ac:dyDescent="0.3">
      <c r="B6" s="19"/>
      <c r="C6" s="553"/>
      <c r="D6" s="553"/>
      <c r="E6" s="553"/>
      <c r="F6" s="553"/>
      <c r="G6" s="553"/>
      <c r="H6" s="553"/>
      <c r="I6" s="553"/>
      <c r="J6" s="553"/>
      <c r="K6" s="553"/>
      <c r="L6" s="553"/>
      <c r="M6" s="23"/>
      <c r="N6" s="438"/>
    </row>
    <row r="7" spans="2:14" ht="17.25" customHeight="1" x14ac:dyDescent="0.3">
      <c r="B7" s="21"/>
      <c r="C7" s="552"/>
      <c r="D7" s="552"/>
      <c r="E7" s="552"/>
      <c r="F7" s="552"/>
      <c r="G7" s="552"/>
      <c r="H7" s="552"/>
      <c r="I7" s="552"/>
      <c r="J7" s="552"/>
      <c r="K7" s="552"/>
      <c r="L7" s="552"/>
      <c r="M7" s="24"/>
      <c r="N7" s="438"/>
    </row>
    <row r="8" spans="2:14" ht="17.25" customHeight="1" x14ac:dyDescent="0.3">
      <c r="B8" s="19"/>
      <c r="C8" s="553"/>
      <c r="D8" s="553"/>
      <c r="E8" s="553"/>
      <c r="F8" s="553"/>
      <c r="G8" s="553"/>
      <c r="H8" s="553"/>
      <c r="I8" s="553"/>
      <c r="J8" s="553"/>
      <c r="K8" s="553"/>
      <c r="L8" s="553"/>
      <c r="M8" s="23"/>
      <c r="N8" s="438"/>
    </row>
    <row r="9" spans="2:14" ht="17.25" customHeight="1" x14ac:dyDescent="0.3">
      <c r="B9" s="21"/>
      <c r="C9" s="552"/>
      <c r="D9" s="552"/>
      <c r="E9" s="552"/>
      <c r="F9" s="552"/>
      <c r="G9" s="552"/>
      <c r="H9" s="552"/>
      <c r="I9" s="552"/>
      <c r="J9" s="552"/>
      <c r="K9" s="552"/>
      <c r="L9" s="552"/>
      <c r="M9" s="22"/>
      <c r="N9" s="438"/>
    </row>
    <row r="10" spans="2:14" ht="17.25" customHeight="1" x14ac:dyDescent="0.3">
      <c r="B10" s="19"/>
      <c r="C10" s="553"/>
      <c r="D10" s="553"/>
      <c r="E10" s="553"/>
      <c r="F10" s="553"/>
      <c r="G10" s="553"/>
      <c r="H10" s="553"/>
      <c r="I10" s="553"/>
      <c r="J10" s="553"/>
      <c r="K10" s="553"/>
      <c r="L10" s="553"/>
      <c r="M10" s="20"/>
      <c r="N10" s="438"/>
    </row>
    <row r="11" spans="2:14" ht="17.25" customHeight="1" x14ac:dyDescent="0.3">
      <c r="B11" s="21"/>
      <c r="C11" s="552"/>
      <c r="D11" s="552"/>
      <c r="E11" s="552"/>
      <c r="F11" s="552"/>
      <c r="G11" s="552"/>
      <c r="H11" s="552"/>
      <c r="I11" s="552"/>
      <c r="J11" s="552"/>
      <c r="K11" s="552"/>
      <c r="L11" s="552"/>
      <c r="M11" s="22"/>
      <c r="N11" s="438"/>
    </row>
    <row r="12" spans="2:14" ht="17.25" customHeight="1" x14ac:dyDescent="0.3">
      <c r="B12" s="19"/>
      <c r="C12" s="553"/>
      <c r="D12" s="553"/>
      <c r="E12" s="553"/>
      <c r="F12" s="553"/>
      <c r="G12" s="553"/>
      <c r="H12" s="553"/>
      <c r="I12" s="553"/>
      <c r="J12" s="553"/>
      <c r="K12" s="553"/>
      <c r="L12" s="553"/>
      <c r="M12" s="20"/>
      <c r="N12" s="438"/>
    </row>
    <row r="13" spans="2:14" ht="17.25" customHeight="1" x14ac:dyDescent="0.3">
      <c r="B13" s="21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22"/>
      <c r="N13" s="438"/>
    </row>
    <row r="14" spans="2:14" ht="17.25" customHeight="1" x14ac:dyDescent="0.3">
      <c r="B14" s="19"/>
      <c r="C14" s="553"/>
      <c r="D14" s="553"/>
      <c r="E14" s="553"/>
      <c r="F14" s="553"/>
      <c r="G14" s="553"/>
      <c r="H14" s="553"/>
      <c r="I14" s="553"/>
      <c r="J14" s="553"/>
      <c r="K14" s="553"/>
      <c r="L14" s="553"/>
      <c r="M14" s="20"/>
      <c r="N14" s="438"/>
    </row>
    <row r="15" spans="2:14" ht="17.25" customHeight="1" x14ac:dyDescent="0.3">
      <c r="B15" s="21"/>
      <c r="C15" s="552"/>
      <c r="D15" s="552"/>
      <c r="E15" s="552"/>
      <c r="F15" s="552"/>
      <c r="G15" s="552"/>
      <c r="H15" s="552"/>
      <c r="I15" s="552"/>
      <c r="J15" s="552"/>
      <c r="K15" s="552"/>
      <c r="L15" s="552"/>
      <c r="M15" s="22"/>
      <c r="N15" s="438"/>
    </row>
    <row r="16" spans="2:14" ht="17.25" customHeight="1" x14ac:dyDescent="0.3">
      <c r="B16" s="19"/>
      <c r="C16" s="553"/>
      <c r="D16" s="553"/>
      <c r="E16" s="553"/>
      <c r="F16" s="553"/>
      <c r="G16" s="553"/>
      <c r="H16" s="553"/>
      <c r="I16" s="553"/>
      <c r="J16" s="553"/>
      <c r="K16" s="553"/>
      <c r="L16" s="553"/>
      <c r="M16" s="20"/>
      <c r="N16" s="438"/>
    </row>
    <row r="17" spans="2:14" ht="17.25" customHeight="1" x14ac:dyDescent="0.3">
      <c r="B17" s="21"/>
      <c r="C17" s="552"/>
      <c r="D17" s="552"/>
      <c r="E17" s="552"/>
      <c r="F17" s="552"/>
      <c r="G17" s="552"/>
      <c r="H17" s="552"/>
      <c r="I17" s="552"/>
      <c r="J17" s="552"/>
      <c r="K17" s="552"/>
      <c r="L17" s="552"/>
      <c r="M17" s="24"/>
      <c r="N17" s="438"/>
    </row>
    <row r="18" spans="2:14" ht="17.25" customHeight="1" x14ac:dyDescent="0.3">
      <c r="B18" s="19"/>
      <c r="C18" s="553"/>
      <c r="D18" s="553"/>
      <c r="E18" s="553"/>
      <c r="F18" s="553"/>
      <c r="G18" s="553"/>
      <c r="H18" s="553"/>
      <c r="I18" s="553"/>
      <c r="J18" s="553"/>
      <c r="K18" s="553"/>
      <c r="L18" s="553"/>
      <c r="M18" s="20"/>
      <c r="N18" s="438"/>
    </row>
    <row r="19" spans="2:14" ht="17.25" customHeight="1" x14ac:dyDescent="0.3">
      <c r="B19" s="21"/>
      <c r="C19" s="552"/>
      <c r="D19" s="552"/>
      <c r="E19" s="552"/>
      <c r="F19" s="552"/>
      <c r="G19" s="552"/>
      <c r="H19" s="552"/>
      <c r="I19" s="552"/>
      <c r="J19" s="552"/>
      <c r="K19" s="552"/>
      <c r="L19" s="552"/>
      <c r="M19" s="22"/>
      <c r="N19" s="438"/>
    </row>
    <row r="20" spans="2:14" ht="17.25" customHeight="1" x14ac:dyDescent="0.3">
      <c r="B20" s="19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20"/>
      <c r="N20" s="438"/>
    </row>
    <row r="21" spans="2:14" ht="17.25" customHeight="1" x14ac:dyDescent="0.3">
      <c r="B21" s="21"/>
      <c r="C21" s="552"/>
      <c r="D21" s="552"/>
      <c r="E21" s="552"/>
      <c r="F21" s="552"/>
      <c r="G21" s="552"/>
      <c r="H21" s="552"/>
      <c r="I21" s="552"/>
      <c r="J21" s="552"/>
      <c r="K21" s="552"/>
      <c r="L21" s="552"/>
      <c r="M21" s="22"/>
      <c r="N21" s="438"/>
    </row>
    <row r="22" spans="2:14" ht="17.25" customHeight="1" x14ac:dyDescent="0.3">
      <c r="B22" s="19"/>
      <c r="C22" s="553"/>
      <c r="D22" s="553"/>
      <c r="E22" s="553"/>
      <c r="F22" s="553"/>
      <c r="G22" s="553"/>
      <c r="H22" s="553"/>
      <c r="I22" s="553"/>
      <c r="J22" s="553"/>
      <c r="K22" s="553"/>
      <c r="L22" s="553"/>
      <c r="M22" s="20"/>
      <c r="N22" s="438"/>
    </row>
    <row r="23" spans="2:14" ht="17.25" customHeight="1" x14ac:dyDescent="0.3">
      <c r="B23" s="21"/>
      <c r="C23" s="552"/>
      <c r="D23" s="552"/>
      <c r="E23" s="552"/>
      <c r="F23" s="552"/>
      <c r="G23" s="552"/>
      <c r="H23" s="552"/>
      <c r="I23" s="552"/>
      <c r="J23" s="552"/>
      <c r="K23" s="552"/>
      <c r="L23" s="552"/>
      <c r="M23" s="22"/>
      <c r="N23" s="438"/>
    </row>
    <row r="24" spans="2:14" ht="17.25" customHeight="1" x14ac:dyDescent="0.3">
      <c r="B24" s="19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20"/>
      <c r="N24" s="438"/>
    </row>
    <row r="25" spans="2:14" ht="17.25" customHeight="1" x14ac:dyDescent="0.3">
      <c r="B25" s="21"/>
      <c r="C25" s="552"/>
      <c r="D25" s="552"/>
      <c r="E25" s="552"/>
      <c r="F25" s="552"/>
      <c r="G25" s="552"/>
      <c r="H25" s="552"/>
      <c r="I25" s="552"/>
      <c r="J25" s="552"/>
      <c r="K25" s="552"/>
      <c r="L25" s="552"/>
      <c r="M25" s="24"/>
      <c r="N25" s="438"/>
    </row>
    <row r="26" spans="2:14" ht="17.25" customHeight="1" x14ac:dyDescent="0.3">
      <c r="B26" s="19"/>
      <c r="C26" s="553"/>
      <c r="D26" s="553"/>
      <c r="E26" s="553"/>
      <c r="F26" s="553"/>
      <c r="G26" s="553"/>
      <c r="H26" s="553"/>
      <c r="I26" s="553"/>
      <c r="J26" s="553"/>
      <c r="K26" s="553"/>
      <c r="L26" s="553"/>
      <c r="M26" s="20"/>
      <c r="N26" s="438"/>
    </row>
    <row r="27" spans="2:14" ht="17.25" customHeight="1" x14ac:dyDescent="0.3">
      <c r="B27" s="21"/>
      <c r="C27" s="552"/>
      <c r="D27" s="552"/>
      <c r="E27" s="552"/>
      <c r="F27" s="552"/>
      <c r="G27" s="552"/>
      <c r="H27" s="552"/>
      <c r="I27" s="552"/>
      <c r="J27" s="552"/>
      <c r="K27" s="552"/>
      <c r="L27" s="552"/>
      <c r="M27" s="22"/>
      <c r="N27" s="438"/>
    </row>
    <row r="28" spans="2:14" ht="17.25" customHeight="1" x14ac:dyDescent="0.3">
      <c r="B28" s="19"/>
      <c r="C28" s="553"/>
      <c r="D28" s="553"/>
      <c r="E28" s="553"/>
      <c r="F28" s="553"/>
      <c r="G28" s="553"/>
      <c r="H28" s="553"/>
      <c r="I28" s="553"/>
      <c r="J28" s="553"/>
      <c r="K28" s="553"/>
      <c r="L28" s="553"/>
      <c r="M28" s="20"/>
      <c r="N28" s="438"/>
    </row>
    <row r="29" spans="2:14" ht="17.25" customHeight="1" x14ac:dyDescent="0.3">
      <c r="B29" s="21"/>
      <c r="C29" s="552"/>
      <c r="D29" s="552"/>
      <c r="E29" s="552"/>
      <c r="F29" s="552"/>
      <c r="G29" s="552"/>
      <c r="H29" s="552"/>
      <c r="I29" s="552"/>
      <c r="J29" s="552"/>
      <c r="K29" s="552"/>
      <c r="L29" s="552"/>
      <c r="M29" s="22"/>
      <c r="N29" s="438"/>
    </row>
    <row r="30" spans="2:14" ht="17.25" customHeight="1" x14ac:dyDescent="0.3">
      <c r="B30" s="19"/>
      <c r="C30" s="553"/>
      <c r="D30" s="553"/>
      <c r="E30" s="553"/>
      <c r="F30" s="553"/>
      <c r="G30" s="553"/>
      <c r="H30" s="553"/>
      <c r="I30" s="553"/>
      <c r="J30" s="553"/>
      <c r="K30" s="553"/>
      <c r="L30" s="553"/>
      <c r="M30" s="20"/>
      <c r="N30" s="438"/>
    </row>
    <row r="31" spans="2:14" ht="17.25" customHeight="1" x14ac:dyDescent="0.3">
      <c r="B31" s="21"/>
      <c r="C31" s="552"/>
      <c r="D31" s="552"/>
      <c r="E31" s="552"/>
      <c r="F31" s="552"/>
      <c r="G31" s="552"/>
      <c r="H31" s="552"/>
      <c r="I31" s="552"/>
      <c r="J31" s="552"/>
      <c r="K31" s="552"/>
      <c r="L31" s="552"/>
      <c r="M31" s="22"/>
      <c r="N31" s="438"/>
    </row>
    <row r="32" spans="2:14" ht="17.25" customHeight="1" x14ac:dyDescent="0.3">
      <c r="B32" s="19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20"/>
      <c r="N32" s="438"/>
    </row>
    <row r="33" spans="2:14" ht="17.25" customHeight="1" x14ac:dyDescent="0.3">
      <c r="B33" s="21"/>
      <c r="C33" s="552"/>
      <c r="D33" s="552"/>
      <c r="E33" s="552"/>
      <c r="F33" s="552"/>
      <c r="G33" s="552"/>
      <c r="H33" s="552"/>
      <c r="I33" s="552"/>
      <c r="J33" s="552"/>
      <c r="K33" s="552"/>
      <c r="L33" s="552"/>
      <c r="M33" s="22"/>
      <c r="N33" s="438"/>
    </row>
    <row r="34" spans="2:14" ht="17.25" customHeight="1" x14ac:dyDescent="0.3">
      <c r="B34" s="19"/>
      <c r="C34" s="553"/>
      <c r="D34" s="553"/>
      <c r="E34" s="553"/>
      <c r="F34" s="553"/>
      <c r="G34" s="553"/>
      <c r="H34" s="553"/>
      <c r="I34" s="553"/>
      <c r="J34" s="553"/>
      <c r="K34" s="553"/>
      <c r="L34" s="553"/>
      <c r="M34" s="23"/>
      <c r="N34" s="438"/>
    </row>
    <row r="35" spans="2:14" ht="17.25" customHeight="1" x14ac:dyDescent="0.3">
      <c r="B35" s="21"/>
      <c r="C35" s="552"/>
      <c r="D35" s="552"/>
      <c r="E35" s="552"/>
      <c r="F35" s="552"/>
      <c r="G35" s="552"/>
      <c r="H35" s="552"/>
      <c r="I35" s="552"/>
      <c r="J35" s="552"/>
      <c r="K35" s="552"/>
      <c r="L35" s="552"/>
      <c r="M35" s="22"/>
      <c r="N35" s="438"/>
    </row>
    <row r="36" spans="2:14" ht="17.25" customHeight="1" x14ac:dyDescent="0.3">
      <c r="B36" s="19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20"/>
      <c r="N36" s="438"/>
    </row>
    <row r="37" spans="2:14" ht="17.25" customHeight="1" x14ac:dyDescent="0.3">
      <c r="B37" s="21"/>
      <c r="C37" s="552"/>
      <c r="D37" s="552"/>
      <c r="E37" s="552"/>
      <c r="F37" s="552"/>
      <c r="G37" s="552"/>
      <c r="H37" s="552"/>
      <c r="I37" s="552"/>
      <c r="J37" s="552"/>
      <c r="K37" s="552"/>
      <c r="L37" s="552"/>
      <c r="M37" s="22"/>
      <c r="N37" s="438"/>
    </row>
    <row r="38" spans="2:14" ht="17.25" customHeight="1" x14ac:dyDescent="0.3">
      <c r="B38" s="19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20"/>
      <c r="N38" s="438"/>
    </row>
    <row r="39" spans="2:14" ht="17.25" customHeight="1" x14ac:dyDescent="0.3">
      <c r="B39" s="21"/>
      <c r="C39" s="552"/>
      <c r="D39" s="552"/>
      <c r="E39" s="552"/>
      <c r="F39" s="552"/>
      <c r="G39" s="552"/>
      <c r="H39" s="552"/>
      <c r="I39" s="552"/>
      <c r="J39" s="552"/>
      <c r="K39" s="552"/>
      <c r="L39" s="552"/>
      <c r="M39" s="22"/>
      <c r="N39" s="438"/>
    </row>
    <row r="40" spans="2:14" ht="17.25" customHeight="1" x14ac:dyDescent="0.3">
      <c r="B40" s="19"/>
      <c r="C40" s="553"/>
      <c r="D40" s="553"/>
      <c r="E40" s="553"/>
      <c r="F40" s="553"/>
      <c r="G40" s="553"/>
      <c r="H40" s="553"/>
      <c r="I40" s="553"/>
      <c r="J40" s="553"/>
      <c r="K40" s="553"/>
      <c r="L40" s="553"/>
      <c r="M40" s="20"/>
      <c r="N40" s="438"/>
    </row>
    <row r="41" spans="2:14" ht="17.25" customHeight="1" x14ac:dyDescent="0.3">
      <c r="B41" s="21"/>
      <c r="C41" s="552"/>
      <c r="D41" s="552"/>
      <c r="E41" s="552"/>
      <c r="F41" s="552"/>
      <c r="G41" s="552"/>
      <c r="H41" s="552"/>
      <c r="I41" s="552"/>
      <c r="J41" s="552"/>
      <c r="K41" s="552"/>
      <c r="L41" s="552"/>
      <c r="M41" s="22"/>
      <c r="N41" s="438"/>
    </row>
    <row r="42" spans="2:14" ht="17.25" customHeight="1" x14ac:dyDescent="0.3">
      <c r="B42" s="19"/>
      <c r="C42" s="553"/>
      <c r="D42" s="553"/>
      <c r="E42" s="553"/>
      <c r="F42" s="553"/>
      <c r="G42" s="553"/>
      <c r="H42" s="553"/>
      <c r="I42" s="553"/>
      <c r="J42" s="553"/>
      <c r="K42" s="553"/>
      <c r="L42" s="553"/>
      <c r="M42" s="23"/>
      <c r="N42" s="438"/>
    </row>
    <row r="43" spans="2:14" ht="17.25" customHeight="1" x14ac:dyDescent="0.3">
      <c r="B43" s="21"/>
      <c r="C43" s="552"/>
      <c r="D43" s="552"/>
      <c r="E43" s="552"/>
      <c r="F43" s="552"/>
      <c r="G43" s="552"/>
      <c r="H43" s="552"/>
      <c r="I43" s="552"/>
      <c r="J43" s="552"/>
      <c r="K43" s="552"/>
      <c r="L43" s="552"/>
      <c r="M43" s="22"/>
      <c r="N43" s="438"/>
    </row>
    <row r="44" spans="2:14" ht="17.25" customHeight="1" x14ac:dyDescent="0.3">
      <c r="B44" s="19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20"/>
      <c r="N44" s="438"/>
    </row>
    <row r="45" spans="2:14" ht="17.25" customHeight="1" x14ac:dyDescent="0.3">
      <c r="B45" s="21"/>
      <c r="C45" s="552"/>
      <c r="D45" s="552"/>
      <c r="E45" s="552"/>
      <c r="F45" s="552"/>
      <c r="G45" s="552"/>
      <c r="H45" s="552"/>
      <c r="I45" s="552"/>
      <c r="J45" s="552"/>
      <c r="K45" s="552"/>
      <c r="L45" s="552"/>
      <c r="M45" s="22"/>
      <c r="N45" s="438"/>
    </row>
    <row r="46" spans="2:14" ht="17.25" customHeight="1" x14ac:dyDescent="0.3">
      <c r="B46" s="19"/>
      <c r="C46" s="553"/>
      <c r="D46" s="553"/>
      <c r="E46" s="553"/>
      <c r="F46" s="553"/>
      <c r="G46" s="553"/>
      <c r="H46" s="553"/>
      <c r="I46" s="553"/>
      <c r="J46" s="553"/>
      <c r="K46" s="553"/>
      <c r="L46" s="553"/>
      <c r="M46" s="20"/>
      <c r="N46" s="438"/>
    </row>
    <row r="47" spans="2:14" ht="17.25" customHeight="1" x14ac:dyDescent="0.3">
      <c r="B47" s="21"/>
      <c r="C47" s="552"/>
      <c r="D47" s="552"/>
      <c r="E47" s="552"/>
      <c r="F47" s="552"/>
      <c r="G47" s="552"/>
      <c r="H47" s="552"/>
      <c r="I47" s="552"/>
      <c r="J47" s="552"/>
      <c r="K47" s="552"/>
      <c r="L47" s="552"/>
      <c r="M47" s="22"/>
      <c r="N47" s="438"/>
    </row>
    <row r="48" spans="2:14" ht="17.25" customHeight="1" x14ac:dyDescent="0.3">
      <c r="B48" s="19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20"/>
      <c r="N48" s="438"/>
    </row>
    <row r="49" spans="2:14" ht="17.25" customHeight="1" x14ac:dyDescent="0.3">
      <c r="B49" s="21"/>
      <c r="C49" s="552"/>
      <c r="D49" s="552"/>
      <c r="E49" s="552"/>
      <c r="F49" s="552"/>
      <c r="G49" s="552"/>
      <c r="H49" s="552"/>
      <c r="I49" s="552"/>
      <c r="J49" s="552"/>
      <c r="K49" s="552"/>
      <c r="L49" s="552"/>
      <c r="M49" s="22"/>
      <c r="N49" s="438"/>
    </row>
    <row r="50" spans="2:14" ht="17.25" customHeight="1" x14ac:dyDescent="0.3">
      <c r="B50" s="19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20"/>
      <c r="N50" s="438"/>
    </row>
    <row r="51" spans="2:14" ht="17.25" customHeight="1" x14ac:dyDescent="0.3">
      <c r="B51" s="21"/>
      <c r="C51" s="552"/>
      <c r="D51" s="552"/>
      <c r="E51" s="552"/>
      <c r="F51" s="552"/>
      <c r="G51" s="552"/>
      <c r="H51" s="552"/>
      <c r="I51" s="552"/>
      <c r="J51" s="552"/>
      <c r="K51" s="552"/>
      <c r="L51" s="552"/>
      <c r="M51" s="24"/>
      <c r="N51" s="438"/>
    </row>
    <row r="52" spans="2:14" ht="17.25" customHeight="1" x14ac:dyDescent="0.3">
      <c r="B52" s="19"/>
      <c r="C52" s="553"/>
      <c r="D52" s="553"/>
      <c r="E52" s="553"/>
      <c r="F52" s="553"/>
      <c r="G52" s="553"/>
      <c r="H52" s="553"/>
      <c r="I52" s="553"/>
      <c r="J52" s="553"/>
      <c r="K52" s="553"/>
      <c r="L52" s="553"/>
      <c r="M52" s="20"/>
      <c r="N52" s="438"/>
    </row>
    <row r="53" spans="2:14" ht="17.25" customHeight="1" x14ac:dyDescent="0.3">
      <c r="B53" s="21"/>
      <c r="C53" s="552"/>
      <c r="D53" s="552"/>
      <c r="E53" s="552"/>
      <c r="F53" s="552"/>
      <c r="G53" s="552"/>
      <c r="H53" s="552"/>
      <c r="I53" s="552"/>
      <c r="J53" s="552"/>
      <c r="K53" s="552"/>
      <c r="L53" s="552"/>
      <c r="M53" s="22"/>
      <c r="N53" s="438"/>
    </row>
    <row r="54" spans="2:14" ht="17.25" customHeight="1" x14ac:dyDescent="0.3">
      <c r="B54" s="19"/>
      <c r="C54" s="553"/>
      <c r="D54" s="553"/>
      <c r="E54" s="553"/>
      <c r="F54" s="553"/>
      <c r="G54" s="553"/>
      <c r="H54" s="553"/>
      <c r="I54" s="553"/>
      <c r="J54" s="553"/>
      <c r="K54" s="553"/>
      <c r="L54" s="553"/>
      <c r="M54" s="20"/>
      <c r="N54" s="438"/>
    </row>
    <row r="55" spans="2:14" ht="17.25" customHeight="1" x14ac:dyDescent="0.3">
      <c r="B55" s="21"/>
      <c r="C55" s="552"/>
      <c r="D55" s="552"/>
      <c r="E55" s="552"/>
      <c r="F55" s="552"/>
      <c r="G55" s="552"/>
      <c r="H55" s="552"/>
      <c r="I55" s="552"/>
      <c r="J55" s="552"/>
      <c r="K55" s="552"/>
      <c r="L55" s="552"/>
      <c r="M55" s="22"/>
      <c r="N55" s="438"/>
    </row>
    <row r="56" spans="2:14" ht="17.25" customHeight="1" x14ac:dyDescent="0.3">
      <c r="B56" s="19"/>
      <c r="C56" s="553"/>
      <c r="D56" s="553"/>
      <c r="E56" s="553"/>
      <c r="F56" s="553"/>
      <c r="G56" s="553"/>
      <c r="H56" s="553"/>
      <c r="I56" s="553"/>
      <c r="J56" s="553"/>
      <c r="K56" s="553"/>
      <c r="L56" s="553"/>
      <c r="M56" s="20"/>
      <c r="N56" s="438"/>
    </row>
    <row r="57" spans="2:14" ht="17.25" customHeight="1" x14ac:dyDescent="0.3">
      <c r="B57" s="21"/>
      <c r="C57" s="552"/>
      <c r="D57" s="552"/>
      <c r="E57" s="552"/>
      <c r="F57" s="552"/>
      <c r="G57" s="552"/>
      <c r="H57" s="552"/>
      <c r="I57" s="552"/>
      <c r="J57" s="552"/>
      <c r="K57" s="552"/>
      <c r="L57" s="552"/>
      <c r="M57" s="22"/>
      <c r="N57" s="438"/>
    </row>
    <row r="58" spans="2:14" ht="17.25" customHeight="1" x14ac:dyDescent="0.3">
      <c r="B58" s="19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20"/>
      <c r="N58" s="438"/>
    </row>
    <row r="59" spans="2:14" ht="17.25" customHeight="1" x14ac:dyDescent="0.3">
      <c r="B59" s="21"/>
      <c r="C59" s="552"/>
      <c r="D59" s="552"/>
      <c r="E59" s="552"/>
      <c r="F59" s="552"/>
      <c r="G59" s="552"/>
      <c r="H59" s="552"/>
      <c r="I59" s="552"/>
      <c r="J59" s="552"/>
      <c r="K59" s="552"/>
      <c r="L59" s="552"/>
      <c r="M59" s="24"/>
      <c r="N59" s="438"/>
    </row>
    <row r="60" spans="2:14" ht="17.25" customHeight="1" x14ac:dyDescent="0.3">
      <c r="B60" s="19"/>
      <c r="C60" s="553"/>
      <c r="D60" s="553"/>
      <c r="E60" s="553"/>
      <c r="F60" s="553"/>
      <c r="G60" s="553"/>
      <c r="H60" s="553"/>
      <c r="I60" s="553"/>
      <c r="J60" s="553"/>
      <c r="K60" s="553"/>
      <c r="L60" s="553"/>
      <c r="M60" s="20"/>
      <c r="N60" s="438"/>
    </row>
    <row r="61" spans="2:14" ht="17.25" customHeight="1" x14ac:dyDescent="0.3">
      <c r="B61" s="21"/>
      <c r="C61" s="552"/>
      <c r="D61" s="552"/>
      <c r="E61" s="552"/>
      <c r="F61" s="552"/>
      <c r="G61" s="552"/>
      <c r="H61" s="552"/>
      <c r="I61" s="552"/>
      <c r="J61" s="552"/>
      <c r="K61" s="552"/>
      <c r="L61" s="552"/>
      <c r="M61" s="22"/>
      <c r="N61" s="438"/>
    </row>
    <row r="62" spans="2:14" ht="17.25" customHeight="1" x14ac:dyDescent="0.3">
      <c r="B62" s="19"/>
      <c r="C62" s="553"/>
      <c r="D62" s="553"/>
      <c r="E62" s="553"/>
      <c r="F62" s="553"/>
      <c r="G62" s="553"/>
      <c r="H62" s="553"/>
      <c r="I62" s="553"/>
      <c r="J62" s="553"/>
      <c r="K62" s="553"/>
      <c r="L62" s="553"/>
      <c r="M62" s="20"/>
      <c r="N62" s="438"/>
    </row>
    <row r="63" spans="2:14" ht="17.25" customHeight="1" x14ac:dyDescent="0.3">
      <c r="B63" s="21"/>
      <c r="C63" s="552"/>
      <c r="D63" s="552"/>
      <c r="E63" s="552"/>
      <c r="F63" s="552"/>
      <c r="G63" s="552"/>
      <c r="H63" s="552"/>
      <c r="I63" s="552"/>
      <c r="J63" s="552"/>
      <c r="K63" s="552"/>
      <c r="L63" s="552"/>
      <c r="M63" s="22"/>
      <c r="N63" s="438"/>
    </row>
    <row r="64" spans="2:14" ht="17.25" customHeight="1" x14ac:dyDescent="0.3">
      <c r="B64" s="19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20"/>
      <c r="N64" s="438"/>
    </row>
    <row r="65" spans="2:14" ht="17.25" customHeight="1" x14ac:dyDescent="0.3">
      <c r="B65" s="21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22"/>
      <c r="N65" s="438"/>
    </row>
    <row r="66" spans="2:14" ht="17.25" customHeight="1" x14ac:dyDescent="0.3">
      <c r="B66" s="19"/>
      <c r="C66" s="553"/>
      <c r="D66" s="553"/>
      <c r="E66" s="553"/>
      <c r="F66" s="553"/>
      <c r="G66" s="553"/>
      <c r="H66" s="553"/>
      <c r="I66" s="553"/>
      <c r="J66" s="553"/>
      <c r="K66" s="553"/>
      <c r="L66" s="553"/>
      <c r="M66" s="20"/>
      <c r="N66" s="438"/>
    </row>
    <row r="67" spans="2:14" ht="17.25" customHeight="1" x14ac:dyDescent="0.3">
      <c r="B67" s="21"/>
      <c r="C67" s="552"/>
      <c r="D67" s="552"/>
      <c r="E67" s="552"/>
      <c r="F67" s="552"/>
      <c r="G67" s="552"/>
      <c r="H67" s="552"/>
      <c r="I67" s="552"/>
      <c r="J67" s="552"/>
      <c r="K67" s="552"/>
      <c r="L67" s="552"/>
      <c r="M67" s="22"/>
      <c r="N67" s="438"/>
    </row>
    <row r="68" spans="2:14" ht="17.25" customHeight="1" x14ac:dyDescent="0.3">
      <c r="B68" s="19"/>
      <c r="C68" s="553"/>
      <c r="D68" s="553"/>
      <c r="E68" s="553"/>
      <c r="F68" s="553"/>
      <c r="G68" s="553"/>
      <c r="H68" s="553"/>
      <c r="I68" s="553"/>
      <c r="J68" s="553"/>
      <c r="K68" s="553"/>
      <c r="L68" s="553"/>
      <c r="M68" s="23"/>
      <c r="N68" s="438"/>
    </row>
    <row r="69" spans="2:14" ht="17.25" customHeight="1" x14ac:dyDescent="0.3">
      <c r="B69" s="21"/>
      <c r="C69" s="552"/>
      <c r="D69" s="552"/>
      <c r="E69" s="552"/>
      <c r="F69" s="552"/>
      <c r="G69" s="552"/>
      <c r="H69" s="552"/>
      <c r="I69" s="552"/>
      <c r="J69" s="552"/>
      <c r="K69" s="552"/>
      <c r="L69" s="552"/>
      <c r="M69" s="22"/>
      <c r="N69" s="438"/>
    </row>
    <row r="70" spans="2:14" ht="17.25" customHeight="1" x14ac:dyDescent="0.3">
      <c r="B70" s="19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20"/>
      <c r="N70" s="438"/>
    </row>
    <row r="71" spans="2:14" ht="17.25" customHeight="1" x14ac:dyDescent="0.3">
      <c r="B71" s="21"/>
      <c r="C71" s="552"/>
      <c r="D71" s="552"/>
      <c r="E71" s="552"/>
      <c r="F71" s="552"/>
      <c r="G71" s="552"/>
      <c r="H71" s="552"/>
      <c r="I71" s="552"/>
      <c r="J71" s="552"/>
      <c r="K71" s="552"/>
      <c r="L71" s="552"/>
      <c r="M71" s="22"/>
      <c r="N71" s="438"/>
    </row>
    <row r="72" spans="2:14" ht="17.25" customHeight="1" x14ac:dyDescent="0.3">
      <c r="B72" s="19"/>
      <c r="C72" s="553"/>
      <c r="D72" s="553"/>
      <c r="E72" s="553"/>
      <c r="F72" s="553"/>
      <c r="G72" s="553"/>
      <c r="H72" s="553"/>
      <c r="I72" s="553"/>
      <c r="J72" s="553"/>
      <c r="K72" s="553"/>
      <c r="L72" s="553"/>
      <c r="M72" s="20"/>
      <c r="N72" s="438"/>
    </row>
    <row r="73" spans="2:14" ht="17.25" customHeight="1" x14ac:dyDescent="0.3">
      <c r="B73" s="21"/>
      <c r="C73" s="552"/>
      <c r="D73" s="552"/>
      <c r="E73" s="552"/>
      <c r="F73" s="552"/>
      <c r="G73" s="552"/>
      <c r="H73" s="552"/>
      <c r="I73" s="552"/>
      <c r="J73" s="552"/>
      <c r="K73" s="552"/>
      <c r="L73" s="552"/>
      <c r="M73" s="22"/>
      <c r="N73" s="438"/>
    </row>
    <row r="74" spans="2:14" ht="17.25" customHeight="1" x14ac:dyDescent="0.3">
      <c r="B74" s="19"/>
      <c r="C74" s="553"/>
      <c r="D74" s="553"/>
      <c r="E74" s="553"/>
      <c r="F74" s="553"/>
      <c r="G74" s="553"/>
      <c r="H74" s="553"/>
      <c r="I74" s="553"/>
      <c r="J74" s="553"/>
      <c r="K74" s="553"/>
      <c r="L74" s="553"/>
      <c r="M74" s="20"/>
      <c r="N74" s="438"/>
    </row>
    <row r="75" spans="2:14" ht="17.25" customHeight="1" x14ac:dyDescent="0.3">
      <c r="B75" s="21"/>
      <c r="C75" s="552"/>
      <c r="D75" s="552"/>
      <c r="E75" s="552"/>
      <c r="F75" s="552"/>
      <c r="G75" s="552"/>
      <c r="H75" s="552"/>
      <c r="I75" s="552"/>
      <c r="J75" s="552"/>
      <c r="K75" s="552"/>
      <c r="L75" s="552"/>
      <c r="M75" s="22"/>
      <c r="N75" s="438"/>
    </row>
    <row r="76" spans="2:14" ht="17.25" customHeight="1" x14ac:dyDescent="0.3">
      <c r="B76" s="19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23"/>
      <c r="N76" s="438"/>
    </row>
    <row r="77" spans="2:14" ht="17.25" customHeight="1" x14ac:dyDescent="0.3">
      <c r="B77" s="21"/>
      <c r="C77" s="552"/>
      <c r="D77" s="552"/>
      <c r="E77" s="552"/>
      <c r="F77" s="552"/>
      <c r="G77" s="552"/>
      <c r="H77" s="552"/>
      <c r="I77" s="552"/>
      <c r="J77" s="552"/>
      <c r="K77" s="552"/>
      <c r="L77" s="552"/>
      <c r="M77" s="22"/>
      <c r="N77" s="438"/>
    </row>
    <row r="78" spans="2:14" ht="17.25" customHeight="1" x14ac:dyDescent="0.3">
      <c r="B78" s="19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20"/>
      <c r="N78" s="438"/>
    </row>
    <row r="79" spans="2:14" ht="17.25" customHeight="1" x14ac:dyDescent="0.3">
      <c r="B79" s="21"/>
      <c r="C79" s="552"/>
      <c r="D79" s="552"/>
      <c r="E79" s="552"/>
      <c r="F79" s="552"/>
      <c r="G79" s="552"/>
      <c r="H79" s="552"/>
      <c r="I79" s="552"/>
      <c r="J79" s="552"/>
      <c r="K79" s="552"/>
      <c r="L79" s="552"/>
      <c r="M79" s="22"/>
      <c r="N79" s="438"/>
    </row>
    <row r="80" spans="2:14" ht="17.25" customHeight="1" x14ac:dyDescent="0.3">
      <c r="B80" s="19"/>
      <c r="C80" s="553"/>
      <c r="D80" s="553"/>
      <c r="E80" s="553"/>
      <c r="F80" s="553"/>
      <c r="G80" s="553"/>
      <c r="H80" s="553"/>
      <c r="I80" s="553"/>
      <c r="J80" s="553"/>
      <c r="K80" s="553"/>
      <c r="L80" s="553"/>
      <c r="M80" s="20"/>
      <c r="N80" s="438"/>
    </row>
    <row r="81" spans="2:14" ht="17.25" customHeight="1" x14ac:dyDescent="0.3">
      <c r="B81" s="21"/>
      <c r="C81" s="552"/>
      <c r="D81" s="552"/>
      <c r="E81" s="552"/>
      <c r="F81" s="552"/>
      <c r="G81" s="552"/>
      <c r="H81" s="552"/>
      <c r="I81" s="552"/>
      <c r="J81" s="552"/>
      <c r="K81" s="552"/>
      <c r="L81" s="552"/>
      <c r="M81" s="22"/>
      <c r="N81" s="438"/>
    </row>
    <row r="82" spans="2:14" ht="17.25" customHeight="1" x14ac:dyDescent="0.3">
      <c r="B82" s="19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20"/>
      <c r="N82" s="438"/>
    </row>
    <row r="83" spans="2:14" ht="17.25" customHeight="1" x14ac:dyDescent="0.3">
      <c r="B83" s="21"/>
      <c r="C83" s="552"/>
      <c r="D83" s="552"/>
      <c r="E83" s="552"/>
      <c r="F83" s="552"/>
      <c r="G83" s="552"/>
      <c r="H83" s="552"/>
      <c r="I83" s="552"/>
      <c r="J83" s="552"/>
      <c r="K83" s="552"/>
      <c r="L83" s="552"/>
      <c r="M83" s="22"/>
      <c r="N83" s="438"/>
    </row>
    <row r="84" spans="2:14" ht="17.25" customHeight="1" x14ac:dyDescent="0.3">
      <c r="B84" s="19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20"/>
      <c r="N84" s="438"/>
    </row>
    <row r="85" spans="2:14" ht="17.25" customHeight="1" x14ac:dyDescent="0.3">
      <c r="B85" s="21"/>
      <c r="C85" s="552"/>
      <c r="D85" s="552"/>
      <c r="E85" s="552"/>
      <c r="F85" s="552"/>
      <c r="G85" s="552"/>
      <c r="H85" s="552"/>
      <c r="I85" s="552"/>
      <c r="J85" s="552"/>
      <c r="K85" s="552"/>
      <c r="L85" s="552"/>
      <c r="M85" s="24"/>
      <c r="N85" s="438"/>
    </row>
    <row r="86" spans="2:14" ht="17.25" customHeight="1" x14ac:dyDescent="0.3">
      <c r="B86" s="19"/>
      <c r="C86" s="553"/>
      <c r="D86" s="553"/>
      <c r="E86" s="553"/>
      <c r="F86" s="553"/>
      <c r="G86" s="553"/>
      <c r="H86" s="553"/>
      <c r="I86" s="553"/>
      <c r="J86" s="553"/>
      <c r="K86" s="553"/>
      <c r="L86" s="553"/>
      <c r="M86" s="20"/>
      <c r="N86" s="438"/>
    </row>
    <row r="87" spans="2:14" ht="17.25" customHeight="1" x14ac:dyDescent="0.3">
      <c r="B87" s="21"/>
      <c r="C87" s="552"/>
      <c r="D87" s="552"/>
      <c r="E87" s="552"/>
      <c r="F87" s="552"/>
      <c r="G87" s="552"/>
      <c r="H87" s="552"/>
      <c r="I87" s="552"/>
      <c r="J87" s="552"/>
      <c r="K87" s="552"/>
      <c r="L87" s="552"/>
      <c r="M87" s="22"/>
      <c r="N87" s="438"/>
    </row>
    <row r="88" spans="2:14" ht="17.25" customHeight="1" x14ac:dyDescent="0.3">
      <c r="B88" s="19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20"/>
      <c r="N88" s="438"/>
    </row>
    <row r="89" spans="2:14" ht="17.25" customHeight="1" x14ac:dyDescent="0.3">
      <c r="B89" s="21"/>
      <c r="C89" s="552"/>
      <c r="D89" s="552"/>
      <c r="E89" s="552"/>
      <c r="F89" s="552"/>
      <c r="G89" s="552"/>
      <c r="H89" s="552"/>
      <c r="I89" s="552"/>
      <c r="J89" s="552"/>
      <c r="K89" s="552"/>
      <c r="L89" s="552"/>
      <c r="M89" s="22"/>
      <c r="N89" s="438"/>
    </row>
    <row r="90" spans="2:14" ht="17.25" customHeight="1" x14ac:dyDescent="0.3">
      <c r="B90" s="19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20"/>
      <c r="N90" s="438"/>
    </row>
    <row r="91" spans="2:14" ht="17.25" customHeight="1" x14ac:dyDescent="0.3">
      <c r="B91" s="21"/>
      <c r="C91" s="552"/>
      <c r="D91" s="552"/>
      <c r="E91" s="552"/>
      <c r="F91" s="552"/>
      <c r="G91" s="552"/>
      <c r="H91" s="552"/>
      <c r="I91" s="552"/>
      <c r="J91" s="552"/>
      <c r="K91" s="552"/>
      <c r="L91" s="552"/>
      <c r="M91" s="22"/>
      <c r="N91" s="438"/>
    </row>
    <row r="92" spans="2:14" ht="17.25" customHeight="1" x14ac:dyDescent="0.3">
      <c r="B92" s="19"/>
      <c r="C92" s="553"/>
      <c r="D92" s="553"/>
      <c r="E92" s="553"/>
      <c r="F92" s="553"/>
      <c r="G92" s="553"/>
      <c r="H92" s="553"/>
      <c r="I92" s="553"/>
      <c r="J92" s="553"/>
      <c r="K92" s="553"/>
      <c r="L92" s="553"/>
      <c r="M92" s="20"/>
      <c r="N92" s="438"/>
    </row>
    <row r="93" spans="2:14" ht="17.25" customHeight="1" x14ac:dyDescent="0.3">
      <c r="B93" s="21"/>
      <c r="C93" s="552"/>
      <c r="D93" s="552"/>
      <c r="E93" s="552"/>
      <c r="F93" s="552"/>
      <c r="G93" s="552"/>
      <c r="H93" s="552"/>
      <c r="I93" s="552"/>
      <c r="J93" s="552"/>
      <c r="K93" s="552"/>
      <c r="L93" s="552"/>
      <c r="M93" s="24"/>
      <c r="N93" s="438"/>
    </row>
    <row r="94" spans="2:14" ht="17.25" customHeight="1" x14ac:dyDescent="0.3">
      <c r="B94" s="25"/>
      <c r="C94" s="601"/>
      <c r="D94" s="601"/>
      <c r="E94" s="601"/>
      <c r="F94" s="601"/>
      <c r="G94" s="601"/>
      <c r="H94" s="601"/>
      <c r="I94" s="601"/>
      <c r="J94" s="601"/>
      <c r="K94" s="601"/>
      <c r="L94" s="601"/>
      <c r="M94" s="26"/>
      <c r="N94" s="438"/>
    </row>
    <row r="95" spans="2:14" ht="18" customHeight="1" x14ac:dyDescent="0.3">
      <c r="N95" s="437"/>
    </row>
    <row r="96" spans="2:14" ht="18" customHeight="1" x14ac:dyDescent="0.3">
      <c r="N96" s="437"/>
    </row>
    <row r="97" spans="14:14" ht="18" customHeight="1" x14ac:dyDescent="0.3">
      <c r="N97" s="437"/>
    </row>
    <row r="98" spans="14:14" ht="18" customHeight="1" x14ac:dyDescent="0.3">
      <c r="N98" s="437"/>
    </row>
    <row r="99" spans="14:14" ht="18" customHeight="1" x14ac:dyDescent="0.3">
      <c r="N99" s="437"/>
    </row>
    <row r="100" spans="14:14" ht="18" customHeight="1" x14ac:dyDescent="0.3">
      <c r="N100" s="437"/>
    </row>
    <row r="101" spans="14:14" ht="18" customHeight="1" x14ac:dyDescent="0.3">
      <c r="N101" s="437"/>
    </row>
    <row r="102" spans="14:14" ht="18" customHeight="1" x14ac:dyDescent="0.3">
      <c r="N102" s="437"/>
    </row>
    <row r="103" spans="14:14" ht="18" customHeight="1" x14ac:dyDescent="0.3">
      <c r="N103" s="437"/>
    </row>
    <row r="104" spans="14:14" ht="18" customHeight="1" x14ac:dyDescent="0.3">
      <c r="N104" s="437"/>
    </row>
    <row r="105" spans="14:14" ht="18" customHeight="1" x14ac:dyDescent="0.3">
      <c r="N105" s="437"/>
    </row>
    <row r="106" spans="14:14" ht="18" customHeight="1" x14ac:dyDescent="0.3">
      <c r="N106" s="437"/>
    </row>
    <row r="107" spans="14:14" ht="18" customHeight="1" x14ac:dyDescent="0.3">
      <c r="N107" s="437"/>
    </row>
    <row r="108" spans="14:14" ht="18" customHeight="1" x14ac:dyDescent="0.3">
      <c r="N108" s="437"/>
    </row>
    <row r="109" spans="14:14" ht="18" customHeight="1" x14ac:dyDescent="0.3">
      <c r="N109" s="437"/>
    </row>
    <row r="110" spans="14:14" ht="18" customHeight="1" x14ac:dyDescent="0.3">
      <c r="N110" s="437"/>
    </row>
    <row r="111" spans="14:14" ht="18" customHeight="1" x14ac:dyDescent="0.3">
      <c r="N111" s="437"/>
    </row>
    <row r="112" spans="14:14" ht="18" customHeight="1" x14ac:dyDescent="0.3">
      <c r="N112" s="437"/>
    </row>
    <row r="113" spans="14:14" ht="18" customHeight="1" x14ac:dyDescent="0.3">
      <c r="N113" s="437"/>
    </row>
    <row r="114" spans="14:14" ht="18" customHeight="1" x14ac:dyDescent="0.3">
      <c r="N114" s="437"/>
    </row>
    <row r="115" spans="14:14" ht="18" customHeight="1" x14ac:dyDescent="0.3">
      <c r="N115" s="437"/>
    </row>
    <row r="116" spans="14:14" ht="18" customHeight="1" x14ac:dyDescent="0.3">
      <c r="N116" s="437"/>
    </row>
    <row r="117" spans="14:14" ht="18" customHeight="1" x14ac:dyDescent="0.3">
      <c r="N117" s="437"/>
    </row>
    <row r="118" spans="14:14" ht="18" customHeight="1" x14ac:dyDescent="0.3">
      <c r="N118" s="437"/>
    </row>
    <row r="119" spans="14:14" ht="18" customHeight="1" x14ac:dyDescent="0.3">
      <c r="N119" s="437"/>
    </row>
    <row r="120" spans="14:14" ht="18" customHeight="1" x14ac:dyDescent="0.3">
      <c r="N120" s="437"/>
    </row>
    <row r="121" spans="14:14" ht="18" customHeight="1" x14ac:dyDescent="0.3">
      <c r="N121" s="437"/>
    </row>
    <row r="122" spans="14:14" ht="18" customHeight="1" x14ac:dyDescent="0.3">
      <c r="N122" s="437"/>
    </row>
    <row r="123" spans="14:14" ht="18" customHeight="1" x14ac:dyDescent="0.3">
      <c r="N123" s="437"/>
    </row>
    <row r="124" spans="14:14" ht="18" customHeight="1" x14ac:dyDescent="0.3">
      <c r="N124" s="437"/>
    </row>
    <row r="125" spans="14:14" ht="18" customHeight="1" x14ac:dyDescent="0.3">
      <c r="N125" s="437"/>
    </row>
    <row r="126" spans="14:14" ht="18" customHeight="1" x14ac:dyDescent="0.3">
      <c r="N126" s="437"/>
    </row>
    <row r="127" spans="14:14" ht="18" customHeight="1" x14ac:dyDescent="0.3">
      <c r="N127" s="437"/>
    </row>
    <row r="128" spans="14:14" ht="18" customHeight="1" x14ac:dyDescent="0.3">
      <c r="N128" s="437"/>
    </row>
    <row r="129" spans="14:14" ht="18" customHeight="1" x14ac:dyDescent="0.3">
      <c r="N129" s="437"/>
    </row>
    <row r="130" spans="14:14" ht="18" customHeight="1" x14ac:dyDescent="0.3">
      <c r="N130" s="437"/>
    </row>
    <row r="131" spans="14:14" ht="18" customHeight="1" x14ac:dyDescent="0.3">
      <c r="N131" s="437"/>
    </row>
    <row r="132" spans="14:14" ht="18" customHeight="1" x14ac:dyDescent="0.3">
      <c r="N132" s="437"/>
    </row>
    <row r="133" spans="14:14" ht="18" customHeight="1" x14ac:dyDescent="0.3">
      <c r="N133" s="437"/>
    </row>
    <row r="134" spans="14:14" ht="18" customHeight="1" x14ac:dyDescent="0.3">
      <c r="N134" s="437"/>
    </row>
    <row r="135" spans="14:14" ht="18" customHeight="1" x14ac:dyDescent="0.3">
      <c r="N135" s="437"/>
    </row>
    <row r="136" spans="14:14" ht="18" customHeight="1" x14ac:dyDescent="0.3">
      <c r="N136" s="437"/>
    </row>
    <row r="137" spans="14:14" ht="18" customHeight="1" x14ac:dyDescent="0.3">
      <c r="N137" s="437"/>
    </row>
    <row r="138" spans="14:14" ht="18" customHeight="1" x14ac:dyDescent="0.3">
      <c r="N138" s="437"/>
    </row>
    <row r="139" spans="14:14" ht="18" customHeight="1" x14ac:dyDescent="0.3">
      <c r="N139" s="437"/>
    </row>
    <row r="140" spans="14:14" ht="18" customHeight="1" x14ac:dyDescent="0.3">
      <c r="N140" s="437"/>
    </row>
    <row r="141" spans="14:14" ht="18" customHeight="1" x14ac:dyDescent="0.3">
      <c r="N141" s="437"/>
    </row>
    <row r="142" spans="14:14" ht="18" customHeight="1" x14ac:dyDescent="0.3">
      <c r="N142" s="437"/>
    </row>
    <row r="143" spans="14:14" ht="18" customHeight="1" x14ac:dyDescent="0.3">
      <c r="N143" s="437"/>
    </row>
    <row r="144" spans="14:14" ht="18" customHeight="1" x14ac:dyDescent="0.3">
      <c r="N144" s="437"/>
    </row>
    <row r="145" spans="14:14" ht="18" customHeight="1" x14ac:dyDescent="0.3">
      <c r="N145" s="437"/>
    </row>
    <row r="146" spans="14:14" ht="18" customHeight="1" x14ac:dyDescent="0.3">
      <c r="N146" s="437"/>
    </row>
    <row r="147" spans="14:14" ht="18" customHeight="1" x14ac:dyDescent="0.3">
      <c r="N147" s="437"/>
    </row>
    <row r="148" spans="14:14" ht="18" customHeight="1" x14ac:dyDescent="0.3">
      <c r="N148" s="437"/>
    </row>
    <row r="149" spans="14:14" ht="18" customHeight="1" x14ac:dyDescent="0.3">
      <c r="N149" s="437"/>
    </row>
    <row r="150" spans="14:14" ht="18" customHeight="1" x14ac:dyDescent="0.3">
      <c r="N150" s="437"/>
    </row>
    <row r="151" spans="14:14" ht="18" customHeight="1" x14ac:dyDescent="0.3">
      <c r="N151" s="437"/>
    </row>
    <row r="152" spans="14:14" ht="18" customHeight="1" x14ac:dyDescent="0.3">
      <c r="N152" s="437"/>
    </row>
    <row r="153" spans="14:14" ht="18" customHeight="1" x14ac:dyDescent="0.3">
      <c r="N153" s="437"/>
    </row>
    <row r="154" spans="14:14" ht="18" customHeight="1" x14ac:dyDescent="0.3">
      <c r="N154" s="437"/>
    </row>
    <row r="155" spans="14:14" ht="18" customHeight="1" x14ac:dyDescent="0.3">
      <c r="N155" s="437"/>
    </row>
    <row r="156" spans="14:14" ht="18" customHeight="1" x14ac:dyDescent="0.3">
      <c r="N156" s="437"/>
    </row>
    <row r="157" spans="14:14" ht="18" customHeight="1" x14ac:dyDescent="0.3">
      <c r="N157" s="437"/>
    </row>
    <row r="158" spans="14:14" ht="18" customHeight="1" x14ac:dyDescent="0.3">
      <c r="N158" s="437"/>
    </row>
    <row r="159" spans="14:14" ht="18" customHeight="1" x14ac:dyDescent="0.3">
      <c r="N159" s="437"/>
    </row>
    <row r="160" spans="14:14" ht="18" customHeight="1" x14ac:dyDescent="0.3">
      <c r="N160" s="437"/>
    </row>
    <row r="161" spans="14:14" ht="18" customHeight="1" x14ac:dyDescent="0.3">
      <c r="N161" s="437"/>
    </row>
    <row r="162" spans="14:14" ht="18" customHeight="1" x14ac:dyDescent="0.3">
      <c r="N162" s="437"/>
    </row>
    <row r="163" spans="14:14" ht="18" customHeight="1" x14ac:dyDescent="0.3">
      <c r="N163" s="437"/>
    </row>
    <row r="164" spans="14:14" ht="18" customHeight="1" x14ac:dyDescent="0.3">
      <c r="N164" s="437"/>
    </row>
    <row r="165" spans="14:14" ht="18" customHeight="1" x14ac:dyDescent="0.3">
      <c r="N165" s="437"/>
    </row>
    <row r="166" spans="14:14" ht="18" customHeight="1" x14ac:dyDescent="0.3">
      <c r="N166" s="437"/>
    </row>
    <row r="167" spans="14:14" ht="18" customHeight="1" x14ac:dyDescent="0.3">
      <c r="N167" s="437"/>
    </row>
    <row r="168" spans="14:14" ht="18" customHeight="1" x14ac:dyDescent="0.3">
      <c r="N168" s="437"/>
    </row>
    <row r="169" spans="14:14" ht="18" customHeight="1" x14ac:dyDescent="0.3">
      <c r="N169" s="437"/>
    </row>
    <row r="170" spans="14:14" ht="18" customHeight="1" x14ac:dyDescent="0.3">
      <c r="N170" s="437"/>
    </row>
    <row r="171" spans="14:14" ht="18" customHeight="1" x14ac:dyDescent="0.3">
      <c r="N171" s="437"/>
    </row>
    <row r="172" spans="14:14" ht="18" customHeight="1" x14ac:dyDescent="0.3">
      <c r="N172" s="437"/>
    </row>
    <row r="173" spans="14:14" ht="18" customHeight="1" x14ac:dyDescent="0.3">
      <c r="N173" s="437"/>
    </row>
    <row r="174" spans="14:14" ht="18" customHeight="1" x14ac:dyDescent="0.3">
      <c r="N174" s="437"/>
    </row>
    <row r="175" spans="14:14" ht="18" customHeight="1" x14ac:dyDescent="0.3">
      <c r="N175" s="437"/>
    </row>
    <row r="176" spans="14:14" ht="18" customHeight="1" x14ac:dyDescent="0.3">
      <c r="N176" s="437"/>
    </row>
    <row r="177" spans="14:14" ht="18" customHeight="1" x14ac:dyDescent="0.3">
      <c r="N177" s="437"/>
    </row>
    <row r="178" spans="14:14" ht="18" customHeight="1" x14ac:dyDescent="0.3">
      <c r="N178" s="437"/>
    </row>
    <row r="179" spans="14:14" ht="18" customHeight="1" x14ac:dyDescent="0.3">
      <c r="N179" s="437"/>
    </row>
    <row r="180" spans="14:14" ht="18" customHeight="1" x14ac:dyDescent="0.3">
      <c r="N180" s="437"/>
    </row>
    <row r="181" spans="14:14" ht="18" customHeight="1" x14ac:dyDescent="0.3">
      <c r="N181" s="437"/>
    </row>
    <row r="182" spans="14:14" ht="18" customHeight="1" x14ac:dyDescent="0.3">
      <c r="N182" s="437"/>
    </row>
    <row r="183" spans="14:14" ht="18" customHeight="1" x14ac:dyDescent="0.3">
      <c r="N183" s="437"/>
    </row>
    <row r="184" spans="14:14" ht="18" customHeight="1" x14ac:dyDescent="0.3">
      <c r="N184" s="437"/>
    </row>
    <row r="185" spans="14:14" ht="18" customHeight="1" x14ac:dyDescent="0.3">
      <c r="N185" s="437"/>
    </row>
    <row r="186" spans="14:14" ht="18" customHeight="1" x14ac:dyDescent="0.3">
      <c r="N186" s="437"/>
    </row>
    <row r="187" spans="14:14" ht="18" customHeight="1" x14ac:dyDescent="0.3">
      <c r="N187" s="437"/>
    </row>
    <row r="188" spans="14:14" ht="18" customHeight="1" x14ac:dyDescent="0.3">
      <c r="N188" s="437"/>
    </row>
    <row r="189" spans="14:14" ht="18" customHeight="1" x14ac:dyDescent="0.3">
      <c r="N189" s="437"/>
    </row>
    <row r="190" spans="14:14" ht="18" customHeight="1" x14ac:dyDescent="0.3">
      <c r="N190" s="437"/>
    </row>
    <row r="191" spans="14:14" ht="18" customHeight="1" x14ac:dyDescent="0.3">
      <c r="N191" s="437"/>
    </row>
    <row r="192" spans="14:14" ht="18" customHeight="1" x14ac:dyDescent="0.3">
      <c r="N192" s="437"/>
    </row>
    <row r="193" spans="14:14" ht="18" customHeight="1" x14ac:dyDescent="0.3">
      <c r="N193" s="437"/>
    </row>
    <row r="194" spans="14:14" ht="18" customHeight="1" x14ac:dyDescent="0.3">
      <c r="N194" s="437"/>
    </row>
    <row r="195" spans="14:14" ht="18" customHeight="1" x14ac:dyDescent="0.3">
      <c r="N195" s="437"/>
    </row>
    <row r="196" spans="14:14" ht="18" customHeight="1" x14ac:dyDescent="0.3">
      <c r="N196" s="437"/>
    </row>
    <row r="197" spans="14:14" ht="18" customHeight="1" x14ac:dyDescent="0.3">
      <c r="N197" s="437"/>
    </row>
    <row r="198" spans="14:14" ht="18" customHeight="1" x14ac:dyDescent="0.3">
      <c r="N198" s="437"/>
    </row>
    <row r="199" spans="14:14" ht="18" customHeight="1" x14ac:dyDescent="0.3">
      <c r="N199" s="437"/>
    </row>
    <row r="200" spans="14:14" ht="18" customHeight="1" x14ac:dyDescent="0.3">
      <c r="N200" s="437"/>
    </row>
    <row r="201" spans="14:14" ht="18" customHeight="1" x14ac:dyDescent="0.3">
      <c r="N201" s="437"/>
    </row>
    <row r="202" spans="14:14" ht="18" customHeight="1" x14ac:dyDescent="0.3">
      <c r="N202" s="437"/>
    </row>
    <row r="203" spans="14:14" ht="18" customHeight="1" x14ac:dyDescent="0.3">
      <c r="N203" s="437"/>
    </row>
    <row r="204" spans="14:14" ht="18" customHeight="1" x14ac:dyDescent="0.3">
      <c r="N204" s="437"/>
    </row>
    <row r="205" spans="14:14" ht="18" customHeight="1" x14ac:dyDescent="0.3">
      <c r="N205" s="437"/>
    </row>
    <row r="206" spans="14:14" ht="18" customHeight="1" x14ac:dyDescent="0.3">
      <c r="N206" s="437"/>
    </row>
    <row r="207" spans="14:14" ht="18" customHeight="1" x14ac:dyDescent="0.3">
      <c r="N207" s="437"/>
    </row>
    <row r="208" spans="14:14" ht="18" customHeight="1" x14ac:dyDescent="0.3">
      <c r="N208" s="437"/>
    </row>
    <row r="209" spans="14:14" ht="18" customHeight="1" x14ac:dyDescent="0.3">
      <c r="N209" s="437"/>
    </row>
    <row r="210" spans="14:14" ht="18" customHeight="1" x14ac:dyDescent="0.3">
      <c r="N210" s="437"/>
    </row>
    <row r="211" spans="14:14" ht="18" customHeight="1" x14ac:dyDescent="0.3">
      <c r="N211" s="437"/>
    </row>
    <row r="212" spans="14:14" ht="18" customHeight="1" x14ac:dyDescent="0.3">
      <c r="N212" s="437"/>
    </row>
    <row r="213" spans="14:14" ht="18" customHeight="1" x14ac:dyDescent="0.3">
      <c r="N213" s="437"/>
    </row>
    <row r="214" spans="14:14" ht="18" customHeight="1" x14ac:dyDescent="0.3">
      <c r="N214" s="437"/>
    </row>
    <row r="215" spans="14:14" ht="18" customHeight="1" x14ac:dyDescent="0.3">
      <c r="N215" s="437"/>
    </row>
    <row r="216" spans="14:14" ht="18" customHeight="1" x14ac:dyDescent="0.3">
      <c r="N216" s="437"/>
    </row>
    <row r="217" spans="14:14" ht="18" customHeight="1" x14ac:dyDescent="0.3">
      <c r="N217" s="437"/>
    </row>
    <row r="218" spans="14:14" ht="18" customHeight="1" x14ac:dyDescent="0.3">
      <c r="N218" s="437"/>
    </row>
    <row r="219" spans="14:14" ht="18" customHeight="1" x14ac:dyDescent="0.3">
      <c r="N219" s="437"/>
    </row>
    <row r="220" spans="14:14" ht="18" customHeight="1" x14ac:dyDescent="0.3">
      <c r="N220" s="437"/>
    </row>
    <row r="221" spans="14:14" ht="18" customHeight="1" x14ac:dyDescent="0.3">
      <c r="N221" s="437"/>
    </row>
    <row r="222" spans="14:14" ht="18" customHeight="1" x14ac:dyDescent="0.3">
      <c r="N222" s="437"/>
    </row>
    <row r="223" spans="14:14" ht="18" customHeight="1" x14ac:dyDescent="0.3">
      <c r="N223" s="437"/>
    </row>
    <row r="224" spans="14:14" ht="18" customHeight="1" x14ac:dyDescent="0.3">
      <c r="N224" s="437"/>
    </row>
    <row r="225" spans="14:14" ht="18" customHeight="1" x14ac:dyDescent="0.3">
      <c r="N225" s="437"/>
    </row>
    <row r="226" spans="14:14" ht="18" customHeight="1" x14ac:dyDescent="0.3">
      <c r="N226" s="437"/>
    </row>
    <row r="227" spans="14:14" ht="18" customHeight="1" x14ac:dyDescent="0.3">
      <c r="N227" s="437"/>
    </row>
    <row r="228" spans="14:14" ht="18" customHeight="1" x14ac:dyDescent="0.3">
      <c r="N228" s="437"/>
    </row>
    <row r="229" spans="14:14" ht="18" customHeight="1" x14ac:dyDescent="0.3">
      <c r="N229" s="437"/>
    </row>
    <row r="230" spans="14:14" ht="18" customHeight="1" x14ac:dyDescent="0.3">
      <c r="N230" s="437"/>
    </row>
    <row r="231" spans="14:14" ht="18" customHeight="1" x14ac:dyDescent="0.3">
      <c r="N231" s="437"/>
    </row>
    <row r="232" spans="14:14" ht="18" customHeight="1" x14ac:dyDescent="0.3">
      <c r="N232" s="437"/>
    </row>
    <row r="233" spans="14:14" ht="18" customHeight="1" x14ac:dyDescent="0.3">
      <c r="N233" s="437"/>
    </row>
    <row r="234" spans="14:14" ht="18" customHeight="1" x14ac:dyDescent="0.3">
      <c r="N234" s="437"/>
    </row>
    <row r="235" spans="14:14" ht="18" customHeight="1" x14ac:dyDescent="0.3">
      <c r="N235" s="437"/>
    </row>
    <row r="236" spans="14:14" ht="18" customHeight="1" x14ac:dyDescent="0.3">
      <c r="N236" s="437"/>
    </row>
    <row r="237" spans="14:14" ht="18" customHeight="1" x14ac:dyDescent="0.3">
      <c r="N237" s="437"/>
    </row>
    <row r="238" spans="14:14" ht="18" customHeight="1" x14ac:dyDescent="0.3">
      <c r="N238" s="437"/>
    </row>
    <row r="239" spans="14:14" ht="18" customHeight="1" x14ac:dyDescent="0.3">
      <c r="N239" s="437"/>
    </row>
    <row r="240" spans="14:14" ht="18" customHeight="1" x14ac:dyDescent="0.3">
      <c r="N240" s="437"/>
    </row>
    <row r="241" spans="14:14" ht="18" customHeight="1" x14ac:dyDescent="0.3">
      <c r="N241" s="437"/>
    </row>
    <row r="242" spans="14:14" ht="18" customHeight="1" x14ac:dyDescent="0.3">
      <c r="N242" s="437"/>
    </row>
    <row r="243" spans="14:14" ht="18" customHeight="1" x14ac:dyDescent="0.3">
      <c r="N243" s="437"/>
    </row>
    <row r="244" spans="14:14" ht="18" customHeight="1" x14ac:dyDescent="0.3">
      <c r="N244" s="437"/>
    </row>
    <row r="245" spans="14:14" ht="18" customHeight="1" x14ac:dyDescent="0.3">
      <c r="N245" s="437"/>
    </row>
    <row r="246" spans="14:14" ht="18" customHeight="1" x14ac:dyDescent="0.3">
      <c r="N246" s="437"/>
    </row>
    <row r="247" spans="14:14" ht="18" customHeight="1" x14ac:dyDescent="0.3">
      <c r="N247" s="437"/>
    </row>
    <row r="248" spans="14:14" ht="18" customHeight="1" x14ac:dyDescent="0.3">
      <c r="N248" s="437"/>
    </row>
    <row r="249" spans="14:14" ht="18" customHeight="1" x14ac:dyDescent="0.3">
      <c r="N249" s="437"/>
    </row>
    <row r="250" spans="14:14" ht="18" customHeight="1" x14ac:dyDescent="0.3">
      <c r="N250" s="437"/>
    </row>
    <row r="251" spans="14:14" ht="18" customHeight="1" x14ac:dyDescent="0.3">
      <c r="N251" s="437"/>
    </row>
    <row r="252" spans="14:14" ht="18" customHeight="1" x14ac:dyDescent="0.3">
      <c r="N252" s="437"/>
    </row>
    <row r="253" spans="14:14" ht="18" customHeight="1" x14ac:dyDescent="0.3">
      <c r="N253" s="437"/>
    </row>
    <row r="254" spans="14:14" ht="18" customHeight="1" x14ac:dyDescent="0.3">
      <c r="N254" s="437"/>
    </row>
    <row r="255" spans="14:14" ht="18" customHeight="1" x14ac:dyDescent="0.3">
      <c r="N255" s="437"/>
    </row>
    <row r="256" spans="14:14" ht="18" customHeight="1" x14ac:dyDescent="0.3">
      <c r="N256" s="437"/>
    </row>
    <row r="257" spans="14:14" ht="18" customHeight="1" x14ac:dyDescent="0.3">
      <c r="N257" s="437"/>
    </row>
    <row r="258" spans="14:14" ht="18" customHeight="1" x14ac:dyDescent="0.3">
      <c r="N258" s="437"/>
    </row>
    <row r="259" spans="14:14" ht="18" customHeight="1" x14ac:dyDescent="0.3">
      <c r="N259" s="437"/>
    </row>
    <row r="260" spans="14:14" ht="18" customHeight="1" x14ac:dyDescent="0.3">
      <c r="N260" s="437"/>
    </row>
    <row r="261" spans="14:14" ht="18" customHeight="1" x14ac:dyDescent="0.3">
      <c r="N261" s="437"/>
    </row>
    <row r="262" spans="14:14" ht="18" customHeight="1" x14ac:dyDescent="0.3">
      <c r="N262" s="437"/>
    </row>
    <row r="263" spans="14:14" ht="18" customHeight="1" x14ac:dyDescent="0.3">
      <c r="N263" s="437"/>
    </row>
    <row r="264" spans="14:14" ht="18" customHeight="1" x14ac:dyDescent="0.3">
      <c r="N264" s="437"/>
    </row>
    <row r="265" spans="14:14" ht="18" customHeight="1" x14ac:dyDescent="0.3">
      <c r="N265" s="437"/>
    </row>
    <row r="266" spans="14:14" ht="18" customHeight="1" x14ac:dyDescent="0.3">
      <c r="N266" s="437"/>
    </row>
    <row r="267" spans="14:14" ht="18" customHeight="1" x14ac:dyDescent="0.3">
      <c r="N267" s="437"/>
    </row>
    <row r="268" spans="14:14" ht="18" customHeight="1" x14ac:dyDescent="0.3">
      <c r="N268" s="437"/>
    </row>
    <row r="269" spans="14:14" ht="18" customHeight="1" x14ac:dyDescent="0.3">
      <c r="N269" s="437"/>
    </row>
    <row r="270" spans="14:14" ht="18" customHeight="1" x14ac:dyDescent="0.3">
      <c r="N270" s="437"/>
    </row>
    <row r="271" spans="14:14" ht="18" customHeight="1" x14ac:dyDescent="0.3">
      <c r="N271" s="437"/>
    </row>
    <row r="272" spans="14:14" ht="18" customHeight="1" x14ac:dyDescent="0.3">
      <c r="N272" s="437"/>
    </row>
    <row r="273" spans="14:14" ht="18" customHeight="1" x14ac:dyDescent="0.3">
      <c r="N273" s="437"/>
    </row>
    <row r="274" spans="14:14" ht="18" customHeight="1" x14ac:dyDescent="0.3">
      <c r="N274" s="437"/>
    </row>
    <row r="275" spans="14:14" ht="18" customHeight="1" x14ac:dyDescent="0.3">
      <c r="N275" s="437"/>
    </row>
    <row r="276" spans="14:14" ht="18" customHeight="1" x14ac:dyDescent="0.3">
      <c r="N276" s="437"/>
    </row>
    <row r="277" spans="14:14" ht="18" customHeight="1" x14ac:dyDescent="0.3">
      <c r="N277" s="437"/>
    </row>
    <row r="278" spans="14:14" ht="18" customHeight="1" x14ac:dyDescent="0.3">
      <c r="N278" s="437"/>
    </row>
    <row r="279" spans="14:14" ht="18" customHeight="1" x14ac:dyDescent="0.3">
      <c r="N279" s="437"/>
    </row>
    <row r="280" spans="14:14" ht="18" customHeight="1" x14ac:dyDescent="0.3">
      <c r="N280" s="437"/>
    </row>
    <row r="281" spans="14:14" ht="18" customHeight="1" x14ac:dyDescent="0.3">
      <c r="N281" s="437"/>
    </row>
    <row r="282" spans="14:14" ht="18" customHeight="1" x14ac:dyDescent="0.3">
      <c r="N282" s="437"/>
    </row>
    <row r="283" spans="14:14" ht="18" customHeight="1" x14ac:dyDescent="0.3">
      <c r="N283" s="437"/>
    </row>
    <row r="284" spans="14:14" ht="18" customHeight="1" x14ac:dyDescent="0.3">
      <c r="N284" s="437"/>
    </row>
    <row r="285" spans="14:14" ht="18" customHeight="1" x14ac:dyDescent="0.3">
      <c r="N285" s="437"/>
    </row>
    <row r="286" spans="14:14" ht="18" customHeight="1" x14ac:dyDescent="0.3">
      <c r="N286" s="437"/>
    </row>
    <row r="287" spans="14:14" ht="18" customHeight="1" x14ac:dyDescent="0.3">
      <c r="N287" s="437"/>
    </row>
    <row r="288" spans="14:14" ht="18" customHeight="1" x14ac:dyDescent="0.3">
      <c r="N288" s="437"/>
    </row>
    <row r="289" spans="14:14" ht="18" customHeight="1" x14ac:dyDescent="0.3">
      <c r="N289" s="437"/>
    </row>
    <row r="290" spans="14:14" ht="18" customHeight="1" x14ac:dyDescent="0.3">
      <c r="N290" s="437"/>
    </row>
    <row r="291" spans="14:14" ht="18" customHeight="1" x14ac:dyDescent="0.3">
      <c r="N291" s="437"/>
    </row>
    <row r="292" spans="14:14" ht="18" customHeight="1" x14ac:dyDescent="0.3">
      <c r="N292" s="437"/>
    </row>
    <row r="293" spans="14:14" ht="18" customHeight="1" x14ac:dyDescent="0.3">
      <c r="N293" s="437"/>
    </row>
    <row r="294" spans="14:14" ht="18" customHeight="1" x14ac:dyDescent="0.3">
      <c r="N294" s="437"/>
    </row>
    <row r="295" spans="14:14" ht="18" customHeight="1" x14ac:dyDescent="0.3">
      <c r="N295" s="437"/>
    </row>
    <row r="296" spans="14:14" ht="18" customHeight="1" x14ac:dyDescent="0.3">
      <c r="N296" s="437"/>
    </row>
    <row r="297" spans="14:14" ht="18" customHeight="1" x14ac:dyDescent="0.3">
      <c r="N297" s="437"/>
    </row>
    <row r="298" spans="14:14" ht="18" customHeight="1" x14ac:dyDescent="0.3">
      <c r="N298" s="437"/>
    </row>
    <row r="299" spans="14:14" ht="18" customHeight="1" x14ac:dyDescent="0.3">
      <c r="N299" s="437"/>
    </row>
    <row r="300" spans="14:14" ht="18" customHeight="1" x14ac:dyDescent="0.3">
      <c r="N300" s="437"/>
    </row>
  </sheetData>
  <mergeCells count="369">
    <mergeCell ref="B1:N2"/>
    <mergeCell ref="C3:D3"/>
    <mergeCell ref="E3:F3"/>
    <mergeCell ref="G3:J3"/>
    <mergeCell ref="K3:L3"/>
    <mergeCell ref="C4:D4"/>
    <mergeCell ref="E4:F4"/>
    <mergeCell ref="G4:J4"/>
    <mergeCell ref="K4:L4"/>
    <mergeCell ref="C5:D5"/>
    <mergeCell ref="E5:F5"/>
    <mergeCell ref="G5:J5"/>
    <mergeCell ref="K5:L5"/>
    <mergeCell ref="C6:D6"/>
    <mergeCell ref="E6:F6"/>
    <mergeCell ref="G6:J6"/>
    <mergeCell ref="K6:L6"/>
    <mergeCell ref="C7:D7"/>
    <mergeCell ref="E7:F7"/>
    <mergeCell ref="G7:J7"/>
    <mergeCell ref="K7:L7"/>
    <mergeCell ref="C8:D8"/>
    <mergeCell ref="E8:F8"/>
    <mergeCell ref="G8:J8"/>
    <mergeCell ref="K8:L8"/>
    <mergeCell ref="C9:D9"/>
    <mergeCell ref="E9:F9"/>
    <mergeCell ref="G9:J9"/>
    <mergeCell ref="K9:L9"/>
    <mergeCell ref="C10:D10"/>
    <mergeCell ref="E10:F10"/>
    <mergeCell ref="G10:J10"/>
    <mergeCell ref="K10:L10"/>
    <mergeCell ref="C11:D11"/>
    <mergeCell ref="E11:F11"/>
    <mergeCell ref="G11:J11"/>
    <mergeCell ref="K11:L11"/>
    <mergeCell ref="C12:D12"/>
    <mergeCell ref="E12:F12"/>
    <mergeCell ref="G12:J12"/>
    <mergeCell ref="K12:L12"/>
    <mergeCell ref="C13:D13"/>
    <mergeCell ref="E13:F13"/>
    <mergeCell ref="G13:J13"/>
    <mergeCell ref="K13:L13"/>
    <mergeCell ref="C14:D14"/>
    <mergeCell ref="E14:F14"/>
    <mergeCell ref="G14:J14"/>
    <mergeCell ref="K14:L14"/>
    <mergeCell ref="C15:D15"/>
    <mergeCell ref="E15:F15"/>
    <mergeCell ref="G15:J15"/>
    <mergeCell ref="K15:L15"/>
    <mergeCell ref="C16:D16"/>
    <mergeCell ref="E16:F16"/>
    <mergeCell ref="G16:J16"/>
    <mergeCell ref="K16:L16"/>
    <mergeCell ref="C17:D17"/>
    <mergeCell ref="E17:F17"/>
    <mergeCell ref="G17:J17"/>
    <mergeCell ref="K17:L17"/>
    <mergeCell ref="C18:D18"/>
    <mergeCell ref="E18:F18"/>
    <mergeCell ref="G18:J18"/>
    <mergeCell ref="K18:L18"/>
    <mergeCell ref="C19:D19"/>
    <mergeCell ref="E19:F19"/>
    <mergeCell ref="G19:J19"/>
    <mergeCell ref="K19:L19"/>
    <mergeCell ref="C20:D20"/>
    <mergeCell ref="E20:F20"/>
    <mergeCell ref="G20:J20"/>
    <mergeCell ref="K20:L20"/>
    <mergeCell ref="C21:D21"/>
    <mergeCell ref="E21:F21"/>
    <mergeCell ref="G21:J21"/>
    <mergeCell ref="K21:L21"/>
    <mergeCell ref="C22:D22"/>
    <mergeCell ref="E22:F22"/>
    <mergeCell ref="G22:J22"/>
    <mergeCell ref="K22:L22"/>
    <mergeCell ref="C23:D23"/>
    <mergeCell ref="E23:F23"/>
    <mergeCell ref="G23:J23"/>
    <mergeCell ref="K23:L23"/>
    <mergeCell ref="C24:D24"/>
    <mergeCell ref="E24:F24"/>
    <mergeCell ref="G24:J24"/>
    <mergeCell ref="K24:L24"/>
    <mergeCell ref="C25:D25"/>
    <mergeCell ref="E25:F25"/>
    <mergeCell ref="G25:J25"/>
    <mergeCell ref="K25:L25"/>
    <mergeCell ref="C26:D26"/>
    <mergeCell ref="E26:F26"/>
    <mergeCell ref="G26:J26"/>
    <mergeCell ref="K26:L26"/>
    <mergeCell ref="C27:D27"/>
    <mergeCell ref="E27:F27"/>
    <mergeCell ref="G27:J27"/>
    <mergeCell ref="K27:L27"/>
    <mergeCell ref="C28:D28"/>
    <mergeCell ref="E28:F28"/>
    <mergeCell ref="G28:J28"/>
    <mergeCell ref="K28:L28"/>
    <mergeCell ref="C29:D29"/>
    <mergeCell ref="E29:F29"/>
    <mergeCell ref="G29:J29"/>
    <mergeCell ref="K29:L29"/>
    <mergeCell ref="C30:D30"/>
    <mergeCell ref="E30:F30"/>
    <mergeCell ref="G30:J30"/>
    <mergeCell ref="K30:L30"/>
    <mergeCell ref="C31:D31"/>
    <mergeCell ref="E31:F31"/>
    <mergeCell ref="G31:J31"/>
    <mergeCell ref="K31:L31"/>
    <mergeCell ref="C32:D32"/>
    <mergeCell ref="E32:F32"/>
    <mergeCell ref="G32:J32"/>
    <mergeCell ref="K32:L32"/>
    <mergeCell ref="C33:D33"/>
    <mergeCell ref="E33:F33"/>
    <mergeCell ref="G33:J33"/>
    <mergeCell ref="K33:L33"/>
    <mergeCell ref="C34:D34"/>
    <mergeCell ref="E34:F34"/>
    <mergeCell ref="G34:J34"/>
    <mergeCell ref="K34:L34"/>
    <mergeCell ref="C35:D35"/>
    <mergeCell ref="E35:F35"/>
    <mergeCell ref="G35:J35"/>
    <mergeCell ref="K35:L35"/>
    <mergeCell ref="C36:D36"/>
    <mergeCell ref="E36:F36"/>
    <mergeCell ref="G36:J36"/>
    <mergeCell ref="K36:L36"/>
    <mergeCell ref="C37:D37"/>
    <mergeCell ref="E37:F37"/>
    <mergeCell ref="G37:J37"/>
    <mergeCell ref="K37:L37"/>
    <mergeCell ref="C38:D38"/>
    <mergeCell ref="E38:F38"/>
    <mergeCell ref="G38:J38"/>
    <mergeCell ref="K38:L38"/>
    <mergeCell ref="C39:D39"/>
    <mergeCell ref="E39:F39"/>
    <mergeCell ref="G39:J39"/>
    <mergeCell ref="K39:L39"/>
    <mergeCell ref="C40:D40"/>
    <mergeCell ref="E40:F40"/>
    <mergeCell ref="G40:J40"/>
    <mergeCell ref="K40:L40"/>
    <mergeCell ref="C41:D41"/>
    <mergeCell ref="E41:F41"/>
    <mergeCell ref="G41:J41"/>
    <mergeCell ref="K41:L41"/>
    <mergeCell ref="C42:D42"/>
    <mergeCell ref="E42:F42"/>
    <mergeCell ref="G42:J42"/>
    <mergeCell ref="K42:L42"/>
    <mergeCell ref="C43:D43"/>
    <mergeCell ref="E43:F43"/>
    <mergeCell ref="G43:J43"/>
    <mergeCell ref="K43:L43"/>
    <mergeCell ref="C44:D44"/>
    <mergeCell ref="E44:F44"/>
    <mergeCell ref="G44:J44"/>
    <mergeCell ref="K44:L44"/>
    <mergeCell ref="C45:D45"/>
    <mergeCell ref="E45:F45"/>
    <mergeCell ref="G45:J45"/>
    <mergeCell ref="K45:L45"/>
    <mergeCell ref="C46:D46"/>
    <mergeCell ref="E46:F46"/>
    <mergeCell ref="G46:J46"/>
    <mergeCell ref="K46:L46"/>
    <mergeCell ref="C47:D47"/>
    <mergeCell ref="E47:F47"/>
    <mergeCell ref="G47:J47"/>
    <mergeCell ref="K47:L47"/>
    <mergeCell ref="C48:D48"/>
    <mergeCell ref="E48:F48"/>
    <mergeCell ref="G48:J48"/>
    <mergeCell ref="K48:L48"/>
    <mergeCell ref="C49:D49"/>
    <mergeCell ref="E49:F49"/>
    <mergeCell ref="G49:J49"/>
    <mergeCell ref="K49:L49"/>
    <mergeCell ref="C50:D50"/>
    <mergeCell ref="E50:F50"/>
    <mergeCell ref="G50:J50"/>
    <mergeCell ref="K50:L50"/>
    <mergeCell ref="C51:D51"/>
    <mergeCell ref="E51:F51"/>
    <mergeCell ref="G51:J51"/>
    <mergeCell ref="K51:L51"/>
    <mergeCell ref="C52:D52"/>
    <mergeCell ref="E52:F52"/>
    <mergeCell ref="G52:J52"/>
    <mergeCell ref="K52:L52"/>
    <mergeCell ref="C53:D53"/>
    <mergeCell ref="E53:F53"/>
    <mergeCell ref="G53:J53"/>
    <mergeCell ref="K53:L53"/>
    <mergeCell ref="C54:D54"/>
    <mergeCell ref="E54:F54"/>
    <mergeCell ref="G54:J54"/>
    <mergeCell ref="K54:L54"/>
    <mergeCell ref="C55:D55"/>
    <mergeCell ref="E55:F55"/>
    <mergeCell ref="G55:J55"/>
    <mergeCell ref="K55:L55"/>
    <mergeCell ref="C56:D56"/>
    <mergeCell ref="E56:F56"/>
    <mergeCell ref="G56:J56"/>
    <mergeCell ref="K56:L56"/>
    <mergeCell ref="C57:D57"/>
    <mergeCell ref="E57:F57"/>
    <mergeCell ref="G57:J57"/>
    <mergeCell ref="K57:L57"/>
    <mergeCell ref="C58:D58"/>
    <mergeCell ref="E58:F58"/>
    <mergeCell ref="G58:J58"/>
    <mergeCell ref="K58:L58"/>
    <mergeCell ref="C59:D59"/>
    <mergeCell ref="E59:F59"/>
    <mergeCell ref="G59:J59"/>
    <mergeCell ref="K59:L59"/>
    <mergeCell ref="C60:D60"/>
    <mergeCell ref="E60:F60"/>
    <mergeCell ref="G60:J60"/>
    <mergeCell ref="K60:L60"/>
    <mergeCell ref="C61:D61"/>
    <mergeCell ref="E61:F61"/>
    <mergeCell ref="G61:J61"/>
    <mergeCell ref="K61:L61"/>
    <mergeCell ref="C62:D62"/>
    <mergeCell ref="E62:F62"/>
    <mergeCell ref="G62:J62"/>
    <mergeCell ref="K62:L62"/>
    <mergeCell ref="C63:D63"/>
    <mergeCell ref="E63:F63"/>
    <mergeCell ref="G63:J63"/>
    <mergeCell ref="K63:L63"/>
    <mergeCell ref="C64:D64"/>
    <mergeCell ref="E64:F64"/>
    <mergeCell ref="G64:J64"/>
    <mergeCell ref="K64:L64"/>
    <mergeCell ref="C65:D65"/>
    <mergeCell ref="E65:F65"/>
    <mergeCell ref="G65:J65"/>
    <mergeCell ref="K65:L65"/>
    <mergeCell ref="C66:D66"/>
    <mergeCell ref="E66:F66"/>
    <mergeCell ref="G66:J66"/>
    <mergeCell ref="K66:L66"/>
    <mergeCell ref="C67:D67"/>
    <mergeCell ref="E67:F67"/>
    <mergeCell ref="G67:J67"/>
    <mergeCell ref="K67:L67"/>
    <mergeCell ref="C68:D68"/>
    <mergeCell ref="E68:F68"/>
    <mergeCell ref="G68:J68"/>
    <mergeCell ref="K68:L68"/>
    <mergeCell ref="C69:D69"/>
    <mergeCell ref="E69:F69"/>
    <mergeCell ref="G69:J69"/>
    <mergeCell ref="K69:L69"/>
    <mergeCell ref="C70:D70"/>
    <mergeCell ref="E70:F70"/>
    <mergeCell ref="G70:J70"/>
    <mergeCell ref="K70:L70"/>
    <mergeCell ref="C71:D71"/>
    <mergeCell ref="E71:F71"/>
    <mergeCell ref="G71:J71"/>
    <mergeCell ref="K71:L71"/>
    <mergeCell ref="C72:D72"/>
    <mergeCell ref="E72:F72"/>
    <mergeCell ref="G72:J72"/>
    <mergeCell ref="K72:L72"/>
    <mergeCell ref="C73:D73"/>
    <mergeCell ref="E73:F73"/>
    <mergeCell ref="G73:J73"/>
    <mergeCell ref="K73:L73"/>
    <mergeCell ref="C74:D74"/>
    <mergeCell ref="E74:F74"/>
    <mergeCell ref="G74:J74"/>
    <mergeCell ref="K74:L74"/>
    <mergeCell ref="C75:D75"/>
    <mergeCell ref="E75:F75"/>
    <mergeCell ref="G75:J75"/>
    <mergeCell ref="K75:L75"/>
    <mergeCell ref="C76:D76"/>
    <mergeCell ref="E76:F76"/>
    <mergeCell ref="G76:J76"/>
    <mergeCell ref="K76:L76"/>
    <mergeCell ref="C77:D77"/>
    <mergeCell ref="E77:F77"/>
    <mergeCell ref="G77:J77"/>
    <mergeCell ref="K77:L77"/>
    <mergeCell ref="C78:D78"/>
    <mergeCell ref="E78:F78"/>
    <mergeCell ref="G78:J78"/>
    <mergeCell ref="K78:L78"/>
    <mergeCell ref="C79:D79"/>
    <mergeCell ref="E79:F79"/>
    <mergeCell ref="G79:J79"/>
    <mergeCell ref="K79:L79"/>
    <mergeCell ref="C80:D80"/>
    <mergeCell ref="E80:F80"/>
    <mergeCell ref="G80:J80"/>
    <mergeCell ref="K80:L80"/>
    <mergeCell ref="C81:D81"/>
    <mergeCell ref="E81:F81"/>
    <mergeCell ref="G81:J81"/>
    <mergeCell ref="K81:L81"/>
    <mergeCell ref="C82:D82"/>
    <mergeCell ref="E82:F82"/>
    <mergeCell ref="G82:J82"/>
    <mergeCell ref="K82:L82"/>
    <mergeCell ref="C83:D83"/>
    <mergeCell ref="E83:F83"/>
    <mergeCell ref="G83:J83"/>
    <mergeCell ref="K83:L83"/>
    <mergeCell ref="C84:D84"/>
    <mergeCell ref="E84:F84"/>
    <mergeCell ref="G84:J84"/>
    <mergeCell ref="K84:L84"/>
    <mergeCell ref="C85:D85"/>
    <mergeCell ref="E85:F85"/>
    <mergeCell ref="G85:J85"/>
    <mergeCell ref="K85:L85"/>
    <mergeCell ref="C86:D86"/>
    <mergeCell ref="E86:F86"/>
    <mergeCell ref="G86:J86"/>
    <mergeCell ref="K86:L86"/>
    <mergeCell ref="C87:D87"/>
    <mergeCell ref="E87:F87"/>
    <mergeCell ref="G87:J87"/>
    <mergeCell ref="K87:L87"/>
    <mergeCell ref="C88:D88"/>
    <mergeCell ref="E88:F88"/>
    <mergeCell ref="G88:J88"/>
    <mergeCell ref="K88:L88"/>
    <mergeCell ref="C89:D89"/>
    <mergeCell ref="E89:F89"/>
    <mergeCell ref="G89:J89"/>
    <mergeCell ref="K89:L89"/>
    <mergeCell ref="C90:D90"/>
    <mergeCell ref="E90:F90"/>
    <mergeCell ref="G90:J90"/>
    <mergeCell ref="K90:L90"/>
    <mergeCell ref="C91:D91"/>
    <mergeCell ref="E91:F91"/>
    <mergeCell ref="G91:J91"/>
    <mergeCell ref="K91:L91"/>
    <mergeCell ref="C92:D92"/>
    <mergeCell ref="E92:F92"/>
    <mergeCell ref="G92:J92"/>
    <mergeCell ref="K92:L92"/>
    <mergeCell ref="C93:D93"/>
    <mergeCell ref="E93:F93"/>
    <mergeCell ref="G93:J93"/>
    <mergeCell ref="K93:L93"/>
    <mergeCell ref="C94:D94"/>
    <mergeCell ref="E94:F94"/>
    <mergeCell ref="G94:J94"/>
    <mergeCell ref="K94:L9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2F3A4A"/>
  </sheetPr>
  <dimension ref="A1:M209"/>
  <sheetViews>
    <sheetView showGridLines="0" zoomScale="90" zoomScaleNormal="90" workbookViewId="0">
      <selection sqref="A1:I1"/>
    </sheetView>
  </sheetViews>
  <sheetFormatPr defaultColWidth="8.6640625" defaultRowHeight="14.4" x14ac:dyDescent="0.3"/>
  <cols>
    <col min="1" max="1" width="32.6640625" customWidth="1"/>
    <col min="2" max="2" width="28" customWidth="1"/>
    <col min="3" max="3" width="14" customWidth="1"/>
    <col min="4" max="4" width="13" customWidth="1"/>
    <col min="5" max="5" width="10" customWidth="1"/>
    <col min="6" max="8" width="13" customWidth="1"/>
    <col min="9" max="9" width="16.6640625" customWidth="1"/>
    <col min="10" max="13" width="12" hidden="1" customWidth="1"/>
  </cols>
  <sheetData>
    <row r="1" spans="1:13" ht="21.75" customHeight="1" x14ac:dyDescent="0.3">
      <c r="A1" s="609" t="s">
        <v>197</v>
      </c>
      <c r="B1" s="609"/>
      <c r="C1" s="609"/>
      <c r="D1" s="609"/>
      <c r="E1" s="609"/>
      <c r="F1" s="609"/>
      <c r="G1" s="609"/>
      <c r="H1" s="609"/>
      <c r="I1" s="609"/>
      <c r="J1" t="s">
        <v>198</v>
      </c>
      <c r="K1" t="s">
        <v>199</v>
      </c>
      <c r="L1" t="s">
        <v>200</v>
      </c>
      <c r="M1" t="s">
        <v>201</v>
      </c>
    </row>
    <row r="2" spans="1:13" ht="18" customHeight="1" x14ac:dyDescent="0.3">
      <c r="A2" s="610" t="s">
        <v>202</v>
      </c>
      <c r="B2" s="610"/>
      <c r="C2" s="610"/>
      <c r="D2" s="610"/>
      <c r="E2" s="610"/>
      <c r="F2" s="610"/>
      <c r="G2" s="610" t="s">
        <v>203</v>
      </c>
      <c r="H2" s="610"/>
      <c r="I2" s="610"/>
    </row>
    <row r="3" spans="1:13" ht="15" customHeight="1" x14ac:dyDescent="0.3">
      <c r="A3" s="235">
        <v>46235</v>
      </c>
      <c r="B3" s="186" t="s">
        <v>78</v>
      </c>
      <c r="C3" s="187" t="s">
        <v>205</v>
      </c>
      <c r="D3" s="188" t="s">
        <v>206</v>
      </c>
      <c r="E3" s="188" t="s">
        <v>207</v>
      </c>
      <c r="F3" s="236" t="s">
        <v>208</v>
      </c>
      <c r="G3" s="188" t="s">
        <v>209</v>
      </c>
      <c r="H3" s="188" t="s">
        <v>210</v>
      </c>
      <c r="I3" s="188" t="s">
        <v>211</v>
      </c>
      <c r="J3" s="237"/>
      <c r="K3" s="237"/>
      <c r="L3" s="237"/>
      <c r="M3" s="237"/>
    </row>
    <row r="4" spans="1:13" ht="21" customHeight="1" x14ac:dyDescent="0.3">
      <c r="A4" s="190"/>
      <c r="B4" s="238"/>
      <c r="C4" s="239"/>
      <c r="D4" s="240"/>
      <c r="E4" s="241" t="s">
        <v>214</v>
      </c>
      <c r="F4" s="242" t="str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243" t="str">
        <f>IFERROR(ROUNDUP(D4/F4,0),"")</f>
        <v/>
      </c>
      <c r="H4" s="197"/>
      <c r="I4" s="240" t="str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  <c r="J4" s="237"/>
      <c r="K4" s="237"/>
      <c r="L4" s="237"/>
      <c r="M4" s="237"/>
    </row>
    <row r="5" spans="1:13" ht="21" customHeight="1" x14ac:dyDescent="0.3">
      <c r="A5" s="190"/>
      <c r="B5" s="238"/>
      <c r="C5" s="239"/>
      <c r="D5" s="240"/>
      <c r="E5" s="241" t="s">
        <v>214</v>
      </c>
      <c r="F5" s="242" t="str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243" t="str">
        <f>IFERROR(ROUNDUP(D5/F5,0),"")</f>
        <v/>
      </c>
      <c r="H5" s="197"/>
      <c r="I5" s="240" t="str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  <c r="J5" s="237"/>
      <c r="K5" s="237"/>
      <c r="L5" s="237"/>
      <c r="M5" s="237"/>
    </row>
    <row r="6" spans="1:13" ht="21" customHeight="1" x14ac:dyDescent="0.3">
      <c r="A6" s="190"/>
      <c r="B6" s="238"/>
      <c r="C6" s="239"/>
      <c r="D6" s="240"/>
      <c r="E6" s="241" t="s">
        <v>214</v>
      </c>
      <c r="F6" s="242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243" t="str">
        <f>IFERROR(ROUNDUP(D6/F6,0),"")</f>
        <v/>
      </c>
      <c r="H6" s="197"/>
      <c r="I6" s="240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  <c r="J6" s="237"/>
      <c r="K6" s="237"/>
      <c r="L6" s="237"/>
      <c r="M6" s="237"/>
    </row>
    <row r="7" spans="1:13" ht="21" customHeight="1" x14ac:dyDescent="0.3">
      <c r="A7" s="190"/>
      <c r="B7" s="238"/>
      <c r="C7" s="239"/>
      <c r="D7" s="240"/>
      <c r="E7" s="241" t="s">
        <v>214</v>
      </c>
      <c r="F7" s="242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243" t="str">
        <f>IFERROR(ROUNDUP(D7/F7,0),"")</f>
        <v/>
      </c>
      <c r="H7" s="197"/>
      <c r="I7" s="240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  <c r="J7" s="237"/>
      <c r="K7" s="237"/>
      <c r="L7" s="237"/>
      <c r="M7" s="237"/>
    </row>
    <row r="8" spans="1:13" ht="21" customHeight="1" x14ac:dyDescent="0.3">
      <c r="A8" s="190"/>
      <c r="B8" s="238"/>
      <c r="C8" s="239"/>
      <c r="D8" s="240"/>
      <c r="E8" s="241" t="s">
        <v>214</v>
      </c>
      <c r="F8" s="242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243" t="str">
        <f>IFERROR(ROUNDUP(D8/F8,0),"")</f>
        <v/>
      </c>
      <c r="H8" s="197"/>
      <c r="I8" s="240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  <c r="J8" s="237"/>
      <c r="K8" s="237"/>
      <c r="L8" s="237"/>
      <c r="M8" s="237"/>
    </row>
    <row r="9" spans="1:13" ht="15" customHeight="1" x14ac:dyDescent="0.3">
      <c r="A9" s="244"/>
      <c r="B9" s="199" t="s">
        <v>216</v>
      </c>
      <c r="C9" s="245"/>
      <c r="D9" s="201">
        <f>SUM(D2:D8)</f>
        <v>0</v>
      </c>
      <c r="E9" s="246"/>
      <c r="F9" s="246"/>
      <c r="G9" s="203">
        <f>SUM(G2:G8)</f>
        <v>0</v>
      </c>
      <c r="H9" s="201">
        <f>SUM(H2:H8)</f>
        <v>0</v>
      </c>
      <c r="I9" s="201">
        <f>SUM(I2:I8)</f>
        <v>0</v>
      </c>
      <c r="J9" s="247">
        <f>D9</f>
        <v>0</v>
      </c>
      <c r="K9" s="248">
        <f>G9</f>
        <v>0</v>
      </c>
      <c r="L9" s="247">
        <f>H9</f>
        <v>0</v>
      </c>
      <c r="M9" s="247">
        <f>I9</f>
        <v>0</v>
      </c>
    </row>
    <row r="10" spans="1:13" ht="6" customHeight="1" x14ac:dyDescent="0.3">
      <c r="A10" s="237"/>
      <c r="B10" s="237"/>
      <c r="C10" s="249"/>
      <c r="D10" s="237"/>
      <c r="E10" s="237"/>
      <c r="F10" s="237"/>
      <c r="G10" s="237"/>
      <c r="H10" s="237"/>
      <c r="I10" s="237"/>
      <c r="J10" s="237"/>
      <c r="K10" s="237"/>
      <c r="L10" s="237"/>
      <c r="M10" s="237"/>
    </row>
    <row r="11" spans="1:13" ht="15" customHeight="1" x14ac:dyDescent="0.3">
      <c r="A11" s="30">
        <v>46237</v>
      </c>
      <c r="B11" s="186" t="s">
        <v>78</v>
      </c>
      <c r="C11" s="187" t="s">
        <v>205</v>
      </c>
      <c r="D11" s="188" t="s">
        <v>206</v>
      </c>
      <c r="E11" s="188" t="s">
        <v>207</v>
      </c>
      <c r="F11" s="189" t="s">
        <v>208</v>
      </c>
      <c r="G11" s="188" t="s">
        <v>209</v>
      </c>
      <c r="H11" s="188" t="s">
        <v>210</v>
      </c>
      <c r="I11" s="188" t="s">
        <v>211</v>
      </c>
    </row>
    <row r="12" spans="1:13" ht="21" customHeight="1" x14ac:dyDescent="0.3">
      <c r="A12" s="190"/>
      <c r="B12" s="191"/>
      <c r="C12" s="192"/>
      <c r="D12" s="193"/>
      <c r="E12" s="194" t="s">
        <v>214</v>
      </c>
      <c r="F12" s="195" t="str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196" t="str">
        <f>IFERROR(ROUNDUP(D12/F12,0),"")</f>
        <v/>
      </c>
      <c r="H12" s="197"/>
      <c r="I12" s="193" t="str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</row>
    <row r="13" spans="1:13" ht="21" customHeight="1" x14ac:dyDescent="0.3">
      <c r="A13" s="190"/>
      <c r="B13" s="191"/>
      <c r="C13" s="192"/>
      <c r="D13" s="193"/>
      <c r="E13" s="194" t="s">
        <v>214</v>
      </c>
      <c r="F13" s="195" t="str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196" t="str">
        <f>IFERROR(ROUNDUP(D13/F13,0),"")</f>
        <v/>
      </c>
      <c r="H13" s="197"/>
      <c r="I13" s="193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21" customHeight="1" x14ac:dyDescent="0.3">
      <c r="A14" s="190"/>
      <c r="B14" s="191"/>
      <c r="C14" s="192"/>
      <c r="D14" s="193"/>
      <c r="E14" s="194" t="s">
        <v>214</v>
      </c>
      <c r="F14" s="195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196" t="str">
        <f>IFERROR(ROUNDUP(D14/F14,0),"")</f>
        <v/>
      </c>
      <c r="H14" s="197"/>
      <c r="I14" s="193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</row>
    <row r="15" spans="1:13" ht="21" customHeight="1" x14ac:dyDescent="0.3">
      <c r="A15" s="190"/>
      <c r="B15" s="191"/>
      <c r="C15" s="192"/>
      <c r="D15" s="193"/>
      <c r="E15" s="194" t="s">
        <v>214</v>
      </c>
      <c r="F15" s="195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196" t="str">
        <f>IFERROR(ROUNDUP(D15/F15,0),"")</f>
        <v/>
      </c>
      <c r="H15" s="197"/>
      <c r="I15" s="193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3">
      <c r="A16" s="190"/>
      <c r="B16" s="191"/>
      <c r="C16" s="192"/>
      <c r="D16" s="193"/>
      <c r="E16" s="194" t="s">
        <v>214</v>
      </c>
      <c r="F16" s="195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196" t="str">
        <f>IFERROR(ROUNDUP(D16/F16,0),"")</f>
        <v/>
      </c>
      <c r="H16" s="197"/>
      <c r="I16" s="193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15" customHeight="1" x14ac:dyDescent="0.3">
      <c r="A17" s="198"/>
      <c r="B17" s="199" t="s">
        <v>216</v>
      </c>
      <c r="C17" s="200"/>
      <c r="D17" s="201">
        <f>SUM(D10:D16)</f>
        <v>0</v>
      </c>
      <c r="E17" s="202"/>
      <c r="F17" s="202"/>
      <c r="G17" s="203">
        <f>SUM(G10:G16)</f>
        <v>0</v>
      </c>
      <c r="H17" s="201">
        <f>SUM(H10:H16)</f>
        <v>0</v>
      </c>
      <c r="I17" s="201">
        <f>SUM(I10:I16)</f>
        <v>0</v>
      </c>
      <c r="J17" s="28">
        <f>D17</f>
        <v>0</v>
      </c>
      <c r="K17" s="106">
        <f>G17</f>
        <v>0</v>
      </c>
      <c r="L17" s="28">
        <f>H17</f>
        <v>0</v>
      </c>
      <c r="M17" s="28">
        <f>I17</f>
        <v>0</v>
      </c>
    </row>
    <row r="18" spans="1:13" ht="6" customHeight="1" x14ac:dyDescent="0.3">
      <c r="C18" s="72"/>
    </row>
    <row r="19" spans="1:13" ht="15" customHeight="1" x14ac:dyDescent="0.3">
      <c r="A19" s="30">
        <v>46238</v>
      </c>
      <c r="B19" s="186" t="s">
        <v>78</v>
      </c>
      <c r="C19" s="187" t="s">
        <v>205</v>
      </c>
      <c r="D19" s="188" t="s">
        <v>206</v>
      </c>
      <c r="E19" s="188" t="s">
        <v>207</v>
      </c>
      <c r="F19" s="189" t="s">
        <v>208</v>
      </c>
      <c r="G19" s="188" t="s">
        <v>209</v>
      </c>
      <c r="H19" s="188" t="s">
        <v>210</v>
      </c>
      <c r="I19" s="188" t="s">
        <v>211</v>
      </c>
    </row>
    <row r="20" spans="1:13" ht="21" customHeight="1" x14ac:dyDescent="0.3">
      <c r="A20" s="190"/>
      <c r="B20" s="191"/>
      <c r="C20" s="192"/>
      <c r="D20" s="193"/>
      <c r="E20" s="194" t="s">
        <v>214</v>
      </c>
      <c r="F20" s="195" t="str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196" t="str">
        <f>IFERROR(ROUNDUP(D20/F20,0),"")</f>
        <v/>
      </c>
      <c r="H20" s="197"/>
      <c r="I20" s="193" t="str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</row>
    <row r="21" spans="1:13" ht="21" customHeight="1" x14ac:dyDescent="0.3">
      <c r="A21" s="190"/>
      <c r="B21" s="191"/>
      <c r="C21" s="192"/>
      <c r="D21" s="193"/>
      <c r="E21" s="194" t="s">
        <v>214</v>
      </c>
      <c r="F21" s="195" t="str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196" t="str">
        <f>IFERROR(ROUNDUP(D21/F21,0),"")</f>
        <v/>
      </c>
      <c r="H21" s="197"/>
      <c r="I21" s="193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</row>
    <row r="22" spans="1:13" ht="21" customHeight="1" x14ac:dyDescent="0.3">
      <c r="A22" s="190"/>
      <c r="B22" s="191"/>
      <c r="C22" s="192"/>
      <c r="D22" s="193"/>
      <c r="E22" s="194" t="s">
        <v>214</v>
      </c>
      <c r="F22" s="195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196" t="str">
        <f>IFERROR(ROUNDUP(D22/F22,0),"")</f>
        <v/>
      </c>
      <c r="H22" s="197"/>
      <c r="I22" s="193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</row>
    <row r="23" spans="1:13" ht="21" customHeight="1" x14ac:dyDescent="0.3">
      <c r="A23" s="190"/>
      <c r="B23" s="191"/>
      <c r="C23" s="192"/>
      <c r="D23" s="193"/>
      <c r="E23" s="194" t="s">
        <v>214</v>
      </c>
      <c r="F23" s="195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196" t="str">
        <f>IFERROR(ROUNDUP(D23/F23,0),"")</f>
        <v/>
      </c>
      <c r="H23" s="197"/>
      <c r="I23" s="193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</row>
    <row r="24" spans="1:13" ht="21" customHeight="1" x14ac:dyDescent="0.3">
      <c r="A24" s="190"/>
      <c r="B24" s="191"/>
      <c r="C24" s="192"/>
      <c r="D24" s="193"/>
      <c r="E24" s="194" t="s">
        <v>214</v>
      </c>
      <c r="F24" s="195" t="str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196" t="str">
        <f>IFERROR(ROUNDUP(D24/F24,0),"")</f>
        <v/>
      </c>
      <c r="H24" s="197"/>
      <c r="I24" s="193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</row>
    <row r="25" spans="1:13" ht="15" customHeight="1" x14ac:dyDescent="0.3">
      <c r="A25" s="198"/>
      <c r="B25" s="199" t="s">
        <v>216</v>
      </c>
      <c r="C25" s="200"/>
      <c r="D25" s="201">
        <f>SUM(D18:D24)</f>
        <v>0</v>
      </c>
      <c r="E25" s="202"/>
      <c r="F25" s="202"/>
      <c r="G25" s="203">
        <f>SUM(G18:G24)</f>
        <v>0</v>
      </c>
      <c r="H25" s="201">
        <f>SUM(H18:H24)</f>
        <v>0</v>
      </c>
      <c r="I25" s="201">
        <f>SUM(I18:I24)</f>
        <v>0</v>
      </c>
      <c r="J25" s="28">
        <f>D25</f>
        <v>0</v>
      </c>
      <c r="K25" s="106">
        <f>G25</f>
        <v>0</v>
      </c>
      <c r="L25" s="28">
        <f>H25</f>
        <v>0</v>
      </c>
      <c r="M25" s="28">
        <f>I25</f>
        <v>0</v>
      </c>
    </row>
    <row r="26" spans="1:13" ht="6" customHeight="1" x14ac:dyDescent="0.3">
      <c r="C26" s="72"/>
    </row>
    <row r="27" spans="1:13" ht="15" customHeight="1" x14ac:dyDescent="0.3">
      <c r="A27" s="30">
        <v>46239</v>
      </c>
      <c r="B27" s="186" t="s">
        <v>78</v>
      </c>
      <c r="C27" s="187" t="s">
        <v>205</v>
      </c>
      <c r="D27" s="188" t="s">
        <v>206</v>
      </c>
      <c r="E27" s="188" t="s">
        <v>207</v>
      </c>
      <c r="F27" s="189" t="s">
        <v>208</v>
      </c>
      <c r="G27" s="188" t="s">
        <v>209</v>
      </c>
      <c r="H27" s="188" t="s">
        <v>210</v>
      </c>
      <c r="I27" s="188" t="s">
        <v>211</v>
      </c>
    </row>
    <row r="28" spans="1:13" ht="21" customHeight="1" x14ac:dyDescent="0.3">
      <c r="A28" s="190"/>
      <c r="B28" s="191"/>
      <c r="C28" s="192"/>
      <c r="D28" s="193"/>
      <c r="E28" s="194" t="s">
        <v>214</v>
      </c>
      <c r="F28" s="195" t="str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196" t="str">
        <f>IFERROR(ROUNDUP(D28/F28,0),"")</f>
        <v/>
      </c>
      <c r="H28" s="197"/>
      <c r="I28" s="193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</row>
    <row r="29" spans="1:13" ht="21" customHeight="1" x14ac:dyDescent="0.3">
      <c r="A29" s="190"/>
      <c r="B29" s="191"/>
      <c r="C29" s="192"/>
      <c r="D29" s="193"/>
      <c r="E29" s="194" t="s">
        <v>214</v>
      </c>
      <c r="F29" s="195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196" t="str">
        <f>IFERROR(ROUNDUP(D29/F29,0),"")</f>
        <v/>
      </c>
      <c r="H29" s="197"/>
      <c r="I29" s="193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</row>
    <row r="30" spans="1:13" ht="21" customHeight="1" x14ac:dyDescent="0.3">
      <c r="A30" s="190"/>
      <c r="B30" s="191"/>
      <c r="C30" s="192"/>
      <c r="D30" s="193"/>
      <c r="E30" s="194" t="s">
        <v>214</v>
      </c>
      <c r="F30" s="195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196" t="str">
        <f>IFERROR(ROUNDUP(D30/F30,0),"")</f>
        <v/>
      </c>
      <c r="H30" s="197"/>
      <c r="I30" s="193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</row>
    <row r="31" spans="1:13" ht="21" customHeight="1" x14ac:dyDescent="0.3">
      <c r="A31" s="190"/>
      <c r="B31" s="191"/>
      <c r="C31" s="192"/>
      <c r="D31" s="193"/>
      <c r="E31" s="194" t="s">
        <v>214</v>
      </c>
      <c r="F31" s="195" t="str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196" t="str">
        <f>IFERROR(ROUNDUP(D31/F31,0),"")</f>
        <v/>
      </c>
      <c r="H31" s="197"/>
      <c r="I31" s="193" t="str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</row>
    <row r="32" spans="1:13" ht="21" customHeight="1" x14ac:dyDescent="0.3">
      <c r="A32" s="190"/>
      <c r="B32" s="191"/>
      <c r="C32" s="192"/>
      <c r="D32" s="193"/>
      <c r="E32" s="194" t="s">
        <v>214</v>
      </c>
      <c r="F32" s="195" t="str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196" t="str">
        <f>IFERROR(ROUNDUP(D32/F32,0),"")</f>
        <v/>
      </c>
      <c r="H32" s="197"/>
      <c r="I32" s="193" t="str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</row>
    <row r="33" spans="1:13" ht="15" customHeight="1" x14ac:dyDescent="0.3">
      <c r="A33" s="198"/>
      <c r="B33" s="199" t="s">
        <v>216</v>
      </c>
      <c r="C33" s="200"/>
      <c r="D33" s="201">
        <f>SUM(D26:D32)</f>
        <v>0</v>
      </c>
      <c r="E33" s="202"/>
      <c r="F33" s="202"/>
      <c r="G33" s="203">
        <f>SUM(G26:G32)</f>
        <v>0</v>
      </c>
      <c r="H33" s="201">
        <f>SUM(H26:H32)</f>
        <v>0</v>
      </c>
      <c r="I33" s="201">
        <f>SUM(I26:I32)</f>
        <v>0</v>
      </c>
      <c r="J33" s="28">
        <f>D33</f>
        <v>0</v>
      </c>
      <c r="K33" s="106">
        <f>G33</f>
        <v>0</v>
      </c>
      <c r="L33" s="28">
        <f>H33</f>
        <v>0</v>
      </c>
      <c r="M33" s="28">
        <f>I33</f>
        <v>0</v>
      </c>
    </row>
    <row r="34" spans="1:13" ht="6" customHeight="1" x14ac:dyDescent="0.3">
      <c r="C34" s="72"/>
    </row>
    <row r="35" spans="1:13" ht="15" customHeight="1" x14ac:dyDescent="0.3">
      <c r="A35" s="30">
        <v>46240</v>
      </c>
      <c r="B35" s="186" t="s">
        <v>78</v>
      </c>
      <c r="C35" s="187" t="s">
        <v>205</v>
      </c>
      <c r="D35" s="188" t="s">
        <v>206</v>
      </c>
      <c r="E35" s="188" t="s">
        <v>207</v>
      </c>
      <c r="F35" s="189" t="s">
        <v>208</v>
      </c>
      <c r="G35" s="188" t="s">
        <v>209</v>
      </c>
      <c r="H35" s="188" t="s">
        <v>210</v>
      </c>
      <c r="I35" s="188" t="s">
        <v>211</v>
      </c>
    </row>
    <row r="36" spans="1:13" ht="21" customHeight="1" x14ac:dyDescent="0.3">
      <c r="A36" s="190"/>
      <c r="B36" s="191"/>
      <c r="C36" s="192"/>
      <c r="D36" s="193"/>
      <c r="E36" s="194" t="s">
        <v>214</v>
      </c>
      <c r="F36" s="195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196" t="str">
        <f>IFERROR(ROUNDUP(D36/F36,0),"")</f>
        <v/>
      </c>
      <c r="H36" s="197"/>
      <c r="I36" s="193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</row>
    <row r="37" spans="1:13" ht="21" customHeight="1" x14ac:dyDescent="0.3">
      <c r="A37" s="190"/>
      <c r="B37" s="191"/>
      <c r="C37" s="192"/>
      <c r="D37" s="193"/>
      <c r="E37" s="194" t="s">
        <v>214</v>
      </c>
      <c r="F37" s="195" t="str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196" t="str">
        <f>IFERROR(ROUNDUP(D37/F37,0),"")</f>
        <v/>
      </c>
      <c r="H37" s="197"/>
      <c r="I37" s="193" t="str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</row>
    <row r="38" spans="1:13" ht="21" customHeight="1" x14ac:dyDescent="0.3">
      <c r="A38" s="190"/>
      <c r="B38" s="191"/>
      <c r="C38" s="192"/>
      <c r="D38" s="193"/>
      <c r="E38" s="194" t="s">
        <v>214</v>
      </c>
      <c r="F38" s="195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196" t="str">
        <f>IFERROR(ROUNDUP(D38/F38,0),"")</f>
        <v/>
      </c>
      <c r="H38" s="197"/>
      <c r="I38" s="193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</row>
    <row r="39" spans="1:13" ht="21" customHeight="1" x14ac:dyDescent="0.3">
      <c r="A39" s="190"/>
      <c r="B39" s="191"/>
      <c r="C39" s="192"/>
      <c r="D39" s="193"/>
      <c r="E39" s="194" t="s">
        <v>214</v>
      </c>
      <c r="F39" s="195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196" t="str">
        <f>IFERROR(ROUNDUP(D39/F39,0),"")</f>
        <v/>
      </c>
      <c r="H39" s="197"/>
      <c r="I39" s="193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</row>
    <row r="40" spans="1:13" ht="21" customHeight="1" x14ac:dyDescent="0.3">
      <c r="A40" s="190"/>
      <c r="B40" s="191"/>
      <c r="C40" s="192"/>
      <c r="D40" s="193"/>
      <c r="E40" s="194" t="s">
        <v>214</v>
      </c>
      <c r="F40" s="195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196" t="str">
        <f>IFERROR(ROUNDUP(D40/F40,0),"")</f>
        <v/>
      </c>
      <c r="H40" s="197"/>
      <c r="I40" s="193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</row>
    <row r="41" spans="1:13" ht="15" customHeight="1" x14ac:dyDescent="0.3">
      <c r="A41" s="198"/>
      <c r="B41" s="199" t="s">
        <v>216</v>
      </c>
      <c r="C41" s="200"/>
      <c r="D41" s="201">
        <f>SUM(D34:D40)</f>
        <v>0</v>
      </c>
      <c r="E41" s="202"/>
      <c r="F41" s="202"/>
      <c r="G41" s="203">
        <f>SUM(G34:G40)</f>
        <v>0</v>
      </c>
      <c r="H41" s="201">
        <f>SUM(H34:H40)</f>
        <v>0</v>
      </c>
      <c r="I41" s="201">
        <f>SUM(I34:I40)</f>
        <v>0</v>
      </c>
      <c r="J41" s="28">
        <f>D41</f>
        <v>0</v>
      </c>
      <c r="K41" s="106">
        <f>G41</f>
        <v>0</v>
      </c>
      <c r="L41" s="28">
        <f>H41</f>
        <v>0</v>
      </c>
      <c r="M41" s="28">
        <f>I41</f>
        <v>0</v>
      </c>
    </row>
    <row r="42" spans="1:13" ht="6" customHeight="1" x14ac:dyDescent="0.3">
      <c r="C42" s="72"/>
    </row>
    <row r="43" spans="1:13" ht="15" customHeight="1" x14ac:dyDescent="0.3">
      <c r="A43" s="30">
        <v>46241</v>
      </c>
      <c r="B43" s="186" t="s">
        <v>78</v>
      </c>
      <c r="C43" s="187" t="s">
        <v>205</v>
      </c>
      <c r="D43" s="188" t="s">
        <v>206</v>
      </c>
      <c r="E43" s="188" t="s">
        <v>207</v>
      </c>
      <c r="F43" s="189" t="s">
        <v>208</v>
      </c>
      <c r="G43" s="188" t="s">
        <v>209</v>
      </c>
      <c r="H43" s="188" t="s">
        <v>210</v>
      </c>
      <c r="I43" s="188" t="s">
        <v>211</v>
      </c>
    </row>
    <row r="44" spans="1:13" ht="21" customHeight="1" x14ac:dyDescent="0.3">
      <c r="A44" s="190"/>
      <c r="B44" s="191"/>
      <c r="C44" s="192"/>
      <c r="D44" s="193"/>
      <c r="E44" s="194" t="s">
        <v>214</v>
      </c>
      <c r="F44" s="195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196" t="str">
        <f>IFERROR(ROUNDUP(D44/F44,0),"")</f>
        <v/>
      </c>
      <c r="H44" s="197"/>
      <c r="I44" s="193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</row>
    <row r="45" spans="1:13" ht="21" customHeight="1" x14ac:dyDescent="0.3">
      <c r="A45" s="190"/>
      <c r="B45" s="191"/>
      <c r="C45" s="192"/>
      <c r="D45" s="193"/>
      <c r="E45" s="194" t="s">
        <v>214</v>
      </c>
      <c r="F45" s="195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196" t="str">
        <f>IFERROR(ROUNDUP(D45/F45,0),"")</f>
        <v/>
      </c>
      <c r="H45" s="197"/>
      <c r="I45" s="193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</row>
    <row r="46" spans="1:13" ht="21" customHeight="1" x14ac:dyDescent="0.3">
      <c r="A46" s="190"/>
      <c r="B46" s="191"/>
      <c r="C46" s="192"/>
      <c r="D46" s="193"/>
      <c r="E46" s="194" t="s">
        <v>214</v>
      </c>
      <c r="F46" s="195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196" t="str">
        <f>IFERROR(ROUNDUP(D46/F46,0),"")</f>
        <v/>
      </c>
      <c r="H46" s="197"/>
      <c r="I46" s="193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</row>
    <row r="47" spans="1:13" ht="21" customHeight="1" x14ac:dyDescent="0.3">
      <c r="A47" s="190"/>
      <c r="B47" s="191"/>
      <c r="C47" s="192"/>
      <c r="D47" s="193"/>
      <c r="E47" s="194" t="s">
        <v>214</v>
      </c>
      <c r="F47" s="195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196" t="str">
        <f>IFERROR(ROUNDUP(D47/F47,0),"")</f>
        <v/>
      </c>
      <c r="H47" s="197"/>
      <c r="I47" s="193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</row>
    <row r="48" spans="1:13" ht="21" customHeight="1" x14ac:dyDescent="0.3">
      <c r="A48" s="190"/>
      <c r="B48" s="191"/>
      <c r="C48" s="192"/>
      <c r="D48" s="193"/>
      <c r="E48" s="194" t="s">
        <v>214</v>
      </c>
      <c r="F48" s="195" t="str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196" t="str">
        <f>IFERROR(ROUNDUP(D48/F48,0),"")</f>
        <v/>
      </c>
      <c r="H48" s="197"/>
      <c r="I48" s="193" t="str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</row>
    <row r="49" spans="1:13" ht="15" customHeight="1" x14ac:dyDescent="0.3">
      <c r="A49" s="198"/>
      <c r="B49" s="199" t="s">
        <v>216</v>
      </c>
      <c r="C49" s="200"/>
      <c r="D49" s="201">
        <f>SUM(D42:D48)</f>
        <v>0</v>
      </c>
      <c r="E49" s="202"/>
      <c r="F49" s="202"/>
      <c r="G49" s="203">
        <f>SUM(G42:G48)</f>
        <v>0</v>
      </c>
      <c r="H49" s="201">
        <f>SUM(H42:H48)</f>
        <v>0</v>
      </c>
      <c r="I49" s="201">
        <f>SUM(I42:I48)</f>
        <v>0</v>
      </c>
      <c r="J49" s="28">
        <f>D49</f>
        <v>0</v>
      </c>
      <c r="K49" s="106">
        <f>G49</f>
        <v>0</v>
      </c>
      <c r="L49" s="28">
        <f>H49</f>
        <v>0</v>
      </c>
      <c r="M49" s="28">
        <f>I49</f>
        <v>0</v>
      </c>
    </row>
    <row r="50" spans="1:13" ht="6" customHeight="1" x14ac:dyDescent="0.3">
      <c r="C50" s="72"/>
    </row>
    <row r="51" spans="1:13" ht="15" customHeight="1" x14ac:dyDescent="0.3">
      <c r="A51" s="235">
        <v>46242</v>
      </c>
      <c r="B51" s="186" t="s">
        <v>78</v>
      </c>
      <c r="C51" s="187" t="s">
        <v>205</v>
      </c>
      <c r="D51" s="188" t="s">
        <v>206</v>
      </c>
      <c r="E51" s="188" t="s">
        <v>207</v>
      </c>
      <c r="F51" s="236" t="s">
        <v>208</v>
      </c>
      <c r="G51" s="188" t="s">
        <v>209</v>
      </c>
      <c r="H51" s="188" t="s">
        <v>210</v>
      </c>
      <c r="I51" s="188" t="s">
        <v>211</v>
      </c>
      <c r="J51" s="237"/>
      <c r="K51" s="237"/>
      <c r="L51" s="237"/>
      <c r="M51" s="237"/>
    </row>
    <row r="52" spans="1:13" ht="21" customHeight="1" x14ac:dyDescent="0.3">
      <c r="A52" s="190"/>
      <c r="B52" s="238"/>
      <c r="C52" s="239"/>
      <c r="D52" s="240"/>
      <c r="E52" s="241" t="s">
        <v>214</v>
      </c>
      <c r="F52" s="242" t="str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243" t="str">
        <f>IFERROR(ROUNDUP(D52/F52,0),"")</f>
        <v/>
      </c>
      <c r="H52" s="197"/>
      <c r="I52" s="240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  <c r="J52" s="237"/>
      <c r="K52" s="237"/>
      <c r="L52" s="237"/>
      <c r="M52" s="237"/>
    </row>
    <row r="53" spans="1:13" ht="21" customHeight="1" x14ac:dyDescent="0.3">
      <c r="A53" s="190"/>
      <c r="B53" s="238"/>
      <c r="C53" s="239"/>
      <c r="D53" s="240"/>
      <c r="E53" s="241" t="s">
        <v>214</v>
      </c>
      <c r="F53" s="242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243" t="str">
        <f>IFERROR(ROUNDUP(D53/F53,0),"")</f>
        <v/>
      </c>
      <c r="H53" s="197"/>
      <c r="I53" s="240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  <c r="J53" s="237"/>
      <c r="K53" s="237"/>
      <c r="L53" s="237"/>
      <c r="M53" s="237"/>
    </row>
    <row r="54" spans="1:13" ht="21" customHeight="1" x14ac:dyDescent="0.3">
      <c r="A54" s="190"/>
      <c r="B54" s="238"/>
      <c r="C54" s="239"/>
      <c r="D54" s="240"/>
      <c r="E54" s="241" t="s">
        <v>214</v>
      </c>
      <c r="F54" s="242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243" t="str">
        <f>IFERROR(ROUNDUP(D54/F54,0),"")</f>
        <v/>
      </c>
      <c r="H54" s="197"/>
      <c r="I54" s="240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  <c r="J54" s="237"/>
      <c r="K54" s="237"/>
      <c r="L54" s="237"/>
      <c r="M54" s="237"/>
    </row>
    <row r="55" spans="1:13" ht="21" customHeight="1" x14ac:dyDescent="0.3">
      <c r="A55" s="190"/>
      <c r="B55" s="238"/>
      <c r="C55" s="239"/>
      <c r="D55" s="240"/>
      <c r="E55" s="241" t="s">
        <v>214</v>
      </c>
      <c r="F55" s="242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243" t="str">
        <f>IFERROR(ROUNDUP(D55/F55,0),"")</f>
        <v/>
      </c>
      <c r="H55" s="197"/>
      <c r="I55" s="240" t="str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  <c r="J55" s="237"/>
      <c r="K55" s="237"/>
      <c r="L55" s="237"/>
      <c r="M55" s="237"/>
    </row>
    <row r="56" spans="1:13" ht="21" customHeight="1" x14ac:dyDescent="0.3">
      <c r="A56" s="190"/>
      <c r="B56" s="238"/>
      <c r="C56" s="239"/>
      <c r="D56" s="240"/>
      <c r="E56" s="241" t="s">
        <v>214</v>
      </c>
      <c r="F56" s="242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243" t="str">
        <f>IFERROR(ROUNDUP(D56/F56,0),"")</f>
        <v/>
      </c>
      <c r="H56" s="197"/>
      <c r="I56" s="240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  <c r="J56" s="237"/>
      <c r="K56" s="237"/>
      <c r="L56" s="237"/>
      <c r="M56" s="237"/>
    </row>
    <row r="57" spans="1:13" ht="15" customHeight="1" x14ac:dyDescent="0.3">
      <c r="A57" s="244"/>
      <c r="B57" s="199" t="s">
        <v>216</v>
      </c>
      <c r="C57" s="245"/>
      <c r="D57" s="201">
        <f>SUM(D50:D56)</f>
        <v>0</v>
      </c>
      <c r="E57" s="246"/>
      <c r="F57" s="246"/>
      <c r="G57" s="203">
        <f>SUM(G50:G56)</f>
        <v>0</v>
      </c>
      <c r="H57" s="201">
        <f>SUM(H50:H56)</f>
        <v>0</v>
      </c>
      <c r="I57" s="201">
        <f>SUM(I50:I56)</f>
        <v>0</v>
      </c>
      <c r="J57" s="247">
        <f>D57</f>
        <v>0</v>
      </c>
      <c r="K57" s="248">
        <f>G57</f>
        <v>0</v>
      </c>
      <c r="L57" s="247">
        <f>H57</f>
        <v>0</v>
      </c>
      <c r="M57" s="247">
        <f>I57</f>
        <v>0</v>
      </c>
    </row>
    <row r="58" spans="1:13" ht="6" customHeight="1" x14ac:dyDescent="0.3">
      <c r="A58" s="237"/>
      <c r="B58" s="237"/>
      <c r="C58" s="249"/>
      <c r="D58" s="237"/>
      <c r="E58" s="237"/>
      <c r="F58" s="237"/>
      <c r="G58" s="237"/>
      <c r="H58" s="237"/>
      <c r="I58" s="237"/>
      <c r="J58" s="237"/>
      <c r="K58" s="237"/>
      <c r="L58" s="237"/>
      <c r="M58" s="237"/>
    </row>
    <row r="59" spans="1:13" ht="15" customHeight="1" x14ac:dyDescent="0.3">
      <c r="A59" s="30">
        <v>46244</v>
      </c>
      <c r="B59" s="186" t="s">
        <v>78</v>
      </c>
      <c r="C59" s="187" t="s">
        <v>205</v>
      </c>
      <c r="D59" s="188" t="s">
        <v>206</v>
      </c>
      <c r="E59" s="188" t="s">
        <v>207</v>
      </c>
      <c r="F59" s="189" t="s">
        <v>208</v>
      </c>
      <c r="G59" s="188" t="s">
        <v>209</v>
      </c>
      <c r="H59" s="188" t="s">
        <v>210</v>
      </c>
      <c r="I59" s="188" t="s">
        <v>211</v>
      </c>
    </row>
    <row r="60" spans="1:13" ht="21" customHeight="1" x14ac:dyDescent="0.3">
      <c r="A60" s="190"/>
      <c r="B60" s="191"/>
      <c r="C60" s="192"/>
      <c r="D60" s="193"/>
      <c r="E60" s="194" t="s">
        <v>214</v>
      </c>
      <c r="F60" s="195" t="str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196" t="str">
        <f>IFERROR(ROUNDUP(D60/F60,0),"")</f>
        <v/>
      </c>
      <c r="H60" s="197"/>
      <c r="I60" s="193" t="str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</row>
    <row r="61" spans="1:13" ht="21" customHeight="1" x14ac:dyDescent="0.3">
      <c r="A61" s="190"/>
      <c r="B61" s="191"/>
      <c r="C61" s="192"/>
      <c r="D61" s="193"/>
      <c r="E61" s="194" t="s">
        <v>214</v>
      </c>
      <c r="F61" s="195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196" t="str">
        <f>IFERROR(ROUNDUP(D61/F61,0),"")</f>
        <v/>
      </c>
      <c r="H61" s="197"/>
      <c r="I61" s="193" t="str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</row>
    <row r="62" spans="1:13" ht="21" customHeight="1" x14ac:dyDescent="0.3">
      <c r="A62" s="190"/>
      <c r="B62" s="191"/>
      <c r="C62" s="192"/>
      <c r="D62" s="193"/>
      <c r="E62" s="194" t="s">
        <v>214</v>
      </c>
      <c r="F62" s="195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196" t="str">
        <f>IFERROR(ROUNDUP(D62/F62,0),"")</f>
        <v/>
      </c>
      <c r="H62" s="197"/>
      <c r="I62" s="193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3" ht="21" customHeight="1" x14ac:dyDescent="0.3">
      <c r="A63" s="190"/>
      <c r="B63" s="191"/>
      <c r="C63" s="192"/>
      <c r="D63" s="193"/>
      <c r="E63" s="194" t="s">
        <v>214</v>
      </c>
      <c r="F63" s="195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196" t="str">
        <f>IFERROR(ROUNDUP(D63/F63,0),"")</f>
        <v/>
      </c>
      <c r="H63" s="197"/>
      <c r="I63" s="193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3">
      <c r="A64" s="190"/>
      <c r="B64" s="191"/>
      <c r="C64" s="192"/>
      <c r="D64" s="193"/>
      <c r="E64" s="194" t="s">
        <v>214</v>
      </c>
      <c r="F64" s="195" t="str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196" t="str">
        <f>IFERROR(ROUNDUP(D64/F64,0),"")</f>
        <v/>
      </c>
      <c r="H64" s="197"/>
      <c r="I64" s="193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15" customHeight="1" x14ac:dyDescent="0.3">
      <c r="A65" s="198"/>
      <c r="B65" s="199" t="s">
        <v>216</v>
      </c>
      <c r="C65" s="200"/>
      <c r="D65" s="201">
        <f>SUM(D58:D64)</f>
        <v>0</v>
      </c>
      <c r="E65" s="202"/>
      <c r="F65" s="202"/>
      <c r="G65" s="203">
        <f>SUM(G58:G64)</f>
        <v>0</v>
      </c>
      <c r="H65" s="201">
        <f>SUM(H58:H64)</f>
        <v>0</v>
      </c>
      <c r="I65" s="201">
        <f>SUM(I58:I64)</f>
        <v>0</v>
      </c>
      <c r="J65" s="28">
        <f>D65</f>
        <v>0</v>
      </c>
      <c r="K65" s="106">
        <f>G65</f>
        <v>0</v>
      </c>
      <c r="L65" s="28">
        <f>H65</f>
        <v>0</v>
      </c>
      <c r="M65" s="28">
        <f>I65</f>
        <v>0</v>
      </c>
    </row>
    <row r="66" spans="1:13" ht="6" customHeight="1" x14ac:dyDescent="0.3">
      <c r="C66" s="72"/>
    </row>
    <row r="67" spans="1:13" ht="15" customHeight="1" x14ac:dyDescent="0.3">
      <c r="A67" s="30">
        <v>46245</v>
      </c>
      <c r="B67" s="186" t="s">
        <v>78</v>
      </c>
      <c r="C67" s="187" t="s">
        <v>205</v>
      </c>
      <c r="D67" s="188" t="s">
        <v>206</v>
      </c>
      <c r="E67" s="188" t="s">
        <v>207</v>
      </c>
      <c r="F67" s="189" t="s">
        <v>208</v>
      </c>
      <c r="G67" s="188" t="s">
        <v>209</v>
      </c>
      <c r="H67" s="188" t="s">
        <v>210</v>
      </c>
      <c r="I67" s="188" t="s">
        <v>211</v>
      </c>
    </row>
    <row r="68" spans="1:13" ht="21" customHeight="1" x14ac:dyDescent="0.3">
      <c r="A68" s="190"/>
      <c r="B68" s="191"/>
      <c r="C68" s="192"/>
      <c r="D68" s="193"/>
      <c r="E68" s="194" t="s">
        <v>214</v>
      </c>
      <c r="F68" s="195" t="str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196" t="str">
        <f>IFERROR(ROUNDUP(D68/F68,0),"")</f>
        <v/>
      </c>
      <c r="H68" s="197"/>
      <c r="I68" s="193" t="str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</row>
    <row r="69" spans="1:13" ht="21" customHeight="1" x14ac:dyDescent="0.3">
      <c r="A69" s="190"/>
      <c r="B69" s="191"/>
      <c r="C69" s="192"/>
      <c r="D69" s="193"/>
      <c r="E69" s="194" t="s">
        <v>214</v>
      </c>
      <c r="F69" s="195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196" t="str">
        <f>IFERROR(ROUNDUP(D69/F69,0),"")</f>
        <v/>
      </c>
      <c r="H69" s="197"/>
      <c r="I69" s="193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</row>
    <row r="70" spans="1:13" ht="21" customHeight="1" x14ac:dyDescent="0.3">
      <c r="A70" s="190"/>
      <c r="B70" s="191"/>
      <c r="C70" s="192"/>
      <c r="D70" s="193"/>
      <c r="E70" s="194" t="s">
        <v>214</v>
      </c>
      <c r="F70" s="195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196" t="str">
        <f>IFERROR(ROUNDUP(D70/F70,0),"")</f>
        <v/>
      </c>
      <c r="H70" s="197"/>
      <c r="I70" s="193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</row>
    <row r="71" spans="1:13" ht="21" customHeight="1" x14ac:dyDescent="0.3">
      <c r="A71" s="190"/>
      <c r="B71" s="191"/>
      <c r="C71" s="192"/>
      <c r="D71" s="193"/>
      <c r="E71" s="194" t="s">
        <v>214</v>
      </c>
      <c r="F71" s="195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196" t="str">
        <f>IFERROR(ROUNDUP(D71/F71,0),"")</f>
        <v/>
      </c>
      <c r="H71" s="197"/>
      <c r="I71" s="193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</row>
    <row r="72" spans="1:13" ht="21" customHeight="1" x14ac:dyDescent="0.3">
      <c r="A72" s="190"/>
      <c r="B72" s="191"/>
      <c r="C72" s="192"/>
      <c r="D72" s="193"/>
      <c r="E72" s="194" t="s">
        <v>214</v>
      </c>
      <c r="F72" s="195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196" t="str">
        <f>IFERROR(ROUNDUP(D72/F72,0),"")</f>
        <v/>
      </c>
      <c r="H72" s="197"/>
      <c r="I72" s="193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15" customHeight="1" x14ac:dyDescent="0.3">
      <c r="A73" s="198"/>
      <c r="B73" s="199" t="s">
        <v>216</v>
      </c>
      <c r="C73" s="200"/>
      <c r="D73" s="201">
        <f>SUM(D66:D72)</f>
        <v>0</v>
      </c>
      <c r="E73" s="202"/>
      <c r="F73" s="202"/>
      <c r="G73" s="203">
        <f>SUM(G66:G72)</f>
        <v>0</v>
      </c>
      <c r="H73" s="201">
        <f>SUM(H66:H72)</f>
        <v>0</v>
      </c>
      <c r="I73" s="201">
        <f>SUM(I66:I72)</f>
        <v>0</v>
      </c>
      <c r="J73" s="28">
        <f>D73</f>
        <v>0</v>
      </c>
      <c r="K73" s="106">
        <f>G73</f>
        <v>0</v>
      </c>
      <c r="L73" s="28">
        <f>H73</f>
        <v>0</v>
      </c>
      <c r="M73" s="28">
        <f>I73</f>
        <v>0</v>
      </c>
    </row>
    <row r="74" spans="1:13" ht="6" customHeight="1" x14ac:dyDescent="0.3">
      <c r="C74" s="72"/>
    </row>
    <row r="75" spans="1:13" ht="15" customHeight="1" x14ac:dyDescent="0.3">
      <c r="A75" s="30">
        <v>46246</v>
      </c>
      <c r="B75" s="186" t="s">
        <v>78</v>
      </c>
      <c r="C75" s="187" t="s">
        <v>205</v>
      </c>
      <c r="D75" s="188" t="s">
        <v>206</v>
      </c>
      <c r="E75" s="188" t="s">
        <v>207</v>
      </c>
      <c r="F75" s="189" t="s">
        <v>208</v>
      </c>
      <c r="G75" s="188" t="s">
        <v>209</v>
      </c>
      <c r="H75" s="188" t="s">
        <v>210</v>
      </c>
      <c r="I75" s="188" t="s">
        <v>211</v>
      </c>
    </row>
    <row r="76" spans="1:13" ht="21" customHeight="1" x14ac:dyDescent="0.3">
      <c r="A76" s="190"/>
      <c r="B76" s="191"/>
      <c r="C76" s="192"/>
      <c r="D76" s="193"/>
      <c r="E76" s="194" t="s">
        <v>214</v>
      </c>
      <c r="F76" s="195" t="str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196" t="str">
        <f>IFERROR(ROUNDUP(D76/F76,0),"")</f>
        <v/>
      </c>
      <c r="H76" s="197"/>
      <c r="I76" s="193" t="str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</row>
    <row r="77" spans="1:13" ht="21" customHeight="1" x14ac:dyDescent="0.3">
      <c r="A77" s="190"/>
      <c r="B77" s="191"/>
      <c r="C77" s="192"/>
      <c r="D77" s="193"/>
      <c r="E77" s="194" t="s">
        <v>214</v>
      </c>
      <c r="F77" s="195" t="str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196" t="str">
        <f>IFERROR(ROUNDUP(D77/F77,0),"")</f>
        <v/>
      </c>
      <c r="H77" s="197"/>
      <c r="I77" s="193" t="str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</row>
    <row r="78" spans="1:13" ht="21" customHeight="1" x14ac:dyDescent="0.3">
      <c r="A78" s="190"/>
      <c r="B78" s="191"/>
      <c r="C78" s="192"/>
      <c r="D78" s="193"/>
      <c r="E78" s="194" t="s">
        <v>214</v>
      </c>
      <c r="F78" s="195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196" t="str">
        <f>IFERROR(ROUNDUP(D78/F78,0),"")</f>
        <v/>
      </c>
      <c r="H78" s="197"/>
      <c r="I78" s="193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</row>
    <row r="79" spans="1:13" ht="21" customHeight="1" x14ac:dyDescent="0.3">
      <c r="A79" s="190"/>
      <c r="B79" s="191"/>
      <c r="C79" s="192"/>
      <c r="D79" s="193"/>
      <c r="E79" s="194" t="s">
        <v>214</v>
      </c>
      <c r="F79" s="195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196" t="str">
        <f>IFERROR(ROUNDUP(D79/F79,0),"")</f>
        <v/>
      </c>
      <c r="H79" s="197"/>
      <c r="I79" s="193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</row>
    <row r="80" spans="1:13" ht="21" customHeight="1" x14ac:dyDescent="0.3">
      <c r="A80" s="190"/>
      <c r="B80" s="191"/>
      <c r="C80" s="192"/>
      <c r="D80" s="193"/>
      <c r="E80" s="194" t="s">
        <v>214</v>
      </c>
      <c r="F80" s="195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196" t="str">
        <f>IFERROR(ROUNDUP(D80/F80,0),"")</f>
        <v/>
      </c>
      <c r="H80" s="197"/>
      <c r="I80" s="193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15" customHeight="1" x14ac:dyDescent="0.3">
      <c r="A81" s="198"/>
      <c r="B81" s="199" t="s">
        <v>216</v>
      </c>
      <c r="C81" s="200"/>
      <c r="D81" s="201">
        <f>SUM(D74:D80)</f>
        <v>0</v>
      </c>
      <c r="E81" s="202"/>
      <c r="F81" s="202"/>
      <c r="G81" s="203">
        <f>SUM(G74:G80)</f>
        <v>0</v>
      </c>
      <c r="H81" s="201">
        <f>SUM(H74:H80)</f>
        <v>0</v>
      </c>
      <c r="I81" s="201">
        <f>SUM(I74:I80)</f>
        <v>0</v>
      </c>
      <c r="J81" s="28">
        <f>D81</f>
        <v>0</v>
      </c>
      <c r="K81" s="106">
        <f>G81</f>
        <v>0</v>
      </c>
      <c r="L81" s="28">
        <f>H81</f>
        <v>0</v>
      </c>
      <c r="M81" s="28">
        <f>I81</f>
        <v>0</v>
      </c>
    </row>
    <row r="82" spans="1:13" ht="6" customHeight="1" x14ac:dyDescent="0.3">
      <c r="C82" s="72"/>
    </row>
    <row r="83" spans="1:13" ht="15" customHeight="1" x14ac:dyDescent="0.3">
      <c r="A83" s="30">
        <v>46247</v>
      </c>
      <c r="B83" s="186" t="s">
        <v>78</v>
      </c>
      <c r="C83" s="187" t="s">
        <v>205</v>
      </c>
      <c r="D83" s="188" t="s">
        <v>206</v>
      </c>
      <c r="E83" s="188" t="s">
        <v>207</v>
      </c>
      <c r="F83" s="189" t="s">
        <v>208</v>
      </c>
      <c r="G83" s="188" t="s">
        <v>209</v>
      </c>
      <c r="H83" s="188" t="s">
        <v>210</v>
      </c>
      <c r="I83" s="188" t="s">
        <v>211</v>
      </c>
    </row>
    <row r="84" spans="1:13" ht="21" customHeight="1" x14ac:dyDescent="0.3">
      <c r="A84" s="190"/>
      <c r="B84" s="191"/>
      <c r="C84" s="192"/>
      <c r="D84" s="193"/>
      <c r="E84" s="194" t="s">
        <v>214</v>
      </c>
      <c r="F84" s="195" t="str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196" t="str">
        <f>IFERROR(ROUNDUP(D84/F84,0),"")</f>
        <v/>
      </c>
      <c r="H84" s="197"/>
      <c r="I84" s="193" t="str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</row>
    <row r="85" spans="1:13" ht="21" customHeight="1" x14ac:dyDescent="0.3">
      <c r="A85" s="190"/>
      <c r="B85" s="191"/>
      <c r="C85" s="192"/>
      <c r="D85" s="193"/>
      <c r="E85" s="194" t="s">
        <v>214</v>
      </c>
      <c r="F85" s="195" t="str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196" t="str">
        <f>IFERROR(ROUNDUP(D85/F85,0),"")</f>
        <v/>
      </c>
      <c r="H85" s="197"/>
      <c r="I85" s="193" t="str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</row>
    <row r="86" spans="1:13" ht="21" customHeight="1" x14ac:dyDescent="0.3">
      <c r="A86" s="190"/>
      <c r="B86" s="191"/>
      <c r="C86" s="192"/>
      <c r="D86" s="193"/>
      <c r="E86" s="194" t="s">
        <v>214</v>
      </c>
      <c r="F86" s="195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196" t="str">
        <f>IFERROR(ROUNDUP(D86/F86,0),"")</f>
        <v/>
      </c>
      <c r="H86" s="197"/>
      <c r="I86" s="193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</row>
    <row r="87" spans="1:13" ht="21" customHeight="1" x14ac:dyDescent="0.3">
      <c r="A87" s="190"/>
      <c r="B87" s="191"/>
      <c r="C87" s="192"/>
      <c r="D87" s="193"/>
      <c r="E87" s="194" t="s">
        <v>214</v>
      </c>
      <c r="F87" s="195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196" t="str">
        <f>IFERROR(ROUNDUP(D87/F87,0),"")</f>
        <v/>
      </c>
      <c r="H87" s="197"/>
      <c r="I87" s="193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</row>
    <row r="88" spans="1:13" ht="21" customHeight="1" x14ac:dyDescent="0.3">
      <c r="A88" s="190"/>
      <c r="B88" s="191"/>
      <c r="C88" s="192"/>
      <c r="D88" s="193"/>
      <c r="E88" s="194" t="s">
        <v>214</v>
      </c>
      <c r="F88" s="195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196" t="str">
        <f>IFERROR(ROUNDUP(D88/F88,0),"")</f>
        <v/>
      </c>
      <c r="H88" s="197"/>
      <c r="I88" s="193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</row>
    <row r="89" spans="1:13" ht="15" customHeight="1" x14ac:dyDescent="0.3">
      <c r="A89" s="198"/>
      <c r="B89" s="199" t="s">
        <v>216</v>
      </c>
      <c r="C89" s="200"/>
      <c r="D89" s="201">
        <f>SUM(D82:D88)</f>
        <v>0</v>
      </c>
      <c r="E89" s="202"/>
      <c r="F89" s="202"/>
      <c r="G89" s="203">
        <f>SUM(G82:G88)</f>
        <v>0</v>
      </c>
      <c r="H89" s="201">
        <f>SUM(H82:H88)</f>
        <v>0</v>
      </c>
      <c r="I89" s="201">
        <f>SUM(I82:I88)</f>
        <v>0</v>
      </c>
      <c r="J89" s="28">
        <f>D89</f>
        <v>0</v>
      </c>
      <c r="K89" s="106">
        <f>G89</f>
        <v>0</v>
      </c>
      <c r="L89" s="28">
        <f>H89</f>
        <v>0</v>
      </c>
      <c r="M89" s="28">
        <f>I89</f>
        <v>0</v>
      </c>
    </row>
    <row r="90" spans="1:13" ht="6" customHeight="1" x14ac:dyDescent="0.3">
      <c r="C90" s="72"/>
    </row>
    <row r="91" spans="1:13" ht="15" customHeight="1" x14ac:dyDescent="0.3">
      <c r="A91" s="30">
        <v>46248</v>
      </c>
      <c r="B91" s="186" t="s">
        <v>78</v>
      </c>
      <c r="C91" s="187" t="s">
        <v>205</v>
      </c>
      <c r="D91" s="188" t="s">
        <v>206</v>
      </c>
      <c r="E91" s="188" t="s">
        <v>207</v>
      </c>
      <c r="F91" s="189" t="s">
        <v>208</v>
      </c>
      <c r="G91" s="188" t="s">
        <v>209</v>
      </c>
      <c r="H91" s="188" t="s">
        <v>210</v>
      </c>
      <c r="I91" s="188" t="s">
        <v>211</v>
      </c>
    </row>
    <row r="92" spans="1:13" ht="21" customHeight="1" x14ac:dyDescent="0.3">
      <c r="A92" s="190"/>
      <c r="B92" s="191"/>
      <c r="C92" s="192"/>
      <c r="D92" s="193"/>
      <c r="E92" s="194" t="s">
        <v>214</v>
      </c>
      <c r="F92" s="195" t="str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196" t="str">
        <f>IFERROR(ROUNDUP(D92/F92,0),"")</f>
        <v/>
      </c>
      <c r="H92" s="197"/>
      <c r="I92" s="193" t="str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</row>
    <row r="93" spans="1:13" ht="21" customHeight="1" x14ac:dyDescent="0.3">
      <c r="A93" s="190"/>
      <c r="B93" s="191"/>
      <c r="C93" s="192"/>
      <c r="D93" s="193"/>
      <c r="E93" s="194" t="s">
        <v>214</v>
      </c>
      <c r="F93" s="195" t="str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196" t="str">
        <f>IFERROR(ROUNDUP(D93/F93,0),"")</f>
        <v/>
      </c>
      <c r="H93" s="197"/>
      <c r="I93" s="193" t="str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</row>
    <row r="94" spans="1:13" ht="21" customHeight="1" x14ac:dyDescent="0.3">
      <c r="A94" s="190"/>
      <c r="B94" s="191"/>
      <c r="C94" s="192"/>
      <c r="D94" s="193"/>
      <c r="E94" s="194" t="s">
        <v>214</v>
      </c>
      <c r="F94" s="195" t="str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196" t="str">
        <f>IFERROR(ROUNDUP(D94/F94,0),"")</f>
        <v/>
      </c>
      <c r="H94" s="197"/>
      <c r="I94" s="193" t="str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</row>
    <row r="95" spans="1:13" ht="21" customHeight="1" x14ac:dyDescent="0.3">
      <c r="A95" s="190"/>
      <c r="B95" s="191"/>
      <c r="C95" s="192"/>
      <c r="D95" s="193"/>
      <c r="E95" s="194" t="s">
        <v>214</v>
      </c>
      <c r="F95" s="195" t="str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196" t="str">
        <f>IFERROR(ROUNDUP(D95/F95,0),"")</f>
        <v/>
      </c>
      <c r="H95" s="197"/>
      <c r="I95" s="193" t="str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</row>
    <row r="96" spans="1:13" ht="21" customHeight="1" x14ac:dyDescent="0.3">
      <c r="A96" s="190"/>
      <c r="B96" s="191"/>
      <c r="C96" s="192"/>
      <c r="D96" s="193"/>
      <c r="E96" s="194" t="s">
        <v>214</v>
      </c>
      <c r="F96" s="195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196" t="str">
        <f>IFERROR(ROUNDUP(D96/F96,0),"")</f>
        <v/>
      </c>
      <c r="H96" s="197"/>
      <c r="I96" s="193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</row>
    <row r="97" spans="1:13" ht="15" customHeight="1" x14ac:dyDescent="0.3">
      <c r="A97" s="198"/>
      <c r="B97" s="199" t="s">
        <v>216</v>
      </c>
      <c r="C97" s="200"/>
      <c r="D97" s="201">
        <f>SUM(D90:D96)</f>
        <v>0</v>
      </c>
      <c r="E97" s="202"/>
      <c r="F97" s="202"/>
      <c r="G97" s="203">
        <f>SUM(G90:G96)</f>
        <v>0</v>
      </c>
      <c r="H97" s="201">
        <f>SUM(H90:H96)</f>
        <v>0</v>
      </c>
      <c r="I97" s="201">
        <f>SUM(I90:I96)</f>
        <v>0</v>
      </c>
      <c r="J97" s="28">
        <f>D97</f>
        <v>0</v>
      </c>
      <c r="K97" s="106">
        <f>G97</f>
        <v>0</v>
      </c>
      <c r="L97" s="28">
        <f>H97</f>
        <v>0</v>
      </c>
      <c r="M97" s="28">
        <f>I97</f>
        <v>0</v>
      </c>
    </row>
    <row r="98" spans="1:13" ht="6" customHeight="1" x14ac:dyDescent="0.3">
      <c r="C98" s="72"/>
    </row>
    <row r="99" spans="1:13" ht="15" customHeight="1" x14ac:dyDescent="0.3">
      <c r="A99" s="235">
        <v>46249</v>
      </c>
      <c r="B99" s="186" t="s">
        <v>78</v>
      </c>
      <c r="C99" s="187" t="s">
        <v>205</v>
      </c>
      <c r="D99" s="188" t="s">
        <v>206</v>
      </c>
      <c r="E99" s="188" t="s">
        <v>207</v>
      </c>
      <c r="F99" s="236" t="s">
        <v>208</v>
      </c>
      <c r="G99" s="188" t="s">
        <v>209</v>
      </c>
      <c r="H99" s="188" t="s">
        <v>210</v>
      </c>
      <c r="I99" s="188" t="s">
        <v>211</v>
      </c>
      <c r="J99" s="237"/>
      <c r="K99" s="237"/>
      <c r="L99" s="237"/>
      <c r="M99" s="237"/>
    </row>
    <row r="100" spans="1:13" ht="21" customHeight="1" x14ac:dyDescent="0.3">
      <c r="A100" s="190"/>
      <c r="B100" s="238"/>
      <c r="C100" s="239"/>
      <c r="D100" s="240"/>
      <c r="E100" s="241" t="s">
        <v>214</v>
      </c>
      <c r="F100" s="242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243" t="str">
        <f>IFERROR(ROUNDUP(D100/F100,0),"")</f>
        <v/>
      </c>
      <c r="H100" s="197"/>
      <c r="I100" s="240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  <c r="J100" s="237"/>
      <c r="K100" s="237"/>
      <c r="L100" s="237"/>
      <c r="M100" s="237"/>
    </row>
    <row r="101" spans="1:13" ht="21" customHeight="1" x14ac:dyDescent="0.3">
      <c r="A101" s="190"/>
      <c r="B101" s="238"/>
      <c r="C101" s="239"/>
      <c r="D101" s="240"/>
      <c r="E101" s="241" t="s">
        <v>214</v>
      </c>
      <c r="F101" s="242" t="str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243" t="str">
        <f>IFERROR(ROUNDUP(D101/F101,0),"")</f>
        <v/>
      </c>
      <c r="H101" s="197"/>
      <c r="I101" s="240" t="str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  <c r="J101" s="237"/>
      <c r="K101" s="237"/>
      <c r="L101" s="237"/>
      <c r="M101" s="237"/>
    </row>
    <row r="102" spans="1:13" ht="21" customHeight="1" x14ac:dyDescent="0.3">
      <c r="A102" s="190"/>
      <c r="B102" s="238"/>
      <c r="C102" s="239"/>
      <c r="D102" s="240"/>
      <c r="E102" s="241" t="s">
        <v>214</v>
      </c>
      <c r="F102" s="242" t="str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243" t="str">
        <f>IFERROR(ROUNDUP(D102/F102,0),"")</f>
        <v/>
      </c>
      <c r="H102" s="197"/>
      <c r="I102" s="240" t="str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  <c r="J102" s="237"/>
      <c r="K102" s="237"/>
      <c r="L102" s="237"/>
      <c r="M102" s="237"/>
    </row>
    <row r="103" spans="1:13" ht="21" customHeight="1" x14ac:dyDescent="0.3">
      <c r="A103" s="190"/>
      <c r="B103" s="238"/>
      <c r="C103" s="239"/>
      <c r="D103" s="240"/>
      <c r="E103" s="241" t="s">
        <v>214</v>
      </c>
      <c r="F103" s="242" t="str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243" t="str">
        <f>IFERROR(ROUNDUP(D103/F103,0),"")</f>
        <v/>
      </c>
      <c r="H103" s="197"/>
      <c r="I103" s="240" t="str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  <c r="J103" s="237"/>
      <c r="K103" s="237"/>
      <c r="L103" s="237"/>
      <c r="M103" s="237"/>
    </row>
    <row r="104" spans="1:13" ht="21" customHeight="1" x14ac:dyDescent="0.3">
      <c r="A104" s="190"/>
      <c r="B104" s="238"/>
      <c r="C104" s="239"/>
      <c r="D104" s="240"/>
      <c r="E104" s="241" t="s">
        <v>214</v>
      </c>
      <c r="F104" s="242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243" t="str">
        <f>IFERROR(ROUNDUP(D104/F104,0),"")</f>
        <v/>
      </c>
      <c r="H104" s="197"/>
      <c r="I104" s="240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  <c r="J104" s="237"/>
      <c r="K104" s="237"/>
      <c r="L104" s="237"/>
      <c r="M104" s="237"/>
    </row>
    <row r="105" spans="1:13" ht="15" customHeight="1" x14ac:dyDescent="0.3">
      <c r="A105" s="244"/>
      <c r="B105" s="199" t="s">
        <v>216</v>
      </c>
      <c r="C105" s="245"/>
      <c r="D105" s="201">
        <f>SUM(D98:D104)</f>
        <v>0</v>
      </c>
      <c r="E105" s="246"/>
      <c r="F105" s="246"/>
      <c r="G105" s="203">
        <f>SUM(G98:G104)</f>
        <v>0</v>
      </c>
      <c r="H105" s="201">
        <f>SUM(H98:H104)</f>
        <v>0</v>
      </c>
      <c r="I105" s="201">
        <f>SUM(I98:I104)</f>
        <v>0</v>
      </c>
      <c r="J105" s="247">
        <f>D105</f>
        <v>0</v>
      </c>
      <c r="K105" s="248">
        <f>G105</f>
        <v>0</v>
      </c>
      <c r="L105" s="247">
        <f>H105</f>
        <v>0</v>
      </c>
      <c r="M105" s="247">
        <f>I105</f>
        <v>0</v>
      </c>
    </row>
    <row r="106" spans="1:13" ht="6" customHeight="1" x14ac:dyDescent="0.3">
      <c r="A106" s="237"/>
      <c r="B106" s="237"/>
      <c r="C106" s="249"/>
      <c r="D106" s="237"/>
      <c r="E106" s="237"/>
      <c r="F106" s="237"/>
      <c r="G106" s="237"/>
      <c r="H106" s="237"/>
      <c r="I106" s="237"/>
      <c r="J106" s="237"/>
      <c r="K106" s="237"/>
      <c r="L106" s="237"/>
      <c r="M106" s="237"/>
    </row>
    <row r="107" spans="1:13" ht="15" customHeight="1" x14ac:dyDescent="0.3">
      <c r="A107" s="30">
        <v>46251</v>
      </c>
      <c r="B107" s="186" t="s">
        <v>78</v>
      </c>
      <c r="C107" s="187" t="s">
        <v>205</v>
      </c>
      <c r="D107" s="188" t="s">
        <v>206</v>
      </c>
      <c r="E107" s="188" t="s">
        <v>207</v>
      </c>
      <c r="F107" s="189" t="s">
        <v>208</v>
      </c>
      <c r="G107" s="188" t="s">
        <v>209</v>
      </c>
      <c r="H107" s="188" t="s">
        <v>210</v>
      </c>
      <c r="I107" s="188" t="s">
        <v>211</v>
      </c>
    </row>
    <row r="108" spans="1:13" ht="21" customHeight="1" x14ac:dyDescent="0.3">
      <c r="A108" s="190"/>
      <c r="B108" s="191"/>
      <c r="C108" s="192"/>
      <c r="D108" s="193"/>
      <c r="E108" s="194" t="s">
        <v>214</v>
      </c>
      <c r="F108" s="195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196" t="str">
        <f>IFERROR(ROUNDUP(D108/F108,0),"")</f>
        <v/>
      </c>
      <c r="H108" s="197"/>
      <c r="I108" s="193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</row>
    <row r="109" spans="1:13" ht="21" customHeight="1" x14ac:dyDescent="0.3">
      <c r="A109" s="190"/>
      <c r="B109" s="191"/>
      <c r="C109" s="192"/>
      <c r="D109" s="193"/>
      <c r="E109" s="194" t="s">
        <v>214</v>
      </c>
      <c r="F109" s="195" t="str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196" t="str">
        <f>IFERROR(ROUNDUP(D109/F109,0),"")</f>
        <v/>
      </c>
      <c r="H109" s="197"/>
      <c r="I109" s="193" t="str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</row>
    <row r="110" spans="1:13" ht="21" customHeight="1" x14ac:dyDescent="0.3">
      <c r="A110" s="190"/>
      <c r="B110" s="191"/>
      <c r="C110" s="192"/>
      <c r="D110" s="193"/>
      <c r="E110" s="194" t="s">
        <v>214</v>
      </c>
      <c r="F110" s="195" t="str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196" t="str">
        <f>IFERROR(ROUNDUP(D110/F110,0),"")</f>
        <v/>
      </c>
      <c r="H110" s="197"/>
      <c r="I110" s="193" t="str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</row>
    <row r="111" spans="1:13" ht="21" customHeight="1" x14ac:dyDescent="0.3">
      <c r="A111" s="190"/>
      <c r="B111" s="191"/>
      <c r="C111" s="192"/>
      <c r="D111" s="193"/>
      <c r="E111" s="194" t="s">
        <v>214</v>
      </c>
      <c r="F111" s="195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196" t="str">
        <f>IFERROR(ROUNDUP(D111/F111,0),"")</f>
        <v/>
      </c>
      <c r="H111" s="197"/>
      <c r="I111" s="193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3">
      <c r="A112" s="190"/>
      <c r="B112" s="191"/>
      <c r="C112" s="192"/>
      <c r="D112" s="193"/>
      <c r="E112" s="194" t="s">
        <v>214</v>
      </c>
      <c r="F112" s="195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196" t="str">
        <f>IFERROR(ROUNDUP(D112/F112,0),"")</f>
        <v/>
      </c>
      <c r="H112" s="197"/>
      <c r="I112" s="193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15" customHeight="1" x14ac:dyDescent="0.3">
      <c r="A113" s="198"/>
      <c r="B113" s="199" t="s">
        <v>216</v>
      </c>
      <c r="C113" s="200"/>
      <c r="D113" s="201">
        <f>SUM(D106:D112)</f>
        <v>0</v>
      </c>
      <c r="E113" s="202"/>
      <c r="F113" s="202"/>
      <c r="G113" s="203">
        <f>SUM(G106:G112)</f>
        <v>0</v>
      </c>
      <c r="H113" s="201">
        <f>SUM(H106:H112)</f>
        <v>0</v>
      </c>
      <c r="I113" s="201">
        <f>SUM(I106:I112)</f>
        <v>0</v>
      </c>
      <c r="J113" s="28">
        <f>D113</f>
        <v>0</v>
      </c>
      <c r="K113" s="106">
        <f>G113</f>
        <v>0</v>
      </c>
      <c r="L113" s="28">
        <f>H113</f>
        <v>0</v>
      </c>
      <c r="M113" s="28">
        <f>I113</f>
        <v>0</v>
      </c>
    </row>
    <row r="114" spans="1:13" ht="6" customHeight="1" x14ac:dyDescent="0.3">
      <c r="C114" s="72"/>
    </row>
    <row r="115" spans="1:13" ht="15" customHeight="1" x14ac:dyDescent="0.3">
      <c r="A115" s="30">
        <v>46252</v>
      </c>
      <c r="B115" s="186" t="s">
        <v>78</v>
      </c>
      <c r="C115" s="187" t="s">
        <v>205</v>
      </c>
      <c r="D115" s="188" t="s">
        <v>206</v>
      </c>
      <c r="E115" s="188" t="s">
        <v>207</v>
      </c>
      <c r="F115" s="189" t="s">
        <v>208</v>
      </c>
      <c r="G115" s="188" t="s">
        <v>209</v>
      </c>
      <c r="H115" s="188" t="s">
        <v>210</v>
      </c>
      <c r="I115" s="188" t="s">
        <v>211</v>
      </c>
    </row>
    <row r="116" spans="1:13" ht="21" customHeight="1" x14ac:dyDescent="0.3">
      <c r="A116" s="190"/>
      <c r="B116" s="191"/>
      <c r="C116" s="192"/>
      <c r="D116" s="193"/>
      <c r="E116" s="194" t="s">
        <v>214</v>
      </c>
      <c r="F116" s="195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196" t="str">
        <f>IFERROR(ROUNDUP(D116/F116,0),"")</f>
        <v/>
      </c>
      <c r="H116" s="197"/>
      <c r="I116" s="193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</row>
    <row r="117" spans="1:13" ht="21" customHeight="1" x14ac:dyDescent="0.3">
      <c r="A117" s="190"/>
      <c r="B117" s="191"/>
      <c r="C117" s="192"/>
      <c r="D117" s="193"/>
      <c r="E117" s="194" t="s">
        <v>214</v>
      </c>
      <c r="F117" s="195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196" t="str">
        <f>IFERROR(ROUNDUP(D117/F117,0),"")</f>
        <v/>
      </c>
      <c r="H117" s="197"/>
      <c r="I117" s="193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</row>
    <row r="118" spans="1:13" ht="21" customHeight="1" x14ac:dyDescent="0.3">
      <c r="A118" s="190"/>
      <c r="B118" s="191"/>
      <c r="C118" s="192"/>
      <c r="D118" s="193"/>
      <c r="E118" s="194" t="s">
        <v>214</v>
      </c>
      <c r="F118" s="195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196" t="str">
        <f>IFERROR(ROUNDUP(D118/F118,0),"")</f>
        <v/>
      </c>
      <c r="H118" s="197"/>
      <c r="I118" s="193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</row>
    <row r="119" spans="1:13" ht="21" customHeight="1" x14ac:dyDescent="0.3">
      <c r="A119" s="190"/>
      <c r="B119" s="191"/>
      <c r="C119" s="192"/>
      <c r="D119" s="193"/>
      <c r="E119" s="194" t="s">
        <v>214</v>
      </c>
      <c r="F119" s="195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196" t="str">
        <f>IFERROR(ROUNDUP(D119/F119,0),"")</f>
        <v/>
      </c>
      <c r="H119" s="197"/>
      <c r="I119" s="193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</row>
    <row r="120" spans="1:13" ht="21" customHeight="1" x14ac:dyDescent="0.3">
      <c r="A120" s="190"/>
      <c r="B120" s="191"/>
      <c r="C120" s="192"/>
      <c r="D120" s="193"/>
      <c r="E120" s="194" t="s">
        <v>214</v>
      </c>
      <c r="F120" s="195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196" t="str">
        <f>IFERROR(ROUNDUP(D120/F120,0),"")</f>
        <v/>
      </c>
      <c r="H120" s="197"/>
      <c r="I120" s="193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</row>
    <row r="121" spans="1:13" ht="15" customHeight="1" x14ac:dyDescent="0.3">
      <c r="A121" s="198"/>
      <c r="B121" s="199" t="s">
        <v>216</v>
      </c>
      <c r="C121" s="200"/>
      <c r="D121" s="201">
        <f>SUM(D114:D120)</f>
        <v>0</v>
      </c>
      <c r="E121" s="202"/>
      <c r="F121" s="202"/>
      <c r="G121" s="203">
        <f>SUM(G114:G120)</f>
        <v>0</v>
      </c>
      <c r="H121" s="201">
        <f>SUM(H114:H120)</f>
        <v>0</v>
      </c>
      <c r="I121" s="201">
        <f>SUM(I114:I120)</f>
        <v>0</v>
      </c>
      <c r="J121" s="28">
        <f>D121</f>
        <v>0</v>
      </c>
      <c r="K121" s="106">
        <f>G121</f>
        <v>0</v>
      </c>
      <c r="L121" s="28">
        <f>H121</f>
        <v>0</v>
      </c>
      <c r="M121" s="28">
        <f>I121</f>
        <v>0</v>
      </c>
    </row>
    <row r="122" spans="1:13" ht="6" customHeight="1" x14ac:dyDescent="0.3">
      <c r="C122" s="72"/>
    </row>
    <row r="123" spans="1:13" ht="15" customHeight="1" x14ac:dyDescent="0.3">
      <c r="A123" s="30">
        <v>46253</v>
      </c>
      <c r="B123" s="186" t="s">
        <v>78</v>
      </c>
      <c r="C123" s="187" t="s">
        <v>205</v>
      </c>
      <c r="D123" s="188" t="s">
        <v>206</v>
      </c>
      <c r="E123" s="188" t="s">
        <v>207</v>
      </c>
      <c r="F123" s="189" t="s">
        <v>208</v>
      </c>
      <c r="G123" s="188" t="s">
        <v>209</v>
      </c>
      <c r="H123" s="188" t="s">
        <v>210</v>
      </c>
      <c r="I123" s="188" t="s">
        <v>211</v>
      </c>
    </row>
    <row r="124" spans="1:13" ht="21" customHeight="1" x14ac:dyDescent="0.3">
      <c r="A124" s="190"/>
      <c r="B124" s="191"/>
      <c r="C124" s="192"/>
      <c r="D124" s="193"/>
      <c r="E124" s="194" t="s">
        <v>214</v>
      </c>
      <c r="F124" s="195" t="str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196" t="str">
        <f>IFERROR(ROUNDUP(D124/F124,0),"")</f>
        <v/>
      </c>
      <c r="H124" s="197"/>
      <c r="I124" s="193" t="str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</row>
    <row r="125" spans="1:13" ht="21" customHeight="1" x14ac:dyDescent="0.3">
      <c r="A125" s="190"/>
      <c r="B125" s="191"/>
      <c r="C125" s="192"/>
      <c r="D125" s="193"/>
      <c r="E125" s="194" t="s">
        <v>214</v>
      </c>
      <c r="F125" s="195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196" t="str">
        <f>IFERROR(ROUNDUP(D125/F125,0),"")</f>
        <v/>
      </c>
      <c r="H125" s="197"/>
      <c r="I125" s="193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</row>
    <row r="126" spans="1:13" ht="21" customHeight="1" x14ac:dyDescent="0.3">
      <c r="A126" s="190"/>
      <c r="B126" s="191"/>
      <c r="C126" s="192"/>
      <c r="D126" s="193"/>
      <c r="E126" s="194" t="s">
        <v>214</v>
      </c>
      <c r="F126" s="195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196" t="str">
        <f>IFERROR(ROUNDUP(D126/F126,0),"")</f>
        <v/>
      </c>
      <c r="H126" s="197"/>
      <c r="I126" s="193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</row>
    <row r="127" spans="1:13" ht="21" customHeight="1" x14ac:dyDescent="0.3">
      <c r="A127" s="190"/>
      <c r="B127" s="191"/>
      <c r="C127" s="192"/>
      <c r="D127" s="193"/>
      <c r="E127" s="194" t="s">
        <v>214</v>
      </c>
      <c r="F127" s="195" t="str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196" t="str">
        <f>IFERROR(ROUNDUP(D127/F127,0),"")</f>
        <v/>
      </c>
      <c r="H127" s="197"/>
      <c r="I127" s="193" t="str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</row>
    <row r="128" spans="1:13" ht="21" customHeight="1" x14ac:dyDescent="0.3">
      <c r="A128" s="190"/>
      <c r="B128" s="191"/>
      <c r="C128" s="192"/>
      <c r="D128" s="193"/>
      <c r="E128" s="194" t="s">
        <v>214</v>
      </c>
      <c r="F128" s="195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196" t="str">
        <f>IFERROR(ROUNDUP(D128/F128,0),"")</f>
        <v/>
      </c>
      <c r="H128" s="197"/>
      <c r="I128" s="193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</row>
    <row r="129" spans="1:13" ht="15" customHeight="1" x14ac:dyDescent="0.3">
      <c r="A129" s="198"/>
      <c r="B129" s="199" t="s">
        <v>216</v>
      </c>
      <c r="C129" s="200"/>
      <c r="D129" s="201">
        <f>SUM(D122:D128)</f>
        <v>0</v>
      </c>
      <c r="E129" s="202"/>
      <c r="F129" s="202"/>
      <c r="G129" s="203">
        <f>SUM(G122:G128)</f>
        <v>0</v>
      </c>
      <c r="H129" s="201">
        <f>SUM(H122:H128)</f>
        <v>0</v>
      </c>
      <c r="I129" s="201">
        <f>SUM(I122:I128)</f>
        <v>0</v>
      </c>
      <c r="J129" s="28">
        <f>D129</f>
        <v>0</v>
      </c>
      <c r="K129" s="106">
        <f>G129</f>
        <v>0</v>
      </c>
      <c r="L129" s="28">
        <f>H129</f>
        <v>0</v>
      </c>
      <c r="M129" s="28">
        <f>I129</f>
        <v>0</v>
      </c>
    </row>
    <row r="130" spans="1:13" ht="6" customHeight="1" x14ac:dyDescent="0.3">
      <c r="C130" s="72"/>
    </row>
    <row r="131" spans="1:13" ht="15" customHeight="1" x14ac:dyDescent="0.3">
      <c r="A131" s="30">
        <v>46254</v>
      </c>
      <c r="B131" s="186" t="s">
        <v>78</v>
      </c>
      <c r="C131" s="187" t="s">
        <v>205</v>
      </c>
      <c r="D131" s="188" t="s">
        <v>206</v>
      </c>
      <c r="E131" s="188" t="s">
        <v>207</v>
      </c>
      <c r="F131" s="189" t="s">
        <v>208</v>
      </c>
      <c r="G131" s="188" t="s">
        <v>209</v>
      </c>
      <c r="H131" s="188" t="s">
        <v>210</v>
      </c>
      <c r="I131" s="188" t="s">
        <v>211</v>
      </c>
    </row>
    <row r="132" spans="1:13" ht="21" customHeight="1" x14ac:dyDescent="0.3">
      <c r="A132" s="190"/>
      <c r="B132" s="191"/>
      <c r="C132" s="192"/>
      <c r="D132" s="193"/>
      <c r="E132" s="194" t="s">
        <v>214</v>
      </c>
      <c r="F132" s="195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196" t="str">
        <f>IFERROR(ROUNDUP(D132/F132,0),"")</f>
        <v/>
      </c>
      <c r="H132" s="197"/>
      <c r="I132" s="193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</row>
    <row r="133" spans="1:13" ht="21" customHeight="1" x14ac:dyDescent="0.3">
      <c r="A133" s="190"/>
      <c r="B133" s="191"/>
      <c r="C133" s="192"/>
      <c r="D133" s="193"/>
      <c r="E133" s="194" t="s">
        <v>214</v>
      </c>
      <c r="F133" s="195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196" t="str">
        <f>IFERROR(ROUNDUP(D133/F133,0),"")</f>
        <v/>
      </c>
      <c r="H133" s="197"/>
      <c r="I133" s="193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</row>
    <row r="134" spans="1:13" ht="21" customHeight="1" x14ac:dyDescent="0.3">
      <c r="A134" s="190"/>
      <c r="B134" s="191"/>
      <c r="C134" s="192"/>
      <c r="D134" s="193"/>
      <c r="E134" s="194" t="s">
        <v>214</v>
      </c>
      <c r="F134" s="195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196" t="str">
        <f>IFERROR(ROUNDUP(D134/F134,0),"")</f>
        <v/>
      </c>
      <c r="H134" s="197"/>
      <c r="I134" s="193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</row>
    <row r="135" spans="1:13" ht="21" customHeight="1" x14ac:dyDescent="0.3">
      <c r="A135" s="190"/>
      <c r="B135" s="191"/>
      <c r="C135" s="192"/>
      <c r="D135" s="193"/>
      <c r="E135" s="194" t="s">
        <v>214</v>
      </c>
      <c r="F135" s="195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196" t="str">
        <f>IFERROR(ROUNDUP(D135/F135,0),"")</f>
        <v/>
      </c>
      <c r="H135" s="197"/>
      <c r="I135" s="193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</row>
    <row r="136" spans="1:13" ht="21" customHeight="1" x14ac:dyDescent="0.3">
      <c r="A136" s="190"/>
      <c r="B136" s="191"/>
      <c r="C136" s="192"/>
      <c r="D136" s="193"/>
      <c r="E136" s="194" t="s">
        <v>214</v>
      </c>
      <c r="F136" s="195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196" t="str">
        <f>IFERROR(ROUNDUP(D136/F136,0),"")</f>
        <v/>
      </c>
      <c r="H136" s="197"/>
      <c r="I136" s="193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</row>
    <row r="137" spans="1:13" ht="15" customHeight="1" x14ac:dyDescent="0.3">
      <c r="A137" s="198"/>
      <c r="B137" s="199" t="s">
        <v>216</v>
      </c>
      <c r="C137" s="200"/>
      <c r="D137" s="201">
        <f>SUM(D130:D136)</f>
        <v>0</v>
      </c>
      <c r="E137" s="202"/>
      <c r="F137" s="202"/>
      <c r="G137" s="203">
        <f>SUM(G130:G136)</f>
        <v>0</v>
      </c>
      <c r="H137" s="201">
        <f>SUM(H130:H136)</f>
        <v>0</v>
      </c>
      <c r="I137" s="201">
        <f>SUM(I130:I136)</f>
        <v>0</v>
      </c>
      <c r="J137" s="28">
        <f>D137</f>
        <v>0</v>
      </c>
      <c r="K137" s="106">
        <f>G137</f>
        <v>0</v>
      </c>
      <c r="L137" s="28">
        <f>H137</f>
        <v>0</v>
      </c>
      <c r="M137" s="28">
        <f>I137</f>
        <v>0</v>
      </c>
    </row>
    <row r="138" spans="1:13" ht="6" customHeight="1" x14ac:dyDescent="0.3">
      <c r="C138" s="72"/>
    </row>
    <row r="139" spans="1:13" ht="15" customHeight="1" x14ac:dyDescent="0.3">
      <c r="A139" s="30">
        <v>46255</v>
      </c>
      <c r="B139" s="186" t="s">
        <v>78</v>
      </c>
      <c r="C139" s="187" t="s">
        <v>205</v>
      </c>
      <c r="D139" s="188" t="s">
        <v>206</v>
      </c>
      <c r="E139" s="188" t="s">
        <v>207</v>
      </c>
      <c r="F139" s="189" t="s">
        <v>208</v>
      </c>
      <c r="G139" s="188" t="s">
        <v>209</v>
      </c>
      <c r="H139" s="188" t="s">
        <v>210</v>
      </c>
      <c r="I139" s="188" t="s">
        <v>211</v>
      </c>
    </row>
    <row r="140" spans="1:13" ht="21" customHeight="1" x14ac:dyDescent="0.3">
      <c r="A140" s="190"/>
      <c r="B140" s="191"/>
      <c r="C140" s="192"/>
      <c r="D140" s="193"/>
      <c r="E140" s="194" t="s">
        <v>214</v>
      </c>
      <c r="F140" s="195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196" t="str">
        <f>IFERROR(ROUNDUP(D140/F140,0),"")</f>
        <v/>
      </c>
      <c r="H140" s="197"/>
      <c r="I140" s="193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</row>
    <row r="141" spans="1:13" ht="21" customHeight="1" x14ac:dyDescent="0.3">
      <c r="A141" s="190"/>
      <c r="B141" s="191"/>
      <c r="C141" s="192"/>
      <c r="D141" s="193"/>
      <c r="E141" s="194" t="s">
        <v>214</v>
      </c>
      <c r="F141" s="195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196" t="str">
        <f>IFERROR(ROUNDUP(D141/F141,0),"")</f>
        <v/>
      </c>
      <c r="H141" s="197"/>
      <c r="I141" s="193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</row>
    <row r="142" spans="1:13" ht="21" customHeight="1" x14ac:dyDescent="0.3">
      <c r="A142" s="190"/>
      <c r="B142" s="191"/>
      <c r="C142" s="192"/>
      <c r="D142" s="193"/>
      <c r="E142" s="194" t="s">
        <v>214</v>
      </c>
      <c r="F142" s="195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196" t="str">
        <f>IFERROR(ROUNDUP(D142/F142,0),"")</f>
        <v/>
      </c>
      <c r="H142" s="197"/>
      <c r="I142" s="193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</row>
    <row r="143" spans="1:13" ht="21" customHeight="1" x14ac:dyDescent="0.3">
      <c r="A143" s="190"/>
      <c r="B143" s="191"/>
      <c r="C143" s="192"/>
      <c r="D143" s="193"/>
      <c r="E143" s="194" t="s">
        <v>214</v>
      </c>
      <c r="F143" s="195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196" t="str">
        <f>IFERROR(ROUNDUP(D143/F143,0),"")</f>
        <v/>
      </c>
      <c r="H143" s="197"/>
      <c r="I143" s="193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</row>
    <row r="144" spans="1:13" ht="21" customHeight="1" x14ac:dyDescent="0.3">
      <c r="A144" s="190"/>
      <c r="B144" s="191"/>
      <c r="C144" s="192"/>
      <c r="D144" s="193"/>
      <c r="E144" s="194" t="s">
        <v>214</v>
      </c>
      <c r="F144" s="195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196" t="str">
        <f>IFERROR(ROUNDUP(D144/F144,0),"")</f>
        <v/>
      </c>
      <c r="H144" s="197"/>
      <c r="I144" s="193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</row>
    <row r="145" spans="1:13" ht="15" customHeight="1" x14ac:dyDescent="0.3">
      <c r="A145" s="198"/>
      <c r="B145" s="199" t="s">
        <v>216</v>
      </c>
      <c r="C145" s="200"/>
      <c r="D145" s="201">
        <f>SUM(D138:D144)</f>
        <v>0</v>
      </c>
      <c r="E145" s="202"/>
      <c r="F145" s="202"/>
      <c r="G145" s="203">
        <f>SUM(G138:G144)</f>
        <v>0</v>
      </c>
      <c r="H145" s="201">
        <f>SUM(H138:H144)</f>
        <v>0</v>
      </c>
      <c r="I145" s="201">
        <f>SUM(I138:I144)</f>
        <v>0</v>
      </c>
      <c r="J145" s="28">
        <f>D145</f>
        <v>0</v>
      </c>
      <c r="K145" s="106">
        <f>G145</f>
        <v>0</v>
      </c>
      <c r="L145" s="28">
        <f>H145</f>
        <v>0</v>
      </c>
      <c r="M145" s="28">
        <f>I145</f>
        <v>0</v>
      </c>
    </row>
    <row r="146" spans="1:13" ht="6" customHeight="1" x14ac:dyDescent="0.3">
      <c r="C146" s="72"/>
    </row>
    <row r="147" spans="1:13" ht="15" customHeight="1" x14ac:dyDescent="0.3">
      <c r="A147" s="235">
        <v>46256</v>
      </c>
      <c r="B147" s="186" t="s">
        <v>78</v>
      </c>
      <c r="C147" s="187" t="s">
        <v>205</v>
      </c>
      <c r="D147" s="188" t="s">
        <v>206</v>
      </c>
      <c r="E147" s="188" t="s">
        <v>207</v>
      </c>
      <c r="F147" s="236" t="s">
        <v>208</v>
      </c>
      <c r="G147" s="188" t="s">
        <v>209</v>
      </c>
      <c r="H147" s="188" t="s">
        <v>210</v>
      </c>
      <c r="I147" s="188" t="s">
        <v>211</v>
      </c>
      <c r="J147" s="237"/>
      <c r="K147" s="237"/>
      <c r="L147" s="237"/>
      <c r="M147" s="237"/>
    </row>
    <row r="148" spans="1:13" ht="21" customHeight="1" x14ac:dyDescent="0.3">
      <c r="A148" s="190"/>
      <c r="B148" s="238"/>
      <c r="C148" s="239"/>
      <c r="D148" s="240"/>
      <c r="E148" s="241" t="s">
        <v>214</v>
      </c>
      <c r="F148" s="242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243" t="str">
        <f>IFERROR(ROUNDUP(D148/F148,0),"")</f>
        <v/>
      </c>
      <c r="H148" s="197"/>
      <c r="I148" s="240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  <c r="J148" s="237"/>
      <c r="K148" s="237"/>
      <c r="L148" s="237"/>
      <c r="M148" s="237"/>
    </row>
    <row r="149" spans="1:13" ht="21" customHeight="1" x14ac:dyDescent="0.3">
      <c r="A149" s="190"/>
      <c r="B149" s="238"/>
      <c r="C149" s="239"/>
      <c r="D149" s="240"/>
      <c r="E149" s="241" t="s">
        <v>214</v>
      </c>
      <c r="F149" s="242" t="str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243" t="str">
        <f>IFERROR(ROUNDUP(D149/F149,0),"")</f>
        <v/>
      </c>
      <c r="H149" s="197"/>
      <c r="I149" s="240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  <c r="J149" s="237"/>
      <c r="K149" s="237"/>
      <c r="L149" s="237"/>
      <c r="M149" s="237"/>
    </row>
    <row r="150" spans="1:13" ht="21" customHeight="1" x14ac:dyDescent="0.3">
      <c r="A150" s="190"/>
      <c r="B150" s="238"/>
      <c r="C150" s="239"/>
      <c r="D150" s="240"/>
      <c r="E150" s="241" t="s">
        <v>214</v>
      </c>
      <c r="F150" s="242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243" t="str">
        <f>IFERROR(ROUNDUP(D150/F150,0),"")</f>
        <v/>
      </c>
      <c r="H150" s="197"/>
      <c r="I150" s="240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  <c r="J150" s="237"/>
      <c r="K150" s="237"/>
      <c r="L150" s="237"/>
      <c r="M150" s="237"/>
    </row>
    <row r="151" spans="1:13" ht="21" customHeight="1" x14ac:dyDescent="0.3">
      <c r="A151" s="190"/>
      <c r="B151" s="238"/>
      <c r="C151" s="239"/>
      <c r="D151" s="240"/>
      <c r="E151" s="241" t="s">
        <v>214</v>
      </c>
      <c r="F151" s="242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243" t="str">
        <f>IFERROR(ROUNDUP(D151/F151,0),"")</f>
        <v/>
      </c>
      <c r="H151" s="197"/>
      <c r="I151" s="240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  <c r="J151" s="237"/>
      <c r="K151" s="237"/>
      <c r="L151" s="237"/>
      <c r="M151" s="237"/>
    </row>
    <row r="152" spans="1:13" ht="21" customHeight="1" x14ac:dyDescent="0.3">
      <c r="A152" s="190"/>
      <c r="B152" s="238"/>
      <c r="C152" s="239"/>
      <c r="D152" s="240"/>
      <c r="E152" s="241" t="s">
        <v>214</v>
      </c>
      <c r="F152" s="242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243" t="str">
        <f>IFERROR(ROUNDUP(D152/F152,0),"")</f>
        <v/>
      </c>
      <c r="H152" s="197"/>
      <c r="I152" s="240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  <c r="J152" s="237"/>
      <c r="K152" s="237"/>
      <c r="L152" s="237"/>
      <c r="M152" s="237"/>
    </row>
    <row r="153" spans="1:13" ht="15" customHeight="1" x14ac:dyDescent="0.3">
      <c r="A153" s="244"/>
      <c r="B153" s="199" t="s">
        <v>216</v>
      </c>
      <c r="C153" s="245"/>
      <c r="D153" s="201">
        <f>SUM(D146:D152)</f>
        <v>0</v>
      </c>
      <c r="E153" s="246"/>
      <c r="F153" s="246"/>
      <c r="G153" s="203">
        <f>SUM(G146:G152)</f>
        <v>0</v>
      </c>
      <c r="H153" s="201">
        <f>SUM(H146:H152)</f>
        <v>0</v>
      </c>
      <c r="I153" s="201">
        <f>SUM(I146:I152)</f>
        <v>0</v>
      </c>
      <c r="J153" s="247">
        <f>D153</f>
        <v>0</v>
      </c>
      <c r="K153" s="248">
        <f>G153</f>
        <v>0</v>
      </c>
      <c r="L153" s="247">
        <f>H153</f>
        <v>0</v>
      </c>
      <c r="M153" s="247">
        <f>I153</f>
        <v>0</v>
      </c>
    </row>
    <row r="154" spans="1:13" ht="6" customHeight="1" x14ac:dyDescent="0.3">
      <c r="A154" s="237"/>
      <c r="B154" s="237"/>
      <c r="C154" s="249"/>
      <c r="D154" s="237"/>
      <c r="E154" s="237"/>
      <c r="F154" s="237"/>
      <c r="G154" s="237"/>
      <c r="H154" s="237"/>
      <c r="I154" s="237"/>
      <c r="J154" s="237"/>
      <c r="K154" s="237"/>
      <c r="L154" s="237"/>
      <c r="M154" s="237"/>
    </row>
    <row r="155" spans="1:13" ht="15" customHeight="1" x14ac:dyDescent="0.3">
      <c r="A155" s="30">
        <v>46258</v>
      </c>
      <c r="B155" s="186" t="s">
        <v>78</v>
      </c>
      <c r="C155" s="187" t="s">
        <v>205</v>
      </c>
      <c r="D155" s="188" t="s">
        <v>206</v>
      </c>
      <c r="E155" s="188" t="s">
        <v>207</v>
      </c>
      <c r="F155" s="189" t="s">
        <v>208</v>
      </c>
      <c r="G155" s="188" t="s">
        <v>209</v>
      </c>
      <c r="H155" s="188" t="s">
        <v>210</v>
      </c>
      <c r="I155" s="188" t="s">
        <v>211</v>
      </c>
    </row>
    <row r="156" spans="1:13" ht="21" customHeight="1" x14ac:dyDescent="0.3">
      <c r="A156" s="190"/>
      <c r="B156" s="191"/>
      <c r="C156" s="192"/>
      <c r="D156" s="193"/>
      <c r="E156" s="194" t="s">
        <v>214</v>
      </c>
      <c r="F156" s="195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196" t="str">
        <f>IFERROR(ROUNDUP(D156/F156,0),"")</f>
        <v/>
      </c>
      <c r="H156" s="197"/>
      <c r="I156" s="193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21" customHeight="1" x14ac:dyDescent="0.3">
      <c r="A157" s="190"/>
      <c r="B157" s="191"/>
      <c r="C157" s="192"/>
      <c r="D157" s="193"/>
      <c r="E157" s="194" t="s">
        <v>214</v>
      </c>
      <c r="F157" s="195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196" t="str">
        <f>IFERROR(ROUNDUP(D157/F157,0),"")</f>
        <v/>
      </c>
      <c r="H157" s="197"/>
      <c r="I157" s="193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</row>
    <row r="158" spans="1:13" ht="21" customHeight="1" x14ac:dyDescent="0.3">
      <c r="A158" s="190"/>
      <c r="B158" s="191"/>
      <c r="C158" s="192"/>
      <c r="D158" s="193"/>
      <c r="E158" s="194" t="s">
        <v>214</v>
      </c>
      <c r="F158" s="195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196" t="str">
        <f>IFERROR(ROUNDUP(D158/F158,0),"")</f>
        <v/>
      </c>
      <c r="H158" s="197"/>
      <c r="I158" s="193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</row>
    <row r="159" spans="1:13" ht="21" customHeight="1" x14ac:dyDescent="0.3">
      <c r="A159" s="190"/>
      <c r="B159" s="191"/>
      <c r="C159" s="192"/>
      <c r="D159" s="193"/>
      <c r="E159" s="194" t="s">
        <v>214</v>
      </c>
      <c r="F159" s="195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196" t="str">
        <f>IFERROR(ROUNDUP(D159/F159,0),"")</f>
        <v/>
      </c>
      <c r="H159" s="197"/>
      <c r="I159" s="193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3">
      <c r="A160" s="190"/>
      <c r="B160" s="191"/>
      <c r="C160" s="192"/>
      <c r="D160" s="193"/>
      <c r="E160" s="194" t="s">
        <v>214</v>
      </c>
      <c r="F160" s="195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196" t="str">
        <f>IFERROR(ROUNDUP(D160/F160,0),"")</f>
        <v/>
      </c>
      <c r="H160" s="197"/>
      <c r="I160" s="193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15" customHeight="1" x14ac:dyDescent="0.3">
      <c r="A161" s="198"/>
      <c r="B161" s="199" t="s">
        <v>216</v>
      </c>
      <c r="C161" s="200"/>
      <c r="D161" s="201">
        <f>SUM(D154:D160)</f>
        <v>0</v>
      </c>
      <c r="E161" s="202"/>
      <c r="F161" s="202"/>
      <c r="G161" s="203">
        <f>SUM(G154:G160)</f>
        <v>0</v>
      </c>
      <c r="H161" s="201">
        <f>SUM(H154:H160)</f>
        <v>0</v>
      </c>
      <c r="I161" s="201">
        <f>SUM(I154:I160)</f>
        <v>0</v>
      </c>
      <c r="J161" s="28">
        <f>D161</f>
        <v>0</v>
      </c>
      <c r="K161" s="106">
        <f>G161</f>
        <v>0</v>
      </c>
      <c r="L161" s="28">
        <f>H161</f>
        <v>0</v>
      </c>
      <c r="M161" s="28">
        <f>I161</f>
        <v>0</v>
      </c>
    </row>
    <row r="162" spans="1:13" ht="6" customHeight="1" x14ac:dyDescent="0.3">
      <c r="C162" s="72"/>
    </row>
    <row r="163" spans="1:13" ht="15" customHeight="1" x14ac:dyDescent="0.3">
      <c r="A163" s="30">
        <v>46259</v>
      </c>
      <c r="B163" s="186" t="s">
        <v>78</v>
      </c>
      <c r="C163" s="187" t="s">
        <v>205</v>
      </c>
      <c r="D163" s="188" t="s">
        <v>206</v>
      </c>
      <c r="E163" s="188" t="s">
        <v>207</v>
      </c>
      <c r="F163" s="189" t="s">
        <v>208</v>
      </c>
      <c r="G163" s="188" t="s">
        <v>209</v>
      </c>
      <c r="H163" s="188" t="s">
        <v>210</v>
      </c>
      <c r="I163" s="188" t="s">
        <v>211</v>
      </c>
    </row>
    <row r="164" spans="1:13" ht="21" customHeight="1" x14ac:dyDescent="0.3">
      <c r="A164" s="190"/>
      <c r="B164" s="191"/>
      <c r="C164" s="192"/>
      <c r="D164" s="193"/>
      <c r="E164" s="194" t="s">
        <v>214</v>
      </c>
      <c r="F164" s="195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196" t="str">
        <f>IFERROR(ROUNDUP(D164/F164,0),"")</f>
        <v/>
      </c>
      <c r="H164" s="197"/>
      <c r="I164" s="193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</row>
    <row r="165" spans="1:13" ht="21" customHeight="1" x14ac:dyDescent="0.3">
      <c r="A165" s="190"/>
      <c r="B165" s="191"/>
      <c r="C165" s="192"/>
      <c r="D165" s="193"/>
      <c r="E165" s="194" t="s">
        <v>214</v>
      </c>
      <c r="F165" s="195" t="str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196" t="str">
        <f>IFERROR(ROUNDUP(D165/F165,0),"")</f>
        <v/>
      </c>
      <c r="H165" s="197"/>
      <c r="I165" s="193" t="str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</row>
    <row r="166" spans="1:13" ht="21" customHeight="1" x14ac:dyDescent="0.3">
      <c r="A166" s="190"/>
      <c r="B166" s="191"/>
      <c r="C166" s="192"/>
      <c r="D166" s="193"/>
      <c r="E166" s="194" t="s">
        <v>214</v>
      </c>
      <c r="F166" s="195" t="str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196" t="str">
        <f>IFERROR(ROUNDUP(D166/F166,0),"")</f>
        <v/>
      </c>
      <c r="H166" s="197"/>
      <c r="I166" s="193" t="str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</row>
    <row r="167" spans="1:13" ht="21" customHeight="1" x14ac:dyDescent="0.3">
      <c r="A167" s="190"/>
      <c r="B167" s="191"/>
      <c r="C167" s="192"/>
      <c r="D167" s="193"/>
      <c r="E167" s="194" t="s">
        <v>214</v>
      </c>
      <c r="F167" s="195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196" t="str">
        <f>IFERROR(ROUNDUP(D167/F167,0),"")</f>
        <v/>
      </c>
      <c r="H167" s="197"/>
      <c r="I167" s="193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</row>
    <row r="168" spans="1:13" ht="21" customHeight="1" x14ac:dyDescent="0.3">
      <c r="A168" s="190"/>
      <c r="B168" s="191"/>
      <c r="C168" s="192"/>
      <c r="D168" s="193"/>
      <c r="E168" s="194" t="s">
        <v>214</v>
      </c>
      <c r="F168" s="195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196" t="str">
        <f>IFERROR(ROUNDUP(D168/F168,0),"")</f>
        <v/>
      </c>
      <c r="H168" s="197"/>
      <c r="I168" s="193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</row>
    <row r="169" spans="1:13" ht="15" customHeight="1" x14ac:dyDescent="0.3">
      <c r="A169" s="198"/>
      <c r="B169" s="199" t="s">
        <v>216</v>
      </c>
      <c r="C169" s="200"/>
      <c r="D169" s="201">
        <f>SUM(D162:D168)</f>
        <v>0</v>
      </c>
      <c r="E169" s="202"/>
      <c r="F169" s="202"/>
      <c r="G169" s="203">
        <f>SUM(G162:G168)</f>
        <v>0</v>
      </c>
      <c r="H169" s="201">
        <f>SUM(H162:H168)</f>
        <v>0</v>
      </c>
      <c r="I169" s="201">
        <f>SUM(I162:I168)</f>
        <v>0</v>
      </c>
      <c r="J169" s="28">
        <f>D169</f>
        <v>0</v>
      </c>
      <c r="K169" s="106">
        <f>G169</f>
        <v>0</v>
      </c>
      <c r="L169" s="28">
        <f>H169</f>
        <v>0</v>
      </c>
      <c r="M169" s="28">
        <f>I169</f>
        <v>0</v>
      </c>
    </row>
    <row r="170" spans="1:13" ht="6" customHeight="1" x14ac:dyDescent="0.3">
      <c r="C170" s="72"/>
    </row>
    <row r="171" spans="1:13" ht="14.25" customHeight="1" x14ac:dyDescent="0.3">
      <c r="A171" s="30">
        <v>46260</v>
      </c>
      <c r="B171" s="186" t="s">
        <v>78</v>
      </c>
      <c r="C171" s="187" t="s">
        <v>205</v>
      </c>
      <c r="D171" s="188" t="s">
        <v>206</v>
      </c>
      <c r="E171" s="188" t="s">
        <v>207</v>
      </c>
      <c r="F171" s="189" t="s">
        <v>208</v>
      </c>
      <c r="G171" s="188" t="s">
        <v>209</v>
      </c>
      <c r="H171" s="188" t="s">
        <v>210</v>
      </c>
      <c r="I171" s="188" t="s">
        <v>211</v>
      </c>
    </row>
    <row r="172" spans="1:13" ht="21" customHeight="1" x14ac:dyDescent="0.3">
      <c r="A172" s="190"/>
      <c r="B172" s="191"/>
      <c r="C172" s="192"/>
      <c r="D172" s="193"/>
      <c r="E172" s="194" t="s">
        <v>214</v>
      </c>
      <c r="F172" s="195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196" t="str">
        <f>IFERROR(ROUNDUP(D172/F172,0),"")</f>
        <v/>
      </c>
      <c r="H172" s="197"/>
      <c r="I172" s="193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</row>
    <row r="173" spans="1:13" ht="21" customHeight="1" x14ac:dyDescent="0.3">
      <c r="A173" s="190"/>
      <c r="B173" s="191"/>
      <c r="C173" s="192"/>
      <c r="D173" s="193"/>
      <c r="E173" s="194" t="s">
        <v>214</v>
      </c>
      <c r="F173" s="195" t="str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196" t="str">
        <f>IFERROR(ROUNDUP(D173/F173,0),"")</f>
        <v/>
      </c>
      <c r="H173" s="197"/>
      <c r="I173" s="193" t="str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</row>
    <row r="174" spans="1:13" ht="21" customHeight="1" x14ac:dyDescent="0.3">
      <c r="A174" s="190"/>
      <c r="B174" s="191"/>
      <c r="C174" s="192"/>
      <c r="D174" s="193"/>
      <c r="E174" s="194" t="s">
        <v>214</v>
      </c>
      <c r="F174" s="195" t="str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196" t="str">
        <f>IFERROR(ROUNDUP(D174/F174,0),"")</f>
        <v/>
      </c>
      <c r="H174" s="197"/>
      <c r="I174" s="193" t="str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</row>
    <row r="175" spans="1:13" ht="21" customHeight="1" x14ac:dyDescent="0.3">
      <c r="A175" s="190"/>
      <c r="B175" s="191"/>
      <c r="C175" s="192"/>
      <c r="D175" s="193"/>
      <c r="E175" s="194" t="s">
        <v>214</v>
      </c>
      <c r="F175" s="195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196" t="str">
        <f>IFERROR(ROUNDUP(D175/F175,0),"")</f>
        <v/>
      </c>
      <c r="H175" s="197"/>
      <c r="I175" s="193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</row>
    <row r="176" spans="1:13" ht="21" customHeight="1" x14ac:dyDescent="0.3">
      <c r="A176" s="190"/>
      <c r="B176" s="191"/>
      <c r="C176" s="192"/>
      <c r="D176" s="193"/>
      <c r="E176" s="194" t="s">
        <v>214</v>
      </c>
      <c r="F176" s="195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196" t="str">
        <f>IFERROR(ROUNDUP(D176/F176,0),"")</f>
        <v/>
      </c>
      <c r="H176" s="197"/>
      <c r="I176" s="193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</row>
    <row r="177" spans="1:13" ht="14.25" customHeight="1" x14ac:dyDescent="0.3">
      <c r="A177" s="198"/>
      <c r="B177" s="199" t="s">
        <v>216</v>
      </c>
      <c r="C177" s="200"/>
      <c r="D177" s="201">
        <f>SUM(D170:D176)</f>
        <v>0</v>
      </c>
      <c r="E177" s="202"/>
      <c r="F177" s="202"/>
      <c r="G177" s="203">
        <f>SUM(G170:G176)</f>
        <v>0</v>
      </c>
      <c r="H177" s="201">
        <f>SUM(H170:H176)</f>
        <v>0</v>
      </c>
      <c r="I177" s="201">
        <f>SUM(I170:I176)</f>
        <v>0</v>
      </c>
      <c r="J177" s="28">
        <f>D177</f>
        <v>0</v>
      </c>
      <c r="K177" s="106">
        <f>G177</f>
        <v>0</v>
      </c>
      <c r="L177" s="28">
        <f>H177</f>
        <v>0</v>
      </c>
      <c r="M177" s="28">
        <f>I177</f>
        <v>0</v>
      </c>
    </row>
    <row r="178" spans="1:13" ht="14.25" customHeight="1" x14ac:dyDescent="0.3">
      <c r="C178" s="72"/>
    </row>
    <row r="179" spans="1:13" ht="14.25" customHeight="1" x14ac:dyDescent="0.3">
      <c r="A179" s="30">
        <v>46261</v>
      </c>
      <c r="B179" s="186" t="s">
        <v>78</v>
      </c>
      <c r="C179" s="187" t="s">
        <v>205</v>
      </c>
      <c r="D179" s="188" t="s">
        <v>206</v>
      </c>
      <c r="E179" s="188" t="s">
        <v>207</v>
      </c>
      <c r="F179" s="189" t="s">
        <v>208</v>
      </c>
      <c r="G179" s="188" t="s">
        <v>209</v>
      </c>
      <c r="H179" s="188" t="s">
        <v>210</v>
      </c>
      <c r="I179" s="188" t="s">
        <v>211</v>
      </c>
    </row>
    <row r="180" spans="1:13" ht="21" customHeight="1" x14ac:dyDescent="0.3">
      <c r="A180" s="190"/>
      <c r="B180" s="191"/>
      <c r="C180" s="192"/>
      <c r="D180" s="193"/>
      <c r="E180" s="194" t="s">
        <v>214</v>
      </c>
      <c r="F180" s="195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196" t="str">
        <f>IFERROR(ROUNDUP(D180/F180,0),"")</f>
        <v/>
      </c>
      <c r="H180" s="197"/>
      <c r="I180" s="193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</row>
    <row r="181" spans="1:13" ht="21" customHeight="1" x14ac:dyDescent="0.3">
      <c r="A181" s="190"/>
      <c r="B181" s="191"/>
      <c r="C181" s="192"/>
      <c r="D181" s="193"/>
      <c r="E181" s="194" t="s">
        <v>214</v>
      </c>
      <c r="F181" s="195" t="str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196" t="str">
        <f>IFERROR(ROUNDUP(D181/F181,0),"")</f>
        <v/>
      </c>
      <c r="H181" s="197"/>
      <c r="I181" s="193" t="str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</row>
    <row r="182" spans="1:13" ht="21" customHeight="1" x14ac:dyDescent="0.3">
      <c r="A182" s="190"/>
      <c r="B182" s="191"/>
      <c r="C182" s="192"/>
      <c r="D182" s="193"/>
      <c r="E182" s="194" t="s">
        <v>214</v>
      </c>
      <c r="F182" s="195" t="str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196" t="str">
        <f>IFERROR(ROUNDUP(D182/F182,0),"")</f>
        <v/>
      </c>
      <c r="H182" s="197"/>
      <c r="I182" s="193" t="str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</row>
    <row r="183" spans="1:13" ht="21" customHeight="1" x14ac:dyDescent="0.3">
      <c r="A183" s="190"/>
      <c r="B183" s="191"/>
      <c r="C183" s="192"/>
      <c r="D183" s="193"/>
      <c r="E183" s="194" t="s">
        <v>214</v>
      </c>
      <c r="F183" s="195" t="str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196" t="str">
        <f>IFERROR(ROUNDUP(D183/F183,0),"")</f>
        <v/>
      </c>
      <c r="H183" s="197"/>
      <c r="I183" s="193" t="str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</row>
    <row r="184" spans="1:13" ht="21" customHeight="1" x14ac:dyDescent="0.3">
      <c r="A184" s="190"/>
      <c r="B184" s="191"/>
      <c r="C184" s="192"/>
      <c r="D184" s="193"/>
      <c r="E184" s="194" t="s">
        <v>214</v>
      </c>
      <c r="F184" s="195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196" t="str">
        <f>IFERROR(ROUNDUP(D184/F184,0),"")</f>
        <v/>
      </c>
      <c r="H184" s="197"/>
      <c r="I184" s="193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</row>
    <row r="185" spans="1:13" ht="14.25" customHeight="1" x14ac:dyDescent="0.3">
      <c r="A185" s="198"/>
      <c r="B185" s="199" t="s">
        <v>216</v>
      </c>
      <c r="C185" s="200"/>
      <c r="D185" s="201">
        <f>SUM(D178:D184)</f>
        <v>0</v>
      </c>
      <c r="E185" s="202"/>
      <c r="F185" s="202"/>
      <c r="G185" s="203">
        <f>SUM(G178:G184)</f>
        <v>0</v>
      </c>
      <c r="H185" s="201">
        <f>SUM(H178:H184)</f>
        <v>0</v>
      </c>
      <c r="I185" s="201">
        <f>SUM(I178:I184)</f>
        <v>0</v>
      </c>
      <c r="J185" s="28">
        <f>D185</f>
        <v>0</v>
      </c>
      <c r="K185" s="106">
        <f>G185</f>
        <v>0</v>
      </c>
      <c r="L185" s="28">
        <f>H185</f>
        <v>0</v>
      </c>
      <c r="M185" s="28">
        <f>I185</f>
        <v>0</v>
      </c>
    </row>
    <row r="186" spans="1:13" ht="14.25" customHeight="1" x14ac:dyDescent="0.3">
      <c r="C186" s="72"/>
    </row>
    <row r="187" spans="1:13" ht="14.25" customHeight="1" x14ac:dyDescent="0.3">
      <c r="A187" s="30">
        <v>46262</v>
      </c>
      <c r="B187" s="186" t="s">
        <v>78</v>
      </c>
      <c r="C187" s="187" t="s">
        <v>205</v>
      </c>
      <c r="D187" s="188" t="s">
        <v>206</v>
      </c>
      <c r="E187" s="188" t="s">
        <v>207</v>
      </c>
      <c r="F187" s="189" t="s">
        <v>208</v>
      </c>
      <c r="G187" s="188" t="s">
        <v>209</v>
      </c>
      <c r="H187" s="188" t="s">
        <v>210</v>
      </c>
      <c r="I187" s="188" t="s">
        <v>211</v>
      </c>
    </row>
    <row r="188" spans="1:13" ht="21" customHeight="1" x14ac:dyDescent="0.3">
      <c r="A188" s="190"/>
      <c r="B188" s="191"/>
      <c r="C188" s="192"/>
      <c r="D188" s="193"/>
      <c r="E188" s="194" t="s">
        <v>214</v>
      </c>
      <c r="F188" s="195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196" t="str">
        <f>IFERROR(ROUNDUP(D188/F188,0),"")</f>
        <v/>
      </c>
      <c r="H188" s="197"/>
      <c r="I188" s="193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</row>
    <row r="189" spans="1:13" ht="21" customHeight="1" x14ac:dyDescent="0.3">
      <c r="A189" s="190"/>
      <c r="B189" s="191"/>
      <c r="C189" s="192"/>
      <c r="D189" s="193"/>
      <c r="E189" s="194" t="s">
        <v>214</v>
      </c>
      <c r="F189" s="195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196" t="str">
        <f>IFERROR(ROUNDUP(D189/F189,0),"")</f>
        <v/>
      </c>
      <c r="H189" s="197"/>
      <c r="I189" s="193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</row>
    <row r="190" spans="1:13" ht="21" customHeight="1" x14ac:dyDescent="0.3">
      <c r="A190" s="190"/>
      <c r="B190" s="191"/>
      <c r="C190" s="192"/>
      <c r="D190" s="193"/>
      <c r="E190" s="194" t="s">
        <v>214</v>
      </c>
      <c r="F190" s="195" t="str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196" t="str">
        <f>IFERROR(ROUNDUP(D190/F190,0),"")</f>
        <v/>
      </c>
      <c r="H190" s="197"/>
      <c r="I190" s="193" t="str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</row>
    <row r="191" spans="1:13" ht="21" customHeight="1" x14ac:dyDescent="0.3">
      <c r="A191" s="190"/>
      <c r="B191" s="191"/>
      <c r="C191" s="192"/>
      <c r="D191" s="193"/>
      <c r="E191" s="194" t="s">
        <v>214</v>
      </c>
      <c r="F191" s="195" t="str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196" t="str">
        <f>IFERROR(ROUNDUP(D191/F191,0),"")</f>
        <v/>
      </c>
      <c r="H191" s="197"/>
      <c r="I191" s="193" t="str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</row>
    <row r="192" spans="1:13" ht="21" customHeight="1" x14ac:dyDescent="0.3">
      <c r="A192" s="190"/>
      <c r="B192" s="191"/>
      <c r="C192" s="192"/>
      <c r="D192" s="193"/>
      <c r="E192" s="194" t="s">
        <v>214</v>
      </c>
      <c r="F192" s="195" t="str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196" t="str">
        <f>IFERROR(ROUNDUP(D192/F192,0),"")</f>
        <v/>
      </c>
      <c r="H192" s="197"/>
      <c r="I192" s="193" t="str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</row>
    <row r="193" spans="1:13" ht="14.25" customHeight="1" x14ac:dyDescent="0.3">
      <c r="A193" s="198"/>
      <c r="B193" s="199" t="s">
        <v>216</v>
      </c>
      <c r="C193" s="200"/>
      <c r="D193" s="201">
        <f>SUM(D186:D192)</f>
        <v>0</v>
      </c>
      <c r="E193" s="202"/>
      <c r="F193" s="202"/>
      <c r="G193" s="203">
        <f>SUM(G186:G192)</f>
        <v>0</v>
      </c>
      <c r="H193" s="201">
        <f>SUM(H186:H192)</f>
        <v>0</v>
      </c>
      <c r="I193" s="201">
        <f>SUM(I186:I192)</f>
        <v>0</v>
      </c>
      <c r="J193" s="28">
        <f>D193</f>
        <v>0</v>
      </c>
      <c r="K193" s="106">
        <f>G193</f>
        <v>0</v>
      </c>
      <c r="L193" s="28">
        <f>H193</f>
        <v>0</v>
      </c>
      <c r="M193" s="28">
        <f>I193</f>
        <v>0</v>
      </c>
    </row>
    <row r="194" spans="1:13" ht="14.25" customHeight="1" x14ac:dyDescent="0.3">
      <c r="C194" s="72"/>
    </row>
    <row r="195" spans="1:13" ht="14.25" customHeight="1" x14ac:dyDescent="0.3">
      <c r="A195" s="235">
        <v>46263</v>
      </c>
      <c r="B195" s="186" t="s">
        <v>78</v>
      </c>
      <c r="C195" s="187" t="s">
        <v>205</v>
      </c>
      <c r="D195" s="188" t="s">
        <v>206</v>
      </c>
      <c r="E195" s="188" t="s">
        <v>207</v>
      </c>
      <c r="F195" s="236" t="s">
        <v>208</v>
      </c>
      <c r="G195" s="188" t="s">
        <v>209</v>
      </c>
      <c r="H195" s="188" t="s">
        <v>210</v>
      </c>
      <c r="I195" s="188" t="s">
        <v>211</v>
      </c>
      <c r="J195" s="237"/>
      <c r="K195" s="237"/>
      <c r="L195" s="237"/>
      <c r="M195" s="237"/>
    </row>
    <row r="196" spans="1:13" ht="21" customHeight="1" x14ac:dyDescent="0.3">
      <c r="A196" s="190"/>
      <c r="B196" s="238"/>
      <c r="C196" s="239"/>
      <c r="D196" s="240"/>
      <c r="E196" s="241" t="s">
        <v>214</v>
      </c>
      <c r="F196" s="242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243" t="str">
        <f>IFERROR(ROUNDUP(D196/F196,0),"")</f>
        <v/>
      </c>
      <c r="H196" s="197"/>
      <c r="I196" s="240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  <c r="J196" s="237"/>
      <c r="K196" s="237"/>
      <c r="L196" s="237"/>
      <c r="M196" s="237"/>
    </row>
    <row r="197" spans="1:13" ht="21" customHeight="1" x14ac:dyDescent="0.3">
      <c r="A197" s="190"/>
      <c r="B197" s="238"/>
      <c r="C197" s="239"/>
      <c r="D197" s="240"/>
      <c r="E197" s="241" t="s">
        <v>214</v>
      </c>
      <c r="F197" s="242" t="str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243" t="str">
        <f>IFERROR(ROUNDUP(D197/F197,0),"")</f>
        <v/>
      </c>
      <c r="H197" s="197"/>
      <c r="I197" s="240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  <c r="J197" s="237"/>
      <c r="K197" s="237"/>
      <c r="L197" s="237"/>
      <c r="M197" s="237"/>
    </row>
    <row r="198" spans="1:13" ht="21" customHeight="1" x14ac:dyDescent="0.3">
      <c r="A198" s="190"/>
      <c r="B198" s="238"/>
      <c r="C198" s="239"/>
      <c r="D198" s="240"/>
      <c r="E198" s="241" t="s">
        <v>214</v>
      </c>
      <c r="F198" s="242" t="str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243" t="str">
        <f>IFERROR(ROUNDUP(D198/F198,0),"")</f>
        <v/>
      </c>
      <c r="H198" s="197"/>
      <c r="I198" s="240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  <c r="J198" s="237"/>
      <c r="K198" s="237"/>
      <c r="L198" s="237"/>
      <c r="M198" s="237"/>
    </row>
    <row r="199" spans="1:13" ht="21" customHeight="1" x14ac:dyDescent="0.3">
      <c r="A199" s="190"/>
      <c r="B199" s="238"/>
      <c r="C199" s="239"/>
      <c r="D199" s="240"/>
      <c r="E199" s="241" t="s">
        <v>214</v>
      </c>
      <c r="F199" s="242" t="str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243" t="str">
        <f>IFERROR(ROUNDUP(D199/F199,0),"")</f>
        <v/>
      </c>
      <c r="H199" s="197"/>
      <c r="I199" s="240" t="str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  <c r="J199" s="237"/>
      <c r="K199" s="237"/>
      <c r="L199" s="237"/>
      <c r="M199" s="237"/>
    </row>
    <row r="200" spans="1:13" ht="21" customHeight="1" x14ac:dyDescent="0.3">
      <c r="A200" s="190"/>
      <c r="B200" s="238"/>
      <c r="C200" s="239"/>
      <c r="D200" s="240"/>
      <c r="E200" s="241" t="s">
        <v>214</v>
      </c>
      <c r="F200" s="242" t="str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243" t="str">
        <f>IFERROR(ROUNDUP(D200/F200,0),"")</f>
        <v/>
      </c>
      <c r="H200" s="197"/>
      <c r="I200" s="240" t="str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  <c r="J200" s="237"/>
      <c r="K200" s="237"/>
      <c r="L200" s="237"/>
      <c r="M200" s="237"/>
    </row>
    <row r="201" spans="1:13" ht="14.25" customHeight="1" x14ac:dyDescent="0.3">
      <c r="A201" s="244"/>
      <c r="B201" s="199" t="s">
        <v>216</v>
      </c>
      <c r="C201" s="245"/>
      <c r="D201" s="201">
        <f>SUM(D194:D200)</f>
        <v>0</v>
      </c>
      <c r="E201" s="246"/>
      <c r="F201" s="246"/>
      <c r="G201" s="203">
        <f>SUM(G194:G200)</f>
        <v>0</v>
      </c>
      <c r="H201" s="201">
        <f>SUM(H194:H200)</f>
        <v>0</v>
      </c>
      <c r="I201" s="201">
        <f>SUM(I194:I200)</f>
        <v>0</v>
      </c>
      <c r="J201" s="247">
        <f>D201</f>
        <v>0</v>
      </c>
      <c r="K201" s="248">
        <f>G201</f>
        <v>0</v>
      </c>
      <c r="L201" s="247">
        <f>H201</f>
        <v>0</v>
      </c>
      <c r="M201" s="247">
        <f>I201</f>
        <v>0</v>
      </c>
    </row>
    <row r="202" spans="1:13" ht="14.25" customHeight="1" x14ac:dyDescent="0.3">
      <c r="A202" s="237"/>
      <c r="B202" s="237"/>
      <c r="C202" s="249"/>
      <c r="D202" s="237"/>
      <c r="E202" s="237"/>
      <c r="F202" s="237"/>
      <c r="G202" s="237"/>
      <c r="H202" s="237"/>
      <c r="I202" s="237"/>
      <c r="J202" s="237"/>
      <c r="K202" s="237"/>
      <c r="L202" s="237"/>
      <c r="M202" s="237"/>
    </row>
    <row r="203" spans="1:13" ht="14.25" customHeight="1" x14ac:dyDescent="0.3">
      <c r="A203" s="30">
        <v>46265</v>
      </c>
      <c r="B203" s="186" t="s">
        <v>78</v>
      </c>
      <c r="C203" s="187" t="s">
        <v>205</v>
      </c>
      <c r="D203" s="188" t="s">
        <v>206</v>
      </c>
      <c r="E203" s="188" t="s">
        <v>207</v>
      </c>
      <c r="F203" s="189" t="s">
        <v>208</v>
      </c>
      <c r="G203" s="188" t="s">
        <v>209</v>
      </c>
      <c r="H203" s="188" t="s">
        <v>210</v>
      </c>
      <c r="I203" s="188" t="s">
        <v>211</v>
      </c>
    </row>
    <row r="204" spans="1:13" ht="21" customHeight="1" x14ac:dyDescent="0.3">
      <c r="A204" s="190"/>
      <c r="B204" s="191"/>
      <c r="C204" s="192"/>
      <c r="D204" s="193"/>
      <c r="E204" s="194" t="s">
        <v>214</v>
      </c>
      <c r="F204" s="195" t="str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196" t="str">
        <f>IFERROR(ROUNDUP(D204/F204,0),"")</f>
        <v/>
      </c>
      <c r="H204" s="197"/>
      <c r="I204" s="193" t="str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</row>
    <row r="205" spans="1:13" ht="21" customHeight="1" x14ac:dyDescent="0.3">
      <c r="A205" s="190"/>
      <c r="B205" s="191"/>
      <c r="C205" s="192"/>
      <c r="D205" s="193"/>
      <c r="E205" s="194" t="s">
        <v>214</v>
      </c>
      <c r="F205" s="195" t="str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196" t="str">
        <f>IFERROR(ROUNDUP(D205/F205,0),"")</f>
        <v/>
      </c>
      <c r="H205" s="197"/>
      <c r="I205" s="193" t="str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</row>
    <row r="206" spans="1:13" ht="21" customHeight="1" x14ac:dyDescent="0.3">
      <c r="A206" s="190"/>
      <c r="B206" s="191"/>
      <c r="C206" s="192"/>
      <c r="D206" s="193"/>
      <c r="E206" s="194" t="s">
        <v>214</v>
      </c>
      <c r="F206" s="195" t="str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196" t="str">
        <f>IFERROR(ROUNDUP(D206/F206,0),"")</f>
        <v/>
      </c>
      <c r="H206" s="197"/>
      <c r="I206" s="193" t="str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</row>
    <row r="207" spans="1:13" ht="21" customHeight="1" x14ac:dyDescent="0.3">
      <c r="A207" s="190"/>
      <c r="B207" s="191"/>
      <c r="C207" s="192"/>
      <c r="D207" s="193"/>
      <c r="E207" s="194" t="s">
        <v>214</v>
      </c>
      <c r="F207" s="195" t="str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196" t="str">
        <f>IFERROR(ROUNDUP(D207/F207,0),"")</f>
        <v/>
      </c>
      <c r="H207" s="197"/>
      <c r="I207" s="193" t="str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</row>
    <row r="208" spans="1:13" ht="21" customHeight="1" x14ac:dyDescent="0.3">
      <c r="A208" s="190"/>
      <c r="B208" s="191"/>
      <c r="C208" s="192"/>
      <c r="D208" s="193"/>
      <c r="E208" s="194" t="s">
        <v>214</v>
      </c>
      <c r="F208" s="195" t="str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196" t="str">
        <f>IFERROR(ROUNDUP(D208/F208,0),"")</f>
        <v/>
      </c>
      <c r="H208" s="197"/>
      <c r="I208" s="193" t="str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</row>
    <row r="209" spans="1:13" ht="14.25" customHeight="1" x14ac:dyDescent="0.3">
      <c r="A209" s="198"/>
      <c r="B209" s="199" t="s">
        <v>216</v>
      </c>
      <c r="C209" s="200"/>
      <c r="D209" s="201">
        <f>SUM(D202:D208)</f>
        <v>0</v>
      </c>
      <c r="E209" s="202"/>
      <c r="F209" s="202"/>
      <c r="G209" s="203">
        <f>SUM(G202:G208)</f>
        <v>0</v>
      </c>
      <c r="H209" s="201">
        <f>SUM(H202:H208)</f>
        <v>0</v>
      </c>
      <c r="I209" s="201">
        <f>SUM(I202:I208)</f>
        <v>0</v>
      </c>
      <c r="J209" s="28">
        <f>D209</f>
        <v>0</v>
      </c>
      <c r="K209" s="106">
        <f>G209</f>
        <v>0</v>
      </c>
      <c r="L209" s="28">
        <f>H209</f>
        <v>0</v>
      </c>
      <c r="M209" s="28">
        <f>I209</f>
        <v>0</v>
      </c>
    </row>
  </sheetData>
  <mergeCells count="3">
    <mergeCell ref="A1:I1"/>
    <mergeCell ref="A2:F2"/>
    <mergeCell ref="G2:I2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69" xr:uid="{00000000-0002-0000-19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F766E"/>
  </sheetPr>
  <dimension ref="A1:Y59"/>
  <sheetViews>
    <sheetView showGridLines="0" topLeftCell="A12" zoomScale="90" zoomScaleNormal="90" workbookViewId="0">
      <selection activeCell="F27" sqref="F27"/>
    </sheetView>
  </sheetViews>
  <sheetFormatPr defaultColWidth="8.6640625" defaultRowHeight="14.4" x14ac:dyDescent="0.3"/>
  <cols>
    <col min="1" max="1" width="12" style="437" customWidth="1"/>
    <col min="2" max="2" width="15" customWidth="1"/>
    <col min="3" max="3" width="14" customWidth="1"/>
    <col min="4" max="4" width="13.664062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4">
      <c r="A1" s="612" t="s">
        <v>657</v>
      </c>
      <c r="B1" s="612"/>
      <c r="C1" s="612"/>
      <c r="D1" s="612"/>
      <c r="E1" s="612"/>
      <c r="F1" s="612"/>
    </row>
    <row r="3" spans="1:25" ht="14.25" customHeight="1" x14ac:dyDescent="0.3">
      <c r="B3" s="148" t="s">
        <v>234</v>
      </c>
      <c r="D3" s="148" t="s">
        <v>235</v>
      </c>
      <c r="F3" s="149" t="s">
        <v>236</v>
      </c>
      <c r="H3" s="148" t="s">
        <v>237</v>
      </c>
      <c r="J3" s="150" t="s">
        <v>238</v>
      </c>
      <c r="K3" s="151" t="s">
        <v>239</v>
      </c>
      <c r="L3" s="151" t="s">
        <v>240</v>
      </c>
    </row>
    <row r="4" spans="1:25" ht="15.75" customHeight="1" x14ac:dyDescent="0.3">
      <c r="B4" s="152">
        <f>SUM(C9:C34)</f>
        <v>0</v>
      </c>
      <c r="D4" s="152">
        <f>SUM(D9:D34)</f>
        <v>286000</v>
      </c>
      <c r="F4" s="152">
        <f ca="1">IFERROR(SUMIFS(C9:C34,A9:A34,"&lt;="&amp;TODAY(),F9:F34,"&lt;&gt;*Feriado*")/COUNTIFS(A9:A34,"&lt;="&amp;TODAY(),F9:F34,"&lt;&gt;*Feriado*"),0)</f>
        <v>0</v>
      </c>
      <c r="H4" s="152">
        <f>IFERROR(MAX(C9:C34),0)</f>
        <v>0</v>
      </c>
      <c r="J4" s="153">
        <f>IFERROR(B4/D4,0)</f>
        <v>0</v>
      </c>
      <c r="K4" s="154" t="s">
        <v>241</v>
      </c>
      <c r="L4" s="155" t="s">
        <v>242</v>
      </c>
    </row>
    <row r="5" spans="1:25" ht="15" customHeight="1" x14ac:dyDescent="0.3">
      <c r="K5" s="156" t="s">
        <v>243</v>
      </c>
      <c r="L5" s="157" t="s">
        <v>244</v>
      </c>
    </row>
    <row r="6" spans="1:25" ht="15" customHeight="1" x14ac:dyDescent="0.3">
      <c r="K6" s="158" t="s">
        <v>245</v>
      </c>
      <c r="L6" s="159" t="s">
        <v>246</v>
      </c>
    </row>
    <row r="8" spans="1:25" ht="14.25" customHeight="1" x14ac:dyDescent="0.3">
      <c r="A8" s="442" t="s">
        <v>247</v>
      </c>
      <c r="B8" s="231" t="s">
        <v>248</v>
      </c>
      <c r="C8" s="204" t="s">
        <v>249</v>
      </c>
      <c r="D8" s="204" t="s">
        <v>250</v>
      </c>
      <c r="E8" s="204" t="s">
        <v>251</v>
      </c>
      <c r="F8" s="204" t="s">
        <v>252</v>
      </c>
      <c r="X8" t="s">
        <v>253</v>
      </c>
      <c r="Y8" t="s">
        <v>254</v>
      </c>
    </row>
    <row r="9" spans="1:25" ht="15" customHeight="1" x14ac:dyDescent="0.3">
      <c r="A9" s="443">
        <v>46235</v>
      </c>
      <c r="B9" s="219">
        <f>IF(D9&gt;0,COUNTIF($D$9:D9,"&gt;0"),"")</f>
        <v>1</v>
      </c>
      <c r="C9" s="221">
        <f>'SEMANA AGOSTO'!$M$9</f>
        <v>0</v>
      </c>
      <c r="D9" s="221">
        <f>CONFIG!$B$3</f>
        <v>11000</v>
      </c>
      <c r="E9" s="221">
        <f t="shared" ref="E9:E34" si="0">C9-D9</f>
        <v>-11000</v>
      </c>
      <c r="F9" s="254" t="s">
        <v>557</v>
      </c>
      <c r="X9" s="28">
        <f t="shared" ref="X9:X29" si="1">IF(COUNTIF($F9,"*Feriado*")&gt;0,NA(),$C9)</f>
        <v>0</v>
      </c>
      <c r="Y9" s="28">
        <f t="shared" ref="Y9:Y29" si="2">IF(COUNTIF($F9,"*Feriado*")&gt;0,NA(),$D9)</f>
        <v>11000</v>
      </c>
    </row>
    <row r="10" spans="1:25" ht="15" customHeight="1" x14ac:dyDescent="0.3">
      <c r="A10" s="443">
        <v>46237</v>
      </c>
      <c r="B10" s="219">
        <f>IF(D10&gt;0,COUNTIF($D$9:D10,"&gt;0"),"")</f>
        <v>2</v>
      </c>
      <c r="C10" s="221">
        <f>'SEMANA AGOSTO'!$M$17</f>
        <v>0</v>
      </c>
      <c r="D10" s="221">
        <f>CONFIG!$B$3</f>
        <v>11000</v>
      </c>
      <c r="E10" s="221">
        <f t="shared" si="0"/>
        <v>-11000</v>
      </c>
      <c r="F10" s="253"/>
      <c r="X10" s="28">
        <f t="shared" si="1"/>
        <v>0</v>
      </c>
      <c r="Y10" s="28">
        <f t="shared" si="2"/>
        <v>11000</v>
      </c>
    </row>
    <row r="11" spans="1:25" ht="15" customHeight="1" x14ac:dyDescent="0.3">
      <c r="A11" s="443">
        <v>46238</v>
      </c>
      <c r="B11" s="219">
        <f>IF(D11&gt;0,COUNTIF($D$9:D11,"&gt;0"),"")</f>
        <v>3</v>
      </c>
      <c r="C11" s="221">
        <f>'SEMANA AGOSTO'!$M$25</f>
        <v>0</v>
      </c>
      <c r="D11" s="221">
        <f>CONFIG!$B$3</f>
        <v>11000</v>
      </c>
      <c r="E11" s="221">
        <f t="shared" si="0"/>
        <v>-11000</v>
      </c>
      <c r="F11" s="253"/>
      <c r="X11" s="28">
        <f t="shared" si="1"/>
        <v>0</v>
      </c>
      <c r="Y11" s="28">
        <f t="shared" si="2"/>
        <v>11000</v>
      </c>
    </row>
    <row r="12" spans="1:25" ht="15" customHeight="1" x14ac:dyDescent="0.3">
      <c r="A12" s="443">
        <v>46239</v>
      </c>
      <c r="B12" s="219">
        <f>IF(D12&gt;0,COUNTIF($D$9:D12,"&gt;0"),"")</f>
        <v>4</v>
      </c>
      <c r="C12" s="221">
        <f>'SEMANA AGOSTO'!$M$33</f>
        <v>0</v>
      </c>
      <c r="D12" s="221">
        <f>CONFIG!$B$3</f>
        <v>11000</v>
      </c>
      <c r="E12" s="221">
        <f t="shared" si="0"/>
        <v>-11000</v>
      </c>
      <c r="F12" s="253"/>
      <c r="X12" s="28">
        <f t="shared" si="1"/>
        <v>0</v>
      </c>
      <c r="Y12" s="28">
        <f t="shared" si="2"/>
        <v>11000</v>
      </c>
    </row>
    <row r="13" spans="1:25" ht="15" customHeight="1" x14ac:dyDescent="0.3">
      <c r="A13" s="443">
        <v>46240</v>
      </c>
      <c r="B13" s="219">
        <f>IF(D13&gt;0,COUNTIF($D$9:D13,"&gt;0"),"")</f>
        <v>5</v>
      </c>
      <c r="C13" s="221">
        <f>'SEMANA AGOSTO'!$M$41</f>
        <v>0</v>
      </c>
      <c r="D13" s="221">
        <f>CONFIG!$B$3</f>
        <v>11000</v>
      </c>
      <c r="E13" s="221">
        <f t="shared" si="0"/>
        <v>-11000</v>
      </c>
      <c r="F13" s="253"/>
      <c r="X13" s="28">
        <f t="shared" si="1"/>
        <v>0</v>
      </c>
      <c r="Y13" s="28">
        <f t="shared" si="2"/>
        <v>11000</v>
      </c>
    </row>
    <row r="14" spans="1:25" ht="15" customHeight="1" x14ac:dyDescent="0.3">
      <c r="A14" s="443">
        <v>46241</v>
      </c>
      <c r="B14" s="219">
        <f>IF(D14&gt;0,COUNTIF($D$9:D14,"&gt;0"),"")</f>
        <v>6</v>
      </c>
      <c r="C14" s="221">
        <f>'SEMANA AGOSTO'!$M$49</f>
        <v>0</v>
      </c>
      <c r="D14" s="221">
        <f>CONFIG!$B$3</f>
        <v>11000</v>
      </c>
      <c r="E14" s="221">
        <f t="shared" si="0"/>
        <v>-11000</v>
      </c>
      <c r="F14" s="253"/>
      <c r="X14" s="28">
        <f t="shared" si="1"/>
        <v>0</v>
      </c>
      <c r="Y14" s="28">
        <f t="shared" si="2"/>
        <v>11000</v>
      </c>
    </row>
    <row r="15" spans="1:25" ht="15" customHeight="1" x14ac:dyDescent="0.3">
      <c r="A15" s="443">
        <v>46242</v>
      </c>
      <c r="B15" s="219">
        <f>IF(D15&gt;0,COUNTIF($D$9:D15,"&gt;0"),"")</f>
        <v>7</v>
      </c>
      <c r="C15" s="221">
        <f>'SEMANA AGOSTO'!$M$57</f>
        <v>0</v>
      </c>
      <c r="D15" s="221">
        <f>CONFIG!$B$3</f>
        <v>11000</v>
      </c>
      <c r="E15" s="221">
        <f t="shared" si="0"/>
        <v>-11000</v>
      </c>
      <c r="F15" s="254" t="s">
        <v>557</v>
      </c>
      <c r="X15" s="28">
        <f t="shared" si="1"/>
        <v>0</v>
      </c>
      <c r="Y15" s="28">
        <f t="shared" si="2"/>
        <v>11000</v>
      </c>
    </row>
    <row r="16" spans="1:25" ht="15" customHeight="1" x14ac:dyDescent="0.3">
      <c r="A16" s="443">
        <v>46244</v>
      </c>
      <c r="B16" s="219">
        <f>IF(D16&gt;0,COUNTIF($D$9:D16,"&gt;0"),"")</f>
        <v>8</v>
      </c>
      <c r="C16" s="221">
        <f>'SEMANA AGOSTO'!$M$65</f>
        <v>0</v>
      </c>
      <c r="D16" s="221">
        <f>CONFIG!$B$3</f>
        <v>11000</v>
      </c>
      <c r="E16" s="221">
        <f t="shared" si="0"/>
        <v>-11000</v>
      </c>
      <c r="F16" s="253"/>
      <c r="X16" s="28">
        <f t="shared" si="1"/>
        <v>0</v>
      </c>
      <c r="Y16" s="28">
        <f t="shared" si="2"/>
        <v>11000</v>
      </c>
    </row>
    <row r="17" spans="1:25" ht="15" customHeight="1" x14ac:dyDescent="0.3">
      <c r="A17" s="443">
        <v>46245</v>
      </c>
      <c r="B17" s="219">
        <f>IF(D17&gt;0,COUNTIF($D$9:D17,"&gt;0"),"")</f>
        <v>9</v>
      </c>
      <c r="C17" s="221">
        <f>'SEMANA AGOSTO'!$M$73</f>
        <v>0</v>
      </c>
      <c r="D17" s="221">
        <f>CONFIG!$B$3</f>
        <v>11000</v>
      </c>
      <c r="E17" s="221">
        <f t="shared" si="0"/>
        <v>-11000</v>
      </c>
      <c r="F17" s="253"/>
      <c r="X17" s="28">
        <f t="shared" si="1"/>
        <v>0</v>
      </c>
      <c r="Y17" s="28">
        <f t="shared" si="2"/>
        <v>11000</v>
      </c>
    </row>
    <row r="18" spans="1:25" ht="15" customHeight="1" x14ac:dyDescent="0.3">
      <c r="A18" s="443">
        <v>46246</v>
      </c>
      <c r="B18" s="219">
        <f>IF(D18&gt;0,COUNTIF($D$9:D18,"&gt;0"),"")</f>
        <v>10</v>
      </c>
      <c r="C18" s="221">
        <f>'SEMANA AGOSTO'!$M$81</f>
        <v>0</v>
      </c>
      <c r="D18" s="221">
        <f>CONFIG!$B$3</f>
        <v>11000</v>
      </c>
      <c r="E18" s="221">
        <f t="shared" si="0"/>
        <v>-11000</v>
      </c>
      <c r="F18" s="253"/>
      <c r="X18" s="28">
        <f t="shared" si="1"/>
        <v>0</v>
      </c>
      <c r="Y18" s="28">
        <f t="shared" si="2"/>
        <v>11000</v>
      </c>
    </row>
    <row r="19" spans="1:25" ht="15" customHeight="1" x14ac:dyDescent="0.3">
      <c r="A19" s="443">
        <v>46247</v>
      </c>
      <c r="B19" s="219">
        <f>IF(D19&gt;0,COUNTIF($D$9:D19,"&gt;0"),"")</f>
        <v>11</v>
      </c>
      <c r="C19" s="221">
        <f>'SEMANA AGOSTO'!$M$89</f>
        <v>0</v>
      </c>
      <c r="D19" s="221">
        <f>CONFIG!$B$3</f>
        <v>11000</v>
      </c>
      <c r="E19" s="221">
        <f t="shared" si="0"/>
        <v>-11000</v>
      </c>
      <c r="F19" s="253"/>
      <c r="X19" s="28">
        <f t="shared" si="1"/>
        <v>0</v>
      </c>
      <c r="Y19" s="28">
        <f t="shared" si="2"/>
        <v>11000</v>
      </c>
    </row>
    <row r="20" spans="1:25" ht="15" customHeight="1" x14ac:dyDescent="0.3">
      <c r="A20" s="443">
        <v>46248</v>
      </c>
      <c r="B20" s="219">
        <f>IF(D20&gt;0,COUNTIF($D$9:D20,"&gt;0"),"")</f>
        <v>12</v>
      </c>
      <c r="C20" s="221">
        <f>'SEMANA AGOSTO'!$M$97</f>
        <v>0</v>
      </c>
      <c r="D20" s="221">
        <f>CONFIG!$B$3</f>
        <v>11000</v>
      </c>
      <c r="E20" s="221">
        <f t="shared" si="0"/>
        <v>-11000</v>
      </c>
      <c r="F20" s="253"/>
      <c r="X20" s="28">
        <f t="shared" si="1"/>
        <v>0</v>
      </c>
      <c r="Y20" s="28">
        <f t="shared" si="2"/>
        <v>11000</v>
      </c>
    </row>
    <row r="21" spans="1:25" ht="15" customHeight="1" x14ac:dyDescent="0.3">
      <c r="A21" s="443">
        <v>46249</v>
      </c>
      <c r="B21" s="219">
        <f>IF(D21&gt;0,COUNTIF($D$9:D21,"&gt;0"),"")</f>
        <v>13</v>
      </c>
      <c r="C21" s="221">
        <f>'SEMANA AGOSTO'!$M$105</f>
        <v>0</v>
      </c>
      <c r="D21" s="221">
        <f>CONFIG!$B$3</f>
        <v>11000</v>
      </c>
      <c r="E21" s="221">
        <f t="shared" si="0"/>
        <v>-11000</v>
      </c>
      <c r="F21" s="254" t="s">
        <v>557</v>
      </c>
      <c r="X21" s="28">
        <f t="shared" si="1"/>
        <v>0</v>
      </c>
      <c r="Y21" s="28">
        <f t="shared" si="2"/>
        <v>11000</v>
      </c>
    </row>
    <row r="22" spans="1:25" ht="15" customHeight="1" x14ac:dyDescent="0.3">
      <c r="A22" s="443">
        <v>46251</v>
      </c>
      <c r="B22" s="219">
        <f>IF(D22&gt;0,COUNTIF($D$9:D22,"&gt;0"),"")</f>
        <v>14</v>
      </c>
      <c r="C22" s="221">
        <f>'SEMANA AGOSTO'!$M$113</f>
        <v>0</v>
      </c>
      <c r="D22" s="221">
        <f>CONFIG!$B$3</f>
        <v>11000</v>
      </c>
      <c r="E22" s="221">
        <f t="shared" si="0"/>
        <v>-11000</v>
      </c>
      <c r="F22" s="253"/>
      <c r="X22" s="28">
        <f t="shared" si="1"/>
        <v>0</v>
      </c>
      <c r="Y22" s="28">
        <f t="shared" si="2"/>
        <v>11000</v>
      </c>
    </row>
    <row r="23" spans="1:25" ht="15" customHeight="1" x14ac:dyDescent="0.3">
      <c r="A23" s="443">
        <v>46252</v>
      </c>
      <c r="B23" s="219">
        <f>IF(D23&gt;0,COUNTIF($D$9:D23,"&gt;0"),"")</f>
        <v>15</v>
      </c>
      <c r="C23" s="221">
        <f>'SEMANA AGOSTO'!$M$121</f>
        <v>0</v>
      </c>
      <c r="D23" s="221">
        <f>CONFIG!$B$3</f>
        <v>11000</v>
      </c>
      <c r="E23" s="221">
        <f t="shared" si="0"/>
        <v>-11000</v>
      </c>
      <c r="F23" s="253"/>
      <c r="X23" s="28">
        <f t="shared" si="1"/>
        <v>0</v>
      </c>
      <c r="Y23" s="28">
        <f t="shared" si="2"/>
        <v>11000</v>
      </c>
    </row>
    <row r="24" spans="1:25" ht="15" customHeight="1" x14ac:dyDescent="0.3">
      <c r="A24" s="443">
        <v>46253</v>
      </c>
      <c r="B24" s="219">
        <f>IF(D24&gt;0,COUNTIF($D$9:D24,"&gt;0"),"")</f>
        <v>16</v>
      </c>
      <c r="C24" s="221">
        <f>'SEMANA AGOSTO'!$M$129</f>
        <v>0</v>
      </c>
      <c r="D24" s="221">
        <f>CONFIG!$B$3</f>
        <v>11000</v>
      </c>
      <c r="E24" s="221">
        <f t="shared" si="0"/>
        <v>-11000</v>
      </c>
      <c r="F24" s="253"/>
      <c r="X24" s="28">
        <f t="shared" si="1"/>
        <v>0</v>
      </c>
      <c r="Y24" s="28">
        <f t="shared" si="2"/>
        <v>11000</v>
      </c>
    </row>
    <row r="25" spans="1:25" ht="15" customHeight="1" x14ac:dyDescent="0.3">
      <c r="A25" s="443">
        <v>46254</v>
      </c>
      <c r="B25" s="219">
        <f>IF(D25&gt;0,COUNTIF($D$9:D25,"&gt;0"),"")</f>
        <v>17</v>
      </c>
      <c r="C25" s="221">
        <f>'SEMANA AGOSTO'!$M$137</f>
        <v>0</v>
      </c>
      <c r="D25" s="221">
        <f>CONFIG!$B$3</f>
        <v>11000</v>
      </c>
      <c r="E25" s="221">
        <f t="shared" si="0"/>
        <v>-11000</v>
      </c>
      <c r="F25" s="253"/>
      <c r="X25" s="28">
        <f t="shared" si="1"/>
        <v>0</v>
      </c>
      <c r="Y25" s="28">
        <f t="shared" si="2"/>
        <v>11000</v>
      </c>
    </row>
    <row r="26" spans="1:25" ht="15" customHeight="1" x14ac:dyDescent="0.3">
      <c r="A26" s="443">
        <v>46255</v>
      </c>
      <c r="B26" s="219">
        <f>IF(D26&gt;0,COUNTIF($D$9:D26,"&gt;0"),"")</f>
        <v>18</v>
      </c>
      <c r="C26" s="221">
        <f>'SEMANA AGOSTO'!$M$145</f>
        <v>0</v>
      </c>
      <c r="D26" s="221">
        <f>CONFIG!$B$3</f>
        <v>11000</v>
      </c>
      <c r="E26" s="221">
        <f t="shared" si="0"/>
        <v>-11000</v>
      </c>
      <c r="F26" s="253"/>
      <c r="X26" s="28">
        <f t="shared" si="1"/>
        <v>0</v>
      </c>
      <c r="Y26" s="28">
        <f t="shared" si="2"/>
        <v>11000</v>
      </c>
    </row>
    <row r="27" spans="1:25" ht="15" customHeight="1" x14ac:dyDescent="0.3">
      <c r="A27" s="443">
        <v>46256</v>
      </c>
      <c r="B27" s="219">
        <f>IF(D27&gt;0,COUNTIF($D$9:D27,"&gt;0"),"")</f>
        <v>19</v>
      </c>
      <c r="C27" s="221">
        <f>'SEMANA AGOSTO'!$M$153</f>
        <v>0</v>
      </c>
      <c r="D27" s="221">
        <f>CONFIG!$B$3</f>
        <v>11000</v>
      </c>
      <c r="E27" s="221">
        <f t="shared" si="0"/>
        <v>-11000</v>
      </c>
      <c r="F27" s="254" t="s">
        <v>557</v>
      </c>
      <c r="X27" s="28">
        <f t="shared" si="1"/>
        <v>0</v>
      </c>
      <c r="Y27" s="28">
        <f t="shared" si="2"/>
        <v>11000</v>
      </c>
    </row>
    <row r="28" spans="1:25" ht="15" customHeight="1" x14ac:dyDescent="0.3">
      <c r="A28" s="443">
        <v>46258</v>
      </c>
      <c r="B28" s="219">
        <f>IF(D28&gt;0,COUNTIF($D$9:D28,"&gt;0"),"")</f>
        <v>20</v>
      </c>
      <c r="C28" s="221">
        <f>'SEMANA AGOSTO'!$M$161</f>
        <v>0</v>
      </c>
      <c r="D28" s="221">
        <f>CONFIG!$B$3</f>
        <v>11000</v>
      </c>
      <c r="E28" s="221">
        <f t="shared" si="0"/>
        <v>-11000</v>
      </c>
      <c r="F28" s="253"/>
      <c r="X28" s="28">
        <f t="shared" si="1"/>
        <v>0</v>
      </c>
      <c r="Y28" s="28">
        <f t="shared" si="2"/>
        <v>11000</v>
      </c>
    </row>
    <row r="29" spans="1:25" ht="15" customHeight="1" x14ac:dyDescent="0.3">
      <c r="A29" s="443">
        <v>46259</v>
      </c>
      <c r="B29" s="219">
        <f>IF(D29&gt;0,COUNTIF($D$9:D29,"&gt;0"),"")</f>
        <v>21</v>
      </c>
      <c r="C29" s="221">
        <f>'SEMANA AGOSTO'!$M$169</f>
        <v>0</v>
      </c>
      <c r="D29" s="221">
        <f>CONFIG!$B$3</f>
        <v>11000</v>
      </c>
      <c r="E29" s="221">
        <f t="shared" si="0"/>
        <v>-11000</v>
      </c>
      <c r="F29" s="253"/>
      <c r="X29" s="28">
        <f t="shared" si="1"/>
        <v>0</v>
      </c>
      <c r="Y29" s="28">
        <f t="shared" si="2"/>
        <v>11000</v>
      </c>
    </row>
    <row r="30" spans="1:25" ht="15" customHeight="1" x14ac:dyDescent="0.3">
      <c r="A30" s="443">
        <v>46260</v>
      </c>
      <c r="B30" s="219">
        <f>IF(D30&gt;0,COUNTIF($D$9:D30,"&gt;0"),"")</f>
        <v>22</v>
      </c>
      <c r="C30" s="221">
        <f>'SEMANA AGOSTO'!$M$177</f>
        <v>0</v>
      </c>
      <c r="D30" s="221">
        <f>CONFIG!$B$3</f>
        <v>11000</v>
      </c>
      <c r="E30" s="221">
        <f t="shared" si="0"/>
        <v>-11000</v>
      </c>
      <c r="F30" s="253"/>
    </row>
    <row r="31" spans="1:25" ht="14.25" customHeight="1" x14ac:dyDescent="0.3">
      <c r="A31" s="443">
        <v>46261</v>
      </c>
      <c r="B31" s="219">
        <f>IF(D31&gt;0,COUNTIF($D$9:D31,"&gt;0"),"")</f>
        <v>23</v>
      </c>
      <c r="C31" s="221">
        <f>'SEMANA AGOSTO'!$M$185</f>
        <v>0</v>
      </c>
      <c r="D31" s="221">
        <f>CONFIG!$B$3</f>
        <v>11000</v>
      </c>
      <c r="E31" s="221">
        <f t="shared" si="0"/>
        <v>-11000</v>
      </c>
      <c r="F31" s="253"/>
    </row>
    <row r="32" spans="1:25" ht="14.25" customHeight="1" x14ac:dyDescent="0.3">
      <c r="A32" s="443">
        <v>46262</v>
      </c>
      <c r="B32" s="219">
        <f>IF(D32&gt;0,COUNTIF($D$9:D32,"&gt;0"),"")</f>
        <v>24</v>
      </c>
      <c r="C32" s="221">
        <f>'SEMANA AGOSTO'!$M$193</f>
        <v>0</v>
      </c>
      <c r="D32" s="221">
        <f>CONFIG!$B$3</f>
        <v>11000</v>
      </c>
      <c r="E32" s="221">
        <f t="shared" si="0"/>
        <v>-11000</v>
      </c>
      <c r="F32" s="253"/>
    </row>
    <row r="33" spans="1:6" ht="14.25" customHeight="1" x14ac:dyDescent="0.3">
      <c r="A33" s="443">
        <v>46263</v>
      </c>
      <c r="B33" s="219">
        <f>IF(D33&gt;0,COUNTIF($D$9:D33,"&gt;0"),"")</f>
        <v>25</v>
      </c>
      <c r="C33" s="221">
        <f>'SEMANA AGOSTO'!$M$201</f>
        <v>0</v>
      </c>
      <c r="D33" s="221">
        <f>CONFIG!$B$3</f>
        <v>11000</v>
      </c>
      <c r="E33" s="221">
        <f t="shared" si="0"/>
        <v>-11000</v>
      </c>
      <c r="F33" s="254" t="s">
        <v>557</v>
      </c>
    </row>
    <row r="34" spans="1:6" ht="14.25" customHeight="1" x14ac:dyDescent="0.3">
      <c r="A34" s="443">
        <v>46265</v>
      </c>
      <c r="B34" s="219">
        <f>IF(D34&gt;0,COUNTIF($D$9:D34,"&gt;0"),"")</f>
        <v>26</v>
      </c>
      <c r="C34" s="221">
        <f>'SEMANA AGOSTO'!$M$209</f>
        <v>0</v>
      </c>
      <c r="D34" s="221">
        <f>CONFIG!$B$3</f>
        <v>11000</v>
      </c>
      <c r="E34" s="221">
        <f t="shared" si="0"/>
        <v>-11000</v>
      </c>
      <c r="F34" s="253"/>
    </row>
    <row r="35" spans="1:6" ht="14.25" customHeight="1" x14ac:dyDescent="0.3"/>
    <row r="36" spans="1:6" ht="14.25" customHeight="1" x14ac:dyDescent="0.3"/>
    <row r="37" spans="1:6" ht="14.25" customHeight="1" x14ac:dyDescent="0.3"/>
    <row r="38" spans="1:6" ht="14.25" customHeight="1" x14ac:dyDescent="0.3"/>
    <row r="39" spans="1:6" ht="14.25" customHeight="1" x14ac:dyDescent="0.3"/>
    <row r="40" spans="1:6" ht="14.25" customHeight="1" x14ac:dyDescent="0.3"/>
    <row r="41" spans="1:6" ht="14.25" customHeight="1" x14ac:dyDescent="0.3"/>
    <row r="42" spans="1:6" ht="14.25" customHeight="1" x14ac:dyDescent="0.3"/>
    <row r="43" spans="1:6" ht="14.25" customHeight="1" x14ac:dyDescent="0.3"/>
    <row r="44" spans="1:6" ht="14.25" customHeight="1" x14ac:dyDescent="0.3"/>
    <row r="45" spans="1:6" ht="14.25" customHeight="1" x14ac:dyDescent="0.3"/>
    <row r="46" spans="1:6" ht="14.25" customHeight="1" x14ac:dyDescent="0.3"/>
    <row r="47" spans="1:6" ht="14.25" customHeight="1" x14ac:dyDescent="0.3"/>
    <row r="48" spans="1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</sheetData>
  <mergeCells count="1">
    <mergeCell ref="A1:F1"/>
  </mergeCells>
  <conditionalFormatting sqref="E9:E30">
    <cfRule type="cellIs" dxfId="32" priority="2" operator="greaterThan">
      <formula>0</formula>
    </cfRule>
    <cfRule type="cellIs" dxfId="31" priority="3" operator="lessThan">
      <formula>0</formula>
    </cfRule>
    <cfRule type="cellIs" dxfId="30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C96B0A"/>
  </sheetPr>
  <dimension ref="B1:N300"/>
  <sheetViews>
    <sheetView showGridLines="0" zoomScaleNormal="100" workbookViewId="0"/>
  </sheetViews>
  <sheetFormatPr defaultColWidth="8.6640625" defaultRowHeight="17.399999999999999" x14ac:dyDescent="0.3"/>
  <cols>
    <col min="1" max="1" width="2.5546875" customWidth="1"/>
    <col min="2" max="2" width="13.5546875" style="5" customWidth="1"/>
    <col min="3" max="3" width="7.6640625" style="6" customWidth="1"/>
    <col min="4" max="4" width="12.6640625" style="6" customWidth="1"/>
    <col min="5" max="5" width="9.109375" style="7" customWidth="1"/>
    <col min="6" max="6" width="13.5546875" style="7" customWidth="1"/>
    <col min="7" max="7" width="6.6640625" style="7" customWidth="1"/>
    <col min="8" max="8" width="8" style="7" customWidth="1"/>
    <col min="9" max="9" width="7.5546875" style="7" customWidth="1"/>
    <col min="10" max="10" width="20" style="7" customWidth="1"/>
    <col min="11" max="11" width="9.109375" style="7" customWidth="1"/>
    <col min="12" max="12" width="21" style="7" customWidth="1"/>
    <col min="13" max="13" width="18.109375" style="6" customWidth="1"/>
    <col min="14" max="14" width="17.109375" style="441" customWidth="1"/>
  </cols>
  <sheetData>
    <row r="1" spans="2:14" ht="21.75" customHeight="1" x14ac:dyDescent="0.3">
      <c r="B1" s="561" t="s">
        <v>658</v>
      </c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561"/>
    </row>
    <row r="2" spans="2:14" ht="15" customHeight="1" x14ac:dyDescent="0.3"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</row>
    <row r="3" spans="2:14" ht="17.25" customHeight="1" x14ac:dyDescent="0.3">
      <c r="B3" s="163" t="s">
        <v>75</v>
      </c>
      <c r="C3" s="562" t="s">
        <v>76</v>
      </c>
      <c r="D3" s="562"/>
      <c r="E3" s="562" t="s">
        <v>77</v>
      </c>
      <c r="F3" s="562"/>
      <c r="G3" s="562" t="s">
        <v>78</v>
      </c>
      <c r="H3" s="562"/>
      <c r="I3" s="562"/>
      <c r="J3" s="562"/>
      <c r="K3" s="562" t="s">
        <v>79</v>
      </c>
      <c r="L3" s="562"/>
      <c r="M3" s="164" t="s">
        <v>80</v>
      </c>
      <c r="N3" s="438" t="s">
        <v>81</v>
      </c>
    </row>
    <row r="4" spans="2:14" ht="17.25" customHeight="1" x14ac:dyDescent="0.3">
      <c r="B4" s="233"/>
      <c r="C4" s="605"/>
      <c r="D4" s="605"/>
      <c r="E4" s="605"/>
      <c r="F4" s="605"/>
      <c r="G4" s="605"/>
      <c r="H4" s="605"/>
      <c r="I4" s="605"/>
      <c r="J4" s="605"/>
      <c r="K4" s="605"/>
      <c r="L4" s="605"/>
      <c r="M4" s="234"/>
      <c r="N4" s="438"/>
    </row>
    <row r="5" spans="2:14" ht="17.25" customHeight="1" x14ac:dyDescent="0.3">
      <c r="B5" s="21"/>
      <c r="C5" s="552"/>
      <c r="D5" s="552"/>
      <c r="E5" s="552"/>
      <c r="F5" s="552"/>
      <c r="G5" s="552"/>
      <c r="H5" s="552"/>
      <c r="I5" s="552"/>
      <c r="J5" s="552"/>
      <c r="K5" s="552"/>
      <c r="L5" s="552"/>
      <c r="M5" s="22"/>
      <c r="N5" s="438"/>
    </row>
    <row r="6" spans="2:14" ht="17.25" customHeight="1" x14ac:dyDescent="0.3">
      <c r="B6" s="19"/>
      <c r="C6" s="553"/>
      <c r="D6" s="553"/>
      <c r="E6" s="553"/>
      <c r="F6" s="553"/>
      <c r="G6" s="553"/>
      <c r="H6" s="553"/>
      <c r="I6" s="553"/>
      <c r="J6" s="553"/>
      <c r="K6" s="553"/>
      <c r="L6" s="553"/>
      <c r="M6" s="23"/>
      <c r="N6" s="438"/>
    </row>
    <row r="7" spans="2:14" ht="17.25" customHeight="1" x14ac:dyDescent="0.3">
      <c r="B7" s="21"/>
      <c r="C7" s="552"/>
      <c r="D7" s="552"/>
      <c r="E7" s="552"/>
      <c r="F7" s="552"/>
      <c r="G7" s="552"/>
      <c r="H7" s="552"/>
      <c r="I7" s="552"/>
      <c r="J7" s="552"/>
      <c r="K7" s="552"/>
      <c r="L7" s="552"/>
      <c r="M7" s="24"/>
      <c r="N7" s="438"/>
    </row>
    <row r="8" spans="2:14" ht="17.25" customHeight="1" x14ac:dyDescent="0.3">
      <c r="B8" s="19"/>
      <c r="C8" s="553"/>
      <c r="D8" s="553"/>
      <c r="E8" s="553"/>
      <c r="F8" s="553"/>
      <c r="G8" s="553"/>
      <c r="H8" s="553"/>
      <c r="I8" s="553"/>
      <c r="J8" s="553"/>
      <c r="K8" s="553"/>
      <c r="L8" s="553"/>
      <c r="M8" s="23"/>
      <c r="N8" s="438"/>
    </row>
    <row r="9" spans="2:14" ht="17.25" customHeight="1" x14ac:dyDescent="0.3">
      <c r="B9" s="21"/>
      <c r="C9" s="552"/>
      <c r="D9" s="552"/>
      <c r="E9" s="552"/>
      <c r="F9" s="552"/>
      <c r="G9" s="552"/>
      <c r="H9" s="552"/>
      <c r="I9" s="552"/>
      <c r="J9" s="552"/>
      <c r="K9" s="552"/>
      <c r="L9" s="552"/>
      <c r="M9" s="22"/>
      <c r="N9" s="438"/>
    </row>
    <row r="10" spans="2:14" ht="17.25" customHeight="1" x14ac:dyDescent="0.3">
      <c r="B10" s="19"/>
      <c r="C10" s="553"/>
      <c r="D10" s="553"/>
      <c r="E10" s="553"/>
      <c r="F10" s="553"/>
      <c r="G10" s="553"/>
      <c r="H10" s="553"/>
      <c r="I10" s="553"/>
      <c r="J10" s="553"/>
      <c r="K10" s="553"/>
      <c r="L10" s="553"/>
      <c r="M10" s="20"/>
      <c r="N10" s="438"/>
    </row>
    <row r="11" spans="2:14" ht="17.25" customHeight="1" x14ac:dyDescent="0.3">
      <c r="B11" s="21"/>
      <c r="C11" s="552"/>
      <c r="D11" s="552"/>
      <c r="E11" s="552"/>
      <c r="F11" s="552"/>
      <c r="G11" s="552"/>
      <c r="H11" s="552"/>
      <c r="I11" s="552"/>
      <c r="J11" s="552"/>
      <c r="K11" s="552"/>
      <c r="L11" s="552"/>
      <c r="M11" s="22"/>
      <c r="N11" s="438"/>
    </row>
    <row r="12" spans="2:14" ht="17.25" customHeight="1" x14ac:dyDescent="0.3">
      <c r="B12" s="19"/>
      <c r="C12" s="553"/>
      <c r="D12" s="553"/>
      <c r="E12" s="553"/>
      <c r="F12" s="553"/>
      <c r="G12" s="553"/>
      <c r="H12" s="553"/>
      <c r="I12" s="553"/>
      <c r="J12" s="553"/>
      <c r="K12" s="553"/>
      <c r="L12" s="553"/>
      <c r="M12" s="20"/>
      <c r="N12" s="438"/>
    </row>
    <row r="13" spans="2:14" ht="17.25" customHeight="1" x14ac:dyDescent="0.3">
      <c r="B13" s="21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22"/>
      <c r="N13" s="438"/>
    </row>
    <row r="14" spans="2:14" ht="17.25" customHeight="1" x14ac:dyDescent="0.3">
      <c r="B14" s="19"/>
      <c r="C14" s="553"/>
      <c r="D14" s="553"/>
      <c r="E14" s="553"/>
      <c r="F14" s="553"/>
      <c r="G14" s="553"/>
      <c r="H14" s="553"/>
      <c r="I14" s="553"/>
      <c r="J14" s="553"/>
      <c r="K14" s="553"/>
      <c r="L14" s="553"/>
      <c r="M14" s="20"/>
      <c r="N14" s="438"/>
    </row>
    <row r="15" spans="2:14" ht="17.25" customHeight="1" x14ac:dyDescent="0.3">
      <c r="B15" s="21"/>
      <c r="C15" s="552"/>
      <c r="D15" s="552"/>
      <c r="E15" s="552"/>
      <c r="F15" s="552"/>
      <c r="G15" s="552"/>
      <c r="H15" s="552"/>
      <c r="I15" s="552"/>
      <c r="J15" s="552"/>
      <c r="K15" s="552"/>
      <c r="L15" s="552"/>
      <c r="M15" s="22"/>
      <c r="N15" s="438"/>
    </row>
    <row r="16" spans="2:14" ht="17.25" customHeight="1" x14ac:dyDescent="0.3">
      <c r="B16" s="19"/>
      <c r="C16" s="553"/>
      <c r="D16" s="553"/>
      <c r="E16" s="553"/>
      <c r="F16" s="553"/>
      <c r="G16" s="553"/>
      <c r="H16" s="553"/>
      <c r="I16" s="553"/>
      <c r="J16" s="553"/>
      <c r="K16" s="553"/>
      <c r="L16" s="553"/>
      <c r="M16" s="20"/>
      <c r="N16" s="438"/>
    </row>
    <row r="17" spans="2:14" ht="17.25" customHeight="1" x14ac:dyDescent="0.3">
      <c r="B17" s="21"/>
      <c r="C17" s="552"/>
      <c r="D17" s="552"/>
      <c r="E17" s="552"/>
      <c r="F17" s="552"/>
      <c r="G17" s="552"/>
      <c r="H17" s="552"/>
      <c r="I17" s="552"/>
      <c r="J17" s="552"/>
      <c r="K17" s="552"/>
      <c r="L17" s="552"/>
      <c r="M17" s="24"/>
      <c r="N17" s="438"/>
    </row>
    <row r="18" spans="2:14" ht="17.25" customHeight="1" x14ac:dyDescent="0.3">
      <c r="B18" s="19"/>
      <c r="C18" s="553"/>
      <c r="D18" s="553"/>
      <c r="E18" s="553"/>
      <c r="F18" s="553"/>
      <c r="G18" s="553"/>
      <c r="H18" s="553"/>
      <c r="I18" s="553"/>
      <c r="J18" s="553"/>
      <c r="K18" s="553"/>
      <c r="L18" s="553"/>
      <c r="M18" s="20"/>
      <c r="N18" s="438"/>
    </row>
    <row r="19" spans="2:14" ht="17.25" customHeight="1" x14ac:dyDescent="0.3">
      <c r="B19" s="21"/>
      <c r="C19" s="552"/>
      <c r="D19" s="552"/>
      <c r="E19" s="552"/>
      <c r="F19" s="552"/>
      <c r="G19" s="552"/>
      <c r="H19" s="552"/>
      <c r="I19" s="552"/>
      <c r="J19" s="552"/>
      <c r="K19" s="552"/>
      <c r="L19" s="552"/>
      <c r="M19" s="22"/>
      <c r="N19" s="438"/>
    </row>
    <row r="20" spans="2:14" ht="17.25" customHeight="1" x14ac:dyDescent="0.3">
      <c r="B20" s="19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20"/>
      <c r="N20" s="438"/>
    </row>
    <row r="21" spans="2:14" ht="17.25" customHeight="1" x14ac:dyDescent="0.3">
      <c r="B21" s="21"/>
      <c r="C21" s="552"/>
      <c r="D21" s="552"/>
      <c r="E21" s="552"/>
      <c r="F21" s="552"/>
      <c r="G21" s="552"/>
      <c r="H21" s="552"/>
      <c r="I21" s="552"/>
      <c r="J21" s="552"/>
      <c r="K21" s="552"/>
      <c r="L21" s="552"/>
      <c r="M21" s="22"/>
      <c r="N21" s="438"/>
    </row>
    <row r="22" spans="2:14" ht="17.25" customHeight="1" x14ac:dyDescent="0.3">
      <c r="B22" s="19"/>
      <c r="C22" s="553"/>
      <c r="D22" s="553"/>
      <c r="E22" s="553"/>
      <c r="F22" s="553"/>
      <c r="G22" s="553"/>
      <c r="H22" s="553"/>
      <c r="I22" s="553"/>
      <c r="J22" s="553"/>
      <c r="K22" s="553"/>
      <c r="L22" s="553"/>
      <c r="M22" s="20"/>
      <c r="N22" s="438"/>
    </row>
    <row r="23" spans="2:14" ht="17.25" customHeight="1" x14ac:dyDescent="0.3">
      <c r="B23" s="21"/>
      <c r="C23" s="552"/>
      <c r="D23" s="552"/>
      <c r="E23" s="552"/>
      <c r="F23" s="552"/>
      <c r="G23" s="552"/>
      <c r="H23" s="552"/>
      <c r="I23" s="552"/>
      <c r="J23" s="552"/>
      <c r="K23" s="552"/>
      <c r="L23" s="552"/>
      <c r="M23" s="22"/>
      <c r="N23" s="438"/>
    </row>
    <row r="24" spans="2:14" ht="17.25" customHeight="1" x14ac:dyDescent="0.3">
      <c r="B24" s="19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20"/>
      <c r="N24" s="438"/>
    </row>
    <row r="25" spans="2:14" ht="17.25" customHeight="1" x14ac:dyDescent="0.3">
      <c r="B25" s="21"/>
      <c r="C25" s="552"/>
      <c r="D25" s="552"/>
      <c r="E25" s="552"/>
      <c r="F25" s="552"/>
      <c r="G25" s="552"/>
      <c r="H25" s="552"/>
      <c r="I25" s="552"/>
      <c r="J25" s="552"/>
      <c r="K25" s="552"/>
      <c r="L25" s="552"/>
      <c r="M25" s="24"/>
      <c r="N25" s="438"/>
    </row>
    <row r="26" spans="2:14" ht="17.25" customHeight="1" x14ac:dyDescent="0.3">
      <c r="B26" s="19"/>
      <c r="C26" s="553"/>
      <c r="D26" s="553"/>
      <c r="E26" s="553"/>
      <c r="F26" s="553"/>
      <c r="G26" s="553"/>
      <c r="H26" s="553"/>
      <c r="I26" s="553"/>
      <c r="J26" s="553"/>
      <c r="K26" s="553"/>
      <c r="L26" s="553"/>
      <c r="M26" s="20"/>
      <c r="N26" s="438"/>
    </row>
    <row r="27" spans="2:14" ht="17.25" customHeight="1" x14ac:dyDescent="0.3">
      <c r="B27" s="21"/>
      <c r="C27" s="552"/>
      <c r="D27" s="552"/>
      <c r="E27" s="552"/>
      <c r="F27" s="552"/>
      <c r="G27" s="552"/>
      <c r="H27" s="552"/>
      <c r="I27" s="552"/>
      <c r="J27" s="552"/>
      <c r="K27" s="552"/>
      <c r="L27" s="552"/>
      <c r="M27" s="22"/>
      <c r="N27" s="438"/>
    </row>
    <row r="28" spans="2:14" ht="17.25" customHeight="1" x14ac:dyDescent="0.3">
      <c r="B28" s="19"/>
      <c r="C28" s="553"/>
      <c r="D28" s="553"/>
      <c r="E28" s="553"/>
      <c r="F28" s="553"/>
      <c r="G28" s="553"/>
      <c r="H28" s="553"/>
      <c r="I28" s="553"/>
      <c r="J28" s="553"/>
      <c r="K28" s="553"/>
      <c r="L28" s="553"/>
      <c r="M28" s="20"/>
      <c r="N28" s="438"/>
    </row>
    <row r="29" spans="2:14" ht="17.25" customHeight="1" x14ac:dyDescent="0.3">
      <c r="B29" s="21"/>
      <c r="C29" s="552"/>
      <c r="D29" s="552"/>
      <c r="E29" s="552"/>
      <c r="F29" s="552"/>
      <c r="G29" s="552"/>
      <c r="H29" s="552"/>
      <c r="I29" s="552"/>
      <c r="J29" s="552"/>
      <c r="K29" s="552"/>
      <c r="L29" s="552"/>
      <c r="M29" s="22"/>
      <c r="N29" s="438"/>
    </row>
    <row r="30" spans="2:14" ht="17.25" customHeight="1" x14ac:dyDescent="0.3">
      <c r="B30" s="19"/>
      <c r="C30" s="553"/>
      <c r="D30" s="553"/>
      <c r="E30" s="553"/>
      <c r="F30" s="553"/>
      <c r="G30" s="553"/>
      <c r="H30" s="553"/>
      <c r="I30" s="553"/>
      <c r="J30" s="553"/>
      <c r="K30" s="553"/>
      <c r="L30" s="553"/>
      <c r="M30" s="20"/>
      <c r="N30" s="438"/>
    </row>
    <row r="31" spans="2:14" ht="17.25" customHeight="1" x14ac:dyDescent="0.3">
      <c r="B31" s="21"/>
      <c r="C31" s="552"/>
      <c r="D31" s="552"/>
      <c r="E31" s="552"/>
      <c r="F31" s="552"/>
      <c r="G31" s="552"/>
      <c r="H31" s="552"/>
      <c r="I31" s="552"/>
      <c r="J31" s="552"/>
      <c r="K31" s="552"/>
      <c r="L31" s="552"/>
      <c r="M31" s="22"/>
      <c r="N31" s="438"/>
    </row>
    <row r="32" spans="2:14" ht="17.25" customHeight="1" x14ac:dyDescent="0.3">
      <c r="B32" s="19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20"/>
      <c r="N32" s="438"/>
    </row>
    <row r="33" spans="2:14" ht="17.25" customHeight="1" x14ac:dyDescent="0.3">
      <c r="B33" s="21"/>
      <c r="C33" s="552"/>
      <c r="D33" s="552"/>
      <c r="E33" s="552"/>
      <c r="F33" s="552"/>
      <c r="G33" s="552"/>
      <c r="H33" s="552"/>
      <c r="I33" s="552"/>
      <c r="J33" s="552"/>
      <c r="K33" s="552"/>
      <c r="L33" s="552"/>
      <c r="M33" s="22"/>
      <c r="N33" s="438"/>
    </row>
    <row r="34" spans="2:14" ht="17.25" customHeight="1" x14ac:dyDescent="0.3">
      <c r="B34" s="19"/>
      <c r="C34" s="553"/>
      <c r="D34" s="553"/>
      <c r="E34" s="553"/>
      <c r="F34" s="553"/>
      <c r="G34" s="553"/>
      <c r="H34" s="553"/>
      <c r="I34" s="553"/>
      <c r="J34" s="553"/>
      <c r="K34" s="553"/>
      <c r="L34" s="553"/>
      <c r="M34" s="23"/>
      <c r="N34" s="438"/>
    </row>
    <row r="35" spans="2:14" ht="17.25" customHeight="1" x14ac:dyDescent="0.3">
      <c r="B35" s="21"/>
      <c r="C35" s="552"/>
      <c r="D35" s="552"/>
      <c r="E35" s="552"/>
      <c r="F35" s="552"/>
      <c r="G35" s="552"/>
      <c r="H35" s="552"/>
      <c r="I35" s="552"/>
      <c r="J35" s="552"/>
      <c r="K35" s="552"/>
      <c r="L35" s="552"/>
      <c r="M35" s="22"/>
      <c r="N35" s="438"/>
    </row>
    <row r="36" spans="2:14" ht="17.25" customHeight="1" x14ac:dyDescent="0.3">
      <c r="B36" s="19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20"/>
      <c r="N36" s="438"/>
    </row>
    <row r="37" spans="2:14" ht="17.25" customHeight="1" x14ac:dyDescent="0.3">
      <c r="B37" s="21"/>
      <c r="C37" s="552"/>
      <c r="D37" s="552"/>
      <c r="E37" s="552"/>
      <c r="F37" s="552"/>
      <c r="G37" s="552"/>
      <c r="H37" s="552"/>
      <c r="I37" s="552"/>
      <c r="J37" s="552"/>
      <c r="K37" s="552"/>
      <c r="L37" s="552"/>
      <c r="M37" s="22"/>
      <c r="N37" s="438"/>
    </row>
    <row r="38" spans="2:14" ht="17.25" customHeight="1" x14ac:dyDescent="0.3">
      <c r="B38" s="19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20"/>
      <c r="N38" s="438"/>
    </row>
    <row r="39" spans="2:14" ht="17.25" customHeight="1" x14ac:dyDescent="0.3">
      <c r="B39" s="21"/>
      <c r="C39" s="552"/>
      <c r="D39" s="552"/>
      <c r="E39" s="552"/>
      <c r="F39" s="552"/>
      <c r="G39" s="552"/>
      <c r="H39" s="552"/>
      <c r="I39" s="552"/>
      <c r="J39" s="552"/>
      <c r="K39" s="552"/>
      <c r="L39" s="552"/>
      <c r="M39" s="22"/>
      <c r="N39" s="438"/>
    </row>
    <row r="40" spans="2:14" ht="17.25" customHeight="1" x14ac:dyDescent="0.3">
      <c r="B40" s="19"/>
      <c r="C40" s="553"/>
      <c r="D40" s="553"/>
      <c r="E40" s="553"/>
      <c r="F40" s="553"/>
      <c r="G40" s="553"/>
      <c r="H40" s="553"/>
      <c r="I40" s="553"/>
      <c r="J40" s="553"/>
      <c r="K40" s="553"/>
      <c r="L40" s="553"/>
      <c r="M40" s="20"/>
      <c r="N40" s="438"/>
    </row>
    <row r="41" spans="2:14" ht="17.25" customHeight="1" x14ac:dyDescent="0.3">
      <c r="B41" s="21"/>
      <c r="C41" s="552"/>
      <c r="D41" s="552"/>
      <c r="E41" s="552"/>
      <c r="F41" s="552"/>
      <c r="G41" s="552"/>
      <c r="H41" s="552"/>
      <c r="I41" s="552"/>
      <c r="J41" s="552"/>
      <c r="K41" s="552"/>
      <c r="L41" s="552"/>
      <c r="M41" s="22"/>
      <c r="N41" s="438"/>
    </row>
    <row r="42" spans="2:14" ht="17.25" customHeight="1" x14ac:dyDescent="0.3">
      <c r="B42" s="19"/>
      <c r="C42" s="553"/>
      <c r="D42" s="553"/>
      <c r="E42" s="553"/>
      <c r="F42" s="553"/>
      <c r="G42" s="553"/>
      <c r="H42" s="553"/>
      <c r="I42" s="553"/>
      <c r="J42" s="553"/>
      <c r="K42" s="553"/>
      <c r="L42" s="553"/>
      <c r="M42" s="23"/>
      <c r="N42" s="438"/>
    </row>
    <row r="43" spans="2:14" ht="17.25" customHeight="1" x14ac:dyDescent="0.3">
      <c r="B43" s="21"/>
      <c r="C43" s="552"/>
      <c r="D43" s="552"/>
      <c r="E43" s="552"/>
      <c r="F43" s="552"/>
      <c r="G43" s="552"/>
      <c r="H43" s="552"/>
      <c r="I43" s="552"/>
      <c r="J43" s="552"/>
      <c r="K43" s="552"/>
      <c r="L43" s="552"/>
      <c r="M43" s="22"/>
      <c r="N43" s="438"/>
    </row>
    <row r="44" spans="2:14" ht="17.25" customHeight="1" x14ac:dyDescent="0.3">
      <c r="B44" s="19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20"/>
      <c r="N44" s="438"/>
    </row>
    <row r="45" spans="2:14" ht="17.25" customHeight="1" x14ac:dyDescent="0.3">
      <c r="B45" s="21"/>
      <c r="C45" s="552"/>
      <c r="D45" s="552"/>
      <c r="E45" s="552"/>
      <c r="F45" s="552"/>
      <c r="G45" s="552"/>
      <c r="H45" s="552"/>
      <c r="I45" s="552"/>
      <c r="J45" s="552"/>
      <c r="K45" s="552"/>
      <c r="L45" s="552"/>
      <c r="M45" s="22"/>
      <c r="N45" s="438"/>
    </row>
    <row r="46" spans="2:14" ht="17.25" customHeight="1" x14ac:dyDescent="0.3">
      <c r="B46" s="19"/>
      <c r="C46" s="553"/>
      <c r="D46" s="553"/>
      <c r="E46" s="553"/>
      <c r="F46" s="553"/>
      <c r="G46" s="553"/>
      <c r="H46" s="553"/>
      <c r="I46" s="553"/>
      <c r="J46" s="553"/>
      <c r="K46" s="553"/>
      <c r="L46" s="553"/>
      <c r="M46" s="20"/>
      <c r="N46" s="438"/>
    </row>
    <row r="47" spans="2:14" ht="17.25" customHeight="1" x14ac:dyDescent="0.3">
      <c r="B47" s="21"/>
      <c r="C47" s="552"/>
      <c r="D47" s="552"/>
      <c r="E47" s="552"/>
      <c r="F47" s="552"/>
      <c r="G47" s="552"/>
      <c r="H47" s="552"/>
      <c r="I47" s="552"/>
      <c r="J47" s="552"/>
      <c r="K47" s="552"/>
      <c r="L47" s="552"/>
      <c r="M47" s="22"/>
      <c r="N47" s="438"/>
    </row>
    <row r="48" spans="2:14" ht="17.25" customHeight="1" x14ac:dyDescent="0.3">
      <c r="B48" s="19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20"/>
      <c r="N48" s="438"/>
    </row>
    <row r="49" spans="2:14" ht="17.25" customHeight="1" x14ac:dyDescent="0.3">
      <c r="B49" s="21"/>
      <c r="C49" s="552"/>
      <c r="D49" s="552"/>
      <c r="E49" s="552"/>
      <c r="F49" s="552"/>
      <c r="G49" s="552"/>
      <c r="H49" s="552"/>
      <c r="I49" s="552"/>
      <c r="J49" s="552"/>
      <c r="K49" s="552"/>
      <c r="L49" s="552"/>
      <c r="M49" s="22"/>
      <c r="N49" s="438"/>
    </row>
    <row r="50" spans="2:14" ht="17.25" customHeight="1" x14ac:dyDescent="0.3">
      <c r="B50" s="19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20"/>
      <c r="N50" s="438"/>
    </row>
    <row r="51" spans="2:14" ht="17.25" customHeight="1" x14ac:dyDescent="0.3">
      <c r="B51" s="21"/>
      <c r="C51" s="552"/>
      <c r="D51" s="552"/>
      <c r="E51" s="552"/>
      <c r="F51" s="552"/>
      <c r="G51" s="552"/>
      <c r="H51" s="552"/>
      <c r="I51" s="552"/>
      <c r="J51" s="552"/>
      <c r="K51" s="552"/>
      <c r="L51" s="552"/>
      <c r="M51" s="24"/>
      <c r="N51" s="438"/>
    </row>
    <row r="52" spans="2:14" ht="17.25" customHeight="1" x14ac:dyDescent="0.3">
      <c r="B52" s="19"/>
      <c r="C52" s="553"/>
      <c r="D52" s="553"/>
      <c r="E52" s="553"/>
      <c r="F52" s="553"/>
      <c r="G52" s="553"/>
      <c r="H52" s="553"/>
      <c r="I52" s="553"/>
      <c r="J52" s="553"/>
      <c r="K52" s="553"/>
      <c r="L52" s="553"/>
      <c r="M52" s="20"/>
      <c r="N52" s="438"/>
    </row>
    <row r="53" spans="2:14" ht="17.25" customHeight="1" x14ac:dyDescent="0.3">
      <c r="B53" s="21"/>
      <c r="C53" s="552"/>
      <c r="D53" s="552"/>
      <c r="E53" s="552"/>
      <c r="F53" s="552"/>
      <c r="G53" s="552"/>
      <c r="H53" s="552"/>
      <c r="I53" s="552"/>
      <c r="J53" s="552"/>
      <c r="K53" s="552"/>
      <c r="L53" s="552"/>
      <c r="M53" s="22"/>
      <c r="N53" s="438"/>
    </row>
    <row r="54" spans="2:14" ht="17.25" customHeight="1" x14ac:dyDescent="0.3">
      <c r="B54" s="19"/>
      <c r="C54" s="553"/>
      <c r="D54" s="553"/>
      <c r="E54" s="553"/>
      <c r="F54" s="553"/>
      <c r="G54" s="553"/>
      <c r="H54" s="553"/>
      <c r="I54" s="553"/>
      <c r="J54" s="553"/>
      <c r="K54" s="553"/>
      <c r="L54" s="553"/>
      <c r="M54" s="20"/>
      <c r="N54" s="438"/>
    </row>
    <row r="55" spans="2:14" ht="17.25" customHeight="1" x14ac:dyDescent="0.3">
      <c r="B55" s="21"/>
      <c r="C55" s="552"/>
      <c r="D55" s="552"/>
      <c r="E55" s="552"/>
      <c r="F55" s="552"/>
      <c r="G55" s="552"/>
      <c r="H55" s="552"/>
      <c r="I55" s="552"/>
      <c r="J55" s="552"/>
      <c r="K55" s="552"/>
      <c r="L55" s="552"/>
      <c r="M55" s="22"/>
      <c r="N55" s="438"/>
    </row>
    <row r="56" spans="2:14" ht="17.25" customHeight="1" x14ac:dyDescent="0.3">
      <c r="B56" s="19"/>
      <c r="C56" s="553"/>
      <c r="D56" s="553"/>
      <c r="E56" s="553"/>
      <c r="F56" s="553"/>
      <c r="G56" s="553"/>
      <c r="H56" s="553"/>
      <c r="I56" s="553"/>
      <c r="J56" s="553"/>
      <c r="K56" s="553"/>
      <c r="L56" s="553"/>
      <c r="M56" s="20"/>
      <c r="N56" s="438"/>
    </row>
    <row r="57" spans="2:14" ht="17.25" customHeight="1" x14ac:dyDescent="0.3">
      <c r="B57" s="21"/>
      <c r="C57" s="552"/>
      <c r="D57" s="552"/>
      <c r="E57" s="552"/>
      <c r="F57" s="552"/>
      <c r="G57" s="552"/>
      <c r="H57" s="552"/>
      <c r="I57" s="552"/>
      <c r="J57" s="552"/>
      <c r="K57" s="552"/>
      <c r="L57" s="552"/>
      <c r="M57" s="22"/>
      <c r="N57" s="438"/>
    </row>
    <row r="58" spans="2:14" ht="17.25" customHeight="1" x14ac:dyDescent="0.3">
      <c r="B58" s="19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20"/>
      <c r="N58" s="438"/>
    </row>
    <row r="59" spans="2:14" ht="17.25" customHeight="1" x14ac:dyDescent="0.3">
      <c r="B59" s="21"/>
      <c r="C59" s="552"/>
      <c r="D59" s="552"/>
      <c r="E59" s="552"/>
      <c r="F59" s="552"/>
      <c r="G59" s="552"/>
      <c r="H59" s="552"/>
      <c r="I59" s="552"/>
      <c r="J59" s="552"/>
      <c r="K59" s="552"/>
      <c r="L59" s="552"/>
      <c r="M59" s="24"/>
      <c r="N59" s="438"/>
    </row>
    <row r="60" spans="2:14" ht="17.25" customHeight="1" x14ac:dyDescent="0.3">
      <c r="B60" s="19"/>
      <c r="C60" s="553"/>
      <c r="D60" s="553"/>
      <c r="E60" s="553"/>
      <c r="F60" s="553"/>
      <c r="G60" s="553"/>
      <c r="H60" s="553"/>
      <c r="I60" s="553"/>
      <c r="J60" s="553"/>
      <c r="K60" s="553"/>
      <c r="L60" s="553"/>
      <c r="M60" s="20"/>
      <c r="N60" s="438"/>
    </row>
    <row r="61" spans="2:14" ht="17.25" customHeight="1" x14ac:dyDescent="0.3">
      <c r="B61" s="21"/>
      <c r="C61" s="552"/>
      <c r="D61" s="552"/>
      <c r="E61" s="552"/>
      <c r="F61" s="552"/>
      <c r="G61" s="552"/>
      <c r="H61" s="552"/>
      <c r="I61" s="552"/>
      <c r="J61" s="552"/>
      <c r="K61" s="552"/>
      <c r="L61" s="552"/>
      <c r="M61" s="22"/>
      <c r="N61" s="438"/>
    </row>
    <row r="62" spans="2:14" ht="17.25" customHeight="1" x14ac:dyDescent="0.3">
      <c r="B62" s="19"/>
      <c r="C62" s="553"/>
      <c r="D62" s="553"/>
      <c r="E62" s="553"/>
      <c r="F62" s="553"/>
      <c r="G62" s="553"/>
      <c r="H62" s="553"/>
      <c r="I62" s="553"/>
      <c r="J62" s="553"/>
      <c r="K62" s="553"/>
      <c r="L62" s="553"/>
      <c r="M62" s="20"/>
      <c r="N62" s="438"/>
    </row>
    <row r="63" spans="2:14" ht="17.25" customHeight="1" x14ac:dyDescent="0.3">
      <c r="B63" s="21"/>
      <c r="C63" s="552"/>
      <c r="D63" s="552"/>
      <c r="E63" s="552"/>
      <c r="F63" s="552"/>
      <c r="G63" s="552"/>
      <c r="H63" s="552"/>
      <c r="I63" s="552"/>
      <c r="J63" s="552"/>
      <c r="K63" s="552"/>
      <c r="L63" s="552"/>
      <c r="M63" s="22"/>
      <c r="N63" s="438"/>
    </row>
    <row r="64" spans="2:14" ht="17.25" customHeight="1" x14ac:dyDescent="0.3">
      <c r="B64" s="19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20"/>
      <c r="N64" s="438"/>
    </row>
    <row r="65" spans="2:14" ht="17.25" customHeight="1" x14ac:dyDescent="0.3">
      <c r="B65" s="21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22"/>
      <c r="N65" s="438"/>
    </row>
    <row r="66" spans="2:14" ht="17.25" customHeight="1" x14ac:dyDescent="0.3">
      <c r="B66" s="19"/>
      <c r="C66" s="553"/>
      <c r="D66" s="553"/>
      <c r="E66" s="553"/>
      <c r="F66" s="553"/>
      <c r="G66" s="553"/>
      <c r="H66" s="553"/>
      <c r="I66" s="553"/>
      <c r="J66" s="553"/>
      <c r="K66" s="553"/>
      <c r="L66" s="553"/>
      <c r="M66" s="20"/>
      <c r="N66" s="438"/>
    </row>
    <row r="67" spans="2:14" ht="17.25" customHeight="1" x14ac:dyDescent="0.3">
      <c r="B67" s="21"/>
      <c r="C67" s="552"/>
      <c r="D67" s="552"/>
      <c r="E67" s="552"/>
      <c r="F67" s="552"/>
      <c r="G67" s="552"/>
      <c r="H67" s="552"/>
      <c r="I67" s="552"/>
      <c r="J67" s="552"/>
      <c r="K67" s="552"/>
      <c r="L67" s="552"/>
      <c r="M67" s="22"/>
      <c r="N67" s="438"/>
    </row>
    <row r="68" spans="2:14" ht="17.25" customHeight="1" x14ac:dyDescent="0.3">
      <c r="B68" s="19"/>
      <c r="C68" s="553"/>
      <c r="D68" s="553"/>
      <c r="E68" s="553"/>
      <c r="F68" s="553"/>
      <c r="G68" s="553"/>
      <c r="H68" s="553"/>
      <c r="I68" s="553"/>
      <c r="J68" s="553"/>
      <c r="K68" s="553"/>
      <c r="L68" s="553"/>
      <c r="M68" s="23"/>
      <c r="N68" s="438"/>
    </row>
    <row r="69" spans="2:14" ht="17.25" customHeight="1" x14ac:dyDescent="0.3">
      <c r="B69" s="21"/>
      <c r="C69" s="552"/>
      <c r="D69" s="552"/>
      <c r="E69" s="552"/>
      <c r="F69" s="552"/>
      <c r="G69" s="552"/>
      <c r="H69" s="552"/>
      <c r="I69" s="552"/>
      <c r="J69" s="552"/>
      <c r="K69" s="552"/>
      <c r="L69" s="552"/>
      <c r="M69" s="22"/>
      <c r="N69" s="438"/>
    </row>
    <row r="70" spans="2:14" ht="17.25" customHeight="1" x14ac:dyDescent="0.3">
      <c r="B70" s="19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20"/>
      <c r="N70" s="438"/>
    </row>
    <row r="71" spans="2:14" ht="17.25" customHeight="1" x14ac:dyDescent="0.3">
      <c r="B71" s="21"/>
      <c r="C71" s="552"/>
      <c r="D71" s="552"/>
      <c r="E71" s="552"/>
      <c r="F71" s="552"/>
      <c r="G71" s="552"/>
      <c r="H71" s="552"/>
      <c r="I71" s="552"/>
      <c r="J71" s="552"/>
      <c r="K71" s="552"/>
      <c r="L71" s="552"/>
      <c r="M71" s="22"/>
      <c r="N71" s="438"/>
    </row>
    <row r="72" spans="2:14" ht="17.25" customHeight="1" x14ac:dyDescent="0.3">
      <c r="B72" s="19"/>
      <c r="C72" s="553"/>
      <c r="D72" s="553"/>
      <c r="E72" s="553"/>
      <c r="F72" s="553"/>
      <c r="G72" s="553"/>
      <c r="H72" s="553"/>
      <c r="I72" s="553"/>
      <c r="J72" s="553"/>
      <c r="K72" s="553"/>
      <c r="L72" s="553"/>
      <c r="M72" s="20"/>
      <c r="N72" s="438"/>
    </row>
    <row r="73" spans="2:14" ht="17.25" customHeight="1" x14ac:dyDescent="0.3">
      <c r="B73" s="21"/>
      <c r="C73" s="552"/>
      <c r="D73" s="552"/>
      <c r="E73" s="552"/>
      <c r="F73" s="552"/>
      <c r="G73" s="552"/>
      <c r="H73" s="552"/>
      <c r="I73" s="552"/>
      <c r="J73" s="552"/>
      <c r="K73" s="552"/>
      <c r="L73" s="552"/>
      <c r="M73" s="22"/>
      <c r="N73" s="438"/>
    </row>
    <row r="74" spans="2:14" ht="17.25" customHeight="1" x14ac:dyDescent="0.3">
      <c r="B74" s="19"/>
      <c r="C74" s="553"/>
      <c r="D74" s="553"/>
      <c r="E74" s="553"/>
      <c r="F74" s="553"/>
      <c r="G74" s="553"/>
      <c r="H74" s="553"/>
      <c r="I74" s="553"/>
      <c r="J74" s="553"/>
      <c r="K74" s="553"/>
      <c r="L74" s="553"/>
      <c r="M74" s="20"/>
      <c r="N74" s="438"/>
    </row>
    <row r="75" spans="2:14" ht="17.25" customHeight="1" x14ac:dyDescent="0.3">
      <c r="B75" s="21"/>
      <c r="C75" s="552"/>
      <c r="D75" s="552"/>
      <c r="E75" s="552"/>
      <c r="F75" s="552"/>
      <c r="G75" s="552"/>
      <c r="H75" s="552"/>
      <c r="I75" s="552"/>
      <c r="J75" s="552"/>
      <c r="K75" s="552"/>
      <c r="L75" s="552"/>
      <c r="M75" s="22"/>
      <c r="N75" s="438"/>
    </row>
    <row r="76" spans="2:14" ht="17.25" customHeight="1" x14ac:dyDescent="0.3">
      <c r="B76" s="19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23"/>
      <c r="N76" s="438"/>
    </row>
    <row r="77" spans="2:14" ht="17.25" customHeight="1" x14ac:dyDescent="0.3">
      <c r="B77" s="21"/>
      <c r="C77" s="552"/>
      <c r="D77" s="552"/>
      <c r="E77" s="552"/>
      <c r="F77" s="552"/>
      <c r="G77" s="552"/>
      <c r="H77" s="552"/>
      <c r="I77" s="552"/>
      <c r="J77" s="552"/>
      <c r="K77" s="552"/>
      <c r="L77" s="552"/>
      <c r="M77" s="22"/>
      <c r="N77" s="438"/>
    </row>
    <row r="78" spans="2:14" ht="17.25" customHeight="1" x14ac:dyDescent="0.3">
      <c r="B78" s="19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20"/>
      <c r="N78" s="438"/>
    </row>
    <row r="79" spans="2:14" ht="17.25" customHeight="1" x14ac:dyDescent="0.3">
      <c r="B79" s="21"/>
      <c r="C79" s="552"/>
      <c r="D79" s="552"/>
      <c r="E79" s="552"/>
      <c r="F79" s="552"/>
      <c r="G79" s="552"/>
      <c r="H79" s="552"/>
      <c r="I79" s="552"/>
      <c r="J79" s="552"/>
      <c r="K79" s="552"/>
      <c r="L79" s="552"/>
      <c r="M79" s="22"/>
      <c r="N79" s="438"/>
    </row>
    <row r="80" spans="2:14" ht="17.25" customHeight="1" x14ac:dyDescent="0.3">
      <c r="B80" s="19"/>
      <c r="C80" s="553"/>
      <c r="D80" s="553"/>
      <c r="E80" s="553"/>
      <c r="F80" s="553"/>
      <c r="G80" s="553"/>
      <c r="H80" s="553"/>
      <c r="I80" s="553"/>
      <c r="J80" s="553"/>
      <c r="K80" s="553"/>
      <c r="L80" s="553"/>
      <c r="M80" s="20"/>
      <c r="N80" s="438"/>
    </row>
    <row r="81" spans="2:14" ht="17.25" customHeight="1" x14ac:dyDescent="0.3">
      <c r="B81" s="21"/>
      <c r="C81" s="552"/>
      <c r="D81" s="552"/>
      <c r="E81" s="552"/>
      <c r="F81" s="552"/>
      <c r="G81" s="552"/>
      <c r="H81" s="552"/>
      <c r="I81" s="552"/>
      <c r="J81" s="552"/>
      <c r="K81" s="552"/>
      <c r="L81" s="552"/>
      <c r="M81" s="22"/>
      <c r="N81" s="438"/>
    </row>
    <row r="82" spans="2:14" ht="17.25" customHeight="1" x14ac:dyDescent="0.3">
      <c r="B82" s="19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20"/>
      <c r="N82" s="438"/>
    </row>
    <row r="83" spans="2:14" ht="17.25" customHeight="1" x14ac:dyDescent="0.3">
      <c r="B83" s="21"/>
      <c r="C83" s="552"/>
      <c r="D83" s="552"/>
      <c r="E83" s="552"/>
      <c r="F83" s="552"/>
      <c r="G83" s="552"/>
      <c r="H83" s="552"/>
      <c r="I83" s="552"/>
      <c r="J83" s="552"/>
      <c r="K83" s="552"/>
      <c r="L83" s="552"/>
      <c r="M83" s="22"/>
      <c r="N83" s="438"/>
    </row>
    <row r="84" spans="2:14" ht="17.25" customHeight="1" x14ac:dyDescent="0.3">
      <c r="B84" s="19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20"/>
      <c r="N84" s="438"/>
    </row>
    <row r="85" spans="2:14" ht="17.25" customHeight="1" x14ac:dyDescent="0.3">
      <c r="B85" s="21"/>
      <c r="C85" s="552"/>
      <c r="D85" s="552"/>
      <c r="E85" s="552"/>
      <c r="F85" s="552"/>
      <c r="G85" s="552"/>
      <c r="H85" s="552"/>
      <c r="I85" s="552"/>
      <c r="J85" s="552"/>
      <c r="K85" s="552"/>
      <c r="L85" s="552"/>
      <c r="M85" s="24"/>
      <c r="N85" s="438"/>
    </row>
    <row r="86" spans="2:14" ht="17.25" customHeight="1" x14ac:dyDescent="0.3">
      <c r="B86" s="19"/>
      <c r="C86" s="553"/>
      <c r="D86" s="553"/>
      <c r="E86" s="553"/>
      <c r="F86" s="553"/>
      <c r="G86" s="553"/>
      <c r="H86" s="553"/>
      <c r="I86" s="553"/>
      <c r="J86" s="553"/>
      <c r="K86" s="553"/>
      <c r="L86" s="553"/>
      <c r="M86" s="20"/>
      <c r="N86" s="438"/>
    </row>
    <row r="87" spans="2:14" ht="17.25" customHeight="1" x14ac:dyDescent="0.3">
      <c r="B87" s="21"/>
      <c r="C87" s="552"/>
      <c r="D87" s="552"/>
      <c r="E87" s="552"/>
      <c r="F87" s="552"/>
      <c r="G87" s="552"/>
      <c r="H87" s="552"/>
      <c r="I87" s="552"/>
      <c r="J87" s="552"/>
      <c r="K87" s="552"/>
      <c r="L87" s="552"/>
      <c r="M87" s="22"/>
      <c r="N87" s="438"/>
    </row>
    <row r="88" spans="2:14" ht="17.25" customHeight="1" x14ac:dyDescent="0.3">
      <c r="B88" s="19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20"/>
      <c r="N88" s="438"/>
    </row>
    <row r="89" spans="2:14" ht="17.25" customHeight="1" x14ac:dyDescent="0.3">
      <c r="B89" s="21"/>
      <c r="C89" s="552"/>
      <c r="D89" s="552"/>
      <c r="E89" s="552"/>
      <c r="F89" s="552"/>
      <c r="G89" s="552"/>
      <c r="H89" s="552"/>
      <c r="I89" s="552"/>
      <c r="J89" s="552"/>
      <c r="K89" s="552"/>
      <c r="L89" s="552"/>
      <c r="M89" s="22"/>
      <c r="N89" s="438"/>
    </row>
    <row r="90" spans="2:14" ht="17.25" customHeight="1" x14ac:dyDescent="0.3">
      <c r="B90" s="19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20"/>
      <c r="N90" s="438"/>
    </row>
    <row r="91" spans="2:14" ht="17.25" customHeight="1" x14ac:dyDescent="0.3">
      <c r="B91" s="21"/>
      <c r="C91" s="552"/>
      <c r="D91" s="552"/>
      <c r="E91" s="552"/>
      <c r="F91" s="552"/>
      <c r="G91" s="552"/>
      <c r="H91" s="552"/>
      <c r="I91" s="552"/>
      <c r="J91" s="552"/>
      <c r="K91" s="552"/>
      <c r="L91" s="552"/>
      <c r="M91" s="22"/>
      <c r="N91" s="438"/>
    </row>
    <row r="92" spans="2:14" ht="17.25" customHeight="1" x14ac:dyDescent="0.3">
      <c r="B92" s="19"/>
      <c r="C92" s="553"/>
      <c r="D92" s="553"/>
      <c r="E92" s="553"/>
      <c r="F92" s="553"/>
      <c r="G92" s="553"/>
      <c r="H92" s="553"/>
      <c r="I92" s="553"/>
      <c r="J92" s="553"/>
      <c r="K92" s="553"/>
      <c r="L92" s="553"/>
      <c r="M92" s="20"/>
      <c r="N92" s="438"/>
    </row>
    <row r="93" spans="2:14" ht="17.25" customHeight="1" x14ac:dyDescent="0.3">
      <c r="B93" s="21"/>
      <c r="C93" s="552"/>
      <c r="D93" s="552"/>
      <c r="E93" s="552"/>
      <c r="F93" s="552"/>
      <c r="G93" s="552"/>
      <c r="H93" s="552"/>
      <c r="I93" s="552"/>
      <c r="J93" s="552"/>
      <c r="K93" s="552"/>
      <c r="L93" s="552"/>
      <c r="M93" s="24"/>
      <c r="N93" s="438"/>
    </row>
    <row r="94" spans="2:14" ht="17.25" customHeight="1" x14ac:dyDescent="0.3">
      <c r="B94" s="25"/>
      <c r="C94" s="601"/>
      <c r="D94" s="601"/>
      <c r="E94" s="601"/>
      <c r="F94" s="601"/>
      <c r="G94" s="601"/>
      <c r="H94" s="601"/>
      <c r="I94" s="601"/>
      <c r="J94" s="601"/>
      <c r="K94" s="601"/>
      <c r="L94" s="601"/>
      <c r="M94" s="26"/>
      <c r="N94" s="438"/>
    </row>
    <row r="95" spans="2:14" ht="18" customHeight="1" x14ac:dyDescent="0.3">
      <c r="N95" s="437"/>
    </row>
    <row r="96" spans="2:14" ht="18" customHeight="1" x14ac:dyDescent="0.3">
      <c r="N96" s="437"/>
    </row>
    <row r="97" spans="14:14" ht="18" customHeight="1" x14ac:dyDescent="0.3">
      <c r="N97" s="437"/>
    </row>
    <row r="98" spans="14:14" ht="18" customHeight="1" x14ac:dyDescent="0.3">
      <c r="N98" s="437"/>
    </row>
    <row r="99" spans="14:14" ht="18" customHeight="1" x14ac:dyDescent="0.3">
      <c r="N99" s="437"/>
    </row>
    <row r="100" spans="14:14" ht="18" customHeight="1" x14ac:dyDescent="0.3">
      <c r="N100" s="437"/>
    </row>
    <row r="101" spans="14:14" ht="18" customHeight="1" x14ac:dyDescent="0.3">
      <c r="N101" s="437"/>
    </row>
    <row r="102" spans="14:14" ht="18" customHeight="1" x14ac:dyDescent="0.3">
      <c r="N102" s="437"/>
    </row>
    <row r="103" spans="14:14" ht="18" customHeight="1" x14ac:dyDescent="0.3">
      <c r="N103" s="437"/>
    </row>
    <row r="104" spans="14:14" ht="18" customHeight="1" x14ac:dyDescent="0.3">
      <c r="N104" s="437"/>
    </row>
    <row r="105" spans="14:14" ht="18" customHeight="1" x14ac:dyDescent="0.3">
      <c r="N105" s="437"/>
    </row>
    <row r="106" spans="14:14" ht="18" customHeight="1" x14ac:dyDescent="0.3">
      <c r="N106" s="437"/>
    </row>
    <row r="107" spans="14:14" ht="18" customHeight="1" x14ac:dyDescent="0.3">
      <c r="N107" s="437"/>
    </row>
    <row r="108" spans="14:14" ht="18" customHeight="1" x14ac:dyDescent="0.3">
      <c r="N108" s="437"/>
    </row>
    <row r="109" spans="14:14" ht="18" customHeight="1" x14ac:dyDescent="0.3">
      <c r="N109" s="437"/>
    </row>
    <row r="110" spans="14:14" ht="18" customHeight="1" x14ac:dyDescent="0.3">
      <c r="N110" s="437"/>
    </row>
    <row r="111" spans="14:14" ht="18" customHeight="1" x14ac:dyDescent="0.3">
      <c r="N111" s="437"/>
    </row>
    <row r="112" spans="14:14" ht="18" customHeight="1" x14ac:dyDescent="0.3">
      <c r="N112" s="437"/>
    </row>
    <row r="113" spans="14:14" ht="18" customHeight="1" x14ac:dyDescent="0.3">
      <c r="N113" s="437"/>
    </row>
    <row r="114" spans="14:14" ht="18" customHeight="1" x14ac:dyDescent="0.3">
      <c r="N114" s="437"/>
    </row>
    <row r="115" spans="14:14" ht="18" customHeight="1" x14ac:dyDescent="0.3">
      <c r="N115" s="437"/>
    </row>
    <row r="116" spans="14:14" ht="18" customHeight="1" x14ac:dyDescent="0.3">
      <c r="N116" s="437"/>
    </row>
    <row r="117" spans="14:14" ht="18" customHeight="1" x14ac:dyDescent="0.3">
      <c r="N117" s="437"/>
    </row>
    <row r="118" spans="14:14" ht="18" customHeight="1" x14ac:dyDescent="0.3">
      <c r="N118" s="437"/>
    </row>
    <row r="119" spans="14:14" ht="18" customHeight="1" x14ac:dyDescent="0.3">
      <c r="N119" s="437"/>
    </row>
    <row r="120" spans="14:14" ht="18" customHeight="1" x14ac:dyDescent="0.3">
      <c r="N120" s="437"/>
    </row>
    <row r="121" spans="14:14" ht="18" customHeight="1" x14ac:dyDescent="0.3">
      <c r="N121" s="437"/>
    </row>
    <row r="122" spans="14:14" ht="18" customHeight="1" x14ac:dyDescent="0.3">
      <c r="N122" s="437"/>
    </row>
    <row r="123" spans="14:14" ht="18" customHeight="1" x14ac:dyDescent="0.3">
      <c r="N123" s="437"/>
    </row>
    <row r="124" spans="14:14" ht="18" customHeight="1" x14ac:dyDescent="0.3">
      <c r="N124" s="437"/>
    </row>
    <row r="125" spans="14:14" ht="18" customHeight="1" x14ac:dyDescent="0.3">
      <c r="N125" s="437"/>
    </row>
    <row r="126" spans="14:14" ht="18" customHeight="1" x14ac:dyDescent="0.3">
      <c r="N126" s="437"/>
    </row>
    <row r="127" spans="14:14" ht="18" customHeight="1" x14ac:dyDescent="0.3">
      <c r="N127" s="437"/>
    </row>
    <row r="128" spans="14:14" ht="18" customHeight="1" x14ac:dyDescent="0.3">
      <c r="N128" s="437"/>
    </row>
    <row r="129" spans="14:14" ht="18" customHeight="1" x14ac:dyDescent="0.3">
      <c r="N129" s="437"/>
    </row>
    <row r="130" spans="14:14" ht="18" customHeight="1" x14ac:dyDescent="0.3">
      <c r="N130" s="437"/>
    </row>
    <row r="131" spans="14:14" ht="18" customHeight="1" x14ac:dyDescent="0.3">
      <c r="N131" s="437"/>
    </row>
    <row r="132" spans="14:14" ht="18" customHeight="1" x14ac:dyDescent="0.3">
      <c r="N132" s="437"/>
    </row>
    <row r="133" spans="14:14" ht="18" customHeight="1" x14ac:dyDescent="0.3">
      <c r="N133" s="437"/>
    </row>
    <row r="134" spans="14:14" ht="18" customHeight="1" x14ac:dyDescent="0.3">
      <c r="N134" s="437"/>
    </row>
    <row r="135" spans="14:14" ht="18" customHeight="1" x14ac:dyDescent="0.3">
      <c r="N135" s="437"/>
    </row>
    <row r="136" spans="14:14" ht="18" customHeight="1" x14ac:dyDescent="0.3">
      <c r="N136" s="437"/>
    </row>
    <row r="137" spans="14:14" ht="18" customHeight="1" x14ac:dyDescent="0.3">
      <c r="N137" s="437"/>
    </row>
    <row r="138" spans="14:14" ht="18" customHeight="1" x14ac:dyDescent="0.3">
      <c r="N138" s="437"/>
    </row>
    <row r="139" spans="14:14" ht="18" customHeight="1" x14ac:dyDescent="0.3">
      <c r="N139" s="437"/>
    </row>
    <row r="140" spans="14:14" ht="18" customHeight="1" x14ac:dyDescent="0.3">
      <c r="N140" s="437"/>
    </row>
    <row r="141" spans="14:14" ht="18" customHeight="1" x14ac:dyDescent="0.3">
      <c r="N141" s="437"/>
    </row>
    <row r="142" spans="14:14" ht="18" customHeight="1" x14ac:dyDescent="0.3">
      <c r="N142" s="437"/>
    </row>
    <row r="143" spans="14:14" ht="18" customHeight="1" x14ac:dyDescent="0.3">
      <c r="N143" s="437"/>
    </row>
    <row r="144" spans="14:14" ht="18" customHeight="1" x14ac:dyDescent="0.3">
      <c r="N144" s="437"/>
    </row>
    <row r="145" spans="14:14" ht="18" customHeight="1" x14ac:dyDescent="0.3">
      <c r="N145" s="437"/>
    </row>
    <row r="146" spans="14:14" ht="18" customHeight="1" x14ac:dyDescent="0.3">
      <c r="N146" s="437"/>
    </row>
    <row r="147" spans="14:14" ht="18" customHeight="1" x14ac:dyDescent="0.3">
      <c r="N147" s="437"/>
    </row>
    <row r="148" spans="14:14" ht="18" customHeight="1" x14ac:dyDescent="0.3">
      <c r="N148" s="437"/>
    </row>
    <row r="149" spans="14:14" ht="18" customHeight="1" x14ac:dyDescent="0.3">
      <c r="N149" s="437"/>
    </row>
    <row r="150" spans="14:14" ht="18" customHeight="1" x14ac:dyDescent="0.3">
      <c r="N150" s="437"/>
    </row>
    <row r="151" spans="14:14" ht="18" customHeight="1" x14ac:dyDescent="0.3">
      <c r="N151" s="437"/>
    </row>
    <row r="152" spans="14:14" ht="18" customHeight="1" x14ac:dyDescent="0.3">
      <c r="N152" s="437"/>
    </row>
    <row r="153" spans="14:14" ht="18" customHeight="1" x14ac:dyDescent="0.3">
      <c r="N153" s="437"/>
    </row>
    <row r="154" spans="14:14" ht="18" customHeight="1" x14ac:dyDescent="0.3">
      <c r="N154" s="437"/>
    </row>
    <row r="155" spans="14:14" ht="18" customHeight="1" x14ac:dyDescent="0.3">
      <c r="N155" s="437"/>
    </row>
    <row r="156" spans="14:14" ht="18" customHeight="1" x14ac:dyDescent="0.3">
      <c r="N156" s="437"/>
    </row>
    <row r="157" spans="14:14" ht="18" customHeight="1" x14ac:dyDescent="0.3">
      <c r="N157" s="437"/>
    </row>
    <row r="158" spans="14:14" ht="18" customHeight="1" x14ac:dyDescent="0.3">
      <c r="N158" s="437"/>
    </row>
    <row r="159" spans="14:14" ht="18" customHeight="1" x14ac:dyDescent="0.3">
      <c r="N159" s="437"/>
    </row>
    <row r="160" spans="14:14" ht="18" customHeight="1" x14ac:dyDescent="0.3">
      <c r="N160" s="437"/>
    </row>
    <row r="161" spans="14:14" ht="18" customHeight="1" x14ac:dyDescent="0.3">
      <c r="N161" s="437"/>
    </row>
    <row r="162" spans="14:14" ht="18" customHeight="1" x14ac:dyDescent="0.3">
      <c r="N162" s="437"/>
    </row>
    <row r="163" spans="14:14" ht="18" customHeight="1" x14ac:dyDescent="0.3">
      <c r="N163" s="437"/>
    </row>
    <row r="164" spans="14:14" ht="18" customHeight="1" x14ac:dyDescent="0.3">
      <c r="N164" s="437"/>
    </row>
    <row r="165" spans="14:14" ht="18" customHeight="1" x14ac:dyDescent="0.3">
      <c r="N165" s="437"/>
    </row>
    <row r="166" spans="14:14" ht="18" customHeight="1" x14ac:dyDescent="0.3">
      <c r="N166" s="437"/>
    </row>
    <row r="167" spans="14:14" ht="18" customHeight="1" x14ac:dyDescent="0.3">
      <c r="N167" s="437"/>
    </row>
    <row r="168" spans="14:14" ht="18" customHeight="1" x14ac:dyDescent="0.3">
      <c r="N168" s="437"/>
    </row>
    <row r="169" spans="14:14" ht="18" customHeight="1" x14ac:dyDescent="0.3">
      <c r="N169" s="437"/>
    </row>
    <row r="170" spans="14:14" ht="18" customHeight="1" x14ac:dyDescent="0.3">
      <c r="N170" s="437"/>
    </row>
    <row r="171" spans="14:14" ht="18" customHeight="1" x14ac:dyDescent="0.3">
      <c r="N171" s="437"/>
    </row>
    <row r="172" spans="14:14" ht="18" customHeight="1" x14ac:dyDescent="0.3">
      <c r="N172" s="437"/>
    </row>
    <row r="173" spans="14:14" ht="18" customHeight="1" x14ac:dyDescent="0.3">
      <c r="N173" s="437"/>
    </row>
    <row r="174" spans="14:14" ht="18" customHeight="1" x14ac:dyDescent="0.3">
      <c r="N174" s="437"/>
    </row>
    <row r="175" spans="14:14" ht="18" customHeight="1" x14ac:dyDescent="0.3">
      <c r="N175" s="437"/>
    </row>
    <row r="176" spans="14:14" ht="18" customHeight="1" x14ac:dyDescent="0.3">
      <c r="N176" s="437"/>
    </row>
    <row r="177" spans="14:14" ht="18" customHeight="1" x14ac:dyDescent="0.3">
      <c r="N177" s="437"/>
    </row>
    <row r="178" spans="14:14" ht="18" customHeight="1" x14ac:dyDescent="0.3">
      <c r="N178" s="437"/>
    </row>
    <row r="179" spans="14:14" ht="18" customHeight="1" x14ac:dyDescent="0.3">
      <c r="N179" s="437"/>
    </row>
    <row r="180" spans="14:14" ht="18" customHeight="1" x14ac:dyDescent="0.3">
      <c r="N180" s="437"/>
    </row>
    <row r="181" spans="14:14" ht="18" customHeight="1" x14ac:dyDescent="0.3">
      <c r="N181" s="437"/>
    </row>
    <row r="182" spans="14:14" ht="18" customHeight="1" x14ac:dyDescent="0.3">
      <c r="N182" s="437"/>
    </row>
    <row r="183" spans="14:14" ht="18" customHeight="1" x14ac:dyDescent="0.3">
      <c r="N183" s="437"/>
    </row>
    <row r="184" spans="14:14" ht="18" customHeight="1" x14ac:dyDescent="0.3">
      <c r="N184" s="437"/>
    </row>
    <row r="185" spans="14:14" ht="18" customHeight="1" x14ac:dyDescent="0.3">
      <c r="N185" s="437"/>
    </row>
    <row r="186" spans="14:14" ht="18" customHeight="1" x14ac:dyDescent="0.3">
      <c r="N186" s="437"/>
    </row>
    <row r="187" spans="14:14" ht="18" customHeight="1" x14ac:dyDescent="0.3">
      <c r="N187" s="437"/>
    </row>
    <row r="188" spans="14:14" ht="18" customHeight="1" x14ac:dyDescent="0.3">
      <c r="N188" s="437"/>
    </row>
    <row r="189" spans="14:14" ht="18" customHeight="1" x14ac:dyDescent="0.3">
      <c r="N189" s="437"/>
    </row>
    <row r="190" spans="14:14" ht="18" customHeight="1" x14ac:dyDescent="0.3">
      <c r="N190" s="437"/>
    </row>
    <row r="191" spans="14:14" ht="18" customHeight="1" x14ac:dyDescent="0.3">
      <c r="N191" s="437"/>
    </row>
    <row r="192" spans="14:14" ht="18" customHeight="1" x14ac:dyDescent="0.3">
      <c r="N192" s="437"/>
    </row>
    <row r="193" spans="14:14" ht="18" customHeight="1" x14ac:dyDescent="0.3">
      <c r="N193" s="437"/>
    </row>
    <row r="194" spans="14:14" ht="18" customHeight="1" x14ac:dyDescent="0.3">
      <c r="N194" s="437"/>
    </row>
    <row r="195" spans="14:14" ht="18" customHeight="1" x14ac:dyDescent="0.3">
      <c r="N195" s="437"/>
    </row>
    <row r="196" spans="14:14" ht="18" customHeight="1" x14ac:dyDescent="0.3">
      <c r="N196" s="437"/>
    </row>
    <row r="197" spans="14:14" ht="18" customHeight="1" x14ac:dyDescent="0.3">
      <c r="N197" s="437"/>
    </row>
    <row r="198" spans="14:14" ht="18" customHeight="1" x14ac:dyDescent="0.3">
      <c r="N198" s="437"/>
    </row>
    <row r="199" spans="14:14" ht="18" customHeight="1" x14ac:dyDescent="0.3">
      <c r="N199" s="437"/>
    </row>
    <row r="200" spans="14:14" ht="18" customHeight="1" x14ac:dyDescent="0.3">
      <c r="N200" s="437"/>
    </row>
    <row r="201" spans="14:14" ht="18" customHeight="1" x14ac:dyDescent="0.3">
      <c r="N201" s="437"/>
    </row>
    <row r="202" spans="14:14" ht="18" customHeight="1" x14ac:dyDescent="0.3">
      <c r="N202" s="437"/>
    </row>
    <row r="203" spans="14:14" ht="18" customHeight="1" x14ac:dyDescent="0.3">
      <c r="N203" s="437"/>
    </row>
    <row r="204" spans="14:14" ht="18" customHeight="1" x14ac:dyDescent="0.3">
      <c r="N204" s="437"/>
    </row>
    <row r="205" spans="14:14" ht="18" customHeight="1" x14ac:dyDescent="0.3">
      <c r="N205" s="437"/>
    </row>
    <row r="206" spans="14:14" ht="18" customHeight="1" x14ac:dyDescent="0.3">
      <c r="N206" s="437"/>
    </row>
    <row r="207" spans="14:14" ht="18" customHeight="1" x14ac:dyDescent="0.3">
      <c r="N207" s="437"/>
    </row>
    <row r="208" spans="14:14" ht="18" customHeight="1" x14ac:dyDescent="0.3">
      <c r="N208" s="437"/>
    </row>
    <row r="209" spans="14:14" ht="18" customHeight="1" x14ac:dyDescent="0.3">
      <c r="N209" s="437"/>
    </row>
    <row r="210" spans="14:14" ht="18" customHeight="1" x14ac:dyDescent="0.3">
      <c r="N210" s="437"/>
    </row>
    <row r="211" spans="14:14" ht="18" customHeight="1" x14ac:dyDescent="0.3">
      <c r="N211" s="437"/>
    </row>
    <row r="212" spans="14:14" ht="18" customHeight="1" x14ac:dyDescent="0.3">
      <c r="N212" s="437"/>
    </row>
    <row r="213" spans="14:14" ht="18" customHeight="1" x14ac:dyDescent="0.3">
      <c r="N213" s="437"/>
    </row>
    <row r="214" spans="14:14" ht="18" customHeight="1" x14ac:dyDescent="0.3">
      <c r="N214" s="437"/>
    </row>
    <row r="215" spans="14:14" ht="18" customHeight="1" x14ac:dyDescent="0.3">
      <c r="N215" s="437"/>
    </row>
    <row r="216" spans="14:14" ht="18" customHeight="1" x14ac:dyDescent="0.3">
      <c r="N216" s="437"/>
    </row>
    <row r="217" spans="14:14" ht="18" customHeight="1" x14ac:dyDescent="0.3">
      <c r="N217" s="437"/>
    </row>
    <row r="218" spans="14:14" ht="18" customHeight="1" x14ac:dyDescent="0.3">
      <c r="N218" s="437"/>
    </row>
    <row r="219" spans="14:14" ht="18" customHeight="1" x14ac:dyDescent="0.3">
      <c r="N219" s="437"/>
    </row>
    <row r="220" spans="14:14" ht="18" customHeight="1" x14ac:dyDescent="0.3">
      <c r="N220" s="437"/>
    </row>
    <row r="221" spans="14:14" ht="18" customHeight="1" x14ac:dyDescent="0.3">
      <c r="N221" s="437"/>
    </row>
    <row r="222" spans="14:14" ht="18" customHeight="1" x14ac:dyDescent="0.3">
      <c r="N222" s="437"/>
    </row>
    <row r="223" spans="14:14" ht="18" customHeight="1" x14ac:dyDescent="0.3">
      <c r="N223" s="437"/>
    </row>
    <row r="224" spans="14:14" ht="18" customHeight="1" x14ac:dyDescent="0.3">
      <c r="N224" s="437"/>
    </row>
    <row r="225" spans="14:14" ht="18" customHeight="1" x14ac:dyDescent="0.3">
      <c r="N225" s="437"/>
    </row>
    <row r="226" spans="14:14" ht="18" customHeight="1" x14ac:dyDescent="0.3">
      <c r="N226" s="437"/>
    </row>
    <row r="227" spans="14:14" ht="18" customHeight="1" x14ac:dyDescent="0.3">
      <c r="N227" s="437"/>
    </row>
    <row r="228" spans="14:14" ht="18" customHeight="1" x14ac:dyDescent="0.3">
      <c r="N228" s="437"/>
    </row>
    <row r="229" spans="14:14" ht="18" customHeight="1" x14ac:dyDescent="0.3">
      <c r="N229" s="437"/>
    </row>
    <row r="230" spans="14:14" ht="18" customHeight="1" x14ac:dyDescent="0.3">
      <c r="N230" s="437"/>
    </row>
    <row r="231" spans="14:14" ht="18" customHeight="1" x14ac:dyDescent="0.3">
      <c r="N231" s="437"/>
    </row>
    <row r="232" spans="14:14" ht="18" customHeight="1" x14ac:dyDescent="0.3">
      <c r="N232" s="437"/>
    </row>
    <row r="233" spans="14:14" ht="18" customHeight="1" x14ac:dyDescent="0.3">
      <c r="N233" s="437"/>
    </row>
    <row r="234" spans="14:14" ht="18" customHeight="1" x14ac:dyDescent="0.3">
      <c r="N234" s="437"/>
    </row>
    <row r="235" spans="14:14" ht="18" customHeight="1" x14ac:dyDescent="0.3">
      <c r="N235" s="437"/>
    </row>
    <row r="236" spans="14:14" ht="18" customHeight="1" x14ac:dyDescent="0.3">
      <c r="N236" s="437"/>
    </row>
    <row r="237" spans="14:14" ht="18" customHeight="1" x14ac:dyDescent="0.3">
      <c r="N237" s="437"/>
    </row>
    <row r="238" spans="14:14" ht="18" customHeight="1" x14ac:dyDescent="0.3">
      <c r="N238" s="437"/>
    </row>
    <row r="239" spans="14:14" ht="18" customHeight="1" x14ac:dyDescent="0.3">
      <c r="N239" s="437"/>
    </row>
    <row r="240" spans="14:14" ht="18" customHeight="1" x14ac:dyDescent="0.3">
      <c r="N240" s="437"/>
    </row>
    <row r="241" spans="14:14" ht="18" customHeight="1" x14ac:dyDescent="0.3">
      <c r="N241" s="437"/>
    </row>
    <row r="242" spans="14:14" ht="18" customHeight="1" x14ac:dyDescent="0.3">
      <c r="N242" s="437"/>
    </row>
    <row r="243" spans="14:14" ht="18" customHeight="1" x14ac:dyDescent="0.3">
      <c r="N243" s="437"/>
    </row>
    <row r="244" spans="14:14" ht="18" customHeight="1" x14ac:dyDescent="0.3">
      <c r="N244" s="437"/>
    </row>
    <row r="245" spans="14:14" ht="18" customHeight="1" x14ac:dyDescent="0.3">
      <c r="N245" s="437"/>
    </row>
    <row r="246" spans="14:14" ht="18" customHeight="1" x14ac:dyDescent="0.3">
      <c r="N246" s="437"/>
    </row>
    <row r="247" spans="14:14" ht="18" customHeight="1" x14ac:dyDescent="0.3">
      <c r="N247" s="437"/>
    </row>
    <row r="248" spans="14:14" ht="18" customHeight="1" x14ac:dyDescent="0.3">
      <c r="N248" s="437"/>
    </row>
    <row r="249" spans="14:14" ht="18" customHeight="1" x14ac:dyDescent="0.3">
      <c r="N249" s="437"/>
    </row>
    <row r="250" spans="14:14" ht="18" customHeight="1" x14ac:dyDescent="0.3">
      <c r="N250" s="437"/>
    </row>
    <row r="251" spans="14:14" ht="18" customHeight="1" x14ac:dyDescent="0.3">
      <c r="N251" s="437"/>
    </row>
    <row r="252" spans="14:14" ht="18" customHeight="1" x14ac:dyDescent="0.3">
      <c r="N252" s="437"/>
    </row>
    <row r="253" spans="14:14" ht="18" customHeight="1" x14ac:dyDescent="0.3">
      <c r="N253" s="437"/>
    </row>
    <row r="254" spans="14:14" ht="18" customHeight="1" x14ac:dyDescent="0.3">
      <c r="N254" s="437"/>
    </row>
    <row r="255" spans="14:14" ht="18" customHeight="1" x14ac:dyDescent="0.3">
      <c r="N255" s="437"/>
    </row>
    <row r="256" spans="14:14" ht="18" customHeight="1" x14ac:dyDescent="0.3">
      <c r="N256" s="437"/>
    </row>
    <row r="257" spans="14:14" ht="18" customHeight="1" x14ac:dyDescent="0.3">
      <c r="N257" s="437"/>
    </row>
    <row r="258" spans="14:14" ht="18" customHeight="1" x14ac:dyDescent="0.3">
      <c r="N258" s="437"/>
    </row>
    <row r="259" spans="14:14" ht="18" customHeight="1" x14ac:dyDescent="0.3">
      <c r="N259" s="437"/>
    </row>
    <row r="260" spans="14:14" ht="18" customHeight="1" x14ac:dyDescent="0.3">
      <c r="N260" s="437"/>
    </row>
    <row r="261" spans="14:14" ht="18" customHeight="1" x14ac:dyDescent="0.3">
      <c r="N261" s="437"/>
    </row>
    <row r="262" spans="14:14" ht="18" customHeight="1" x14ac:dyDescent="0.3">
      <c r="N262" s="437"/>
    </row>
    <row r="263" spans="14:14" ht="18" customHeight="1" x14ac:dyDescent="0.3">
      <c r="N263" s="437"/>
    </row>
    <row r="264" spans="14:14" ht="18" customHeight="1" x14ac:dyDescent="0.3">
      <c r="N264" s="437"/>
    </row>
    <row r="265" spans="14:14" ht="18" customHeight="1" x14ac:dyDescent="0.3">
      <c r="N265" s="437"/>
    </row>
    <row r="266" spans="14:14" ht="18" customHeight="1" x14ac:dyDescent="0.3">
      <c r="N266" s="437"/>
    </row>
    <row r="267" spans="14:14" ht="18" customHeight="1" x14ac:dyDescent="0.3">
      <c r="N267" s="437"/>
    </row>
    <row r="268" spans="14:14" ht="18" customHeight="1" x14ac:dyDescent="0.3">
      <c r="N268" s="437"/>
    </row>
    <row r="269" spans="14:14" ht="18" customHeight="1" x14ac:dyDescent="0.3">
      <c r="N269" s="437"/>
    </row>
    <row r="270" spans="14:14" ht="18" customHeight="1" x14ac:dyDescent="0.3">
      <c r="N270" s="437"/>
    </row>
    <row r="271" spans="14:14" ht="18" customHeight="1" x14ac:dyDescent="0.3">
      <c r="N271" s="437"/>
    </row>
    <row r="272" spans="14:14" ht="18" customHeight="1" x14ac:dyDescent="0.3">
      <c r="N272" s="437"/>
    </row>
    <row r="273" spans="14:14" ht="18" customHeight="1" x14ac:dyDescent="0.3">
      <c r="N273" s="437"/>
    </row>
    <row r="274" spans="14:14" ht="18" customHeight="1" x14ac:dyDescent="0.3">
      <c r="N274" s="437"/>
    </row>
    <row r="275" spans="14:14" ht="18" customHeight="1" x14ac:dyDescent="0.3">
      <c r="N275" s="437"/>
    </row>
    <row r="276" spans="14:14" ht="18" customHeight="1" x14ac:dyDescent="0.3">
      <c r="N276" s="437"/>
    </row>
    <row r="277" spans="14:14" ht="18" customHeight="1" x14ac:dyDescent="0.3">
      <c r="N277" s="437"/>
    </row>
    <row r="278" spans="14:14" ht="18" customHeight="1" x14ac:dyDescent="0.3">
      <c r="N278" s="437"/>
    </row>
    <row r="279" spans="14:14" ht="18" customHeight="1" x14ac:dyDescent="0.3">
      <c r="N279" s="437"/>
    </row>
    <row r="280" spans="14:14" ht="18" customHeight="1" x14ac:dyDescent="0.3">
      <c r="N280" s="437"/>
    </row>
    <row r="281" spans="14:14" ht="18" customHeight="1" x14ac:dyDescent="0.3">
      <c r="N281" s="437"/>
    </row>
    <row r="282" spans="14:14" ht="18" customHeight="1" x14ac:dyDescent="0.3">
      <c r="N282" s="437"/>
    </row>
    <row r="283" spans="14:14" ht="18" customHeight="1" x14ac:dyDescent="0.3">
      <c r="N283" s="437"/>
    </row>
    <row r="284" spans="14:14" ht="18" customHeight="1" x14ac:dyDescent="0.3">
      <c r="N284" s="437"/>
    </row>
    <row r="285" spans="14:14" ht="18" customHeight="1" x14ac:dyDescent="0.3">
      <c r="N285" s="437"/>
    </row>
    <row r="286" spans="14:14" ht="18" customHeight="1" x14ac:dyDescent="0.3">
      <c r="N286" s="437"/>
    </row>
    <row r="287" spans="14:14" ht="18" customHeight="1" x14ac:dyDescent="0.3">
      <c r="N287" s="437"/>
    </row>
    <row r="288" spans="14:14" ht="18" customHeight="1" x14ac:dyDescent="0.3">
      <c r="N288" s="437"/>
    </row>
    <row r="289" spans="14:14" ht="18" customHeight="1" x14ac:dyDescent="0.3">
      <c r="N289" s="437"/>
    </row>
    <row r="290" spans="14:14" ht="18" customHeight="1" x14ac:dyDescent="0.3">
      <c r="N290" s="437"/>
    </row>
    <row r="291" spans="14:14" ht="18" customHeight="1" x14ac:dyDescent="0.3">
      <c r="N291" s="437"/>
    </row>
    <row r="292" spans="14:14" ht="18" customHeight="1" x14ac:dyDescent="0.3">
      <c r="N292" s="437"/>
    </row>
    <row r="293" spans="14:14" ht="18" customHeight="1" x14ac:dyDescent="0.3">
      <c r="N293" s="437"/>
    </row>
    <row r="294" spans="14:14" ht="18" customHeight="1" x14ac:dyDescent="0.3">
      <c r="N294" s="437"/>
    </row>
    <row r="295" spans="14:14" ht="18" customHeight="1" x14ac:dyDescent="0.3">
      <c r="N295" s="437"/>
    </row>
    <row r="296" spans="14:14" ht="18" customHeight="1" x14ac:dyDescent="0.3">
      <c r="N296" s="437"/>
    </row>
    <row r="297" spans="14:14" ht="18" customHeight="1" x14ac:dyDescent="0.3">
      <c r="N297" s="437"/>
    </row>
    <row r="298" spans="14:14" ht="18" customHeight="1" x14ac:dyDescent="0.3">
      <c r="N298" s="437"/>
    </row>
    <row r="299" spans="14:14" ht="18" customHeight="1" x14ac:dyDescent="0.3">
      <c r="N299" s="437"/>
    </row>
    <row r="300" spans="14:14" ht="18" customHeight="1" x14ac:dyDescent="0.3">
      <c r="N300" s="437"/>
    </row>
  </sheetData>
  <mergeCells count="369">
    <mergeCell ref="B1:N2"/>
    <mergeCell ref="C3:D3"/>
    <mergeCell ref="E3:F3"/>
    <mergeCell ref="G3:J3"/>
    <mergeCell ref="K3:L3"/>
    <mergeCell ref="C4:D4"/>
    <mergeCell ref="E4:F4"/>
    <mergeCell ref="G4:J4"/>
    <mergeCell ref="K4:L4"/>
    <mergeCell ref="C5:D5"/>
    <mergeCell ref="E5:F5"/>
    <mergeCell ref="G5:J5"/>
    <mergeCell ref="K5:L5"/>
    <mergeCell ref="C6:D6"/>
    <mergeCell ref="E6:F6"/>
    <mergeCell ref="G6:J6"/>
    <mergeCell ref="K6:L6"/>
    <mergeCell ref="C7:D7"/>
    <mergeCell ref="E7:F7"/>
    <mergeCell ref="G7:J7"/>
    <mergeCell ref="K7:L7"/>
    <mergeCell ref="C8:D8"/>
    <mergeCell ref="E8:F8"/>
    <mergeCell ref="G8:J8"/>
    <mergeCell ref="K8:L8"/>
    <mergeCell ref="C9:D9"/>
    <mergeCell ref="E9:F9"/>
    <mergeCell ref="G9:J9"/>
    <mergeCell ref="K9:L9"/>
    <mergeCell ref="C10:D10"/>
    <mergeCell ref="E10:F10"/>
    <mergeCell ref="G10:J10"/>
    <mergeCell ref="K10:L10"/>
    <mergeCell ref="C11:D11"/>
    <mergeCell ref="E11:F11"/>
    <mergeCell ref="G11:J11"/>
    <mergeCell ref="K11:L11"/>
    <mergeCell ref="C12:D12"/>
    <mergeCell ref="E12:F12"/>
    <mergeCell ref="G12:J12"/>
    <mergeCell ref="K12:L12"/>
    <mergeCell ref="C13:D13"/>
    <mergeCell ref="E13:F13"/>
    <mergeCell ref="G13:J13"/>
    <mergeCell ref="K13:L13"/>
    <mergeCell ref="C14:D14"/>
    <mergeCell ref="E14:F14"/>
    <mergeCell ref="G14:J14"/>
    <mergeCell ref="K14:L14"/>
    <mergeCell ref="C15:D15"/>
    <mergeCell ref="E15:F15"/>
    <mergeCell ref="G15:J15"/>
    <mergeCell ref="K15:L15"/>
    <mergeCell ref="C16:D16"/>
    <mergeCell ref="E16:F16"/>
    <mergeCell ref="G16:J16"/>
    <mergeCell ref="K16:L16"/>
    <mergeCell ref="C17:D17"/>
    <mergeCell ref="E17:F17"/>
    <mergeCell ref="G17:J17"/>
    <mergeCell ref="K17:L17"/>
    <mergeCell ref="C18:D18"/>
    <mergeCell ref="E18:F18"/>
    <mergeCell ref="G18:J18"/>
    <mergeCell ref="K18:L18"/>
    <mergeCell ref="C19:D19"/>
    <mergeCell ref="E19:F19"/>
    <mergeCell ref="G19:J19"/>
    <mergeCell ref="K19:L19"/>
    <mergeCell ref="C20:D20"/>
    <mergeCell ref="E20:F20"/>
    <mergeCell ref="G20:J20"/>
    <mergeCell ref="K20:L20"/>
    <mergeCell ref="C21:D21"/>
    <mergeCell ref="E21:F21"/>
    <mergeCell ref="G21:J21"/>
    <mergeCell ref="K21:L21"/>
    <mergeCell ref="C22:D22"/>
    <mergeCell ref="E22:F22"/>
    <mergeCell ref="G22:J22"/>
    <mergeCell ref="K22:L22"/>
    <mergeCell ref="C23:D23"/>
    <mergeCell ref="E23:F23"/>
    <mergeCell ref="G23:J23"/>
    <mergeCell ref="K23:L23"/>
    <mergeCell ref="C24:D24"/>
    <mergeCell ref="E24:F24"/>
    <mergeCell ref="G24:J24"/>
    <mergeCell ref="K24:L24"/>
    <mergeCell ref="C25:D25"/>
    <mergeCell ref="E25:F25"/>
    <mergeCell ref="G25:J25"/>
    <mergeCell ref="K25:L25"/>
    <mergeCell ref="C26:D26"/>
    <mergeCell ref="E26:F26"/>
    <mergeCell ref="G26:J26"/>
    <mergeCell ref="K26:L26"/>
    <mergeCell ref="C27:D27"/>
    <mergeCell ref="E27:F27"/>
    <mergeCell ref="G27:J27"/>
    <mergeCell ref="K27:L27"/>
    <mergeCell ref="C28:D28"/>
    <mergeCell ref="E28:F28"/>
    <mergeCell ref="G28:J28"/>
    <mergeCell ref="K28:L28"/>
    <mergeCell ref="C29:D29"/>
    <mergeCell ref="E29:F29"/>
    <mergeCell ref="G29:J29"/>
    <mergeCell ref="K29:L29"/>
    <mergeCell ref="C30:D30"/>
    <mergeCell ref="E30:F30"/>
    <mergeCell ref="G30:J30"/>
    <mergeCell ref="K30:L30"/>
    <mergeCell ref="C31:D31"/>
    <mergeCell ref="E31:F31"/>
    <mergeCell ref="G31:J31"/>
    <mergeCell ref="K31:L31"/>
    <mergeCell ref="C32:D32"/>
    <mergeCell ref="E32:F32"/>
    <mergeCell ref="G32:J32"/>
    <mergeCell ref="K32:L32"/>
    <mergeCell ref="C33:D33"/>
    <mergeCell ref="E33:F33"/>
    <mergeCell ref="G33:J33"/>
    <mergeCell ref="K33:L33"/>
    <mergeCell ref="C34:D34"/>
    <mergeCell ref="E34:F34"/>
    <mergeCell ref="G34:J34"/>
    <mergeCell ref="K34:L34"/>
    <mergeCell ref="C35:D35"/>
    <mergeCell ref="E35:F35"/>
    <mergeCell ref="G35:J35"/>
    <mergeCell ref="K35:L35"/>
    <mergeCell ref="C36:D36"/>
    <mergeCell ref="E36:F36"/>
    <mergeCell ref="G36:J36"/>
    <mergeCell ref="K36:L36"/>
    <mergeCell ref="C37:D37"/>
    <mergeCell ref="E37:F37"/>
    <mergeCell ref="G37:J37"/>
    <mergeCell ref="K37:L37"/>
    <mergeCell ref="C38:D38"/>
    <mergeCell ref="E38:F38"/>
    <mergeCell ref="G38:J38"/>
    <mergeCell ref="K38:L38"/>
    <mergeCell ref="C39:D39"/>
    <mergeCell ref="E39:F39"/>
    <mergeCell ref="G39:J39"/>
    <mergeCell ref="K39:L39"/>
    <mergeCell ref="C40:D40"/>
    <mergeCell ref="E40:F40"/>
    <mergeCell ref="G40:J40"/>
    <mergeCell ref="K40:L40"/>
    <mergeCell ref="C41:D41"/>
    <mergeCell ref="E41:F41"/>
    <mergeCell ref="G41:J41"/>
    <mergeCell ref="K41:L41"/>
    <mergeCell ref="C42:D42"/>
    <mergeCell ref="E42:F42"/>
    <mergeCell ref="G42:J42"/>
    <mergeCell ref="K42:L42"/>
    <mergeCell ref="C43:D43"/>
    <mergeCell ref="E43:F43"/>
    <mergeCell ref="G43:J43"/>
    <mergeCell ref="K43:L43"/>
    <mergeCell ref="C44:D44"/>
    <mergeCell ref="E44:F44"/>
    <mergeCell ref="G44:J44"/>
    <mergeCell ref="K44:L44"/>
    <mergeCell ref="C45:D45"/>
    <mergeCell ref="E45:F45"/>
    <mergeCell ref="G45:J45"/>
    <mergeCell ref="K45:L45"/>
    <mergeCell ref="C46:D46"/>
    <mergeCell ref="E46:F46"/>
    <mergeCell ref="G46:J46"/>
    <mergeCell ref="K46:L46"/>
    <mergeCell ref="C47:D47"/>
    <mergeCell ref="E47:F47"/>
    <mergeCell ref="G47:J47"/>
    <mergeCell ref="K47:L47"/>
    <mergeCell ref="C48:D48"/>
    <mergeCell ref="E48:F48"/>
    <mergeCell ref="G48:J48"/>
    <mergeCell ref="K48:L48"/>
    <mergeCell ref="C49:D49"/>
    <mergeCell ref="E49:F49"/>
    <mergeCell ref="G49:J49"/>
    <mergeCell ref="K49:L49"/>
    <mergeCell ref="C50:D50"/>
    <mergeCell ref="E50:F50"/>
    <mergeCell ref="G50:J50"/>
    <mergeCell ref="K50:L50"/>
    <mergeCell ref="C51:D51"/>
    <mergeCell ref="E51:F51"/>
    <mergeCell ref="G51:J51"/>
    <mergeCell ref="K51:L51"/>
    <mergeCell ref="C52:D52"/>
    <mergeCell ref="E52:F52"/>
    <mergeCell ref="G52:J52"/>
    <mergeCell ref="K52:L52"/>
    <mergeCell ref="C53:D53"/>
    <mergeCell ref="E53:F53"/>
    <mergeCell ref="G53:J53"/>
    <mergeCell ref="K53:L53"/>
    <mergeCell ref="C54:D54"/>
    <mergeCell ref="E54:F54"/>
    <mergeCell ref="G54:J54"/>
    <mergeCell ref="K54:L54"/>
    <mergeCell ref="C55:D55"/>
    <mergeCell ref="E55:F55"/>
    <mergeCell ref="G55:J55"/>
    <mergeCell ref="K55:L55"/>
    <mergeCell ref="C56:D56"/>
    <mergeCell ref="E56:F56"/>
    <mergeCell ref="G56:J56"/>
    <mergeCell ref="K56:L56"/>
    <mergeCell ref="C57:D57"/>
    <mergeCell ref="E57:F57"/>
    <mergeCell ref="G57:J57"/>
    <mergeCell ref="K57:L57"/>
    <mergeCell ref="C58:D58"/>
    <mergeCell ref="E58:F58"/>
    <mergeCell ref="G58:J58"/>
    <mergeCell ref="K58:L58"/>
    <mergeCell ref="C59:D59"/>
    <mergeCell ref="E59:F59"/>
    <mergeCell ref="G59:J59"/>
    <mergeCell ref="K59:L59"/>
    <mergeCell ref="C60:D60"/>
    <mergeCell ref="E60:F60"/>
    <mergeCell ref="G60:J60"/>
    <mergeCell ref="K60:L60"/>
    <mergeCell ref="C61:D61"/>
    <mergeCell ref="E61:F61"/>
    <mergeCell ref="G61:J61"/>
    <mergeCell ref="K61:L61"/>
    <mergeCell ref="C62:D62"/>
    <mergeCell ref="E62:F62"/>
    <mergeCell ref="G62:J62"/>
    <mergeCell ref="K62:L62"/>
    <mergeCell ref="C63:D63"/>
    <mergeCell ref="E63:F63"/>
    <mergeCell ref="G63:J63"/>
    <mergeCell ref="K63:L63"/>
    <mergeCell ref="C64:D64"/>
    <mergeCell ref="E64:F64"/>
    <mergeCell ref="G64:J64"/>
    <mergeCell ref="K64:L64"/>
    <mergeCell ref="C65:D65"/>
    <mergeCell ref="E65:F65"/>
    <mergeCell ref="G65:J65"/>
    <mergeCell ref="K65:L65"/>
    <mergeCell ref="C66:D66"/>
    <mergeCell ref="E66:F66"/>
    <mergeCell ref="G66:J66"/>
    <mergeCell ref="K66:L66"/>
    <mergeCell ref="C67:D67"/>
    <mergeCell ref="E67:F67"/>
    <mergeCell ref="G67:J67"/>
    <mergeCell ref="K67:L67"/>
    <mergeCell ref="C68:D68"/>
    <mergeCell ref="E68:F68"/>
    <mergeCell ref="G68:J68"/>
    <mergeCell ref="K68:L68"/>
    <mergeCell ref="C69:D69"/>
    <mergeCell ref="E69:F69"/>
    <mergeCell ref="G69:J69"/>
    <mergeCell ref="K69:L69"/>
    <mergeCell ref="C70:D70"/>
    <mergeCell ref="E70:F70"/>
    <mergeCell ref="G70:J70"/>
    <mergeCell ref="K70:L70"/>
    <mergeCell ref="C71:D71"/>
    <mergeCell ref="E71:F71"/>
    <mergeCell ref="G71:J71"/>
    <mergeCell ref="K71:L71"/>
    <mergeCell ref="C72:D72"/>
    <mergeCell ref="E72:F72"/>
    <mergeCell ref="G72:J72"/>
    <mergeCell ref="K72:L72"/>
    <mergeCell ref="C73:D73"/>
    <mergeCell ref="E73:F73"/>
    <mergeCell ref="G73:J73"/>
    <mergeCell ref="K73:L73"/>
    <mergeCell ref="C74:D74"/>
    <mergeCell ref="E74:F74"/>
    <mergeCell ref="G74:J74"/>
    <mergeCell ref="K74:L74"/>
    <mergeCell ref="C75:D75"/>
    <mergeCell ref="E75:F75"/>
    <mergeCell ref="G75:J75"/>
    <mergeCell ref="K75:L75"/>
    <mergeCell ref="C76:D76"/>
    <mergeCell ref="E76:F76"/>
    <mergeCell ref="G76:J76"/>
    <mergeCell ref="K76:L76"/>
    <mergeCell ref="C77:D77"/>
    <mergeCell ref="E77:F77"/>
    <mergeCell ref="G77:J77"/>
    <mergeCell ref="K77:L77"/>
    <mergeCell ref="C78:D78"/>
    <mergeCell ref="E78:F78"/>
    <mergeCell ref="G78:J78"/>
    <mergeCell ref="K78:L78"/>
    <mergeCell ref="C79:D79"/>
    <mergeCell ref="E79:F79"/>
    <mergeCell ref="G79:J79"/>
    <mergeCell ref="K79:L79"/>
    <mergeCell ref="C80:D80"/>
    <mergeCell ref="E80:F80"/>
    <mergeCell ref="G80:J80"/>
    <mergeCell ref="K80:L80"/>
    <mergeCell ref="C81:D81"/>
    <mergeCell ref="E81:F81"/>
    <mergeCell ref="G81:J81"/>
    <mergeCell ref="K81:L81"/>
    <mergeCell ref="C82:D82"/>
    <mergeCell ref="E82:F82"/>
    <mergeCell ref="G82:J82"/>
    <mergeCell ref="K82:L82"/>
    <mergeCell ref="C83:D83"/>
    <mergeCell ref="E83:F83"/>
    <mergeCell ref="G83:J83"/>
    <mergeCell ref="K83:L83"/>
    <mergeCell ref="C84:D84"/>
    <mergeCell ref="E84:F84"/>
    <mergeCell ref="G84:J84"/>
    <mergeCell ref="K84:L84"/>
    <mergeCell ref="C85:D85"/>
    <mergeCell ref="E85:F85"/>
    <mergeCell ref="G85:J85"/>
    <mergeCell ref="K85:L85"/>
    <mergeCell ref="C86:D86"/>
    <mergeCell ref="E86:F86"/>
    <mergeCell ref="G86:J86"/>
    <mergeCell ref="K86:L86"/>
    <mergeCell ref="C87:D87"/>
    <mergeCell ref="E87:F87"/>
    <mergeCell ref="G87:J87"/>
    <mergeCell ref="K87:L87"/>
    <mergeCell ref="C88:D88"/>
    <mergeCell ref="E88:F88"/>
    <mergeCell ref="G88:J88"/>
    <mergeCell ref="K88:L88"/>
    <mergeCell ref="C89:D89"/>
    <mergeCell ref="E89:F89"/>
    <mergeCell ref="G89:J89"/>
    <mergeCell ref="K89:L89"/>
    <mergeCell ref="C90:D90"/>
    <mergeCell ref="E90:F90"/>
    <mergeCell ref="G90:J90"/>
    <mergeCell ref="K90:L90"/>
    <mergeCell ref="C91:D91"/>
    <mergeCell ref="E91:F91"/>
    <mergeCell ref="G91:J91"/>
    <mergeCell ref="K91:L91"/>
    <mergeCell ref="C92:D92"/>
    <mergeCell ref="E92:F92"/>
    <mergeCell ref="G92:J92"/>
    <mergeCell ref="K92:L92"/>
    <mergeCell ref="C93:D93"/>
    <mergeCell ref="E93:F93"/>
    <mergeCell ref="G93:J93"/>
    <mergeCell ref="K93:L93"/>
    <mergeCell ref="C94:D94"/>
    <mergeCell ref="E94:F94"/>
    <mergeCell ref="G94:J94"/>
    <mergeCell ref="K94:L9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2F3A4A"/>
  </sheetPr>
  <dimension ref="A1:M209"/>
  <sheetViews>
    <sheetView showGridLines="0" zoomScale="90" zoomScaleNormal="90" workbookViewId="0">
      <selection activeCell="A29" sqref="A29"/>
    </sheetView>
  </sheetViews>
  <sheetFormatPr defaultColWidth="8.6640625" defaultRowHeight="14.4" x14ac:dyDescent="0.3"/>
  <cols>
    <col min="1" max="1" width="36" customWidth="1"/>
    <col min="2" max="2" width="28" customWidth="1"/>
    <col min="3" max="3" width="14" customWidth="1"/>
    <col min="4" max="4" width="13" customWidth="1"/>
    <col min="5" max="5" width="10" customWidth="1"/>
    <col min="6" max="8" width="13" customWidth="1"/>
    <col min="9" max="9" width="16.6640625" customWidth="1"/>
    <col min="10" max="13" width="12" hidden="1" customWidth="1"/>
  </cols>
  <sheetData>
    <row r="1" spans="1:13" ht="21.75" customHeight="1" x14ac:dyDescent="0.3">
      <c r="A1" s="609" t="s">
        <v>197</v>
      </c>
      <c r="B1" s="609"/>
      <c r="C1" s="609"/>
      <c r="D1" s="609"/>
      <c r="E1" s="609"/>
      <c r="F1" s="609"/>
      <c r="G1" s="609"/>
      <c r="H1" s="609"/>
      <c r="I1" s="609"/>
      <c r="J1" t="s">
        <v>198</v>
      </c>
      <c r="K1" t="s">
        <v>199</v>
      </c>
      <c r="L1" t="s">
        <v>200</v>
      </c>
      <c r="M1" t="s">
        <v>201</v>
      </c>
    </row>
    <row r="2" spans="1:13" ht="18" customHeight="1" x14ac:dyDescent="0.3">
      <c r="A2" s="610" t="s">
        <v>202</v>
      </c>
      <c r="B2" s="610"/>
      <c r="C2" s="610"/>
      <c r="D2" s="610"/>
      <c r="E2" s="610"/>
      <c r="F2" s="610"/>
      <c r="G2" s="610" t="s">
        <v>203</v>
      </c>
      <c r="H2" s="610"/>
      <c r="I2" s="610"/>
    </row>
    <row r="3" spans="1:13" ht="15" customHeight="1" x14ac:dyDescent="0.3">
      <c r="A3" s="30">
        <v>46266</v>
      </c>
      <c r="B3" s="186" t="s">
        <v>78</v>
      </c>
      <c r="C3" s="187" t="s">
        <v>205</v>
      </c>
      <c r="D3" s="188" t="s">
        <v>206</v>
      </c>
      <c r="E3" s="188" t="s">
        <v>207</v>
      </c>
      <c r="F3" s="189" t="s">
        <v>208</v>
      </c>
      <c r="G3" s="188" t="s">
        <v>209</v>
      </c>
      <c r="H3" s="188" t="s">
        <v>210</v>
      </c>
      <c r="I3" s="188" t="s">
        <v>211</v>
      </c>
    </row>
    <row r="4" spans="1:13" ht="21" customHeight="1" x14ac:dyDescent="0.3">
      <c r="A4" s="190"/>
      <c r="B4" s="191"/>
      <c r="C4" s="192"/>
      <c r="D4" s="193"/>
      <c r="E4" s="194" t="s">
        <v>214</v>
      </c>
      <c r="F4" s="195" t="str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196" t="str">
        <f>IFERROR(ROUNDUP(D4/F4,0),"")</f>
        <v/>
      </c>
      <c r="H4" s="197"/>
      <c r="I4" s="193" t="str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</row>
    <row r="5" spans="1:13" ht="21" customHeight="1" x14ac:dyDescent="0.3">
      <c r="A5" s="190"/>
      <c r="B5" s="191"/>
      <c r="C5" s="192"/>
      <c r="D5" s="193"/>
      <c r="E5" s="194" t="s">
        <v>214</v>
      </c>
      <c r="F5" s="195" t="str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196" t="str">
        <f>IFERROR(ROUNDUP(D5/F5,0),"")</f>
        <v/>
      </c>
      <c r="H5" s="197"/>
      <c r="I5" s="193" t="str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</row>
    <row r="6" spans="1:13" ht="21" customHeight="1" x14ac:dyDescent="0.3">
      <c r="A6" s="190"/>
      <c r="B6" s="191"/>
      <c r="C6" s="192"/>
      <c r="D6" s="193"/>
      <c r="E6" s="194" t="s">
        <v>214</v>
      </c>
      <c r="F6" s="195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196" t="str">
        <f>IFERROR(ROUNDUP(D6/F6,0),"")</f>
        <v/>
      </c>
      <c r="H6" s="197"/>
      <c r="I6" s="193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</row>
    <row r="7" spans="1:13" ht="21" customHeight="1" x14ac:dyDescent="0.3">
      <c r="A7" s="190"/>
      <c r="B7" s="191"/>
      <c r="C7" s="192"/>
      <c r="D7" s="193"/>
      <c r="E7" s="194" t="s">
        <v>214</v>
      </c>
      <c r="F7" s="195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196" t="str">
        <f>IFERROR(ROUNDUP(D7/F7,0),"")</f>
        <v/>
      </c>
      <c r="H7" s="197"/>
      <c r="I7" s="193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</row>
    <row r="8" spans="1:13" ht="21" customHeight="1" x14ac:dyDescent="0.3">
      <c r="A8" s="190"/>
      <c r="B8" s="191"/>
      <c r="C8" s="192"/>
      <c r="D8" s="193"/>
      <c r="E8" s="194" t="s">
        <v>214</v>
      </c>
      <c r="F8" s="195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196" t="str">
        <f>IFERROR(ROUNDUP(D8/F8,0),"")</f>
        <v/>
      </c>
      <c r="H8" s="197"/>
      <c r="I8" s="193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</row>
    <row r="9" spans="1:13" ht="15" customHeight="1" x14ac:dyDescent="0.3">
      <c r="A9" s="198"/>
      <c r="B9" s="199" t="s">
        <v>216</v>
      </c>
      <c r="C9" s="200"/>
      <c r="D9" s="201">
        <f>SUM(D2:D8)</f>
        <v>0</v>
      </c>
      <c r="E9" s="202"/>
      <c r="F9" s="202"/>
      <c r="G9" s="203">
        <f>SUM(G2:G8)</f>
        <v>0</v>
      </c>
      <c r="H9" s="201">
        <f>SUM(H2:H8)</f>
        <v>0</v>
      </c>
      <c r="I9" s="201">
        <f>SUM(I2:I8)</f>
        <v>0</v>
      </c>
      <c r="J9" s="28">
        <f>D9</f>
        <v>0</v>
      </c>
      <c r="K9" s="106">
        <f>G9</f>
        <v>0</v>
      </c>
      <c r="L9" s="28">
        <f>H9</f>
        <v>0</v>
      </c>
      <c r="M9" s="28">
        <f>I9</f>
        <v>0</v>
      </c>
    </row>
    <row r="10" spans="1:13" ht="6" customHeight="1" x14ac:dyDescent="0.3">
      <c r="C10" s="72"/>
    </row>
    <row r="11" spans="1:13" ht="15" customHeight="1" x14ac:dyDescent="0.3">
      <c r="A11" s="30">
        <v>46267</v>
      </c>
      <c r="B11" s="186" t="s">
        <v>78</v>
      </c>
      <c r="C11" s="187" t="s">
        <v>205</v>
      </c>
      <c r="D11" s="188" t="s">
        <v>206</v>
      </c>
      <c r="E11" s="188" t="s">
        <v>207</v>
      </c>
      <c r="F11" s="189" t="s">
        <v>208</v>
      </c>
      <c r="G11" s="188" t="s">
        <v>209</v>
      </c>
      <c r="H11" s="188" t="s">
        <v>210</v>
      </c>
      <c r="I11" s="188" t="s">
        <v>211</v>
      </c>
    </row>
    <row r="12" spans="1:13" ht="21" customHeight="1" x14ac:dyDescent="0.3">
      <c r="A12" s="190"/>
      <c r="B12" s="191"/>
      <c r="C12" s="192"/>
      <c r="D12" s="193"/>
      <c r="E12" s="194" t="s">
        <v>214</v>
      </c>
      <c r="F12" s="195" t="str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196" t="str">
        <f>IFERROR(ROUNDUP(D12/F12,0),"")</f>
        <v/>
      </c>
      <c r="H12" s="197"/>
      <c r="I12" s="193" t="str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</row>
    <row r="13" spans="1:13" ht="21" customHeight="1" x14ac:dyDescent="0.3">
      <c r="A13" s="190"/>
      <c r="B13" s="191"/>
      <c r="C13" s="192"/>
      <c r="D13" s="193"/>
      <c r="E13" s="194" t="s">
        <v>214</v>
      </c>
      <c r="F13" s="195" t="str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196" t="str">
        <f>IFERROR(ROUNDUP(D13/F13,0),"")</f>
        <v/>
      </c>
      <c r="H13" s="197"/>
      <c r="I13" s="193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21" customHeight="1" x14ac:dyDescent="0.3">
      <c r="A14" s="190"/>
      <c r="B14" s="191"/>
      <c r="C14" s="192"/>
      <c r="D14" s="193"/>
      <c r="E14" s="194" t="s">
        <v>214</v>
      </c>
      <c r="F14" s="195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196" t="str">
        <f>IFERROR(ROUNDUP(D14/F14,0),"")</f>
        <v/>
      </c>
      <c r="H14" s="197"/>
      <c r="I14" s="193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</row>
    <row r="15" spans="1:13" ht="21" customHeight="1" x14ac:dyDescent="0.3">
      <c r="A15" s="190"/>
      <c r="B15" s="191"/>
      <c r="C15" s="192"/>
      <c r="D15" s="193"/>
      <c r="E15" s="194" t="s">
        <v>214</v>
      </c>
      <c r="F15" s="195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196" t="str">
        <f>IFERROR(ROUNDUP(D15/F15,0),"")</f>
        <v/>
      </c>
      <c r="H15" s="197"/>
      <c r="I15" s="193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3">
      <c r="A16" s="190"/>
      <c r="B16" s="191"/>
      <c r="C16" s="192"/>
      <c r="D16" s="193"/>
      <c r="E16" s="194" t="s">
        <v>214</v>
      </c>
      <c r="F16" s="195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196" t="str">
        <f>IFERROR(ROUNDUP(D16/F16,0),"")</f>
        <v/>
      </c>
      <c r="H16" s="197"/>
      <c r="I16" s="193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15" customHeight="1" x14ac:dyDescent="0.3">
      <c r="A17" s="198"/>
      <c r="B17" s="199" t="s">
        <v>216</v>
      </c>
      <c r="C17" s="200"/>
      <c r="D17" s="201">
        <f>SUM(D10:D16)</f>
        <v>0</v>
      </c>
      <c r="E17" s="202"/>
      <c r="F17" s="202"/>
      <c r="G17" s="203">
        <f>SUM(G10:G16)</f>
        <v>0</v>
      </c>
      <c r="H17" s="201">
        <f>SUM(H10:H16)</f>
        <v>0</v>
      </c>
      <c r="I17" s="201">
        <f>SUM(I10:I16)</f>
        <v>0</v>
      </c>
      <c r="J17" s="28">
        <f>D17</f>
        <v>0</v>
      </c>
      <c r="K17" s="106">
        <f>G17</f>
        <v>0</v>
      </c>
      <c r="L17" s="28">
        <f>H17</f>
        <v>0</v>
      </c>
      <c r="M17" s="28">
        <f>I17</f>
        <v>0</v>
      </c>
    </row>
    <row r="18" spans="1:13" ht="6" customHeight="1" x14ac:dyDescent="0.3">
      <c r="C18" s="72"/>
    </row>
    <row r="19" spans="1:13" ht="15" customHeight="1" x14ac:dyDescent="0.3">
      <c r="A19" s="30">
        <v>46268</v>
      </c>
      <c r="B19" s="186" t="s">
        <v>78</v>
      </c>
      <c r="C19" s="187" t="s">
        <v>205</v>
      </c>
      <c r="D19" s="188" t="s">
        <v>206</v>
      </c>
      <c r="E19" s="188" t="s">
        <v>207</v>
      </c>
      <c r="F19" s="189" t="s">
        <v>208</v>
      </c>
      <c r="G19" s="188" t="s">
        <v>209</v>
      </c>
      <c r="H19" s="188" t="s">
        <v>210</v>
      </c>
      <c r="I19" s="188" t="s">
        <v>211</v>
      </c>
    </row>
    <row r="20" spans="1:13" ht="21" customHeight="1" x14ac:dyDescent="0.3">
      <c r="A20" s="190"/>
      <c r="B20" s="191"/>
      <c r="C20" s="192"/>
      <c r="D20" s="193"/>
      <c r="E20" s="194" t="s">
        <v>214</v>
      </c>
      <c r="F20" s="195" t="str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196" t="str">
        <f>IFERROR(ROUNDUP(D20/F20,0),"")</f>
        <v/>
      </c>
      <c r="H20" s="197"/>
      <c r="I20" s="193" t="str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</row>
    <row r="21" spans="1:13" ht="21" customHeight="1" x14ac:dyDescent="0.3">
      <c r="A21" s="190"/>
      <c r="B21" s="191"/>
      <c r="C21" s="192"/>
      <c r="D21" s="193"/>
      <c r="E21" s="194" t="s">
        <v>214</v>
      </c>
      <c r="F21" s="195" t="str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196" t="str">
        <f>IFERROR(ROUNDUP(D21/F21,0),"")</f>
        <v/>
      </c>
      <c r="H21" s="197"/>
      <c r="I21" s="193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</row>
    <row r="22" spans="1:13" ht="21" customHeight="1" x14ac:dyDescent="0.3">
      <c r="A22" s="190"/>
      <c r="B22" s="191"/>
      <c r="C22" s="192"/>
      <c r="D22" s="193"/>
      <c r="E22" s="194" t="s">
        <v>214</v>
      </c>
      <c r="F22" s="195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196" t="str">
        <f>IFERROR(ROUNDUP(D22/F22,0),"")</f>
        <v/>
      </c>
      <c r="H22" s="197"/>
      <c r="I22" s="193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</row>
    <row r="23" spans="1:13" ht="21" customHeight="1" x14ac:dyDescent="0.3">
      <c r="A23" s="190"/>
      <c r="B23" s="191"/>
      <c r="C23" s="192"/>
      <c r="D23" s="193"/>
      <c r="E23" s="194" t="s">
        <v>214</v>
      </c>
      <c r="F23" s="195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196" t="str">
        <f>IFERROR(ROUNDUP(D23/F23,0),"")</f>
        <v/>
      </c>
      <c r="H23" s="197"/>
      <c r="I23" s="193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</row>
    <row r="24" spans="1:13" ht="21" customHeight="1" x14ac:dyDescent="0.3">
      <c r="A24" s="190"/>
      <c r="B24" s="191"/>
      <c r="C24" s="192"/>
      <c r="D24" s="193"/>
      <c r="E24" s="194" t="s">
        <v>214</v>
      </c>
      <c r="F24" s="195" t="str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196" t="str">
        <f>IFERROR(ROUNDUP(D24/F24,0),"")</f>
        <v/>
      </c>
      <c r="H24" s="197"/>
      <c r="I24" s="193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</row>
    <row r="25" spans="1:13" ht="15" customHeight="1" x14ac:dyDescent="0.3">
      <c r="A25" s="198"/>
      <c r="B25" s="199" t="s">
        <v>216</v>
      </c>
      <c r="C25" s="200"/>
      <c r="D25" s="201">
        <f>SUM(D18:D24)</f>
        <v>0</v>
      </c>
      <c r="E25" s="202"/>
      <c r="F25" s="202"/>
      <c r="G25" s="203">
        <f>SUM(G18:G24)</f>
        <v>0</v>
      </c>
      <c r="H25" s="201">
        <f>SUM(H18:H24)</f>
        <v>0</v>
      </c>
      <c r="I25" s="201">
        <f>SUM(I18:I24)</f>
        <v>0</v>
      </c>
      <c r="J25" s="28">
        <f>D25</f>
        <v>0</v>
      </c>
      <c r="K25" s="106">
        <f>G25</f>
        <v>0</v>
      </c>
      <c r="L25" s="28">
        <f>H25</f>
        <v>0</v>
      </c>
      <c r="M25" s="28">
        <f>I25</f>
        <v>0</v>
      </c>
    </row>
    <row r="26" spans="1:13" ht="6" customHeight="1" x14ac:dyDescent="0.3">
      <c r="C26" s="72"/>
    </row>
    <row r="27" spans="1:13" ht="15" customHeight="1" x14ac:dyDescent="0.3">
      <c r="A27" s="30">
        <v>46269</v>
      </c>
      <c r="B27" s="186" t="s">
        <v>78</v>
      </c>
      <c r="C27" s="187" t="s">
        <v>205</v>
      </c>
      <c r="D27" s="188" t="s">
        <v>206</v>
      </c>
      <c r="E27" s="188" t="s">
        <v>207</v>
      </c>
      <c r="F27" s="189" t="s">
        <v>208</v>
      </c>
      <c r="G27" s="188" t="s">
        <v>209</v>
      </c>
      <c r="H27" s="188" t="s">
        <v>210</v>
      </c>
      <c r="I27" s="188" t="s">
        <v>211</v>
      </c>
    </row>
    <row r="28" spans="1:13" ht="21" customHeight="1" x14ac:dyDescent="0.3">
      <c r="A28" s="190"/>
      <c r="B28" s="191"/>
      <c r="C28" s="192"/>
      <c r="D28" s="193"/>
      <c r="E28" s="194" t="s">
        <v>214</v>
      </c>
      <c r="F28" s="195" t="str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196" t="str">
        <f>IFERROR(ROUNDUP(D28/F28,0),"")</f>
        <v/>
      </c>
      <c r="H28" s="197"/>
      <c r="I28" s="193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</row>
    <row r="29" spans="1:13" ht="21" customHeight="1" x14ac:dyDescent="0.3">
      <c r="A29" s="190"/>
      <c r="B29" s="191"/>
      <c r="C29" s="192"/>
      <c r="D29" s="193"/>
      <c r="E29" s="194" t="s">
        <v>214</v>
      </c>
      <c r="F29" s="195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196" t="str">
        <f>IFERROR(ROUNDUP(D29/F29,0),"")</f>
        <v/>
      </c>
      <c r="H29" s="197"/>
      <c r="I29" s="193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</row>
    <row r="30" spans="1:13" ht="21" customHeight="1" x14ac:dyDescent="0.3">
      <c r="A30" s="190"/>
      <c r="B30" s="191"/>
      <c r="C30" s="192"/>
      <c r="D30" s="193"/>
      <c r="E30" s="194" t="s">
        <v>214</v>
      </c>
      <c r="F30" s="195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196" t="str">
        <f>IFERROR(ROUNDUP(D30/F30,0),"")</f>
        <v/>
      </c>
      <c r="H30" s="197"/>
      <c r="I30" s="193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</row>
    <row r="31" spans="1:13" ht="21" customHeight="1" x14ac:dyDescent="0.3">
      <c r="A31" s="190"/>
      <c r="B31" s="191"/>
      <c r="C31" s="192"/>
      <c r="D31" s="193"/>
      <c r="E31" s="194" t="s">
        <v>214</v>
      </c>
      <c r="F31" s="195" t="str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196" t="str">
        <f>IFERROR(ROUNDUP(D31/F31,0),"")</f>
        <v/>
      </c>
      <c r="H31" s="197"/>
      <c r="I31" s="193" t="str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</row>
    <row r="32" spans="1:13" ht="21" customHeight="1" x14ac:dyDescent="0.3">
      <c r="A32" s="190"/>
      <c r="B32" s="191"/>
      <c r="C32" s="192"/>
      <c r="D32" s="193"/>
      <c r="E32" s="194" t="s">
        <v>214</v>
      </c>
      <c r="F32" s="195" t="str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196" t="str">
        <f>IFERROR(ROUNDUP(D32/F32,0),"")</f>
        <v/>
      </c>
      <c r="H32" s="197"/>
      <c r="I32" s="193" t="str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</row>
    <row r="33" spans="1:13" ht="15" customHeight="1" x14ac:dyDescent="0.3">
      <c r="A33" s="198"/>
      <c r="B33" s="199" t="s">
        <v>216</v>
      </c>
      <c r="C33" s="200"/>
      <c r="D33" s="201">
        <f>SUM(D26:D32)</f>
        <v>0</v>
      </c>
      <c r="E33" s="202"/>
      <c r="F33" s="202"/>
      <c r="G33" s="203">
        <f>SUM(G26:G32)</f>
        <v>0</v>
      </c>
      <c r="H33" s="201">
        <f>SUM(H26:H32)</f>
        <v>0</v>
      </c>
      <c r="I33" s="201">
        <f>SUM(I26:I32)</f>
        <v>0</v>
      </c>
      <c r="J33" s="28">
        <f>D33</f>
        <v>0</v>
      </c>
      <c r="K33" s="106">
        <f>G33</f>
        <v>0</v>
      </c>
      <c r="L33" s="28">
        <f>H33</f>
        <v>0</v>
      </c>
      <c r="M33" s="28">
        <f>I33</f>
        <v>0</v>
      </c>
    </row>
    <row r="34" spans="1:13" ht="6" customHeight="1" x14ac:dyDescent="0.3">
      <c r="C34" s="72"/>
    </row>
    <row r="35" spans="1:13" ht="15" customHeight="1" x14ac:dyDescent="0.3">
      <c r="A35" s="235">
        <v>46270</v>
      </c>
      <c r="B35" s="186" t="s">
        <v>78</v>
      </c>
      <c r="C35" s="187" t="s">
        <v>205</v>
      </c>
      <c r="D35" s="188" t="s">
        <v>206</v>
      </c>
      <c r="E35" s="188" t="s">
        <v>207</v>
      </c>
      <c r="F35" s="236" t="s">
        <v>208</v>
      </c>
      <c r="G35" s="188" t="s">
        <v>209</v>
      </c>
      <c r="H35" s="188" t="s">
        <v>210</v>
      </c>
      <c r="I35" s="188" t="s">
        <v>211</v>
      </c>
      <c r="J35" s="237"/>
      <c r="K35" s="237"/>
      <c r="L35" s="237"/>
      <c r="M35" s="237"/>
    </row>
    <row r="36" spans="1:13" ht="21" customHeight="1" x14ac:dyDescent="0.3">
      <c r="A36" s="190"/>
      <c r="B36" s="238"/>
      <c r="C36" s="239"/>
      <c r="D36" s="240"/>
      <c r="E36" s="241" t="s">
        <v>214</v>
      </c>
      <c r="F36" s="242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243" t="str">
        <f>IFERROR(ROUNDUP(D36/F36,0),"")</f>
        <v/>
      </c>
      <c r="H36" s="197"/>
      <c r="I36" s="240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  <c r="J36" s="237"/>
      <c r="K36" s="237"/>
      <c r="L36" s="237"/>
      <c r="M36" s="237"/>
    </row>
    <row r="37" spans="1:13" ht="21" customHeight="1" x14ac:dyDescent="0.3">
      <c r="A37" s="190"/>
      <c r="B37" s="238"/>
      <c r="C37" s="239"/>
      <c r="D37" s="240"/>
      <c r="E37" s="241" t="s">
        <v>214</v>
      </c>
      <c r="F37" s="242" t="str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243" t="str">
        <f>IFERROR(ROUNDUP(D37/F37,0),"")</f>
        <v/>
      </c>
      <c r="H37" s="197"/>
      <c r="I37" s="240" t="str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  <c r="J37" s="237"/>
      <c r="K37" s="237"/>
      <c r="L37" s="237"/>
      <c r="M37" s="237"/>
    </row>
    <row r="38" spans="1:13" ht="21" customHeight="1" x14ac:dyDescent="0.3">
      <c r="A38" s="190"/>
      <c r="B38" s="238"/>
      <c r="C38" s="239"/>
      <c r="D38" s="240"/>
      <c r="E38" s="241" t="s">
        <v>214</v>
      </c>
      <c r="F38" s="242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243" t="str">
        <f>IFERROR(ROUNDUP(D38/F38,0),"")</f>
        <v/>
      </c>
      <c r="H38" s="197"/>
      <c r="I38" s="240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  <c r="J38" s="237"/>
      <c r="K38" s="237"/>
      <c r="L38" s="237"/>
      <c r="M38" s="237"/>
    </row>
    <row r="39" spans="1:13" ht="21" customHeight="1" x14ac:dyDescent="0.3">
      <c r="A39" s="190"/>
      <c r="B39" s="238"/>
      <c r="C39" s="239"/>
      <c r="D39" s="240"/>
      <c r="E39" s="241" t="s">
        <v>214</v>
      </c>
      <c r="F39" s="242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243" t="str">
        <f>IFERROR(ROUNDUP(D39/F39,0),"")</f>
        <v/>
      </c>
      <c r="H39" s="197"/>
      <c r="I39" s="240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  <c r="J39" s="237"/>
      <c r="K39" s="237"/>
      <c r="L39" s="237"/>
      <c r="M39" s="237"/>
    </row>
    <row r="40" spans="1:13" ht="21" customHeight="1" x14ac:dyDescent="0.3">
      <c r="A40" s="190"/>
      <c r="B40" s="238"/>
      <c r="C40" s="239"/>
      <c r="D40" s="240"/>
      <c r="E40" s="241" t="s">
        <v>214</v>
      </c>
      <c r="F40" s="242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243" t="str">
        <f>IFERROR(ROUNDUP(D40/F40,0),"")</f>
        <v/>
      </c>
      <c r="H40" s="197"/>
      <c r="I40" s="240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  <c r="J40" s="237"/>
      <c r="K40" s="237"/>
      <c r="L40" s="237"/>
      <c r="M40" s="237"/>
    </row>
    <row r="41" spans="1:13" ht="15" customHeight="1" x14ac:dyDescent="0.3">
      <c r="A41" s="244"/>
      <c r="B41" s="199" t="s">
        <v>216</v>
      </c>
      <c r="C41" s="245"/>
      <c r="D41" s="201">
        <f>SUM(D34:D40)</f>
        <v>0</v>
      </c>
      <c r="E41" s="246"/>
      <c r="F41" s="246"/>
      <c r="G41" s="203">
        <f>SUM(G34:G40)</f>
        <v>0</v>
      </c>
      <c r="H41" s="201">
        <f>SUM(H34:H40)</f>
        <v>0</v>
      </c>
      <c r="I41" s="201">
        <f>SUM(I34:I40)</f>
        <v>0</v>
      </c>
      <c r="J41" s="247">
        <f>D41</f>
        <v>0</v>
      </c>
      <c r="K41" s="248">
        <f>G41</f>
        <v>0</v>
      </c>
      <c r="L41" s="247">
        <f>H41</f>
        <v>0</v>
      </c>
      <c r="M41" s="247">
        <f>I41</f>
        <v>0</v>
      </c>
    </row>
    <row r="42" spans="1:13" ht="6" customHeight="1" x14ac:dyDescent="0.3">
      <c r="A42" s="237"/>
      <c r="B42" s="237"/>
      <c r="C42" s="249"/>
      <c r="D42" s="237"/>
      <c r="E42" s="237"/>
      <c r="F42" s="237"/>
      <c r="G42" s="237"/>
      <c r="H42" s="237"/>
      <c r="I42" s="237"/>
      <c r="J42" s="237"/>
      <c r="K42" s="237"/>
      <c r="L42" s="237"/>
      <c r="M42" s="237"/>
    </row>
    <row r="43" spans="1:13" ht="15" customHeight="1" x14ac:dyDescent="0.3">
      <c r="A43" s="30">
        <v>46272</v>
      </c>
      <c r="B43" s="186" t="s">
        <v>78</v>
      </c>
      <c r="C43" s="187" t="s">
        <v>205</v>
      </c>
      <c r="D43" s="188" t="s">
        <v>206</v>
      </c>
      <c r="E43" s="188" t="s">
        <v>207</v>
      </c>
      <c r="F43" s="189" t="s">
        <v>208</v>
      </c>
      <c r="G43" s="188" t="s">
        <v>209</v>
      </c>
      <c r="H43" s="188" t="s">
        <v>210</v>
      </c>
      <c r="I43" s="188" t="s">
        <v>211</v>
      </c>
    </row>
    <row r="44" spans="1:13" ht="21" customHeight="1" x14ac:dyDescent="0.3">
      <c r="A44" s="190"/>
      <c r="B44" s="191"/>
      <c r="C44" s="192"/>
      <c r="D44" s="193"/>
      <c r="E44" s="194" t="s">
        <v>214</v>
      </c>
      <c r="F44" s="195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196" t="str">
        <f>IFERROR(ROUNDUP(D44/F44,0),"")</f>
        <v/>
      </c>
      <c r="H44" s="197"/>
      <c r="I44" s="193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</row>
    <row r="45" spans="1:13" ht="21" customHeight="1" x14ac:dyDescent="0.3">
      <c r="A45" s="190"/>
      <c r="B45" s="191"/>
      <c r="C45" s="192"/>
      <c r="D45" s="193"/>
      <c r="E45" s="194" t="s">
        <v>214</v>
      </c>
      <c r="F45" s="195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196" t="str">
        <f>IFERROR(ROUNDUP(D45/F45,0),"")</f>
        <v/>
      </c>
      <c r="H45" s="197"/>
      <c r="I45" s="193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</row>
    <row r="46" spans="1:13" ht="21" customHeight="1" x14ac:dyDescent="0.3">
      <c r="A46" s="190"/>
      <c r="B46" s="191"/>
      <c r="C46" s="192"/>
      <c r="D46" s="193"/>
      <c r="E46" s="194" t="s">
        <v>214</v>
      </c>
      <c r="F46" s="195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196" t="str">
        <f>IFERROR(ROUNDUP(D46/F46,0),"")</f>
        <v/>
      </c>
      <c r="H46" s="197"/>
      <c r="I46" s="193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</row>
    <row r="47" spans="1:13" ht="21" customHeight="1" x14ac:dyDescent="0.3">
      <c r="A47" s="190"/>
      <c r="B47" s="191"/>
      <c r="C47" s="192"/>
      <c r="D47" s="193"/>
      <c r="E47" s="194" t="s">
        <v>214</v>
      </c>
      <c r="F47" s="195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196" t="str">
        <f>IFERROR(ROUNDUP(D47/F47,0),"")</f>
        <v/>
      </c>
      <c r="H47" s="197"/>
      <c r="I47" s="193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</row>
    <row r="48" spans="1:13" ht="21" customHeight="1" x14ac:dyDescent="0.3">
      <c r="A48" s="190"/>
      <c r="B48" s="191"/>
      <c r="C48" s="192"/>
      <c r="D48" s="193"/>
      <c r="E48" s="194" t="s">
        <v>214</v>
      </c>
      <c r="F48" s="195" t="str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196" t="str">
        <f>IFERROR(ROUNDUP(D48/F48,0),"")</f>
        <v/>
      </c>
      <c r="H48" s="197"/>
      <c r="I48" s="193" t="str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</row>
    <row r="49" spans="1:13" ht="15" customHeight="1" x14ac:dyDescent="0.3">
      <c r="A49" s="198"/>
      <c r="B49" s="199" t="s">
        <v>216</v>
      </c>
      <c r="C49" s="200"/>
      <c r="D49" s="201">
        <f>SUM(D42:D48)</f>
        <v>0</v>
      </c>
      <c r="E49" s="202"/>
      <c r="F49" s="202"/>
      <c r="G49" s="203">
        <f>SUM(G42:G48)</f>
        <v>0</v>
      </c>
      <c r="H49" s="201">
        <f>SUM(H42:H48)</f>
        <v>0</v>
      </c>
      <c r="I49" s="201">
        <f>SUM(I42:I48)</f>
        <v>0</v>
      </c>
      <c r="J49" s="28">
        <f>D49</f>
        <v>0</v>
      </c>
      <c r="K49" s="106">
        <f>G49</f>
        <v>0</v>
      </c>
      <c r="L49" s="28">
        <f>H49</f>
        <v>0</v>
      </c>
      <c r="M49" s="28">
        <f>I49</f>
        <v>0</v>
      </c>
    </row>
    <row r="50" spans="1:13" ht="6" customHeight="1" x14ac:dyDescent="0.3">
      <c r="C50" s="72"/>
    </row>
    <row r="51" spans="1:13" ht="15" customHeight="1" x14ac:dyDescent="0.3">
      <c r="A51" s="30">
        <v>46273</v>
      </c>
      <c r="B51" s="186" t="s">
        <v>78</v>
      </c>
      <c r="C51" s="187" t="s">
        <v>205</v>
      </c>
      <c r="D51" s="188" t="s">
        <v>206</v>
      </c>
      <c r="E51" s="188" t="s">
        <v>207</v>
      </c>
      <c r="F51" s="189" t="s">
        <v>208</v>
      </c>
      <c r="G51" s="188" t="s">
        <v>209</v>
      </c>
      <c r="H51" s="188" t="s">
        <v>210</v>
      </c>
      <c r="I51" s="188" t="s">
        <v>211</v>
      </c>
    </row>
    <row r="52" spans="1:13" ht="21" customHeight="1" x14ac:dyDescent="0.3">
      <c r="A52" s="190"/>
      <c r="B52" s="191"/>
      <c r="C52" s="192"/>
      <c r="D52" s="193"/>
      <c r="E52" s="194" t="s">
        <v>214</v>
      </c>
      <c r="F52" s="195" t="str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196" t="str">
        <f>IFERROR(ROUNDUP(D52/F52,0),"")</f>
        <v/>
      </c>
      <c r="H52" s="197"/>
      <c r="I52" s="193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</row>
    <row r="53" spans="1:13" ht="21" customHeight="1" x14ac:dyDescent="0.3">
      <c r="A53" s="190"/>
      <c r="B53" s="191"/>
      <c r="C53" s="192"/>
      <c r="D53" s="193"/>
      <c r="E53" s="194" t="s">
        <v>214</v>
      </c>
      <c r="F53" s="195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196" t="str">
        <f>IFERROR(ROUNDUP(D53/F53,0),"")</f>
        <v/>
      </c>
      <c r="H53" s="197"/>
      <c r="I53" s="193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</row>
    <row r="54" spans="1:13" ht="21" customHeight="1" x14ac:dyDescent="0.3">
      <c r="A54" s="190"/>
      <c r="B54" s="191"/>
      <c r="C54" s="192"/>
      <c r="D54" s="193"/>
      <c r="E54" s="194" t="s">
        <v>214</v>
      </c>
      <c r="F54" s="195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196" t="str">
        <f>IFERROR(ROUNDUP(D54/F54,0),"")</f>
        <v/>
      </c>
      <c r="H54" s="197"/>
      <c r="I54" s="193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</row>
    <row r="55" spans="1:13" ht="21" customHeight="1" x14ac:dyDescent="0.3">
      <c r="A55" s="190"/>
      <c r="B55" s="191"/>
      <c r="C55" s="192"/>
      <c r="D55" s="193"/>
      <c r="E55" s="194" t="s">
        <v>214</v>
      </c>
      <c r="F55" s="195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196" t="str">
        <f>IFERROR(ROUNDUP(D55/F55,0),"")</f>
        <v/>
      </c>
      <c r="H55" s="197"/>
      <c r="I55" s="193" t="str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</row>
    <row r="56" spans="1:13" ht="21" customHeight="1" x14ac:dyDescent="0.3">
      <c r="A56" s="190"/>
      <c r="B56" s="191"/>
      <c r="C56" s="192"/>
      <c r="D56" s="193"/>
      <c r="E56" s="194" t="s">
        <v>214</v>
      </c>
      <c r="F56" s="195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196" t="str">
        <f>IFERROR(ROUNDUP(D56/F56,0),"")</f>
        <v/>
      </c>
      <c r="H56" s="197"/>
      <c r="I56" s="193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15" customHeight="1" x14ac:dyDescent="0.3">
      <c r="A57" s="198"/>
      <c r="B57" s="199" t="s">
        <v>216</v>
      </c>
      <c r="C57" s="200"/>
      <c r="D57" s="201">
        <f>SUM(D50:D56)</f>
        <v>0</v>
      </c>
      <c r="E57" s="202"/>
      <c r="F57" s="202"/>
      <c r="G57" s="203">
        <f>SUM(G50:G56)</f>
        <v>0</v>
      </c>
      <c r="H57" s="201">
        <f>SUM(H50:H56)</f>
        <v>0</v>
      </c>
      <c r="I57" s="201">
        <f>SUM(I50:I56)</f>
        <v>0</v>
      </c>
      <c r="J57" s="28">
        <f>D57</f>
        <v>0</v>
      </c>
      <c r="K57" s="106">
        <f>G57</f>
        <v>0</v>
      </c>
      <c r="L57" s="28">
        <f>H57</f>
        <v>0</v>
      </c>
      <c r="M57" s="28">
        <f>I57</f>
        <v>0</v>
      </c>
    </row>
    <row r="58" spans="1:13" ht="6" customHeight="1" x14ac:dyDescent="0.3">
      <c r="C58" s="72"/>
    </row>
    <row r="59" spans="1:13" ht="15" customHeight="1" x14ac:dyDescent="0.3">
      <c r="A59" s="30">
        <v>46274</v>
      </c>
      <c r="B59" s="186" t="s">
        <v>78</v>
      </c>
      <c r="C59" s="187" t="s">
        <v>205</v>
      </c>
      <c r="D59" s="188" t="s">
        <v>206</v>
      </c>
      <c r="E59" s="188" t="s">
        <v>207</v>
      </c>
      <c r="F59" s="189" t="s">
        <v>208</v>
      </c>
      <c r="G59" s="188" t="s">
        <v>209</v>
      </c>
      <c r="H59" s="188" t="s">
        <v>210</v>
      </c>
      <c r="I59" s="188" t="s">
        <v>211</v>
      </c>
    </row>
    <row r="60" spans="1:13" ht="21" customHeight="1" x14ac:dyDescent="0.3">
      <c r="A60" s="190"/>
      <c r="B60" s="191"/>
      <c r="C60" s="192"/>
      <c r="D60" s="193"/>
      <c r="E60" s="194" t="s">
        <v>214</v>
      </c>
      <c r="F60" s="195" t="str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196" t="str">
        <f>IFERROR(ROUNDUP(D60/F60,0),"")</f>
        <v/>
      </c>
      <c r="H60" s="197"/>
      <c r="I60" s="193" t="str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</row>
    <row r="61" spans="1:13" ht="21" customHeight="1" x14ac:dyDescent="0.3">
      <c r="A61" s="190"/>
      <c r="B61" s="191"/>
      <c r="C61" s="192"/>
      <c r="D61" s="193"/>
      <c r="E61" s="194" t="s">
        <v>214</v>
      </c>
      <c r="F61" s="195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196" t="str">
        <f>IFERROR(ROUNDUP(D61/F61,0),"")</f>
        <v/>
      </c>
      <c r="H61" s="197"/>
      <c r="I61" s="193" t="str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</row>
    <row r="62" spans="1:13" ht="21" customHeight="1" x14ac:dyDescent="0.3">
      <c r="A62" s="190"/>
      <c r="B62" s="191"/>
      <c r="C62" s="192"/>
      <c r="D62" s="193"/>
      <c r="E62" s="194" t="s">
        <v>214</v>
      </c>
      <c r="F62" s="195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196" t="str">
        <f>IFERROR(ROUNDUP(D62/F62,0),"")</f>
        <v/>
      </c>
      <c r="H62" s="197"/>
      <c r="I62" s="193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3" ht="21" customHeight="1" x14ac:dyDescent="0.3">
      <c r="A63" s="190"/>
      <c r="B63" s="191"/>
      <c r="C63" s="192"/>
      <c r="D63" s="193"/>
      <c r="E63" s="194" t="s">
        <v>214</v>
      </c>
      <c r="F63" s="195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196" t="str">
        <f>IFERROR(ROUNDUP(D63/F63,0),"")</f>
        <v/>
      </c>
      <c r="H63" s="197"/>
      <c r="I63" s="193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3">
      <c r="A64" s="190"/>
      <c r="B64" s="191"/>
      <c r="C64" s="192"/>
      <c r="D64" s="193"/>
      <c r="E64" s="194" t="s">
        <v>214</v>
      </c>
      <c r="F64" s="195" t="str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196" t="str">
        <f>IFERROR(ROUNDUP(D64/F64,0),"")</f>
        <v/>
      </c>
      <c r="H64" s="197"/>
      <c r="I64" s="193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15" customHeight="1" x14ac:dyDescent="0.3">
      <c r="A65" s="198"/>
      <c r="B65" s="199" t="s">
        <v>216</v>
      </c>
      <c r="C65" s="200"/>
      <c r="D65" s="201">
        <f>SUM(D58:D64)</f>
        <v>0</v>
      </c>
      <c r="E65" s="202"/>
      <c r="F65" s="202"/>
      <c r="G65" s="203">
        <f>SUM(G58:G64)</f>
        <v>0</v>
      </c>
      <c r="H65" s="201">
        <f>SUM(H58:H64)</f>
        <v>0</v>
      </c>
      <c r="I65" s="201">
        <f>SUM(I58:I64)</f>
        <v>0</v>
      </c>
      <c r="J65" s="28">
        <f>D65</f>
        <v>0</v>
      </c>
      <c r="K65" s="106">
        <f>G65</f>
        <v>0</v>
      </c>
      <c r="L65" s="28">
        <f>H65</f>
        <v>0</v>
      </c>
      <c r="M65" s="28">
        <f>I65</f>
        <v>0</v>
      </c>
    </row>
    <row r="66" spans="1:13" ht="6" customHeight="1" x14ac:dyDescent="0.3">
      <c r="C66" s="72"/>
    </row>
    <row r="67" spans="1:13" ht="15" customHeight="1" x14ac:dyDescent="0.3">
      <c r="A67" s="30">
        <v>46275</v>
      </c>
      <c r="B67" s="186" t="s">
        <v>78</v>
      </c>
      <c r="C67" s="187" t="s">
        <v>205</v>
      </c>
      <c r="D67" s="188" t="s">
        <v>206</v>
      </c>
      <c r="E67" s="188" t="s">
        <v>207</v>
      </c>
      <c r="F67" s="189" t="s">
        <v>208</v>
      </c>
      <c r="G67" s="188" t="s">
        <v>209</v>
      </c>
      <c r="H67" s="188" t="s">
        <v>210</v>
      </c>
      <c r="I67" s="188" t="s">
        <v>211</v>
      </c>
    </row>
    <row r="68" spans="1:13" ht="21" customHeight="1" x14ac:dyDescent="0.3">
      <c r="A68" s="190"/>
      <c r="B68" s="191"/>
      <c r="C68" s="192"/>
      <c r="D68" s="193"/>
      <c r="E68" s="194" t="s">
        <v>214</v>
      </c>
      <c r="F68" s="195" t="str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196" t="str">
        <f>IFERROR(ROUNDUP(D68/F68,0),"")</f>
        <v/>
      </c>
      <c r="H68" s="197"/>
      <c r="I68" s="193" t="str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</row>
    <row r="69" spans="1:13" ht="21" customHeight="1" x14ac:dyDescent="0.3">
      <c r="A69" s="190"/>
      <c r="B69" s="191"/>
      <c r="C69" s="192"/>
      <c r="D69" s="193"/>
      <c r="E69" s="194" t="s">
        <v>214</v>
      </c>
      <c r="F69" s="195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196" t="str">
        <f>IFERROR(ROUNDUP(D69/F69,0),"")</f>
        <v/>
      </c>
      <c r="H69" s="197"/>
      <c r="I69" s="193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</row>
    <row r="70" spans="1:13" ht="21" customHeight="1" x14ac:dyDescent="0.3">
      <c r="A70" s="190"/>
      <c r="B70" s="191"/>
      <c r="C70" s="192"/>
      <c r="D70" s="193"/>
      <c r="E70" s="194" t="s">
        <v>214</v>
      </c>
      <c r="F70" s="195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196" t="str">
        <f>IFERROR(ROUNDUP(D70/F70,0),"")</f>
        <v/>
      </c>
      <c r="H70" s="197"/>
      <c r="I70" s="193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</row>
    <row r="71" spans="1:13" ht="21" customHeight="1" x14ac:dyDescent="0.3">
      <c r="A71" s="190"/>
      <c r="B71" s="191"/>
      <c r="C71" s="192"/>
      <c r="D71" s="193"/>
      <c r="E71" s="194" t="s">
        <v>214</v>
      </c>
      <c r="F71" s="195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196" t="str">
        <f>IFERROR(ROUNDUP(D71/F71,0),"")</f>
        <v/>
      </c>
      <c r="H71" s="197"/>
      <c r="I71" s="193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</row>
    <row r="72" spans="1:13" ht="21" customHeight="1" x14ac:dyDescent="0.3">
      <c r="A72" s="190"/>
      <c r="B72" s="191"/>
      <c r="C72" s="192"/>
      <c r="D72" s="193"/>
      <c r="E72" s="194" t="s">
        <v>214</v>
      </c>
      <c r="F72" s="195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196" t="str">
        <f>IFERROR(ROUNDUP(D72/F72,0),"")</f>
        <v/>
      </c>
      <c r="H72" s="197"/>
      <c r="I72" s="193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15" customHeight="1" x14ac:dyDescent="0.3">
      <c r="A73" s="198"/>
      <c r="B73" s="199" t="s">
        <v>216</v>
      </c>
      <c r="C73" s="200"/>
      <c r="D73" s="201">
        <f>SUM(D66:D72)</f>
        <v>0</v>
      </c>
      <c r="E73" s="202"/>
      <c r="F73" s="202"/>
      <c r="G73" s="203">
        <f>SUM(G66:G72)</f>
        <v>0</v>
      </c>
      <c r="H73" s="201">
        <f>SUM(H66:H72)</f>
        <v>0</v>
      </c>
      <c r="I73" s="201">
        <f>SUM(I66:I72)</f>
        <v>0</v>
      </c>
      <c r="J73" s="28">
        <f>D73</f>
        <v>0</v>
      </c>
      <c r="K73" s="106">
        <f>G73</f>
        <v>0</v>
      </c>
      <c r="L73" s="28">
        <f>H73</f>
        <v>0</v>
      </c>
      <c r="M73" s="28">
        <f>I73</f>
        <v>0</v>
      </c>
    </row>
    <row r="74" spans="1:13" ht="6" customHeight="1" x14ac:dyDescent="0.3">
      <c r="C74" s="72"/>
    </row>
    <row r="75" spans="1:13" ht="15" customHeight="1" x14ac:dyDescent="0.3">
      <c r="A75" s="30">
        <v>46276</v>
      </c>
      <c r="B75" s="186" t="s">
        <v>78</v>
      </c>
      <c r="C75" s="187" t="s">
        <v>205</v>
      </c>
      <c r="D75" s="188" t="s">
        <v>206</v>
      </c>
      <c r="E75" s="188" t="s">
        <v>207</v>
      </c>
      <c r="F75" s="189" t="s">
        <v>208</v>
      </c>
      <c r="G75" s="188" t="s">
        <v>209</v>
      </c>
      <c r="H75" s="188" t="s">
        <v>210</v>
      </c>
      <c r="I75" s="188" t="s">
        <v>211</v>
      </c>
    </row>
    <row r="76" spans="1:13" ht="21" customHeight="1" x14ac:dyDescent="0.3">
      <c r="A76" s="190"/>
      <c r="B76" s="191"/>
      <c r="C76" s="192"/>
      <c r="D76" s="193"/>
      <c r="E76" s="194" t="s">
        <v>214</v>
      </c>
      <c r="F76" s="195" t="str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196" t="str">
        <f>IFERROR(ROUNDUP(D76/F76,0),"")</f>
        <v/>
      </c>
      <c r="H76" s="197"/>
      <c r="I76" s="193" t="str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</row>
    <row r="77" spans="1:13" ht="21" customHeight="1" x14ac:dyDescent="0.3">
      <c r="A77" s="190"/>
      <c r="B77" s="191"/>
      <c r="C77" s="192"/>
      <c r="D77" s="193"/>
      <c r="E77" s="194" t="s">
        <v>214</v>
      </c>
      <c r="F77" s="195" t="str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196" t="str">
        <f>IFERROR(ROUNDUP(D77/F77,0),"")</f>
        <v/>
      </c>
      <c r="H77" s="197"/>
      <c r="I77" s="193" t="str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</row>
    <row r="78" spans="1:13" ht="21" customHeight="1" x14ac:dyDescent="0.3">
      <c r="A78" s="190"/>
      <c r="B78" s="191"/>
      <c r="C78" s="192"/>
      <c r="D78" s="193"/>
      <c r="E78" s="194" t="s">
        <v>214</v>
      </c>
      <c r="F78" s="195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196" t="str">
        <f>IFERROR(ROUNDUP(D78/F78,0),"")</f>
        <v/>
      </c>
      <c r="H78" s="197"/>
      <c r="I78" s="193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</row>
    <row r="79" spans="1:13" ht="21" customHeight="1" x14ac:dyDescent="0.3">
      <c r="A79" s="190"/>
      <c r="B79" s="191"/>
      <c r="C79" s="192"/>
      <c r="D79" s="193"/>
      <c r="E79" s="194" t="s">
        <v>214</v>
      </c>
      <c r="F79" s="195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196" t="str">
        <f>IFERROR(ROUNDUP(D79/F79,0),"")</f>
        <v/>
      </c>
      <c r="H79" s="197"/>
      <c r="I79" s="193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</row>
    <row r="80" spans="1:13" ht="21" customHeight="1" x14ac:dyDescent="0.3">
      <c r="A80" s="190"/>
      <c r="B80" s="191"/>
      <c r="C80" s="192"/>
      <c r="D80" s="193"/>
      <c r="E80" s="194" t="s">
        <v>214</v>
      </c>
      <c r="F80" s="195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196" t="str">
        <f>IFERROR(ROUNDUP(D80/F80,0),"")</f>
        <v/>
      </c>
      <c r="H80" s="197"/>
      <c r="I80" s="193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15" customHeight="1" x14ac:dyDescent="0.3">
      <c r="A81" s="198"/>
      <c r="B81" s="199" t="s">
        <v>216</v>
      </c>
      <c r="C81" s="200"/>
      <c r="D81" s="201">
        <f>SUM(D74:D80)</f>
        <v>0</v>
      </c>
      <c r="E81" s="202"/>
      <c r="F81" s="202"/>
      <c r="G81" s="203">
        <f>SUM(G74:G80)</f>
        <v>0</v>
      </c>
      <c r="H81" s="201">
        <f>SUM(H74:H80)</f>
        <v>0</v>
      </c>
      <c r="I81" s="201">
        <f>SUM(I74:I80)</f>
        <v>0</v>
      </c>
      <c r="J81" s="28">
        <f>D81</f>
        <v>0</v>
      </c>
      <c r="K81" s="106">
        <f>G81</f>
        <v>0</v>
      </c>
      <c r="L81" s="28">
        <f>H81</f>
        <v>0</v>
      </c>
      <c r="M81" s="28">
        <f>I81</f>
        <v>0</v>
      </c>
    </row>
    <row r="82" spans="1:13" ht="6" customHeight="1" x14ac:dyDescent="0.3">
      <c r="C82" s="72"/>
    </row>
    <row r="83" spans="1:13" ht="15" customHeight="1" x14ac:dyDescent="0.3">
      <c r="A83" s="235">
        <v>46277</v>
      </c>
      <c r="B83" s="186" t="s">
        <v>78</v>
      </c>
      <c r="C83" s="187" t="s">
        <v>205</v>
      </c>
      <c r="D83" s="188" t="s">
        <v>206</v>
      </c>
      <c r="E83" s="188" t="s">
        <v>207</v>
      </c>
      <c r="F83" s="236" t="s">
        <v>208</v>
      </c>
      <c r="G83" s="188" t="s">
        <v>209</v>
      </c>
      <c r="H83" s="188" t="s">
        <v>210</v>
      </c>
      <c r="I83" s="188" t="s">
        <v>211</v>
      </c>
      <c r="J83" s="237"/>
      <c r="K83" s="237"/>
      <c r="L83" s="237"/>
      <c r="M83" s="237"/>
    </row>
    <row r="84" spans="1:13" ht="21" customHeight="1" x14ac:dyDescent="0.3">
      <c r="A84" s="190"/>
      <c r="B84" s="238"/>
      <c r="C84" s="239"/>
      <c r="D84" s="240"/>
      <c r="E84" s="241" t="s">
        <v>214</v>
      </c>
      <c r="F84" s="242" t="str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243" t="str">
        <f>IFERROR(ROUNDUP(D84/F84,0),"")</f>
        <v/>
      </c>
      <c r="H84" s="197"/>
      <c r="I84" s="240" t="str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  <c r="J84" s="237"/>
      <c r="K84" s="237"/>
      <c r="L84" s="237"/>
      <c r="M84" s="237"/>
    </row>
    <row r="85" spans="1:13" ht="21" customHeight="1" x14ac:dyDescent="0.3">
      <c r="A85" s="190"/>
      <c r="B85" s="238"/>
      <c r="C85" s="239"/>
      <c r="D85" s="240"/>
      <c r="E85" s="241" t="s">
        <v>214</v>
      </c>
      <c r="F85" s="242" t="str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243" t="str">
        <f>IFERROR(ROUNDUP(D85/F85,0),"")</f>
        <v/>
      </c>
      <c r="H85" s="197"/>
      <c r="I85" s="240" t="str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  <c r="J85" s="237"/>
      <c r="K85" s="237"/>
      <c r="L85" s="237"/>
      <c r="M85" s="237"/>
    </row>
    <row r="86" spans="1:13" ht="21" customHeight="1" x14ac:dyDescent="0.3">
      <c r="A86" s="190"/>
      <c r="B86" s="238"/>
      <c r="C86" s="239"/>
      <c r="D86" s="240"/>
      <c r="E86" s="241" t="s">
        <v>214</v>
      </c>
      <c r="F86" s="242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243" t="str">
        <f>IFERROR(ROUNDUP(D86/F86,0),"")</f>
        <v/>
      </c>
      <c r="H86" s="197"/>
      <c r="I86" s="240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  <c r="J86" s="237"/>
      <c r="K86" s="237"/>
      <c r="L86" s="237"/>
      <c r="M86" s="237"/>
    </row>
    <row r="87" spans="1:13" ht="21" customHeight="1" x14ac:dyDescent="0.3">
      <c r="A87" s="190"/>
      <c r="B87" s="238"/>
      <c r="C87" s="239"/>
      <c r="D87" s="240"/>
      <c r="E87" s="241" t="s">
        <v>214</v>
      </c>
      <c r="F87" s="242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243" t="str">
        <f>IFERROR(ROUNDUP(D87/F87,0),"")</f>
        <v/>
      </c>
      <c r="H87" s="197"/>
      <c r="I87" s="240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  <c r="J87" s="237"/>
      <c r="K87" s="237"/>
      <c r="L87" s="237"/>
      <c r="M87" s="237"/>
    </row>
    <row r="88" spans="1:13" ht="21" customHeight="1" x14ac:dyDescent="0.3">
      <c r="A88" s="190"/>
      <c r="B88" s="238"/>
      <c r="C88" s="239"/>
      <c r="D88" s="240"/>
      <c r="E88" s="241" t="s">
        <v>214</v>
      </c>
      <c r="F88" s="242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243" t="str">
        <f>IFERROR(ROUNDUP(D88/F88,0),"")</f>
        <v/>
      </c>
      <c r="H88" s="197"/>
      <c r="I88" s="240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  <c r="J88" s="237"/>
      <c r="K88" s="237"/>
      <c r="L88" s="237"/>
      <c r="M88" s="237"/>
    </row>
    <row r="89" spans="1:13" ht="15" customHeight="1" x14ac:dyDescent="0.3">
      <c r="A89" s="244"/>
      <c r="B89" s="199" t="s">
        <v>216</v>
      </c>
      <c r="C89" s="245"/>
      <c r="D89" s="201">
        <f>SUM(D82:D88)</f>
        <v>0</v>
      </c>
      <c r="E89" s="246"/>
      <c r="F89" s="246"/>
      <c r="G89" s="203">
        <f>SUM(G82:G88)</f>
        <v>0</v>
      </c>
      <c r="H89" s="201">
        <f>SUM(H82:H88)</f>
        <v>0</v>
      </c>
      <c r="I89" s="201">
        <f>SUM(I82:I88)</f>
        <v>0</v>
      </c>
      <c r="J89" s="247">
        <f>D89</f>
        <v>0</v>
      </c>
      <c r="K89" s="248">
        <f>G89</f>
        <v>0</v>
      </c>
      <c r="L89" s="247">
        <f>H89</f>
        <v>0</v>
      </c>
      <c r="M89" s="247">
        <f>I89</f>
        <v>0</v>
      </c>
    </row>
    <row r="90" spans="1:13" ht="6" customHeight="1" x14ac:dyDescent="0.3">
      <c r="A90" s="237"/>
      <c r="B90" s="237"/>
      <c r="C90" s="249"/>
      <c r="D90" s="237"/>
      <c r="E90" s="237"/>
      <c r="F90" s="237"/>
      <c r="G90" s="237"/>
      <c r="H90" s="237"/>
      <c r="I90" s="237"/>
      <c r="J90" s="237"/>
      <c r="K90" s="237"/>
      <c r="L90" s="237"/>
      <c r="M90" s="237"/>
    </row>
    <row r="91" spans="1:13" ht="15" customHeight="1" x14ac:dyDescent="0.3">
      <c r="A91" s="30">
        <v>46279</v>
      </c>
      <c r="B91" s="186" t="s">
        <v>78</v>
      </c>
      <c r="C91" s="187" t="s">
        <v>205</v>
      </c>
      <c r="D91" s="188" t="s">
        <v>206</v>
      </c>
      <c r="E91" s="188" t="s">
        <v>207</v>
      </c>
      <c r="F91" s="189" t="s">
        <v>208</v>
      </c>
      <c r="G91" s="188" t="s">
        <v>209</v>
      </c>
      <c r="H91" s="188" t="s">
        <v>210</v>
      </c>
      <c r="I91" s="188" t="s">
        <v>211</v>
      </c>
    </row>
    <row r="92" spans="1:13" ht="21" customHeight="1" x14ac:dyDescent="0.3">
      <c r="A92" s="190"/>
      <c r="B92" s="191"/>
      <c r="C92" s="192"/>
      <c r="D92" s="193"/>
      <c r="E92" s="194" t="s">
        <v>214</v>
      </c>
      <c r="F92" s="195" t="str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196" t="str">
        <f>IFERROR(ROUNDUP(D92/F92,0),"")</f>
        <v/>
      </c>
      <c r="H92" s="197"/>
      <c r="I92" s="193" t="str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</row>
    <row r="93" spans="1:13" ht="21" customHeight="1" x14ac:dyDescent="0.3">
      <c r="A93" s="190"/>
      <c r="B93" s="191"/>
      <c r="C93" s="192"/>
      <c r="D93" s="193"/>
      <c r="E93" s="194" t="s">
        <v>214</v>
      </c>
      <c r="F93" s="195" t="str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196" t="str">
        <f>IFERROR(ROUNDUP(D93/F93,0),"")</f>
        <v/>
      </c>
      <c r="H93" s="197"/>
      <c r="I93" s="193" t="str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</row>
    <row r="94" spans="1:13" ht="21" customHeight="1" x14ac:dyDescent="0.3">
      <c r="A94" s="190"/>
      <c r="B94" s="191"/>
      <c r="C94" s="192"/>
      <c r="D94" s="193"/>
      <c r="E94" s="194" t="s">
        <v>214</v>
      </c>
      <c r="F94" s="195" t="str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196" t="str">
        <f>IFERROR(ROUNDUP(D94/F94,0),"")</f>
        <v/>
      </c>
      <c r="H94" s="197"/>
      <c r="I94" s="193" t="str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</row>
    <row r="95" spans="1:13" ht="21" customHeight="1" x14ac:dyDescent="0.3">
      <c r="A95" s="190"/>
      <c r="B95" s="191"/>
      <c r="C95" s="192"/>
      <c r="D95" s="193"/>
      <c r="E95" s="194" t="s">
        <v>214</v>
      </c>
      <c r="F95" s="195" t="str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196" t="str">
        <f>IFERROR(ROUNDUP(D95/F95,0),"")</f>
        <v/>
      </c>
      <c r="H95" s="197"/>
      <c r="I95" s="193" t="str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</row>
    <row r="96" spans="1:13" ht="21" customHeight="1" x14ac:dyDescent="0.3">
      <c r="A96" s="190"/>
      <c r="B96" s="191"/>
      <c r="C96" s="192"/>
      <c r="D96" s="193"/>
      <c r="E96" s="194" t="s">
        <v>214</v>
      </c>
      <c r="F96" s="195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196" t="str">
        <f>IFERROR(ROUNDUP(D96/F96,0),"")</f>
        <v/>
      </c>
      <c r="H96" s="197"/>
      <c r="I96" s="193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</row>
    <row r="97" spans="1:13" ht="15" customHeight="1" x14ac:dyDescent="0.3">
      <c r="A97" s="198"/>
      <c r="B97" s="199" t="s">
        <v>216</v>
      </c>
      <c r="C97" s="200"/>
      <c r="D97" s="201">
        <f>SUM(D90:D96)</f>
        <v>0</v>
      </c>
      <c r="E97" s="202"/>
      <c r="F97" s="202"/>
      <c r="G97" s="203">
        <f>SUM(G90:G96)</f>
        <v>0</v>
      </c>
      <c r="H97" s="201">
        <f>SUM(H90:H96)</f>
        <v>0</v>
      </c>
      <c r="I97" s="201">
        <f>SUM(I90:I96)</f>
        <v>0</v>
      </c>
      <c r="J97" s="28">
        <f>D97</f>
        <v>0</v>
      </c>
      <c r="K97" s="106">
        <f>G97</f>
        <v>0</v>
      </c>
      <c r="L97" s="28">
        <f>H97</f>
        <v>0</v>
      </c>
      <c r="M97" s="28">
        <f>I97</f>
        <v>0</v>
      </c>
    </row>
    <row r="98" spans="1:13" ht="6" customHeight="1" x14ac:dyDescent="0.3">
      <c r="C98" s="72"/>
    </row>
    <row r="99" spans="1:13" ht="15" customHeight="1" x14ac:dyDescent="0.3">
      <c r="A99" s="30">
        <v>46280</v>
      </c>
      <c r="B99" s="186" t="s">
        <v>78</v>
      </c>
      <c r="C99" s="187" t="s">
        <v>205</v>
      </c>
      <c r="D99" s="188" t="s">
        <v>206</v>
      </c>
      <c r="E99" s="188" t="s">
        <v>207</v>
      </c>
      <c r="F99" s="189" t="s">
        <v>208</v>
      </c>
      <c r="G99" s="188" t="s">
        <v>209</v>
      </c>
      <c r="H99" s="188" t="s">
        <v>210</v>
      </c>
      <c r="I99" s="188" t="s">
        <v>211</v>
      </c>
    </row>
    <row r="100" spans="1:13" ht="21" customHeight="1" x14ac:dyDescent="0.3">
      <c r="A100" s="190"/>
      <c r="B100" s="191"/>
      <c r="C100" s="192"/>
      <c r="D100" s="193"/>
      <c r="E100" s="194" t="s">
        <v>214</v>
      </c>
      <c r="F100" s="195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196" t="str">
        <f>IFERROR(ROUNDUP(D100/F100,0),"")</f>
        <v/>
      </c>
      <c r="H100" s="197"/>
      <c r="I100" s="193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</row>
    <row r="101" spans="1:13" ht="21" customHeight="1" x14ac:dyDescent="0.3">
      <c r="A101" s="190"/>
      <c r="B101" s="191"/>
      <c r="C101" s="192"/>
      <c r="D101" s="193"/>
      <c r="E101" s="194" t="s">
        <v>214</v>
      </c>
      <c r="F101" s="195" t="str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196" t="str">
        <f>IFERROR(ROUNDUP(D101/F101,0),"")</f>
        <v/>
      </c>
      <c r="H101" s="197"/>
      <c r="I101" s="193" t="str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</row>
    <row r="102" spans="1:13" ht="21" customHeight="1" x14ac:dyDescent="0.3">
      <c r="A102" s="190"/>
      <c r="B102" s="191"/>
      <c r="C102" s="192"/>
      <c r="D102" s="193"/>
      <c r="E102" s="194" t="s">
        <v>214</v>
      </c>
      <c r="F102" s="195" t="str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196" t="str">
        <f>IFERROR(ROUNDUP(D102/F102,0),"")</f>
        <v/>
      </c>
      <c r="H102" s="197"/>
      <c r="I102" s="193" t="str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</row>
    <row r="103" spans="1:13" ht="21" customHeight="1" x14ac:dyDescent="0.3">
      <c r="A103" s="190"/>
      <c r="B103" s="191"/>
      <c r="C103" s="192"/>
      <c r="D103" s="193"/>
      <c r="E103" s="194" t="s">
        <v>214</v>
      </c>
      <c r="F103" s="195" t="str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196" t="str">
        <f>IFERROR(ROUNDUP(D103/F103,0),"")</f>
        <v/>
      </c>
      <c r="H103" s="197"/>
      <c r="I103" s="193" t="str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</row>
    <row r="104" spans="1:13" ht="21" customHeight="1" x14ac:dyDescent="0.3">
      <c r="A104" s="190"/>
      <c r="B104" s="191"/>
      <c r="C104" s="192"/>
      <c r="D104" s="193"/>
      <c r="E104" s="194" t="s">
        <v>214</v>
      </c>
      <c r="F104" s="195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196" t="str">
        <f>IFERROR(ROUNDUP(D104/F104,0),"")</f>
        <v/>
      </c>
      <c r="H104" s="197"/>
      <c r="I104" s="193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</row>
    <row r="105" spans="1:13" ht="15" customHeight="1" x14ac:dyDescent="0.3">
      <c r="A105" s="198"/>
      <c r="B105" s="199" t="s">
        <v>216</v>
      </c>
      <c r="C105" s="200"/>
      <c r="D105" s="201">
        <f>SUM(D98:D104)</f>
        <v>0</v>
      </c>
      <c r="E105" s="202"/>
      <c r="F105" s="202"/>
      <c r="G105" s="203">
        <f>SUM(G98:G104)</f>
        <v>0</v>
      </c>
      <c r="H105" s="201">
        <f>SUM(H98:H104)</f>
        <v>0</v>
      </c>
      <c r="I105" s="201">
        <f>SUM(I98:I104)</f>
        <v>0</v>
      </c>
      <c r="J105" s="28">
        <f>D105</f>
        <v>0</v>
      </c>
      <c r="K105" s="106">
        <f>G105</f>
        <v>0</v>
      </c>
      <c r="L105" s="28">
        <f>H105</f>
        <v>0</v>
      </c>
      <c r="M105" s="28">
        <f>I105</f>
        <v>0</v>
      </c>
    </row>
    <row r="106" spans="1:13" ht="6" customHeight="1" x14ac:dyDescent="0.3">
      <c r="C106" s="72"/>
    </row>
    <row r="107" spans="1:13" ht="15" customHeight="1" x14ac:dyDescent="0.3">
      <c r="A107" s="30">
        <v>46281</v>
      </c>
      <c r="B107" s="186" t="s">
        <v>78</v>
      </c>
      <c r="C107" s="187" t="s">
        <v>205</v>
      </c>
      <c r="D107" s="188" t="s">
        <v>206</v>
      </c>
      <c r="E107" s="188" t="s">
        <v>207</v>
      </c>
      <c r="F107" s="189" t="s">
        <v>208</v>
      </c>
      <c r="G107" s="188" t="s">
        <v>209</v>
      </c>
      <c r="H107" s="188" t="s">
        <v>210</v>
      </c>
      <c r="I107" s="188" t="s">
        <v>211</v>
      </c>
    </row>
    <row r="108" spans="1:13" ht="21" customHeight="1" x14ac:dyDescent="0.3">
      <c r="A108" s="190"/>
      <c r="B108" s="191"/>
      <c r="C108" s="192"/>
      <c r="D108" s="193"/>
      <c r="E108" s="194" t="s">
        <v>214</v>
      </c>
      <c r="F108" s="195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196" t="str">
        <f>IFERROR(ROUNDUP(D108/F108,0),"")</f>
        <v/>
      </c>
      <c r="H108" s="197"/>
      <c r="I108" s="193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</row>
    <row r="109" spans="1:13" ht="21" customHeight="1" x14ac:dyDescent="0.3">
      <c r="A109" s="190"/>
      <c r="B109" s="191"/>
      <c r="C109" s="192"/>
      <c r="D109" s="193"/>
      <c r="E109" s="194" t="s">
        <v>214</v>
      </c>
      <c r="F109" s="195" t="str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196" t="str">
        <f>IFERROR(ROUNDUP(D109/F109,0),"")</f>
        <v/>
      </c>
      <c r="H109" s="197"/>
      <c r="I109" s="193" t="str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</row>
    <row r="110" spans="1:13" ht="21" customHeight="1" x14ac:dyDescent="0.3">
      <c r="A110" s="190"/>
      <c r="B110" s="191"/>
      <c r="C110" s="192"/>
      <c r="D110" s="193"/>
      <c r="E110" s="194" t="s">
        <v>214</v>
      </c>
      <c r="F110" s="195" t="str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196" t="str">
        <f>IFERROR(ROUNDUP(D110/F110,0),"")</f>
        <v/>
      </c>
      <c r="H110" s="197"/>
      <c r="I110" s="193" t="str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</row>
    <row r="111" spans="1:13" ht="21" customHeight="1" x14ac:dyDescent="0.3">
      <c r="A111" s="190"/>
      <c r="B111" s="191"/>
      <c r="C111" s="192"/>
      <c r="D111" s="193"/>
      <c r="E111" s="194" t="s">
        <v>214</v>
      </c>
      <c r="F111" s="195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196" t="str">
        <f>IFERROR(ROUNDUP(D111/F111,0),"")</f>
        <v/>
      </c>
      <c r="H111" s="197"/>
      <c r="I111" s="193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3">
      <c r="A112" s="190"/>
      <c r="B112" s="191"/>
      <c r="C112" s="192"/>
      <c r="D112" s="193"/>
      <c r="E112" s="194" t="s">
        <v>214</v>
      </c>
      <c r="F112" s="195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196" t="str">
        <f>IFERROR(ROUNDUP(D112/F112,0),"")</f>
        <v/>
      </c>
      <c r="H112" s="197"/>
      <c r="I112" s="193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15" customHeight="1" x14ac:dyDescent="0.3">
      <c r="A113" s="198"/>
      <c r="B113" s="199" t="s">
        <v>216</v>
      </c>
      <c r="C113" s="200"/>
      <c r="D113" s="201">
        <f>SUM(D106:D112)</f>
        <v>0</v>
      </c>
      <c r="E113" s="202"/>
      <c r="F113" s="202"/>
      <c r="G113" s="203">
        <f>SUM(G106:G112)</f>
        <v>0</v>
      </c>
      <c r="H113" s="201">
        <f>SUM(H106:H112)</f>
        <v>0</v>
      </c>
      <c r="I113" s="201">
        <f>SUM(I106:I112)</f>
        <v>0</v>
      </c>
      <c r="J113" s="28">
        <f>D113</f>
        <v>0</v>
      </c>
      <c r="K113" s="106">
        <f>G113</f>
        <v>0</v>
      </c>
      <c r="L113" s="28">
        <f>H113</f>
        <v>0</v>
      </c>
      <c r="M113" s="28">
        <f>I113</f>
        <v>0</v>
      </c>
    </row>
    <row r="114" spans="1:13" ht="6" customHeight="1" x14ac:dyDescent="0.3">
      <c r="C114" s="72"/>
    </row>
    <row r="115" spans="1:13" ht="15" customHeight="1" x14ac:dyDescent="0.3">
      <c r="A115" s="30">
        <v>46282</v>
      </c>
      <c r="B115" s="186" t="s">
        <v>78</v>
      </c>
      <c r="C115" s="187" t="s">
        <v>205</v>
      </c>
      <c r="D115" s="188" t="s">
        <v>206</v>
      </c>
      <c r="E115" s="188" t="s">
        <v>207</v>
      </c>
      <c r="F115" s="189" t="s">
        <v>208</v>
      </c>
      <c r="G115" s="188" t="s">
        <v>209</v>
      </c>
      <c r="H115" s="188" t="s">
        <v>210</v>
      </c>
      <c r="I115" s="188" t="s">
        <v>211</v>
      </c>
    </row>
    <row r="116" spans="1:13" ht="21" customHeight="1" x14ac:dyDescent="0.3">
      <c r="A116" s="190"/>
      <c r="B116" s="191"/>
      <c r="C116" s="192"/>
      <c r="D116" s="193"/>
      <c r="E116" s="194" t="s">
        <v>214</v>
      </c>
      <c r="F116" s="195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196" t="str">
        <f>IFERROR(ROUNDUP(D116/F116,0),"")</f>
        <v/>
      </c>
      <c r="H116" s="197"/>
      <c r="I116" s="193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</row>
    <row r="117" spans="1:13" ht="21" customHeight="1" x14ac:dyDescent="0.3">
      <c r="A117" s="190"/>
      <c r="B117" s="191"/>
      <c r="C117" s="192"/>
      <c r="D117" s="193"/>
      <c r="E117" s="194" t="s">
        <v>214</v>
      </c>
      <c r="F117" s="195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196" t="str">
        <f>IFERROR(ROUNDUP(D117/F117,0),"")</f>
        <v/>
      </c>
      <c r="H117" s="197"/>
      <c r="I117" s="193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</row>
    <row r="118" spans="1:13" ht="21" customHeight="1" x14ac:dyDescent="0.3">
      <c r="A118" s="190"/>
      <c r="B118" s="191"/>
      <c r="C118" s="192"/>
      <c r="D118" s="193"/>
      <c r="E118" s="194" t="s">
        <v>214</v>
      </c>
      <c r="F118" s="195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196" t="str">
        <f>IFERROR(ROUNDUP(D118/F118,0),"")</f>
        <v/>
      </c>
      <c r="H118" s="197"/>
      <c r="I118" s="193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</row>
    <row r="119" spans="1:13" ht="21" customHeight="1" x14ac:dyDescent="0.3">
      <c r="A119" s="190"/>
      <c r="B119" s="191"/>
      <c r="C119" s="192"/>
      <c r="D119" s="193"/>
      <c r="E119" s="194" t="s">
        <v>214</v>
      </c>
      <c r="F119" s="195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196" t="str">
        <f>IFERROR(ROUNDUP(D119/F119,0),"")</f>
        <v/>
      </c>
      <c r="H119" s="197"/>
      <c r="I119" s="193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</row>
    <row r="120" spans="1:13" ht="21" customHeight="1" x14ac:dyDescent="0.3">
      <c r="A120" s="190"/>
      <c r="B120" s="191"/>
      <c r="C120" s="192"/>
      <c r="D120" s="193"/>
      <c r="E120" s="194" t="s">
        <v>214</v>
      </c>
      <c r="F120" s="195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196" t="str">
        <f>IFERROR(ROUNDUP(D120/F120,0),"")</f>
        <v/>
      </c>
      <c r="H120" s="197"/>
      <c r="I120" s="193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</row>
    <row r="121" spans="1:13" ht="15" customHeight="1" x14ac:dyDescent="0.3">
      <c r="A121" s="198"/>
      <c r="B121" s="199" t="s">
        <v>216</v>
      </c>
      <c r="C121" s="200"/>
      <c r="D121" s="201">
        <f>SUM(D114:D120)</f>
        <v>0</v>
      </c>
      <c r="E121" s="202"/>
      <c r="F121" s="202"/>
      <c r="G121" s="203">
        <f>SUM(G114:G120)</f>
        <v>0</v>
      </c>
      <c r="H121" s="201">
        <f>SUM(H114:H120)</f>
        <v>0</v>
      </c>
      <c r="I121" s="201">
        <f>SUM(I114:I120)</f>
        <v>0</v>
      </c>
      <c r="J121" s="28">
        <f>D121</f>
        <v>0</v>
      </c>
      <c r="K121" s="106">
        <f>G121</f>
        <v>0</v>
      </c>
      <c r="L121" s="28">
        <f>H121</f>
        <v>0</v>
      </c>
      <c r="M121" s="28">
        <f>I121</f>
        <v>0</v>
      </c>
    </row>
    <row r="122" spans="1:13" ht="6" customHeight="1" x14ac:dyDescent="0.3">
      <c r="C122" s="72"/>
    </row>
    <row r="123" spans="1:13" ht="15" customHeight="1" x14ac:dyDescent="0.3">
      <c r="A123" s="30">
        <v>46283</v>
      </c>
      <c r="B123" s="186" t="s">
        <v>78</v>
      </c>
      <c r="C123" s="187" t="s">
        <v>205</v>
      </c>
      <c r="D123" s="188" t="s">
        <v>206</v>
      </c>
      <c r="E123" s="188" t="s">
        <v>207</v>
      </c>
      <c r="F123" s="189" t="s">
        <v>208</v>
      </c>
      <c r="G123" s="188" t="s">
        <v>209</v>
      </c>
      <c r="H123" s="188" t="s">
        <v>210</v>
      </c>
      <c r="I123" s="188" t="s">
        <v>211</v>
      </c>
    </row>
    <row r="124" spans="1:13" ht="21" customHeight="1" x14ac:dyDescent="0.3">
      <c r="A124" s="190"/>
      <c r="B124" s="191"/>
      <c r="C124" s="192"/>
      <c r="D124" s="193"/>
      <c r="E124" s="194" t="s">
        <v>214</v>
      </c>
      <c r="F124" s="195" t="str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196" t="str">
        <f>IFERROR(ROUNDUP(D124/F124,0),"")</f>
        <v/>
      </c>
      <c r="H124" s="197"/>
      <c r="I124" s="193" t="str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</row>
    <row r="125" spans="1:13" ht="21" customHeight="1" x14ac:dyDescent="0.3">
      <c r="A125" s="190"/>
      <c r="B125" s="191"/>
      <c r="C125" s="192"/>
      <c r="D125" s="193"/>
      <c r="E125" s="194" t="s">
        <v>214</v>
      </c>
      <c r="F125" s="195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196" t="str">
        <f>IFERROR(ROUNDUP(D125/F125,0),"")</f>
        <v/>
      </c>
      <c r="H125" s="197"/>
      <c r="I125" s="193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</row>
    <row r="126" spans="1:13" ht="21" customHeight="1" x14ac:dyDescent="0.3">
      <c r="A126" s="190"/>
      <c r="B126" s="191"/>
      <c r="C126" s="192"/>
      <c r="D126" s="193"/>
      <c r="E126" s="194" t="s">
        <v>214</v>
      </c>
      <c r="F126" s="195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196" t="str">
        <f>IFERROR(ROUNDUP(D126/F126,0),"")</f>
        <v/>
      </c>
      <c r="H126" s="197"/>
      <c r="I126" s="193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</row>
    <row r="127" spans="1:13" ht="21" customHeight="1" x14ac:dyDescent="0.3">
      <c r="A127" s="190"/>
      <c r="B127" s="191"/>
      <c r="C127" s="192"/>
      <c r="D127" s="193"/>
      <c r="E127" s="194" t="s">
        <v>214</v>
      </c>
      <c r="F127" s="195" t="str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196" t="str">
        <f>IFERROR(ROUNDUP(D127/F127,0),"")</f>
        <v/>
      </c>
      <c r="H127" s="197"/>
      <c r="I127" s="193" t="str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</row>
    <row r="128" spans="1:13" ht="21" customHeight="1" x14ac:dyDescent="0.3">
      <c r="A128" s="190"/>
      <c r="B128" s="191"/>
      <c r="C128" s="192"/>
      <c r="D128" s="193"/>
      <c r="E128" s="194" t="s">
        <v>214</v>
      </c>
      <c r="F128" s="195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196" t="str">
        <f>IFERROR(ROUNDUP(D128/F128,0),"")</f>
        <v/>
      </c>
      <c r="H128" s="197"/>
      <c r="I128" s="193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</row>
    <row r="129" spans="1:13" ht="15" customHeight="1" x14ac:dyDescent="0.3">
      <c r="A129" s="198"/>
      <c r="B129" s="199" t="s">
        <v>216</v>
      </c>
      <c r="C129" s="200"/>
      <c r="D129" s="201">
        <f>SUM(D122:D128)</f>
        <v>0</v>
      </c>
      <c r="E129" s="202"/>
      <c r="F129" s="202"/>
      <c r="G129" s="203">
        <f>SUM(G122:G128)</f>
        <v>0</v>
      </c>
      <c r="H129" s="201">
        <f>SUM(H122:H128)</f>
        <v>0</v>
      </c>
      <c r="I129" s="201">
        <f>SUM(I122:I128)</f>
        <v>0</v>
      </c>
      <c r="J129" s="28">
        <f>D129</f>
        <v>0</v>
      </c>
      <c r="K129" s="106">
        <f>G129</f>
        <v>0</v>
      </c>
      <c r="L129" s="28">
        <f>H129</f>
        <v>0</v>
      </c>
      <c r="M129" s="28">
        <f>I129</f>
        <v>0</v>
      </c>
    </row>
    <row r="130" spans="1:13" ht="6" customHeight="1" x14ac:dyDescent="0.3">
      <c r="C130" s="72"/>
    </row>
    <row r="131" spans="1:13" ht="15" customHeight="1" x14ac:dyDescent="0.3">
      <c r="A131" s="235">
        <v>46284</v>
      </c>
      <c r="B131" s="186" t="s">
        <v>78</v>
      </c>
      <c r="C131" s="187" t="s">
        <v>205</v>
      </c>
      <c r="D131" s="188" t="s">
        <v>206</v>
      </c>
      <c r="E131" s="188" t="s">
        <v>207</v>
      </c>
      <c r="F131" s="236" t="s">
        <v>208</v>
      </c>
      <c r="G131" s="188" t="s">
        <v>209</v>
      </c>
      <c r="H131" s="188" t="s">
        <v>210</v>
      </c>
      <c r="I131" s="188" t="s">
        <v>211</v>
      </c>
      <c r="J131" s="237"/>
      <c r="K131" s="237"/>
      <c r="L131" s="237"/>
      <c r="M131" s="237"/>
    </row>
    <row r="132" spans="1:13" ht="21" customHeight="1" x14ac:dyDescent="0.3">
      <c r="A132" s="190"/>
      <c r="B132" s="238"/>
      <c r="C132" s="239"/>
      <c r="D132" s="240"/>
      <c r="E132" s="241" t="s">
        <v>214</v>
      </c>
      <c r="F132" s="242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243" t="str">
        <f>IFERROR(ROUNDUP(D132/F132,0),"")</f>
        <v/>
      </c>
      <c r="H132" s="197"/>
      <c r="I132" s="240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  <c r="J132" s="237"/>
      <c r="K132" s="237"/>
      <c r="L132" s="237"/>
      <c r="M132" s="237"/>
    </row>
    <row r="133" spans="1:13" ht="21" customHeight="1" x14ac:dyDescent="0.3">
      <c r="A133" s="190"/>
      <c r="B133" s="238"/>
      <c r="C133" s="239"/>
      <c r="D133" s="240"/>
      <c r="E133" s="241" t="s">
        <v>214</v>
      </c>
      <c r="F133" s="242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243" t="str">
        <f>IFERROR(ROUNDUP(D133/F133,0),"")</f>
        <v/>
      </c>
      <c r="H133" s="197"/>
      <c r="I133" s="240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  <c r="J133" s="237"/>
      <c r="K133" s="237"/>
      <c r="L133" s="237"/>
      <c r="M133" s="237"/>
    </row>
    <row r="134" spans="1:13" ht="21" customHeight="1" x14ac:dyDescent="0.3">
      <c r="A134" s="190"/>
      <c r="B134" s="238"/>
      <c r="C134" s="239"/>
      <c r="D134" s="240"/>
      <c r="E134" s="241" t="s">
        <v>214</v>
      </c>
      <c r="F134" s="242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243" t="str">
        <f>IFERROR(ROUNDUP(D134/F134,0),"")</f>
        <v/>
      </c>
      <c r="H134" s="197"/>
      <c r="I134" s="240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  <c r="J134" s="237"/>
      <c r="K134" s="237"/>
      <c r="L134" s="237"/>
      <c r="M134" s="237"/>
    </row>
    <row r="135" spans="1:13" ht="21" customHeight="1" x14ac:dyDescent="0.3">
      <c r="A135" s="190"/>
      <c r="B135" s="238"/>
      <c r="C135" s="239"/>
      <c r="D135" s="240"/>
      <c r="E135" s="241" t="s">
        <v>214</v>
      </c>
      <c r="F135" s="242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243" t="str">
        <f>IFERROR(ROUNDUP(D135/F135,0),"")</f>
        <v/>
      </c>
      <c r="H135" s="197"/>
      <c r="I135" s="240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  <c r="J135" s="237"/>
      <c r="K135" s="237"/>
      <c r="L135" s="237"/>
      <c r="M135" s="237"/>
    </row>
    <row r="136" spans="1:13" ht="21" customHeight="1" x14ac:dyDescent="0.3">
      <c r="A136" s="190"/>
      <c r="B136" s="238"/>
      <c r="C136" s="239"/>
      <c r="D136" s="240"/>
      <c r="E136" s="241" t="s">
        <v>214</v>
      </c>
      <c r="F136" s="242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243" t="str">
        <f>IFERROR(ROUNDUP(D136/F136,0),"")</f>
        <v/>
      </c>
      <c r="H136" s="197"/>
      <c r="I136" s="240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  <c r="J136" s="237"/>
      <c r="K136" s="237"/>
      <c r="L136" s="237"/>
      <c r="M136" s="237"/>
    </row>
    <row r="137" spans="1:13" ht="15" customHeight="1" x14ac:dyDescent="0.3">
      <c r="A137" s="244"/>
      <c r="B137" s="199" t="s">
        <v>216</v>
      </c>
      <c r="C137" s="245"/>
      <c r="D137" s="201">
        <f>SUM(D130:D136)</f>
        <v>0</v>
      </c>
      <c r="E137" s="246"/>
      <c r="F137" s="246"/>
      <c r="G137" s="203">
        <f>SUM(G130:G136)</f>
        <v>0</v>
      </c>
      <c r="H137" s="201">
        <f>SUM(H130:H136)</f>
        <v>0</v>
      </c>
      <c r="I137" s="201">
        <f>SUM(I130:I136)</f>
        <v>0</v>
      </c>
      <c r="J137" s="247">
        <f>D137</f>
        <v>0</v>
      </c>
      <c r="K137" s="248">
        <f>G137</f>
        <v>0</v>
      </c>
      <c r="L137" s="247">
        <f>H137</f>
        <v>0</v>
      </c>
      <c r="M137" s="247">
        <f>I137</f>
        <v>0</v>
      </c>
    </row>
    <row r="138" spans="1:13" ht="6" customHeight="1" x14ac:dyDescent="0.3">
      <c r="A138" s="237"/>
      <c r="B138" s="237"/>
      <c r="C138" s="249"/>
      <c r="D138" s="237"/>
      <c r="E138" s="237"/>
      <c r="F138" s="237"/>
      <c r="G138" s="237"/>
      <c r="H138" s="237"/>
      <c r="I138" s="237"/>
      <c r="J138" s="237"/>
      <c r="K138" s="237"/>
      <c r="L138" s="237"/>
      <c r="M138" s="237"/>
    </row>
    <row r="139" spans="1:13" ht="15" customHeight="1" x14ac:dyDescent="0.3">
      <c r="A139" s="30">
        <v>46286</v>
      </c>
      <c r="B139" s="186" t="s">
        <v>78</v>
      </c>
      <c r="C139" s="187" t="s">
        <v>205</v>
      </c>
      <c r="D139" s="188" t="s">
        <v>206</v>
      </c>
      <c r="E139" s="188" t="s">
        <v>207</v>
      </c>
      <c r="F139" s="189" t="s">
        <v>208</v>
      </c>
      <c r="G139" s="188" t="s">
        <v>209</v>
      </c>
      <c r="H139" s="188" t="s">
        <v>210</v>
      </c>
      <c r="I139" s="188" t="s">
        <v>211</v>
      </c>
    </row>
    <row r="140" spans="1:13" ht="21" customHeight="1" x14ac:dyDescent="0.3">
      <c r="A140" s="190"/>
      <c r="B140" s="191"/>
      <c r="C140" s="192"/>
      <c r="D140" s="193"/>
      <c r="E140" s="194" t="s">
        <v>214</v>
      </c>
      <c r="F140" s="195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196" t="str">
        <f>IFERROR(ROUNDUP(D140/F140,0),"")</f>
        <v/>
      </c>
      <c r="H140" s="197"/>
      <c r="I140" s="193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</row>
    <row r="141" spans="1:13" ht="21" customHeight="1" x14ac:dyDescent="0.3">
      <c r="A141" s="190"/>
      <c r="B141" s="191"/>
      <c r="C141" s="192"/>
      <c r="D141" s="193"/>
      <c r="E141" s="194" t="s">
        <v>214</v>
      </c>
      <c r="F141" s="195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196" t="str">
        <f>IFERROR(ROUNDUP(D141/F141,0),"")</f>
        <v/>
      </c>
      <c r="H141" s="197"/>
      <c r="I141" s="193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</row>
    <row r="142" spans="1:13" ht="21" customHeight="1" x14ac:dyDescent="0.3">
      <c r="A142" s="190"/>
      <c r="B142" s="191"/>
      <c r="C142" s="192"/>
      <c r="D142" s="193"/>
      <c r="E142" s="194" t="s">
        <v>214</v>
      </c>
      <c r="F142" s="195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196" t="str">
        <f>IFERROR(ROUNDUP(D142/F142,0),"")</f>
        <v/>
      </c>
      <c r="H142" s="197"/>
      <c r="I142" s="193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</row>
    <row r="143" spans="1:13" ht="21" customHeight="1" x14ac:dyDescent="0.3">
      <c r="A143" s="190"/>
      <c r="B143" s="191"/>
      <c r="C143" s="192"/>
      <c r="D143" s="193"/>
      <c r="E143" s="194" t="s">
        <v>214</v>
      </c>
      <c r="F143" s="195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196" t="str">
        <f>IFERROR(ROUNDUP(D143/F143,0),"")</f>
        <v/>
      </c>
      <c r="H143" s="197"/>
      <c r="I143" s="193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</row>
    <row r="144" spans="1:13" ht="21" customHeight="1" x14ac:dyDescent="0.3">
      <c r="A144" s="190"/>
      <c r="B144" s="191"/>
      <c r="C144" s="192"/>
      <c r="D144" s="193"/>
      <c r="E144" s="194" t="s">
        <v>214</v>
      </c>
      <c r="F144" s="195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196" t="str">
        <f>IFERROR(ROUNDUP(D144/F144,0),"")</f>
        <v/>
      </c>
      <c r="H144" s="197"/>
      <c r="I144" s="193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</row>
    <row r="145" spans="1:13" ht="15" customHeight="1" x14ac:dyDescent="0.3">
      <c r="A145" s="198"/>
      <c r="B145" s="199" t="s">
        <v>216</v>
      </c>
      <c r="C145" s="200"/>
      <c r="D145" s="201">
        <f>SUM(D138:D144)</f>
        <v>0</v>
      </c>
      <c r="E145" s="202"/>
      <c r="F145" s="202"/>
      <c r="G145" s="203">
        <f>SUM(G138:G144)</f>
        <v>0</v>
      </c>
      <c r="H145" s="201">
        <f>SUM(H138:H144)</f>
        <v>0</v>
      </c>
      <c r="I145" s="201">
        <f>SUM(I138:I144)</f>
        <v>0</v>
      </c>
      <c r="J145" s="28">
        <f>D145</f>
        <v>0</v>
      </c>
      <c r="K145" s="106">
        <f>G145</f>
        <v>0</v>
      </c>
      <c r="L145" s="28">
        <f>H145</f>
        <v>0</v>
      </c>
      <c r="M145" s="28">
        <f>I145</f>
        <v>0</v>
      </c>
    </row>
    <row r="146" spans="1:13" ht="6" customHeight="1" x14ac:dyDescent="0.3">
      <c r="C146" s="72"/>
    </row>
    <row r="147" spans="1:13" ht="15" customHeight="1" x14ac:dyDescent="0.3">
      <c r="A147" s="30">
        <v>46287</v>
      </c>
      <c r="B147" s="186" t="s">
        <v>78</v>
      </c>
      <c r="C147" s="187" t="s">
        <v>205</v>
      </c>
      <c r="D147" s="188" t="s">
        <v>206</v>
      </c>
      <c r="E147" s="188" t="s">
        <v>207</v>
      </c>
      <c r="F147" s="189" t="s">
        <v>208</v>
      </c>
      <c r="G147" s="188" t="s">
        <v>209</v>
      </c>
      <c r="H147" s="188" t="s">
        <v>210</v>
      </c>
      <c r="I147" s="188" t="s">
        <v>211</v>
      </c>
    </row>
    <row r="148" spans="1:13" ht="21" customHeight="1" x14ac:dyDescent="0.3">
      <c r="A148" s="190"/>
      <c r="B148" s="191"/>
      <c r="C148" s="192"/>
      <c r="D148" s="193"/>
      <c r="E148" s="194" t="s">
        <v>214</v>
      </c>
      <c r="F148" s="195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196" t="str">
        <f>IFERROR(ROUNDUP(D148/F148,0),"")</f>
        <v/>
      </c>
      <c r="H148" s="197"/>
      <c r="I148" s="193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</row>
    <row r="149" spans="1:13" ht="21" customHeight="1" x14ac:dyDescent="0.3">
      <c r="A149" s="190"/>
      <c r="B149" s="191"/>
      <c r="C149" s="192"/>
      <c r="D149" s="193"/>
      <c r="E149" s="194" t="s">
        <v>214</v>
      </c>
      <c r="F149" s="195" t="str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196" t="str">
        <f>IFERROR(ROUNDUP(D149/F149,0),"")</f>
        <v/>
      </c>
      <c r="H149" s="197"/>
      <c r="I149" s="193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</row>
    <row r="150" spans="1:13" ht="21" customHeight="1" x14ac:dyDescent="0.3">
      <c r="A150" s="190"/>
      <c r="B150" s="191"/>
      <c r="C150" s="192"/>
      <c r="D150" s="193"/>
      <c r="E150" s="194" t="s">
        <v>214</v>
      </c>
      <c r="F150" s="195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196" t="str">
        <f>IFERROR(ROUNDUP(D150/F150,0),"")</f>
        <v/>
      </c>
      <c r="H150" s="197"/>
      <c r="I150" s="193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</row>
    <row r="151" spans="1:13" ht="21" customHeight="1" x14ac:dyDescent="0.3">
      <c r="A151" s="190"/>
      <c r="B151" s="191"/>
      <c r="C151" s="192"/>
      <c r="D151" s="193"/>
      <c r="E151" s="194" t="s">
        <v>214</v>
      </c>
      <c r="F151" s="195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196" t="str">
        <f>IFERROR(ROUNDUP(D151/F151,0),"")</f>
        <v/>
      </c>
      <c r="H151" s="197"/>
      <c r="I151" s="193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</row>
    <row r="152" spans="1:13" ht="21" customHeight="1" x14ac:dyDescent="0.3">
      <c r="A152" s="190"/>
      <c r="B152" s="191"/>
      <c r="C152" s="192"/>
      <c r="D152" s="193"/>
      <c r="E152" s="194" t="s">
        <v>214</v>
      </c>
      <c r="F152" s="195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196" t="str">
        <f>IFERROR(ROUNDUP(D152/F152,0),"")</f>
        <v/>
      </c>
      <c r="H152" s="197"/>
      <c r="I152" s="193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</row>
    <row r="153" spans="1:13" ht="15" customHeight="1" x14ac:dyDescent="0.3">
      <c r="A153" s="198"/>
      <c r="B153" s="199" t="s">
        <v>216</v>
      </c>
      <c r="C153" s="200"/>
      <c r="D153" s="201">
        <f>SUM(D146:D152)</f>
        <v>0</v>
      </c>
      <c r="E153" s="202"/>
      <c r="F153" s="202"/>
      <c r="G153" s="203">
        <f>SUM(G146:G152)</f>
        <v>0</v>
      </c>
      <c r="H153" s="201">
        <f>SUM(H146:H152)</f>
        <v>0</v>
      </c>
      <c r="I153" s="201">
        <f>SUM(I146:I152)</f>
        <v>0</v>
      </c>
      <c r="J153" s="28">
        <f>D153</f>
        <v>0</v>
      </c>
      <c r="K153" s="106">
        <f>G153</f>
        <v>0</v>
      </c>
      <c r="L153" s="28">
        <f>H153</f>
        <v>0</v>
      </c>
      <c r="M153" s="28">
        <f>I153</f>
        <v>0</v>
      </c>
    </row>
    <row r="154" spans="1:13" ht="6" customHeight="1" x14ac:dyDescent="0.3">
      <c r="C154" s="72"/>
    </row>
    <row r="155" spans="1:13" ht="15" customHeight="1" x14ac:dyDescent="0.3">
      <c r="A155" s="30">
        <v>46288</v>
      </c>
      <c r="B155" s="186" t="s">
        <v>78</v>
      </c>
      <c r="C155" s="187" t="s">
        <v>205</v>
      </c>
      <c r="D155" s="188" t="s">
        <v>206</v>
      </c>
      <c r="E155" s="188" t="s">
        <v>207</v>
      </c>
      <c r="F155" s="189" t="s">
        <v>208</v>
      </c>
      <c r="G155" s="188" t="s">
        <v>209</v>
      </c>
      <c r="H155" s="188" t="s">
        <v>210</v>
      </c>
      <c r="I155" s="188" t="s">
        <v>211</v>
      </c>
    </row>
    <row r="156" spans="1:13" ht="21" customHeight="1" x14ac:dyDescent="0.3">
      <c r="A156" s="190"/>
      <c r="B156" s="191"/>
      <c r="C156" s="192"/>
      <c r="D156" s="193"/>
      <c r="E156" s="194" t="s">
        <v>214</v>
      </c>
      <c r="F156" s="195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196" t="str">
        <f>IFERROR(ROUNDUP(D156/F156,0),"")</f>
        <v/>
      </c>
      <c r="H156" s="197"/>
      <c r="I156" s="193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21" customHeight="1" x14ac:dyDescent="0.3">
      <c r="A157" s="190"/>
      <c r="B157" s="191"/>
      <c r="C157" s="192"/>
      <c r="D157" s="193"/>
      <c r="E157" s="194" t="s">
        <v>214</v>
      </c>
      <c r="F157" s="195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196" t="str">
        <f>IFERROR(ROUNDUP(D157/F157,0),"")</f>
        <v/>
      </c>
      <c r="H157" s="197"/>
      <c r="I157" s="193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</row>
    <row r="158" spans="1:13" ht="21" customHeight="1" x14ac:dyDescent="0.3">
      <c r="A158" s="190"/>
      <c r="B158" s="191"/>
      <c r="C158" s="192"/>
      <c r="D158" s="193"/>
      <c r="E158" s="194" t="s">
        <v>214</v>
      </c>
      <c r="F158" s="195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196" t="str">
        <f>IFERROR(ROUNDUP(D158/F158,0),"")</f>
        <v/>
      </c>
      <c r="H158" s="197"/>
      <c r="I158" s="193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</row>
    <row r="159" spans="1:13" ht="21" customHeight="1" x14ac:dyDescent="0.3">
      <c r="A159" s="190"/>
      <c r="B159" s="191"/>
      <c r="C159" s="192"/>
      <c r="D159" s="193"/>
      <c r="E159" s="194" t="s">
        <v>214</v>
      </c>
      <c r="F159" s="195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196" t="str">
        <f>IFERROR(ROUNDUP(D159/F159,0),"")</f>
        <v/>
      </c>
      <c r="H159" s="197"/>
      <c r="I159" s="193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3">
      <c r="A160" s="190"/>
      <c r="B160" s="191"/>
      <c r="C160" s="192"/>
      <c r="D160" s="193"/>
      <c r="E160" s="194" t="s">
        <v>214</v>
      </c>
      <c r="F160" s="195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196" t="str">
        <f>IFERROR(ROUNDUP(D160/F160,0),"")</f>
        <v/>
      </c>
      <c r="H160" s="197"/>
      <c r="I160" s="193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15" customHeight="1" x14ac:dyDescent="0.3">
      <c r="A161" s="198"/>
      <c r="B161" s="199" t="s">
        <v>216</v>
      </c>
      <c r="C161" s="200"/>
      <c r="D161" s="201">
        <f>SUM(D154:D160)</f>
        <v>0</v>
      </c>
      <c r="E161" s="202"/>
      <c r="F161" s="202"/>
      <c r="G161" s="203">
        <f>SUM(G154:G160)</f>
        <v>0</v>
      </c>
      <c r="H161" s="201">
        <f>SUM(H154:H160)</f>
        <v>0</v>
      </c>
      <c r="I161" s="201">
        <f>SUM(I154:I160)</f>
        <v>0</v>
      </c>
      <c r="J161" s="28">
        <f>D161</f>
        <v>0</v>
      </c>
      <c r="K161" s="106">
        <f>G161</f>
        <v>0</v>
      </c>
      <c r="L161" s="28">
        <f>H161</f>
        <v>0</v>
      </c>
      <c r="M161" s="28">
        <f>I161</f>
        <v>0</v>
      </c>
    </row>
    <row r="162" spans="1:13" ht="6" customHeight="1" x14ac:dyDescent="0.3">
      <c r="C162" s="72"/>
    </row>
    <row r="163" spans="1:13" ht="15" customHeight="1" x14ac:dyDescent="0.3">
      <c r="A163" s="30">
        <v>46289</v>
      </c>
      <c r="B163" s="186" t="s">
        <v>78</v>
      </c>
      <c r="C163" s="187" t="s">
        <v>205</v>
      </c>
      <c r="D163" s="188" t="s">
        <v>206</v>
      </c>
      <c r="E163" s="188" t="s">
        <v>207</v>
      </c>
      <c r="F163" s="189" t="s">
        <v>208</v>
      </c>
      <c r="G163" s="188" t="s">
        <v>209</v>
      </c>
      <c r="H163" s="188" t="s">
        <v>210</v>
      </c>
      <c r="I163" s="188" t="s">
        <v>211</v>
      </c>
    </row>
    <row r="164" spans="1:13" ht="21" customHeight="1" x14ac:dyDescent="0.3">
      <c r="A164" s="190"/>
      <c r="B164" s="191"/>
      <c r="C164" s="192"/>
      <c r="D164" s="193"/>
      <c r="E164" s="194" t="s">
        <v>214</v>
      </c>
      <c r="F164" s="195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196" t="str">
        <f>IFERROR(ROUNDUP(D164/F164,0),"")</f>
        <v/>
      </c>
      <c r="H164" s="197"/>
      <c r="I164" s="193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</row>
    <row r="165" spans="1:13" ht="21" customHeight="1" x14ac:dyDescent="0.3">
      <c r="A165" s="190"/>
      <c r="B165" s="191"/>
      <c r="C165" s="192"/>
      <c r="D165" s="193"/>
      <c r="E165" s="194" t="s">
        <v>214</v>
      </c>
      <c r="F165" s="195" t="str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196" t="str">
        <f>IFERROR(ROUNDUP(D165/F165,0),"")</f>
        <v/>
      </c>
      <c r="H165" s="197"/>
      <c r="I165" s="193" t="str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</row>
    <row r="166" spans="1:13" ht="21" customHeight="1" x14ac:dyDescent="0.3">
      <c r="A166" s="190"/>
      <c r="B166" s="191"/>
      <c r="C166" s="192"/>
      <c r="D166" s="193"/>
      <c r="E166" s="194" t="s">
        <v>214</v>
      </c>
      <c r="F166" s="195" t="str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196" t="str">
        <f>IFERROR(ROUNDUP(D166/F166,0),"")</f>
        <v/>
      </c>
      <c r="H166" s="197"/>
      <c r="I166" s="193" t="str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</row>
    <row r="167" spans="1:13" ht="21" customHeight="1" x14ac:dyDescent="0.3">
      <c r="A167" s="190"/>
      <c r="B167" s="191"/>
      <c r="C167" s="192"/>
      <c r="D167" s="193"/>
      <c r="E167" s="194" t="s">
        <v>214</v>
      </c>
      <c r="F167" s="195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196" t="str">
        <f>IFERROR(ROUNDUP(D167/F167,0),"")</f>
        <v/>
      </c>
      <c r="H167" s="197"/>
      <c r="I167" s="193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</row>
    <row r="168" spans="1:13" ht="21" customHeight="1" x14ac:dyDescent="0.3">
      <c r="A168" s="190"/>
      <c r="B168" s="191"/>
      <c r="C168" s="192"/>
      <c r="D168" s="193"/>
      <c r="E168" s="194" t="s">
        <v>214</v>
      </c>
      <c r="F168" s="195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196" t="str">
        <f>IFERROR(ROUNDUP(D168/F168,0),"")</f>
        <v/>
      </c>
      <c r="H168" s="197"/>
      <c r="I168" s="193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</row>
    <row r="169" spans="1:13" ht="15" customHeight="1" x14ac:dyDescent="0.3">
      <c r="A169" s="198"/>
      <c r="B169" s="199" t="s">
        <v>216</v>
      </c>
      <c r="C169" s="200"/>
      <c r="D169" s="201">
        <f>SUM(D162:D168)</f>
        <v>0</v>
      </c>
      <c r="E169" s="202"/>
      <c r="F169" s="202"/>
      <c r="G169" s="203">
        <f>SUM(G162:G168)</f>
        <v>0</v>
      </c>
      <c r="H169" s="201">
        <f>SUM(H162:H168)</f>
        <v>0</v>
      </c>
      <c r="I169" s="201">
        <f>SUM(I162:I168)</f>
        <v>0</v>
      </c>
      <c r="J169" s="28">
        <f>D169</f>
        <v>0</v>
      </c>
      <c r="K169" s="106">
        <f>G169</f>
        <v>0</v>
      </c>
      <c r="L169" s="28">
        <f>H169</f>
        <v>0</v>
      </c>
      <c r="M169" s="28">
        <f>I169</f>
        <v>0</v>
      </c>
    </row>
    <row r="170" spans="1:13" ht="6" customHeight="1" x14ac:dyDescent="0.3">
      <c r="C170" s="72"/>
    </row>
    <row r="171" spans="1:13" ht="15" customHeight="1" x14ac:dyDescent="0.3">
      <c r="A171" s="30">
        <v>46290</v>
      </c>
      <c r="B171" s="186" t="s">
        <v>78</v>
      </c>
      <c r="C171" s="187" t="s">
        <v>205</v>
      </c>
      <c r="D171" s="188" t="s">
        <v>206</v>
      </c>
      <c r="E171" s="188" t="s">
        <v>207</v>
      </c>
      <c r="F171" s="189" t="s">
        <v>208</v>
      </c>
      <c r="G171" s="188" t="s">
        <v>209</v>
      </c>
      <c r="H171" s="188" t="s">
        <v>210</v>
      </c>
      <c r="I171" s="188" t="s">
        <v>211</v>
      </c>
    </row>
    <row r="172" spans="1:13" ht="21" customHeight="1" x14ac:dyDescent="0.3">
      <c r="A172" s="190"/>
      <c r="B172" s="191"/>
      <c r="C172" s="192"/>
      <c r="D172" s="193"/>
      <c r="E172" s="194" t="s">
        <v>214</v>
      </c>
      <c r="F172" s="195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196" t="str">
        <f>IFERROR(ROUNDUP(D172/F172,0),"")</f>
        <v/>
      </c>
      <c r="H172" s="197"/>
      <c r="I172" s="193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</row>
    <row r="173" spans="1:13" ht="21" customHeight="1" x14ac:dyDescent="0.3">
      <c r="A173" s="190"/>
      <c r="B173" s="191"/>
      <c r="C173" s="192"/>
      <c r="D173" s="193"/>
      <c r="E173" s="194" t="s">
        <v>214</v>
      </c>
      <c r="F173" s="195" t="str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196" t="str">
        <f>IFERROR(ROUNDUP(D173/F173,0),"")</f>
        <v/>
      </c>
      <c r="H173" s="197"/>
      <c r="I173" s="193" t="str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</row>
    <row r="174" spans="1:13" ht="21" customHeight="1" x14ac:dyDescent="0.3">
      <c r="A174" s="190"/>
      <c r="B174" s="191"/>
      <c r="C174" s="192"/>
      <c r="D174" s="193"/>
      <c r="E174" s="194" t="s">
        <v>214</v>
      </c>
      <c r="F174" s="195" t="str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196" t="str">
        <f>IFERROR(ROUNDUP(D174/F174,0),"")</f>
        <v/>
      </c>
      <c r="H174" s="197"/>
      <c r="I174" s="193" t="str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</row>
    <row r="175" spans="1:13" ht="21" customHeight="1" x14ac:dyDescent="0.3">
      <c r="A175" s="190"/>
      <c r="B175" s="191"/>
      <c r="C175" s="192"/>
      <c r="D175" s="193"/>
      <c r="E175" s="194" t="s">
        <v>214</v>
      </c>
      <c r="F175" s="195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196" t="str">
        <f>IFERROR(ROUNDUP(D175/F175,0),"")</f>
        <v/>
      </c>
      <c r="H175" s="197"/>
      <c r="I175" s="193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</row>
    <row r="176" spans="1:13" ht="21" customHeight="1" x14ac:dyDescent="0.3">
      <c r="A176" s="190"/>
      <c r="B176" s="191"/>
      <c r="C176" s="192"/>
      <c r="D176" s="193"/>
      <c r="E176" s="194" t="s">
        <v>214</v>
      </c>
      <c r="F176" s="195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196" t="str">
        <f>IFERROR(ROUNDUP(D176/F176,0),"")</f>
        <v/>
      </c>
      <c r="H176" s="197"/>
      <c r="I176" s="193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</row>
    <row r="177" spans="1:13" ht="15" customHeight="1" x14ac:dyDescent="0.3">
      <c r="A177" s="198"/>
      <c r="B177" s="199" t="s">
        <v>216</v>
      </c>
      <c r="C177" s="200"/>
      <c r="D177" s="201">
        <f>SUM(D170:D176)</f>
        <v>0</v>
      </c>
      <c r="E177" s="202"/>
      <c r="F177" s="202"/>
      <c r="G177" s="203">
        <f>SUM(G170:G176)</f>
        <v>0</v>
      </c>
      <c r="H177" s="201">
        <f>SUM(H170:H176)</f>
        <v>0</v>
      </c>
      <c r="I177" s="201">
        <f>SUM(I170:I176)</f>
        <v>0</v>
      </c>
      <c r="J177" s="28">
        <f>D177</f>
        <v>0</v>
      </c>
      <c r="K177" s="106">
        <f>G177</f>
        <v>0</v>
      </c>
      <c r="L177" s="28">
        <f>H177</f>
        <v>0</v>
      </c>
      <c r="M177" s="28">
        <f>I177</f>
        <v>0</v>
      </c>
    </row>
    <row r="178" spans="1:13" ht="6" customHeight="1" x14ac:dyDescent="0.3">
      <c r="C178" s="72"/>
    </row>
    <row r="179" spans="1:13" ht="14.25" customHeight="1" x14ac:dyDescent="0.3">
      <c r="A179" s="235">
        <v>46291</v>
      </c>
      <c r="B179" s="186" t="s">
        <v>78</v>
      </c>
      <c r="C179" s="187" t="s">
        <v>205</v>
      </c>
      <c r="D179" s="188" t="s">
        <v>206</v>
      </c>
      <c r="E179" s="188" t="s">
        <v>207</v>
      </c>
      <c r="F179" s="236" t="s">
        <v>208</v>
      </c>
      <c r="G179" s="188" t="s">
        <v>209</v>
      </c>
      <c r="H179" s="188" t="s">
        <v>210</v>
      </c>
      <c r="I179" s="188" t="s">
        <v>211</v>
      </c>
      <c r="J179" s="237"/>
      <c r="K179" s="237"/>
      <c r="L179" s="237"/>
      <c r="M179" s="237"/>
    </row>
    <row r="180" spans="1:13" ht="21" customHeight="1" x14ac:dyDescent="0.3">
      <c r="A180" s="190"/>
      <c r="B180" s="238"/>
      <c r="C180" s="239"/>
      <c r="D180" s="240"/>
      <c r="E180" s="241" t="s">
        <v>214</v>
      </c>
      <c r="F180" s="242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243" t="str">
        <f>IFERROR(ROUNDUP(D180/F180,0),"")</f>
        <v/>
      </c>
      <c r="H180" s="197"/>
      <c r="I180" s="240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  <c r="J180" s="237"/>
      <c r="K180" s="237"/>
      <c r="L180" s="237"/>
      <c r="M180" s="237"/>
    </row>
    <row r="181" spans="1:13" ht="21" customHeight="1" x14ac:dyDescent="0.3">
      <c r="A181" s="190"/>
      <c r="B181" s="238"/>
      <c r="C181" s="239"/>
      <c r="D181" s="240"/>
      <c r="E181" s="241" t="s">
        <v>214</v>
      </c>
      <c r="F181" s="242" t="str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243" t="str">
        <f>IFERROR(ROUNDUP(D181/F181,0),"")</f>
        <v/>
      </c>
      <c r="H181" s="197"/>
      <c r="I181" s="240" t="str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  <c r="J181" s="237"/>
      <c r="K181" s="237"/>
      <c r="L181" s="237"/>
      <c r="M181" s="237"/>
    </row>
    <row r="182" spans="1:13" ht="21" customHeight="1" x14ac:dyDescent="0.3">
      <c r="A182" s="190"/>
      <c r="B182" s="238"/>
      <c r="C182" s="239"/>
      <c r="D182" s="240"/>
      <c r="E182" s="241" t="s">
        <v>214</v>
      </c>
      <c r="F182" s="242" t="str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243" t="str">
        <f>IFERROR(ROUNDUP(D182/F182,0),"")</f>
        <v/>
      </c>
      <c r="H182" s="197"/>
      <c r="I182" s="240" t="str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  <c r="J182" s="237"/>
      <c r="K182" s="237"/>
      <c r="L182" s="237"/>
      <c r="M182" s="237"/>
    </row>
    <row r="183" spans="1:13" ht="21" customHeight="1" x14ac:dyDescent="0.3">
      <c r="A183" s="190"/>
      <c r="B183" s="238"/>
      <c r="C183" s="239"/>
      <c r="D183" s="240"/>
      <c r="E183" s="241" t="s">
        <v>214</v>
      </c>
      <c r="F183" s="242" t="str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243" t="str">
        <f>IFERROR(ROUNDUP(D183/F183,0),"")</f>
        <v/>
      </c>
      <c r="H183" s="197"/>
      <c r="I183" s="240" t="str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  <c r="J183" s="237"/>
      <c r="K183" s="237"/>
      <c r="L183" s="237"/>
      <c r="M183" s="237"/>
    </row>
    <row r="184" spans="1:13" ht="21" customHeight="1" x14ac:dyDescent="0.3">
      <c r="A184" s="190"/>
      <c r="B184" s="238"/>
      <c r="C184" s="239"/>
      <c r="D184" s="240"/>
      <c r="E184" s="241" t="s">
        <v>214</v>
      </c>
      <c r="F184" s="242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243" t="str">
        <f>IFERROR(ROUNDUP(D184/F184,0),"")</f>
        <v/>
      </c>
      <c r="H184" s="197"/>
      <c r="I184" s="240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  <c r="J184" s="237"/>
      <c r="K184" s="237"/>
      <c r="L184" s="237"/>
      <c r="M184" s="237"/>
    </row>
    <row r="185" spans="1:13" ht="14.25" customHeight="1" x14ac:dyDescent="0.3">
      <c r="A185" s="244"/>
      <c r="B185" s="199" t="s">
        <v>216</v>
      </c>
      <c r="C185" s="245"/>
      <c r="D185" s="201">
        <f>SUM(D178:D184)</f>
        <v>0</v>
      </c>
      <c r="E185" s="246"/>
      <c r="F185" s="246"/>
      <c r="G185" s="203">
        <f>SUM(G178:G184)</f>
        <v>0</v>
      </c>
      <c r="H185" s="201">
        <f>SUM(H178:H184)</f>
        <v>0</v>
      </c>
      <c r="I185" s="201">
        <f>SUM(I178:I184)</f>
        <v>0</v>
      </c>
      <c r="J185" s="247">
        <f>D185</f>
        <v>0</v>
      </c>
      <c r="K185" s="248">
        <f>G185</f>
        <v>0</v>
      </c>
      <c r="L185" s="247">
        <f>H185</f>
        <v>0</v>
      </c>
      <c r="M185" s="247">
        <f>I185</f>
        <v>0</v>
      </c>
    </row>
    <row r="186" spans="1:13" ht="14.25" customHeight="1" x14ac:dyDescent="0.3">
      <c r="A186" s="237"/>
      <c r="B186" s="237"/>
      <c r="C186" s="249"/>
      <c r="D186" s="237"/>
      <c r="E186" s="237"/>
      <c r="F186" s="237"/>
      <c r="G186" s="237"/>
      <c r="H186" s="237"/>
      <c r="I186" s="237"/>
      <c r="J186" s="237"/>
      <c r="K186" s="237"/>
      <c r="L186" s="237"/>
      <c r="M186" s="237"/>
    </row>
    <row r="187" spans="1:13" ht="14.25" customHeight="1" x14ac:dyDescent="0.3">
      <c r="A187" s="30">
        <v>46293</v>
      </c>
      <c r="B187" s="186" t="s">
        <v>78</v>
      </c>
      <c r="C187" s="187" t="s">
        <v>205</v>
      </c>
      <c r="D187" s="188" t="s">
        <v>206</v>
      </c>
      <c r="E187" s="188" t="s">
        <v>207</v>
      </c>
      <c r="F187" s="189" t="s">
        <v>208</v>
      </c>
      <c r="G187" s="188" t="s">
        <v>209</v>
      </c>
      <c r="H187" s="188" t="s">
        <v>210</v>
      </c>
      <c r="I187" s="188" t="s">
        <v>211</v>
      </c>
    </row>
    <row r="188" spans="1:13" ht="21" customHeight="1" x14ac:dyDescent="0.3">
      <c r="A188" s="190"/>
      <c r="B188" s="191"/>
      <c r="C188" s="192"/>
      <c r="D188" s="193"/>
      <c r="E188" s="194" t="s">
        <v>214</v>
      </c>
      <c r="F188" s="195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196" t="str">
        <f>IFERROR(ROUNDUP(D188/F188,0),"")</f>
        <v/>
      </c>
      <c r="H188" s="197"/>
      <c r="I188" s="193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</row>
    <row r="189" spans="1:13" ht="21" customHeight="1" x14ac:dyDescent="0.3">
      <c r="A189" s="190"/>
      <c r="B189" s="191"/>
      <c r="C189" s="192"/>
      <c r="D189" s="193"/>
      <c r="E189" s="194" t="s">
        <v>214</v>
      </c>
      <c r="F189" s="195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196" t="str">
        <f>IFERROR(ROUNDUP(D189/F189,0),"")</f>
        <v/>
      </c>
      <c r="H189" s="197"/>
      <c r="I189" s="193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</row>
    <row r="190" spans="1:13" ht="21" customHeight="1" x14ac:dyDescent="0.3">
      <c r="A190" s="190"/>
      <c r="B190" s="191"/>
      <c r="C190" s="192"/>
      <c r="D190" s="193"/>
      <c r="E190" s="194" t="s">
        <v>214</v>
      </c>
      <c r="F190" s="195" t="str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196" t="str">
        <f>IFERROR(ROUNDUP(D190/F190,0),"")</f>
        <v/>
      </c>
      <c r="H190" s="197"/>
      <c r="I190" s="193" t="str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</row>
    <row r="191" spans="1:13" ht="21" customHeight="1" x14ac:dyDescent="0.3">
      <c r="A191" s="190"/>
      <c r="B191" s="191"/>
      <c r="C191" s="192"/>
      <c r="D191" s="193"/>
      <c r="E191" s="194" t="s">
        <v>214</v>
      </c>
      <c r="F191" s="195" t="str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196" t="str">
        <f>IFERROR(ROUNDUP(D191/F191,0),"")</f>
        <v/>
      </c>
      <c r="H191" s="197"/>
      <c r="I191" s="193" t="str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</row>
    <row r="192" spans="1:13" ht="21" customHeight="1" x14ac:dyDescent="0.3">
      <c r="A192" s="190"/>
      <c r="B192" s="191"/>
      <c r="C192" s="192"/>
      <c r="D192" s="193"/>
      <c r="E192" s="194" t="s">
        <v>214</v>
      </c>
      <c r="F192" s="195" t="str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196" t="str">
        <f>IFERROR(ROUNDUP(D192/F192,0),"")</f>
        <v/>
      </c>
      <c r="H192" s="197"/>
      <c r="I192" s="193" t="str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</row>
    <row r="193" spans="1:13" ht="14.25" customHeight="1" x14ac:dyDescent="0.3">
      <c r="A193" s="198"/>
      <c r="B193" s="199" t="s">
        <v>216</v>
      </c>
      <c r="C193" s="200"/>
      <c r="D193" s="201">
        <f>SUM(D186:D192)</f>
        <v>0</v>
      </c>
      <c r="E193" s="202"/>
      <c r="F193" s="202"/>
      <c r="G193" s="203">
        <f>SUM(G186:G192)</f>
        <v>0</v>
      </c>
      <c r="H193" s="201">
        <f>SUM(H186:H192)</f>
        <v>0</v>
      </c>
      <c r="I193" s="201">
        <f>SUM(I186:I192)</f>
        <v>0</v>
      </c>
      <c r="J193" s="28">
        <f>D193</f>
        <v>0</v>
      </c>
      <c r="K193" s="106">
        <f>G193</f>
        <v>0</v>
      </c>
      <c r="L193" s="28">
        <f>H193</f>
        <v>0</v>
      </c>
      <c r="M193" s="28">
        <f>I193</f>
        <v>0</v>
      </c>
    </row>
    <row r="194" spans="1:13" ht="14.25" customHeight="1" x14ac:dyDescent="0.3">
      <c r="C194" s="72"/>
    </row>
    <row r="195" spans="1:13" ht="14.25" customHeight="1" x14ac:dyDescent="0.3">
      <c r="A195" s="30">
        <v>46294</v>
      </c>
      <c r="B195" s="186" t="s">
        <v>78</v>
      </c>
      <c r="C195" s="187" t="s">
        <v>205</v>
      </c>
      <c r="D195" s="188" t="s">
        <v>206</v>
      </c>
      <c r="E195" s="188" t="s">
        <v>207</v>
      </c>
      <c r="F195" s="189" t="s">
        <v>208</v>
      </c>
      <c r="G195" s="188" t="s">
        <v>209</v>
      </c>
      <c r="H195" s="188" t="s">
        <v>210</v>
      </c>
      <c r="I195" s="188" t="s">
        <v>211</v>
      </c>
    </row>
    <row r="196" spans="1:13" ht="21" customHeight="1" x14ac:dyDescent="0.3">
      <c r="A196" s="190"/>
      <c r="B196" s="191"/>
      <c r="C196" s="192"/>
      <c r="D196" s="193"/>
      <c r="E196" s="194" t="s">
        <v>214</v>
      </c>
      <c r="F196" s="195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196" t="str">
        <f>IFERROR(ROUNDUP(D196/F196,0),"")</f>
        <v/>
      </c>
      <c r="H196" s="197"/>
      <c r="I196" s="193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</row>
    <row r="197" spans="1:13" ht="21" customHeight="1" x14ac:dyDescent="0.3">
      <c r="A197" s="190"/>
      <c r="B197" s="191"/>
      <c r="C197" s="192"/>
      <c r="D197" s="193"/>
      <c r="E197" s="194" t="s">
        <v>214</v>
      </c>
      <c r="F197" s="195" t="str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196" t="str">
        <f>IFERROR(ROUNDUP(D197/F197,0),"")</f>
        <v/>
      </c>
      <c r="H197" s="197"/>
      <c r="I197" s="193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</row>
    <row r="198" spans="1:13" ht="21" customHeight="1" x14ac:dyDescent="0.3">
      <c r="A198" s="190"/>
      <c r="B198" s="191"/>
      <c r="C198" s="192"/>
      <c r="D198" s="193"/>
      <c r="E198" s="194" t="s">
        <v>214</v>
      </c>
      <c r="F198" s="195" t="str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196" t="str">
        <f>IFERROR(ROUNDUP(D198/F198,0),"")</f>
        <v/>
      </c>
      <c r="H198" s="197"/>
      <c r="I198" s="193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</row>
    <row r="199" spans="1:13" ht="21" customHeight="1" x14ac:dyDescent="0.3">
      <c r="A199" s="190"/>
      <c r="B199" s="191"/>
      <c r="C199" s="192"/>
      <c r="D199" s="193"/>
      <c r="E199" s="194" t="s">
        <v>214</v>
      </c>
      <c r="F199" s="195" t="str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196" t="str">
        <f>IFERROR(ROUNDUP(D199/F199,0),"")</f>
        <v/>
      </c>
      <c r="H199" s="197"/>
      <c r="I199" s="193" t="str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</row>
    <row r="200" spans="1:13" ht="21" customHeight="1" x14ac:dyDescent="0.3">
      <c r="A200" s="190"/>
      <c r="B200" s="191"/>
      <c r="C200" s="192"/>
      <c r="D200" s="193"/>
      <c r="E200" s="194" t="s">
        <v>214</v>
      </c>
      <c r="F200" s="195" t="str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196" t="str">
        <f>IFERROR(ROUNDUP(D200/F200,0),"")</f>
        <v/>
      </c>
      <c r="H200" s="197"/>
      <c r="I200" s="193" t="str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</row>
    <row r="201" spans="1:13" ht="14.25" customHeight="1" x14ac:dyDescent="0.3">
      <c r="A201" s="198"/>
      <c r="B201" s="199" t="s">
        <v>216</v>
      </c>
      <c r="C201" s="200"/>
      <c r="D201" s="201">
        <f>SUM(D194:D200)</f>
        <v>0</v>
      </c>
      <c r="E201" s="202"/>
      <c r="F201" s="202"/>
      <c r="G201" s="203">
        <f>SUM(G194:G200)</f>
        <v>0</v>
      </c>
      <c r="H201" s="201">
        <f>SUM(H194:H200)</f>
        <v>0</v>
      </c>
      <c r="I201" s="201">
        <f>SUM(I194:I200)</f>
        <v>0</v>
      </c>
      <c r="J201" s="28">
        <f>D201</f>
        <v>0</v>
      </c>
      <c r="K201" s="106">
        <f>G201</f>
        <v>0</v>
      </c>
      <c r="L201" s="28">
        <f>H201</f>
        <v>0</v>
      </c>
      <c r="M201" s="28">
        <f>I201</f>
        <v>0</v>
      </c>
    </row>
    <row r="202" spans="1:13" ht="14.25" customHeight="1" x14ac:dyDescent="0.3">
      <c r="C202" s="72"/>
    </row>
    <row r="203" spans="1:13" ht="14.25" customHeight="1" x14ac:dyDescent="0.3">
      <c r="A203" s="30">
        <v>46295</v>
      </c>
      <c r="B203" s="186" t="s">
        <v>78</v>
      </c>
      <c r="C203" s="187" t="s">
        <v>205</v>
      </c>
      <c r="D203" s="188" t="s">
        <v>206</v>
      </c>
      <c r="E203" s="188" t="s">
        <v>207</v>
      </c>
      <c r="F203" s="189" t="s">
        <v>208</v>
      </c>
      <c r="G203" s="188" t="s">
        <v>209</v>
      </c>
      <c r="H203" s="188" t="s">
        <v>210</v>
      </c>
      <c r="I203" s="188" t="s">
        <v>211</v>
      </c>
    </row>
    <row r="204" spans="1:13" ht="21" customHeight="1" x14ac:dyDescent="0.3">
      <c r="A204" s="190"/>
      <c r="B204" s="191"/>
      <c r="C204" s="192"/>
      <c r="D204" s="193"/>
      <c r="E204" s="194" t="s">
        <v>214</v>
      </c>
      <c r="F204" s="195" t="str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196" t="str">
        <f>IFERROR(ROUNDUP(D204/F204,0),"")</f>
        <v/>
      </c>
      <c r="H204" s="197"/>
      <c r="I204" s="193" t="str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</row>
    <row r="205" spans="1:13" ht="21" customHeight="1" x14ac:dyDescent="0.3">
      <c r="A205" s="190"/>
      <c r="B205" s="191"/>
      <c r="C205" s="192"/>
      <c r="D205" s="193"/>
      <c r="E205" s="194" t="s">
        <v>214</v>
      </c>
      <c r="F205" s="195" t="str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196" t="str">
        <f>IFERROR(ROUNDUP(D205/F205,0),"")</f>
        <v/>
      </c>
      <c r="H205" s="197"/>
      <c r="I205" s="193" t="str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</row>
    <row r="206" spans="1:13" ht="21" customHeight="1" x14ac:dyDescent="0.3">
      <c r="A206" s="190"/>
      <c r="B206" s="191"/>
      <c r="C206" s="192"/>
      <c r="D206" s="193"/>
      <c r="E206" s="194" t="s">
        <v>214</v>
      </c>
      <c r="F206" s="195" t="str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196" t="str">
        <f>IFERROR(ROUNDUP(D206/F206,0),"")</f>
        <v/>
      </c>
      <c r="H206" s="197"/>
      <c r="I206" s="193" t="str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</row>
    <row r="207" spans="1:13" ht="21" customHeight="1" x14ac:dyDescent="0.3">
      <c r="A207" s="190"/>
      <c r="B207" s="191"/>
      <c r="C207" s="192"/>
      <c r="D207" s="193"/>
      <c r="E207" s="194" t="s">
        <v>214</v>
      </c>
      <c r="F207" s="195" t="str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196" t="str">
        <f>IFERROR(ROUNDUP(D207/F207,0),"")</f>
        <v/>
      </c>
      <c r="H207" s="197"/>
      <c r="I207" s="193" t="str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</row>
    <row r="208" spans="1:13" ht="21" customHeight="1" x14ac:dyDescent="0.3">
      <c r="A208" s="190"/>
      <c r="B208" s="191"/>
      <c r="C208" s="192"/>
      <c r="D208" s="193"/>
      <c r="E208" s="194" t="s">
        <v>214</v>
      </c>
      <c r="F208" s="195" t="str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196" t="str">
        <f>IFERROR(ROUNDUP(D208/F208,0),"")</f>
        <v/>
      </c>
      <c r="H208" s="197"/>
      <c r="I208" s="193" t="str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</row>
    <row r="209" spans="1:13" ht="14.25" customHeight="1" x14ac:dyDescent="0.3">
      <c r="A209" s="198"/>
      <c r="B209" s="199" t="s">
        <v>216</v>
      </c>
      <c r="C209" s="200"/>
      <c r="D209" s="201">
        <f>SUM(D202:D208)</f>
        <v>0</v>
      </c>
      <c r="E209" s="202"/>
      <c r="F209" s="202"/>
      <c r="G209" s="203">
        <f>SUM(G202:G208)</f>
        <v>0</v>
      </c>
      <c r="H209" s="201">
        <f>SUM(H202:H208)</f>
        <v>0</v>
      </c>
      <c r="I209" s="201">
        <f>SUM(I202:I208)</f>
        <v>0</v>
      </c>
      <c r="J209" s="28">
        <f>D209</f>
        <v>0</v>
      </c>
      <c r="K209" s="106">
        <f>G209</f>
        <v>0</v>
      </c>
      <c r="L209" s="28">
        <f>H209</f>
        <v>0</v>
      </c>
      <c r="M209" s="28">
        <f>I209</f>
        <v>0</v>
      </c>
    </row>
  </sheetData>
  <mergeCells count="3">
    <mergeCell ref="A1:I1"/>
    <mergeCell ref="A2:F2"/>
    <mergeCell ref="G2:I2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77" xr:uid="{00000000-0002-0000-1C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F766E"/>
  </sheetPr>
  <dimension ref="A1:Y59"/>
  <sheetViews>
    <sheetView showGridLines="0" topLeftCell="A4" zoomScale="90" zoomScaleNormal="90" workbookViewId="0">
      <selection activeCell="F14" sqref="F14"/>
    </sheetView>
  </sheetViews>
  <sheetFormatPr defaultColWidth="8.6640625" defaultRowHeight="14.4" x14ac:dyDescent="0.3"/>
  <cols>
    <col min="1" max="1" width="12" style="437" customWidth="1"/>
    <col min="2" max="2" width="15" customWidth="1"/>
    <col min="3" max="3" width="14" customWidth="1"/>
    <col min="4" max="4" width="13.664062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4">
      <c r="A1" s="612" t="s">
        <v>659</v>
      </c>
      <c r="B1" s="612"/>
      <c r="C1" s="612"/>
      <c r="D1" s="612"/>
      <c r="E1" s="612"/>
      <c r="F1" s="612"/>
    </row>
    <row r="3" spans="1:25" ht="14.25" customHeight="1" x14ac:dyDescent="0.3">
      <c r="B3" s="148" t="s">
        <v>234</v>
      </c>
      <c r="D3" s="148" t="s">
        <v>235</v>
      </c>
      <c r="F3" s="149" t="s">
        <v>236</v>
      </c>
      <c r="H3" s="148" t="s">
        <v>237</v>
      </c>
      <c r="J3" s="150" t="s">
        <v>238</v>
      </c>
      <c r="K3" s="151" t="s">
        <v>239</v>
      </c>
      <c r="L3" s="151" t="s">
        <v>240</v>
      </c>
    </row>
    <row r="4" spans="1:25" ht="15.75" customHeight="1" x14ac:dyDescent="0.3">
      <c r="B4" s="152">
        <f>SUM(C9:C34)</f>
        <v>0</v>
      </c>
      <c r="D4" s="152">
        <f>SUM(D9:D34)</f>
        <v>275000</v>
      </c>
      <c r="F4" s="152">
        <f ca="1">IFERROR(SUMIFS(C9:C34,A9:A34,"&lt;="&amp;TODAY(),F9:F34,"&lt;&gt;*Feriado*")/COUNTIFS(A9:A34,"&lt;="&amp;TODAY(),F9:F34,"&lt;&gt;*Feriado*"),0)</f>
        <v>0</v>
      </c>
      <c r="H4" s="152">
        <f>IFERROR(MAX(C9:C34),0)</f>
        <v>0</v>
      </c>
      <c r="J4" s="153">
        <f>IFERROR(B4/D4,0)</f>
        <v>0</v>
      </c>
      <c r="K4" s="154" t="s">
        <v>241</v>
      </c>
      <c r="L4" s="155" t="s">
        <v>242</v>
      </c>
    </row>
    <row r="5" spans="1:25" ht="15" customHeight="1" x14ac:dyDescent="0.3">
      <c r="K5" s="156" t="s">
        <v>243</v>
      </c>
      <c r="L5" s="157" t="s">
        <v>244</v>
      </c>
    </row>
    <row r="6" spans="1:25" ht="15" customHeight="1" x14ac:dyDescent="0.3">
      <c r="K6" s="158" t="s">
        <v>245</v>
      </c>
      <c r="L6" s="159" t="s">
        <v>246</v>
      </c>
    </row>
    <row r="8" spans="1:25" ht="14.25" customHeight="1" x14ac:dyDescent="0.3">
      <c r="A8" s="442" t="s">
        <v>247</v>
      </c>
      <c r="B8" s="231" t="s">
        <v>248</v>
      </c>
      <c r="C8" s="204" t="s">
        <v>249</v>
      </c>
      <c r="D8" s="204" t="s">
        <v>250</v>
      </c>
      <c r="E8" s="204" t="s">
        <v>251</v>
      </c>
      <c r="F8" s="204" t="s">
        <v>252</v>
      </c>
      <c r="X8" t="s">
        <v>253</v>
      </c>
      <c r="Y8" t="s">
        <v>254</v>
      </c>
    </row>
    <row r="9" spans="1:25" ht="15" customHeight="1" x14ac:dyDescent="0.3">
      <c r="A9" s="443">
        <v>46266</v>
      </c>
      <c r="B9" s="219">
        <f>IF(D9&gt;0,COUNTIF($D$9:D9,"&gt;0"),"")</f>
        <v>1</v>
      </c>
      <c r="C9" s="221">
        <f>'SEMANA SETEMBRO'!$M$9</f>
        <v>0</v>
      </c>
      <c r="D9" s="221">
        <f>CONFIG!$B$3</f>
        <v>11000</v>
      </c>
      <c r="E9" s="221">
        <f t="shared" ref="E9:E34" si="0">C9-D9</f>
        <v>-11000</v>
      </c>
      <c r="F9" s="253"/>
      <c r="X9" s="28">
        <f t="shared" ref="X9:X30" si="1">IF(COUNTIF($F9,"*Feriado*")&gt;0,NA(),$C9)</f>
        <v>0</v>
      </c>
      <c r="Y9" s="28">
        <f t="shared" ref="Y9:Y30" si="2">IF(COUNTIF($F9,"*Feriado*")&gt;0,NA(),$D9)</f>
        <v>11000</v>
      </c>
    </row>
    <row r="10" spans="1:25" ht="15" customHeight="1" x14ac:dyDescent="0.3">
      <c r="A10" s="443">
        <v>46267</v>
      </c>
      <c r="B10" s="219">
        <f>IF(D10&gt;0,COUNTIF($D$9:D10,"&gt;0"),"")</f>
        <v>2</v>
      </c>
      <c r="C10" s="221">
        <f>'SEMANA SETEMBRO'!$M$17</f>
        <v>0</v>
      </c>
      <c r="D10" s="221">
        <f>CONFIG!$B$3</f>
        <v>11000</v>
      </c>
      <c r="E10" s="221">
        <f t="shared" si="0"/>
        <v>-11000</v>
      </c>
      <c r="F10" s="253"/>
      <c r="X10" s="28">
        <f t="shared" si="1"/>
        <v>0</v>
      </c>
      <c r="Y10" s="28">
        <f t="shared" si="2"/>
        <v>11000</v>
      </c>
    </row>
    <row r="11" spans="1:25" ht="15" customHeight="1" x14ac:dyDescent="0.3">
      <c r="A11" s="443">
        <v>46268</v>
      </c>
      <c r="B11" s="219">
        <f>IF(D11&gt;0,COUNTIF($D$9:D11,"&gt;0"),"")</f>
        <v>3</v>
      </c>
      <c r="C11" s="221">
        <f>'SEMANA SETEMBRO'!$M$25</f>
        <v>0</v>
      </c>
      <c r="D11" s="221">
        <f>CONFIG!$B$3</f>
        <v>11000</v>
      </c>
      <c r="E11" s="221">
        <f t="shared" si="0"/>
        <v>-11000</v>
      </c>
      <c r="F11" s="253"/>
      <c r="X11" s="28">
        <f t="shared" si="1"/>
        <v>0</v>
      </c>
      <c r="Y11" s="28">
        <f t="shared" si="2"/>
        <v>11000</v>
      </c>
    </row>
    <row r="12" spans="1:25" ht="15" customHeight="1" x14ac:dyDescent="0.3">
      <c r="A12" s="443">
        <v>46269</v>
      </c>
      <c r="B12" s="219">
        <f>IF(D12&gt;0,COUNTIF($D$9:D12,"&gt;0"),"")</f>
        <v>4</v>
      </c>
      <c r="C12" s="221">
        <f>'SEMANA SETEMBRO'!$M$33</f>
        <v>0</v>
      </c>
      <c r="D12" s="221">
        <f>CONFIG!$B$3</f>
        <v>11000</v>
      </c>
      <c r="E12" s="221">
        <f t="shared" si="0"/>
        <v>-11000</v>
      </c>
      <c r="F12" s="253"/>
      <c r="X12" s="28">
        <f t="shared" si="1"/>
        <v>0</v>
      </c>
      <c r="Y12" s="28">
        <f t="shared" si="2"/>
        <v>11000</v>
      </c>
    </row>
    <row r="13" spans="1:25" ht="15" customHeight="1" x14ac:dyDescent="0.3">
      <c r="A13" s="443">
        <v>46270</v>
      </c>
      <c r="B13" s="219">
        <f>IF(D13&gt;0,COUNTIF($D$9:D13,"&gt;0"),"")</f>
        <v>5</v>
      </c>
      <c r="C13" s="221">
        <f>'SEMANA SETEMBRO'!$M$41</f>
        <v>0</v>
      </c>
      <c r="D13" s="221">
        <f>CONFIG!$B$3</f>
        <v>11000</v>
      </c>
      <c r="E13" s="221">
        <f t="shared" si="0"/>
        <v>-11000</v>
      </c>
      <c r="F13" s="254" t="s">
        <v>557</v>
      </c>
      <c r="X13" s="28">
        <f t="shared" si="1"/>
        <v>0</v>
      </c>
      <c r="Y13" s="28">
        <f t="shared" si="2"/>
        <v>11000</v>
      </c>
    </row>
    <row r="14" spans="1:25" ht="15" customHeight="1" x14ac:dyDescent="0.3">
      <c r="A14" s="443">
        <v>46272</v>
      </c>
      <c r="B14" s="219" t="str">
        <f>IF(D14&gt;0,COUNTIF($D$9:D14,"&gt;0"),"")</f>
        <v/>
      </c>
      <c r="C14" s="221">
        <f>'SEMANA SETEMBRO'!$M$49</f>
        <v>0</v>
      </c>
      <c r="D14" s="221">
        <v>0</v>
      </c>
      <c r="E14" s="221">
        <f t="shared" si="0"/>
        <v>0</v>
      </c>
      <c r="F14" s="254" t="s">
        <v>660</v>
      </c>
      <c r="X14" s="28" t="e">
        <f t="shared" si="1"/>
        <v>#N/A</v>
      </c>
      <c r="Y14" s="28" t="e">
        <f t="shared" si="2"/>
        <v>#N/A</v>
      </c>
    </row>
    <row r="15" spans="1:25" ht="15" customHeight="1" x14ac:dyDescent="0.3">
      <c r="A15" s="443">
        <v>46273</v>
      </c>
      <c r="B15" s="219">
        <f>IF(D15&gt;0,COUNTIF($D$9:D15,"&gt;0"),"")</f>
        <v>6</v>
      </c>
      <c r="C15" s="221">
        <f>'SEMANA SETEMBRO'!$M$57</f>
        <v>0</v>
      </c>
      <c r="D15" s="221">
        <f>CONFIG!$B$3</f>
        <v>11000</v>
      </c>
      <c r="E15" s="221">
        <f t="shared" si="0"/>
        <v>-11000</v>
      </c>
      <c r="F15" s="253"/>
      <c r="X15" s="28">
        <f t="shared" si="1"/>
        <v>0</v>
      </c>
      <c r="Y15" s="28">
        <f t="shared" si="2"/>
        <v>11000</v>
      </c>
    </row>
    <row r="16" spans="1:25" ht="15" customHeight="1" x14ac:dyDescent="0.3">
      <c r="A16" s="443">
        <v>46274</v>
      </c>
      <c r="B16" s="219">
        <f>IF(D16&gt;0,COUNTIF($D$9:D16,"&gt;0"),"")</f>
        <v>7</v>
      </c>
      <c r="C16" s="221">
        <f>'SEMANA SETEMBRO'!$M$65</f>
        <v>0</v>
      </c>
      <c r="D16" s="221">
        <f>CONFIG!$B$3</f>
        <v>11000</v>
      </c>
      <c r="E16" s="221">
        <f t="shared" si="0"/>
        <v>-11000</v>
      </c>
      <c r="F16" s="253"/>
      <c r="X16" s="28">
        <f t="shared" si="1"/>
        <v>0</v>
      </c>
      <c r="Y16" s="28">
        <f t="shared" si="2"/>
        <v>11000</v>
      </c>
    </row>
    <row r="17" spans="1:25" ht="15" customHeight="1" x14ac:dyDescent="0.3">
      <c r="A17" s="443">
        <v>46275</v>
      </c>
      <c r="B17" s="219">
        <f>IF(D17&gt;0,COUNTIF($D$9:D17,"&gt;0"),"")</f>
        <v>8</v>
      </c>
      <c r="C17" s="221">
        <f>'SEMANA SETEMBRO'!$M$73</f>
        <v>0</v>
      </c>
      <c r="D17" s="221">
        <f>CONFIG!$B$3</f>
        <v>11000</v>
      </c>
      <c r="E17" s="221">
        <f t="shared" si="0"/>
        <v>-11000</v>
      </c>
      <c r="F17" s="253"/>
      <c r="X17" s="28">
        <f t="shared" si="1"/>
        <v>0</v>
      </c>
      <c r="Y17" s="28">
        <f t="shared" si="2"/>
        <v>11000</v>
      </c>
    </row>
    <row r="18" spans="1:25" ht="15" customHeight="1" x14ac:dyDescent="0.3">
      <c r="A18" s="443">
        <v>46276</v>
      </c>
      <c r="B18" s="219">
        <f>IF(D18&gt;0,COUNTIF($D$9:D18,"&gt;0"),"")</f>
        <v>9</v>
      </c>
      <c r="C18" s="221">
        <f>'SEMANA SETEMBRO'!$M$81</f>
        <v>0</v>
      </c>
      <c r="D18" s="221">
        <f>CONFIG!$B$3</f>
        <v>11000</v>
      </c>
      <c r="E18" s="221">
        <f t="shared" si="0"/>
        <v>-11000</v>
      </c>
      <c r="F18" s="253"/>
      <c r="X18" s="28">
        <f t="shared" si="1"/>
        <v>0</v>
      </c>
      <c r="Y18" s="28">
        <f t="shared" si="2"/>
        <v>11000</v>
      </c>
    </row>
    <row r="19" spans="1:25" ht="15" customHeight="1" x14ac:dyDescent="0.3">
      <c r="A19" s="443">
        <v>46277</v>
      </c>
      <c r="B19" s="219">
        <f>IF(D19&gt;0,COUNTIF($D$9:D19,"&gt;0"),"")</f>
        <v>10</v>
      </c>
      <c r="C19" s="221">
        <f>'SEMANA SETEMBRO'!$M$89</f>
        <v>0</v>
      </c>
      <c r="D19" s="221">
        <f>CONFIG!$B$3</f>
        <v>11000</v>
      </c>
      <c r="E19" s="221">
        <f t="shared" si="0"/>
        <v>-11000</v>
      </c>
      <c r="F19" s="254" t="s">
        <v>557</v>
      </c>
      <c r="X19" s="28">
        <f t="shared" si="1"/>
        <v>0</v>
      </c>
      <c r="Y19" s="28">
        <f t="shared" si="2"/>
        <v>11000</v>
      </c>
    </row>
    <row r="20" spans="1:25" ht="15" customHeight="1" x14ac:dyDescent="0.3">
      <c r="A20" s="443">
        <v>46279</v>
      </c>
      <c r="B20" s="219">
        <f>IF(D20&gt;0,COUNTIF($D$9:D20,"&gt;0"),"")</f>
        <v>11</v>
      </c>
      <c r="C20" s="221">
        <f>'SEMANA SETEMBRO'!$M$97</f>
        <v>0</v>
      </c>
      <c r="D20" s="221">
        <f>CONFIG!$B$3</f>
        <v>11000</v>
      </c>
      <c r="E20" s="221">
        <f t="shared" si="0"/>
        <v>-11000</v>
      </c>
      <c r="F20" s="253"/>
      <c r="X20" s="28">
        <f t="shared" si="1"/>
        <v>0</v>
      </c>
      <c r="Y20" s="28">
        <f t="shared" si="2"/>
        <v>11000</v>
      </c>
    </row>
    <row r="21" spans="1:25" ht="15" customHeight="1" x14ac:dyDescent="0.3">
      <c r="A21" s="443">
        <v>46280</v>
      </c>
      <c r="B21" s="219">
        <f>IF(D21&gt;0,COUNTIF($D$9:D21,"&gt;0"),"")</f>
        <v>12</v>
      </c>
      <c r="C21" s="221">
        <f>'SEMANA SETEMBRO'!$M$105</f>
        <v>0</v>
      </c>
      <c r="D21" s="221">
        <f>CONFIG!$B$3</f>
        <v>11000</v>
      </c>
      <c r="E21" s="221">
        <f t="shared" si="0"/>
        <v>-11000</v>
      </c>
      <c r="F21" s="253"/>
      <c r="X21" s="28">
        <f t="shared" si="1"/>
        <v>0</v>
      </c>
      <c r="Y21" s="28">
        <f t="shared" si="2"/>
        <v>11000</v>
      </c>
    </row>
    <row r="22" spans="1:25" ht="15" customHeight="1" x14ac:dyDescent="0.3">
      <c r="A22" s="443">
        <v>46281</v>
      </c>
      <c r="B22" s="219">
        <f>IF(D22&gt;0,COUNTIF($D$9:D22,"&gt;0"),"")</f>
        <v>13</v>
      </c>
      <c r="C22" s="221">
        <f>'SEMANA SETEMBRO'!$M$113</f>
        <v>0</v>
      </c>
      <c r="D22" s="221">
        <f>CONFIG!$B$3</f>
        <v>11000</v>
      </c>
      <c r="E22" s="221">
        <f t="shared" si="0"/>
        <v>-11000</v>
      </c>
      <c r="F22" s="253"/>
      <c r="X22" s="28">
        <f t="shared" si="1"/>
        <v>0</v>
      </c>
      <c r="Y22" s="28">
        <f t="shared" si="2"/>
        <v>11000</v>
      </c>
    </row>
    <row r="23" spans="1:25" ht="15" customHeight="1" x14ac:dyDescent="0.3">
      <c r="A23" s="443">
        <v>46282</v>
      </c>
      <c r="B23" s="219">
        <f>IF(D23&gt;0,COUNTIF($D$9:D23,"&gt;0"),"")</f>
        <v>14</v>
      </c>
      <c r="C23" s="221">
        <f>'SEMANA SETEMBRO'!$M$121</f>
        <v>0</v>
      </c>
      <c r="D23" s="221">
        <f>CONFIG!$B$3</f>
        <v>11000</v>
      </c>
      <c r="E23" s="221">
        <f t="shared" si="0"/>
        <v>-11000</v>
      </c>
      <c r="F23" s="253"/>
      <c r="X23" s="28">
        <f t="shared" si="1"/>
        <v>0</v>
      </c>
      <c r="Y23" s="28">
        <f t="shared" si="2"/>
        <v>11000</v>
      </c>
    </row>
    <row r="24" spans="1:25" ht="15" customHeight="1" x14ac:dyDescent="0.3">
      <c r="A24" s="443">
        <v>46283</v>
      </c>
      <c r="B24" s="219">
        <f>IF(D24&gt;0,COUNTIF($D$9:D24,"&gt;0"),"")</f>
        <v>15</v>
      </c>
      <c r="C24" s="221">
        <f>'SEMANA SETEMBRO'!$M$129</f>
        <v>0</v>
      </c>
      <c r="D24" s="221">
        <f>CONFIG!$B$3</f>
        <v>11000</v>
      </c>
      <c r="E24" s="221">
        <f t="shared" si="0"/>
        <v>-11000</v>
      </c>
      <c r="F24" s="253"/>
      <c r="X24" s="28">
        <f t="shared" si="1"/>
        <v>0</v>
      </c>
      <c r="Y24" s="28">
        <f t="shared" si="2"/>
        <v>11000</v>
      </c>
    </row>
    <row r="25" spans="1:25" ht="15" customHeight="1" x14ac:dyDescent="0.3">
      <c r="A25" s="443">
        <v>46284</v>
      </c>
      <c r="B25" s="219">
        <f>IF(D25&gt;0,COUNTIF($D$9:D25,"&gt;0"),"")</f>
        <v>16</v>
      </c>
      <c r="C25" s="221">
        <f>'SEMANA SETEMBRO'!$M$137</f>
        <v>0</v>
      </c>
      <c r="D25" s="221">
        <f>CONFIG!$B$3</f>
        <v>11000</v>
      </c>
      <c r="E25" s="221">
        <f t="shared" si="0"/>
        <v>-11000</v>
      </c>
      <c r="F25" s="254" t="s">
        <v>557</v>
      </c>
      <c r="X25" s="28">
        <f t="shared" si="1"/>
        <v>0</v>
      </c>
      <c r="Y25" s="28">
        <f t="shared" si="2"/>
        <v>11000</v>
      </c>
    </row>
    <row r="26" spans="1:25" ht="15" customHeight="1" x14ac:dyDescent="0.3">
      <c r="A26" s="443">
        <v>46286</v>
      </c>
      <c r="B26" s="219">
        <f>IF(D26&gt;0,COUNTIF($D$9:D26,"&gt;0"),"")</f>
        <v>17</v>
      </c>
      <c r="C26" s="221">
        <f>'SEMANA SETEMBRO'!$M$145</f>
        <v>0</v>
      </c>
      <c r="D26" s="221">
        <f>CONFIG!$B$3</f>
        <v>11000</v>
      </c>
      <c r="E26" s="221">
        <f t="shared" si="0"/>
        <v>-11000</v>
      </c>
      <c r="F26" s="253"/>
      <c r="X26" s="28">
        <f t="shared" si="1"/>
        <v>0</v>
      </c>
      <c r="Y26" s="28">
        <f t="shared" si="2"/>
        <v>11000</v>
      </c>
    </row>
    <row r="27" spans="1:25" ht="15" customHeight="1" x14ac:dyDescent="0.3">
      <c r="A27" s="443">
        <v>46287</v>
      </c>
      <c r="B27" s="219">
        <f>IF(D27&gt;0,COUNTIF($D$9:D27,"&gt;0"),"")</f>
        <v>18</v>
      </c>
      <c r="C27" s="221">
        <f>'SEMANA SETEMBRO'!$M$153</f>
        <v>0</v>
      </c>
      <c r="D27" s="221">
        <f>CONFIG!$B$3</f>
        <v>11000</v>
      </c>
      <c r="E27" s="221">
        <f t="shared" si="0"/>
        <v>-11000</v>
      </c>
      <c r="F27" s="253"/>
      <c r="X27" s="28">
        <f t="shared" si="1"/>
        <v>0</v>
      </c>
      <c r="Y27" s="28">
        <f t="shared" si="2"/>
        <v>11000</v>
      </c>
    </row>
    <row r="28" spans="1:25" ht="15" customHeight="1" x14ac:dyDescent="0.3">
      <c r="A28" s="443">
        <v>46288</v>
      </c>
      <c r="B28" s="219">
        <f>IF(D28&gt;0,COUNTIF($D$9:D28,"&gt;0"),"")</f>
        <v>19</v>
      </c>
      <c r="C28" s="221">
        <f>'SEMANA SETEMBRO'!$M$161</f>
        <v>0</v>
      </c>
      <c r="D28" s="221">
        <f>CONFIG!$B$3</f>
        <v>11000</v>
      </c>
      <c r="E28" s="221">
        <f t="shared" si="0"/>
        <v>-11000</v>
      </c>
      <c r="F28" s="253"/>
      <c r="X28" s="28">
        <f t="shared" si="1"/>
        <v>0</v>
      </c>
      <c r="Y28" s="28">
        <f t="shared" si="2"/>
        <v>11000</v>
      </c>
    </row>
    <row r="29" spans="1:25" ht="15" customHeight="1" x14ac:dyDescent="0.3">
      <c r="A29" s="443">
        <v>46289</v>
      </c>
      <c r="B29" s="219">
        <f>IF(D29&gt;0,COUNTIF($D$9:D29,"&gt;0"),"")</f>
        <v>20</v>
      </c>
      <c r="C29" s="221">
        <f>'SEMANA SETEMBRO'!$M$169</f>
        <v>0</v>
      </c>
      <c r="D29" s="221">
        <f>CONFIG!$B$3</f>
        <v>11000</v>
      </c>
      <c r="E29" s="221">
        <f t="shared" si="0"/>
        <v>-11000</v>
      </c>
      <c r="F29" s="253"/>
      <c r="X29" s="28">
        <f t="shared" si="1"/>
        <v>0</v>
      </c>
      <c r="Y29" s="28">
        <f t="shared" si="2"/>
        <v>11000</v>
      </c>
    </row>
    <row r="30" spans="1:25" ht="15" customHeight="1" x14ac:dyDescent="0.3">
      <c r="A30" s="443">
        <v>46290</v>
      </c>
      <c r="B30" s="219">
        <f>IF(D30&gt;0,COUNTIF($D$9:D30,"&gt;0"),"")</f>
        <v>21</v>
      </c>
      <c r="C30" s="221">
        <f>'SEMANA SETEMBRO'!$M$177</f>
        <v>0</v>
      </c>
      <c r="D30" s="221">
        <f>CONFIG!$B$3</f>
        <v>11000</v>
      </c>
      <c r="E30" s="221">
        <f t="shared" si="0"/>
        <v>-11000</v>
      </c>
      <c r="F30" s="253"/>
      <c r="X30" s="28">
        <f t="shared" si="1"/>
        <v>0</v>
      </c>
      <c r="Y30" s="28">
        <f t="shared" si="2"/>
        <v>11000</v>
      </c>
    </row>
    <row r="31" spans="1:25" ht="14.25" customHeight="1" x14ac:dyDescent="0.3">
      <c r="A31" s="443">
        <v>46291</v>
      </c>
      <c r="B31" s="219">
        <f>IF(D31&gt;0,COUNTIF($D$9:D31,"&gt;0"),"")</f>
        <v>22</v>
      </c>
      <c r="C31" s="221">
        <f>'SEMANA SETEMBRO'!$M$185</f>
        <v>0</v>
      </c>
      <c r="D31" s="221">
        <f>CONFIG!$B$3</f>
        <v>11000</v>
      </c>
      <c r="E31" s="221">
        <f t="shared" si="0"/>
        <v>-11000</v>
      </c>
      <c r="F31" s="254" t="s">
        <v>557</v>
      </c>
    </row>
    <row r="32" spans="1:25" ht="14.25" customHeight="1" x14ac:dyDescent="0.3">
      <c r="A32" s="443">
        <v>46293</v>
      </c>
      <c r="B32" s="219">
        <f>IF(D32&gt;0,COUNTIF($D$9:D32,"&gt;0"),"")</f>
        <v>23</v>
      </c>
      <c r="C32" s="221">
        <f>'SEMANA SETEMBRO'!$M$193</f>
        <v>0</v>
      </c>
      <c r="D32" s="221">
        <f>CONFIG!$B$3</f>
        <v>11000</v>
      </c>
      <c r="E32" s="221">
        <f t="shared" si="0"/>
        <v>-11000</v>
      </c>
      <c r="F32" s="253"/>
    </row>
    <row r="33" spans="1:6" ht="14.25" customHeight="1" x14ac:dyDescent="0.3">
      <c r="A33" s="443">
        <v>46294</v>
      </c>
      <c r="B33" s="219">
        <f>IF(D33&gt;0,COUNTIF($D$9:D33,"&gt;0"),"")</f>
        <v>24</v>
      </c>
      <c r="C33" s="221">
        <f>'SEMANA SETEMBRO'!$M$201</f>
        <v>0</v>
      </c>
      <c r="D33" s="221">
        <f>CONFIG!$B$3</f>
        <v>11000</v>
      </c>
      <c r="E33" s="221">
        <f t="shared" si="0"/>
        <v>-11000</v>
      </c>
      <c r="F33" s="253"/>
    </row>
    <row r="34" spans="1:6" ht="14.25" customHeight="1" x14ac:dyDescent="0.3">
      <c r="A34" s="443">
        <v>46295</v>
      </c>
      <c r="B34" s="219">
        <f>IF(D34&gt;0,COUNTIF($D$9:D34,"&gt;0"),"")</f>
        <v>25</v>
      </c>
      <c r="C34" s="221">
        <f>'SEMANA SETEMBRO'!$M$209</f>
        <v>0</v>
      </c>
      <c r="D34" s="221">
        <f>CONFIG!$B$3</f>
        <v>11000</v>
      </c>
      <c r="E34" s="221">
        <f t="shared" si="0"/>
        <v>-11000</v>
      </c>
      <c r="F34" s="253"/>
    </row>
    <row r="35" spans="1:6" ht="14.25" customHeight="1" x14ac:dyDescent="0.3"/>
    <row r="36" spans="1:6" ht="14.25" customHeight="1" x14ac:dyDescent="0.3"/>
    <row r="37" spans="1:6" ht="14.25" customHeight="1" x14ac:dyDescent="0.3"/>
    <row r="38" spans="1:6" ht="14.25" customHeight="1" x14ac:dyDescent="0.3"/>
    <row r="39" spans="1:6" ht="14.25" customHeight="1" x14ac:dyDescent="0.3"/>
    <row r="40" spans="1:6" ht="14.25" customHeight="1" x14ac:dyDescent="0.3"/>
    <row r="41" spans="1:6" ht="14.25" customHeight="1" x14ac:dyDescent="0.3"/>
    <row r="42" spans="1:6" ht="14.25" customHeight="1" x14ac:dyDescent="0.3"/>
    <row r="43" spans="1:6" ht="14.25" customHeight="1" x14ac:dyDescent="0.3"/>
    <row r="44" spans="1:6" ht="14.25" customHeight="1" x14ac:dyDescent="0.3"/>
    <row r="45" spans="1:6" ht="14.25" customHeight="1" x14ac:dyDescent="0.3"/>
    <row r="46" spans="1:6" ht="14.25" customHeight="1" x14ac:dyDescent="0.3"/>
    <row r="47" spans="1:6" ht="14.25" customHeight="1" x14ac:dyDescent="0.3"/>
    <row r="48" spans="1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</sheetData>
  <mergeCells count="1">
    <mergeCell ref="A1:F1"/>
  </mergeCells>
  <conditionalFormatting sqref="E9:E30">
    <cfRule type="cellIs" dxfId="29" priority="2" operator="greaterThan">
      <formula>0</formula>
    </cfRule>
    <cfRule type="cellIs" dxfId="28" priority="3" operator="lessThan">
      <formula>0</formula>
    </cfRule>
    <cfRule type="cellIs" dxfId="27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C96B0A"/>
  </sheetPr>
  <dimension ref="B1:N300"/>
  <sheetViews>
    <sheetView showGridLines="0" zoomScaleNormal="100" workbookViewId="0"/>
  </sheetViews>
  <sheetFormatPr defaultColWidth="8.6640625" defaultRowHeight="17.399999999999999" x14ac:dyDescent="0.3"/>
  <cols>
    <col min="1" max="1" width="2.5546875" customWidth="1"/>
    <col min="2" max="2" width="13.5546875" style="5" customWidth="1"/>
    <col min="3" max="3" width="7.6640625" style="6" customWidth="1"/>
    <col min="4" max="4" width="12.6640625" style="6" customWidth="1"/>
    <col min="5" max="5" width="9.109375" style="7" customWidth="1"/>
    <col min="6" max="6" width="13.5546875" style="7" customWidth="1"/>
    <col min="7" max="7" width="6.6640625" style="7" customWidth="1"/>
    <col min="8" max="8" width="8" style="7" customWidth="1"/>
    <col min="9" max="9" width="7.5546875" style="7" customWidth="1"/>
    <col min="10" max="10" width="20" style="7" customWidth="1"/>
    <col min="11" max="11" width="9.109375" style="7" customWidth="1"/>
    <col min="12" max="12" width="21" style="7" customWidth="1"/>
    <col min="13" max="13" width="18.109375" style="6" customWidth="1"/>
    <col min="14" max="14" width="17.109375" style="441" customWidth="1"/>
  </cols>
  <sheetData>
    <row r="1" spans="2:14" ht="21.75" customHeight="1" x14ac:dyDescent="0.3">
      <c r="B1" s="561" t="s">
        <v>661</v>
      </c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561"/>
    </row>
    <row r="2" spans="2:14" ht="15" customHeight="1" x14ac:dyDescent="0.3"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</row>
    <row r="3" spans="2:14" ht="17.25" customHeight="1" x14ac:dyDescent="0.3">
      <c r="B3" s="163" t="s">
        <v>75</v>
      </c>
      <c r="C3" s="562" t="s">
        <v>76</v>
      </c>
      <c r="D3" s="562"/>
      <c r="E3" s="562" t="s">
        <v>77</v>
      </c>
      <c r="F3" s="562"/>
      <c r="G3" s="562" t="s">
        <v>78</v>
      </c>
      <c r="H3" s="562"/>
      <c r="I3" s="562"/>
      <c r="J3" s="562"/>
      <c r="K3" s="562" t="s">
        <v>79</v>
      </c>
      <c r="L3" s="562"/>
      <c r="M3" s="164" t="s">
        <v>80</v>
      </c>
      <c r="N3" s="438" t="s">
        <v>81</v>
      </c>
    </row>
    <row r="4" spans="2:14" ht="17.25" customHeight="1" x14ac:dyDescent="0.3">
      <c r="B4" s="233"/>
      <c r="C4" s="605"/>
      <c r="D4" s="605"/>
      <c r="E4" s="605"/>
      <c r="F4" s="605"/>
      <c r="G4" s="605"/>
      <c r="H4" s="605"/>
      <c r="I4" s="605"/>
      <c r="J4" s="605"/>
      <c r="K4" s="605"/>
      <c r="L4" s="605"/>
      <c r="M4" s="234"/>
      <c r="N4" s="438"/>
    </row>
    <row r="5" spans="2:14" ht="17.25" customHeight="1" x14ac:dyDescent="0.3">
      <c r="B5" s="21"/>
      <c r="C5" s="552"/>
      <c r="D5" s="552"/>
      <c r="E5" s="552"/>
      <c r="F5" s="552"/>
      <c r="G5" s="552"/>
      <c r="H5" s="552"/>
      <c r="I5" s="552"/>
      <c r="J5" s="552"/>
      <c r="K5" s="552"/>
      <c r="L5" s="552"/>
      <c r="M5" s="22"/>
      <c r="N5" s="438"/>
    </row>
    <row r="6" spans="2:14" ht="17.25" customHeight="1" x14ac:dyDescent="0.3">
      <c r="B6" s="19"/>
      <c r="C6" s="553"/>
      <c r="D6" s="553"/>
      <c r="E6" s="553"/>
      <c r="F6" s="553"/>
      <c r="G6" s="553"/>
      <c r="H6" s="553"/>
      <c r="I6" s="553"/>
      <c r="J6" s="553"/>
      <c r="K6" s="553"/>
      <c r="L6" s="553"/>
      <c r="M6" s="23"/>
      <c r="N6" s="438"/>
    </row>
    <row r="7" spans="2:14" ht="17.25" customHeight="1" x14ac:dyDescent="0.3">
      <c r="B7" s="21"/>
      <c r="C7" s="552"/>
      <c r="D7" s="552"/>
      <c r="E7" s="552"/>
      <c r="F7" s="552"/>
      <c r="G7" s="552"/>
      <c r="H7" s="552"/>
      <c r="I7" s="552"/>
      <c r="J7" s="552"/>
      <c r="K7" s="552"/>
      <c r="L7" s="552"/>
      <c r="M7" s="24"/>
      <c r="N7" s="438"/>
    </row>
    <row r="8" spans="2:14" ht="17.25" customHeight="1" x14ac:dyDescent="0.3">
      <c r="B8" s="19"/>
      <c r="C8" s="553"/>
      <c r="D8" s="553"/>
      <c r="E8" s="553"/>
      <c r="F8" s="553"/>
      <c r="G8" s="553"/>
      <c r="H8" s="553"/>
      <c r="I8" s="553"/>
      <c r="J8" s="553"/>
      <c r="K8" s="553"/>
      <c r="L8" s="553"/>
      <c r="M8" s="23"/>
      <c r="N8" s="438"/>
    </row>
    <row r="9" spans="2:14" ht="17.25" customHeight="1" x14ac:dyDescent="0.3">
      <c r="B9" s="21"/>
      <c r="C9" s="552"/>
      <c r="D9" s="552"/>
      <c r="E9" s="552"/>
      <c r="F9" s="552"/>
      <c r="G9" s="552"/>
      <c r="H9" s="552"/>
      <c r="I9" s="552"/>
      <c r="J9" s="552"/>
      <c r="K9" s="552"/>
      <c r="L9" s="552"/>
      <c r="M9" s="22"/>
      <c r="N9" s="438"/>
    </row>
    <row r="10" spans="2:14" ht="17.25" customHeight="1" x14ac:dyDescent="0.3">
      <c r="B10" s="19"/>
      <c r="C10" s="553"/>
      <c r="D10" s="553"/>
      <c r="E10" s="553"/>
      <c r="F10" s="553"/>
      <c r="G10" s="553"/>
      <c r="H10" s="553"/>
      <c r="I10" s="553"/>
      <c r="J10" s="553"/>
      <c r="K10" s="553"/>
      <c r="L10" s="553"/>
      <c r="M10" s="20"/>
      <c r="N10" s="438"/>
    </row>
    <row r="11" spans="2:14" ht="17.25" customHeight="1" x14ac:dyDescent="0.3">
      <c r="B11" s="21"/>
      <c r="C11" s="552"/>
      <c r="D11" s="552"/>
      <c r="E11" s="552"/>
      <c r="F11" s="552"/>
      <c r="G11" s="552"/>
      <c r="H11" s="552"/>
      <c r="I11" s="552"/>
      <c r="J11" s="552"/>
      <c r="K11" s="552"/>
      <c r="L11" s="552"/>
      <c r="M11" s="22"/>
      <c r="N11" s="438"/>
    </row>
    <row r="12" spans="2:14" ht="17.25" customHeight="1" x14ac:dyDescent="0.3">
      <c r="B12" s="19"/>
      <c r="C12" s="553"/>
      <c r="D12" s="553"/>
      <c r="E12" s="553"/>
      <c r="F12" s="553"/>
      <c r="G12" s="553"/>
      <c r="H12" s="553"/>
      <c r="I12" s="553"/>
      <c r="J12" s="553"/>
      <c r="K12" s="553"/>
      <c r="L12" s="553"/>
      <c r="M12" s="20"/>
      <c r="N12" s="438"/>
    </row>
    <row r="13" spans="2:14" ht="17.25" customHeight="1" x14ac:dyDescent="0.3">
      <c r="B13" s="21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22"/>
      <c r="N13" s="438"/>
    </row>
    <row r="14" spans="2:14" ht="17.25" customHeight="1" x14ac:dyDescent="0.3">
      <c r="B14" s="19"/>
      <c r="C14" s="553"/>
      <c r="D14" s="553"/>
      <c r="E14" s="553"/>
      <c r="F14" s="553"/>
      <c r="G14" s="553"/>
      <c r="H14" s="553"/>
      <c r="I14" s="553"/>
      <c r="J14" s="553"/>
      <c r="K14" s="553"/>
      <c r="L14" s="553"/>
      <c r="M14" s="20"/>
      <c r="N14" s="438"/>
    </row>
    <row r="15" spans="2:14" ht="17.25" customHeight="1" x14ac:dyDescent="0.3">
      <c r="B15" s="21"/>
      <c r="C15" s="552"/>
      <c r="D15" s="552"/>
      <c r="E15" s="552"/>
      <c r="F15" s="552"/>
      <c r="G15" s="552"/>
      <c r="H15" s="552"/>
      <c r="I15" s="552"/>
      <c r="J15" s="552"/>
      <c r="K15" s="552"/>
      <c r="L15" s="552"/>
      <c r="M15" s="22"/>
      <c r="N15" s="438"/>
    </row>
    <row r="16" spans="2:14" ht="17.25" customHeight="1" x14ac:dyDescent="0.3">
      <c r="B16" s="19"/>
      <c r="C16" s="553"/>
      <c r="D16" s="553"/>
      <c r="E16" s="553"/>
      <c r="F16" s="553"/>
      <c r="G16" s="553"/>
      <c r="H16" s="553"/>
      <c r="I16" s="553"/>
      <c r="J16" s="553"/>
      <c r="K16" s="553"/>
      <c r="L16" s="553"/>
      <c r="M16" s="20"/>
      <c r="N16" s="438"/>
    </row>
    <row r="17" spans="2:14" ht="17.25" customHeight="1" x14ac:dyDescent="0.3">
      <c r="B17" s="21"/>
      <c r="C17" s="552"/>
      <c r="D17" s="552"/>
      <c r="E17" s="552"/>
      <c r="F17" s="552"/>
      <c r="G17" s="552"/>
      <c r="H17" s="552"/>
      <c r="I17" s="552"/>
      <c r="J17" s="552"/>
      <c r="K17" s="552"/>
      <c r="L17" s="552"/>
      <c r="M17" s="24"/>
      <c r="N17" s="438"/>
    </row>
    <row r="18" spans="2:14" ht="17.25" customHeight="1" x14ac:dyDescent="0.3">
      <c r="B18" s="19"/>
      <c r="C18" s="553"/>
      <c r="D18" s="553"/>
      <c r="E18" s="553"/>
      <c r="F18" s="553"/>
      <c r="G18" s="553"/>
      <c r="H18" s="553"/>
      <c r="I18" s="553"/>
      <c r="J18" s="553"/>
      <c r="K18" s="553"/>
      <c r="L18" s="553"/>
      <c r="M18" s="20"/>
      <c r="N18" s="438"/>
    </row>
    <row r="19" spans="2:14" ht="17.25" customHeight="1" x14ac:dyDescent="0.3">
      <c r="B19" s="21"/>
      <c r="C19" s="552"/>
      <c r="D19" s="552"/>
      <c r="E19" s="552"/>
      <c r="F19" s="552"/>
      <c r="G19" s="552"/>
      <c r="H19" s="552"/>
      <c r="I19" s="552"/>
      <c r="J19" s="552"/>
      <c r="K19" s="552"/>
      <c r="L19" s="552"/>
      <c r="M19" s="22"/>
      <c r="N19" s="438"/>
    </row>
    <row r="20" spans="2:14" ht="17.25" customHeight="1" x14ac:dyDescent="0.3">
      <c r="B20" s="19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20"/>
      <c r="N20" s="438"/>
    </row>
    <row r="21" spans="2:14" ht="17.25" customHeight="1" x14ac:dyDescent="0.3">
      <c r="B21" s="21"/>
      <c r="C21" s="552"/>
      <c r="D21" s="552"/>
      <c r="E21" s="552"/>
      <c r="F21" s="552"/>
      <c r="G21" s="552"/>
      <c r="H21" s="552"/>
      <c r="I21" s="552"/>
      <c r="J21" s="552"/>
      <c r="K21" s="552"/>
      <c r="L21" s="552"/>
      <c r="M21" s="22"/>
      <c r="N21" s="438"/>
    </row>
    <row r="22" spans="2:14" ht="17.25" customHeight="1" x14ac:dyDescent="0.3">
      <c r="B22" s="19"/>
      <c r="C22" s="553"/>
      <c r="D22" s="553"/>
      <c r="E22" s="553"/>
      <c r="F22" s="553"/>
      <c r="G22" s="553"/>
      <c r="H22" s="553"/>
      <c r="I22" s="553"/>
      <c r="J22" s="553"/>
      <c r="K22" s="553"/>
      <c r="L22" s="553"/>
      <c r="M22" s="20"/>
      <c r="N22" s="438"/>
    </row>
    <row r="23" spans="2:14" ht="17.25" customHeight="1" x14ac:dyDescent="0.3">
      <c r="B23" s="21"/>
      <c r="C23" s="552"/>
      <c r="D23" s="552"/>
      <c r="E23" s="552"/>
      <c r="F23" s="552"/>
      <c r="G23" s="552"/>
      <c r="H23" s="552"/>
      <c r="I23" s="552"/>
      <c r="J23" s="552"/>
      <c r="K23" s="552"/>
      <c r="L23" s="552"/>
      <c r="M23" s="22"/>
      <c r="N23" s="438"/>
    </row>
    <row r="24" spans="2:14" ht="17.25" customHeight="1" x14ac:dyDescent="0.3">
      <c r="B24" s="19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20"/>
      <c r="N24" s="438"/>
    </row>
    <row r="25" spans="2:14" ht="17.25" customHeight="1" x14ac:dyDescent="0.3">
      <c r="B25" s="21"/>
      <c r="C25" s="552"/>
      <c r="D25" s="552"/>
      <c r="E25" s="552"/>
      <c r="F25" s="552"/>
      <c r="G25" s="552"/>
      <c r="H25" s="552"/>
      <c r="I25" s="552"/>
      <c r="J25" s="552"/>
      <c r="K25" s="552"/>
      <c r="L25" s="552"/>
      <c r="M25" s="24"/>
      <c r="N25" s="438"/>
    </row>
    <row r="26" spans="2:14" ht="17.25" customHeight="1" x14ac:dyDescent="0.3">
      <c r="B26" s="19"/>
      <c r="C26" s="553"/>
      <c r="D26" s="553"/>
      <c r="E26" s="553"/>
      <c r="F26" s="553"/>
      <c r="G26" s="553"/>
      <c r="H26" s="553"/>
      <c r="I26" s="553"/>
      <c r="J26" s="553"/>
      <c r="K26" s="553"/>
      <c r="L26" s="553"/>
      <c r="M26" s="20"/>
      <c r="N26" s="438"/>
    </row>
    <row r="27" spans="2:14" ht="17.25" customHeight="1" x14ac:dyDescent="0.3">
      <c r="B27" s="21"/>
      <c r="C27" s="552"/>
      <c r="D27" s="552"/>
      <c r="E27" s="552"/>
      <c r="F27" s="552"/>
      <c r="G27" s="552"/>
      <c r="H27" s="552"/>
      <c r="I27" s="552"/>
      <c r="J27" s="552"/>
      <c r="K27" s="552"/>
      <c r="L27" s="552"/>
      <c r="M27" s="22"/>
      <c r="N27" s="438"/>
    </row>
    <row r="28" spans="2:14" ht="17.25" customHeight="1" x14ac:dyDescent="0.3">
      <c r="B28" s="19"/>
      <c r="C28" s="553"/>
      <c r="D28" s="553"/>
      <c r="E28" s="553"/>
      <c r="F28" s="553"/>
      <c r="G28" s="553"/>
      <c r="H28" s="553"/>
      <c r="I28" s="553"/>
      <c r="J28" s="553"/>
      <c r="K28" s="553"/>
      <c r="L28" s="553"/>
      <c r="M28" s="20"/>
      <c r="N28" s="438"/>
    </row>
    <row r="29" spans="2:14" ht="17.25" customHeight="1" x14ac:dyDescent="0.3">
      <c r="B29" s="21"/>
      <c r="C29" s="552"/>
      <c r="D29" s="552"/>
      <c r="E29" s="552"/>
      <c r="F29" s="552"/>
      <c r="G29" s="552"/>
      <c r="H29" s="552"/>
      <c r="I29" s="552"/>
      <c r="J29" s="552"/>
      <c r="K29" s="552"/>
      <c r="L29" s="552"/>
      <c r="M29" s="22"/>
      <c r="N29" s="438"/>
    </row>
    <row r="30" spans="2:14" ht="17.25" customHeight="1" x14ac:dyDescent="0.3">
      <c r="B30" s="19"/>
      <c r="C30" s="553"/>
      <c r="D30" s="553"/>
      <c r="E30" s="553"/>
      <c r="F30" s="553"/>
      <c r="G30" s="553"/>
      <c r="H30" s="553"/>
      <c r="I30" s="553"/>
      <c r="J30" s="553"/>
      <c r="K30" s="553"/>
      <c r="L30" s="553"/>
      <c r="M30" s="20"/>
      <c r="N30" s="438"/>
    </row>
    <row r="31" spans="2:14" ht="17.25" customHeight="1" x14ac:dyDescent="0.3">
      <c r="B31" s="21"/>
      <c r="C31" s="552"/>
      <c r="D31" s="552"/>
      <c r="E31" s="552"/>
      <c r="F31" s="552"/>
      <c r="G31" s="552"/>
      <c r="H31" s="552"/>
      <c r="I31" s="552"/>
      <c r="J31" s="552"/>
      <c r="K31" s="552"/>
      <c r="L31" s="552"/>
      <c r="M31" s="22"/>
      <c r="N31" s="438"/>
    </row>
    <row r="32" spans="2:14" ht="17.25" customHeight="1" x14ac:dyDescent="0.3">
      <c r="B32" s="19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20"/>
      <c r="N32" s="438"/>
    </row>
    <row r="33" spans="2:14" ht="17.25" customHeight="1" x14ac:dyDescent="0.3">
      <c r="B33" s="21"/>
      <c r="C33" s="552"/>
      <c r="D33" s="552"/>
      <c r="E33" s="552"/>
      <c r="F33" s="552"/>
      <c r="G33" s="552"/>
      <c r="H33" s="552"/>
      <c r="I33" s="552"/>
      <c r="J33" s="552"/>
      <c r="K33" s="552"/>
      <c r="L33" s="552"/>
      <c r="M33" s="22"/>
      <c r="N33" s="438"/>
    </row>
    <row r="34" spans="2:14" ht="17.25" customHeight="1" x14ac:dyDescent="0.3">
      <c r="B34" s="19"/>
      <c r="C34" s="553"/>
      <c r="D34" s="553"/>
      <c r="E34" s="553"/>
      <c r="F34" s="553"/>
      <c r="G34" s="553"/>
      <c r="H34" s="553"/>
      <c r="I34" s="553"/>
      <c r="J34" s="553"/>
      <c r="K34" s="553"/>
      <c r="L34" s="553"/>
      <c r="M34" s="23"/>
      <c r="N34" s="438"/>
    </row>
    <row r="35" spans="2:14" ht="17.25" customHeight="1" x14ac:dyDescent="0.3">
      <c r="B35" s="21"/>
      <c r="C35" s="552"/>
      <c r="D35" s="552"/>
      <c r="E35" s="552"/>
      <c r="F35" s="552"/>
      <c r="G35" s="552"/>
      <c r="H35" s="552"/>
      <c r="I35" s="552"/>
      <c r="J35" s="552"/>
      <c r="K35" s="552"/>
      <c r="L35" s="552"/>
      <c r="M35" s="22"/>
      <c r="N35" s="438"/>
    </row>
    <row r="36" spans="2:14" ht="17.25" customHeight="1" x14ac:dyDescent="0.3">
      <c r="B36" s="19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20"/>
      <c r="N36" s="438"/>
    </row>
    <row r="37" spans="2:14" ht="17.25" customHeight="1" x14ac:dyDescent="0.3">
      <c r="B37" s="21"/>
      <c r="C37" s="552"/>
      <c r="D37" s="552"/>
      <c r="E37" s="552"/>
      <c r="F37" s="552"/>
      <c r="G37" s="552"/>
      <c r="H37" s="552"/>
      <c r="I37" s="552"/>
      <c r="J37" s="552"/>
      <c r="K37" s="552"/>
      <c r="L37" s="552"/>
      <c r="M37" s="22"/>
      <c r="N37" s="438"/>
    </row>
    <row r="38" spans="2:14" ht="17.25" customHeight="1" x14ac:dyDescent="0.3">
      <c r="B38" s="19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20"/>
      <c r="N38" s="438"/>
    </row>
    <row r="39" spans="2:14" ht="17.25" customHeight="1" x14ac:dyDescent="0.3">
      <c r="B39" s="21"/>
      <c r="C39" s="552"/>
      <c r="D39" s="552"/>
      <c r="E39" s="552"/>
      <c r="F39" s="552"/>
      <c r="G39" s="552"/>
      <c r="H39" s="552"/>
      <c r="I39" s="552"/>
      <c r="J39" s="552"/>
      <c r="K39" s="552"/>
      <c r="L39" s="552"/>
      <c r="M39" s="22"/>
      <c r="N39" s="438"/>
    </row>
    <row r="40" spans="2:14" ht="17.25" customHeight="1" x14ac:dyDescent="0.3">
      <c r="B40" s="19"/>
      <c r="C40" s="553"/>
      <c r="D40" s="553"/>
      <c r="E40" s="553"/>
      <c r="F40" s="553"/>
      <c r="G40" s="553"/>
      <c r="H40" s="553"/>
      <c r="I40" s="553"/>
      <c r="J40" s="553"/>
      <c r="K40" s="553"/>
      <c r="L40" s="553"/>
      <c r="M40" s="20"/>
      <c r="N40" s="438"/>
    </row>
    <row r="41" spans="2:14" ht="17.25" customHeight="1" x14ac:dyDescent="0.3">
      <c r="B41" s="21"/>
      <c r="C41" s="552"/>
      <c r="D41" s="552"/>
      <c r="E41" s="552"/>
      <c r="F41" s="552"/>
      <c r="G41" s="552"/>
      <c r="H41" s="552"/>
      <c r="I41" s="552"/>
      <c r="J41" s="552"/>
      <c r="K41" s="552"/>
      <c r="L41" s="552"/>
      <c r="M41" s="22"/>
      <c r="N41" s="438"/>
    </row>
    <row r="42" spans="2:14" ht="17.25" customHeight="1" x14ac:dyDescent="0.3">
      <c r="B42" s="19"/>
      <c r="C42" s="553"/>
      <c r="D42" s="553"/>
      <c r="E42" s="553"/>
      <c r="F42" s="553"/>
      <c r="G42" s="553"/>
      <c r="H42" s="553"/>
      <c r="I42" s="553"/>
      <c r="J42" s="553"/>
      <c r="K42" s="553"/>
      <c r="L42" s="553"/>
      <c r="M42" s="23"/>
      <c r="N42" s="438"/>
    </row>
    <row r="43" spans="2:14" ht="17.25" customHeight="1" x14ac:dyDescent="0.3">
      <c r="B43" s="21"/>
      <c r="C43" s="552"/>
      <c r="D43" s="552"/>
      <c r="E43" s="552"/>
      <c r="F43" s="552"/>
      <c r="G43" s="552"/>
      <c r="H43" s="552"/>
      <c r="I43" s="552"/>
      <c r="J43" s="552"/>
      <c r="K43" s="552"/>
      <c r="L43" s="552"/>
      <c r="M43" s="22"/>
      <c r="N43" s="438"/>
    </row>
    <row r="44" spans="2:14" ht="17.25" customHeight="1" x14ac:dyDescent="0.3">
      <c r="B44" s="19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20"/>
      <c r="N44" s="438"/>
    </row>
    <row r="45" spans="2:14" ht="17.25" customHeight="1" x14ac:dyDescent="0.3">
      <c r="B45" s="21"/>
      <c r="C45" s="552"/>
      <c r="D45" s="552"/>
      <c r="E45" s="552"/>
      <c r="F45" s="552"/>
      <c r="G45" s="552"/>
      <c r="H45" s="552"/>
      <c r="I45" s="552"/>
      <c r="J45" s="552"/>
      <c r="K45" s="552"/>
      <c r="L45" s="552"/>
      <c r="M45" s="22"/>
      <c r="N45" s="438"/>
    </row>
    <row r="46" spans="2:14" ht="17.25" customHeight="1" x14ac:dyDescent="0.3">
      <c r="B46" s="19"/>
      <c r="C46" s="553"/>
      <c r="D46" s="553"/>
      <c r="E46" s="553"/>
      <c r="F46" s="553"/>
      <c r="G46" s="553"/>
      <c r="H46" s="553"/>
      <c r="I46" s="553"/>
      <c r="J46" s="553"/>
      <c r="K46" s="553"/>
      <c r="L46" s="553"/>
      <c r="M46" s="20"/>
      <c r="N46" s="438"/>
    </row>
    <row r="47" spans="2:14" ht="17.25" customHeight="1" x14ac:dyDescent="0.3">
      <c r="B47" s="21"/>
      <c r="C47" s="552"/>
      <c r="D47" s="552"/>
      <c r="E47" s="552"/>
      <c r="F47" s="552"/>
      <c r="G47" s="552"/>
      <c r="H47" s="552"/>
      <c r="I47" s="552"/>
      <c r="J47" s="552"/>
      <c r="K47" s="552"/>
      <c r="L47" s="552"/>
      <c r="M47" s="22"/>
      <c r="N47" s="438"/>
    </row>
    <row r="48" spans="2:14" ht="17.25" customHeight="1" x14ac:dyDescent="0.3">
      <c r="B48" s="19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20"/>
      <c r="N48" s="438"/>
    </row>
    <row r="49" spans="2:14" ht="17.25" customHeight="1" x14ac:dyDescent="0.3">
      <c r="B49" s="21"/>
      <c r="C49" s="552"/>
      <c r="D49" s="552"/>
      <c r="E49" s="552"/>
      <c r="F49" s="552"/>
      <c r="G49" s="552"/>
      <c r="H49" s="552"/>
      <c r="I49" s="552"/>
      <c r="J49" s="552"/>
      <c r="K49" s="552"/>
      <c r="L49" s="552"/>
      <c r="M49" s="22"/>
      <c r="N49" s="438"/>
    </row>
    <row r="50" spans="2:14" ht="17.25" customHeight="1" x14ac:dyDescent="0.3">
      <c r="B50" s="19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20"/>
      <c r="N50" s="438"/>
    </row>
    <row r="51" spans="2:14" ht="17.25" customHeight="1" x14ac:dyDescent="0.3">
      <c r="B51" s="21"/>
      <c r="C51" s="552"/>
      <c r="D51" s="552"/>
      <c r="E51" s="552"/>
      <c r="F51" s="552"/>
      <c r="G51" s="552"/>
      <c r="H51" s="552"/>
      <c r="I51" s="552"/>
      <c r="J51" s="552"/>
      <c r="K51" s="552"/>
      <c r="L51" s="552"/>
      <c r="M51" s="24"/>
      <c r="N51" s="438"/>
    </row>
    <row r="52" spans="2:14" ht="17.25" customHeight="1" x14ac:dyDescent="0.3">
      <c r="B52" s="19"/>
      <c r="C52" s="553"/>
      <c r="D52" s="553"/>
      <c r="E52" s="553"/>
      <c r="F52" s="553"/>
      <c r="G52" s="553"/>
      <c r="H52" s="553"/>
      <c r="I52" s="553"/>
      <c r="J52" s="553"/>
      <c r="K52" s="553"/>
      <c r="L52" s="553"/>
      <c r="M52" s="20"/>
      <c r="N52" s="438"/>
    </row>
    <row r="53" spans="2:14" ht="17.25" customHeight="1" x14ac:dyDescent="0.3">
      <c r="B53" s="21"/>
      <c r="C53" s="552"/>
      <c r="D53" s="552"/>
      <c r="E53" s="552"/>
      <c r="F53" s="552"/>
      <c r="G53" s="552"/>
      <c r="H53" s="552"/>
      <c r="I53" s="552"/>
      <c r="J53" s="552"/>
      <c r="K53" s="552"/>
      <c r="L53" s="552"/>
      <c r="M53" s="22"/>
      <c r="N53" s="438"/>
    </row>
    <row r="54" spans="2:14" ht="17.25" customHeight="1" x14ac:dyDescent="0.3">
      <c r="B54" s="19"/>
      <c r="C54" s="553"/>
      <c r="D54" s="553"/>
      <c r="E54" s="553"/>
      <c r="F54" s="553"/>
      <c r="G54" s="553"/>
      <c r="H54" s="553"/>
      <c r="I54" s="553"/>
      <c r="J54" s="553"/>
      <c r="K54" s="553"/>
      <c r="L54" s="553"/>
      <c r="M54" s="20"/>
      <c r="N54" s="438"/>
    </row>
    <row r="55" spans="2:14" ht="17.25" customHeight="1" x14ac:dyDescent="0.3">
      <c r="B55" s="21"/>
      <c r="C55" s="552"/>
      <c r="D55" s="552"/>
      <c r="E55" s="552"/>
      <c r="F55" s="552"/>
      <c r="G55" s="552"/>
      <c r="H55" s="552"/>
      <c r="I55" s="552"/>
      <c r="J55" s="552"/>
      <c r="K55" s="552"/>
      <c r="L55" s="552"/>
      <c r="M55" s="22"/>
      <c r="N55" s="438"/>
    </row>
    <row r="56" spans="2:14" ht="17.25" customHeight="1" x14ac:dyDescent="0.3">
      <c r="B56" s="19"/>
      <c r="C56" s="553"/>
      <c r="D56" s="553"/>
      <c r="E56" s="553"/>
      <c r="F56" s="553"/>
      <c r="G56" s="553"/>
      <c r="H56" s="553"/>
      <c r="I56" s="553"/>
      <c r="J56" s="553"/>
      <c r="K56" s="553"/>
      <c r="L56" s="553"/>
      <c r="M56" s="20"/>
      <c r="N56" s="438"/>
    </row>
    <row r="57" spans="2:14" ht="17.25" customHeight="1" x14ac:dyDescent="0.3">
      <c r="B57" s="21"/>
      <c r="C57" s="552"/>
      <c r="D57" s="552"/>
      <c r="E57" s="552"/>
      <c r="F57" s="552"/>
      <c r="G57" s="552"/>
      <c r="H57" s="552"/>
      <c r="I57" s="552"/>
      <c r="J57" s="552"/>
      <c r="K57" s="552"/>
      <c r="L57" s="552"/>
      <c r="M57" s="22"/>
      <c r="N57" s="438"/>
    </row>
    <row r="58" spans="2:14" ht="17.25" customHeight="1" x14ac:dyDescent="0.3">
      <c r="B58" s="19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20"/>
      <c r="N58" s="438"/>
    </row>
    <row r="59" spans="2:14" ht="17.25" customHeight="1" x14ac:dyDescent="0.3">
      <c r="B59" s="21"/>
      <c r="C59" s="552"/>
      <c r="D59" s="552"/>
      <c r="E59" s="552"/>
      <c r="F59" s="552"/>
      <c r="G59" s="552"/>
      <c r="H59" s="552"/>
      <c r="I59" s="552"/>
      <c r="J59" s="552"/>
      <c r="K59" s="552"/>
      <c r="L59" s="552"/>
      <c r="M59" s="24"/>
      <c r="N59" s="438"/>
    </row>
    <row r="60" spans="2:14" ht="17.25" customHeight="1" x14ac:dyDescent="0.3">
      <c r="B60" s="19"/>
      <c r="C60" s="553"/>
      <c r="D60" s="553"/>
      <c r="E60" s="553"/>
      <c r="F60" s="553"/>
      <c r="G60" s="553"/>
      <c r="H60" s="553"/>
      <c r="I60" s="553"/>
      <c r="J60" s="553"/>
      <c r="K60" s="553"/>
      <c r="L60" s="553"/>
      <c r="M60" s="20"/>
      <c r="N60" s="438"/>
    </row>
    <row r="61" spans="2:14" ht="17.25" customHeight="1" x14ac:dyDescent="0.3">
      <c r="B61" s="21"/>
      <c r="C61" s="552"/>
      <c r="D61" s="552"/>
      <c r="E61" s="552"/>
      <c r="F61" s="552"/>
      <c r="G61" s="552"/>
      <c r="H61" s="552"/>
      <c r="I61" s="552"/>
      <c r="J61" s="552"/>
      <c r="K61" s="552"/>
      <c r="L61" s="552"/>
      <c r="M61" s="22"/>
      <c r="N61" s="438"/>
    </row>
    <row r="62" spans="2:14" ht="17.25" customHeight="1" x14ac:dyDescent="0.3">
      <c r="B62" s="19"/>
      <c r="C62" s="553"/>
      <c r="D62" s="553"/>
      <c r="E62" s="553"/>
      <c r="F62" s="553"/>
      <c r="G62" s="553"/>
      <c r="H62" s="553"/>
      <c r="I62" s="553"/>
      <c r="J62" s="553"/>
      <c r="K62" s="553"/>
      <c r="L62" s="553"/>
      <c r="M62" s="20"/>
      <c r="N62" s="438"/>
    </row>
    <row r="63" spans="2:14" ht="17.25" customHeight="1" x14ac:dyDescent="0.3">
      <c r="B63" s="21"/>
      <c r="C63" s="552"/>
      <c r="D63" s="552"/>
      <c r="E63" s="552"/>
      <c r="F63" s="552"/>
      <c r="G63" s="552"/>
      <c r="H63" s="552"/>
      <c r="I63" s="552"/>
      <c r="J63" s="552"/>
      <c r="K63" s="552"/>
      <c r="L63" s="552"/>
      <c r="M63" s="22"/>
      <c r="N63" s="438"/>
    </row>
    <row r="64" spans="2:14" ht="17.25" customHeight="1" x14ac:dyDescent="0.3">
      <c r="B64" s="19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20"/>
      <c r="N64" s="438"/>
    </row>
    <row r="65" spans="2:14" ht="17.25" customHeight="1" x14ac:dyDescent="0.3">
      <c r="B65" s="21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22"/>
      <c r="N65" s="438"/>
    </row>
    <row r="66" spans="2:14" ht="17.25" customHeight="1" x14ac:dyDescent="0.3">
      <c r="B66" s="19"/>
      <c r="C66" s="553"/>
      <c r="D66" s="553"/>
      <c r="E66" s="553"/>
      <c r="F66" s="553"/>
      <c r="G66" s="553"/>
      <c r="H66" s="553"/>
      <c r="I66" s="553"/>
      <c r="J66" s="553"/>
      <c r="K66" s="553"/>
      <c r="L66" s="553"/>
      <c r="M66" s="20"/>
      <c r="N66" s="438"/>
    </row>
    <row r="67" spans="2:14" ht="17.25" customHeight="1" x14ac:dyDescent="0.3">
      <c r="B67" s="21"/>
      <c r="C67" s="552"/>
      <c r="D67" s="552"/>
      <c r="E67" s="552"/>
      <c r="F67" s="552"/>
      <c r="G67" s="552"/>
      <c r="H67" s="552"/>
      <c r="I67" s="552"/>
      <c r="J67" s="552"/>
      <c r="K67" s="552"/>
      <c r="L67" s="552"/>
      <c r="M67" s="22"/>
      <c r="N67" s="438"/>
    </row>
    <row r="68" spans="2:14" ht="17.25" customHeight="1" x14ac:dyDescent="0.3">
      <c r="B68" s="19"/>
      <c r="C68" s="553"/>
      <c r="D68" s="553"/>
      <c r="E68" s="553"/>
      <c r="F68" s="553"/>
      <c r="G68" s="553"/>
      <c r="H68" s="553"/>
      <c r="I68" s="553"/>
      <c r="J68" s="553"/>
      <c r="K68" s="553"/>
      <c r="L68" s="553"/>
      <c r="M68" s="23"/>
      <c r="N68" s="438"/>
    </row>
    <row r="69" spans="2:14" ht="17.25" customHeight="1" x14ac:dyDescent="0.3">
      <c r="B69" s="21"/>
      <c r="C69" s="552"/>
      <c r="D69" s="552"/>
      <c r="E69" s="552"/>
      <c r="F69" s="552"/>
      <c r="G69" s="552"/>
      <c r="H69" s="552"/>
      <c r="I69" s="552"/>
      <c r="J69" s="552"/>
      <c r="K69" s="552"/>
      <c r="L69" s="552"/>
      <c r="M69" s="22"/>
      <c r="N69" s="438"/>
    </row>
    <row r="70" spans="2:14" ht="17.25" customHeight="1" x14ac:dyDescent="0.3">
      <c r="B70" s="19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20"/>
      <c r="N70" s="438"/>
    </row>
    <row r="71" spans="2:14" ht="17.25" customHeight="1" x14ac:dyDescent="0.3">
      <c r="B71" s="21"/>
      <c r="C71" s="552"/>
      <c r="D71" s="552"/>
      <c r="E71" s="552"/>
      <c r="F71" s="552"/>
      <c r="G71" s="552"/>
      <c r="H71" s="552"/>
      <c r="I71" s="552"/>
      <c r="J71" s="552"/>
      <c r="K71" s="552"/>
      <c r="L71" s="552"/>
      <c r="M71" s="22"/>
      <c r="N71" s="438"/>
    </row>
    <row r="72" spans="2:14" ht="17.25" customHeight="1" x14ac:dyDescent="0.3">
      <c r="B72" s="19"/>
      <c r="C72" s="553"/>
      <c r="D72" s="553"/>
      <c r="E72" s="553"/>
      <c r="F72" s="553"/>
      <c r="G72" s="553"/>
      <c r="H72" s="553"/>
      <c r="I72" s="553"/>
      <c r="J72" s="553"/>
      <c r="K72" s="553"/>
      <c r="L72" s="553"/>
      <c r="M72" s="20"/>
      <c r="N72" s="438"/>
    </row>
    <row r="73" spans="2:14" ht="17.25" customHeight="1" x14ac:dyDescent="0.3">
      <c r="B73" s="21"/>
      <c r="C73" s="552"/>
      <c r="D73" s="552"/>
      <c r="E73" s="552"/>
      <c r="F73" s="552"/>
      <c r="G73" s="552"/>
      <c r="H73" s="552"/>
      <c r="I73" s="552"/>
      <c r="J73" s="552"/>
      <c r="K73" s="552"/>
      <c r="L73" s="552"/>
      <c r="M73" s="22"/>
      <c r="N73" s="438"/>
    </row>
    <row r="74" spans="2:14" ht="17.25" customHeight="1" x14ac:dyDescent="0.3">
      <c r="B74" s="19"/>
      <c r="C74" s="553"/>
      <c r="D74" s="553"/>
      <c r="E74" s="553"/>
      <c r="F74" s="553"/>
      <c r="G74" s="553"/>
      <c r="H74" s="553"/>
      <c r="I74" s="553"/>
      <c r="J74" s="553"/>
      <c r="K74" s="553"/>
      <c r="L74" s="553"/>
      <c r="M74" s="20"/>
      <c r="N74" s="438"/>
    </row>
    <row r="75" spans="2:14" ht="17.25" customHeight="1" x14ac:dyDescent="0.3">
      <c r="B75" s="21"/>
      <c r="C75" s="552"/>
      <c r="D75" s="552"/>
      <c r="E75" s="552"/>
      <c r="F75" s="552"/>
      <c r="G75" s="552"/>
      <c r="H75" s="552"/>
      <c r="I75" s="552"/>
      <c r="J75" s="552"/>
      <c r="K75" s="552"/>
      <c r="L75" s="552"/>
      <c r="M75" s="22"/>
      <c r="N75" s="438"/>
    </row>
    <row r="76" spans="2:14" ht="17.25" customHeight="1" x14ac:dyDescent="0.3">
      <c r="B76" s="19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23"/>
      <c r="N76" s="438"/>
    </row>
    <row r="77" spans="2:14" ht="17.25" customHeight="1" x14ac:dyDescent="0.3">
      <c r="B77" s="21"/>
      <c r="C77" s="552"/>
      <c r="D77" s="552"/>
      <c r="E77" s="552"/>
      <c r="F77" s="552"/>
      <c r="G77" s="552"/>
      <c r="H77" s="552"/>
      <c r="I77" s="552"/>
      <c r="J77" s="552"/>
      <c r="K77" s="552"/>
      <c r="L77" s="552"/>
      <c r="M77" s="22"/>
      <c r="N77" s="438"/>
    </row>
    <row r="78" spans="2:14" ht="17.25" customHeight="1" x14ac:dyDescent="0.3">
      <c r="B78" s="19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20"/>
      <c r="N78" s="438"/>
    </row>
    <row r="79" spans="2:14" ht="17.25" customHeight="1" x14ac:dyDescent="0.3">
      <c r="B79" s="21"/>
      <c r="C79" s="552"/>
      <c r="D79" s="552"/>
      <c r="E79" s="552"/>
      <c r="F79" s="552"/>
      <c r="G79" s="552"/>
      <c r="H79" s="552"/>
      <c r="I79" s="552"/>
      <c r="J79" s="552"/>
      <c r="K79" s="552"/>
      <c r="L79" s="552"/>
      <c r="M79" s="22"/>
      <c r="N79" s="438"/>
    </row>
    <row r="80" spans="2:14" ht="17.25" customHeight="1" x14ac:dyDescent="0.3">
      <c r="B80" s="19"/>
      <c r="C80" s="553"/>
      <c r="D80" s="553"/>
      <c r="E80" s="553"/>
      <c r="F80" s="553"/>
      <c r="G80" s="553"/>
      <c r="H80" s="553"/>
      <c r="I80" s="553"/>
      <c r="J80" s="553"/>
      <c r="K80" s="553"/>
      <c r="L80" s="553"/>
      <c r="M80" s="20"/>
      <c r="N80" s="438"/>
    </row>
    <row r="81" spans="2:14" ht="17.25" customHeight="1" x14ac:dyDescent="0.3">
      <c r="B81" s="21"/>
      <c r="C81" s="552"/>
      <c r="D81" s="552"/>
      <c r="E81" s="552"/>
      <c r="F81" s="552"/>
      <c r="G81" s="552"/>
      <c r="H81" s="552"/>
      <c r="I81" s="552"/>
      <c r="J81" s="552"/>
      <c r="K81" s="552"/>
      <c r="L81" s="552"/>
      <c r="M81" s="22"/>
      <c r="N81" s="438"/>
    </row>
    <row r="82" spans="2:14" ht="17.25" customHeight="1" x14ac:dyDescent="0.3">
      <c r="B82" s="19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20"/>
      <c r="N82" s="438"/>
    </row>
    <row r="83" spans="2:14" ht="17.25" customHeight="1" x14ac:dyDescent="0.3">
      <c r="B83" s="21"/>
      <c r="C83" s="552"/>
      <c r="D83" s="552"/>
      <c r="E83" s="552"/>
      <c r="F83" s="552"/>
      <c r="G83" s="552"/>
      <c r="H83" s="552"/>
      <c r="I83" s="552"/>
      <c r="J83" s="552"/>
      <c r="K83" s="552"/>
      <c r="L83" s="552"/>
      <c r="M83" s="22"/>
      <c r="N83" s="438"/>
    </row>
    <row r="84" spans="2:14" ht="17.25" customHeight="1" x14ac:dyDescent="0.3">
      <c r="B84" s="19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20"/>
      <c r="N84" s="438"/>
    </row>
    <row r="85" spans="2:14" ht="17.25" customHeight="1" x14ac:dyDescent="0.3">
      <c r="B85" s="21"/>
      <c r="C85" s="552"/>
      <c r="D85" s="552"/>
      <c r="E85" s="552"/>
      <c r="F85" s="552"/>
      <c r="G85" s="552"/>
      <c r="H85" s="552"/>
      <c r="I85" s="552"/>
      <c r="J85" s="552"/>
      <c r="K85" s="552"/>
      <c r="L85" s="552"/>
      <c r="M85" s="24"/>
      <c r="N85" s="438"/>
    </row>
    <row r="86" spans="2:14" ht="17.25" customHeight="1" x14ac:dyDescent="0.3">
      <c r="B86" s="19"/>
      <c r="C86" s="553"/>
      <c r="D86" s="553"/>
      <c r="E86" s="553"/>
      <c r="F86" s="553"/>
      <c r="G86" s="553"/>
      <c r="H86" s="553"/>
      <c r="I86" s="553"/>
      <c r="J86" s="553"/>
      <c r="K86" s="553"/>
      <c r="L86" s="553"/>
      <c r="M86" s="20"/>
      <c r="N86" s="438"/>
    </row>
    <row r="87" spans="2:14" ht="17.25" customHeight="1" x14ac:dyDescent="0.3">
      <c r="B87" s="21"/>
      <c r="C87" s="552"/>
      <c r="D87" s="552"/>
      <c r="E87" s="552"/>
      <c r="F87" s="552"/>
      <c r="G87" s="552"/>
      <c r="H87" s="552"/>
      <c r="I87" s="552"/>
      <c r="J87" s="552"/>
      <c r="K87" s="552"/>
      <c r="L87" s="552"/>
      <c r="M87" s="22"/>
      <c r="N87" s="438"/>
    </row>
    <row r="88" spans="2:14" ht="17.25" customHeight="1" x14ac:dyDescent="0.3">
      <c r="B88" s="19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20"/>
      <c r="N88" s="438"/>
    </row>
    <row r="89" spans="2:14" ht="17.25" customHeight="1" x14ac:dyDescent="0.3">
      <c r="B89" s="21"/>
      <c r="C89" s="552"/>
      <c r="D89" s="552"/>
      <c r="E89" s="552"/>
      <c r="F89" s="552"/>
      <c r="G89" s="552"/>
      <c r="H89" s="552"/>
      <c r="I89" s="552"/>
      <c r="J89" s="552"/>
      <c r="K89" s="552"/>
      <c r="L89" s="552"/>
      <c r="M89" s="22"/>
      <c r="N89" s="438"/>
    </row>
    <row r="90" spans="2:14" ht="17.25" customHeight="1" x14ac:dyDescent="0.3">
      <c r="B90" s="19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20"/>
      <c r="N90" s="438"/>
    </row>
    <row r="91" spans="2:14" ht="17.25" customHeight="1" x14ac:dyDescent="0.3">
      <c r="B91" s="21"/>
      <c r="C91" s="552"/>
      <c r="D91" s="552"/>
      <c r="E91" s="552"/>
      <c r="F91" s="552"/>
      <c r="G91" s="552"/>
      <c r="H91" s="552"/>
      <c r="I91" s="552"/>
      <c r="J91" s="552"/>
      <c r="K91" s="552"/>
      <c r="L91" s="552"/>
      <c r="M91" s="22"/>
      <c r="N91" s="438"/>
    </row>
    <row r="92" spans="2:14" ht="17.25" customHeight="1" x14ac:dyDescent="0.3">
      <c r="B92" s="19"/>
      <c r="C92" s="553"/>
      <c r="D92" s="553"/>
      <c r="E92" s="553"/>
      <c r="F92" s="553"/>
      <c r="G92" s="553"/>
      <c r="H92" s="553"/>
      <c r="I92" s="553"/>
      <c r="J92" s="553"/>
      <c r="K92" s="553"/>
      <c r="L92" s="553"/>
      <c r="M92" s="20"/>
      <c r="N92" s="438"/>
    </row>
    <row r="93" spans="2:14" ht="17.25" customHeight="1" x14ac:dyDescent="0.3">
      <c r="B93" s="21"/>
      <c r="C93" s="552"/>
      <c r="D93" s="552"/>
      <c r="E93" s="552"/>
      <c r="F93" s="552"/>
      <c r="G93" s="552"/>
      <c r="H93" s="552"/>
      <c r="I93" s="552"/>
      <c r="J93" s="552"/>
      <c r="K93" s="552"/>
      <c r="L93" s="552"/>
      <c r="M93" s="24"/>
      <c r="N93" s="438"/>
    </row>
    <row r="94" spans="2:14" ht="17.25" customHeight="1" x14ac:dyDescent="0.3">
      <c r="B94" s="25"/>
      <c r="C94" s="601"/>
      <c r="D94" s="601"/>
      <c r="E94" s="601"/>
      <c r="F94" s="601"/>
      <c r="G94" s="601"/>
      <c r="H94" s="601"/>
      <c r="I94" s="601"/>
      <c r="J94" s="601"/>
      <c r="K94" s="601"/>
      <c r="L94" s="601"/>
      <c r="M94" s="26"/>
      <c r="N94" s="438"/>
    </row>
    <row r="95" spans="2:14" ht="18" customHeight="1" x14ac:dyDescent="0.3">
      <c r="N95" s="437"/>
    </row>
    <row r="96" spans="2:14" ht="18" customHeight="1" x14ac:dyDescent="0.3">
      <c r="N96" s="437"/>
    </row>
    <row r="97" spans="14:14" ht="18" customHeight="1" x14ac:dyDescent="0.3">
      <c r="N97" s="437"/>
    </row>
    <row r="98" spans="14:14" ht="18" customHeight="1" x14ac:dyDescent="0.3">
      <c r="N98" s="437"/>
    </row>
    <row r="99" spans="14:14" ht="18" customHeight="1" x14ac:dyDescent="0.3">
      <c r="N99" s="437"/>
    </row>
    <row r="100" spans="14:14" ht="18" customHeight="1" x14ac:dyDescent="0.3">
      <c r="N100" s="437"/>
    </row>
    <row r="101" spans="14:14" ht="18" customHeight="1" x14ac:dyDescent="0.3">
      <c r="N101" s="437"/>
    </row>
    <row r="102" spans="14:14" ht="18" customHeight="1" x14ac:dyDescent="0.3">
      <c r="N102" s="437"/>
    </row>
    <row r="103" spans="14:14" ht="18" customHeight="1" x14ac:dyDescent="0.3">
      <c r="N103" s="437"/>
    </row>
    <row r="104" spans="14:14" ht="18" customHeight="1" x14ac:dyDescent="0.3">
      <c r="N104" s="437"/>
    </row>
    <row r="105" spans="14:14" ht="18" customHeight="1" x14ac:dyDescent="0.3">
      <c r="N105" s="437"/>
    </row>
    <row r="106" spans="14:14" ht="18" customHeight="1" x14ac:dyDescent="0.3">
      <c r="N106" s="437"/>
    </row>
    <row r="107" spans="14:14" ht="18" customHeight="1" x14ac:dyDescent="0.3">
      <c r="N107" s="437"/>
    </row>
    <row r="108" spans="14:14" ht="18" customHeight="1" x14ac:dyDescent="0.3">
      <c r="N108" s="437"/>
    </row>
    <row r="109" spans="14:14" ht="18" customHeight="1" x14ac:dyDescent="0.3">
      <c r="N109" s="437"/>
    </row>
    <row r="110" spans="14:14" ht="18" customHeight="1" x14ac:dyDescent="0.3">
      <c r="N110" s="437"/>
    </row>
    <row r="111" spans="14:14" ht="18" customHeight="1" x14ac:dyDescent="0.3">
      <c r="N111" s="437"/>
    </row>
    <row r="112" spans="14:14" ht="18" customHeight="1" x14ac:dyDescent="0.3">
      <c r="N112" s="437"/>
    </row>
    <row r="113" spans="14:14" ht="18" customHeight="1" x14ac:dyDescent="0.3">
      <c r="N113" s="437"/>
    </row>
    <row r="114" spans="14:14" ht="18" customHeight="1" x14ac:dyDescent="0.3">
      <c r="N114" s="437"/>
    </row>
    <row r="115" spans="14:14" ht="18" customHeight="1" x14ac:dyDescent="0.3">
      <c r="N115" s="437"/>
    </row>
    <row r="116" spans="14:14" ht="18" customHeight="1" x14ac:dyDescent="0.3">
      <c r="N116" s="437"/>
    </row>
    <row r="117" spans="14:14" ht="18" customHeight="1" x14ac:dyDescent="0.3">
      <c r="N117" s="437"/>
    </row>
    <row r="118" spans="14:14" ht="18" customHeight="1" x14ac:dyDescent="0.3">
      <c r="N118" s="437"/>
    </row>
    <row r="119" spans="14:14" ht="18" customHeight="1" x14ac:dyDescent="0.3">
      <c r="N119" s="437"/>
    </row>
    <row r="120" spans="14:14" ht="18" customHeight="1" x14ac:dyDescent="0.3">
      <c r="N120" s="437"/>
    </row>
    <row r="121" spans="14:14" ht="18" customHeight="1" x14ac:dyDescent="0.3">
      <c r="N121" s="437"/>
    </row>
    <row r="122" spans="14:14" ht="18" customHeight="1" x14ac:dyDescent="0.3">
      <c r="N122" s="437"/>
    </row>
    <row r="123" spans="14:14" ht="18" customHeight="1" x14ac:dyDescent="0.3">
      <c r="N123" s="437"/>
    </row>
    <row r="124" spans="14:14" ht="18" customHeight="1" x14ac:dyDescent="0.3">
      <c r="N124" s="437"/>
    </row>
    <row r="125" spans="14:14" ht="18" customHeight="1" x14ac:dyDescent="0.3">
      <c r="N125" s="437"/>
    </row>
    <row r="126" spans="14:14" ht="18" customHeight="1" x14ac:dyDescent="0.3">
      <c r="N126" s="437"/>
    </row>
    <row r="127" spans="14:14" ht="18" customHeight="1" x14ac:dyDescent="0.3">
      <c r="N127" s="437"/>
    </row>
    <row r="128" spans="14:14" ht="18" customHeight="1" x14ac:dyDescent="0.3">
      <c r="N128" s="437"/>
    </row>
    <row r="129" spans="14:14" ht="18" customHeight="1" x14ac:dyDescent="0.3">
      <c r="N129" s="437"/>
    </row>
    <row r="130" spans="14:14" ht="18" customHeight="1" x14ac:dyDescent="0.3">
      <c r="N130" s="437"/>
    </row>
    <row r="131" spans="14:14" ht="18" customHeight="1" x14ac:dyDescent="0.3">
      <c r="N131" s="437"/>
    </row>
    <row r="132" spans="14:14" ht="18" customHeight="1" x14ac:dyDescent="0.3">
      <c r="N132" s="437"/>
    </row>
    <row r="133" spans="14:14" ht="18" customHeight="1" x14ac:dyDescent="0.3">
      <c r="N133" s="437"/>
    </row>
    <row r="134" spans="14:14" ht="18" customHeight="1" x14ac:dyDescent="0.3">
      <c r="N134" s="437"/>
    </row>
    <row r="135" spans="14:14" ht="18" customHeight="1" x14ac:dyDescent="0.3">
      <c r="N135" s="437"/>
    </row>
    <row r="136" spans="14:14" ht="18" customHeight="1" x14ac:dyDescent="0.3">
      <c r="N136" s="437"/>
    </row>
    <row r="137" spans="14:14" ht="18" customHeight="1" x14ac:dyDescent="0.3">
      <c r="N137" s="437"/>
    </row>
    <row r="138" spans="14:14" ht="18" customHeight="1" x14ac:dyDescent="0.3">
      <c r="N138" s="437"/>
    </row>
    <row r="139" spans="14:14" ht="18" customHeight="1" x14ac:dyDescent="0.3">
      <c r="N139" s="437"/>
    </row>
    <row r="140" spans="14:14" ht="18" customHeight="1" x14ac:dyDescent="0.3">
      <c r="N140" s="437"/>
    </row>
    <row r="141" spans="14:14" ht="18" customHeight="1" x14ac:dyDescent="0.3">
      <c r="N141" s="437"/>
    </row>
    <row r="142" spans="14:14" ht="18" customHeight="1" x14ac:dyDescent="0.3">
      <c r="N142" s="437"/>
    </row>
    <row r="143" spans="14:14" ht="18" customHeight="1" x14ac:dyDescent="0.3">
      <c r="N143" s="437"/>
    </row>
    <row r="144" spans="14:14" ht="18" customHeight="1" x14ac:dyDescent="0.3">
      <c r="N144" s="437"/>
    </row>
    <row r="145" spans="14:14" ht="18" customHeight="1" x14ac:dyDescent="0.3">
      <c r="N145" s="437"/>
    </row>
    <row r="146" spans="14:14" ht="18" customHeight="1" x14ac:dyDescent="0.3">
      <c r="N146" s="437"/>
    </row>
    <row r="147" spans="14:14" ht="18" customHeight="1" x14ac:dyDescent="0.3">
      <c r="N147" s="437"/>
    </row>
    <row r="148" spans="14:14" ht="18" customHeight="1" x14ac:dyDescent="0.3">
      <c r="N148" s="437"/>
    </row>
    <row r="149" spans="14:14" ht="18" customHeight="1" x14ac:dyDescent="0.3">
      <c r="N149" s="437"/>
    </row>
    <row r="150" spans="14:14" ht="18" customHeight="1" x14ac:dyDescent="0.3">
      <c r="N150" s="437"/>
    </row>
    <row r="151" spans="14:14" ht="18" customHeight="1" x14ac:dyDescent="0.3">
      <c r="N151" s="437"/>
    </row>
    <row r="152" spans="14:14" ht="18" customHeight="1" x14ac:dyDescent="0.3">
      <c r="N152" s="437"/>
    </row>
    <row r="153" spans="14:14" ht="18" customHeight="1" x14ac:dyDescent="0.3">
      <c r="N153" s="437"/>
    </row>
    <row r="154" spans="14:14" ht="18" customHeight="1" x14ac:dyDescent="0.3">
      <c r="N154" s="437"/>
    </row>
    <row r="155" spans="14:14" ht="18" customHeight="1" x14ac:dyDescent="0.3">
      <c r="N155" s="437"/>
    </row>
    <row r="156" spans="14:14" ht="18" customHeight="1" x14ac:dyDescent="0.3">
      <c r="N156" s="437"/>
    </row>
    <row r="157" spans="14:14" ht="18" customHeight="1" x14ac:dyDescent="0.3">
      <c r="N157" s="437"/>
    </row>
    <row r="158" spans="14:14" ht="18" customHeight="1" x14ac:dyDescent="0.3">
      <c r="N158" s="437"/>
    </row>
    <row r="159" spans="14:14" ht="18" customHeight="1" x14ac:dyDescent="0.3">
      <c r="N159" s="437"/>
    </row>
    <row r="160" spans="14:14" ht="18" customHeight="1" x14ac:dyDescent="0.3">
      <c r="N160" s="437"/>
    </row>
    <row r="161" spans="14:14" ht="18" customHeight="1" x14ac:dyDescent="0.3">
      <c r="N161" s="437"/>
    </row>
    <row r="162" spans="14:14" ht="18" customHeight="1" x14ac:dyDescent="0.3">
      <c r="N162" s="437"/>
    </row>
    <row r="163" spans="14:14" ht="18" customHeight="1" x14ac:dyDescent="0.3">
      <c r="N163" s="437"/>
    </row>
    <row r="164" spans="14:14" ht="18" customHeight="1" x14ac:dyDescent="0.3">
      <c r="N164" s="437"/>
    </row>
    <row r="165" spans="14:14" ht="18" customHeight="1" x14ac:dyDescent="0.3">
      <c r="N165" s="437"/>
    </row>
    <row r="166" spans="14:14" ht="18" customHeight="1" x14ac:dyDescent="0.3">
      <c r="N166" s="437"/>
    </row>
    <row r="167" spans="14:14" ht="18" customHeight="1" x14ac:dyDescent="0.3">
      <c r="N167" s="437"/>
    </row>
    <row r="168" spans="14:14" ht="18" customHeight="1" x14ac:dyDescent="0.3">
      <c r="N168" s="437"/>
    </row>
    <row r="169" spans="14:14" ht="18" customHeight="1" x14ac:dyDescent="0.3">
      <c r="N169" s="437"/>
    </row>
    <row r="170" spans="14:14" ht="18" customHeight="1" x14ac:dyDescent="0.3">
      <c r="N170" s="437"/>
    </row>
    <row r="171" spans="14:14" ht="18" customHeight="1" x14ac:dyDescent="0.3">
      <c r="N171" s="437"/>
    </row>
    <row r="172" spans="14:14" ht="18" customHeight="1" x14ac:dyDescent="0.3">
      <c r="N172" s="437"/>
    </row>
    <row r="173" spans="14:14" ht="18" customHeight="1" x14ac:dyDescent="0.3">
      <c r="N173" s="437"/>
    </row>
    <row r="174" spans="14:14" ht="18" customHeight="1" x14ac:dyDescent="0.3">
      <c r="N174" s="437"/>
    </row>
    <row r="175" spans="14:14" ht="18" customHeight="1" x14ac:dyDescent="0.3">
      <c r="N175" s="437"/>
    </row>
    <row r="176" spans="14:14" ht="18" customHeight="1" x14ac:dyDescent="0.3">
      <c r="N176" s="437"/>
    </row>
    <row r="177" spans="14:14" ht="18" customHeight="1" x14ac:dyDescent="0.3">
      <c r="N177" s="437"/>
    </row>
    <row r="178" spans="14:14" ht="18" customHeight="1" x14ac:dyDescent="0.3">
      <c r="N178" s="437"/>
    </row>
    <row r="179" spans="14:14" ht="18" customHeight="1" x14ac:dyDescent="0.3">
      <c r="N179" s="437"/>
    </row>
    <row r="180" spans="14:14" ht="18" customHeight="1" x14ac:dyDescent="0.3">
      <c r="N180" s="437"/>
    </row>
    <row r="181" spans="14:14" ht="18" customHeight="1" x14ac:dyDescent="0.3">
      <c r="N181" s="437"/>
    </row>
    <row r="182" spans="14:14" ht="18" customHeight="1" x14ac:dyDescent="0.3">
      <c r="N182" s="437"/>
    </row>
    <row r="183" spans="14:14" ht="18" customHeight="1" x14ac:dyDescent="0.3">
      <c r="N183" s="437"/>
    </row>
    <row r="184" spans="14:14" ht="18" customHeight="1" x14ac:dyDescent="0.3">
      <c r="N184" s="437"/>
    </row>
    <row r="185" spans="14:14" ht="18" customHeight="1" x14ac:dyDescent="0.3">
      <c r="N185" s="437"/>
    </row>
    <row r="186" spans="14:14" ht="18" customHeight="1" x14ac:dyDescent="0.3">
      <c r="N186" s="437"/>
    </row>
    <row r="187" spans="14:14" ht="18" customHeight="1" x14ac:dyDescent="0.3">
      <c r="N187" s="437"/>
    </row>
    <row r="188" spans="14:14" ht="18" customHeight="1" x14ac:dyDescent="0.3">
      <c r="N188" s="437"/>
    </row>
    <row r="189" spans="14:14" ht="18" customHeight="1" x14ac:dyDescent="0.3">
      <c r="N189" s="437"/>
    </row>
    <row r="190" spans="14:14" ht="18" customHeight="1" x14ac:dyDescent="0.3">
      <c r="N190" s="437"/>
    </row>
    <row r="191" spans="14:14" ht="18" customHeight="1" x14ac:dyDescent="0.3">
      <c r="N191" s="437"/>
    </row>
    <row r="192" spans="14:14" ht="18" customHeight="1" x14ac:dyDescent="0.3">
      <c r="N192" s="437"/>
    </row>
    <row r="193" spans="14:14" ht="18" customHeight="1" x14ac:dyDescent="0.3">
      <c r="N193" s="437"/>
    </row>
    <row r="194" spans="14:14" ht="18" customHeight="1" x14ac:dyDescent="0.3">
      <c r="N194" s="437"/>
    </row>
    <row r="195" spans="14:14" ht="18" customHeight="1" x14ac:dyDescent="0.3">
      <c r="N195" s="437"/>
    </row>
    <row r="196" spans="14:14" ht="18" customHeight="1" x14ac:dyDescent="0.3">
      <c r="N196" s="437"/>
    </row>
    <row r="197" spans="14:14" ht="18" customHeight="1" x14ac:dyDescent="0.3">
      <c r="N197" s="437"/>
    </row>
    <row r="198" spans="14:14" ht="18" customHeight="1" x14ac:dyDescent="0.3">
      <c r="N198" s="437"/>
    </row>
    <row r="199" spans="14:14" ht="18" customHeight="1" x14ac:dyDescent="0.3">
      <c r="N199" s="437"/>
    </row>
    <row r="200" spans="14:14" ht="18" customHeight="1" x14ac:dyDescent="0.3">
      <c r="N200" s="437"/>
    </row>
    <row r="201" spans="14:14" ht="18" customHeight="1" x14ac:dyDescent="0.3">
      <c r="N201" s="437"/>
    </row>
    <row r="202" spans="14:14" ht="18" customHeight="1" x14ac:dyDescent="0.3">
      <c r="N202" s="437"/>
    </row>
    <row r="203" spans="14:14" ht="18" customHeight="1" x14ac:dyDescent="0.3">
      <c r="N203" s="437"/>
    </row>
    <row r="204" spans="14:14" ht="18" customHeight="1" x14ac:dyDescent="0.3">
      <c r="N204" s="437"/>
    </row>
    <row r="205" spans="14:14" ht="18" customHeight="1" x14ac:dyDescent="0.3">
      <c r="N205" s="437"/>
    </row>
    <row r="206" spans="14:14" ht="18" customHeight="1" x14ac:dyDescent="0.3">
      <c r="N206" s="437"/>
    </row>
    <row r="207" spans="14:14" ht="18" customHeight="1" x14ac:dyDescent="0.3">
      <c r="N207" s="437"/>
    </row>
    <row r="208" spans="14:14" ht="18" customHeight="1" x14ac:dyDescent="0.3">
      <c r="N208" s="437"/>
    </row>
    <row r="209" spans="14:14" ht="18" customHeight="1" x14ac:dyDescent="0.3">
      <c r="N209" s="437"/>
    </row>
    <row r="210" spans="14:14" ht="18" customHeight="1" x14ac:dyDescent="0.3">
      <c r="N210" s="437"/>
    </row>
    <row r="211" spans="14:14" ht="18" customHeight="1" x14ac:dyDescent="0.3">
      <c r="N211" s="437"/>
    </row>
    <row r="212" spans="14:14" ht="18" customHeight="1" x14ac:dyDescent="0.3">
      <c r="N212" s="437"/>
    </row>
    <row r="213" spans="14:14" ht="18" customHeight="1" x14ac:dyDescent="0.3">
      <c r="N213" s="437"/>
    </row>
    <row r="214" spans="14:14" ht="18" customHeight="1" x14ac:dyDescent="0.3">
      <c r="N214" s="437"/>
    </row>
    <row r="215" spans="14:14" ht="18" customHeight="1" x14ac:dyDescent="0.3">
      <c r="N215" s="437"/>
    </row>
    <row r="216" spans="14:14" ht="18" customHeight="1" x14ac:dyDescent="0.3">
      <c r="N216" s="437"/>
    </row>
    <row r="217" spans="14:14" ht="18" customHeight="1" x14ac:dyDescent="0.3">
      <c r="N217" s="437"/>
    </row>
    <row r="218" spans="14:14" ht="18" customHeight="1" x14ac:dyDescent="0.3">
      <c r="N218" s="437"/>
    </row>
    <row r="219" spans="14:14" ht="18" customHeight="1" x14ac:dyDescent="0.3">
      <c r="N219" s="437"/>
    </row>
    <row r="220" spans="14:14" ht="18" customHeight="1" x14ac:dyDescent="0.3">
      <c r="N220" s="437"/>
    </row>
    <row r="221" spans="14:14" ht="18" customHeight="1" x14ac:dyDescent="0.3">
      <c r="N221" s="437"/>
    </row>
    <row r="222" spans="14:14" ht="18" customHeight="1" x14ac:dyDescent="0.3">
      <c r="N222" s="437"/>
    </row>
    <row r="223" spans="14:14" ht="18" customHeight="1" x14ac:dyDescent="0.3">
      <c r="N223" s="437"/>
    </row>
    <row r="224" spans="14:14" ht="18" customHeight="1" x14ac:dyDescent="0.3">
      <c r="N224" s="437"/>
    </row>
    <row r="225" spans="14:14" ht="18" customHeight="1" x14ac:dyDescent="0.3">
      <c r="N225" s="437"/>
    </row>
    <row r="226" spans="14:14" ht="18" customHeight="1" x14ac:dyDescent="0.3">
      <c r="N226" s="437"/>
    </row>
    <row r="227" spans="14:14" ht="18" customHeight="1" x14ac:dyDescent="0.3">
      <c r="N227" s="437"/>
    </row>
    <row r="228" spans="14:14" ht="18" customHeight="1" x14ac:dyDescent="0.3">
      <c r="N228" s="437"/>
    </row>
    <row r="229" spans="14:14" ht="18" customHeight="1" x14ac:dyDescent="0.3">
      <c r="N229" s="437"/>
    </row>
    <row r="230" spans="14:14" ht="18" customHeight="1" x14ac:dyDescent="0.3">
      <c r="N230" s="437"/>
    </row>
    <row r="231" spans="14:14" ht="18" customHeight="1" x14ac:dyDescent="0.3">
      <c r="N231" s="437"/>
    </row>
    <row r="232" spans="14:14" ht="18" customHeight="1" x14ac:dyDescent="0.3">
      <c r="N232" s="437"/>
    </row>
    <row r="233" spans="14:14" ht="18" customHeight="1" x14ac:dyDescent="0.3">
      <c r="N233" s="437"/>
    </row>
    <row r="234" spans="14:14" ht="18" customHeight="1" x14ac:dyDescent="0.3">
      <c r="N234" s="437"/>
    </row>
    <row r="235" spans="14:14" ht="18" customHeight="1" x14ac:dyDescent="0.3">
      <c r="N235" s="437"/>
    </row>
    <row r="236" spans="14:14" ht="18" customHeight="1" x14ac:dyDescent="0.3">
      <c r="N236" s="437"/>
    </row>
    <row r="237" spans="14:14" ht="18" customHeight="1" x14ac:dyDescent="0.3">
      <c r="N237" s="437"/>
    </row>
    <row r="238" spans="14:14" ht="18" customHeight="1" x14ac:dyDescent="0.3">
      <c r="N238" s="437"/>
    </row>
    <row r="239" spans="14:14" ht="18" customHeight="1" x14ac:dyDescent="0.3">
      <c r="N239" s="437"/>
    </row>
    <row r="240" spans="14:14" ht="18" customHeight="1" x14ac:dyDescent="0.3">
      <c r="N240" s="437"/>
    </row>
    <row r="241" spans="14:14" ht="18" customHeight="1" x14ac:dyDescent="0.3">
      <c r="N241" s="437"/>
    </row>
    <row r="242" spans="14:14" ht="18" customHeight="1" x14ac:dyDescent="0.3">
      <c r="N242" s="437"/>
    </row>
    <row r="243" spans="14:14" ht="18" customHeight="1" x14ac:dyDescent="0.3">
      <c r="N243" s="437"/>
    </row>
    <row r="244" spans="14:14" ht="18" customHeight="1" x14ac:dyDescent="0.3">
      <c r="N244" s="437"/>
    </row>
    <row r="245" spans="14:14" ht="18" customHeight="1" x14ac:dyDescent="0.3">
      <c r="N245" s="437"/>
    </row>
    <row r="246" spans="14:14" ht="18" customHeight="1" x14ac:dyDescent="0.3">
      <c r="N246" s="437"/>
    </row>
    <row r="247" spans="14:14" ht="18" customHeight="1" x14ac:dyDescent="0.3">
      <c r="N247" s="437"/>
    </row>
    <row r="248" spans="14:14" ht="18" customHeight="1" x14ac:dyDescent="0.3">
      <c r="N248" s="437"/>
    </row>
    <row r="249" spans="14:14" ht="18" customHeight="1" x14ac:dyDescent="0.3">
      <c r="N249" s="437"/>
    </row>
    <row r="250" spans="14:14" ht="18" customHeight="1" x14ac:dyDescent="0.3">
      <c r="N250" s="437"/>
    </row>
    <row r="251" spans="14:14" ht="18" customHeight="1" x14ac:dyDescent="0.3">
      <c r="N251" s="437"/>
    </row>
    <row r="252" spans="14:14" ht="18" customHeight="1" x14ac:dyDescent="0.3">
      <c r="N252" s="437"/>
    </row>
    <row r="253" spans="14:14" ht="18" customHeight="1" x14ac:dyDescent="0.3">
      <c r="N253" s="437"/>
    </row>
    <row r="254" spans="14:14" ht="18" customHeight="1" x14ac:dyDescent="0.3">
      <c r="N254" s="437"/>
    </row>
    <row r="255" spans="14:14" ht="18" customHeight="1" x14ac:dyDescent="0.3">
      <c r="N255" s="437"/>
    </row>
    <row r="256" spans="14:14" ht="18" customHeight="1" x14ac:dyDescent="0.3">
      <c r="N256" s="437"/>
    </row>
    <row r="257" spans="14:14" ht="18" customHeight="1" x14ac:dyDescent="0.3">
      <c r="N257" s="437"/>
    </row>
    <row r="258" spans="14:14" ht="18" customHeight="1" x14ac:dyDescent="0.3">
      <c r="N258" s="437"/>
    </row>
    <row r="259" spans="14:14" ht="18" customHeight="1" x14ac:dyDescent="0.3">
      <c r="N259" s="437"/>
    </row>
    <row r="260" spans="14:14" ht="18" customHeight="1" x14ac:dyDescent="0.3">
      <c r="N260" s="437"/>
    </row>
    <row r="261" spans="14:14" ht="18" customHeight="1" x14ac:dyDescent="0.3">
      <c r="N261" s="437"/>
    </row>
    <row r="262" spans="14:14" ht="18" customHeight="1" x14ac:dyDescent="0.3">
      <c r="N262" s="437"/>
    </row>
    <row r="263" spans="14:14" ht="18" customHeight="1" x14ac:dyDescent="0.3">
      <c r="N263" s="437"/>
    </row>
    <row r="264" spans="14:14" ht="18" customHeight="1" x14ac:dyDescent="0.3">
      <c r="N264" s="437"/>
    </row>
    <row r="265" spans="14:14" ht="18" customHeight="1" x14ac:dyDescent="0.3">
      <c r="N265" s="437"/>
    </row>
    <row r="266" spans="14:14" ht="18" customHeight="1" x14ac:dyDescent="0.3">
      <c r="N266" s="437"/>
    </row>
    <row r="267" spans="14:14" ht="18" customHeight="1" x14ac:dyDescent="0.3">
      <c r="N267" s="437"/>
    </row>
    <row r="268" spans="14:14" ht="18" customHeight="1" x14ac:dyDescent="0.3">
      <c r="N268" s="437"/>
    </row>
    <row r="269" spans="14:14" ht="18" customHeight="1" x14ac:dyDescent="0.3">
      <c r="N269" s="437"/>
    </row>
    <row r="270" spans="14:14" ht="18" customHeight="1" x14ac:dyDescent="0.3">
      <c r="N270" s="437"/>
    </row>
    <row r="271" spans="14:14" ht="18" customHeight="1" x14ac:dyDescent="0.3">
      <c r="N271" s="437"/>
    </row>
    <row r="272" spans="14:14" ht="18" customHeight="1" x14ac:dyDescent="0.3">
      <c r="N272" s="437"/>
    </row>
    <row r="273" spans="14:14" ht="18" customHeight="1" x14ac:dyDescent="0.3">
      <c r="N273" s="437"/>
    </row>
    <row r="274" spans="14:14" ht="18" customHeight="1" x14ac:dyDescent="0.3">
      <c r="N274" s="437"/>
    </row>
    <row r="275" spans="14:14" ht="18" customHeight="1" x14ac:dyDescent="0.3">
      <c r="N275" s="437"/>
    </row>
    <row r="276" spans="14:14" ht="18" customHeight="1" x14ac:dyDescent="0.3">
      <c r="N276" s="437"/>
    </row>
    <row r="277" spans="14:14" ht="18" customHeight="1" x14ac:dyDescent="0.3">
      <c r="N277" s="437"/>
    </row>
    <row r="278" spans="14:14" ht="18" customHeight="1" x14ac:dyDescent="0.3">
      <c r="N278" s="437"/>
    </row>
    <row r="279" spans="14:14" ht="18" customHeight="1" x14ac:dyDescent="0.3">
      <c r="N279" s="437"/>
    </row>
    <row r="280" spans="14:14" ht="18" customHeight="1" x14ac:dyDescent="0.3">
      <c r="N280" s="437"/>
    </row>
    <row r="281" spans="14:14" ht="18" customHeight="1" x14ac:dyDescent="0.3">
      <c r="N281" s="437"/>
    </row>
    <row r="282" spans="14:14" ht="18" customHeight="1" x14ac:dyDescent="0.3">
      <c r="N282" s="437"/>
    </row>
    <row r="283" spans="14:14" ht="18" customHeight="1" x14ac:dyDescent="0.3">
      <c r="N283" s="437"/>
    </row>
    <row r="284" spans="14:14" ht="18" customHeight="1" x14ac:dyDescent="0.3">
      <c r="N284" s="437"/>
    </row>
    <row r="285" spans="14:14" ht="18" customHeight="1" x14ac:dyDescent="0.3">
      <c r="N285" s="437"/>
    </row>
    <row r="286" spans="14:14" ht="18" customHeight="1" x14ac:dyDescent="0.3">
      <c r="N286" s="437"/>
    </row>
    <row r="287" spans="14:14" ht="18" customHeight="1" x14ac:dyDescent="0.3">
      <c r="N287" s="437"/>
    </row>
    <row r="288" spans="14:14" ht="18" customHeight="1" x14ac:dyDescent="0.3">
      <c r="N288" s="437"/>
    </row>
    <row r="289" spans="14:14" ht="18" customHeight="1" x14ac:dyDescent="0.3">
      <c r="N289" s="437"/>
    </row>
    <row r="290" spans="14:14" ht="18" customHeight="1" x14ac:dyDescent="0.3">
      <c r="N290" s="437"/>
    </row>
    <row r="291" spans="14:14" ht="18" customHeight="1" x14ac:dyDescent="0.3">
      <c r="N291" s="437"/>
    </row>
    <row r="292" spans="14:14" ht="18" customHeight="1" x14ac:dyDescent="0.3">
      <c r="N292" s="437"/>
    </row>
    <row r="293" spans="14:14" ht="18" customHeight="1" x14ac:dyDescent="0.3">
      <c r="N293" s="437"/>
    </row>
    <row r="294" spans="14:14" ht="18" customHeight="1" x14ac:dyDescent="0.3">
      <c r="N294" s="437"/>
    </row>
    <row r="295" spans="14:14" ht="18" customHeight="1" x14ac:dyDescent="0.3">
      <c r="N295" s="437"/>
    </row>
    <row r="296" spans="14:14" ht="18" customHeight="1" x14ac:dyDescent="0.3">
      <c r="N296" s="437"/>
    </row>
    <row r="297" spans="14:14" ht="18" customHeight="1" x14ac:dyDescent="0.3">
      <c r="N297" s="437"/>
    </row>
    <row r="298" spans="14:14" ht="18" customHeight="1" x14ac:dyDescent="0.3">
      <c r="N298" s="437"/>
    </row>
    <row r="299" spans="14:14" ht="18" customHeight="1" x14ac:dyDescent="0.3">
      <c r="N299" s="437"/>
    </row>
    <row r="300" spans="14:14" ht="18" customHeight="1" x14ac:dyDescent="0.3">
      <c r="N300" s="437"/>
    </row>
  </sheetData>
  <mergeCells count="369">
    <mergeCell ref="B1:N2"/>
    <mergeCell ref="C3:D3"/>
    <mergeCell ref="E3:F3"/>
    <mergeCell ref="G3:J3"/>
    <mergeCell ref="K3:L3"/>
    <mergeCell ref="C4:D4"/>
    <mergeCell ref="E4:F4"/>
    <mergeCell ref="G4:J4"/>
    <mergeCell ref="K4:L4"/>
    <mergeCell ref="C5:D5"/>
    <mergeCell ref="E5:F5"/>
    <mergeCell ref="G5:J5"/>
    <mergeCell ref="K5:L5"/>
    <mergeCell ref="C6:D6"/>
    <mergeCell ref="E6:F6"/>
    <mergeCell ref="G6:J6"/>
    <mergeCell ref="K6:L6"/>
    <mergeCell ref="C7:D7"/>
    <mergeCell ref="E7:F7"/>
    <mergeCell ref="G7:J7"/>
    <mergeCell ref="K7:L7"/>
    <mergeCell ref="C8:D8"/>
    <mergeCell ref="E8:F8"/>
    <mergeCell ref="G8:J8"/>
    <mergeCell ref="K8:L8"/>
    <mergeCell ref="C9:D9"/>
    <mergeCell ref="E9:F9"/>
    <mergeCell ref="G9:J9"/>
    <mergeCell ref="K9:L9"/>
    <mergeCell ref="C10:D10"/>
    <mergeCell ref="E10:F10"/>
    <mergeCell ref="G10:J10"/>
    <mergeCell ref="K10:L10"/>
    <mergeCell ref="C11:D11"/>
    <mergeCell ref="E11:F11"/>
    <mergeCell ref="G11:J11"/>
    <mergeCell ref="K11:L11"/>
    <mergeCell ref="C12:D12"/>
    <mergeCell ref="E12:F12"/>
    <mergeCell ref="G12:J12"/>
    <mergeCell ref="K12:L12"/>
    <mergeCell ref="C13:D13"/>
    <mergeCell ref="E13:F13"/>
    <mergeCell ref="G13:J13"/>
    <mergeCell ref="K13:L13"/>
    <mergeCell ref="C14:D14"/>
    <mergeCell ref="E14:F14"/>
    <mergeCell ref="G14:J14"/>
    <mergeCell ref="K14:L14"/>
    <mergeCell ref="C15:D15"/>
    <mergeCell ref="E15:F15"/>
    <mergeCell ref="G15:J15"/>
    <mergeCell ref="K15:L15"/>
    <mergeCell ref="C16:D16"/>
    <mergeCell ref="E16:F16"/>
    <mergeCell ref="G16:J16"/>
    <mergeCell ref="K16:L16"/>
    <mergeCell ref="C17:D17"/>
    <mergeCell ref="E17:F17"/>
    <mergeCell ref="G17:J17"/>
    <mergeCell ref="K17:L17"/>
    <mergeCell ref="C18:D18"/>
    <mergeCell ref="E18:F18"/>
    <mergeCell ref="G18:J18"/>
    <mergeCell ref="K18:L18"/>
    <mergeCell ref="C19:D19"/>
    <mergeCell ref="E19:F19"/>
    <mergeCell ref="G19:J19"/>
    <mergeCell ref="K19:L19"/>
    <mergeCell ref="C20:D20"/>
    <mergeCell ref="E20:F20"/>
    <mergeCell ref="G20:J20"/>
    <mergeCell ref="K20:L20"/>
    <mergeCell ref="C21:D21"/>
    <mergeCell ref="E21:F21"/>
    <mergeCell ref="G21:J21"/>
    <mergeCell ref="K21:L21"/>
    <mergeCell ref="C22:D22"/>
    <mergeCell ref="E22:F22"/>
    <mergeCell ref="G22:J22"/>
    <mergeCell ref="K22:L22"/>
    <mergeCell ref="C23:D23"/>
    <mergeCell ref="E23:F23"/>
    <mergeCell ref="G23:J23"/>
    <mergeCell ref="K23:L23"/>
    <mergeCell ref="C24:D24"/>
    <mergeCell ref="E24:F24"/>
    <mergeCell ref="G24:J24"/>
    <mergeCell ref="K24:L24"/>
    <mergeCell ref="C25:D25"/>
    <mergeCell ref="E25:F25"/>
    <mergeCell ref="G25:J25"/>
    <mergeCell ref="K25:L25"/>
    <mergeCell ref="C26:D26"/>
    <mergeCell ref="E26:F26"/>
    <mergeCell ref="G26:J26"/>
    <mergeCell ref="K26:L26"/>
    <mergeCell ref="C27:D27"/>
    <mergeCell ref="E27:F27"/>
    <mergeCell ref="G27:J27"/>
    <mergeCell ref="K27:L27"/>
    <mergeCell ref="C28:D28"/>
    <mergeCell ref="E28:F28"/>
    <mergeCell ref="G28:J28"/>
    <mergeCell ref="K28:L28"/>
    <mergeCell ref="C29:D29"/>
    <mergeCell ref="E29:F29"/>
    <mergeCell ref="G29:J29"/>
    <mergeCell ref="K29:L29"/>
    <mergeCell ref="C30:D30"/>
    <mergeCell ref="E30:F30"/>
    <mergeCell ref="G30:J30"/>
    <mergeCell ref="K30:L30"/>
    <mergeCell ref="C31:D31"/>
    <mergeCell ref="E31:F31"/>
    <mergeCell ref="G31:J31"/>
    <mergeCell ref="K31:L31"/>
    <mergeCell ref="C32:D32"/>
    <mergeCell ref="E32:F32"/>
    <mergeCell ref="G32:J32"/>
    <mergeCell ref="K32:L32"/>
    <mergeCell ref="C33:D33"/>
    <mergeCell ref="E33:F33"/>
    <mergeCell ref="G33:J33"/>
    <mergeCell ref="K33:L33"/>
    <mergeCell ref="C34:D34"/>
    <mergeCell ref="E34:F34"/>
    <mergeCell ref="G34:J34"/>
    <mergeCell ref="K34:L34"/>
    <mergeCell ref="C35:D35"/>
    <mergeCell ref="E35:F35"/>
    <mergeCell ref="G35:J35"/>
    <mergeCell ref="K35:L35"/>
    <mergeCell ref="C36:D36"/>
    <mergeCell ref="E36:F36"/>
    <mergeCell ref="G36:J36"/>
    <mergeCell ref="K36:L36"/>
    <mergeCell ref="C37:D37"/>
    <mergeCell ref="E37:F37"/>
    <mergeCell ref="G37:J37"/>
    <mergeCell ref="K37:L37"/>
    <mergeCell ref="C38:D38"/>
    <mergeCell ref="E38:F38"/>
    <mergeCell ref="G38:J38"/>
    <mergeCell ref="K38:L38"/>
    <mergeCell ref="C39:D39"/>
    <mergeCell ref="E39:F39"/>
    <mergeCell ref="G39:J39"/>
    <mergeCell ref="K39:L39"/>
    <mergeCell ref="C40:D40"/>
    <mergeCell ref="E40:F40"/>
    <mergeCell ref="G40:J40"/>
    <mergeCell ref="K40:L40"/>
    <mergeCell ref="C41:D41"/>
    <mergeCell ref="E41:F41"/>
    <mergeCell ref="G41:J41"/>
    <mergeCell ref="K41:L41"/>
    <mergeCell ref="C42:D42"/>
    <mergeCell ref="E42:F42"/>
    <mergeCell ref="G42:J42"/>
    <mergeCell ref="K42:L42"/>
    <mergeCell ref="C43:D43"/>
    <mergeCell ref="E43:F43"/>
    <mergeCell ref="G43:J43"/>
    <mergeCell ref="K43:L43"/>
    <mergeCell ref="C44:D44"/>
    <mergeCell ref="E44:F44"/>
    <mergeCell ref="G44:J44"/>
    <mergeCell ref="K44:L44"/>
    <mergeCell ref="C45:D45"/>
    <mergeCell ref="E45:F45"/>
    <mergeCell ref="G45:J45"/>
    <mergeCell ref="K45:L45"/>
    <mergeCell ref="C46:D46"/>
    <mergeCell ref="E46:F46"/>
    <mergeCell ref="G46:J46"/>
    <mergeCell ref="K46:L46"/>
    <mergeCell ref="C47:D47"/>
    <mergeCell ref="E47:F47"/>
    <mergeCell ref="G47:J47"/>
    <mergeCell ref="K47:L47"/>
    <mergeCell ref="C48:D48"/>
    <mergeCell ref="E48:F48"/>
    <mergeCell ref="G48:J48"/>
    <mergeCell ref="K48:L48"/>
    <mergeCell ref="C49:D49"/>
    <mergeCell ref="E49:F49"/>
    <mergeCell ref="G49:J49"/>
    <mergeCell ref="K49:L49"/>
    <mergeCell ref="C50:D50"/>
    <mergeCell ref="E50:F50"/>
    <mergeCell ref="G50:J50"/>
    <mergeCell ref="K50:L50"/>
    <mergeCell ref="C51:D51"/>
    <mergeCell ref="E51:F51"/>
    <mergeCell ref="G51:J51"/>
    <mergeCell ref="K51:L51"/>
    <mergeCell ref="C52:D52"/>
    <mergeCell ref="E52:F52"/>
    <mergeCell ref="G52:J52"/>
    <mergeCell ref="K52:L52"/>
    <mergeCell ref="C53:D53"/>
    <mergeCell ref="E53:F53"/>
    <mergeCell ref="G53:J53"/>
    <mergeCell ref="K53:L53"/>
    <mergeCell ref="C54:D54"/>
    <mergeCell ref="E54:F54"/>
    <mergeCell ref="G54:J54"/>
    <mergeCell ref="K54:L54"/>
    <mergeCell ref="C55:D55"/>
    <mergeCell ref="E55:F55"/>
    <mergeCell ref="G55:J55"/>
    <mergeCell ref="K55:L55"/>
    <mergeCell ref="C56:D56"/>
    <mergeCell ref="E56:F56"/>
    <mergeCell ref="G56:J56"/>
    <mergeCell ref="K56:L56"/>
    <mergeCell ref="C57:D57"/>
    <mergeCell ref="E57:F57"/>
    <mergeCell ref="G57:J57"/>
    <mergeCell ref="K57:L57"/>
    <mergeCell ref="C58:D58"/>
    <mergeCell ref="E58:F58"/>
    <mergeCell ref="G58:J58"/>
    <mergeCell ref="K58:L58"/>
    <mergeCell ref="C59:D59"/>
    <mergeCell ref="E59:F59"/>
    <mergeCell ref="G59:J59"/>
    <mergeCell ref="K59:L59"/>
    <mergeCell ref="C60:D60"/>
    <mergeCell ref="E60:F60"/>
    <mergeCell ref="G60:J60"/>
    <mergeCell ref="K60:L60"/>
    <mergeCell ref="C61:D61"/>
    <mergeCell ref="E61:F61"/>
    <mergeCell ref="G61:J61"/>
    <mergeCell ref="K61:L61"/>
    <mergeCell ref="C62:D62"/>
    <mergeCell ref="E62:F62"/>
    <mergeCell ref="G62:J62"/>
    <mergeCell ref="K62:L62"/>
    <mergeCell ref="C63:D63"/>
    <mergeCell ref="E63:F63"/>
    <mergeCell ref="G63:J63"/>
    <mergeCell ref="K63:L63"/>
    <mergeCell ref="C64:D64"/>
    <mergeCell ref="E64:F64"/>
    <mergeCell ref="G64:J64"/>
    <mergeCell ref="K64:L64"/>
    <mergeCell ref="C65:D65"/>
    <mergeCell ref="E65:F65"/>
    <mergeCell ref="G65:J65"/>
    <mergeCell ref="K65:L65"/>
    <mergeCell ref="C66:D66"/>
    <mergeCell ref="E66:F66"/>
    <mergeCell ref="G66:J66"/>
    <mergeCell ref="K66:L66"/>
    <mergeCell ref="C67:D67"/>
    <mergeCell ref="E67:F67"/>
    <mergeCell ref="G67:J67"/>
    <mergeCell ref="K67:L67"/>
    <mergeCell ref="C68:D68"/>
    <mergeCell ref="E68:F68"/>
    <mergeCell ref="G68:J68"/>
    <mergeCell ref="K68:L68"/>
    <mergeCell ref="C69:D69"/>
    <mergeCell ref="E69:F69"/>
    <mergeCell ref="G69:J69"/>
    <mergeCell ref="K69:L69"/>
    <mergeCell ref="C70:D70"/>
    <mergeCell ref="E70:F70"/>
    <mergeCell ref="G70:J70"/>
    <mergeCell ref="K70:L70"/>
    <mergeCell ref="C71:D71"/>
    <mergeCell ref="E71:F71"/>
    <mergeCell ref="G71:J71"/>
    <mergeCell ref="K71:L71"/>
    <mergeCell ref="C72:D72"/>
    <mergeCell ref="E72:F72"/>
    <mergeCell ref="G72:J72"/>
    <mergeCell ref="K72:L72"/>
    <mergeCell ref="C73:D73"/>
    <mergeCell ref="E73:F73"/>
    <mergeCell ref="G73:J73"/>
    <mergeCell ref="K73:L73"/>
    <mergeCell ref="C74:D74"/>
    <mergeCell ref="E74:F74"/>
    <mergeCell ref="G74:J74"/>
    <mergeCell ref="K74:L74"/>
    <mergeCell ref="C75:D75"/>
    <mergeCell ref="E75:F75"/>
    <mergeCell ref="G75:J75"/>
    <mergeCell ref="K75:L75"/>
    <mergeCell ref="C76:D76"/>
    <mergeCell ref="E76:F76"/>
    <mergeCell ref="G76:J76"/>
    <mergeCell ref="K76:L76"/>
    <mergeCell ref="C77:D77"/>
    <mergeCell ref="E77:F77"/>
    <mergeCell ref="G77:J77"/>
    <mergeCell ref="K77:L77"/>
    <mergeCell ref="C78:D78"/>
    <mergeCell ref="E78:F78"/>
    <mergeCell ref="G78:J78"/>
    <mergeCell ref="K78:L78"/>
    <mergeCell ref="C79:D79"/>
    <mergeCell ref="E79:F79"/>
    <mergeCell ref="G79:J79"/>
    <mergeCell ref="K79:L79"/>
    <mergeCell ref="C80:D80"/>
    <mergeCell ref="E80:F80"/>
    <mergeCell ref="G80:J80"/>
    <mergeCell ref="K80:L80"/>
    <mergeCell ref="C81:D81"/>
    <mergeCell ref="E81:F81"/>
    <mergeCell ref="G81:J81"/>
    <mergeCell ref="K81:L81"/>
    <mergeCell ref="C82:D82"/>
    <mergeCell ref="E82:F82"/>
    <mergeCell ref="G82:J82"/>
    <mergeCell ref="K82:L82"/>
    <mergeCell ref="C83:D83"/>
    <mergeCell ref="E83:F83"/>
    <mergeCell ref="G83:J83"/>
    <mergeCell ref="K83:L83"/>
    <mergeCell ref="C84:D84"/>
    <mergeCell ref="E84:F84"/>
    <mergeCell ref="G84:J84"/>
    <mergeCell ref="K84:L84"/>
    <mergeCell ref="C85:D85"/>
    <mergeCell ref="E85:F85"/>
    <mergeCell ref="G85:J85"/>
    <mergeCell ref="K85:L85"/>
    <mergeCell ref="C86:D86"/>
    <mergeCell ref="E86:F86"/>
    <mergeCell ref="G86:J86"/>
    <mergeCell ref="K86:L86"/>
    <mergeCell ref="C87:D87"/>
    <mergeCell ref="E87:F87"/>
    <mergeCell ref="G87:J87"/>
    <mergeCell ref="K87:L87"/>
    <mergeCell ref="C88:D88"/>
    <mergeCell ref="E88:F88"/>
    <mergeCell ref="G88:J88"/>
    <mergeCell ref="K88:L88"/>
    <mergeCell ref="C89:D89"/>
    <mergeCell ref="E89:F89"/>
    <mergeCell ref="G89:J89"/>
    <mergeCell ref="K89:L89"/>
    <mergeCell ref="C90:D90"/>
    <mergeCell ref="E90:F90"/>
    <mergeCell ref="G90:J90"/>
    <mergeCell ref="K90:L90"/>
    <mergeCell ref="C91:D91"/>
    <mergeCell ref="E91:F91"/>
    <mergeCell ref="G91:J91"/>
    <mergeCell ref="K91:L91"/>
    <mergeCell ref="C92:D92"/>
    <mergeCell ref="E92:F92"/>
    <mergeCell ref="G92:J92"/>
    <mergeCell ref="K92:L92"/>
    <mergeCell ref="C93:D93"/>
    <mergeCell ref="E93:F93"/>
    <mergeCell ref="G93:J93"/>
    <mergeCell ref="K93:L93"/>
    <mergeCell ref="C94:D94"/>
    <mergeCell ref="E94:F94"/>
    <mergeCell ref="G94:J94"/>
    <mergeCell ref="K94:L9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2F3A4A"/>
  </sheetPr>
  <dimension ref="A1:M216"/>
  <sheetViews>
    <sheetView showGridLines="0" zoomScale="90" zoomScaleNormal="90" workbookViewId="0">
      <selection activeCell="A29" sqref="A29"/>
    </sheetView>
  </sheetViews>
  <sheetFormatPr defaultColWidth="8.6640625" defaultRowHeight="14.4" x14ac:dyDescent="0.3"/>
  <cols>
    <col min="1" max="1" width="34.33203125" customWidth="1"/>
    <col min="2" max="2" width="28" customWidth="1"/>
    <col min="3" max="3" width="14" customWidth="1"/>
    <col min="4" max="4" width="13" customWidth="1"/>
    <col min="5" max="5" width="10" customWidth="1"/>
    <col min="6" max="8" width="13" customWidth="1"/>
    <col min="9" max="9" width="16.6640625" customWidth="1"/>
    <col min="10" max="13" width="12" hidden="1" customWidth="1"/>
  </cols>
  <sheetData>
    <row r="1" spans="1:13" ht="21.75" customHeight="1" x14ac:dyDescent="0.3">
      <c r="A1" s="609" t="s">
        <v>197</v>
      </c>
      <c r="B1" s="609"/>
      <c r="C1" s="609"/>
      <c r="D1" s="609"/>
      <c r="E1" s="609"/>
      <c r="F1" s="609"/>
      <c r="G1" s="609"/>
      <c r="H1" s="609"/>
      <c r="I1" s="609"/>
      <c r="J1" t="s">
        <v>198</v>
      </c>
      <c r="K1" t="s">
        <v>199</v>
      </c>
      <c r="L1" t="s">
        <v>200</v>
      </c>
      <c r="M1" t="s">
        <v>201</v>
      </c>
    </row>
    <row r="2" spans="1:13" ht="18" customHeight="1" x14ac:dyDescent="0.3">
      <c r="A2" s="610" t="s">
        <v>202</v>
      </c>
      <c r="B2" s="610"/>
      <c r="C2" s="610"/>
      <c r="D2" s="610"/>
      <c r="E2" s="610"/>
      <c r="F2" s="610"/>
      <c r="G2" s="610" t="s">
        <v>203</v>
      </c>
      <c r="H2" s="610"/>
      <c r="I2" s="610"/>
    </row>
    <row r="3" spans="1:13" ht="15" customHeight="1" x14ac:dyDescent="0.3">
      <c r="A3" s="30">
        <v>46296</v>
      </c>
      <c r="B3" s="186" t="s">
        <v>78</v>
      </c>
      <c r="C3" s="187" t="s">
        <v>205</v>
      </c>
      <c r="D3" s="188" t="s">
        <v>206</v>
      </c>
      <c r="E3" s="188" t="s">
        <v>207</v>
      </c>
      <c r="F3" s="189" t="s">
        <v>208</v>
      </c>
      <c r="G3" s="188" t="s">
        <v>209</v>
      </c>
      <c r="H3" s="188" t="s">
        <v>210</v>
      </c>
      <c r="I3" s="188" t="s">
        <v>211</v>
      </c>
    </row>
    <row r="4" spans="1:13" ht="21" customHeight="1" x14ac:dyDescent="0.3">
      <c r="A4" s="190"/>
      <c r="B4" s="191"/>
      <c r="C4" s="192"/>
      <c r="D4" s="193"/>
      <c r="E4" s="194" t="s">
        <v>214</v>
      </c>
      <c r="F4" s="195" t="str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196" t="str">
        <f>IFERROR(ROUNDUP(D4/F4,0),"")</f>
        <v/>
      </c>
      <c r="H4" s="197"/>
      <c r="I4" s="193" t="str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</row>
    <row r="5" spans="1:13" ht="21" customHeight="1" x14ac:dyDescent="0.3">
      <c r="A5" s="190"/>
      <c r="B5" s="191"/>
      <c r="C5" s="192"/>
      <c r="D5" s="193"/>
      <c r="E5" s="194" t="s">
        <v>214</v>
      </c>
      <c r="F5" s="195" t="str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196" t="str">
        <f>IFERROR(ROUNDUP(D5/F5,0),"")</f>
        <v/>
      </c>
      <c r="H5" s="197"/>
      <c r="I5" s="193" t="str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</row>
    <row r="6" spans="1:13" ht="21" customHeight="1" x14ac:dyDescent="0.3">
      <c r="A6" s="190"/>
      <c r="B6" s="191"/>
      <c r="C6" s="192"/>
      <c r="D6" s="193"/>
      <c r="E6" s="194" t="s">
        <v>214</v>
      </c>
      <c r="F6" s="195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196" t="str">
        <f>IFERROR(ROUNDUP(D6/F6,0),"")</f>
        <v/>
      </c>
      <c r="H6" s="197"/>
      <c r="I6" s="193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</row>
    <row r="7" spans="1:13" ht="21" customHeight="1" x14ac:dyDescent="0.3">
      <c r="A7" s="190"/>
      <c r="B7" s="191"/>
      <c r="C7" s="192"/>
      <c r="D7" s="193"/>
      <c r="E7" s="194" t="s">
        <v>214</v>
      </c>
      <c r="F7" s="195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196" t="str">
        <f>IFERROR(ROUNDUP(D7/F7,0),"")</f>
        <v/>
      </c>
      <c r="H7" s="197"/>
      <c r="I7" s="193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</row>
    <row r="8" spans="1:13" ht="21" customHeight="1" x14ac:dyDescent="0.3">
      <c r="A8" s="190"/>
      <c r="B8" s="191"/>
      <c r="C8" s="192"/>
      <c r="D8" s="193"/>
      <c r="E8" s="194" t="s">
        <v>214</v>
      </c>
      <c r="F8" s="195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196" t="str">
        <f>IFERROR(ROUNDUP(D8/F8,0),"")</f>
        <v/>
      </c>
      <c r="H8" s="197"/>
      <c r="I8" s="193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</row>
    <row r="9" spans="1:13" ht="15" customHeight="1" x14ac:dyDescent="0.3">
      <c r="A9" s="198"/>
      <c r="B9" s="199" t="s">
        <v>216</v>
      </c>
      <c r="C9" s="200"/>
      <c r="D9" s="201">
        <f>SUM(D2:D8)</f>
        <v>0</v>
      </c>
      <c r="E9" s="202"/>
      <c r="F9" s="202"/>
      <c r="G9" s="203">
        <f>SUM(G2:G8)</f>
        <v>0</v>
      </c>
      <c r="H9" s="201">
        <f>SUM(H2:H8)</f>
        <v>0</v>
      </c>
      <c r="I9" s="201">
        <f>SUM(I2:I8)</f>
        <v>0</v>
      </c>
      <c r="J9" s="28">
        <f>D9</f>
        <v>0</v>
      </c>
      <c r="K9" s="106">
        <f>G9</f>
        <v>0</v>
      </c>
      <c r="L9" s="28">
        <f>H9</f>
        <v>0</v>
      </c>
      <c r="M9" s="28">
        <f>I9</f>
        <v>0</v>
      </c>
    </row>
    <row r="10" spans="1:13" ht="6" customHeight="1" x14ac:dyDescent="0.3">
      <c r="C10" s="72"/>
    </row>
    <row r="11" spans="1:13" ht="15" customHeight="1" x14ac:dyDescent="0.3">
      <c r="A11" s="30">
        <v>46297</v>
      </c>
      <c r="B11" s="186" t="s">
        <v>78</v>
      </c>
      <c r="C11" s="187" t="s">
        <v>205</v>
      </c>
      <c r="D11" s="188" t="s">
        <v>206</v>
      </c>
      <c r="E11" s="188" t="s">
        <v>207</v>
      </c>
      <c r="F11" s="189" t="s">
        <v>208</v>
      </c>
      <c r="G11" s="188" t="s">
        <v>209</v>
      </c>
      <c r="H11" s="188" t="s">
        <v>210</v>
      </c>
      <c r="I11" s="188" t="s">
        <v>211</v>
      </c>
    </row>
    <row r="12" spans="1:13" ht="21" customHeight="1" x14ac:dyDescent="0.3">
      <c r="A12" s="190"/>
      <c r="B12" s="191"/>
      <c r="C12" s="192"/>
      <c r="D12" s="193"/>
      <c r="E12" s="194" t="s">
        <v>214</v>
      </c>
      <c r="F12" s="195" t="str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196" t="str">
        <f>IFERROR(ROUNDUP(D12/F12,0),"")</f>
        <v/>
      </c>
      <c r="H12" s="197"/>
      <c r="I12" s="193" t="str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</row>
    <row r="13" spans="1:13" ht="21" customHeight="1" x14ac:dyDescent="0.3">
      <c r="A13" s="190"/>
      <c r="B13" s="191"/>
      <c r="C13" s="192"/>
      <c r="D13" s="193"/>
      <c r="E13" s="194" t="s">
        <v>214</v>
      </c>
      <c r="F13" s="195" t="str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196" t="str">
        <f>IFERROR(ROUNDUP(D13/F13,0),"")</f>
        <v/>
      </c>
      <c r="H13" s="197"/>
      <c r="I13" s="193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21" customHeight="1" x14ac:dyDescent="0.3">
      <c r="A14" s="190"/>
      <c r="B14" s="191"/>
      <c r="C14" s="192"/>
      <c r="D14" s="193"/>
      <c r="E14" s="194" t="s">
        <v>214</v>
      </c>
      <c r="F14" s="195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196" t="str">
        <f>IFERROR(ROUNDUP(D14/F14,0),"")</f>
        <v/>
      </c>
      <c r="H14" s="197"/>
      <c r="I14" s="193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</row>
    <row r="15" spans="1:13" ht="21" customHeight="1" x14ac:dyDescent="0.3">
      <c r="A15" s="190"/>
      <c r="B15" s="191"/>
      <c r="C15" s="192"/>
      <c r="D15" s="193"/>
      <c r="E15" s="194" t="s">
        <v>214</v>
      </c>
      <c r="F15" s="195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196" t="str">
        <f>IFERROR(ROUNDUP(D15/F15,0),"")</f>
        <v/>
      </c>
      <c r="H15" s="197"/>
      <c r="I15" s="193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3">
      <c r="A16" s="190"/>
      <c r="B16" s="191"/>
      <c r="C16" s="192"/>
      <c r="D16" s="193"/>
      <c r="E16" s="194" t="s">
        <v>214</v>
      </c>
      <c r="F16" s="195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196" t="str">
        <f>IFERROR(ROUNDUP(D16/F16,0),"")</f>
        <v/>
      </c>
      <c r="H16" s="197"/>
      <c r="I16" s="193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15" customHeight="1" x14ac:dyDescent="0.3">
      <c r="A17" s="198"/>
      <c r="B17" s="199" t="s">
        <v>216</v>
      </c>
      <c r="C17" s="200"/>
      <c r="D17" s="201">
        <f>SUM(D10:D16)</f>
        <v>0</v>
      </c>
      <c r="E17" s="202"/>
      <c r="F17" s="202"/>
      <c r="G17" s="203">
        <f>SUM(G10:G16)</f>
        <v>0</v>
      </c>
      <c r="H17" s="201">
        <f>SUM(H10:H16)</f>
        <v>0</v>
      </c>
      <c r="I17" s="201">
        <f>SUM(I10:I16)</f>
        <v>0</v>
      </c>
      <c r="J17" s="28">
        <f>D17</f>
        <v>0</v>
      </c>
      <c r="K17" s="106">
        <f>G17</f>
        <v>0</v>
      </c>
      <c r="L17" s="28">
        <f>H17</f>
        <v>0</v>
      </c>
      <c r="M17" s="28">
        <f>I17</f>
        <v>0</v>
      </c>
    </row>
    <row r="18" spans="1:13" ht="6" customHeight="1" x14ac:dyDescent="0.3">
      <c r="C18" s="72"/>
    </row>
    <row r="19" spans="1:13" ht="15" customHeight="1" x14ac:dyDescent="0.3">
      <c r="A19" s="235">
        <v>46298</v>
      </c>
      <c r="B19" s="186" t="s">
        <v>78</v>
      </c>
      <c r="C19" s="187" t="s">
        <v>205</v>
      </c>
      <c r="D19" s="188" t="s">
        <v>206</v>
      </c>
      <c r="E19" s="188" t="s">
        <v>207</v>
      </c>
      <c r="F19" s="236" t="s">
        <v>208</v>
      </c>
      <c r="G19" s="188" t="s">
        <v>209</v>
      </c>
      <c r="H19" s="188" t="s">
        <v>210</v>
      </c>
      <c r="I19" s="188" t="s">
        <v>211</v>
      </c>
      <c r="J19" s="237"/>
      <c r="K19" s="237"/>
      <c r="L19" s="237"/>
      <c r="M19" s="237"/>
    </row>
    <row r="20" spans="1:13" ht="21" customHeight="1" x14ac:dyDescent="0.3">
      <c r="A20" s="190"/>
      <c r="B20" s="238"/>
      <c r="C20" s="239"/>
      <c r="D20" s="240"/>
      <c r="E20" s="241" t="s">
        <v>214</v>
      </c>
      <c r="F20" s="242" t="str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243" t="str">
        <f>IFERROR(ROUNDUP(D20/F20,0),"")</f>
        <v/>
      </c>
      <c r="H20" s="197"/>
      <c r="I20" s="240" t="str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  <c r="J20" s="237"/>
      <c r="K20" s="237"/>
      <c r="L20" s="237"/>
      <c r="M20" s="237"/>
    </row>
    <row r="21" spans="1:13" ht="21" customHeight="1" x14ac:dyDescent="0.3">
      <c r="A21" s="190"/>
      <c r="B21" s="238"/>
      <c r="C21" s="239"/>
      <c r="D21" s="240"/>
      <c r="E21" s="241" t="s">
        <v>214</v>
      </c>
      <c r="F21" s="242" t="str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243" t="str">
        <f>IFERROR(ROUNDUP(D21/F21,0),"")</f>
        <v/>
      </c>
      <c r="H21" s="197"/>
      <c r="I21" s="240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  <c r="J21" s="237"/>
      <c r="K21" s="237"/>
      <c r="L21" s="237"/>
      <c r="M21" s="237"/>
    </row>
    <row r="22" spans="1:13" ht="21" customHeight="1" x14ac:dyDescent="0.3">
      <c r="A22" s="190"/>
      <c r="B22" s="238"/>
      <c r="C22" s="239"/>
      <c r="D22" s="240"/>
      <c r="E22" s="241" t="s">
        <v>214</v>
      </c>
      <c r="F22" s="242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243" t="str">
        <f>IFERROR(ROUNDUP(D22/F22,0),"")</f>
        <v/>
      </c>
      <c r="H22" s="197"/>
      <c r="I22" s="240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  <c r="J22" s="237"/>
      <c r="K22" s="237"/>
      <c r="L22" s="237"/>
      <c r="M22" s="237"/>
    </row>
    <row r="23" spans="1:13" ht="21" customHeight="1" x14ac:dyDescent="0.3">
      <c r="A23" s="190"/>
      <c r="B23" s="238"/>
      <c r="C23" s="239"/>
      <c r="D23" s="240"/>
      <c r="E23" s="241" t="s">
        <v>214</v>
      </c>
      <c r="F23" s="242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243" t="str">
        <f>IFERROR(ROUNDUP(D23/F23,0),"")</f>
        <v/>
      </c>
      <c r="H23" s="197"/>
      <c r="I23" s="240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  <c r="J23" s="237"/>
      <c r="K23" s="237"/>
      <c r="L23" s="237"/>
      <c r="M23" s="237"/>
    </row>
    <row r="24" spans="1:13" ht="21" customHeight="1" x14ac:dyDescent="0.3">
      <c r="A24" s="190"/>
      <c r="B24" s="238"/>
      <c r="C24" s="239"/>
      <c r="D24" s="240"/>
      <c r="E24" s="241" t="s">
        <v>214</v>
      </c>
      <c r="F24" s="242" t="str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243" t="str">
        <f>IFERROR(ROUNDUP(D24/F24,0),"")</f>
        <v/>
      </c>
      <c r="H24" s="197"/>
      <c r="I24" s="240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  <c r="J24" s="237"/>
      <c r="K24" s="237"/>
      <c r="L24" s="237"/>
      <c r="M24" s="237"/>
    </row>
    <row r="25" spans="1:13" ht="15" customHeight="1" x14ac:dyDescent="0.3">
      <c r="A25" s="244"/>
      <c r="B25" s="199" t="s">
        <v>216</v>
      </c>
      <c r="C25" s="245"/>
      <c r="D25" s="201">
        <f>SUM(D18:D24)</f>
        <v>0</v>
      </c>
      <c r="E25" s="246"/>
      <c r="F25" s="246"/>
      <c r="G25" s="203">
        <f>SUM(G18:G24)</f>
        <v>0</v>
      </c>
      <c r="H25" s="201">
        <f>SUM(H18:H24)</f>
        <v>0</v>
      </c>
      <c r="I25" s="201">
        <f>SUM(I18:I24)</f>
        <v>0</v>
      </c>
      <c r="J25" s="247">
        <f>D25</f>
        <v>0</v>
      </c>
      <c r="K25" s="248">
        <f>G25</f>
        <v>0</v>
      </c>
      <c r="L25" s="247">
        <f>H25</f>
        <v>0</v>
      </c>
      <c r="M25" s="247">
        <f>I25</f>
        <v>0</v>
      </c>
    </row>
    <row r="26" spans="1:13" ht="6" customHeight="1" x14ac:dyDescent="0.3">
      <c r="A26" s="237"/>
      <c r="B26" s="237"/>
      <c r="C26" s="249"/>
      <c r="D26" s="237"/>
      <c r="E26" s="237"/>
      <c r="F26" s="237"/>
      <c r="G26" s="237"/>
      <c r="H26" s="237"/>
      <c r="I26" s="237"/>
      <c r="J26" s="237"/>
      <c r="K26" s="237"/>
      <c r="L26" s="237"/>
      <c r="M26" s="237"/>
    </row>
    <row r="27" spans="1:13" ht="15" customHeight="1" x14ac:dyDescent="0.3">
      <c r="A27" s="30">
        <v>46300</v>
      </c>
      <c r="B27" s="186" t="s">
        <v>78</v>
      </c>
      <c r="C27" s="187" t="s">
        <v>205</v>
      </c>
      <c r="D27" s="188" t="s">
        <v>206</v>
      </c>
      <c r="E27" s="188" t="s">
        <v>207</v>
      </c>
      <c r="F27" s="189" t="s">
        <v>208</v>
      </c>
      <c r="G27" s="188" t="s">
        <v>209</v>
      </c>
      <c r="H27" s="188" t="s">
        <v>210</v>
      </c>
      <c r="I27" s="188" t="s">
        <v>211</v>
      </c>
    </row>
    <row r="28" spans="1:13" ht="21" customHeight="1" x14ac:dyDescent="0.3">
      <c r="A28" s="190"/>
      <c r="B28" s="191"/>
      <c r="C28" s="192"/>
      <c r="D28" s="193"/>
      <c r="E28" s="194" t="s">
        <v>214</v>
      </c>
      <c r="F28" s="195" t="str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196" t="str">
        <f>IFERROR(ROUNDUP(D28/F28,0),"")</f>
        <v/>
      </c>
      <c r="H28" s="197"/>
      <c r="I28" s="193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</row>
    <row r="29" spans="1:13" ht="21" customHeight="1" x14ac:dyDescent="0.3">
      <c r="A29" s="190"/>
      <c r="B29" s="191"/>
      <c r="C29" s="192"/>
      <c r="D29" s="193"/>
      <c r="E29" s="194" t="s">
        <v>214</v>
      </c>
      <c r="F29" s="195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196" t="str">
        <f>IFERROR(ROUNDUP(D29/F29,0),"")</f>
        <v/>
      </c>
      <c r="H29" s="197"/>
      <c r="I29" s="193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</row>
    <row r="30" spans="1:13" ht="21" customHeight="1" x14ac:dyDescent="0.3">
      <c r="A30" s="190"/>
      <c r="B30" s="191"/>
      <c r="C30" s="192"/>
      <c r="D30" s="193"/>
      <c r="E30" s="194" t="s">
        <v>214</v>
      </c>
      <c r="F30" s="195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196" t="str">
        <f>IFERROR(ROUNDUP(D30/F30,0),"")</f>
        <v/>
      </c>
      <c r="H30" s="197"/>
      <c r="I30" s="193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</row>
    <row r="31" spans="1:13" ht="21" customHeight="1" x14ac:dyDescent="0.3">
      <c r="A31" s="190"/>
      <c r="B31" s="191"/>
      <c r="C31" s="192"/>
      <c r="D31" s="193"/>
      <c r="E31" s="194" t="s">
        <v>214</v>
      </c>
      <c r="F31" s="195" t="str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196" t="str">
        <f>IFERROR(ROUNDUP(D31/F31,0),"")</f>
        <v/>
      </c>
      <c r="H31" s="197"/>
      <c r="I31" s="193" t="str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</row>
    <row r="32" spans="1:13" ht="21" customHeight="1" x14ac:dyDescent="0.3">
      <c r="A32" s="190"/>
      <c r="B32" s="191"/>
      <c r="C32" s="192"/>
      <c r="D32" s="193"/>
      <c r="E32" s="194" t="s">
        <v>214</v>
      </c>
      <c r="F32" s="195" t="str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196" t="str">
        <f>IFERROR(ROUNDUP(D32/F32,0),"")</f>
        <v/>
      </c>
      <c r="H32" s="197"/>
      <c r="I32" s="193" t="str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</row>
    <row r="33" spans="1:13" ht="15" customHeight="1" x14ac:dyDescent="0.3">
      <c r="A33" s="198"/>
      <c r="B33" s="199" t="s">
        <v>216</v>
      </c>
      <c r="C33" s="200"/>
      <c r="D33" s="201">
        <f>SUM(D26:D32)</f>
        <v>0</v>
      </c>
      <c r="E33" s="202"/>
      <c r="F33" s="202"/>
      <c r="G33" s="203">
        <f>SUM(G26:G32)</f>
        <v>0</v>
      </c>
      <c r="H33" s="201">
        <f>SUM(H26:H32)</f>
        <v>0</v>
      </c>
      <c r="I33" s="201">
        <f>SUM(I26:I32)</f>
        <v>0</v>
      </c>
      <c r="J33" s="28">
        <f>D33</f>
        <v>0</v>
      </c>
      <c r="K33" s="106">
        <f>G33</f>
        <v>0</v>
      </c>
      <c r="L33" s="28">
        <f>H33</f>
        <v>0</v>
      </c>
      <c r="M33" s="28">
        <f>I33</f>
        <v>0</v>
      </c>
    </row>
    <row r="34" spans="1:13" ht="6" customHeight="1" x14ac:dyDescent="0.3">
      <c r="C34" s="72"/>
    </row>
    <row r="35" spans="1:13" ht="15" customHeight="1" x14ac:dyDescent="0.3">
      <c r="A35" s="30">
        <v>46301</v>
      </c>
      <c r="B35" s="186" t="s">
        <v>78</v>
      </c>
      <c r="C35" s="187" t="s">
        <v>205</v>
      </c>
      <c r="D35" s="188" t="s">
        <v>206</v>
      </c>
      <c r="E35" s="188" t="s">
        <v>207</v>
      </c>
      <c r="F35" s="189" t="s">
        <v>208</v>
      </c>
      <c r="G35" s="188" t="s">
        <v>209</v>
      </c>
      <c r="H35" s="188" t="s">
        <v>210</v>
      </c>
      <c r="I35" s="188" t="s">
        <v>211</v>
      </c>
    </row>
    <row r="36" spans="1:13" ht="21" customHeight="1" x14ac:dyDescent="0.3">
      <c r="A36" s="190"/>
      <c r="B36" s="191"/>
      <c r="C36" s="192"/>
      <c r="D36" s="193"/>
      <c r="E36" s="194" t="s">
        <v>214</v>
      </c>
      <c r="F36" s="195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196" t="str">
        <f>IFERROR(ROUNDUP(D36/F36,0),"")</f>
        <v/>
      </c>
      <c r="H36" s="197"/>
      <c r="I36" s="193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</row>
    <row r="37" spans="1:13" ht="21" customHeight="1" x14ac:dyDescent="0.3">
      <c r="A37" s="190"/>
      <c r="B37" s="191"/>
      <c r="C37" s="192"/>
      <c r="D37" s="193"/>
      <c r="E37" s="194" t="s">
        <v>214</v>
      </c>
      <c r="F37" s="195" t="str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196" t="str">
        <f>IFERROR(ROUNDUP(D37/F37,0),"")</f>
        <v/>
      </c>
      <c r="H37" s="197"/>
      <c r="I37" s="193" t="str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</row>
    <row r="38" spans="1:13" ht="21" customHeight="1" x14ac:dyDescent="0.3">
      <c r="A38" s="190"/>
      <c r="B38" s="191"/>
      <c r="C38" s="192"/>
      <c r="D38" s="193"/>
      <c r="E38" s="194" t="s">
        <v>214</v>
      </c>
      <c r="F38" s="195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196" t="str">
        <f>IFERROR(ROUNDUP(D38/F38,0),"")</f>
        <v/>
      </c>
      <c r="H38" s="197"/>
      <c r="I38" s="193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</row>
    <row r="39" spans="1:13" ht="21" customHeight="1" x14ac:dyDescent="0.3">
      <c r="A39" s="190"/>
      <c r="B39" s="191"/>
      <c r="C39" s="192"/>
      <c r="D39" s="193"/>
      <c r="E39" s="194" t="s">
        <v>214</v>
      </c>
      <c r="F39" s="195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196" t="str">
        <f>IFERROR(ROUNDUP(D39/F39,0),"")</f>
        <v/>
      </c>
      <c r="H39" s="197"/>
      <c r="I39" s="193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</row>
    <row r="40" spans="1:13" ht="21" customHeight="1" x14ac:dyDescent="0.3">
      <c r="A40" s="190"/>
      <c r="B40" s="191"/>
      <c r="C40" s="192"/>
      <c r="D40" s="193"/>
      <c r="E40" s="194" t="s">
        <v>214</v>
      </c>
      <c r="F40" s="195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196" t="str">
        <f>IFERROR(ROUNDUP(D40/F40,0),"")</f>
        <v/>
      </c>
      <c r="H40" s="197"/>
      <c r="I40" s="193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</row>
    <row r="41" spans="1:13" ht="15" customHeight="1" x14ac:dyDescent="0.3">
      <c r="A41" s="198"/>
      <c r="B41" s="199" t="s">
        <v>216</v>
      </c>
      <c r="C41" s="200"/>
      <c r="D41" s="201">
        <f>SUM(D34:D40)</f>
        <v>0</v>
      </c>
      <c r="E41" s="202"/>
      <c r="F41" s="202"/>
      <c r="G41" s="203">
        <f>SUM(G34:G40)</f>
        <v>0</v>
      </c>
      <c r="H41" s="201">
        <f>SUM(H34:H40)</f>
        <v>0</v>
      </c>
      <c r="I41" s="201">
        <f>SUM(I34:I40)</f>
        <v>0</v>
      </c>
      <c r="J41" s="28">
        <f>D41</f>
        <v>0</v>
      </c>
      <c r="K41" s="106">
        <f>G41</f>
        <v>0</v>
      </c>
      <c r="L41" s="28">
        <f>H41</f>
        <v>0</v>
      </c>
      <c r="M41" s="28">
        <f>I41</f>
        <v>0</v>
      </c>
    </row>
    <row r="42" spans="1:13" ht="6" customHeight="1" x14ac:dyDescent="0.3">
      <c r="C42" s="72"/>
    </row>
    <row r="43" spans="1:13" ht="15" customHeight="1" x14ac:dyDescent="0.3">
      <c r="A43" s="30">
        <v>46302</v>
      </c>
      <c r="B43" s="186" t="s">
        <v>78</v>
      </c>
      <c r="C43" s="187" t="s">
        <v>205</v>
      </c>
      <c r="D43" s="188" t="s">
        <v>206</v>
      </c>
      <c r="E43" s="188" t="s">
        <v>207</v>
      </c>
      <c r="F43" s="189" t="s">
        <v>208</v>
      </c>
      <c r="G43" s="188" t="s">
        <v>209</v>
      </c>
      <c r="H43" s="188" t="s">
        <v>210</v>
      </c>
      <c r="I43" s="188" t="s">
        <v>211</v>
      </c>
    </row>
    <row r="44" spans="1:13" ht="21" customHeight="1" x14ac:dyDescent="0.3">
      <c r="A44" s="190"/>
      <c r="B44" s="191"/>
      <c r="C44" s="192"/>
      <c r="D44" s="193"/>
      <c r="E44" s="194" t="s">
        <v>214</v>
      </c>
      <c r="F44" s="195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196" t="str">
        <f>IFERROR(ROUNDUP(D44/F44,0),"")</f>
        <v/>
      </c>
      <c r="H44" s="197"/>
      <c r="I44" s="193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</row>
    <row r="45" spans="1:13" ht="21" customHeight="1" x14ac:dyDescent="0.3">
      <c r="A45" s="190"/>
      <c r="B45" s="191"/>
      <c r="C45" s="192"/>
      <c r="D45" s="193"/>
      <c r="E45" s="194" t="s">
        <v>214</v>
      </c>
      <c r="F45" s="195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196" t="str">
        <f>IFERROR(ROUNDUP(D45/F45,0),"")</f>
        <v/>
      </c>
      <c r="H45" s="197"/>
      <c r="I45" s="193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</row>
    <row r="46" spans="1:13" ht="21" customHeight="1" x14ac:dyDescent="0.3">
      <c r="A46" s="190"/>
      <c r="B46" s="191"/>
      <c r="C46" s="192"/>
      <c r="D46" s="193"/>
      <c r="E46" s="194" t="s">
        <v>214</v>
      </c>
      <c r="F46" s="195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196" t="str">
        <f>IFERROR(ROUNDUP(D46/F46,0),"")</f>
        <v/>
      </c>
      <c r="H46" s="197"/>
      <c r="I46" s="193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</row>
    <row r="47" spans="1:13" ht="21" customHeight="1" x14ac:dyDescent="0.3">
      <c r="A47" s="190"/>
      <c r="B47" s="191"/>
      <c r="C47" s="192"/>
      <c r="D47" s="193"/>
      <c r="E47" s="194" t="s">
        <v>214</v>
      </c>
      <c r="F47" s="195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196" t="str">
        <f>IFERROR(ROUNDUP(D47/F47,0),"")</f>
        <v/>
      </c>
      <c r="H47" s="197"/>
      <c r="I47" s="193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</row>
    <row r="48" spans="1:13" ht="21" customHeight="1" x14ac:dyDescent="0.3">
      <c r="A48" s="190"/>
      <c r="B48" s="191"/>
      <c r="C48" s="192"/>
      <c r="D48" s="193"/>
      <c r="E48" s="194" t="s">
        <v>214</v>
      </c>
      <c r="F48" s="195" t="str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196" t="str">
        <f>IFERROR(ROUNDUP(D48/F48,0),"")</f>
        <v/>
      </c>
      <c r="H48" s="197"/>
      <c r="I48" s="193" t="str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</row>
    <row r="49" spans="1:13" ht="15" customHeight="1" x14ac:dyDescent="0.3">
      <c r="A49" s="198"/>
      <c r="B49" s="199" t="s">
        <v>216</v>
      </c>
      <c r="C49" s="200"/>
      <c r="D49" s="201">
        <f>SUM(D42:D48)</f>
        <v>0</v>
      </c>
      <c r="E49" s="202"/>
      <c r="F49" s="202"/>
      <c r="G49" s="203">
        <f>SUM(G42:G48)</f>
        <v>0</v>
      </c>
      <c r="H49" s="201">
        <f>SUM(H42:H48)</f>
        <v>0</v>
      </c>
      <c r="I49" s="201">
        <f>SUM(I42:I48)</f>
        <v>0</v>
      </c>
      <c r="J49" s="28">
        <f>D49</f>
        <v>0</v>
      </c>
      <c r="K49" s="106">
        <f>G49</f>
        <v>0</v>
      </c>
      <c r="L49" s="28">
        <f>H49</f>
        <v>0</v>
      </c>
      <c r="M49" s="28">
        <f>I49</f>
        <v>0</v>
      </c>
    </row>
    <row r="50" spans="1:13" ht="6" customHeight="1" x14ac:dyDescent="0.3">
      <c r="C50" s="72"/>
    </row>
    <row r="51" spans="1:13" ht="15" customHeight="1" x14ac:dyDescent="0.3">
      <c r="A51" s="30">
        <v>46303</v>
      </c>
      <c r="B51" s="186" t="s">
        <v>78</v>
      </c>
      <c r="C51" s="187" t="s">
        <v>205</v>
      </c>
      <c r="D51" s="188" t="s">
        <v>206</v>
      </c>
      <c r="E51" s="188" t="s">
        <v>207</v>
      </c>
      <c r="F51" s="189" t="s">
        <v>208</v>
      </c>
      <c r="G51" s="188" t="s">
        <v>209</v>
      </c>
      <c r="H51" s="188" t="s">
        <v>210</v>
      </c>
      <c r="I51" s="188" t="s">
        <v>211</v>
      </c>
    </row>
    <row r="52" spans="1:13" ht="21" customHeight="1" x14ac:dyDescent="0.3">
      <c r="A52" s="190"/>
      <c r="B52" s="191"/>
      <c r="C52" s="192"/>
      <c r="D52" s="193"/>
      <c r="E52" s="194" t="s">
        <v>214</v>
      </c>
      <c r="F52" s="195" t="str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196" t="str">
        <f>IFERROR(ROUNDUP(D52/F52,0),"")</f>
        <v/>
      </c>
      <c r="H52" s="197"/>
      <c r="I52" s="193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</row>
    <row r="53" spans="1:13" ht="21" customHeight="1" x14ac:dyDescent="0.3">
      <c r="A53" s="190"/>
      <c r="B53" s="191"/>
      <c r="C53" s="192"/>
      <c r="D53" s="193"/>
      <c r="E53" s="194" t="s">
        <v>214</v>
      </c>
      <c r="F53" s="195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196" t="str">
        <f>IFERROR(ROUNDUP(D53/F53,0),"")</f>
        <v/>
      </c>
      <c r="H53" s="197"/>
      <c r="I53" s="193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</row>
    <row r="54" spans="1:13" ht="21" customHeight="1" x14ac:dyDescent="0.3">
      <c r="A54" s="190"/>
      <c r="B54" s="191"/>
      <c r="C54" s="192"/>
      <c r="D54" s="193"/>
      <c r="E54" s="194" t="s">
        <v>214</v>
      </c>
      <c r="F54" s="195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196" t="str">
        <f>IFERROR(ROUNDUP(D54/F54,0),"")</f>
        <v/>
      </c>
      <c r="H54" s="197"/>
      <c r="I54" s="193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</row>
    <row r="55" spans="1:13" ht="21" customHeight="1" x14ac:dyDescent="0.3">
      <c r="A55" s="190"/>
      <c r="B55" s="191"/>
      <c r="C55" s="192"/>
      <c r="D55" s="193"/>
      <c r="E55" s="194" t="s">
        <v>214</v>
      </c>
      <c r="F55" s="195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196" t="str">
        <f>IFERROR(ROUNDUP(D55/F55,0),"")</f>
        <v/>
      </c>
      <c r="H55" s="197"/>
      <c r="I55" s="193" t="str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</row>
    <row r="56" spans="1:13" ht="21" customHeight="1" x14ac:dyDescent="0.3">
      <c r="A56" s="190"/>
      <c r="B56" s="191"/>
      <c r="C56" s="192"/>
      <c r="D56" s="193"/>
      <c r="E56" s="194" t="s">
        <v>214</v>
      </c>
      <c r="F56" s="195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196" t="str">
        <f>IFERROR(ROUNDUP(D56/F56,0),"")</f>
        <v/>
      </c>
      <c r="H56" s="197"/>
      <c r="I56" s="193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15" customHeight="1" x14ac:dyDescent="0.3">
      <c r="A57" s="198"/>
      <c r="B57" s="199" t="s">
        <v>216</v>
      </c>
      <c r="C57" s="200"/>
      <c r="D57" s="201">
        <f>SUM(D50:D56)</f>
        <v>0</v>
      </c>
      <c r="E57" s="202"/>
      <c r="F57" s="202"/>
      <c r="G57" s="203">
        <f>SUM(G50:G56)</f>
        <v>0</v>
      </c>
      <c r="H57" s="201">
        <f>SUM(H50:H56)</f>
        <v>0</v>
      </c>
      <c r="I57" s="201">
        <f>SUM(I50:I56)</f>
        <v>0</v>
      </c>
      <c r="J57" s="28">
        <f>D57</f>
        <v>0</v>
      </c>
      <c r="K57" s="106">
        <f>G57</f>
        <v>0</v>
      </c>
      <c r="L57" s="28">
        <f>H57</f>
        <v>0</v>
      </c>
      <c r="M57" s="28">
        <f>I57</f>
        <v>0</v>
      </c>
    </row>
    <row r="58" spans="1:13" ht="6" customHeight="1" x14ac:dyDescent="0.3">
      <c r="C58" s="72"/>
    </row>
    <row r="59" spans="1:13" ht="15" customHeight="1" x14ac:dyDescent="0.3">
      <c r="A59" s="30">
        <v>46304</v>
      </c>
      <c r="B59" s="186" t="s">
        <v>78</v>
      </c>
      <c r="C59" s="187" t="s">
        <v>205</v>
      </c>
      <c r="D59" s="188" t="s">
        <v>206</v>
      </c>
      <c r="E59" s="188" t="s">
        <v>207</v>
      </c>
      <c r="F59" s="189" t="s">
        <v>208</v>
      </c>
      <c r="G59" s="188" t="s">
        <v>209</v>
      </c>
      <c r="H59" s="188" t="s">
        <v>210</v>
      </c>
      <c r="I59" s="188" t="s">
        <v>211</v>
      </c>
    </row>
    <row r="60" spans="1:13" ht="21" customHeight="1" x14ac:dyDescent="0.3">
      <c r="A60" s="190"/>
      <c r="B60" s="191"/>
      <c r="C60" s="192"/>
      <c r="D60" s="193"/>
      <c r="E60" s="194" t="s">
        <v>214</v>
      </c>
      <c r="F60" s="195" t="str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196" t="str">
        <f>IFERROR(ROUNDUP(D60/F60,0),"")</f>
        <v/>
      </c>
      <c r="H60" s="197"/>
      <c r="I60" s="193" t="str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</row>
    <row r="61" spans="1:13" ht="21" customHeight="1" x14ac:dyDescent="0.3">
      <c r="A61" s="190"/>
      <c r="B61" s="191"/>
      <c r="C61" s="192"/>
      <c r="D61" s="193"/>
      <c r="E61" s="194" t="s">
        <v>214</v>
      </c>
      <c r="F61" s="195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196" t="str">
        <f>IFERROR(ROUNDUP(D61/F61,0),"")</f>
        <v/>
      </c>
      <c r="H61" s="197"/>
      <c r="I61" s="193" t="str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</row>
    <row r="62" spans="1:13" ht="21" customHeight="1" x14ac:dyDescent="0.3">
      <c r="A62" s="190"/>
      <c r="B62" s="191"/>
      <c r="C62" s="192"/>
      <c r="D62" s="193"/>
      <c r="E62" s="194" t="s">
        <v>214</v>
      </c>
      <c r="F62" s="195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196" t="str">
        <f>IFERROR(ROUNDUP(D62/F62,0),"")</f>
        <v/>
      </c>
      <c r="H62" s="197"/>
      <c r="I62" s="193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3" ht="21" customHeight="1" x14ac:dyDescent="0.3">
      <c r="A63" s="190"/>
      <c r="B63" s="191"/>
      <c r="C63" s="192"/>
      <c r="D63" s="193"/>
      <c r="E63" s="194" t="s">
        <v>214</v>
      </c>
      <c r="F63" s="195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196" t="str">
        <f>IFERROR(ROUNDUP(D63/F63,0),"")</f>
        <v/>
      </c>
      <c r="H63" s="197"/>
      <c r="I63" s="193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3">
      <c r="A64" s="190"/>
      <c r="B64" s="191"/>
      <c r="C64" s="192"/>
      <c r="D64" s="193"/>
      <c r="E64" s="194" t="s">
        <v>214</v>
      </c>
      <c r="F64" s="195" t="str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196" t="str">
        <f>IFERROR(ROUNDUP(D64/F64,0),"")</f>
        <v/>
      </c>
      <c r="H64" s="197"/>
      <c r="I64" s="193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15" customHeight="1" x14ac:dyDescent="0.3">
      <c r="A65" s="198"/>
      <c r="B65" s="199" t="s">
        <v>216</v>
      </c>
      <c r="C65" s="200"/>
      <c r="D65" s="201">
        <f>SUM(D58:D64)</f>
        <v>0</v>
      </c>
      <c r="E65" s="202"/>
      <c r="F65" s="202"/>
      <c r="G65" s="203">
        <f>SUM(G58:G64)</f>
        <v>0</v>
      </c>
      <c r="H65" s="201">
        <f>SUM(H58:H64)</f>
        <v>0</v>
      </c>
      <c r="I65" s="201">
        <f>SUM(I58:I64)</f>
        <v>0</v>
      </c>
      <c r="J65" s="28">
        <f>D65</f>
        <v>0</v>
      </c>
      <c r="K65" s="106">
        <f>G65</f>
        <v>0</v>
      </c>
      <c r="L65" s="28">
        <f>H65</f>
        <v>0</v>
      </c>
      <c r="M65" s="28">
        <f>I65</f>
        <v>0</v>
      </c>
    </row>
    <row r="66" spans="1:13" ht="6" customHeight="1" x14ac:dyDescent="0.3">
      <c r="C66" s="72"/>
    </row>
    <row r="67" spans="1:13" ht="15" customHeight="1" x14ac:dyDescent="0.3">
      <c r="A67" s="235">
        <v>46305</v>
      </c>
      <c r="B67" s="186" t="s">
        <v>78</v>
      </c>
      <c r="C67" s="187" t="s">
        <v>205</v>
      </c>
      <c r="D67" s="188" t="s">
        <v>206</v>
      </c>
      <c r="E67" s="188" t="s">
        <v>207</v>
      </c>
      <c r="F67" s="236" t="s">
        <v>208</v>
      </c>
      <c r="G67" s="188" t="s">
        <v>209</v>
      </c>
      <c r="H67" s="188" t="s">
        <v>210</v>
      </c>
      <c r="I67" s="188" t="s">
        <v>211</v>
      </c>
      <c r="J67" s="237"/>
      <c r="K67" s="237"/>
      <c r="L67" s="237"/>
      <c r="M67" s="237"/>
    </row>
    <row r="68" spans="1:13" ht="21" customHeight="1" x14ac:dyDescent="0.3">
      <c r="A68" s="190"/>
      <c r="B68" s="238"/>
      <c r="C68" s="239"/>
      <c r="D68" s="240"/>
      <c r="E68" s="241" t="s">
        <v>214</v>
      </c>
      <c r="F68" s="242" t="str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243" t="str">
        <f>IFERROR(ROUNDUP(D68/F68,0),"")</f>
        <v/>
      </c>
      <c r="H68" s="197"/>
      <c r="I68" s="240" t="str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  <c r="J68" s="237"/>
      <c r="K68" s="237"/>
      <c r="L68" s="237"/>
      <c r="M68" s="237"/>
    </row>
    <row r="69" spans="1:13" ht="21" customHeight="1" x14ac:dyDescent="0.3">
      <c r="A69" s="190"/>
      <c r="B69" s="238"/>
      <c r="C69" s="239"/>
      <c r="D69" s="240"/>
      <c r="E69" s="241" t="s">
        <v>214</v>
      </c>
      <c r="F69" s="242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243" t="str">
        <f>IFERROR(ROUNDUP(D69/F69,0),"")</f>
        <v/>
      </c>
      <c r="H69" s="197"/>
      <c r="I69" s="240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  <c r="J69" s="237"/>
      <c r="K69" s="237"/>
      <c r="L69" s="237"/>
      <c r="M69" s="237"/>
    </row>
    <row r="70" spans="1:13" ht="21" customHeight="1" x14ac:dyDescent="0.3">
      <c r="A70" s="190"/>
      <c r="B70" s="238"/>
      <c r="C70" s="239"/>
      <c r="D70" s="240"/>
      <c r="E70" s="241" t="s">
        <v>214</v>
      </c>
      <c r="F70" s="242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243" t="str">
        <f>IFERROR(ROUNDUP(D70/F70,0),"")</f>
        <v/>
      </c>
      <c r="H70" s="197"/>
      <c r="I70" s="240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  <c r="J70" s="237"/>
      <c r="K70" s="237"/>
      <c r="L70" s="237"/>
      <c r="M70" s="237"/>
    </row>
    <row r="71" spans="1:13" ht="21" customHeight="1" x14ac:dyDescent="0.3">
      <c r="A71" s="190"/>
      <c r="B71" s="238"/>
      <c r="C71" s="239"/>
      <c r="D71" s="240"/>
      <c r="E71" s="241" t="s">
        <v>214</v>
      </c>
      <c r="F71" s="242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243" t="str">
        <f>IFERROR(ROUNDUP(D71/F71,0),"")</f>
        <v/>
      </c>
      <c r="H71" s="197"/>
      <c r="I71" s="240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  <c r="J71" s="237"/>
      <c r="K71" s="237"/>
      <c r="L71" s="237"/>
      <c r="M71" s="237"/>
    </row>
    <row r="72" spans="1:13" ht="21" customHeight="1" x14ac:dyDescent="0.3">
      <c r="A72" s="190"/>
      <c r="B72" s="238"/>
      <c r="C72" s="239"/>
      <c r="D72" s="240"/>
      <c r="E72" s="241" t="s">
        <v>214</v>
      </c>
      <c r="F72" s="242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243" t="str">
        <f>IFERROR(ROUNDUP(D72/F72,0),"")</f>
        <v/>
      </c>
      <c r="H72" s="197"/>
      <c r="I72" s="240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  <c r="J72" s="237"/>
      <c r="K72" s="237"/>
      <c r="L72" s="237"/>
      <c r="M72" s="237"/>
    </row>
    <row r="73" spans="1:13" ht="15" customHeight="1" x14ac:dyDescent="0.3">
      <c r="A73" s="244"/>
      <c r="B73" s="199" t="s">
        <v>216</v>
      </c>
      <c r="C73" s="245"/>
      <c r="D73" s="201">
        <f>SUM(D66:D72)</f>
        <v>0</v>
      </c>
      <c r="E73" s="246"/>
      <c r="F73" s="246"/>
      <c r="G73" s="203">
        <f>SUM(G66:G72)</f>
        <v>0</v>
      </c>
      <c r="H73" s="201">
        <f>SUM(H66:H72)</f>
        <v>0</v>
      </c>
      <c r="I73" s="201">
        <f>SUM(I66:I72)</f>
        <v>0</v>
      </c>
      <c r="J73" s="247">
        <f>D73</f>
        <v>0</v>
      </c>
      <c r="K73" s="248">
        <f>G73</f>
        <v>0</v>
      </c>
      <c r="L73" s="247">
        <f>H73</f>
        <v>0</v>
      </c>
      <c r="M73" s="247">
        <f>I73</f>
        <v>0</v>
      </c>
    </row>
    <row r="74" spans="1:13" ht="6" customHeight="1" x14ac:dyDescent="0.3">
      <c r="A74" s="237"/>
      <c r="B74" s="237"/>
      <c r="C74" s="249"/>
      <c r="D74" s="237"/>
      <c r="E74" s="237"/>
      <c r="F74" s="237"/>
      <c r="G74" s="237"/>
      <c r="H74" s="237"/>
      <c r="I74" s="237"/>
      <c r="J74" s="237"/>
      <c r="K74" s="237"/>
      <c r="L74" s="237"/>
      <c r="M74" s="237"/>
    </row>
    <row r="75" spans="1:13" ht="15" customHeight="1" x14ac:dyDescent="0.3">
      <c r="A75" s="30">
        <v>46307</v>
      </c>
      <c r="B75" s="186" t="s">
        <v>78</v>
      </c>
      <c r="C75" s="187" t="s">
        <v>205</v>
      </c>
      <c r="D75" s="188" t="s">
        <v>206</v>
      </c>
      <c r="E75" s="188" t="s">
        <v>207</v>
      </c>
      <c r="F75" s="189" t="s">
        <v>208</v>
      </c>
      <c r="G75" s="188" t="s">
        <v>209</v>
      </c>
      <c r="H75" s="188" t="s">
        <v>210</v>
      </c>
      <c r="I75" s="188" t="s">
        <v>211</v>
      </c>
    </row>
    <row r="76" spans="1:13" ht="21" customHeight="1" x14ac:dyDescent="0.3">
      <c r="A76" s="190"/>
      <c r="B76" s="191"/>
      <c r="C76" s="192"/>
      <c r="D76" s="193"/>
      <c r="E76" s="194" t="s">
        <v>214</v>
      </c>
      <c r="F76" s="195" t="str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196" t="str">
        <f>IFERROR(ROUNDUP(D76/F76,0),"")</f>
        <v/>
      </c>
      <c r="H76" s="197"/>
      <c r="I76" s="193" t="str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</row>
    <row r="77" spans="1:13" ht="21" customHeight="1" x14ac:dyDescent="0.3">
      <c r="A77" s="190"/>
      <c r="B77" s="191"/>
      <c r="C77" s="192"/>
      <c r="D77" s="193"/>
      <c r="E77" s="194" t="s">
        <v>214</v>
      </c>
      <c r="F77" s="195" t="str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196" t="str">
        <f>IFERROR(ROUNDUP(D77/F77,0),"")</f>
        <v/>
      </c>
      <c r="H77" s="197"/>
      <c r="I77" s="193" t="str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</row>
    <row r="78" spans="1:13" ht="21" customHeight="1" x14ac:dyDescent="0.3">
      <c r="A78" s="190"/>
      <c r="B78" s="191"/>
      <c r="C78" s="192"/>
      <c r="D78" s="193"/>
      <c r="E78" s="194" t="s">
        <v>214</v>
      </c>
      <c r="F78" s="195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196" t="str">
        <f>IFERROR(ROUNDUP(D78/F78,0),"")</f>
        <v/>
      </c>
      <c r="H78" s="197"/>
      <c r="I78" s="193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</row>
    <row r="79" spans="1:13" ht="21" customHeight="1" x14ac:dyDescent="0.3">
      <c r="A79" s="190"/>
      <c r="B79" s="191"/>
      <c r="C79" s="192"/>
      <c r="D79" s="193"/>
      <c r="E79" s="194" t="s">
        <v>214</v>
      </c>
      <c r="F79" s="195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196" t="str">
        <f>IFERROR(ROUNDUP(D79/F79,0),"")</f>
        <v/>
      </c>
      <c r="H79" s="197"/>
      <c r="I79" s="193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</row>
    <row r="80" spans="1:13" ht="21" customHeight="1" x14ac:dyDescent="0.3">
      <c r="A80" s="190"/>
      <c r="B80" s="191"/>
      <c r="C80" s="192"/>
      <c r="D80" s="193"/>
      <c r="E80" s="194" t="s">
        <v>214</v>
      </c>
      <c r="F80" s="195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196" t="str">
        <f>IFERROR(ROUNDUP(D80/F80,0),"")</f>
        <v/>
      </c>
      <c r="H80" s="197"/>
      <c r="I80" s="193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15" customHeight="1" x14ac:dyDescent="0.3">
      <c r="A81" s="198"/>
      <c r="B81" s="199" t="s">
        <v>216</v>
      </c>
      <c r="C81" s="200"/>
      <c r="D81" s="201">
        <f>SUM(D74:D80)</f>
        <v>0</v>
      </c>
      <c r="E81" s="202"/>
      <c r="F81" s="202"/>
      <c r="G81" s="203">
        <f>SUM(G74:G80)</f>
        <v>0</v>
      </c>
      <c r="H81" s="201">
        <f>SUM(H74:H80)</f>
        <v>0</v>
      </c>
      <c r="I81" s="201">
        <f>SUM(I74:I80)</f>
        <v>0</v>
      </c>
      <c r="J81" s="28">
        <f>D81</f>
        <v>0</v>
      </c>
      <c r="K81" s="106">
        <f>G81</f>
        <v>0</v>
      </c>
      <c r="L81" s="28">
        <f>H81</f>
        <v>0</v>
      </c>
      <c r="M81" s="28">
        <f>I81</f>
        <v>0</v>
      </c>
    </row>
    <row r="82" spans="1:13" ht="6" customHeight="1" x14ac:dyDescent="0.3">
      <c r="C82" s="72"/>
    </row>
    <row r="83" spans="1:13" ht="15" customHeight="1" x14ac:dyDescent="0.3">
      <c r="A83" s="30">
        <v>46308</v>
      </c>
      <c r="B83" s="186" t="s">
        <v>78</v>
      </c>
      <c r="C83" s="187" t="s">
        <v>205</v>
      </c>
      <c r="D83" s="188" t="s">
        <v>206</v>
      </c>
      <c r="E83" s="188" t="s">
        <v>207</v>
      </c>
      <c r="F83" s="189" t="s">
        <v>208</v>
      </c>
      <c r="G83" s="188" t="s">
        <v>209</v>
      </c>
      <c r="H83" s="188" t="s">
        <v>210</v>
      </c>
      <c r="I83" s="188" t="s">
        <v>211</v>
      </c>
    </row>
    <row r="84" spans="1:13" ht="21" customHeight="1" x14ac:dyDescent="0.3">
      <c r="A84" s="190"/>
      <c r="B84" s="191"/>
      <c r="C84" s="192"/>
      <c r="D84" s="193"/>
      <c r="E84" s="194" t="s">
        <v>214</v>
      </c>
      <c r="F84" s="195" t="str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196" t="str">
        <f>IFERROR(ROUNDUP(D84/F84,0),"")</f>
        <v/>
      </c>
      <c r="H84" s="197"/>
      <c r="I84" s="193" t="str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</row>
    <row r="85" spans="1:13" ht="21" customHeight="1" x14ac:dyDescent="0.3">
      <c r="A85" s="190"/>
      <c r="B85" s="191"/>
      <c r="C85" s="192"/>
      <c r="D85" s="193"/>
      <c r="E85" s="194" t="s">
        <v>214</v>
      </c>
      <c r="F85" s="195" t="str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196" t="str">
        <f>IFERROR(ROUNDUP(D85/F85,0),"")</f>
        <v/>
      </c>
      <c r="H85" s="197"/>
      <c r="I85" s="193" t="str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</row>
    <row r="86" spans="1:13" ht="21" customHeight="1" x14ac:dyDescent="0.3">
      <c r="A86" s="190"/>
      <c r="B86" s="191"/>
      <c r="C86" s="192"/>
      <c r="D86" s="193"/>
      <c r="E86" s="194" t="s">
        <v>214</v>
      </c>
      <c r="F86" s="195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196" t="str">
        <f>IFERROR(ROUNDUP(D86/F86,0),"")</f>
        <v/>
      </c>
      <c r="H86" s="197"/>
      <c r="I86" s="193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</row>
    <row r="87" spans="1:13" ht="21" customHeight="1" x14ac:dyDescent="0.3">
      <c r="A87" s="190"/>
      <c r="B87" s="191"/>
      <c r="C87" s="192"/>
      <c r="D87" s="193"/>
      <c r="E87" s="194" t="s">
        <v>214</v>
      </c>
      <c r="F87" s="195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196" t="str">
        <f>IFERROR(ROUNDUP(D87/F87,0),"")</f>
        <v/>
      </c>
      <c r="H87" s="197"/>
      <c r="I87" s="193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</row>
    <row r="88" spans="1:13" ht="21" customHeight="1" x14ac:dyDescent="0.3">
      <c r="A88" s="190"/>
      <c r="B88" s="191"/>
      <c r="C88" s="192"/>
      <c r="D88" s="193"/>
      <c r="E88" s="194" t="s">
        <v>214</v>
      </c>
      <c r="F88" s="195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196" t="str">
        <f>IFERROR(ROUNDUP(D88/F88,0),"")</f>
        <v/>
      </c>
      <c r="H88" s="197"/>
      <c r="I88" s="193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</row>
    <row r="89" spans="1:13" ht="15" customHeight="1" x14ac:dyDescent="0.3">
      <c r="A89" s="198"/>
      <c r="B89" s="199" t="s">
        <v>216</v>
      </c>
      <c r="C89" s="200"/>
      <c r="D89" s="201">
        <f>SUM(D82:D88)</f>
        <v>0</v>
      </c>
      <c r="E89" s="202"/>
      <c r="F89" s="202"/>
      <c r="G89" s="203">
        <f>SUM(G82:G88)</f>
        <v>0</v>
      </c>
      <c r="H89" s="201">
        <f>SUM(H82:H88)</f>
        <v>0</v>
      </c>
      <c r="I89" s="201">
        <f>SUM(I82:I88)</f>
        <v>0</v>
      </c>
      <c r="J89" s="28">
        <f>D89</f>
        <v>0</v>
      </c>
      <c r="K89" s="106">
        <f>G89</f>
        <v>0</v>
      </c>
      <c r="L89" s="28">
        <f>H89</f>
        <v>0</v>
      </c>
      <c r="M89" s="28">
        <f>I89</f>
        <v>0</v>
      </c>
    </row>
    <row r="90" spans="1:13" ht="6" customHeight="1" x14ac:dyDescent="0.3">
      <c r="C90" s="72"/>
    </row>
    <row r="91" spans="1:13" ht="15" customHeight="1" x14ac:dyDescent="0.3">
      <c r="A91" s="30">
        <v>46309</v>
      </c>
      <c r="B91" s="186" t="s">
        <v>78</v>
      </c>
      <c r="C91" s="187" t="s">
        <v>205</v>
      </c>
      <c r="D91" s="188" t="s">
        <v>206</v>
      </c>
      <c r="E91" s="188" t="s">
        <v>207</v>
      </c>
      <c r="F91" s="189" t="s">
        <v>208</v>
      </c>
      <c r="G91" s="188" t="s">
        <v>209</v>
      </c>
      <c r="H91" s="188" t="s">
        <v>210</v>
      </c>
      <c r="I91" s="188" t="s">
        <v>211</v>
      </c>
    </row>
    <row r="92" spans="1:13" ht="21" customHeight="1" x14ac:dyDescent="0.3">
      <c r="A92" s="190"/>
      <c r="B92" s="191"/>
      <c r="C92" s="192"/>
      <c r="D92" s="193"/>
      <c r="E92" s="194" t="s">
        <v>214</v>
      </c>
      <c r="F92" s="195" t="str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196" t="str">
        <f>IFERROR(ROUNDUP(D92/F92,0),"")</f>
        <v/>
      </c>
      <c r="H92" s="197"/>
      <c r="I92" s="193" t="str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</row>
    <row r="93" spans="1:13" ht="21" customHeight="1" x14ac:dyDescent="0.3">
      <c r="A93" s="190"/>
      <c r="B93" s="191"/>
      <c r="C93" s="192"/>
      <c r="D93" s="193"/>
      <c r="E93" s="194" t="s">
        <v>214</v>
      </c>
      <c r="F93" s="195" t="str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196" t="str">
        <f>IFERROR(ROUNDUP(D93/F93,0),"")</f>
        <v/>
      </c>
      <c r="H93" s="197"/>
      <c r="I93" s="193" t="str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</row>
    <row r="94" spans="1:13" ht="21" customHeight="1" x14ac:dyDescent="0.3">
      <c r="A94" s="190"/>
      <c r="B94" s="191"/>
      <c r="C94" s="192"/>
      <c r="D94" s="193"/>
      <c r="E94" s="194" t="s">
        <v>214</v>
      </c>
      <c r="F94" s="195" t="str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196" t="str">
        <f>IFERROR(ROUNDUP(D94/F94,0),"")</f>
        <v/>
      </c>
      <c r="H94" s="197"/>
      <c r="I94" s="193" t="str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</row>
    <row r="95" spans="1:13" ht="21" customHeight="1" x14ac:dyDescent="0.3">
      <c r="A95" s="190"/>
      <c r="B95" s="191"/>
      <c r="C95" s="192"/>
      <c r="D95" s="193"/>
      <c r="E95" s="194" t="s">
        <v>214</v>
      </c>
      <c r="F95" s="195" t="str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196" t="str">
        <f>IFERROR(ROUNDUP(D95/F95,0),"")</f>
        <v/>
      </c>
      <c r="H95" s="197"/>
      <c r="I95" s="193" t="str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</row>
    <row r="96" spans="1:13" ht="21" customHeight="1" x14ac:dyDescent="0.3">
      <c r="A96" s="190"/>
      <c r="B96" s="191"/>
      <c r="C96" s="192"/>
      <c r="D96" s="193"/>
      <c r="E96" s="194" t="s">
        <v>214</v>
      </c>
      <c r="F96" s="195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196" t="str">
        <f>IFERROR(ROUNDUP(D96/F96,0),"")</f>
        <v/>
      </c>
      <c r="H96" s="197"/>
      <c r="I96" s="193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</row>
    <row r="97" spans="1:13" ht="15" customHeight="1" x14ac:dyDescent="0.3">
      <c r="A97" s="198"/>
      <c r="B97" s="199" t="s">
        <v>216</v>
      </c>
      <c r="C97" s="200"/>
      <c r="D97" s="201">
        <f>SUM(D90:D96)</f>
        <v>0</v>
      </c>
      <c r="E97" s="202"/>
      <c r="F97" s="202"/>
      <c r="G97" s="203">
        <f>SUM(G90:G96)</f>
        <v>0</v>
      </c>
      <c r="H97" s="201">
        <f>SUM(H90:H96)</f>
        <v>0</v>
      </c>
      <c r="I97" s="201">
        <f>SUM(I90:I96)</f>
        <v>0</v>
      </c>
      <c r="J97" s="28">
        <f>D97</f>
        <v>0</v>
      </c>
      <c r="K97" s="106">
        <f>G97</f>
        <v>0</v>
      </c>
      <c r="L97" s="28">
        <f>H97</f>
        <v>0</v>
      </c>
      <c r="M97" s="28">
        <f>I97</f>
        <v>0</v>
      </c>
    </row>
    <row r="98" spans="1:13" ht="6" customHeight="1" x14ac:dyDescent="0.3">
      <c r="C98" s="72"/>
    </row>
    <row r="99" spans="1:13" ht="15" customHeight="1" x14ac:dyDescent="0.3">
      <c r="A99" s="30">
        <v>46310</v>
      </c>
      <c r="B99" s="186" t="s">
        <v>78</v>
      </c>
      <c r="C99" s="187" t="s">
        <v>205</v>
      </c>
      <c r="D99" s="188" t="s">
        <v>206</v>
      </c>
      <c r="E99" s="188" t="s">
        <v>207</v>
      </c>
      <c r="F99" s="189" t="s">
        <v>208</v>
      </c>
      <c r="G99" s="188" t="s">
        <v>209</v>
      </c>
      <c r="H99" s="188" t="s">
        <v>210</v>
      </c>
      <c r="I99" s="188" t="s">
        <v>211</v>
      </c>
    </row>
    <row r="100" spans="1:13" ht="21" customHeight="1" x14ac:dyDescent="0.3">
      <c r="A100" s="190"/>
      <c r="B100" s="191"/>
      <c r="C100" s="192"/>
      <c r="D100" s="193"/>
      <c r="E100" s="194" t="s">
        <v>214</v>
      </c>
      <c r="F100" s="195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196" t="str">
        <f>IFERROR(ROUNDUP(D100/F100,0),"")</f>
        <v/>
      </c>
      <c r="H100" s="197"/>
      <c r="I100" s="193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</row>
    <row r="101" spans="1:13" ht="21" customHeight="1" x14ac:dyDescent="0.3">
      <c r="A101" s="190"/>
      <c r="B101" s="191"/>
      <c r="C101" s="192"/>
      <c r="D101" s="193"/>
      <c r="E101" s="194" t="s">
        <v>214</v>
      </c>
      <c r="F101" s="195" t="str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196" t="str">
        <f>IFERROR(ROUNDUP(D101/F101,0),"")</f>
        <v/>
      </c>
      <c r="H101" s="197"/>
      <c r="I101" s="193" t="str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</row>
    <row r="102" spans="1:13" ht="21" customHeight="1" x14ac:dyDescent="0.3">
      <c r="A102" s="190"/>
      <c r="B102" s="191"/>
      <c r="C102" s="192"/>
      <c r="D102" s="193"/>
      <c r="E102" s="194" t="s">
        <v>214</v>
      </c>
      <c r="F102" s="195" t="str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196" t="str">
        <f>IFERROR(ROUNDUP(D102/F102,0),"")</f>
        <v/>
      </c>
      <c r="H102" s="197"/>
      <c r="I102" s="193" t="str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</row>
    <row r="103" spans="1:13" ht="21" customHeight="1" x14ac:dyDescent="0.3">
      <c r="A103" s="190"/>
      <c r="B103" s="191"/>
      <c r="C103" s="192"/>
      <c r="D103" s="193"/>
      <c r="E103" s="194" t="s">
        <v>214</v>
      </c>
      <c r="F103" s="195" t="str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196" t="str">
        <f>IFERROR(ROUNDUP(D103/F103,0),"")</f>
        <v/>
      </c>
      <c r="H103" s="197"/>
      <c r="I103" s="193" t="str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</row>
    <row r="104" spans="1:13" ht="21" customHeight="1" x14ac:dyDescent="0.3">
      <c r="A104" s="190"/>
      <c r="B104" s="191"/>
      <c r="C104" s="192"/>
      <c r="D104" s="193"/>
      <c r="E104" s="194" t="s">
        <v>214</v>
      </c>
      <c r="F104" s="195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196" t="str">
        <f>IFERROR(ROUNDUP(D104/F104,0),"")</f>
        <v/>
      </c>
      <c r="H104" s="197"/>
      <c r="I104" s="193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</row>
    <row r="105" spans="1:13" ht="15" customHeight="1" x14ac:dyDescent="0.3">
      <c r="A105" s="198"/>
      <c r="B105" s="199" t="s">
        <v>216</v>
      </c>
      <c r="C105" s="200"/>
      <c r="D105" s="201">
        <f>SUM(D98:D104)</f>
        <v>0</v>
      </c>
      <c r="E105" s="202"/>
      <c r="F105" s="202"/>
      <c r="G105" s="203">
        <f>SUM(G98:G104)</f>
        <v>0</v>
      </c>
      <c r="H105" s="201">
        <f>SUM(H98:H104)</f>
        <v>0</v>
      </c>
      <c r="I105" s="201">
        <f>SUM(I98:I104)</f>
        <v>0</v>
      </c>
      <c r="J105" s="28">
        <f>D105</f>
        <v>0</v>
      </c>
      <c r="K105" s="106">
        <f>G105</f>
        <v>0</v>
      </c>
      <c r="L105" s="28">
        <f>H105</f>
        <v>0</v>
      </c>
      <c r="M105" s="28">
        <f>I105</f>
        <v>0</v>
      </c>
    </row>
    <row r="106" spans="1:13" ht="6" customHeight="1" x14ac:dyDescent="0.3">
      <c r="C106" s="72"/>
    </row>
    <row r="107" spans="1:13" ht="15" customHeight="1" x14ac:dyDescent="0.3">
      <c r="A107" s="30">
        <v>46311</v>
      </c>
      <c r="B107" s="186" t="s">
        <v>78</v>
      </c>
      <c r="C107" s="187" t="s">
        <v>205</v>
      </c>
      <c r="D107" s="188" t="s">
        <v>206</v>
      </c>
      <c r="E107" s="188" t="s">
        <v>207</v>
      </c>
      <c r="F107" s="189" t="s">
        <v>208</v>
      </c>
      <c r="G107" s="188" t="s">
        <v>209</v>
      </c>
      <c r="H107" s="188" t="s">
        <v>210</v>
      </c>
      <c r="I107" s="188" t="s">
        <v>211</v>
      </c>
    </row>
    <row r="108" spans="1:13" ht="21" customHeight="1" x14ac:dyDescent="0.3">
      <c r="A108" s="190"/>
      <c r="B108" s="191"/>
      <c r="C108" s="192"/>
      <c r="D108" s="193"/>
      <c r="E108" s="194" t="s">
        <v>214</v>
      </c>
      <c r="F108" s="195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196" t="str">
        <f>IFERROR(ROUNDUP(D108/F108,0),"")</f>
        <v/>
      </c>
      <c r="H108" s="197"/>
      <c r="I108" s="193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</row>
    <row r="109" spans="1:13" ht="21" customHeight="1" x14ac:dyDescent="0.3">
      <c r="A109" s="190"/>
      <c r="B109" s="191"/>
      <c r="C109" s="192"/>
      <c r="D109" s="193"/>
      <c r="E109" s="194" t="s">
        <v>214</v>
      </c>
      <c r="F109" s="195" t="str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196" t="str">
        <f>IFERROR(ROUNDUP(D109/F109,0),"")</f>
        <v/>
      </c>
      <c r="H109" s="197"/>
      <c r="I109" s="193" t="str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</row>
    <row r="110" spans="1:13" ht="21" customHeight="1" x14ac:dyDescent="0.3">
      <c r="A110" s="190"/>
      <c r="B110" s="191"/>
      <c r="C110" s="192"/>
      <c r="D110" s="193"/>
      <c r="E110" s="194" t="s">
        <v>214</v>
      </c>
      <c r="F110" s="195" t="str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196" t="str">
        <f>IFERROR(ROUNDUP(D110/F110,0),"")</f>
        <v/>
      </c>
      <c r="H110" s="197"/>
      <c r="I110" s="193" t="str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</row>
    <row r="111" spans="1:13" ht="21" customHeight="1" x14ac:dyDescent="0.3">
      <c r="A111" s="190"/>
      <c r="B111" s="191"/>
      <c r="C111" s="192"/>
      <c r="D111" s="193"/>
      <c r="E111" s="194" t="s">
        <v>214</v>
      </c>
      <c r="F111" s="195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196" t="str">
        <f>IFERROR(ROUNDUP(D111/F111,0),"")</f>
        <v/>
      </c>
      <c r="H111" s="197"/>
      <c r="I111" s="193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3">
      <c r="A112" s="190"/>
      <c r="B112" s="191"/>
      <c r="C112" s="192"/>
      <c r="D112" s="193"/>
      <c r="E112" s="194" t="s">
        <v>214</v>
      </c>
      <c r="F112" s="195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196" t="str">
        <f>IFERROR(ROUNDUP(D112/F112,0),"")</f>
        <v/>
      </c>
      <c r="H112" s="197"/>
      <c r="I112" s="193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15" customHeight="1" x14ac:dyDescent="0.3">
      <c r="A113" s="198"/>
      <c r="B113" s="199" t="s">
        <v>216</v>
      </c>
      <c r="C113" s="200"/>
      <c r="D113" s="201">
        <f>SUM(D106:D112)</f>
        <v>0</v>
      </c>
      <c r="E113" s="202"/>
      <c r="F113" s="202"/>
      <c r="G113" s="203">
        <f>SUM(G106:G112)</f>
        <v>0</v>
      </c>
      <c r="H113" s="201">
        <f>SUM(H106:H112)</f>
        <v>0</v>
      </c>
      <c r="I113" s="201">
        <f>SUM(I106:I112)</f>
        <v>0</v>
      </c>
      <c r="J113" s="28">
        <f>D113</f>
        <v>0</v>
      </c>
      <c r="K113" s="106">
        <f>G113</f>
        <v>0</v>
      </c>
      <c r="L113" s="28">
        <f>H113</f>
        <v>0</v>
      </c>
      <c r="M113" s="28">
        <f>I113</f>
        <v>0</v>
      </c>
    </row>
    <row r="114" spans="1:13" ht="6" customHeight="1" x14ac:dyDescent="0.3">
      <c r="C114" s="72"/>
    </row>
    <row r="115" spans="1:13" ht="15" customHeight="1" x14ac:dyDescent="0.3">
      <c r="A115" s="235">
        <v>46312</v>
      </c>
      <c r="B115" s="186" t="s">
        <v>78</v>
      </c>
      <c r="C115" s="187" t="s">
        <v>205</v>
      </c>
      <c r="D115" s="188" t="s">
        <v>206</v>
      </c>
      <c r="E115" s="188" t="s">
        <v>207</v>
      </c>
      <c r="F115" s="236" t="s">
        <v>208</v>
      </c>
      <c r="G115" s="188" t="s">
        <v>209</v>
      </c>
      <c r="H115" s="188" t="s">
        <v>210</v>
      </c>
      <c r="I115" s="188" t="s">
        <v>211</v>
      </c>
      <c r="J115" s="237"/>
      <c r="K115" s="237"/>
      <c r="L115" s="237"/>
      <c r="M115" s="237"/>
    </row>
    <row r="116" spans="1:13" ht="21" customHeight="1" x14ac:dyDescent="0.3">
      <c r="A116" s="190"/>
      <c r="B116" s="238"/>
      <c r="C116" s="239"/>
      <c r="D116" s="240"/>
      <c r="E116" s="241" t="s">
        <v>214</v>
      </c>
      <c r="F116" s="242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243" t="str">
        <f>IFERROR(ROUNDUP(D116/F116,0),"")</f>
        <v/>
      </c>
      <c r="H116" s="197"/>
      <c r="I116" s="240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  <c r="J116" s="237"/>
      <c r="K116" s="237"/>
      <c r="L116" s="237"/>
      <c r="M116" s="237"/>
    </row>
    <row r="117" spans="1:13" ht="21" customHeight="1" x14ac:dyDescent="0.3">
      <c r="A117" s="190"/>
      <c r="B117" s="238"/>
      <c r="C117" s="239"/>
      <c r="D117" s="240"/>
      <c r="E117" s="241" t="s">
        <v>214</v>
      </c>
      <c r="F117" s="242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243" t="str">
        <f>IFERROR(ROUNDUP(D117/F117,0),"")</f>
        <v/>
      </c>
      <c r="H117" s="197"/>
      <c r="I117" s="240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  <c r="J117" s="237"/>
      <c r="K117" s="237"/>
      <c r="L117" s="237"/>
      <c r="M117" s="237"/>
    </row>
    <row r="118" spans="1:13" ht="21" customHeight="1" x14ac:dyDescent="0.3">
      <c r="A118" s="190"/>
      <c r="B118" s="238"/>
      <c r="C118" s="239"/>
      <c r="D118" s="240"/>
      <c r="E118" s="241" t="s">
        <v>214</v>
      </c>
      <c r="F118" s="242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243" t="str">
        <f>IFERROR(ROUNDUP(D118/F118,0),"")</f>
        <v/>
      </c>
      <c r="H118" s="197"/>
      <c r="I118" s="240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  <c r="J118" s="237"/>
      <c r="K118" s="237"/>
      <c r="L118" s="237"/>
      <c r="M118" s="237"/>
    </row>
    <row r="119" spans="1:13" ht="21" customHeight="1" x14ac:dyDescent="0.3">
      <c r="A119" s="190"/>
      <c r="B119" s="238"/>
      <c r="C119" s="239"/>
      <c r="D119" s="240"/>
      <c r="E119" s="241" t="s">
        <v>214</v>
      </c>
      <c r="F119" s="242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243" t="str">
        <f>IFERROR(ROUNDUP(D119/F119,0),"")</f>
        <v/>
      </c>
      <c r="H119" s="197"/>
      <c r="I119" s="240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  <c r="J119" s="237"/>
      <c r="K119" s="237"/>
      <c r="L119" s="237"/>
      <c r="M119" s="237"/>
    </row>
    <row r="120" spans="1:13" ht="21" customHeight="1" x14ac:dyDescent="0.3">
      <c r="A120" s="190"/>
      <c r="B120" s="238"/>
      <c r="C120" s="239"/>
      <c r="D120" s="240"/>
      <c r="E120" s="241" t="s">
        <v>214</v>
      </c>
      <c r="F120" s="242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243" t="str">
        <f>IFERROR(ROUNDUP(D120/F120,0),"")</f>
        <v/>
      </c>
      <c r="H120" s="197"/>
      <c r="I120" s="240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  <c r="J120" s="237"/>
      <c r="K120" s="237"/>
      <c r="L120" s="237"/>
      <c r="M120" s="237"/>
    </row>
    <row r="121" spans="1:13" ht="15" customHeight="1" x14ac:dyDescent="0.3">
      <c r="A121" s="244"/>
      <c r="B121" s="199" t="s">
        <v>216</v>
      </c>
      <c r="C121" s="245"/>
      <c r="D121" s="201">
        <f>SUM(D114:D120)</f>
        <v>0</v>
      </c>
      <c r="E121" s="246"/>
      <c r="F121" s="246"/>
      <c r="G121" s="203">
        <f>SUM(G114:G120)</f>
        <v>0</v>
      </c>
      <c r="H121" s="201">
        <f>SUM(H114:H120)</f>
        <v>0</v>
      </c>
      <c r="I121" s="201">
        <f>SUM(I114:I120)</f>
        <v>0</v>
      </c>
      <c r="J121" s="247">
        <f>D121</f>
        <v>0</v>
      </c>
      <c r="K121" s="248">
        <f>G121</f>
        <v>0</v>
      </c>
      <c r="L121" s="247">
        <f>H121</f>
        <v>0</v>
      </c>
      <c r="M121" s="247">
        <f>I121</f>
        <v>0</v>
      </c>
    </row>
    <row r="122" spans="1:13" ht="6" customHeight="1" x14ac:dyDescent="0.3">
      <c r="A122" s="237"/>
      <c r="B122" s="237"/>
      <c r="C122" s="249"/>
      <c r="D122" s="237"/>
      <c r="E122" s="237"/>
      <c r="F122" s="237"/>
      <c r="G122" s="237"/>
      <c r="H122" s="237"/>
      <c r="I122" s="237"/>
      <c r="J122" s="237"/>
      <c r="K122" s="237"/>
      <c r="L122" s="237"/>
      <c r="M122" s="237"/>
    </row>
    <row r="123" spans="1:13" ht="15" customHeight="1" x14ac:dyDescent="0.3">
      <c r="A123" s="30">
        <v>46314</v>
      </c>
      <c r="B123" s="186" t="s">
        <v>78</v>
      </c>
      <c r="C123" s="187" t="s">
        <v>205</v>
      </c>
      <c r="D123" s="188" t="s">
        <v>206</v>
      </c>
      <c r="E123" s="188" t="s">
        <v>207</v>
      </c>
      <c r="F123" s="189" t="s">
        <v>208</v>
      </c>
      <c r="G123" s="188" t="s">
        <v>209</v>
      </c>
      <c r="H123" s="188" t="s">
        <v>210</v>
      </c>
      <c r="I123" s="188" t="s">
        <v>211</v>
      </c>
    </row>
    <row r="124" spans="1:13" ht="21" customHeight="1" x14ac:dyDescent="0.3">
      <c r="A124" s="190"/>
      <c r="B124" s="191"/>
      <c r="C124" s="192"/>
      <c r="D124" s="193"/>
      <c r="E124" s="194" t="s">
        <v>214</v>
      </c>
      <c r="F124" s="195" t="str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196" t="str">
        <f>IFERROR(ROUNDUP(D124/F124,0),"")</f>
        <v/>
      </c>
      <c r="H124" s="197"/>
      <c r="I124" s="193" t="str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</row>
    <row r="125" spans="1:13" ht="21" customHeight="1" x14ac:dyDescent="0.3">
      <c r="A125" s="190"/>
      <c r="B125" s="191"/>
      <c r="C125" s="192"/>
      <c r="D125" s="193"/>
      <c r="E125" s="194" t="s">
        <v>214</v>
      </c>
      <c r="F125" s="195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196" t="str">
        <f>IFERROR(ROUNDUP(D125/F125,0),"")</f>
        <v/>
      </c>
      <c r="H125" s="197"/>
      <c r="I125" s="193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</row>
    <row r="126" spans="1:13" ht="21" customHeight="1" x14ac:dyDescent="0.3">
      <c r="A126" s="190"/>
      <c r="B126" s="191"/>
      <c r="C126" s="192"/>
      <c r="D126" s="193"/>
      <c r="E126" s="194" t="s">
        <v>214</v>
      </c>
      <c r="F126" s="195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196" t="str">
        <f>IFERROR(ROUNDUP(D126/F126,0),"")</f>
        <v/>
      </c>
      <c r="H126" s="197"/>
      <c r="I126" s="193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</row>
    <row r="127" spans="1:13" ht="21" customHeight="1" x14ac:dyDescent="0.3">
      <c r="A127" s="190"/>
      <c r="B127" s="191"/>
      <c r="C127" s="192"/>
      <c r="D127" s="193"/>
      <c r="E127" s="194" t="s">
        <v>214</v>
      </c>
      <c r="F127" s="195" t="str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196" t="str">
        <f>IFERROR(ROUNDUP(D127/F127,0),"")</f>
        <v/>
      </c>
      <c r="H127" s="197"/>
      <c r="I127" s="193" t="str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</row>
    <row r="128" spans="1:13" ht="21" customHeight="1" x14ac:dyDescent="0.3">
      <c r="A128" s="190"/>
      <c r="B128" s="191"/>
      <c r="C128" s="192"/>
      <c r="D128" s="193"/>
      <c r="E128" s="194" t="s">
        <v>214</v>
      </c>
      <c r="F128" s="195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196" t="str">
        <f>IFERROR(ROUNDUP(D128/F128,0),"")</f>
        <v/>
      </c>
      <c r="H128" s="197"/>
      <c r="I128" s="193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</row>
    <row r="129" spans="1:13" ht="15" customHeight="1" x14ac:dyDescent="0.3">
      <c r="A129" s="198"/>
      <c r="B129" s="199" t="s">
        <v>216</v>
      </c>
      <c r="C129" s="200"/>
      <c r="D129" s="201">
        <f>SUM(D122:D128)</f>
        <v>0</v>
      </c>
      <c r="E129" s="202"/>
      <c r="F129" s="202"/>
      <c r="G129" s="203">
        <f>SUM(G122:G128)</f>
        <v>0</v>
      </c>
      <c r="H129" s="201">
        <f>SUM(H122:H128)</f>
        <v>0</v>
      </c>
      <c r="I129" s="201">
        <f>SUM(I122:I128)</f>
        <v>0</v>
      </c>
      <c r="J129" s="28">
        <f>D129</f>
        <v>0</v>
      </c>
      <c r="K129" s="106">
        <f>G129</f>
        <v>0</v>
      </c>
      <c r="L129" s="28">
        <f>H129</f>
        <v>0</v>
      </c>
      <c r="M129" s="28">
        <f>I129</f>
        <v>0</v>
      </c>
    </row>
    <row r="130" spans="1:13" ht="6" customHeight="1" x14ac:dyDescent="0.3">
      <c r="C130" s="72"/>
    </row>
    <row r="131" spans="1:13" ht="15" customHeight="1" x14ac:dyDescent="0.3">
      <c r="A131" s="30">
        <v>46315</v>
      </c>
      <c r="B131" s="186" t="s">
        <v>78</v>
      </c>
      <c r="C131" s="187" t="s">
        <v>205</v>
      </c>
      <c r="D131" s="188" t="s">
        <v>206</v>
      </c>
      <c r="E131" s="188" t="s">
        <v>207</v>
      </c>
      <c r="F131" s="189" t="s">
        <v>208</v>
      </c>
      <c r="G131" s="188" t="s">
        <v>209</v>
      </c>
      <c r="H131" s="188" t="s">
        <v>210</v>
      </c>
      <c r="I131" s="188" t="s">
        <v>211</v>
      </c>
    </row>
    <row r="132" spans="1:13" ht="21" customHeight="1" x14ac:dyDescent="0.3">
      <c r="A132" s="190"/>
      <c r="B132" s="191"/>
      <c r="C132" s="192"/>
      <c r="D132" s="193"/>
      <c r="E132" s="194" t="s">
        <v>214</v>
      </c>
      <c r="F132" s="195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196" t="str">
        <f>IFERROR(ROUNDUP(D132/F132,0),"")</f>
        <v/>
      </c>
      <c r="H132" s="197"/>
      <c r="I132" s="193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</row>
    <row r="133" spans="1:13" ht="21" customHeight="1" x14ac:dyDescent="0.3">
      <c r="A133" s="190"/>
      <c r="B133" s="191"/>
      <c r="C133" s="192"/>
      <c r="D133" s="193"/>
      <c r="E133" s="194" t="s">
        <v>214</v>
      </c>
      <c r="F133" s="195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196" t="str">
        <f>IFERROR(ROUNDUP(D133/F133,0),"")</f>
        <v/>
      </c>
      <c r="H133" s="197"/>
      <c r="I133" s="193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</row>
    <row r="134" spans="1:13" ht="21" customHeight="1" x14ac:dyDescent="0.3">
      <c r="A134" s="190"/>
      <c r="B134" s="191"/>
      <c r="C134" s="192"/>
      <c r="D134" s="193"/>
      <c r="E134" s="194" t="s">
        <v>214</v>
      </c>
      <c r="F134" s="195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196" t="str">
        <f>IFERROR(ROUNDUP(D134/F134,0),"")</f>
        <v/>
      </c>
      <c r="H134" s="197"/>
      <c r="I134" s="193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</row>
    <row r="135" spans="1:13" ht="21" customHeight="1" x14ac:dyDescent="0.3">
      <c r="A135" s="190"/>
      <c r="B135" s="191"/>
      <c r="C135" s="192"/>
      <c r="D135" s="193"/>
      <c r="E135" s="194" t="s">
        <v>214</v>
      </c>
      <c r="F135" s="195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196" t="str">
        <f>IFERROR(ROUNDUP(D135/F135,0),"")</f>
        <v/>
      </c>
      <c r="H135" s="197"/>
      <c r="I135" s="193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</row>
    <row r="136" spans="1:13" ht="21" customHeight="1" x14ac:dyDescent="0.3">
      <c r="A136" s="190"/>
      <c r="B136" s="191"/>
      <c r="C136" s="192"/>
      <c r="D136" s="193"/>
      <c r="E136" s="194" t="s">
        <v>214</v>
      </c>
      <c r="F136" s="195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196" t="str">
        <f>IFERROR(ROUNDUP(D136/F136,0),"")</f>
        <v/>
      </c>
      <c r="H136" s="197"/>
      <c r="I136" s="193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</row>
    <row r="137" spans="1:13" ht="15" customHeight="1" x14ac:dyDescent="0.3">
      <c r="A137" s="198"/>
      <c r="B137" s="199" t="s">
        <v>216</v>
      </c>
      <c r="C137" s="200"/>
      <c r="D137" s="201">
        <f>SUM(D130:D136)</f>
        <v>0</v>
      </c>
      <c r="E137" s="202"/>
      <c r="F137" s="202"/>
      <c r="G137" s="203">
        <f>SUM(G130:G136)</f>
        <v>0</v>
      </c>
      <c r="H137" s="201">
        <f>SUM(H130:H136)</f>
        <v>0</v>
      </c>
      <c r="I137" s="201">
        <f>SUM(I130:I136)</f>
        <v>0</v>
      </c>
      <c r="J137" s="28">
        <f>D137</f>
        <v>0</v>
      </c>
      <c r="K137" s="106">
        <f>G137</f>
        <v>0</v>
      </c>
      <c r="L137" s="28">
        <f>H137</f>
        <v>0</v>
      </c>
      <c r="M137" s="28">
        <f>I137</f>
        <v>0</v>
      </c>
    </row>
    <row r="138" spans="1:13" ht="6" customHeight="1" x14ac:dyDescent="0.3">
      <c r="C138" s="72"/>
    </row>
    <row r="139" spans="1:13" ht="15" customHeight="1" x14ac:dyDescent="0.3">
      <c r="A139" s="30">
        <v>46316</v>
      </c>
      <c r="B139" s="186" t="s">
        <v>78</v>
      </c>
      <c r="C139" s="187" t="s">
        <v>205</v>
      </c>
      <c r="D139" s="188" t="s">
        <v>206</v>
      </c>
      <c r="E139" s="188" t="s">
        <v>207</v>
      </c>
      <c r="F139" s="189" t="s">
        <v>208</v>
      </c>
      <c r="G139" s="188" t="s">
        <v>209</v>
      </c>
      <c r="H139" s="188" t="s">
        <v>210</v>
      </c>
      <c r="I139" s="188" t="s">
        <v>211</v>
      </c>
    </row>
    <row r="140" spans="1:13" ht="21" customHeight="1" x14ac:dyDescent="0.3">
      <c r="A140" s="190"/>
      <c r="B140" s="191"/>
      <c r="C140" s="192"/>
      <c r="D140" s="193"/>
      <c r="E140" s="194" t="s">
        <v>214</v>
      </c>
      <c r="F140" s="195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196" t="str">
        <f>IFERROR(ROUNDUP(D140/F140,0),"")</f>
        <v/>
      </c>
      <c r="H140" s="197"/>
      <c r="I140" s="193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</row>
    <row r="141" spans="1:13" ht="21" customHeight="1" x14ac:dyDescent="0.3">
      <c r="A141" s="190"/>
      <c r="B141" s="191"/>
      <c r="C141" s="192"/>
      <c r="D141" s="193"/>
      <c r="E141" s="194" t="s">
        <v>214</v>
      </c>
      <c r="F141" s="195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196" t="str">
        <f>IFERROR(ROUNDUP(D141/F141,0),"")</f>
        <v/>
      </c>
      <c r="H141" s="197"/>
      <c r="I141" s="193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</row>
    <row r="142" spans="1:13" ht="21" customHeight="1" x14ac:dyDescent="0.3">
      <c r="A142" s="190"/>
      <c r="B142" s="191"/>
      <c r="C142" s="192"/>
      <c r="D142" s="193"/>
      <c r="E142" s="194" t="s">
        <v>214</v>
      </c>
      <c r="F142" s="195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196" t="str">
        <f>IFERROR(ROUNDUP(D142/F142,0),"")</f>
        <v/>
      </c>
      <c r="H142" s="197"/>
      <c r="I142" s="193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</row>
    <row r="143" spans="1:13" ht="21" customHeight="1" x14ac:dyDescent="0.3">
      <c r="A143" s="190"/>
      <c r="B143" s="191"/>
      <c r="C143" s="192"/>
      <c r="D143" s="193"/>
      <c r="E143" s="194" t="s">
        <v>214</v>
      </c>
      <c r="F143" s="195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196" t="str">
        <f>IFERROR(ROUNDUP(D143/F143,0),"")</f>
        <v/>
      </c>
      <c r="H143" s="197"/>
      <c r="I143" s="193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</row>
    <row r="144" spans="1:13" ht="21" customHeight="1" x14ac:dyDescent="0.3">
      <c r="A144" s="190"/>
      <c r="B144" s="191"/>
      <c r="C144" s="192"/>
      <c r="D144" s="193"/>
      <c r="E144" s="194" t="s">
        <v>214</v>
      </c>
      <c r="F144" s="195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196" t="str">
        <f>IFERROR(ROUNDUP(D144/F144,0),"")</f>
        <v/>
      </c>
      <c r="H144" s="197"/>
      <c r="I144" s="193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</row>
    <row r="145" spans="1:13" ht="15" customHeight="1" x14ac:dyDescent="0.3">
      <c r="A145" s="198"/>
      <c r="B145" s="199" t="s">
        <v>216</v>
      </c>
      <c r="C145" s="200"/>
      <c r="D145" s="201">
        <f>SUM(D138:D144)</f>
        <v>0</v>
      </c>
      <c r="E145" s="202"/>
      <c r="F145" s="202"/>
      <c r="G145" s="203">
        <f>SUM(G138:G144)</f>
        <v>0</v>
      </c>
      <c r="H145" s="201">
        <f>SUM(H138:H144)</f>
        <v>0</v>
      </c>
      <c r="I145" s="201">
        <f>SUM(I138:I144)</f>
        <v>0</v>
      </c>
      <c r="J145" s="28">
        <f>D145</f>
        <v>0</v>
      </c>
      <c r="K145" s="106">
        <f>G145</f>
        <v>0</v>
      </c>
      <c r="L145" s="28">
        <f>H145</f>
        <v>0</v>
      </c>
      <c r="M145" s="28">
        <f>I145</f>
        <v>0</v>
      </c>
    </row>
    <row r="146" spans="1:13" ht="6" customHeight="1" x14ac:dyDescent="0.3">
      <c r="C146" s="72"/>
    </row>
    <row r="147" spans="1:13" ht="15" customHeight="1" x14ac:dyDescent="0.3">
      <c r="A147" s="30">
        <v>46317</v>
      </c>
      <c r="B147" s="186" t="s">
        <v>78</v>
      </c>
      <c r="C147" s="187" t="s">
        <v>205</v>
      </c>
      <c r="D147" s="188" t="s">
        <v>206</v>
      </c>
      <c r="E147" s="188" t="s">
        <v>207</v>
      </c>
      <c r="F147" s="189" t="s">
        <v>208</v>
      </c>
      <c r="G147" s="188" t="s">
        <v>209</v>
      </c>
      <c r="H147" s="188" t="s">
        <v>210</v>
      </c>
      <c r="I147" s="188" t="s">
        <v>211</v>
      </c>
    </row>
    <row r="148" spans="1:13" ht="21" customHeight="1" x14ac:dyDescent="0.3">
      <c r="A148" s="190"/>
      <c r="B148" s="191"/>
      <c r="C148" s="192"/>
      <c r="D148" s="193"/>
      <c r="E148" s="194" t="s">
        <v>214</v>
      </c>
      <c r="F148" s="195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196" t="str">
        <f>IFERROR(ROUNDUP(D148/F148,0),"")</f>
        <v/>
      </c>
      <c r="H148" s="197"/>
      <c r="I148" s="193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</row>
    <row r="149" spans="1:13" ht="21" customHeight="1" x14ac:dyDescent="0.3">
      <c r="A149" s="190"/>
      <c r="B149" s="191"/>
      <c r="C149" s="192"/>
      <c r="D149" s="193"/>
      <c r="E149" s="194" t="s">
        <v>214</v>
      </c>
      <c r="F149" s="195" t="str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196" t="str">
        <f>IFERROR(ROUNDUP(D149/F149,0),"")</f>
        <v/>
      </c>
      <c r="H149" s="197"/>
      <c r="I149" s="193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</row>
    <row r="150" spans="1:13" ht="21" customHeight="1" x14ac:dyDescent="0.3">
      <c r="A150" s="190"/>
      <c r="B150" s="191"/>
      <c r="C150" s="192"/>
      <c r="D150" s="193"/>
      <c r="E150" s="194" t="s">
        <v>214</v>
      </c>
      <c r="F150" s="195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196" t="str">
        <f>IFERROR(ROUNDUP(D150/F150,0),"")</f>
        <v/>
      </c>
      <c r="H150" s="197"/>
      <c r="I150" s="193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</row>
    <row r="151" spans="1:13" ht="21" customHeight="1" x14ac:dyDescent="0.3">
      <c r="A151" s="190"/>
      <c r="B151" s="191"/>
      <c r="C151" s="192"/>
      <c r="D151" s="193"/>
      <c r="E151" s="194" t="s">
        <v>214</v>
      </c>
      <c r="F151" s="195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196" t="str">
        <f>IFERROR(ROUNDUP(D151/F151,0),"")</f>
        <v/>
      </c>
      <c r="H151" s="197"/>
      <c r="I151" s="193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</row>
    <row r="152" spans="1:13" ht="21" customHeight="1" x14ac:dyDescent="0.3">
      <c r="A152" s="190"/>
      <c r="B152" s="191"/>
      <c r="C152" s="192"/>
      <c r="D152" s="193"/>
      <c r="E152" s="194" t="s">
        <v>214</v>
      </c>
      <c r="F152" s="195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196" t="str">
        <f>IFERROR(ROUNDUP(D152/F152,0),"")</f>
        <v/>
      </c>
      <c r="H152" s="197"/>
      <c r="I152" s="193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</row>
    <row r="153" spans="1:13" ht="15" customHeight="1" x14ac:dyDescent="0.3">
      <c r="A153" s="198"/>
      <c r="B153" s="199" t="s">
        <v>216</v>
      </c>
      <c r="C153" s="200"/>
      <c r="D153" s="201">
        <f>SUM(D146:D152)</f>
        <v>0</v>
      </c>
      <c r="E153" s="202"/>
      <c r="F153" s="202"/>
      <c r="G153" s="203">
        <f>SUM(G146:G152)</f>
        <v>0</v>
      </c>
      <c r="H153" s="201">
        <f>SUM(H146:H152)</f>
        <v>0</v>
      </c>
      <c r="I153" s="201">
        <f>SUM(I146:I152)</f>
        <v>0</v>
      </c>
      <c r="J153" s="28">
        <f>D153</f>
        <v>0</v>
      </c>
      <c r="K153" s="106">
        <f>G153</f>
        <v>0</v>
      </c>
      <c r="L153" s="28">
        <f>H153</f>
        <v>0</v>
      </c>
      <c r="M153" s="28">
        <f>I153</f>
        <v>0</v>
      </c>
    </row>
    <row r="154" spans="1:13" ht="6" customHeight="1" x14ac:dyDescent="0.3">
      <c r="C154" s="72"/>
    </row>
    <row r="155" spans="1:13" ht="15" customHeight="1" x14ac:dyDescent="0.3">
      <c r="A155" s="30">
        <v>46318</v>
      </c>
      <c r="B155" s="186" t="s">
        <v>78</v>
      </c>
      <c r="C155" s="187" t="s">
        <v>205</v>
      </c>
      <c r="D155" s="188" t="s">
        <v>206</v>
      </c>
      <c r="E155" s="188" t="s">
        <v>207</v>
      </c>
      <c r="F155" s="189" t="s">
        <v>208</v>
      </c>
      <c r="G155" s="188" t="s">
        <v>209</v>
      </c>
      <c r="H155" s="188" t="s">
        <v>210</v>
      </c>
      <c r="I155" s="188" t="s">
        <v>211</v>
      </c>
    </row>
    <row r="156" spans="1:13" ht="21" customHeight="1" x14ac:dyDescent="0.3">
      <c r="A156" s="190"/>
      <c r="B156" s="191"/>
      <c r="C156" s="192"/>
      <c r="D156" s="193"/>
      <c r="E156" s="194" t="s">
        <v>214</v>
      </c>
      <c r="F156" s="195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196" t="str">
        <f>IFERROR(ROUNDUP(D156/F156,0),"")</f>
        <v/>
      </c>
      <c r="H156" s="197"/>
      <c r="I156" s="193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21" customHeight="1" x14ac:dyDescent="0.3">
      <c r="A157" s="190"/>
      <c r="B157" s="191"/>
      <c r="C157" s="192"/>
      <c r="D157" s="193"/>
      <c r="E157" s="194" t="s">
        <v>214</v>
      </c>
      <c r="F157" s="195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196" t="str">
        <f>IFERROR(ROUNDUP(D157/F157,0),"")</f>
        <v/>
      </c>
      <c r="H157" s="197"/>
      <c r="I157" s="193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</row>
    <row r="158" spans="1:13" ht="21" customHeight="1" x14ac:dyDescent="0.3">
      <c r="A158" s="190"/>
      <c r="B158" s="191"/>
      <c r="C158" s="192"/>
      <c r="D158" s="193"/>
      <c r="E158" s="194" t="s">
        <v>214</v>
      </c>
      <c r="F158" s="195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196" t="str">
        <f>IFERROR(ROUNDUP(D158/F158,0),"")</f>
        <v/>
      </c>
      <c r="H158" s="197"/>
      <c r="I158" s="193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</row>
    <row r="159" spans="1:13" ht="21" customHeight="1" x14ac:dyDescent="0.3">
      <c r="A159" s="190"/>
      <c r="B159" s="191"/>
      <c r="C159" s="192"/>
      <c r="D159" s="193"/>
      <c r="E159" s="194" t="s">
        <v>214</v>
      </c>
      <c r="F159" s="195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196" t="str">
        <f>IFERROR(ROUNDUP(D159/F159,0),"")</f>
        <v/>
      </c>
      <c r="H159" s="197"/>
      <c r="I159" s="193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3">
      <c r="A160" s="190"/>
      <c r="B160" s="191"/>
      <c r="C160" s="192"/>
      <c r="D160" s="193"/>
      <c r="E160" s="194" t="s">
        <v>214</v>
      </c>
      <c r="F160" s="195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196" t="str">
        <f>IFERROR(ROUNDUP(D160/F160,0),"")</f>
        <v/>
      </c>
      <c r="H160" s="197"/>
      <c r="I160" s="193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15" customHeight="1" x14ac:dyDescent="0.3">
      <c r="A161" s="198"/>
      <c r="B161" s="199" t="s">
        <v>216</v>
      </c>
      <c r="C161" s="200"/>
      <c r="D161" s="201">
        <f>SUM(D154:D160)</f>
        <v>0</v>
      </c>
      <c r="E161" s="202"/>
      <c r="F161" s="202"/>
      <c r="G161" s="203">
        <f>SUM(G154:G160)</f>
        <v>0</v>
      </c>
      <c r="H161" s="201">
        <f>SUM(H154:H160)</f>
        <v>0</v>
      </c>
      <c r="I161" s="201">
        <f>SUM(I154:I160)</f>
        <v>0</v>
      </c>
      <c r="J161" s="28">
        <f>D161</f>
        <v>0</v>
      </c>
      <c r="K161" s="106">
        <f>G161</f>
        <v>0</v>
      </c>
      <c r="L161" s="28">
        <f>H161</f>
        <v>0</v>
      </c>
      <c r="M161" s="28">
        <f>I161</f>
        <v>0</v>
      </c>
    </row>
    <row r="162" spans="1:13" ht="6" customHeight="1" x14ac:dyDescent="0.3">
      <c r="C162" s="72"/>
    </row>
    <row r="163" spans="1:13" ht="15" customHeight="1" x14ac:dyDescent="0.3">
      <c r="A163" s="235">
        <v>46319</v>
      </c>
      <c r="B163" s="186" t="s">
        <v>78</v>
      </c>
      <c r="C163" s="187" t="s">
        <v>205</v>
      </c>
      <c r="D163" s="188" t="s">
        <v>206</v>
      </c>
      <c r="E163" s="188" t="s">
        <v>207</v>
      </c>
      <c r="F163" s="236" t="s">
        <v>208</v>
      </c>
      <c r="G163" s="188" t="s">
        <v>209</v>
      </c>
      <c r="H163" s="188" t="s">
        <v>210</v>
      </c>
      <c r="I163" s="188" t="s">
        <v>211</v>
      </c>
      <c r="J163" s="237"/>
      <c r="K163" s="237"/>
      <c r="L163" s="237"/>
      <c r="M163" s="237"/>
    </row>
    <row r="164" spans="1:13" ht="21" customHeight="1" x14ac:dyDescent="0.3">
      <c r="A164" s="190"/>
      <c r="B164" s="238"/>
      <c r="C164" s="239"/>
      <c r="D164" s="240"/>
      <c r="E164" s="241" t="s">
        <v>214</v>
      </c>
      <c r="F164" s="242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243" t="str">
        <f>IFERROR(ROUNDUP(D164/F164,0),"")</f>
        <v/>
      </c>
      <c r="H164" s="197"/>
      <c r="I164" s="240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  <c r="J164" s="237"/>
      <c r="K164" s="237"/>
      <c r="L164" s="237"/>
      <c r="M164" s="237"/>
    </row>
    <row r="165" spans="1:13" ht="21" customHeight="1" x14ac:dyDescent="0.3">
      <c r="A165" s="190"/>
      <c r="B165" s="238"/>
      <c r="C165" s="239"/>
      <c r="D165" s="240"/>
      <c r="E165" s="241" t="s">
        <v>214</v>
      </c>
      <c r="F165" s="242" t="str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243" t="str">
        <f>IFERROR(ROUNDUP(D165/F165,0),"")</f>
        <v/>
      </c>
      <c r="H165" s="197"/>
      <c r="I165" s="240" t="str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  <c r="J165" s="237"/>
      <c r="K165" s="237"/>
      <c r="L165" s="237"/>
      <c r="M165" s="237"/>
    </row>
    <row r="166" spans="1:13" ht="21" customHeight="1" x14ac:dyDescent="0.3">
      <c r="A166" s="190"/>
      <c r="B166" s="238"/>
      <c r="C166" s="239"/>
      <c r="D166" s="240"/>
      <c r="E166" s="241" t="s">
        <v>214</v>
      </c>
      <c r="F166" s="242" t="str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243" t="str">
        <f>IFERROR(ROUNDUP(D166/F166,0),"")</f>
        <v/>
      </c>
      <c r="H166" s="197"/>
      <c r="I166" s="240" t="str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  <c r="J166" s="237"/>
      <c r="K166" s="237"/>
      <c r="L166" s="237"/>
      <c r="M166" s="237"/>
    </row>
    <row r="167" spans="1:13" ht="21" customHeight="1" x14ac:dyDescent="0.3">
      <c r="A167" s="190"/>
      <c r="B167" s="238"/>
      <c r="C167" s="239"/>
      <c r="D167" s="240"/>
      <c r="E167" s="241" t="s">
        <v>214</v>
      </c>
      <c r="F167" s="242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243" t="str">
        <f>IFERROR(ROUNDUP(D167/F167,0),"")</f>
        <v/>
      </c>
      <c r="H167" s="197"/>
      <c r="I167" s="240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  <c r="J167" s="237"/>
      <c r="K167" s="237"/>
      <c r="L167" s="237"/>
      <c r="M167" s="237"/>
    </row>
    <row r="168" spans="1:13" ht="21" customHeight="1" x14ac:dyDescent="0.3">
      <c r="A168" s="190"/>
      <c r="B168" s="238"/>
      <c r="C168" s="239"/>
      <c r="D168" s="240"/>
      <c r="E168" s="241" t="s">
        <v>214</v>
      </c>
      <c r="F168" s="242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243" t="str">
        <f>IFERROR(ROUNDUP(D168/F168,0),"")</f>
        <v/>
      </c>
      <c r="H168" s="197"/>
      <c r="I168" s="240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  <c r="J168" s="237"/>
      <c r="K168" s="237"/>
      <c r="L168" s="237"/>
      <c r="M168" s="237"/>
    </row>
    <row r="169" spans="1:13" ht="15" customHeight="1" x14ac:dyDescent="0.3">
      <c r="A169" s="244"/>
      <c r="B169" s="199" t="s">
        <v>216</v>
      </c>
      <c r="C169" s="245"/>
      <c r="D169" s="201">
        <f>SUM(D162:D168)</f>
        <v>0</v>
      </c>
      <c r="E169" s="246"/>
      <c r="F169" s="246"/>
      <c r="G169" s="203">
        <f>SUM(G162:G168)</f>
        <v>0</v>
      </c>
      <c r="H169" s="201">
        <f>SUM(H162:H168)</f>
        <v>0</v>
      </c>
      <c r="I169" s="201">
        <f>SUM(I162:I168)</f>
        <v>0</v>
      </c>
      <c r="J169" s="247">
        <f>D169</f>
        <v>0</v>
      </c>
      <c r="K169" s="248">
        <f>G169</f>
        <v>0</v>
      </c>
      <c r="L169" s="247">
        <f>H169</f>
        <v>0</v>
      </c>
      <c r="M169" s="247">
        <f>I169</f>
        <v>0</v>
      </c>
    </row>
    <row r="170" spans="1:13" ht="6" customHeight="1" x14ac:dyDescent="0.3">
      <c r="A170" s="237"/>
      <c r="B170" s="237"/>
      <c r="C170" s="249"/>
      <c r="D170" s="237"/>
      <c r="E170" s="237"/>
      <c r="F170" s="237"/>
      <c r="G170" s="237"/>
      <c r="H170" s="237"/>
      <c r="I170" s="237"/>
      <c r="J170" s="237"/>
      <c r="K170" s="237"/>
      <c r="L170" s="237"/>
      <c r="M170" s="237"/>
    </row>
    <row r="171" spans="1:13" ht="15" customHeight="1" x14ac:dyDescent="0.3">
      <c r="A171" s="30">
        <v>46321</v>
      </c>
      <c r="B171" s="186" t="s">
        <v>78</v>
      </c>
      <c r="C171" s="187" t="s">
        <v>205</v>
      </c>
      <c r="D171" s="188" t="s">
        <v>206</v>
      </c>
      <c r="E171" s="188" t="s">
        <v>207</v>
      </c>
      <c r="F171" s="189" t="s">
        <v>208</v>
      </c>
      <c r="G171" s="188" t="s">
        <v>209</v>
      </c>
      <c r="H171" s="188" t="s">
        <v>210</v>
      </c>
      <c r="I171" s="188" t="s">
        <v>211</v>
      </c>
    </row>
    <row r="172" spans="1:13" ht="21" customHeight="1" x14ac:dyDescent="0.3">
      <c r="A172" s="190"/>
      <c r="B172" s="191"/>
      <c r="C172" s="192"/>
      <c r="D172" s="193"/>
      <c r="E172" s="194" t="s">
        <v>214</v>
      </c>
      <c r="F172" s="195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196" t="str">
        <f>IFERROR(ROUNDUP(D172/F172,0),"")</f>
        <v/>
      </c>
      <c r="H172" s="197"/>
      <c r="I172" s="193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</row>
    <row r="173" spans="1:13" ht="21" customHeight="1" x14ac:dyDescent="0.3">
      <c r="A173" s="190"/>
      <c r="B173" s="191"/>
      <c r="C173" s="192"/>
      <c r="D173" s="193"/>
      <c r="E173" s="194" t="s">
        <v>214</v>
      </c>
      <c r="F173" s="195" t="str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196" t="str">
        <f>IFERROR(ROUNDUP(D173/F173,0),"")</f>
        <v/>
      </c>
      <c r="H173" s="197"/>
      <c r="I173" s="193" t="str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</row>
    <row r="174" spans="1:13" ht="21" customHeight="1" x14ac:dyDescent="0.3">
      <c r="A174" s="190"/>
      <c r="B174" s="191"/>
      <c r="C174" s="192"/>
      <c r="D174" s="193"/>
      <c r="E174" s="194" t="s">
        <v>214</v>
      </c>
      <c r="F174" s="195" t="str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196" t="str">
        <f>IFERROR(ROUNDUP(D174/F174,0),"")</f>
        <v/>
      </c>
      <c r="H174" s="197"/>
      <c r="I174" s="193" t="str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</row>
    <row r="175" spans="1:13" ht="21" customHeight="1" x14ac:dyDescent="0.3">
      <c r="A175" s="190"/>
      <c r="B175" s="191"/>
      <c r="C175" s="192"/>
      <c r="D175" s="193"/>
      <c r="E175" s="194" t="s">
        <v>214</v>
      </c>
      <c r="F175" s="195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196" t="str">
        <f>IFERROR(ROUNDUP(D175/F175,0),"")</f>
        <v/>
      </c>
      <c r="H175" s="197"/>
      <c r="I175" s="193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</row>
    <row r="176" spans="1:13" ht="21" customHeight="1" x14ac:dyDescent="0.3">
      <c r="A176" s="190"/>
      <c r="B176" s="191"/>
      <c r="C176" s="192"/>
      <c r="D176" s="193"/>
      <c r="E176" s="194" t="s">
        <v>214</v>
      </c>
      <c r="F176" s="195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196" t="str">
        <f>IFERROR(ROUNDUP(D176/F176,0),"")</f>
        <v/>
      </c>
      <c r="H176" s="197"/>
      <c r="I176" s="193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</row>
    <row r="177" spans="1:13" ht="15" customHeight="1" x14ac:dyDescent="0.3">
      <c r="A177" s="198"/>
      <c r="B177" s="199" t="s">
        <v>216</v>
      </c>
      <c r="C177" s="200"/>
      <c r="D177" s="201">
        <f>SUM(D170:D176)</f>
        <v>0</v>
      </c>
      <c r="E177" s="202"/>
      <c r="F177" s="202"/>
      <c r="G177" s="203">
        <f>SUM(G170:G176)</f>
        <v>0</v>
      </c>
      <c r="H177" s="201">
        <f>SUM(H170:H176)</f>
        <v>0</v>
      </c>
      <c r="I177" s="201">
        <f>SUM(I170:I176)</f>
        <v>0</v>
      </c>
      <c r="J177" s="28">
        <f>D177</f>
        <v>0</v>
      </c>
      <c r="K177" s="106">
        <f>G177</f>
        <v>0</v>
      </c>
      <c r="L177" s="28">
        <f>H177</f>
        <v>0</v>
      </c>
      <c r="M177" s="28">
        <f>I177</f>
        <v>0</v>
      </c>
    </row>
    <row r="178" spans="1:13" ht="15" customHeight="1" x14ac:dyDescent="0.3">
      <c r="C178" s="72"/>
    </row>
    <row r="179" spans="1:13" ht="21" customHeight="1" x14ac:dyDescent="0.3">
      <c r="A179" s="30">
        <v>46322</v>
      </c>
      <c r="B179" s="186" t="s">
        <v>78</v>
      </c>
      <c r="C179" s="187" t="s">
        <v>205</v>
      </c>
      <c r="D179" s="188" t="s">
        <v>206</v>
      </c>
      <c r="E179" s="188" t="s">
        <v>207</v>
      </c>
      <c r="F179" s="189" t="s">
        <v>208</v>
      </c>
      <c r="G179" s="188" t="s">
        <v>209</v>
      </c>
      <c r="H179" s="188" t="s">
        <v>210</v>
      </c>
      <c r="I179" s="188" t="s">
        <v>211</v>
      </c>
    </row>
    <row r="180" spans="1:13" ht="21" customHeight="1" x14ac:dyDescent="0.3">
      <c r="A180" s="190"/>
      <c r="B180" s="191"/>
      <c r="C180" s="192"/>
      <c r="D180" s="193"/>
      <c r="E180" s="194" t="s">
        <v>214</v>
      </c>
      <c r="F180" s="195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196" t="str">
        <f>IFERROR(ROUNDUP(D180/F180,0),"")</f>
        <v/>
      </c>
      <c r="H180" s="197"/>
      <c r="I180" s="193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</row>
    <row r="181" spans="1:13" ht="21" customHeight="1" x14ac:dyDescent="0.3">
      <c r="A181" s="190"/>
      <c r="B181" s="191"/>
      <c r="C181" s="192"/>
      <c r="D181" s="193"/>
      <c r="E181" s="194" t="s">
        <v>214</v>
      </c>
      <c r="F181" s="195" t="str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196" t="str">
        <f>IFERROR(ROUNDUP(D181/F181,0),"")</f>
        <v/>
      </c>
      <c r="H181" s="197"/>
      <c r="I181" s="193" t="str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</row>
    <row r="182" spans="1:13" ht="21" customHeight="1" x14ac:dyDescent="0.3">
      <c r="A182" s="190"/>
      <c r="B182" s="191"/>
      <c r="C182" s="192"/>
      <c r="D182" s="193"/>
      <c r="E182" s="194" t="s">
        <v>214</v>
      </c>
      <c r="F182" s="195" t="str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196" t="str">
        <f>IFERROR(ROUNDUP(D182/F182,0),"")</f>
        <v/>
      </c>
      <c r="H182" s="197"/>
      <c r="I182" s="193" t="str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</row>
    <row r="183" spans="1:13" ht="21" customHeight="1" x14ac:dyDescent="0.3">
      <c r="A183" s="190"/>
      <c r="B183" s="191"/>
      <c r="C183" s="192"/>
      <c r="D183" s="193"/>
      <c r="E183" s="194" t="s">
        <v>214</v>
      </c>
      <c r="F183" s="195" t="str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196" t="str">
        <f>IFERROR(ROUNDUP(D183/F183,0),"")</f>
        <v/>
      </c>
      <c r="H183" s="197"/>
      <c r="I183" s="193" t="str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</row>
    <row r="184" spans="1:13" ht="15" customHeight="1" x14ac:dyDescent="0.3">
      <c r="A184" s="190"/>
      <c r="B184" s="191"/>
      <c r="C184" s="192"/>
      <c r="D184" s="193"/>
      <c r="E184" s="194" t="s">
        <v>214</v>
      </c>
      <c r="F184" s="195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196" t="str">
        <f>IFERROR(ROUNDUP(D184/F184,0),"")</f>
        <v/>
      </c>
      <c r="H184" s="197"/>
      <c r="I184" s="193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</row>
    <row r="185" spans="1:13" ht="14.25" customHeight="1" x14ac:dyDescent="0.3">
      <c r="A185" s="198"/>
      <c r="B185" s="199" t="s">
        <v>216</v>
      </c>
      <c r="C185" s="200"/>
      <c r="D185" s="201">
        <f>SUM(D178:D184)</f>
        <v>0</v>
      </c>
      <c r="E185" s="202"/>
      <c r="F185" s="202"/>
      <c r="G185" s="203">
        <f>SUM(G178:G184)</f>
        <v>0</v>
      </c>
      <c r="H185" s="201">
        <f>SUM(H178:H184)</f>
        <v>0</v>
      </c>
      <c r="I185" s="201">
        <f>SUM(I178:I184)</f>
        <v>0</v>
      </c>
      <c r="J185" s="28">
        <f>D185</f>
        <v>0</v>
      </c>
      <c r="K185" s="106">
        <f>G185</f>
        <v>0</v>
      </c>
      <c r="L185" s="28">
        <f>H185</f>
        <v>0</v>
      </c>
      <c r="M185" s="28">
        <f>I185</f>
        <v>0</v>
      </c>
    </row>
    <row r="186" spans="1:13" ht="14.25" customHeight="1" x14ac:dyDescent="0.3">
      <c r="C186" s="72"/>
    </row>
    <row r="187" spans="1:13" ht="14.25" customHeight="1" x14ac:dyDescent="0.3">
      <c r="A187" s="30">
        <v>46323</v>
      </c>
      <c r="B187" s="186" t="s">
        <v>78</v>
      </c>
      <c r="C187" s="187" t="s">
        <v>205</v>
      </c>
      <c r="D187" s="188" t="s">
        <v>206</v>
      </c>
      <c r="E187" s="188" t="s">
        <v>207</v>
      </c>
      <c r="F187" s="189" t="s">
        <v>208</v>
      </c>
      <c r="G187" s="188" t="s">
        <v>209</v>
      </c>
      <c r="H187" s="188" t="s">
        <v>210</v>
      </c>
      <c r="I187" s="188" t="s">
        <v>211</v>
      </c>
    </row>
    <row r="188" spans="1:13" ht="21" customHeight="1" x14ac:dyDescent="0.3">
      <c r="A188" s="190"/>
      <c r="B188" s="191"/>
      <c r="C188" s="192"/>
      <c r="D188" s="193"/>
      <c r="E188" s="194" t="s">
        <v>214</v>
      </c>
      <c r="F188" s="195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196" t="str">
        <f>IFERROR(ROUNDUP(D188/F188,0),"")</f>
        <v/>
      </c>
      <c r="H188" s="197"/>
      <c r="I188" s="193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</row>
    <row r="189" spans="1:13" ht="21" customHeight="1" x14ac:dyDescent="0.3">
      <c r="A189" s="190"/>
      <c r="B189" s="191"/>
      <c r="C189" s="192"/>
      <c r="D189" s="193"/>
      <c r="E189" s="194" t="s">
        <v>214</v>
      </c>
      <c r="F189" s="195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196" t="str">
        <f>IFERROR(ROUNDUP(D189/F189,0),"")</f>
        <v/>
      </c>
      <c r="H189" s="197"/>
      <c r="I189" s="193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</row>
    <row r="190" spans="1:13" ht="21" customHeight="1" x14ac:dyDescent="0.3">
      <c r="A190" s="190"/>
      <c r="B190" s="191"/>
      <c r="C190" s="192"/>
      <c r="D190" s="193"/>
      <c r="E190" s="194" t="s">
        <v>214</v>
      </c>
      <c r="F190" s="195" t="str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196" t="str">
        <f>IFERROR(ROUNDUP(D190/F190,0),"")</f>
        <v/>
      </c>
      <c r="H190" s="197"/>
      <c r="I190" s="193" t="str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</row>
    <row r="191" spans="1:13" ht="21" customHeight="1" x14ac:dyDescent="0.3">
      <c r="A191" s="190"/>
      <c r="B191" s="191"/>
      <c r="C191" s="192"/>
      <c r="D191" s="193"/>
      <c r="E191" s="194" t="s">
        <v>214</v>
      </c>
      <c r="F191" s="195" t="str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196" t="str">
        <f>IFERROR(ROUNDUP(D191/F191,0),"")</f>
        <v/>
      </c>
      <c r="H191" s="197"/>
      <c r="I191" s="193" t="str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</row>
    <row r="192" spans="1:13" ht="21" customHeight="1" x14ac:dyDescent="0.3">
      <c r="A192" s="190"/>
      <c r="B192" s="191"/>
      <c r="C192" s="192"/>
      <c r="D192" s="193"/>
      <c r="E192" s="194" t="s">
        <v>214</v>
      </c>
      <c r="F192" s="195" t="str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196" t="str">
        <f>IFERROR(ROUNDUP(D192/F192,0),"")</f>
        <v/>
      </c>
      <c r="H192" s="197"/>
      <c r="I192" s="193" t="str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</row>
    <row r="193" spans="1:13" ht="14.25" customHeight="1" x14ac:dyDescent="0.3">
      <c r="A193" s="198"/>
      <c r="B193" s="199" t="s">
        <v>216</v>
      </c>
      <c r="C193" s="200"/>
      <c r="D193" s="201">
        <f>SUM(D186:D192)</f>
        <v>0</v>
      </c>
      <c r="E193" s="202"/>
      <c r="F193" s="202"/>
      <c r="G193" s="203">
        <f>SUM(G186:G192)</f>
        <v>0</v>
      </c>
      <c r="H193" s="201">
        <f>SUM(H186:H192)</f>
        <v>0</v>
      </c>
      <c r="I193" s="201">
        <f>SUM(I186:I192)</f>
        <v>0</v>
      </c>
      <c r="J193" s="28">
        <f>D193</f>
        <v>0</v>
      </c>
      <c r="K193" s="106">
        <f>G193</f>
        <v>0</v>
      </c>
      <c r="L193" s="28">
        <f>H193</f>
        <v>0</v>
      </c>
      <c r="M193" s="28">
        <f>I193</f>
        <v>0</v>
      </c>
    </row>
    <row r="194" spans="1:13" ht="14.25" customHeight="1" x14ac:dyDescent="0.3">
      <c r="C194" s="72"/>
    </row>
    <row r="195" spans="1:13" ht="14.25" customHeight="1" x14ac:dyDescent="0.3">
      <c r="A195" s="30">
        <v>46324</v>
      </c>
      <c r="B195" s="186" t="s">
        <v>78</v>
      </c>
      <c r="C195" s="187" t="s">
        <v>205</v>
      </c>
      <c r="D195" s="188" t="s">
        <v>206</v>
      </c>
      <c r="E195" s="188" t="s">
        <v>207</v>
      </c>
      <c r="F195" s="189" t="s">
        <v>208</v>
      </c>
      <c r="G195" s="188" t="s">
        <v>209</v>
      </c>
      <c r="H195" s="188" t="s">
        <v>210</v>
      </c>
      <c r="I195" s="188" t="s">
        <v>211</v>
      </c>
    </row>
    <row r="196" spans="1:13" ht="21" customHeight="1" x14ac:dyDescent="0.3">
      <c r="A196" s="190"/>
      <c r="B196" s="191"/>
      <c r="C196" s="192"/>
      <c r="D196" s="193"/>
      <c r="E196" s="194" t="s">
        <v>214</v>
      </c>
      <c r="F196" s="195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196" t="str">
        <f>IFERROR(ROUNDUP(D196/F196,0),"")</f>
        <v/>
      </c>
      <c r="H196" s="197"/>
      <c r="I196" s="193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</row>
    <row r="197" spans="1:13" ht="21" customHeight="1" x14ac:dyDescent="0.3">
      <c r="A197" s="190"/>
      <c r="B197" s="191"/>
      <c r="C197" s="192"/>
      <c r="D197" s="193"/>
      <c r="E197" s="194" t="s">
        <v>214</v>
      </c>
      <c r="F197" s="195" t="str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196" t="str">
        <f>IFERROR(ROUNDUP(D197/F197,0),"")</f>
        <v/>
      </c>
      <c r="H197" s="197"/>
      <c r="I197" s="193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</row>
    <row r="198" spans="1:13" ht="21" customHeight="1" x14ac:dyDescent="0.3">
      <c r="A198" s="190"/>
      <c r="B198" s="191"/>
      <c r="C198" s="192"/>
      <c r="D198" s="193"/>
      <c r="E198" s="194" t="s">
        <v>214</v>
      </c>
      <c r="F198" s="195" t="str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196" t="str">
        <f>IFERROR(ROUNDUP(D198/F198,0),"")</f>
        <v/>
      </c>
      <c r="H198" s="197"/>
      <c r="I198" s="193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</row>
    <row r="199" spans="1:13" ht="21" customHeight="1" x14ac:dyDescent="0.3">
      <c r="A199" s="190"/>
      <c r="B199" s="191"/>
      <c r="C199" s="192"/>
      <c r="D199" s="193"/>
      <c r="E199" s="194" t="s">
        <v>214</v>
      </c>
      <c r="F199" s="195" t="str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196" t="str">
        <f>IFERROR(ROUNDUP(D199/F199,0),"")</f>
        <v/>
      </c>
      <c r="H199" s="197"/>
      <c r="I199" s="193" t="str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</row>
    <row r="200" spans="1:13" ht="21" customHeight="1" x14ac:dyDescent="0.3">
      <c r="A200" s="190"/>
      <c r="B200" s="191"/>
      <c r="C200" s="192"/>
      <c r="D200" s="193"/>
      <c r="E200" s="194" t="s">
        <v>214</v>
      </c>
      <c r="F200" s="195" t="str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196" t="str">
        <f>IFERROR(ROUNDUP(D200/F200,0),"")</f>
        <v/>
      </c>
      <c r="H200" s="197"/>
      <c r="I200" s="193" t="str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</row>
    <row r="201" spans="1:13" ht="14.25" customHeight="1" x14ac:dyDescent="0.3">
      <c r="A201" s="198"/>
      <c r="B201" s="199" t="s">
        <v>216</v>
      </c>
      <c r="C201" s="200"/>
      <c r="D201" s="201">
        <f>SUM(D194:D200)</f>
        <v>0</v>
      </c>
      <c r="E201" s="202"/>
      <c r="F201" s="202"/>
      <c r="G201" s="203">
        <f>SUM(G194:G200)</f>
        <v>0</v>
      </c>
      <c r="H201" s="201">
        <f>SUM(H194:H200)</f>
        <v>0</v>
      </c>
      <c r="I201" s="201">
        <f>SUM(I194:I200)</f>
        <v>0</v>
      </c>
      <c r="J201" s="28">
        <f>D201</f>
        <v>0</v>
      </c>
      <c r="K201" s="106">
        <f>G201</f>
        <v>0</v>
      </c>
      <c r="L201" s="28">
        <f>H201</f>
        <v>0</v>
      </c>
      <c r="M201" s="28">
        <f>I201</f>
        <v>0</v>
      </c>
    </row>
    <row r="202" spans="1:13" ht="14.25" customHeight="1" x14ac:dyDescent="0.3">
      <c r="C202" s="72"/>
    </row>
    <row r="203" spans="1:13" ht="14.25" customHeight="1" x14ac:dyDescent="0.3">
      <c r="A203" s="30">
        <v>46325</v>
      </c>
      <c r="B203" s="186" t="s">
        <v>78</v>
      </c>
      <c r="C203" s="187" t="s">
        <v>205</v>
      </c>
      <c r="D203" s="188" t="s">
        <v>206</v>
      </c>
      <c r="E203" s="188" t="s">
        <v>207</v>
      </c>
      <c r="F203" s="189" t="s">
        <v>208</v>
      </c>
      <c r="G203" s="188" t="s">
        <v>209</v>
      </c>
      <c r="H203" s="188" t="s">
        <v>210</v>
      </c>
      <c r="I203" s="188" t="s">
        <v>211</v>
      </c>
    </row>
    <row r="204" spans="1:13" ht="21" customHeight="1" x14ac:dyDescent="0.3">
      <c r="A204" s="190"/>
      <c r="B204" s="191"/>
      <c r="C204" s="192"/>
      <c r="D204" s="193"/>
      <c r="E204" s="194" t="s">
        <v>214</v>
      </c>
      <c r="F204" s="195" t="str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196" t="str">
        <f>IFERROR(ROUNDUP(D204/F204,0),"")</f>
        <v/>
      </c>
      <c r="H204" s="197"/>
      <c r="I204" s="193" t="str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</row>
    <row r="205" spans="1:13" ht="21" customHeight="1" x14ac:dyDescent="0.3">
      <c r="A205" s="190"/>
      <c r="B205" s="191"/>
      <c r="C205" s="192"/>
      <c r="D205" s="193"/>
      <c r="E205" s="194" t="s">
        <v>214</v>
      </c>
      <c r="F205" s="195" t="str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196" t="str">
        <f>IFERROR(ROUNDUP(D205/F205,0),"")</f>
        <v/>
      </c>
      <c r="H205" s="197"/>
      <c r="I205" s="193" t="str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</row>
    <row r="206" spans="1:13" ht="21" customHeight="1" x14ac:dyDescent="0.3">
      <c r="A206" s="190"/>
      <c r="B206" s="191"/>
      <c r="C206" s="192"/>
      <c r="D206" s="193"/>
      <c r="E206" s="194" t="s">
        <v>214</v>
      </c>
      <c r="F206" s="195" t="str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196" t="str">
        <f>IFERROR(ROUNDUP(D206/F206,0),"")</f>
        <v/>
      </c>
      <c r="H206" s="197"/>
      <c r="I206" s="193" t="str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</row>
    <row r="207" spans="1:13" ht="21" customHeight="1" x14ac:dyDescent="0.3">
      <c r="A207" s="190"/>
      <c r="B207" s="191"/>
      <c r="C207" s="192"/>
      <c r="D207" s="193"/>
      <c r="E207" s="194" t="s">
        <v>214</v>
      </c>
      <c r="F207" s="195" t="str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196" t="str">
        <f>IFERROR(ROUNDUP(D207/F207,0),"")</f>
        <v/>
      </c>
      <c r="H207" s="197"/>
      <c r="I207" s="193" t="str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</row>
    <row r="208" spans="1:13" ht="21" customHeight="1" x14ac:dyDescent="0.3">
      <c r="A208" s="190"/>
      <c r="B208" s="191"/>
      <c r="C208" s="192"/>
      <c r="D208" s="193"/>
      <c r="E208" s="194" t="s">
        <v>214</v>
      </c>
      <c r="F208" s="195" t="str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196" t="str">
        <f>IFERROR(ROUNDUP(D208/F208,0),"")</f>
        <v/>
      </c>
      <c r="H208" s="197"/>
      <c r="I208" s="193" t="str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</row>
    <row r="209" spans="1:13" ht="14.25" customHeight="1" x14ac:dyDescent="0.3">
      <c r="A209" s="198"/>
      <c r="B209" s="199" t="s">
        <v>216</v>
      </c>
      <c r="C209" s="200"/>
      <c r="D209" s="201">
        <f>SUM(D202:D208)</f>
        <v>0</v>
      </c>
      <c r="E209" s="202"/>
      <c r="F209" s="202"/>
      <c r="G209" s="203">
        <f>SUM(G202:G208)</f>
        <v>0</v>
      </c>
      <c r="H209" s="201">
        <f>SUM(H202:H208)</f>
        <v>0</v>
      </c>
      <c r="I209" s="201">
        <f>SUM(I202:I208)</f>
        <v>0</v>
      </c>
      <c r="J209" s="28">
        <f>D209</f>
        <v>0</v>
      </c>
      <c r="K209" s="106">
        <f>G209</f>
        <v>0</v>
      </c>
      <c r="L209" s="28">
        <f>H209</f>
        <v>0</v>
      </c>
      <c r="M209" s="28">
        <f>I209</f>
        <v>0</v>
      </c>
    </row>
    <row r="210" spans="1:13" ht="14.25" customHeight="1" x14ac:dyDescent="0.3">
      <c r="A210" s="235">
        <v>46326</v>
      </c>
      <c r="B210" s="186" t="s">
        <v>78</v>
      </c>
      <c r="C210" s="187" t="s">
        <v>205</v>
      </c>
      <c r="D210" s="188" t="s">
        <v>206</v>
      </c>
      <c r="E210" s="188" t="s">
        <v>207</v>
      </c>
      <c r="F210" s="236" t="s">
        <v>208</v>
      </c>
      <c r="G210" s="188" t="s">
        <v>209</v>
      </c>
      <c r="H210" s="188" t="s">
        <v>210</v>
      </c>
      <c r="I210" s="188" t="s">
        <v>211</v>
      </c>
      <c r="J210" s="237"/>
      <c r="K210" s="237"/>
      <c r="L210" s="237"/>
      <c r="M210" s="237"/>
    </row>
    <row r="211" spans="1:13" ht="21" customHeight="1" x14ac:dyDescent="0.3">
      <c r="A211" s="190"/>
      <c r="B211" s="238"/>
      <c r="C211" s="239"/>
      <c r="D211" s="240"/>
      <c r="E211" s="241" t="s">
        <v>214</v>
      </c>
      <c r="F211" s="242" t="str">
        <f>IF($B211="","",IF(SUMIFS(CONFIG_PALLETS!$C:$C,CONFIG_PALLETS!$A:$A,TRIM($B211),CONFIG_PALLETS!$B:$B,$C211&amp;" ml")&gt;0,SUMIFS(CONFIG_PALLETS!$C:$C,CONFIG_PALLETS!$A:$A,TRIM($B211),CONFIG_PALLETS!$B:$B,$C211&amp;" ml"),IF(SUMIFS(CONFIG_PALLETS!$C:$C,CONFIG_PALLETS!$A:$A,"GERAL",CONFIG_PALLETS!$B:$B,$C211&amp;" ml")&gt;0,SUMIFS(CONFIG_PALLETS!$C:$C,CONFIG_PALLETS!$A:$A,"GERAL",CONFIG_PALLETS!$B:$B,$C211&amp;" ml"),"")))</f>
        <v/>
      </c>
      <c r="G211" s="243" t="str">
        <f>IFERROR(ROUNDUP(D211/F211,0),"")</f>
        <v/>
      </c>
      <c r="H211" s="197"/>
      <c r="I211" s="240" t="str">
        <f>IF(H211="","",H211*IF(SUMIFS(CONFIG_PALLETS!$D:$D,CONFIG_PALLETS!$A:$A,IF(ISNUMBER(SEARCH("ESPUMA",$B211)),"ESPUMA",IF(OR(ISNUMBER(SEARCH("OLEO DE COCO",$B211)),ISNUMBER(SEARCH("ÓLEO DE COCO",$B211)),ISNUMBER(SEARCH("COPRA",$B211))),"ÓLEO DE COCO",IF(ISNUMBER(SEARCH("CORANTE",$B211)),"CORANTE",TRIM($B211)))),CONFIG_PALLETS!$B:$B,$C211&amp;" ml")&gt;0,SUMIFS(CONFIG_PALLETS!$D:$D,CONFIG_PALLETS!$A:$A,IF(ISNUMBER(SEARCH("ESPUMA",$B211)),"ESPUMA",IF(OR(ISNUMBER(SEARCH("OLEO DE COCO",$B211)),ISNUMBER(SEARCH("ÓLEO DE COCO",$B211)),ISNUMBER(SEARCH("COPRA",$B211))),"ÓLEO DE COCO",IF(ISNUMBER(SEARCH("CORANTE",$B211)),"CORANTE",TRIM($B211)))),CONFIG_PALLETS!$B:$B,$C211&amp;" ml"),IF(SUMIFS(CONFIG_PALLETS!$D:$D,CONFIG_PALLETS!$A:$A,"GERAL",CONFIG_PALLETS!$B:$B,$C211&amp;" ml")&gt;0,SUMIFS(CONFIG_PALLETS!$D:$D,CONFIG_PALLETS!$A:$A,"GERAL",CONFIG_PALLETS!$B:$B,$C211&amp;" ml"),12)))</f>
        <v/>
      </c>
      <c r="J211" s="237"/>
      <c r="K211" s="237"/>
      <c r="L211" s="237"/>
      <c r="M211" s="237"/>
    </row>
    <row r="212" spans="1:13" ht="21" customHeight="1" x14ac:dyDescent="0.3">
      <c r="A212" s="190"/>
      <c r="B212" s="238"/>
      <c r="C212" s="239"/>
      <c r="D212" s="240"/>
      <c r="E212" s="241" t="s">
        <v>214</v>
      </c>
      <c r="F212" s="242" t="str">
        <f>IF($B212="","",IF(SUMIFS(CONFIG_PALLETS!$C:$C,CONFIG_PALLETS!$A:$A,TRIM($B212),CONFIG_PALLETS!$B:$B,$C212&amp;" ml")&gt;0,SUMIFS(CONFIG_PALLETS!$C:$C,CONFIG_PALLETS!$A:$A,TRIM($B212),CONFIG_PALLETS!$B:$B,$C212&amp;" ml"),IF(SUMIFS(CONFIG_PALLETS!$C:$C,CONFIG_PALLETS!$A:$A,"GERAL",CONFIG_PALLETS!$B:$B,$C212&amp;" ml")&gt;0,SUMIFS(CONFIG_PALLETS!$C:$C,CONFIG_PALLETS!$A:$A,"GERAL",CONFIG_PALLETS!$B:$B,$C212&amp;" ml"),"")))</f>
        <v/>
      </c>
      <c r="G212" s="243" t="str">
        <f>IFERROR(ROUNDUP(D212/F212,0),"")</f>
        <v/>
      </c>
      <c r="H212" s="197"/>
      <c r="I212" s="240" t="str">
        <f>IF(H212="","",H212*IF(SUMIFS(CONFIG_PALLETS!$D:$D,CONFIG_PALLETS!$A:$A,IF(ISNUMBER(SEARCH("ESPUMA",$B212)),"ESPUMA",IF(OR(ISNUMBER(SEARCH("OLEO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ml")&gt;0,SUMIFS(CONFIG_PALLETS!$D:$D,CONFIG_PALLETS!$A:$A,IF(ISNUMBER(SEARCH("ESPUMA",$B212)),"ESPUMA",IF(OR(ISNUMBER(SEARCH("OLEO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ml"),IF(SUMIFS(CONFIG_PALLETS!$D:$D,CONFIG_PALLETS!$A:$A,"GERAL",CONFIG_PALLETS!$B:$B,$C212&amp;" ml")&gt;0,SUMIFS(CONFIG_PALLETS!$D:$D,CONFIG_PALLETS!$A:$A,"GERAL",CONFIG_PALLETS!$B:$B,$C212&amp;" ml"),12)))</f>
        <v/>
      </c>
      <c r="J212" s="237"/>
      <c r="K212" s="237"/>
      <c r="L212" s="237"/>
      <c r="M212" s="237"/>
    </row>
    <row r="213" spans="1:13" ht="21" customHeight="1" x14ac:dyDescent="0.3">
      <c r="A213" s="190"/>
      <c r="B213" s="238"/>
      <c r="C213" s="239"/>
      <c r="D213" s="240"/>
      <c r="E213" s="241" t="s">
        <v>214</v>
      </c>
      <c r="F213" s="242" t="str">
        <f>IF($B213="","",IF(SUMIFS(CONFIG_PALLETS!$C:$C,CONFIG_PALLETS!$A:$A,TRIM($B213),CONFIG_PALLETS!$B:$B,$C213&amp;" ml")&gt;0,SUMIFS(CONFIG_PALLETS!$C:$C,CONFIG_PALLETS!$A:$A,TRIM($B213),CONFIG_PALLETS!$B:$B,$C213&amp;" ml"),IF(SUMIFS(CONFIG_PALLETS!$C:$C,CONFIG_PALLETS!$A:$A,"GERAL",CONFIG_PALLETS!$B:$B,$C213&amp;" ml")&gt;0,SUMIFS(CONFIG_PALLETS!$C:$C,CONFIG_PALLETS!$A:$A,"GERAL",CONFIG_PALLETS!$B:$B,$C213&amp;" ml"),"")))</f>
        <v/>
      </c>
      <c r="G213" s="243" t="str">
        <f>IFERROR(ROUNDUP(D213/F213,0),"")</f>
        <v/>
      </c>
      <c r="H213" s="197"/>
      <c r="I213" s="240" t="str">
        <f>IF(H213="","",H213*IF(SUMIFS(CONFIG_PALLETS!$D:$D,CONFIG_PALLETS!$A:$A,IF(ISNUMBER(SEARCH("ESPUMA",$B213)),"ESPUMA",IF(OR(ISNUMBER(SEARCH("OLEO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ml")&gt;0,SUMIFS(CONFIG_PALLETS!$D:$D,CONFIG_PALLETS!$A:$A,IF(ISNUMBER(SEARCH("ESPUMA",$B213)),"ESPUMA",IF(OR(ISNUMBER(SEARCH("OLEO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ml"),IF(SUMIFS(CONFIG_PALLETS!$D:$D,CONFIG_PALLETS!$A:$A,"GERAL",CONFIG_PALLETS!$B:$B,$C213&amp;" ml")&gt;0,SUMIFS(CONFIG_PALLETS!$D:$D,CONFIG_PALLETS!$A:$A,"GERAL",CONFIG_PALLETS!$B:$B,$C213&amp;" ml"),12)))</f>
        <v/>
      </c>
      <c r="J213" s="237"/>
      <c r="K213" s="237"/>
      <c r="L213" s="237"/>
      <c r="M213" s="237"/>
    </row>
    <row r="214" spans="1:13" ht="21" customHeight="1" x14ac:dyDescent="0.3">
      <c r="A214" s="190"/>
      <c r="B214" s="238"/>
      <c r="C214" s="239"/>
      <c r="D214" s="240"/>
      <c r="E214" s="241" t="s">
        <v>214</v>
      </c>
      <c r="F214" s="242" t="str">
        <f>IF($B214="","",IF(SUMIFS(CONFIG_PALLETS!$C:$C,CONFIG_PALLETS!$A:$A,TRIM($B214),CONFIG_PALLETS!$B:$B,$C214&amp;" ml")&gt;0,SUMIFS(CONFIG_PALLETS!$C:$C,CONFIG_PALLETS!$A:$A,TRIM($B214),CONFIG_PALLETS!$B:$B,$C214&amp;" ml"),IF(SUMIFS(CONFIG_PALLETS!$C:$C,CONFIG_PALLETS!$A:$A,"GERAL",CONFIG_PALLETS!$B:$B,$C214&amp;" ml")&gt;0,SUMIFS(CONFIG_PALLETS!$C:$C,CONFIG_PALLETS!$A:$A,"GERAL",CONFIG_PALLETS!$B:$B,$C214&amp;" ml"),"")))</f>
        <v/>
      </c>
      <c r="G214" s="243" t="str">
        <f>IFERROR(ROUNDUP(D214/F214,0),"")</f>
        <v/>
      </c>
      <c r="H214" s="197"/>
      <c r="I214" s="240" t="str">
        <f>IF(H214="","",H214*IF(SUMIFS(CONFIG_PALLETS!$D:$D,CONFIG_PALLETS!$A:$A,IF(ISNUMBER(SEARCH("ESPUMA",$B214)),"ESPUMA",IF(OR(ISNUMBER(SEARCH("OLEO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ml")&gt;0,SUMIFS(CONFIG_PALLETS!$D:$D,CONFIG_PALLETS!$A:$A,IF(ISNUMBER(SEARCH("ESPUMA",$B214)),"ESPUMA",IF(OR(ISNUMBER(SEARCH("OLEO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ml"),IF(SUMIFS(CONFIG_PALLETS!$D:$D,CONFIG_PALLETS!$A:$A,"GERAL",CONFIG_PALLETS!$B:$B,$C214&amp;" ml")&gt;0,SUMIFS(CONFIG_PALLETS!$D:$D,CONFIG_PALLETS!$A:$A,"GERAL",CONFIG_PALLETS!$B:$B,$C214&amp;" ml"),12)))</f>
        <v/>
      </c>
      <c r="J214" s="237"/>
      <c r="K214" s="237"/>
      <c r="L214" s="237"/>
      <c r="M214" s="237"/>
    </row>
    <row r="215" spans="1:13" ht="21" customHeight="1" x14ac:dyDescent="0.3">
      <c r="A215" s="190"/>
      <c r="B215" s="238"/>
      <c r="C215" s="239"/>
      <c r="D215" s="240"/>
      <c r="E215" s="241" t="s">
        <v>214</v>
      </c>
      <c r="F215" s="242" t="str">
        <f>IF($B215="","",IF(SUMIFS(CONFIG_PALLETS!$C:$C,CONFIG_PALLETS!$A:$A,TRIM($B215),CONFIG_PALLETS!$B:$B,$C215&amp;" ml")&gt;0,SUMIFS(CONFIG_PALLETS!$C:$C,CONFIG_PALLETS!$A:$A,TRIM($B215),CONFIG_PALLETS!$B:$B,$C215&amp;" ml"),IF(SUMIFS(CONFIG_PALLETS!$C:$C,CONFIG_PALLETS!$A:$A,"GERAL",CONFIG_PALLETS!$B:$B,$C215&amp;" ml")&gt;0,SUMIFS(CONFIG_PALLETS!$C:$C,CONFIG_PALLETS!$A:$A,"GERAL",CONFIG_PALLETS!$B:$B,$C215&amp;" ml"),"")))</f>
        <v/>
      </c>
      <c r="G215" s="243" t="str">
        <f>IFERROR(ROUNDUP(D215/F215,0),"")</f>
        <v/>
      </c>
      <c r="H215" s="197"/>
      <c r="I215" s="240" t="str">
        <f>IF(H215="","",H215*IF(SUMIFS(CONFIG_PALLETS!$D:$D,CONFIG_PALLETS!$A:$A,IF(ISNUMBER(SEARCH("ESPUMA",$B215)),"ESPUMA",IF(OR(ISNUMBER(SEARCH("OLEO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ml")&gt;0,SUMIFS(CONFIG_PALLETS!$D:$D,CONFIG_PALLETS!$A:$A,IF(ISNUMBER(SEARCH("ESPUMA",$B215)),"ESPUMA",IF(OR(ISNUMBER(SEARCH("OLEO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ml"),IF(SUMIFS(CONFIG_PALLETS!$D:$D,CONFIG_PALLETS!$A:$A,"GERAL",CONFIG_PALLETS!$B:$B,$C215&amp;" ml")&gt;0,SUMIFS(CONFIG_PALLETS!$D:$D,CONFIG_PALLETS!$A:$A,"GERAL",CONFIG_PALLETS!$B:$B,$C215&amp;" ml"),12)))</f>
        <v/>
      </c>
      <c r="J215" s="237"/>
      <c r="K215" s="237"/>
      <c r="L215" s="237"/>
      <c r="M215" s="237"/>
    </row>
    <row r="216" spans="1:13" ht="14.25" customHeight="1" x14ac:dyDescent="0.3">
      <c r="A216" s="244"/>
      <c r="B216" s="199" t="s">
        <v>216</v>
      </c>
      <c r="C216" s="245"/>
      <c r="D216" s="201">
        <f>SUM(D209:D215)</f>
        <v>0</v>
      </c>
      <c r="E216" s="246"/>
      <c r="F216" s="246"/>
      <c r="G216" s="203">
        <f>SUM(G209:G215)</f>
        <v>0</v>
      </c>
      <c r="H216" s="201">
        <f>SUM(H209:H215)</f>
        <v>0</v>
      </c>
      <c r="I216" s="201">
        <f>SUM(I209:I215)</f>
        <v>0</v>
      </c>
      <c r="J216" s="247">
        <f>D216</f>
        <v>0</v>
      </c>
      <c r="K216" s="248">
        <f>G216</f>
        <v>0</v>
      </c>
      <c r="L216" s="247">
        <f>H216</f>
        <v>0</v>
      </c>
      <c r="M216" s="247">
        <f>I216</f>
        <v>0</v>
      </c>
    </row>
  </sheetData>
  <mergeCells count="3">
    <mergeCell ref="A1:I1"/>
    <mergeCell ref="A2:F2"/>
    <mergeCell ref="G2:I2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77" xr:uid="{00000000-0002-0000-1F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F766E"/>
  </sheetPr>
  <dimension ref="A1:Y59"/>
  <sheetViews>
    <sheetView showGridLines="0" topLeftCell="A14" zoomScale="90" zoomScaleNormal="90" workbookViewId="0">
      <selection activeCell="K38" sqref="K38"/>
    </sheetView>
  </sheetViews>
  <sheetFormatPr defaultColWidth="8.6640625" defaultRowHeight="14.4" x14ac:dyDescent="0.3"/>
  <cols>
    <col min="1" max="1" width="12" style="437" customWidth="1"/>
    <col min="2" max="2" width="15" customWidth="1"/>
    <col min="3" max="3" width="14" customWidth="1"/>
    <col min="4" max="4" width="13.664062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4">
      <c r="A1" s="612" t="s">
        <v>662</v>
      </c>
      <c r="B1" s="612"/>
      <c r="C1" s="612"/>
      <c r="D1" s="612"/>
      <c r="E1" s="612"/>
      <c r="F1" s="612"/>
    </row>
    <row r="3" spans="1:25" ht="14.25" customHeight="1" x14ac:dyDescent="0.3">
      <c r="B3" s="148" t="s">
        <v>234</v>
      </c>
      <c r="D3" s="148" t="s">
        <v>235</v>
      </c>
      <c r="F3" s="149" t="s">
        <v>236</v>
      </c>
      <c r="H3" s="148" t="s">
        <v>237</v>
      </c>
      <c r="J3" s="150" t="s">
        <v>238</v>
      </c>
      <c r="K3" s="151" t="s">
        <v>239</v>
      </c>
      <c r="L3" s="151" t="s">
        <v>240</v>
      </c>
    </row>
    <row r="4" spans="1:25" ht="15.75" customHeight="1" x14ac:dyDescent="0.3">
      <c r="B4" s="152">
        <f>SUM(C9:C35)</f>
        <v>0</v>
      </c>
      <c r="D4" s="152">
        <f>SUM(D9:D35)</f>
        <v>286000</v>
      </c>
      <c r="F4" s="152">
        <f ca="1">IFERROR(SUMIFS(C9:C35,A9:A35,"&lt;="&amp;TODAY(),F9:F35,"&lt;&gt;*Feriado*")/COUNTIFS(A9:A35,"&lt;="&amp;TODAY(),F9:F35,"&lt;&gt;*Feriado*"),0)</f>
        <v>0</v>
      </c>
      <c r="H4" s="152">
        <f>IFERROR(MAX(C9:C35),0)</f>
        <v>0</v>
      </c>
      <c r="J4" s="153">
        <f>IFERROR(B4/D4,0)</f>
        <v>0</v>
      </c>
      <c r="K4" s="154" t="s">
        <v>241</v>
      </c>
      <c r="L4" s="155" t="s">
        <v>242</v>
      </c>
    </row>
    <row r="5" spans="1:25" ht="15" customHeight="1" x14ac:dyDescent="0.3">
      <c r="K5" s="156" t="s">
        <v>243</v>
      </c>
      <c r="L5" s="157" t="s">
        <v>244</v>
      </c>
    </row>
    <row r="6" spans="1:25" ht="15" customHeight="1" x14ac:dyDescent="0.3">
      <c r="K6" s="158" t="s">
        <v>245</v>
      </c>
      <c r="L6" s="159" t="s">
        <v>246</v>
      </c>
    </row>
    <row r="8" spans="1:25" ht="14.25" customHeight="1" x14ac:dyDescent="0.3">
      <c r="A8" s="442" t="s">
        <v>247</v>
      </c>
      <c r="B8" s="231" t="s">
        <v>248</v>
      </c>
      <c r="C8" s="204" t="s">
        <v>249</v>
      </c>
      <c r="D8" s="204" t="s">
        <v>250</v>
      </c>
      <c r="E8" s="204" t="s">
        <v>251</v>
      </c>
      <c r="F8" s="204" t="s">
        <v>252</v>
      </c>
      <c r="X8" t="s">
        <v>253</v>
      </c>
      <c r="Y8" t="s">
        <v>254</v>
      </c>
    </row>
    <row r="9" spans="1:25" ht="15" customHeight="1" x14ac:dyDescent="0.3">
      <c r="A9" s="443">
        <v>46296</v>
      </c>
      <c r="B9" s="219">
        <f>IF(D9&gt;0,COUNTIF($D$9:D9,"&gt;0"),"")</f>
        <v>1</v>
      </c>
      <c r="C9" s="221">
        <f>'SEMANA OUTUBRO'!$M$9</f>
        <v>0</v>
      </c>
      <c r="D9" s="221">
        <f>CONFIG!$B$3</f>
        <v>11000</v>
      </c>
      <c r="E9" s="221">
        <f t="shared" ref="E9:E35" si="0">C9-D9</f>
        <v>-11000</v>
      </c>
      <c r="F9" s="253"/>
      <c r="X9" s="28">
        <f t="shared" ref="X9:X30" si="1">IF(COUNTIF($F9,"*Feriado*")&gt;0,NA(),$C9)</f>
        <v>0</v>
      </c>
      <c r="Y9" s="28">
        <f t="shared" ref="Y9:Y30" si="2">IF(COUNTIF($F9,"*Feriado*")&gt;0,NA(),$D9)</f>
        <v>11000</v>
      </c>
    </row>
    <row r="10" spans="1:25" ht="15" customHeight="1" x14ac:dyDescent="0.3">
      <c r="A10" s="443">
        <v>46297</v>
      </c>
      <c r="B10" s="219">
        <f>IF(D10&gt;0,COUNTIF($D$9:D10,"&gt;0"),"")</f>
        <v>2</v>
      </c>
      <c r="C10" s="221">
        <f>'SEMANA OUTUBRO'!$M$17</f>
        <v>0</v>
      </c>
      <c r="D10" s="221">
        <f>CONFIG!$B$3</f>
        <v>11000</v>
      </c>
      <c r="E10" s="221">
        <f t="shared" si="0"/>
        <v>-11000</v>
      </c>
      <c r="F10" s="253"/>
      <c r="X10" s="28">
        <f t="shared" si="1"/>
        <v>0</v>
      </c>
      <c r="Y10" s="28">
        <f t="shared" si="2"/>
        <v>11000</v>
      </c>
    </row>
    <row r="11" spans="1:25" ht="15" customHeight="1" x14ac:dyDescent="0.3">
      <c r="A11" s="443">
        <v>46298</v>
      </c>
      <c r="B11" s="219">
        <f>IF(D11&gt;0,COUNTIF($D$9:D11,"&gt;0"),"")</f>
        <v>3</v>
      </c>
      <c r="C11" s="221">
        <f>'SEMANA OUTUBRO'!$M$25</f>
        <v>0</v>
      </c>
      <c r="D11" s="221">
        <f>CONFIG!$B$3</f>
        <v>11000</v>
      </c>
      <c r="E11" s="221">
        <f t="shared" si="0"/>
        <v>-11000</v>
      </c>
      <c r="F11" s="254" t="s">
        <v>557</v>
      </c>
      <c r="X11" s="28">
        <f t="shared" si="1"/>
        <v>0</v>
      </c>
      <c r="Y11" s="28">
        <f t="shared" si="2"/>
        <v>11000</v>
      </c>
    </row>
    <row r="12" spans="1:25" ht="15" customHeight="1" x14ac:dyDescent="0.3">
      <c r="A12" s="443">
        <v>46300</v>
      </c>
      <c r="B12" s="219">
        <f>IF(D12&gt;0,COUNTIF($D$9:D12,"&gt;0"),"")</f>
        <v>4</v>
      </c>
      <c r="C12" s="221">
        <f>'SEMANA OUTUBRO'!$M$33</f>
        <v>0</v>
      </c>
      <c r="D12" s="221">
        <f>CONFIG!$B$3</f>
        <v>11000</v>
      </c>
      <c r="E12" s="221">
        <f t="shared" si="0"/>
        <v>-11000</v>
      </c>
      <c r="F12" s="253"/>
      <c r="X12" s="28">
        <f t="shared" si="1"/>
        <v>0</v>
      </c>
      <c r="Y12" s="28">
        <f t="shared" si="2"/>
        <v>11000</v>
      </c>
    </row>
    <row r="13" spans="1:25" ht="15" customHeight="1" x14ac:dyDescent="0.3">
      <c r="A13" s="443">
        <v>46301</v>
      </c>
      <c r="B13" s="219">
        <f>IF(D13&gt;0,COUNTIF($D$9:D13,"&gt;0"),"")</f>
        <v>5</v>
      </c>
      <c r="C13" s="221">
        <f>'SEMANA OUTUBRO'!$M$41</f>
        <v>0</v>
      </c>
      <c r="D13" s="221">
        <f>CONFIG!$B$3</f>
        <v>11000</v>
      </c>
      <c r="E13" s="221">
        <f t="shared" si="0"/>
        <v>-11000</v>
      </c>
      <c r="F13" s="253"/>
      <c r="X13" s="28">
        <f t="shared" si="1"/>
        <v>0</v>
      </c>
      <c r="Y13" s="28">
        <f t="shared" si="2"/>
        <v>11000</v>
      </c>
    </row>
    <row r="14" spans="1:25" ht="15" customHeight="1" x14ac:dyDescent="0.3">
      <c r="A14" s="443">
        <v>46302</v>
      </c>
      <c r="B14" s="219">
        <f>IF(D14&gt;0,COUNTIF($D$9:D14,"&gt;0"),"")</f>
        <v>6</v>
      </c>
      <c r="C14" s="221">
        <f>'SEMANA OUTUBRO'!$M$49</f>
        <v>0</v>
      </c>
      <c r="D14" s="221">
        <f>CONFIG!$B$3</f>
        <v>11000</v>
      </c>
      <c r="E14" s="221">
        <f t="shared" si="0"/>
        <v>-11000</v>
      </c>
      <c r="F14" s="253"/>
      <c r="X14" s="28">
        <f t="shared" si="1"/>
        <v>0</v>
      </c>
      <c r="Y14" s="28">
        <f t="shared" si="2"/>
        <v>11000</v>
      </c>
    </row>
    <row r="15" spans="1:25" ht="15" customHeight="1" x14ac:dyDescent="0.3">
      <c r="A15" s="443">
        <v>46303</v>
      </c>
      <c r="B15" s="219">
        <f>IF(D15&gt;0,COUNTIF($D$9:D15,"&gt;0"),"")</f>
        <v>7</v>
      </c>
      <c r="C15" s="221">
        <f>'SEMANA OUTUBRO'!$M$57</f>
        <v>0</v>
      </c>
      <c r="D15" s="221">
        <f>CONFIG!$B$3</f>
        <v>11000</v>
      </c>
      <c r="E15" s="221">
        <f t="shared" si="0"/>
        <v>-11000</v>
      </c>
      <c r="F15" s="253"/>
      <c r="X15" s="28">
        <f t="shared" si="1"/>
        <v>0</v>
      </c>
      <c r="Y15" s="28">
        <f t="shared" si="2"/>
        <v>11000</v>
      </c>
    </row>
    <row r="16" spans="1:25" ht="15" customHeight="1" x14ac:dyDescent="0.3">
      <c r="A16" s="443">
        <v>46304</v>
      </c>
      <c r="B16" s="219">
        <f>IF(D16&gt;0,COUNTIF($D$9:D16,"&gt;0"),"")</f>
        <v>8</v>
      </c>
      <c r="C16" s="221">
        <f>'SEMANA OUTUBRO'!$M$65</f>
        <v>0</v>
      </c>
      <c r="D16" s="221">
        <f>CONFIG!$B$3</f>
        <v>11000</v>
      </c>
      <c r="E16" s="221">
        <f t="shared" si="0"/>
        <v>-11000</v>
      </c>
      <c r="F16" s="253"/>
      <c r="X16" s="28">
        <f t="shared" si="1"/>
        <v>0</v>
      </c>
      <c r="Y16" s="28">
        <f t="shared" si="2"/>
        <v>11000</v>
      </c>
    </row>
    <row r="17" spans="1:25" ht="15" customHeight="1" x14ac:dyDescent="0.3">
      <c r="A17" s="443">
        <v>46305</v>
      </c>
      <c r="B17" s="219">
        <f>IF(D17&gt;0,COUNTIF($D$9:D17,"&gt;0"),"")</f>
        <v>9</v>
      </c>
      <c r="C17" s="221">
        <f>'SEMANA OUTUBRO'!$M$73</f>
        <v>0</v>
      </c>
      <c r="D17" s="221">
        <f>CONFIG!$B$3</f>
        <v>11000</v>
      </c>
      <c r="E17" s="221">
        <f t="shared" si="0"/>
        <v>-11000</v>
      </c>
      <c r="F17" s="254" t="s">
        <v>557</v>
      </c>
      <c r="X17" s="28">
        <f t="shared" si="1"/>
        <v>0</v>
      </c>
      <c r="Y17" s="28">
        <f t="shared" si="2"/>
        <v>11000</v>
      </c>
    </row>
    <row r="18" spans="1:25" ht="15" customHeight="1" x14ac:dyDescent="0.3">
      <c r="A18" s="443">
        <v>46307</v>
      </c>
      <c r="B18" s="219" t="str">
        <f>IF(D18&gt;0,COUNTIF($D$9:D18,"&gt;0"),"")</f>
        <v/>
      </c>
      <c r="C18" s="221">
        <f>'SEMANA OUTUBRO'!$M$81</f>
        <v>0</v>
      </c>
      <c r="D18" s="221">
        <v>0</v>
      </c>
      <c r="E18" s="221">
        <f t="shared" si="0"/>
        <v>0</v>
      </c>
      <c r="F18" s="254" t="s">
        <v>663</v>
      </c>
      <c r="X18" s="28" t="e">
        <f t="shared" si="1"/>
        <v>#N/A</v>
      </c>
      <c r="Y18" s="28" t="e">
        <f t="shared" si="2"/>
        <v>#N/A</v>
      </c>
    </row>
    <row r="19" spans="1:25" ht="15" customHeight="1" x14ac:dyDescent="0.3">
      <c r="A19" s="443">
        <v>46308</v>
      </c>
      <c r="B19" s="219">
        <f>IF(D19&gt;0,COUNTIF($D$9:D19,"&gt;0"),"")</f>
        <v>10</v>
      </c>
      <c r="C19" s="221">
        <f>'SEMANA OUTUBRO'!$M$89</f>
        <v>0</v>
      </c>
      <c r="D19" s="221">
        <f>CONFIG!$B$3</f>
        <v>11000</v>
      </c>
      <c r="E19" s="221">
        <f t="shared" si="0"/>
        <v>-11000</v>
      </c>
      <c r="F19" s="253"/>
      <c r="X19" s="28">
        <f t="shared" si="1"/>
        <v>0</v>
      </c>
      <c r="Y19" s="28">
        <f t="shared" si="2"/>
        <v>11000</v>
      </c>
    </row>
    <row r="20" spans="1:25" ht="15" customHeight="1" x14ac:dyDescent="0.3">
      <c r="A20" s="443">
        <v>46309</v>
      </c>
      <c r="B20" s="219">
        <f>IF(D20&gt;0,COUNTIF($D$9:D20,"&gt;0"),"")</f>
        <v>11</v>
      </c>
      <c r="C20" s="221">
        <f>'SEMANA OUTUBRO'!$M$97</f>
        <v>0</v>
      </c>
      <c r="D20" s="221">
        <f>CONFIG!$B$3</f>
        <v>11000</v>
      </c>
      <c r="E20" s="221">
        <f t="shared" si="0"/>
        <v>-11000</v>
      </c>
      <c r="F20" s="253"/>
      <c r="X20" s="28">
        <f t="shared" si="1"/>
        <v>0</v>
      </c>
      <c r="Y20" s="28">
        <f t="shared" si="2"/>
        <v>11000</v>
      </c>
    </row>
    <row r="21" spans="1:25" ht="15" customHeight="1" x14ac:dyDescent="0.3">
      <c r="A21" s="443">
        <v>46310</v>
      </c>
      <c r="B21" s="219">
        <f>IF(D21&gt;0,COUNTIF($D$9:D21,"&gt;0"),"")</f>
        <v>12</v>
      </c>
      <c r="C21" s="221">
        <f>'SEMANA OUTUBRO'!$M$105</f>
        <v>0</v>
      </c>
      <c r="D21" s="221">
        <f>CONFIG!$B$3</f>
        <v>11000</v>
      </c>
      <c r="E21" s="221">
        <f t="shared" si="0"/>
        <v>-11000</v>
      </c>
      <c r="F21" s="253"/>
      <c r="X21" s="28">
        <f t="shared" si="1"/>
        <v>0</v>
      </c>
      <c r="Y21" s="28">
        <f t="shared" si="2"/>
        <v>11000</v>
      </c>
    </row>
    <row r="22" spans="1:25" ht="15" customHeight="1" x14ac:dyDescent="0.3">
      <c r="A22" s="443">
        <v>46311</v>
      </c>
      <c r="B22" s="219">
        <f>IF(D22&gt;0,COUNTIF($D$9:D22,"&gt;0"),"")</f>
        <v>13</v>
      </c>
      <c r="C22" s="221">
        <f>'SEMANA OUTUBRO'!$M$113</f>
        <v>0</v>
      </c>
      <c r="D22" s="221">
        <f>CONFIG!$B$3</f>
        <v>11000</v>
      </c>
      <c r="E22" s="221">
        <f t="shared" si="0"/>
        <v>-11000</v>
      </c>
      <c r="F22" s="253"/>
      <c r="X22" s="28">
        <f t="shared" si="1"/>
        <v>0</v>
      </c>
      <c r="Y22" s="28">
        <f t="shared" si="2"/>
        <v>11000</v>
      </c>
    </row>
    <row r="23" spans="1:25" ht="15" customHeight="1" x14ac:dyDescent="0.3">
      <c r="A23" s="443">
        <v>46312</v>
      </c>
      <c r="B23" s="219">
        <f>IF(D23&gt;0,COUNTIF($D$9:D23,"&gt;0"),"")</f>
        <v>14</v>
      </c>
      <c r="C23" s="221">
        <f>'SEMANA OUTUBRO'!$M$121</f>
        <v>0</v>
      </c>
      <c r="D23" s="221">
        <f>CONFIG!$B$3</f>
        <v>11000</v>
      </c>
      <c r="E23" s="221">
        <f t="shared" si="0"/>
        <v>-11000</v>
      </c>
      <c r="F23" s="254" t="s">
        <v>557</v>
      </c>
      <c r="X23" s="28">
        <f t="shared" si="1"/>
        <v>0</v>
      </c>
      <c r="Y23" s="28">
        <f t="shared" si="2"/>
        <v>11000</v>
      </c>
    </row>
    <row r="24" spans="1:25" ht="15" customHeight="1" x14ac:dyDescent="0.3">
      <c r="A24" s="443">
        <v>46314</v>
      </c>
      <c r="B24" s="219">
        <f>IF(D24&gt;0,COUNTIF($D$9:D24,"&gt;0"),"")</f>
        <v>15</v>
      </c>
      <c r="C24" s="221">
        <f>'SEMANA OUTUBRO'!$M$129</f>
        <v>0</v>
      </c>
      <c r="D24" s="221">
        <f>CONFIG!$B$3</f>
        <v>11000</v>
      </c>
      <c r="E24" s="221">
        <f t="shared" si="0"/>
        <v>-11000</v>
      </c>
      <c r="F24" s="253"/>
      <c r="X24" s="28">
        <f t="shared" si="1"/>
        <v>0</v>
      </c>
      <c r="Y24" s="28">
        <f t="shared" si="2"/>
        <v>11000</v>
      </c>
    </row>
    <row r="25" spans="1:25" ht="15" customHeight="1" x14ac:dyDescent="0.3">
      <c r="A25" s="443">
        <v>46315</v>
      </c>
      <c r="B25" s="219">
        <f>IF(D25&gt;0,COUNTIF($D$9:D25,"&gt;0"),"")</f>
        <v>16</v>
      </c>
      <c r="C25" s="221">
        <f>'SEMANA OUTUBRO'!$M$137</f>
        <v>0</v>
      </c>
      <c r="D25" s="221">
        <f>CONFIG!$B$3</f>
        <v>11000</v>
      </c>
      <c r="E25" s="221">
        <f t="shared" si="0"/>
        <v>-11000</v>
      </c>
      <c r="F25" s="253"/>
      <c r="X25" s="28">
        <f t="shared" si="1"/>
        <v>0</v>
      </c>
      <c r="Y25" s="28">
        <f t="shared" si="2"/>
        <v>11000</v>
      </c>
    </row>
    <row r="26" spans="1:25" ht="15" customHeight="1" x14ac:dyDescent="0.3">
      <c r="A26" s="443">
        <v>46316</v>
      </c>
      <c r="B26" s="219">
        <f>IF(D26&gt;0,COUNTIF($D$9:D26,"&gt;0"),"")</f>
        <v>17</v>
      </c>
      <c r="C26" s="221">
        <f>'SEMANA OUTUBRO'!$M$145</f>
        <v>0</v>
      </c>
      <c r="D26" s="221">
        <f>CONFIG!$B$3</f>
        <v>11000</v>
      </c>
      <c r="E26" s="221">
        <f t="shared" si="0"/>
        <v>-11000</v>
      </c>
      <c r="F26" s="253"/>
      <c r="X26" s="28">
        <f t="shared" si="1"/>
        <v>0</v>
      </c>
      <c r="Y26" s="28">
        <f t="shared" si="2"/>
        <v>11000</v>
      </c>
    </row>
    <row r="27" spans="1:25" ht="15" customHeight="1" x14ac:dyDescent="0.3">
      <c r="A27" s="443">
        <v>46317</v>
      </c>
      <c r="B27" s="219">
        <f>IF(D27&gt;0,COUNTIF($D$9:D27,"&gt;0"),"")</f>
        <v>18</v>
      </c>
      <c r="C27" s="221">
        <f>'SEMANA OUTUBRO'!$M$153</f>
        <v>0</v>
      </c>
      <c r="D27" s="221">
        <f>CONFIG!$B$3</f>
        <v>11000</v>
      </c>
      <c r="E27" s="221">
        <f t="shared" si="0"/>
        <v>-11000</v>
      </c>
      <c r="F27" s="253"/>
      <c r="X27" s="28">
        <f t="shared" si="1"/>
        <v>0</v>
      </c>
      <c r="Y27" s="28">
        <f t="shared" si="2"/>
        <v>11000</v>
      </c>
    </row>
    <row r="28" spans="1:25" ht="15" customHeight="1" x14ac:dyDescent="0.3">
      <c r="A28" s="443">
        <v>46318</v>
      </c>
      <c r="B28" s="219">
        <f>IF(D28&gt;0,COUNTIF($D$9:D28,"&gt;0"),"")</f>
        <v>19</v>
      </c>
      <c r="C28" s="221">
        <f>'SEMANA OUTUBRO'!$M$161</f>
        <v>0</v>
      </c>
      <c r="D28" s="221">
        <f>CONFIG!$B$3</f>
        <v>11000</v>
      </c>
      <c r="E28" s="221">
        <f t="shared" si="0"/>
        <v>-11000</v>
      </c>
      <c r="F28" s="253"/>
      <c r="X28" s="28">
        <f t="shared" si="1"/>
        <v>0</v>
      </c>
      <c r="Y28" s="28">
        <f t="shared" si="2"/>
        <v>11000</v>
      </c>
    </row>
    <row r="29" spans="1:25" ht="15" customHeight="1" x14ac:dyDescent="0.3">
      <c r="A29" s="443">
        <v>46319</v>
      </c>
      <c r="B29" s="219">
        <f>IF(D29&gt;0,COUNTIF($D$9:D29,"&gt;0"),"")</f>
        <v>20</v>
      </c>
      <c r="C29" s="221">
        <f>'SEMANA OUTUBRO'!$M$169</f>
        <v>0</v>
      </c>
      <c r="D29" s="221">
        <f>CONFIG!$B$3</f>
        <v>11000</v>
      </c>
      <c r="E29" s="221">
        <f t="shared" si="0"/>
        <v>-11000</v>
      </c>
      <c r="F29" s="254" t="s">
        <v>557</v>
      </c>
      <c r="X29" s="28">
        <f t="shared" si="1"/>
        <v>0</v>
      </c>
      <c r="Y29" s="28">
        <f t="shared" si="2"/>
        <v>11000</v>
      </c>
    </row>
    <row r="30" spans="1:25" ht="15" customHeight="1" x14ac:dyDescent="0.3">
      <c r="A30" s="443">
        <v>46321</v>
      </c>
      <c r="B30" s="219">
        <f>IF(D30&gt;0,COUNTIF($D$9:D30,"&gt;0"),"")</f>
        <v>21</v>
      </c>
      <c r="C30" s="221">
        <f>'SEMANA OUTUBRO'!$M$177</f>
        <v>0</v>
      </c>
      <c r="D30" s="221">
        <f>CONFIG!$B$3</f>
        <v>11000</v>
      </c>
      <c r="E30" s="221">
        <f t="shared" si="0"/>
        <v>-11000</v>
      </c>
      <c r="F30" s="253"/>
      <c r="X30" s="28">
        <f t="shared" si="1"/>
        <v>0</v>
      </c>
      <c r="Y30" s="28">
        <f t="shared" si="2"/>
        <v>11000</v>
      </c>
    </row>
    <row r="31" spans="1:25" ht="14.25" customHeight="1" x14ac:dyDescent="0.3">
      <c r="A31" s="443">
        <v>46322</v>
      </c>
      <c r="B31" s="219">
        <f>IF(D31&gt;0,COUNTIF($D$9:D31,"&gt;0"),"")</f>
        <v>22</v>
      </c>
      <c r="C31" s="221">
        <f>'SEMANA OUTUBRO'!$M$185</f>
        <v>0</v>
      </c>
      <c r="D31" s="221">
        <f>CONFIG!$B$3</f>
        <v>11000</v>
      </c>
      <c r="E31" s="221">
        <f t="shared" si="0"/>
        <v>-11000</v>
      </c>
      <c r="F31" s="253"/>
    </row>
    <row r="32" spans="1:25" ht="14.25" customHeight="1" x14ac:dyDescent="0.3">
      <c r="A32" s="443">
        <v>46323</v>
      </c>
      <c r="B32" s="219">
        <f>IF(D32&gt;0,COUNTIF($D$9:D32,"&gt;0"),"")</f>
        <v>23</v>
      </c>
      <c r="C32" s="221">
        <f>'SEMANA OUTUBRO'!$M$193</f>
        <v>0</v>
      </c>
      <c r="D32" s="221">
        <f>CONFIG!$B$3</f>
        <v>11000</v>
      </c>
      <c r="E32" s="221">
        <f t="shared" si="0"/>
        <v>-11000</v>
      </c>
      <c r="F32" s="253"/>
    </row>
    <row r="33" spans="1:6" ht="14.25" customHeight="1" x14ac:dyDescent="0.3">
      <c r="A33" s="443">
        <v>46324</v>
      </c>
      <c r="B33" s="219">
        <f>IF(D33&gt;0,COUNTIF($D$9:D33,"&gt;0"),"")</f>
        <v>24</v>
      </c>
      <c r="C33" s="221">
        <f>'SEMANA OUTUBRO'!$M$201</f>
        <v>0</v>
      </c>
      <c r="D33" s="221">
        <f>CONFIG!$B$3</f>
        <v>11000</v>
      </c>
      <c r="E33" s="221">
        <f t="shared" si="0"/>
        <v>-11000</v>
      </c>
      <c r="F33" s="253"/>
    </row>
    <row r="34" spans="1:6" ht="14.25" customHeight="1" x14ac:dyDescent="0.3">
      <c r="A34" s="443">
        <v>46325</v>
      </c>
      <c r="B34" s="219">
        <f>IF(D34&gt;0,COUNTIF($D$9:D34,"&gt;0"),"")</f>
        <v>25</v>
      </c>
      <c r="C34" s="221">
        <f>'SEMANA OUTUBRO'!$M$209</f>
        <v>0</v>
      </c>
      <c r="D34" s="221">
        <f>CONFIG!$B$3</f>
        <v>11000</v>
      </c>
      <c r="E34" s="221">
        <f t="shared" si="0"/>
        <v>-11000</v>
      </c>
      <c r="F34" s="253"/>
    </row>
    <row r="35" spans="1:6" ht="14.25" customHeight="1" x14ac:dyDescent="0.3">
      <c r="A35" s="443">
        <v>46326</v>
      </c>
      <c r="B35" s="219">
        <f>IF(D35&gt;0,COUNTIF($D$9:D35,"&gt;0"),"")</f>
        <v>26</v>
      </c>
      <c r="C35" s="221">
        <f>'SEMANA OUTUBRO'!$M$216</f>
        <v>0</v>
      </c>
      <c r="D35" s="221">
        <f>CONFIG!$B$3</f>
        <v>11000</v>
      </c>
      <c r="E35" s="221">
        <f t="shared" si="0"/>
        <v>-11000</v>
      </c>
      <c r="F35" s="254" t="s">
        <v>557</v>
      </c>
    </row>
    <row r="36" spans="1:6" ht="14.25" customHeight="1" x14ac:dyDescent="0.3"/>
    <row r="37" spans="1:6" ht="14.25" customHeight="1" x14ac:dyDescent="0.3"/>
    <row r="38" spans="1:6" ht="14.25" customHeight="1" x14ac:dyDescent="0.3"/>
    <row r="39" spans="1:6" ht="14.25" customHeight="1" x14ac:dyDescent="0.3"/>
    <row r="40" spans="1:6" ht="14.25" customHeight="1" x14ac:dyDescent="0.3"/>
    <row r="41" spans="1:6" ht="14.25" customHeight="1" x14ac:dyDescent="0.3"/>
    <row r="42" spans="1:6" ht="14.25" customHeight="1" x14ac:dyDescent="0.3"/>
    <row r="43" spans="1:6" ht="14.25" customHeight="1" x14ac:dyDescent="0.3"/>
    <row r="44" spans="1:6" ht="14.25" customHeight="1" x14ac:dyDescent="0.3"/>
    <row r="45" spans="1:6" ht="14.25" customHeight="1" x14ac:dyDescent="0.3"/>
    <row r="46" spans="1:6" ht="14.25" customHeight="1" x14ac:dyDescent="0.3"/>
    <row r="47" spans="1:6" ht="14.25" customHeight="1" x14ac:dyDescent="0.3"/>
    <row r="48" spans="1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</sheetData>
  <mergeCells count="1">
    <mergeCell ref="A1:F1"/>
  </mergeCells>
  <conditionalFormatting sqref="E9:E30">
    <cfRule type="cellIs" dxfId="26" priority="2" operator="greaterThan">
      <formula>0</formula>
    </cfRule>
    <cfRule type="cellIs" dxfId="25" priority="3" operator="lessThan">
      <formula>0</formula>
    </cfRule>
    <cfRule type="cellIs" dxfId="24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C96B0A"/>
  </sheetPr>
  <dimension ref="B1:N300"/>
  <sheetViews>
    <sheetView showGridLines="0" zoomScaleNormal="100" workbookViewId="0"/>
  </sheetViews>
  <sheetFormatPr defaultColWidth="8.6640625" defaultRowHeight="17.399999999999999" x14ac:dyDescent="0.3"/>
  <cols>
    <col min="1" max="1" width="2.5546875" customWidth="1"/>
    <col min="2" max="2" width="13.5546875" style="5" customWidth="1"/>
    <col min="3" max="3" width="7.6640625" style="6" customWidth="1"/>
    <col min="4" max="4" width="12.6640625" style="6" customWidth="1"/>
    <col min="5" max="5" width="9.109375" style="7" customWidth="1"/>
    <col min="6" max="6" width="13.5546875" style="7" customWidth="1"/>
    <col min="7" max="7" width="6.6640625" style="7" customWidth="1"/>
    <col min="8" max="8" width="8" style="7" customWidth="1"/>
    <col min="9" max="9" width="7.5546875" style="7" customWidth="1"/>
    <col min="10" max="10" width="20" style="7" customWidth="1"/>
    <col min="11" max="11" width="9.109375" style="7" customWidth="1"/>
    <col min="12" max="12" width="21" style="7" customWidth="1"/>
    <col min="13" max="13" width="18.109375" style="6" customWidth="1"/>
    <col min="14" max="14" width="17.109375" style="441" customWidth="1"/>
  </cols>
  <sheetData>
    <row r="1" spans="2:14" ht="21.75" customHeight="1" x14ac:dyDescent="0.3">
      <c r="B1" s="561" t="s">
        <v>664</v>
      </c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561"/>
    </row>
    <row r="2" spans="2:14" ht="15" customHeight="1" x14ac:dyDescent="0.3"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</row>
    <row r="3" spans="2:14" ht="17.25" customHeight="1" x14ac:dyDescent="0.3">
      <c r="B3" s="163" t="s">
        <v>75</v>
      </c>
      <c r="C3" s="562" t="s">
        <v>76</v>
      </c>
      <c r="D3" s="562"/>
      <c r="E3" s="562" t="s">
        <v>77</v>
      </c>
      <c r="F3" s="562"/>
      <c r="G3" s="562" t="s">
        <v>78</v>
      </c>
      <c r="H3" s="562"/>
      <c r="I3" s="562"/>
      <c r="J3" s="562"/>
      <c r="K3" s="562" t="s">
        <v>79</v>
      </c>
      <c r="L3" s="562"/>
      <c r="M3" s="164" t="s">
        <v>80</v>
      </c>
      <c r="N3" s="438" t="s">
        <v>81</v>
      </c>
    </row>
    <row r="4" spans="2:14" ht="17.25" customHeight="1" x14ac:dyDescent="0.3">
      <c r="B4" s="233"/>
      <c r="C4" s="605"/>
      <c r="D4" s="605"/>
      <c r="E4" s="605"/>
      <c r="F4" s="605"/>
      <c r="G4" s="605"/>
      <c r="H4" s="605"/>
      <c r="I4" s="605"/>
      <c r="J4" s="605"/>
      <c r="K4" s="605"/>
      <c r="L4" s="605"/>
      <c r="M4" s="234"/>
      <c r="N4" s="438"/>
    </row>
    <row r="5" spans="2:14" ht="17.25" customHeight="1" x14ac:dyDescent="0.3">
      <c r="B5" s="21"/>
      <c r="C5" s="552"/>
      <c r="D5" s="552"/>
      <c r="E5" s="552"/>
      <c r="F5" s="552"/>
      <c r="G5" s="552"/>
      <c r="H5" s="552"/>
      <c r="I5" s="552"/>
      <c r="J5" s="552"/>
      <c r="K5" s="552"/>
      <c r="L5" s="552"/>
      <c r="M5" s="22"/>
      <c r="N5" s="438"/>
    </row>
    <row r="6" spans="2:14" ht="17.25" customHeight="1" x14ac:dyDescent="0.3">
      <c r="B6" s="19"/>
      <c r="C6" s="553"/>
      <c r="D6" s="553"/>
      <c r="E6" s="553"/>
      <c r="F6" s="553"/>
      <c r="G6" s="553"/>
      <c r="H6" s="553"/>
      <c r="I6" s="553"/>
      <c r="J6" s="553"/>
      <c r="K6" s="553"/>
      <c r="L6" s="553"/>
      <c r="M6" s="23"/>
      <c r="N6" s="438"/>
    </row>
    <row r="7" spans="2:14" ht="17.25" customHeight="1" x14ac:dyDescent="0.3">
      <c r="B7" s="21"/>
      <c r="C7" s="552"/>
      <c r="D7" s="552"/>
      <c r="E7" s="552"/>
      <c r="F7" s="552"/>
      <c r="G7" s="552"/>
      <c r="H7" s="552"/>
      <c r="I7" s="552"/>
      <c r="J7" s="552"/>
      <c r="K7" s="552"/>
      <c r="L7" s="552"/>
      <c r="M7" s="24"/>
      <c r="N7" s="438"/>
    </row>
    <row r="8" spans="2:14" ht="17.25" customHeight="1" x14ac:dyDescent="0.3">
      <c r="B8" s="19"/>
      <c r="C8" s="553"/>
      <c r="D8" s="553"/>
      <c r="E8" s="553"/>
      <c r="F8" s="553"/>
      <c r="G8" s="553"/>
      <c r="H8" s="553"/>
      <c r="I8" s="553"/>
      <c r="J8" s="553"/>
      <c r="K8" s="553"/>
      <c r="L8" s="553"/>
      <c r="M8" s="23"/>
      <c r="N8" s="438"/>
    </row>
    <row r="9" spans="2:14" ht="17.25" customHeight="1" x14ac:dyDescent="0.3">
      <c r="B9" s="21"/>
      <c r="C9" s="552"/>
      <c r="D9" s="552"/>
      <c r="E9" s="552"/>
      <c r="F9" s="552"/>
      <c r="G9" s="552"/>
      <c r="H9" s="552"/>
      <c r="I9" s="552"/>
      <c r="J9" s="552"/>
      <c r="K9" s="552"/>
      <c r="L9" s="552"/>
      <c r="M9" s="22"/>
      <c r="N9" s="438"/>
    </row>
    <row r="10" spans="2:14" ht="17.25" customHeight="1" x14ac:dyDescent="0.3">
      <c r="B10" s="19"/>
      <c r="C10" s="553"/>
      <c r="D10" s="553"/>
      <c r="E10" s="553"/>
      <c r="F10" s="553"/>
      <c r="G10" s="553"/>
      <c r="H10" s="553"/>
      <c r="I10" s="553"/>
      <c r="J10" s="553"/>
      <c r="K10" s="553"/>
      <c r="L10" s="553"/>
      <c r="M10" s="20"/>
      <c r="N10" s="438"/>
    </row>
    <row r="11" spans="2:14" ht="17.25" customHeight="1" x14ac:dyDescent="0.3">
      <c r="B11" s="21"/>
      <c r="C11" s="552"/>
      <c r="D11" s="552"/>
      <c r="E11" s="552"/>
      <c r="F11" s="552"/>
      <c r="G11" s="552"/>
      <c r="H11" s="552"/>
      <c r="I11" s="552"/>
      <c r="J11" s="552"/>
      <c r="K11" s="552"/>
      <c r="L11" s="552"/>
      <c r="M11" s="22"/>
      <c r="N11" s="438"/>
    </row>
    <row r="12" spans="2:14" ht="17.25" customHeight="1" x14ac:dyDescent="0.3">
      <c r="B12" s="19"/>
      <c r="C12" s="553"/>
      <c r="D12" s="553"/>
      <c r="E12" s="553"/>
      <c r="F12" s="553"/>
      <c r="G12" s="553"/>
      <c r="H12" s="553"/>
      <c r="I12" s="553"/>
      <c r="J12" s="553"/>
      <c r="K12" s="553"/>
      <c r="L12" s="553"/>
      <c r="M12" s="20"/>
      <c r="N12" s="438"/>
    </row>
    <row r="13" spans="2:14" ht="17.25" customHeight="1" x14ac:dyDescent="0.3">
      <c r="B13" s="21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22"/>
      <c r="N13" s="438"/>
    </row>
    <row r="14" spans="2:14" ht="17.25" customHeight="1" x14ac:dyDescent="0.3">
      <c r="B14" s="19"/>
      <c r="C14" s="553"/>
      <c r="D14" s="553"/>
      <c r="E14" s="553"/>
      <c r="F14" s="553"/>
      <c r="G14" s="553"/>
      <c r="H14" s="553"/>
      <c r="I14" s="553"/>
      <c r="J14" s="553"/>
      <c r="K14" s="553"/>
      <c r="L14" s="553"/>
      <c r="M14" s="20"/>
      <c r="N14" s="438"/>
    </row>
    <row r="15" spans="2:14" ht="17.25" customHeight="1" x14ac:dyDescent="0.3">
      <c r="B15" s="21"/>
      <c r="C15" s="552"/>
      <c r="D15" s="552"/>
      <c r="E15" s="552"/>
      <c r="F15" s="552"/>
      <c r="G15" s="552"/>
      <c r="H15" s="552"/>
      <c r="I15" s="552"/>
      <c r="J15" s="552"/>
      <c r="K15" s="552"/>
      <c r="L15" s="552"/>
      <c r="M15" s="22"/>
      <c r="N15" s="438"/>
    </row>
    <row r="16" spans="2:14" ht="17.25" customHeight="1" x14ac:dyDescent="0.3">
      <c r="B16" s="19"/>
      <c r="C16" s="553"/>
      <c r="D16" s="553"/>
      <c r="E16" s="553"/>
      <c r="F16" s="553"/>
      <c r="G16" s="553"/>
      <c r="H16" s="553"/>
      <c r="I16" s="553"/>
      <c r="J16" s="553"/>
      <c r="K16" s="553"/>
      <c r="L16" s="553"/>
      <c r="M16" s="20"/>
      <c r="N16" s="438"/>
    </row>
    <row r="17" spans="2:14" ht="17.25" customHeight="1" x14ac:dyDescent="0.3">
      <c r="B17" s="21"/>
      <c r="C17" s="552"/>
      <c r="D17" s="552"/>
      <c r="E17" s="552"/>
      <c r="F17" s="552"/>
      <c r="G17" s="552"/>
      <c r="H17" s="552"/>
      <c r="I17" s="552"/>
      <c r="J17" s="552"/>
      <c r="K17" s="552"/>
      <c r="L17" s="552"/>
      <c r="M17" s="24"/>
      <c r="N17" s="438"/>
    </row>
    <row r="18" spans="2:14" ht="17.25" customHeight="1" x14ac:dyDescent="0.3">
      <c r="B18" s="19"/>
      <c r="C18" s="553"/>
      <c r="D18" s="553"/>
      <c r="E18" s="553"/>
      <c r="F18" s="553"/>
      <c r="G18" s="553"/>
      <c r="H18" s="553"/>
      <c r="I18" s="553"/>
      <c r="J18" s="553"/>
      <c r="K18" s="553"/>
      <c r="L18" s="553"/>
      <c r="M18" s="20"/>
      <c r="N18" s="438"/>
    </row>
    <row r="19" spans="2:14" ht="17.25" customHeight="1" x14ac:dyDescent="0.3">
      <c r="B19" s="21"/>
      <c r="C19" s="552"/>
      <c r="D19" s="552"/>
      <c r="E19" s="552"/>
      <c r="F19" s="552"/>
      <c r="G19" s="552"/>
      <c r="H19" s="552"/>
      <c r="I19" s="552"/>
      <c r="J19" s="552"/>
      <c r="K19" s="552"/>
      <c r="L19" s="552"/>
      <c r="M19" s="22"/>
      <c r="N19" s="438"/>
    </row>
    <row r="20" spans="2:14" ht="17.25" customHeight="1" x14ac:dyDescent="0.3">
      <c r="B20" s="19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20"/>
      <c r="N20" s="438"/>
    </row>
    <row r="21" spans="2:14" ht="17.25" customHeight="1" x14ac:dyDescent="0.3">
      <c r="B21" s="21"/>
      <c r="C21" s="552"/>
      <c r="D21" s="552"/>
      <c r="E21" s="552"/>
      <c r="F21" s="552"/>
      <c r="G21" s="552"/>
      <c r="H21" s="552"/>
      <c r="I21" s="552"/>
      <c r="J21" s="552"/>
      <c r="K21" s="552"/>
      <c r="L21" s="552"/>
      <c r="M21" s="22"/>
      <c r="N21" s="438"/>
    </row>
    <row r="22" spans="2:14" ht="17.25" customHeight="1" x14ac:dyDescent="0.3">
      <c r="B22" s="19"/>
      <c r="C22" s="553"/>
      <c r="D22" s="553"/>
      <c r="E22" s="553"/>
      <c r="F22" s="553"/>
      <c r="G22" s="553"/>
      <c r="H22" s="553"/>
      <c r="I22" s="553"/>
      <c r="J22" s="553"/>
      <c r="K22" s="553"/>
      <c r="L22" s="553"/>
      <c r="M22" s="20"/>
      <c r="N22" s="438"/>
    </row>
    <row r="23" spans="2:14" ht="17.25" customHeight="1" x14ac:dyDescent="0.3">
      <c r="B23" s="21"/>
      <c r="C23" s="552"/>
      <c r="D23" s="552"/>
      <c r="E23" s="552"/>
      <c r="F23" s="552"/>
      <c r="G23" s="552"/>
      <c r="H23" s="552"/>
      <c r="I23" s="552"/>
      <c r="J23" s="552"/>
      <c r="K23" s="552"/>
      <c r="L23" s="552"/>
      <c r="M23" s="22"/>
      <c r="N23" s="438"/>
    </row>
    <row r="24" spans="2:14" ht="17.25" customHeight="1" x14ac:dyDescent="0.3">
      <c r="B24" s="19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20"/>
      <c r="N24" s="438"/>
    </row>
    <row r="25" spans="2:14" ht="17.25" customHeight="1" x14ac:dyDescent="0.3">
      <c r="B25" s="21"/>
      <c r="C25" s="552"/>
      <c r="D25" s="552"/>
      <c r="E25" s="552"/>
      <c r="F25" s="552"/>
      <c r="G25" s="552"/>
      <c r="H25" s="552"/>
      <c r="I25" s="552"/>
      <c r="J25" s="552"/>
      <c r="K25" s="552"/>
      <c r="L25" s="552"/>
      <c r="M25" s="24"/>
      <c r="N25" s="438"/>
    </row>
    <row r="26" spans="2:14" ht="17.25" customHeight="1" x14ac:dyDescent="0.3">
      <c r="B26" s="19"/>
      <c r="C26" s="553"/>
      <c r="D26" s="553"/>
      <c r="E26" s="553"/>
      <c r="F26" s="553"/>
      <c r="G26" s="553"/>
      <c r="H26" s="553"/>
      <c r="I26" s="553"/>
      <c r="J26" s="553"/>
      <c r="K26" s="553"/>
      <c r="L26" s="553"/>
      <c r="M26" s="20"/>
      <c r="N26" s="438"/>
    </row>
    <row r="27" spans="2:14" ht="17.25" customHeight="1" x14ac:dyDescent="0.3">
      <c r="B27" s="21"/>
      <c r="C27" s="552"/>
      <c r="D27" s="552"/>
      <c r="E27" s="552"/>
      <c r="F27" s="552"/>
      <c r="G27" s="552"/>
      <c r="H27" s="552"/>
      <c r="I27" s="552"/>
      <c r="J27" s="552"/>
      <c r="K27" s="552"/>
      <c r="L27" s="552"/>
      <c r="M27" s="22"/>
      <c r="N27" s="438"/>
    </row>
    <row r="28" spans="2:14" ht="17.25" customHeight="1" x14ac:dyDescent="0.3">
      <c r="B28" s="19"/>
      <c r="C28" s="553"/>
      <c r="D28" s="553"/>
      <c r="E28" s="553"/>
      <c r="F28" s="553"/>
      <c r="G28" s="553"/>
      <c r="H28" s="553"/>
      <c r="I28" s="553"/>
      <c r="J28" s="553"/>
      <c r="K28" s="553"/>
      <c r="L28" s="553"/>
      <c r="M28" s="20"/>
      <c r="N28" s="438"/>
    </row>
    <row r="29" spans="2:14" ht="17.25" customHeight="1" x14ac:dyDescent="0.3">
      <c r="B29" s="21"/>
      <c r="C29" s="552"/>
      <c r="D29" s="552"/>
      <c r="E29" s="552"/>
      <c r="F29" s="552"/>
      <c r="G29" s="552"/>
      <c r="H29" s="552"/>
      <c r="I29" s="552"/>
      <c r="J29" s="552"/>
      <c r="K29" s="552"/>
      <c r="L29" s="552"/>
      <c r="M29" s="22"/>
      <c r="N29" s="438"/>
    </row>
    <row r="30" spans="2:14" ht="17.25" customHeight="1" x14ac:dyDescent="0.3">
      <c r="B30" s="19"/>
      <c r="C30" s="553"/>
      <c r="D30" s="553"/>
      <c r="E30" s="553"/>
      <c r="F30" s="553"/>
      <c r="G30" s="553"/>
      <c r="H30" s="553"/>
      <c r="I30" s="553"/>
      <c r="J30" s="553"/>
      <c r="K30" s="553"/>
      <c r="L30" s="553"/>
      <c r="M30" s="20"/>
      <c r="N30" s="438"/>
    </row>
    <row r="31" spans="2:14" ht="17.25" customHeight="1" x14ac:dyDescent="0.3">
      <c r="B31" s="21"/>
      <c r="C31" s="552"/>
      <c r="D31" s="552"/>
      <c r="E31" s="552"/>
      <c r="F31" s="552"/>
      <c r="G31" s="552"/>
      <c r="H31" s="552"/>
      <c r="I31" s="552"/>
      <c r="J31" s="552"/>
      <c r="K31" s="552"/>
      <c r="L31" s="552"/>
      <c r="M31" s="22"/>
      <c r="N31" s="438"/>
    </row>
    <row r="32" spans="2:14" ht="17.25" customHeight="1" x14ac:dyDescent="0.3">
      <c r="B32" s="19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20"/>
      <c r="N32" s="438"/>
    </row>
    <row r="33" spans="2:14" ht="17.25" customHeight="1" x14ac:dyDescent="0.3">
      <c r="B33" s="21"/>
      <c r="C33" s="552"/>
      <c r="D33" s="552"/>
      <c r="E33" s="552"/>
      <c r="F33" s="552"/>
      <c r="G33" s="552"/>
      <c r="H33" s="552"/>
      <c r="I33" s="552"/>
      <c r="J33" s="552"/>
      <c r="K33" s="552"/>
      <c r="L33" s="552"/>
      <c r="M33" s="22"/>
      <c r="N33" s="438"/>
    </row>
    <row r="34" spans="2:14" ht="17.25" customHeight="1" x14ac:dyDescent="0.3">
      <c r="B34" s="19"/>
      <c r="C34" s="553"/>
      <c r="D34" s="553"/>
      <c r="E34" s="553"/>
      <c r="F34" s="553"/>
      <c r="G34" s="553"/>
      <c r="H34" s="553"/>
      <c r="I34" s="553"/>
      <c r="J34" s="553"/>
      <c r="K34" s="553"/>
      <c r="L34" s="553"/>
      <c r="M34" s="23"/>
      <c r="N34" s="438"/>
    </row>
    <row r="35" spans="2:14" ht="17.25" customHeight="1" x14ac:dyDescent="0.3">
      <c r="B35" s="21"/>
      <c r="C35" s="552"/>
      <c r="D35" s="552"/>
      <c r="E35" s="552"/>
      <c r="F35" s="552"/>
      <c r="G35" s="552"/>
      <c r="H35" s="552"/>
      <c r="I35" s="552"/>
      <c r="J35" s="552"/>
      <c r="K35" s="552"/>
      <c r="L35" s="552"/>
      <c r="M35" s="22"/>
      <c r="N35" s="438"/>
    </row>
    <row r="36" spans="2:14" ht="17.25" customHeight="1" x14ac:dyDescent="0.3">
      <c r="B36" s="19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20"/>
      <c r="N36" s="438"/>
    </row>
    <row r="37" spans="2:14" ht="17.25" customHeight="1" x14ac:dyDescent="0.3">
      <c r="B37" s="21"/>
      <c r="C37" s="552"/>
      <c r="D37" s="552"/>
      <c r="E37" s="552"/>
      <c r="F37" s="552"/>
      <c r="G37" s="552"/>
      <c r="H37" s="552"/>
      <c r="I37" s="552"/>
      <c r="J37" s="552"/>
      <c r="K37" s="552"/>
      <c r="L37" s="552"/>
      <c r="M37" s="22"/>
      <c r="N37" s="438"/>
    </row>
    <row r="38" spans="2:14" ht="17.25" customHeight="1" x14ac:dyDescent="0.3">
      <c r="B38" s="19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20"/>
      <c r="N38" s="438"/>
    </row>
    <row r="39" spans="2:14" ht="17.25" customHeight="1" x14ac:dyDescent="0.3">
      <c r="B39" s="21"/>
      <c r="C39" s="552"/>
      <c r="D39" s="552"/>
      <c r="E39" s="552"/>
      <c r="F39" s="552"/>
      <c r="G39" s="552"/>
      <c r="H39" s="552"/>
      <c r="I39" s="552"/>
      <c r="J39" s="552"/>
      <c r="K39" s="552"/>
      <c r="L39" s="552"/>
      <c r="M39" s="22"/>
      <c r="N39" s="438"/>
    </row>
    <row r="40" spans="2:14" ht="17.25" customHeight="1" x14ac:dyDescent="0.3">
      <c r="B40" s="19"/>
      <c r="C40" s="553"/>
      <c r="D40" s="553"/>
      <c r="E40" s="553"/>
      <c r="F40" s="553"/>
      <c r="G40" s="553"/>
      <c r="H40" s="553"/>
      <c r="I40" s="553"/>
      <c r="J40" s="553"/>
      <c r="K40" s="553"/>
      <c r="L40" s="553"/>
      <c r="M40" s="20"/>
      <c r="N40" s="438"/>
    </row>
    <row r="41" spans="2:14" ht="17.25" customHeight="1" x14ac:dyDescent="0.3">
      <c r="B41" s="21"/>
      <c r="C41" s="552"/>
      <c r="D41" s="552"/>
      <c r="E41" s="552"/>
      <c r="F41" s="552"/>
      <c r="G41" s="552"/>
      <c r="H41" s="552"/>
      <c r="I41" s="552"/>
      <c r="J41" s="552"/>
      <c r="K41" s="552"/>
      <c r="L41" s="552"/>
      <c r="M41" s="22"/>
      <c r="N41" s="438"/>
    </row>
    <row r="42" spans="2:14" ht="17.25" customHeight="1" x14ac:dyDescent="0.3">
      <c r="B42" s="19"/>
      <c r="C42" s="553"/>
      <c r="D42" s="553"/>
      <c r="E42" s="553"/>
      <c r="F42" s="553"/>
      <c r="G42" s="553"/>
      <c r="H42" s="553"/>
      <c r="I42" s="553"/>
      <c r="J42" s="553"/>
      <c r="K42" s="553"/>
      <c r="L42" s="553"/>
      <c r="M42" s="23"/>
      <c r="N42" s="438"/>
    </row>
    <row r="43" spans="2:14" ht="17.25" customHeight="1" x14ac:dyDescent="0.3">
      <c r="B43" s="21"/>
      <c r="C43" s="552"/>
      <c r="D43" s="552"/>
      <c r="E43" s="552"/>
      <c r="F43" s="552"/>
      <c r="G43" s="552"/>
      <c r="H43" s="552"/>
      <c r="I43" s="552"/>
      <c r="J43" s="552"/>
      <c r="K43" s="552"/>
      <c r="L43" s="552"/>
      <c r="M43" s="22"/>
      <c r="N43" s="438"/>
    </row>
    <row r="44" spans="2:14" ht="17.25" customHeight="1" x14ac:dyDescent="0.3">
      <c r="B44" s="19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20"/>
      <c r="N44" s="438"/>
    </row>
    <row r="45" spans="2:14" ht="17.25" customHeight="1" x14ac:dyDescent="0.3">
      <c r="B45" s="21"/>
      <c r="C45" s="552"/>
      <c r="D45" s="552"/>
      <c r="E45" s="552"/>
      <c r="F45" s="552"/>
      <c r="G45" s="552"/>
      <c r="H45" s="552"/>
      <c r="I45" s="552"/>
      <c r="J45" s="552"/>
      <c r="K45" s="552"/>
      <c r="L45" s="552"/>
      <c r="M45" s="22"/>
      <c r="N45" s="438"/>
    </row>
    <row r="46" spans="2:14" ht="17.25" customHeight="1" x14ac:dyDescent="0.3">
      <c r="B46" s="19"/>
      <c r="C46" s="553"/>
      <c r="D46" s="553"/>
      <c r="E46" s="553"/>
      <c r="F46" s="553"/>
      <c r="G46" s="553"/>
      <c r="H46" s="553"/>
      <c r="I46" s="553"/>
      <c r="J46" s="553"/>
      <c r="K46" s="553"/>
      <c r="L46" s="553"/>
      <c r="M46" s="20"/>
      <c r="N46" s="438"/>
    </row>
    <row r="47" spans="2:14" ht="17.25" customHeight="1" x14ac:dyDescent="0.3">
      <c r="B47" s="21"/>
      <c r="C47" s="552"/>
      <c r="D47" s="552"/>
      <c r="E47" s="552"/>
      <c r="F47" s="552"/>
      <c r="G47" s="552"/>
      <c r="H47" s="552"/>
      <c r="I47" s="552"/>
      <c r="J47" s="552"/>
      <c r="K47" s="552"/>
      <c r="L47" s="552"/>
      <c r="M47" s="22"/>
      <c r="N47" s="438"/>
    </row>
    <row r="48" spans="2:14" ht="17.25" customHeight="1" x14ac:dyDescent="0.3">
      <c r="B48" s="19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20"/>
      <c r="N48" s="438"/>
    </row>
    <row r="49" spans="2:14" ht="17.25" customHeight="1" x14ac:dyDescent="0.3">
      <c r="B49" s="21"/>
      <c r="C49" s="552"/>
      <c r="D49" s="552"/>
      <c r="E49" s="552"/>
      <c r="F49" s="552"/>
      <c r="G49" s="552"/>
      <c r="H49" s="552"/>
      <c r="I49" s="552"/>
      <c r="J49" s="552"/>
      <c r="K49" s="552"/>
      <c r="L49" s="552"/>
      <c r="M49" s="22"/>
      <c r="N49" s="438"/>
    </row>
    <row r="50" spans="2:14" ht="17.25" customHeight="1" x14ac:dyDescent="0.3">
      <c r="B50" s="19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20"/>
      <c r="N50" s="438"/>
    </row>
    <row r="51" spans="2:14" ht="17.25" customHeight="1" x14ac:dyDescent="0.3">
      <c r="B51" s="21"/>
      <c r="C51" s="552"/>
      <c r="D51" s="552"/>
      <c r="E51" s="552"/>
      <c r="F51" s="552"/>
      <c r="G51" s="552"/>
      <c r="H51" s="552"/>
      <c r="I51" s="552"/>
      <c r="J51" s="552"/>
      <c r="K51" s="552"/>
      <c r="L51" s="552"/>
      <c r="M51" s="24"/>
      <c r="N51" s="438"/>
    </row>
    <row r="52" spans="2:14" ht="17.25" customHeight="1" x14ac:dyDescent="0.3">
      <c r="B52" s="19"/>
      <c r="C52" s="553"/>
      <c r="D52" s="553"/>
      <c r="E52" s="553"/>
      <c r="F52" s="553"/>
      <c r="G52" s="553"/>
      <c r="H52" s="553"/>
      <c r="I52" s="553"/>
      <c r="J52" s="553"/>
      <c r="K52" s="553"/>
      <c r="L52" s="553"/>
      <c r="M52" s="20"/>
      <c r="N52" s="438"/>
    </row>
    <row r="53" spans="2:14" ht="17.25" customHeight="1" x14ac:dyDescent="0.3">
      <c r="B53" s="21"/>
      <c r="C53" s="552"/>
      <c r="D53" s="552"/>
      <c r="E53" s="552"/>
      <c r="F53" s="552"/>
      <c r="G53" s="552"/>
      <c r="H53" s="552"/>
      <c r="I53" s="552"/>
      <c r="J53" s="552"/>
      <c r="K53" s="552"/>
      <c r="L53" s="552"/>
      <c r="M53" s="22"/>
      <c r="N53" s="438"/>
    </row>
    <row r="54" spans="2:14" ht="17.25" customHeight="1" x14ac:dyDescent="0.3">
      <c r="B54" s="19"/>
      <c r="C54" s="553"/>
      <c r="D54" s="553"/>
      <c r="E54" s="553"/>
      <c r="F54" s="553"/>
      <c r="G54" s="553"/>
      <c r="H54" s="553"/>
      <c r="I54" s="553"/>
      <c r="J54" s="553"/>
      <c r="K54" s="553"/>
      <c r="L54" s="553"/>
      <c r="M54" s="20"/>
      <c r="N54" s="438"/>
    </row>
    <row r="55" spans="2:14" ht="17.25" customHeight="1" x14ac:dyDescent="0.3">
      <c r="B55" s="21"/>
      <c r="C55" s="552"/>
      <c r="D55" s="552"/>
      <c r="E55" s="552"/>
      <c r="F55" s="552"/>
      <c r="G55" s="552"/>
      <c r="H55" s="552"/>
      <c r="I55" s="552"/>
      <c r="J55" s="552"/>
      <c r="K55" s="552"/>
      <c r="L55" s="552"/>
      <c r="M55" s="22"/>
      <c r="N55" s="438"/>
    </row>
    <row r="56" spans="2:14" ht="17.25" customHeight="1" x14ac:dyDescent="0.3">
      <c r="B56" s="19"/>
      <c r="C56" s="553"/>
      <c r="D56" s="553"/>
      <c r="E56" s="553"/>
      <c r="F56" s="553"/>
      <c r="G56" s="553"/>
      <c r="H56" s="553"/>
      <c r="I56" s="553"/>
      <c r="J56" s="553"/>
      <c r="K56" s="553"/>
      <c r="L56" s="553"/>
      <c r="M56" s="20"/>
      <c r="N56" s="438"/>
    </row>
    <row r="57" spans="2:14" ht="17.25" customHeight="1" x14ac:dyDescent="0.3">
      <c r="B57" s="21"/>
      <c r="C57" s="552"/>
      <c r="D57" s="552"/>
      <c r="E57" s="552"/>
      <c r="F57" s="552"/>
      <c r="G57" s="552"/>
      <c r="H57" s="552"/>
      <c r="I57" s="552"/>
      <c r="J57" s="552"/>
      <c r="K57" s="552"/>
      <c r="L57" s="552"/>
      <c r="M57" s="22"/>
      <c r="N57" s="438"/>
    </row>
    <row r="58" spans="2:14" ht="17.25" customHeight="1" x14ac:dyDescent="0.3">
      <c r="B58" s="19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20"/>
      <c r="N58" s="438"/>
    </row>
    <row r="59" spans="2:14" ht="17.25" customHeight="1" x14ac:dyDescent="0.3">
      <c r="B59" s="21"/>
      <c r="C59" s="552"/>
      <c r="D59" s="552"/>
      <c r="E59" s="552"/>
      <c r="F59" s="552"/>
      <c r="G59" s="552"/>
      <c r="H59" s="552"/>
      <c r="I59" s="552"/>
      <c r="J59" s="552"/>
      <c r="K59" s="552"/>
      <c r="L59" s="552"/>
      <c r="M59" s="24"/>
      <c r="N59" s="438"/>
    </row>
    <row r="60" spans="2:14" ht="17.25" customHeight="1" x14ac:dyDescent="0.3">
      <c r="B60" s="19"/>
      <c r="C60" s="553"/>
      <c r="D60" s="553"/>
      <c r="E60" s="553"/>
      <c r="F60" s="553"/>
      <c r="G60" s="553"/>
      <c r="H60" s="553"/>
      <c r="I60" s="553"/>
      <c r="J60" s="553"/>
      <c r="K60" s="553"/>
      <c r="L60" s="553"/>
      <c r="M60" s="20"/>
      <c r="N60" s="438"/>
    </row>
    <row r="61" spans="2:14" ht="17.25" customHeight="1" x14ac:dyDescent="0.3">
      <c r="B61" s="21"/>
      <c r="C61" s="552"/>
      <c r="D61" s="552"/>
      <c r="E61" s="552"/>
      <c r="F61" s="552"/>
      <c r="G61" s="552"/>
      <c r="H61" s="552"/>
      <c r="I61" s="552"/>
      <c r="J61" s="552"/>
      <c r="K61" s="552"/>
      <c r="L61" s="552"/>
      <c r="M61" s="22"/>
      <c r="N61" s="438"/>
    </row>
    <row r="62" spans="2:14" ht="17.25" customHeight="1" x14ac:dyDescent="0.3">
      <c r="B62" s="19"/>
      <c r="C62" s="553"/>
      <c r="D62" s="553"/>
      <c r="E62" s="553"/>
      <c r="F62" s="553"/>
      <c r="G62" s="553"/>
      <c r="H62" s="553"/>
      <c r="I62" s="553"/>
      <c r="J62" s="553"/>
      <c r="K62" s="553"/>
      <c r="L62" s="553"/>
      <c r="M62" s="20"/>
      <c r="N62" s="438"/>
    </row>
    <row r="63" spans="2:14" ht="17.25" customHeight="1" x14ac:dyDescent="0.3">
      <c r="B63" s="21"/>
      <c r="C63" s="552"/>
      <c r="D63" s="552"/>
      <c r="E63" s="552"/>
      <c r="F63" s="552"/>
      <c r="G63" s="552"/>
      <c r="H63" s="552"/>
      <c r="I63" s="552"/>
      <c r="J63" s="552"/>
      <c r="K63" s="552"/>
      <c r="L63" s="552"/>
      <c r="M63" s="22"/>
      <c r="N63" s="438"/>
    </row>
    <row r="64" spans="2:14" ht="17.25" customHeight="1" x14ac:dyDescent="0.3">
      <c r="B64" s="19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20"/>
      <c r="N64" s="438"/>
    </row>
    <row r="65" spans="2:14" ht="17.25" customHeight="1" x14ac:dyDescent="0.3">
      <c r="B65" s="21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22"/>
      <c r="N65" s="438"/>
    </row>
    <row r="66" spans="2:14" ht="17.25" customHeight="1" x14ac:dyDescent="0.3">
      <c r="B66" s="19"/>
      <c r="C66" s="553"/>
      <c r="D66" s="553"/>
      <c r="E66" s="553"/>
      <c r="F66" s="553"/>
      <c r="G66" s="553"/>
      <c r="H66" s="553"/>
      <c r="I66" s="553"/>
      <c r="J66" s="553"/>
      <c r="K66" s="553"/>
      <c r="L66" s="553"/>
      <c r="M66" s="20"/>
      <c r="N66" s="438"/>
    </row>
    <row r="67" spans="2:14" ht="17.25" customHeight="1" x14ac:dyDescent="0.3">
      <c r="B67" s="21"/>
      <c r="C67" s="552"/>
      <c r="D67" s="552"/>
      <c r="E67" s="552"/>
      <c r="F67" s="552"/>
      <c r="G67" s="552"/>
      <c r="H67" s="552"/>
      <c r="I67" s="552"/>
      <c r="J67" s="552"/>
      <c r="K67" s="552"/>
      <c r="L67" s="552"/>
      <c r="M67" s="22"/>
      <c r="N67" s="438"/>
    </row>
    <row r="68" spans="2:14" ht="17.25" customHeight="1" x14ac:dyDescent="0.3">
      <c r="B68" s="19"/>
      <c r="C68" s="553"/>
      <c r="D68" s="553"/>
      <c r="E68" s="553"/>
      <c r="F68" s="553"/>
      <c r="G68" s="553"/>
      <c r="H68" s="553"/>
      <c r="I68" s="553"/>
      <c r="J68" s="553"/>
      <c r="K68" s="553"/>
      <c r="L68" s="553"/>
      <c r="M68" s="23"/>
      <c r="N68" s="438"/>
    </row>
    <row r="69" spans="2:14" ht="17.25" customHeight="1" x14ac:dyDescent="0.3">
      <c r="B69" s="21"/>
      <c r="C69" s="552"/>
      <c r="D69" s="552"/>
      <c r="E69" s="552"/>
      <c r="F69" s="552"/>
      <c r="G69" s="552"/>
      <c r="H69" s="552"/>
      <c r="I69" s="552"/>
      <c r="J69" s="552"/>
      <c r="K69" s="552"/>
      <c r="L69" s="552"/>
      <c r="M69" s="22"/>
      <c r="N69" s="438"/>
    </row>
    <row r="70" spans="2:14" ht="17.25" customHeight="1" x14ac:dyDescent="0.3">
      <c r="B70" s="19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20"/>
      <c r="N70" s="438"/>
    </row>
    <row r="71" spans="2:14" ht="17.25" customHeight="1" x14ac:dyDescent="0.3">
      <c r="B71" s="21"/>
      <c r="C71" s="552"/>
      <c r="D71" s="552"/>
      <c r="E71" s="552"/>
      <c r="F71" s="552"/>
      <c r="G71" s="552"/>
      <c r="H71" s="552"/>
      <c r="I71" s="552"/>
      <c r="J71" s="552"/>
      <c r="K71" s="552"/>
      <c r="L71" s="552"/>
      <c r="M71" s="22"/>
      <c r="N71" s="438"/>
    </row>
    <row r="72" spans="2:14" ht="17.25" customHeight="1" x14ac:dyDescent="0.3">
      <c r="B72" s="19"/>
      <c r="C72" s="553"/>
      <c r="D72" s="553"/>
      <c r="E72" s="553"/>
      <c r="F72" s="553"/>
      <c r="G72" s="553"/>
      <c r="H72" s="553"/>
      <c r="I72" s="553"/>
      <c r="J72" s="553"/>
      <c r="K72" s="553"/>
      <c r="L72" s="553"/>
      <c r="M72" s="20"/>
      <c r="N72" s="438"/>
    </row>
    <row r="73" spans="2:14" ht="17.25" customHeight="1" x14ac:dyDescent="0.3">
      <c r="B73" s="21"/>
      <c r="C73" s="552"/>
      <c r="D73" s="552"/>
      <c r="E73" s="552"/>
      <c r="F73" s="552"/>
      <c r="G73" s="552"/>
      <c r="H73" s="552"/>
      <c r="I73" s="552"/>
      <c r="J73" s="552"/>
      <c r="K73" s="552"/>
      <c r="L73" s="552"/>
      <c r="M73" s="22"/>
      <c r="N73" s="438"/>
    </row>
    <row r="74" spans="2:14" ht="17.25" customHeight="1" x14ac:dyDescent="0.3">
      <c r="B74" s="19"/>
      <c r="C74" s="553"/>
      <c r="D74" s="553"/>
      <c r="E74" s="553"/>
      <c r="F74" s="553"/>
      <c r="G74" s="553"/>
      <c r="H74" s="553"/>
      <c r="I74" s="553"/>
      <c r="J74" s="553"/>
      <c r="K74" s="553"/>
      <c r="L74" s="553"/>
      <c r="M74" s="20"/>
      <c r="N74" s="438"/>
    </row>
    <row r="75" spans="2:14" ht="17.25" customHeight="1" x14ac:dyDescent="0.3">
      <c r="B75" s="21"/>
      <c r="C75" s="552"/>
      <c r="D75" s="552"/>
      <c r="E75" s="552"/>
      <c r="F75" s="552"/>
      <c r="G75" s="552"/>
      <c r="H75" s="552"/>
      <c r="I75" s="552"/>
      <c r="J75" s="552"/>
      <c r="K75" s="552"/>
      <c r="L75" s="552"/>
      <c r="M75" s="22"/>
      <c r="N75" s="438"/>
    </row>
    <row r="76" spans="2:14" ht="17.25" customHeight="1" x14ac:dyDescent="0.3">
      <c r="B76" s="19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23"/>
      <c r="N76" s="438"/>
    </row>
    <row r="77" spans="2:14" ht="17.25" customHeight="1" x14ac:dyDescent="0.3">
      <c r="B77" s="21"/>
      <c r="C77" s="552"/>
      <c r="D77" s="552"/>
      <c r="E77" s="552"/>
      <c r="F77" s="552"/>
      <c r="G77" s="552"/>
      <c r="H77" s="552"/>
      <c r="I77" s="552"/>
      <c r="J77" s="552"/>
      <c r="K77" s="552"/>
      <c r="L77" s="552"/>
      <c r="M77" s="22"/>
      <c r="N77" s="438"/>
    </row>
    <row r="78" spans="2:14" ht="17.25" customHeight="1" x14ac:dyDescent="0.3">
      <c r="B78" s="19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20"/>
      <c r="N78" s="438"/>
    </row>
    <row r="79" spans="2:14" ht="17.25" customHeight="1" x14ac:dyDescent="0.3">
      <c r="B79" s="21"/>
      <c r="C79" s="552"/>
      <c r="D79" s="552"/>
      <c r="E79" s="552"/>
      <c r="F79" s="552"/>
      <c r="G79" s="552"/>
      <c r="H79" s="552"/>
      <c r="I79" s="552"/>
      <c r="J79" s="552"/>
      <c r="K79" s="552"/>
      <c r="L79" s="552"/>
      <c r="M79" s="22"/>
      <c r="N79" s="438"/>
    </row>
    <row r="80" spans="2:14" ht="17.25" customHeight="1" x14ac:dyDescent="0.3">
      <c r="B80" s="19"/>
      <c r="C80" s="553"/>
      <c r="D80" s="553"/>
      <c r="E80" s="553"/>
      <c r="F80" s="553"/>
      <c r="G80" s="553"/>
      <c r="H80" s="553"/>
      <c r="I80" s="553"/>
      <c r="J80" s="553"/>
      <c r="K80" s="553"/>
      <c r="L80" s="553"/>
      <c r="M80" s="20"/>
      <c r="N80" s="438"/>
    </row>
    <row r="81" spans="2:14" ht="17.25" customHeight="1" x14ac:dyDescent="0.3">
      <c r="B81" s="21"/>
      <c r="C81" s="552"/>
      <c r="D81" s="552"/>
      <c r="E81" s="552"/>
      <c r="F81" s="552"/>
      <c r="G81" s="552"/>
      <c r="H81" s="552"/>
      <c r="I81" s="552"/>
      <c r="J81" s="552"/>
      <c r="K81" s="552"/>
      <c r="L81" s="552"/>
      <c r="M81" s="22"/>
      <c r="N81" s="438"/>
    </row>
    <row r="82" spans="2:14" ht="17.25" customHeight="1" x14ac:dyDescent="0.3">
      <c r="B82" s="19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20"/>
      <c r="N82" s="438"/>
    </row>
    <row r="83" spans="2:14" ht="17.25" customHeight="1" x14ac:dyDescent="0.3">
      <c r="B83" s="21"/>
      <c r="C83" s="552"/>
      <c r="D83" s="552"/>
      <c r="E83" s="552"/>
      <c r="F83" s="552"/>
      <c r="G83" s="552"/>
      <c r="H83" s="552"/>
      <c r="I83" s="552"/>
      <c r="J83" s="552"/>
      <c r="K83" s="552"/>
      <c r="L83" s="552"/>
      <c r="M83" s="22"/>
      <c r="N83" s="438"/>
    </row>
    <row r="84" spans="2:14" ht="17.25" customHeight="1" x14ac:dyDescent="0.3">
      <c r="B84" s="19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20"/>
      <c r="N84" s="438"/>
    </row>
    <row r="85" spans="2:14" ht="17.25" customHeight="1" x14ac:dyDescent="0.3">
      <c r="B85" s="21"/>
      <c r="C85" s="552"/>
      <c r="D85" s="552"/>
      <c r="E85" s="552"/>
      <c r="F85" s="552"/>
      <c r="G85" s="552"/>
      <c r="H85" s="552"/>
      <c r="I85" s="552"/>
      <c r="J85" s="552"/>
      <c r="K85" s="552"/>
      <c r="L85" s="552"/>
      <c r="M85" s="24"/>
      <c r="N85" s="438"/>
    </row>
    <row r="86" spans="2:14" ht="17.25" customHeight="1" x14ac:dyDescent="0.3">
      <c r="B86" s="19"/>
      <c r="C86" s="553"/>
      <c r="D86" s="553"/>
      <c r="E86" s="553"/>
      <c r="F86" s="553"/>
      <c r="G86" s="553"/>
      <c r="H86" s="553"/>
      <c r="I86" s="553"/>
      <c r="J86" s="553"/>
      <c r="K86" s="553"/>
      <c r="L86" s="553"/>
      <c r="M86" s="20"/>
      <c r="N86" s="438"/>
    </row>
    <row r="87" spans="2:14" ht="17.25" customHeight="1" x14ac:dyDescent="0.3">
      <c r="B87" s="21"/>
      <c r="C87" s="552"/>
      <c r="D87" s="552"/>
      <c r="E87" s="552"/>
      <c r="F87" s="552"/>
      <c r="G87" s="552"/>
      <c r="H87" s="552"/>
      <c r="I87" s="552"/>
      <c r="J87" s="552"/>
      <c r="K87" s="552"/>
      <c r="L87" s="552"/>
      <c r="M87" s="22"/>
      <c r="N87" s="438"/>
    </row>
    <row r="88" spans="2:14" ht="17.25" customHeight="1" x14ac:dyDescent="0.3">
      <c r="B88" s="19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20"/>
      <c r="N88" s="438"/>
    </row>
    <row r="89" spans="2:14" ht="17.25" customHeight="1" x14ac:dyDescent="0.3">
      <c r="B89" s="21"/>
      <c r="C89" s="552"/>
      <c r="D89" s="552"/>
      <c r="E89" s="552"/>
      <c r="F89" s="552"/>
      <c r="G89" s="552"/>
      <c r="H89" s="552"/>
      <c r="I89" s="552"/>
      <c r="J89" s="552"/>
      <c r="K89" s="552"/>
      <c r="L89" s="552"/>
      <c r="M89" s="22"/>
      <c r="N89" s="438"/>
    </row>
    <row r="90" spans="2:14" ht="17.25" customHeight="1" x14ac:dyDescent="0.3">
      <c r="B90" s="19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20"/>
      <c r="N90" s="438"/>
    </row>
    <row r="91" spans="2:14" ht="17.25" customHeight="1" x14ac:dyDescent="0.3">
      <c r="B91" s="21"/>
      <c r="C91" s="552"/>
      <c r="D91" s="552"/>
      <c r="E91" s="552"/>
      <c r="F91" s="552"/>
      <c r="G91" s="552"/>
      <c r="H91" s="552"/>
      <c r="I91" s="552"/>
      <c r="J91" s="552"/>
      <c r="K91" s="552"/>
      <c r="L91" s="552"/>
      <c r="M91" s="22"/>
      <c r="N91" s="438"/>
    </row>
    <row r="92" spans="2:14" ht="17.25" customHeight="1" x14ac:dyDescent="0.3">
      <c r="B92" s="19"/>
      <c r="C92" s="553"/>
      <c r="D92" s="553"/>
      <c r="E92" s="553"/>
      <c r="F92" s="553"/>
      <c r="G92" s="553"/>
      <c r="H92" s="553"/>
      <c r="I92" s="553"/>
      <c r="J92" s="553"/>
      <c r="K92" s="553"/>
      <c r="L92" s="553"/>
      <c r="M92" s="20"/>
      <c r="N92" s="438"/>
    </row>
    <row r="93" spans="2:14" ht="17.25" customHeight="1" x14ac:dyDescent="0.3">
      <c r="B93" s="21"/>
      <c r="C93" s="552"/>
      <c r="D93" s="552"/>
      <c r="E93" s="552"/>
      <c r="F93" s="552"/>
      <c r="G93" s="552"/>
      <c r="H93" s="552"/>
      <c r="I93" s="552"/>
      <c r="J93" s="552"/>
      <c r="K93" s="552"/>
      <c r="L93" s="552"/>
      <c r="M93" s="24"/>
      <c r="N93" s="438"/>
    </row>
    <row r="94" spans="2:14" ht="17.25" customHeight="1" x14ac:dyDescent="0.3">
      <c r="B94" s="25"/>
      <c r="C94" s="601"/>
      <c r="D94" s="601"/>
      <c r="E94" s="601"/>
      <c r="F94" s="601"/>
      <c r="G94" s="601"/>
      <c r="H94" s="601"/>
      <c r="I94" s="601"/>
      <c r="J94" s="601"/>
      <c r="K94" s="601"/>
      <c r="L94" s="601"/>
      <c r="M94" s="26"/>
      <c r="N94" s="438"/>
    </row>
    <row r="95" spans="2:14" ht="18" customHeight="1" x14ac:dyDescent="0.3">
      <c r="N95" s="437"/>
    </row>
    <row r="96" spans="2:14" ht="18" customHeight="1" x14ac:dyDescent="0.3">
      <c r="N96" s="437"/>
    </row>
    <row r="97" spans="14:14" ht="18" customHeight="1" x14ac:dyDescent="0.3">
      <c r="N97" s="437"/>
    </row>
    <row r="98" spans="14:14" ht="18" customHeight="1" x14ac:dyDescent="0.3">
      <c r="N98" s="437"/>
    </row>
    <row r="99" spans="14:14" ht="18" customHeight="1" x14ac:dyDescent="0.3">
      <c r="N99" s="437"/>
    </row>
    <row r="100" spans="14:14" ht="18" customHeight="1" x14ac:dyDescent="0.3">
      <c r="N100" s="437"/>
    </row>
    <row r="101" spans="14:14" ht="18" customHeight="1" x14ac:dyDescent="0.3">
      <c r="N101" s="437"/>
    </row>
    <row r="102" spans="14:14" ht="18" customHeight="1" x14ac:dyDescent="0.3">
      <c r="N102" s="437"/>
    </row>
    <row r="103" spans="14:14" ht="18" customHeight="1" x14ac:dyDescent="0.3">
      <c r="N103" s="437"/>
    </row>
    <row r="104" spans="14:14" ht="18" customHeight="1" x14ac:dyDescent="0.3">
      <c r="N104" s="437"/>
    </row>
    <row r="105" spans="14:14" ht="18" customHeight="1" x14ac:dyDescent="0.3">
      <c r="N105" s="437"/>
    </row>
    <row r="106" spans="14:14" ht="18" customHeight="1" x14ac:dyDescent="0.3">
      <c r="N106" s="437"/>
    </row>
    <row r="107" spans="14:14" ht="18" customHeight="1" x14ac:dyDescent="0.3">
      <c r="N107" s="437"/>
    </row>
    <row r="108" spans="14:14" ht="18" customHeight="1" x14ac:dyDescent="0.3">
      <c r="N108" s="437"/>
    </row>
    <row r="109" spans="14:14" ht="18" customHeight="1" x14ac:dyDescent="0.3">
      <c r="N109" s="437"/>
    </row>
    <row r="110" spans="14:14" ht="18" customHeight="1" x14ac:dyDescent="0.3">
      <c r="N110" s="437"/>
    </row>
    <row r="111" spans="14:14" ht="18" customHeight="1" x14ac:dyDescent="0.3">
      <c r="N111" s="437"/>
    </row>
    <row r="112" spans="14:14" ht="18" customHeight="1" x14ac:dyDescent="0.3">
      <c r="N112" s="437"/>
    </row>
    <row r="113" spans="14:14" ht="18" customHeight="1" x14ac:dyDescent="0.3">
      <c r="N113" s="437"/>
    </row>
    <row r="114" spans="14:14" ht="18" customHeight="1" x14ac:dyDescent="0.3">
      <c r="N114" s="437"/>
    </row>
    <row r="115" spans="14:14" ht="18" customHeight="1" x14ac:dyDescent="0.3">
      <c r="N115" s="437"/>
    </row>
    <row r="116" spans="14:14" ht="18" customHeight="1" x14ac:dyDescent="0.3">
      <c r="N116" s="437"/>
    </row>
    <row r="117" spans="14:14" ht="18" customHeight="1" x14ac:dyDescent="0.3">
      <c r="N117" s="437"/>
    </row>
    <row r="118" spans="14:14" ht="18" customHeight="1" x14ac:dyDescent="0.3">
      <c r="N118" s="437"/>
    </row>
    <row r="119" spans="14:14" ht="18" customHeight="1" x14ac:dyDescent="0.3">
      <c r="N119" s="437"/>
    </row>
    <row r="120" spans="14:14" ht="18" customHeight="1" x14ac:dyDescent="0.3">
      <c r="N120" s="437"/>
    </row>
    <row r="121" spans="14:14" ht="18" customHeight="1" x14ac:dyDescent="0.3">
      <c r="N121" s="437"/>
    </row>
    <row r="122" spans="14:14" ht="18" customHeight="1" x14ac:dyDescent="0.3">
      <c r="N122" s="437"/>
    </row>
    <row r="123" spans="14:14" ht="18" customHeight="1" x14ac:dyDescent="0.3">
      <c r="N123" s="437"/>
    </row>
    <row r="124" spans="14:14" ht="18" customHeight="1" x14ac:dyDescent="0.3">
      <c r="N124" s="437"/>
    </row>
    <row r="125" spans="14:14" ht="18" customHeight="1" x14ac:dyDescent="0.3">
      <c r="N125" s="437"/>
    </row>
    <row r="126" spans="14:14" ht="18" customHeight="1" x14ac:dyDescent="0.3">
      <c r="N126" s="437"/>
    </row>
    <row r="127" spans="14:14" ht="18" customHeight="1" x14ac:dyDescent="0.3">
      <c r="N127" s="437"/>
    </row>
    <row r="128" spans="14:14" ht="18" customHeight="1" x14ac:dyDescent="0.3">
      <c r="N128" s="437"/>
    </row>
    <row r="129" spans="14:14" ht="18" customHeight="1" x14ac:dyDescent="0.3">
      <c r="N129" s="437"/>
    </row>
    <row r="130" spans="14:14" ht="18" customHeight="1" x14ac:dyDescent="0.3">
      <c r="N130" s="437"/>
    </row>
    <row r="131" spans="14:14" ht="18" customHeight="1" x14ac:dyDescent="0.3">
      <c r="N131" s="437"/>
    </row>
    <row r="132" spans="14:14" ht="18" customHeight="1" x14ac:dyDescent="0.3">
      <c r="N132" s="437"/>
    </row>
    <row r="133" spans="14:14" ht="18" customHeight="1" x14ac:dyDescent="0.3">
      <c r="N133" s="437"/>
    </row>
    <row r="134" spans="14:14" ht="18" customHeight="1" x14ac:dyDescent="0.3">
      <c r="N134" s="437"/>
    </row>
    <row r="135" spans="14:14" ht="18" customHeight="1" x14ac:dyDescent="0.3">
      <c r="N135" s="437"/>
    </row>
    <row r="136" spans="14:14" ht="18" customHeight="1" x14ac:dyDescent="0.3">
      <c r="N136" s="437"/>
    </row>
    <row r="137" spans="14:14" ht="18" customHeight="1" x14ac:dyDescent="0.3">
      <c r="N137" s="437"/>
    </row>
    <row r="138" spans="14:14" ht="18" customHeight="1" x14ac:dyDescent="0.3">
      <c r="N138" s="437"/>
    </row>
    <row r="139" spans="14:14" ht="18" customHeight="1" x14ac:dyDescent="0.3">
      <c r="N139" s="437"/>
    </row>
    <row r="140" spans="14:14" ht="18" customHeight="1" x14ac:dyDescent="0.3">
      <c r="N140" s="437"/>
    </row>
    <row r="141" spans="14:14" ht="18" customHeight="1" x14ac:dyDescent="0.3">
      <c r="N141" s="437"/>
    </row>
    <row r="142" spans="14:14" ht="18" customHeight="1" x14ac:dyDescent="0.3">
      <c r="N142" s="437"/>
    </row>
    <row r="143" spans="14:14" ht="18" customHeight="1" x14ac:dyDescent="0.3">
      <c r="N143" s="437"/>
    </row>
    <row r="144" spans="14:14" ht="18" customHeight="1" x14ac:dyDescent="0.3">
      <c r="N144" s="437"/>
    </row>
    <row r="145" spans="14:14" ht="18" customHeight="1" x14ac:dyDescent="0.3">
      <c r="N145" s="437"/>
    </row>
    <row r="146" spans="14:14" ht="18" customHeight="1" x14ac:dyDescent="0.3">
      <c r="N146" s="437"/>
    </row>
    <row r="147" spans="14:14" ht="18" customHeight="1" x14ac:dyDescent="0.3">
      <c r="N147" s="437"/>
    </row>
    <row r="148" spans="14:14" ht="18" customHeight="1" x14ac:dyDescent="0.3">
      <c r="N148" s="437"/>
    </row>
    <row r="149" spans="14:14" ht="18" customHeight="1" x14ac:dyDescent="0.3">
      <c r="N149" s="437"/>
    </row>
    <row r="150" spans="14:14" ht="18" customHeight="1" x14ac:dyDescent="0.3">
      <c r="N150" s="437"/>
    </row>
    <row r="151" spans="14:14" ht="18" customHeight="1" x14ac:dyDescent="0.3">
      <c r="N151" s="437"/>
    </row>
    <row r="152" spans="14:14" ht="18" customHeight="1" x14ac:dyDescent="0.3">
      <c r="N152" s="437"/>
    </row>
    <row r="153" spans="14:14" ht="18" customHeight="1" x14ac:dyDescent="0.3">
      <c r="N153" s="437"/>
    </row>
    <row r="154" spans="14:14" ht="18" customHeight="1" x14ac:dyDescent="0.3">
      <c r="N154" s="437"/>
    </row>
    <row r="155" spans="14:14" ht="18" customHeight="1" x14ac:dyDescent="0.3">
      <c r="N155" s="437"/>
    </row>
    <row r="156" spans="14:14" ht="18" customHeight="1" x14ac:dyDescent="0.3">
      <c r="N156" s="437"/>
    </row>
    <row r="157" spans="14:14" ht="18" customHeight="1" x14ac:dyDescent="0.3">
      <c r="N157" s="437"/>
    </row>
    <row r="158" spans="14:14" ht="18" customHeight="1" x14ac:dyDescent="0.3">
      <c r="N158" s="437"/>
    </row>
    <row r="159" spans="14:14" ht="18" customHeight="1" x14ac:dyDescent="0.3">
      <c r="N159" s="437"/>
    </row>
    <row r="160" spans="14:14" ht="18" customHeight="1" x14ac:dyDescent="0.3">
      <c r="N160" s="437"/>
    </row>
    <row r="161" spans="14:14" ht="18" customHeight="1" x14ac:dyDescent="0.3">
      <c r="N161" s="437"/>
    </row>
    <row r="162" spans="14:14" ht="18" customHeight="1" x14ac:dyDescent="0.3">
      <c r="N162" s="437"/>
    </row>
    <row r="163" spans="14:14" ht="18" customHeight="1" x14ac:dyDescent="0.3">
      <c r="N163" s="437"/>
    </row>
    <row r="164" spans="14:14" ht="18" customHeight="1" x14ac:dyDescent="0.3">
      <c r="N164" s="437"/>
    </row>
    <row r="165" spans="14:14" ht="18" customHeight="1" x14ac:dyDescent="0.3">
      <c r="N165" s="437"/>
    </row>
    <row r="166" spans="14:14" ht="18" customHeight="1" x14ac:dyDescent="0.3">
      <c r="N166" s="437"/>
    </row>
    <row r="167" spans="14:14" ht="18" customHeight="1" x14ac:dyDescent="0.3">
      <c r="N167" s="437"/>
    </row>
    <row r="168" spans="14:14" ht="18" customHeight="1" x14ac:dyDescent="0.3">
      <c r="N168" s="437"/>
    </row>
    <row r="169" spans="14:14" ht="18" customHeight="1" x14ac:dyDescent="0.3">
      <c r="N169" s="437"/>
    </row>
    <row r="170" spans="14:14" ht="18" customHeight="1" x14ac:dyDescent="0.3">
      <c r="N170" s="437"/>
    </row>
    <row r="171" spans="14:14" ht="18" customHeight="1" x14ac:dyDescent="0.3">
      <c r="N171" s="437"/>
    </row>
    <row r="172" spans="14:14" ht="18" customHeight="1" x14ac:dyDescent="0.3">
      <c r="N172" s="437"/>
    </row>
    <row r="173" spans="14:14" ht="18" customHeight="1" x14ac:dyDescent="0.3">
      <c r="N173" s="437"/>
    </row>
    <row r="174" spans="14:14" ht="18" customHeight="1" x14ac:dyDescent="0.3">
      <c r="N174" s="437"/>
    </row>
    <row r="175" spans="14:14" ht="18" customHeight="1" x14ac:dyDescent="0.3">
      <c r="N175" s="437"/>
    </row>
    <row r="176" spans="14:14" ht="18" customHeight="1" x14ac:dyDescent="0.3">
      <c r="N176" s="437"/>
    </row>
    <row r="177" spans="14:14" ht="18" customHeight="1" x14ac:dyDescent="0.3">
      <c r="N177" s="437"/>
    </row>
    <row r="178" spans="14:14" ht="18" customHeight="1" x14ac:dyDescent="0.3">
      <c r="N178" s="437"/>
    </row>
    <row r="179" spans="14:14" ht="18" customHeight="1" x14ac:dyDescent="0.3">
      <c r="N179" s="437"/>
    </row>
    <row r="180" spans="14:14" ht="18" customHeight="1" x14ac:dyDescent="0.3">
      <c r="N180" s="437"/>
    </row>
    <row r="181" spans="14:14" ht="18" customHeight="1" x14ac:dyDescent="0.3">
      <c r="N181" s="437"/>
    </row>
    <row r="182" spans="14:14" ht="18" customHeight="1" x14ac:dyDescent="0.3">
      <c r="N182" s="437"/>
    </row>
    <row r="183" spans="14:14" ht="18" customHeight="1" x14ac:dyDescent="0.3">
      <c r="N183" s="437"/>
    </row>
    <row r="184" spans="14:14" ht="18" customHeight="1" x14ac:dyDescent="0.3">
      <c r="N184" s="437"/>
    </row>
    <row r="185" spans="14:14" ht="18" customHeight="1" x14ac:dyDescent="0.3">
      <c r="N185" s="437"/>
    </row>
    <row r="186" spans="14:14" ht="18" customHeight="1" x14ac:dyDescent="0.3">
      <c r="N186" s="437"/>
    </row>
    <row r="187" spans="14:14" ht="18" customHeight="1" x14ac:dyDescent="0.3">
      <c r="N187" s="437"/>
    </row>
    <row r="188" spans="14:14" ht="18" customHeight="1" x14ac:dyDescent="0.3">
      <c r="N188" s="437"/>
    </row>
    <row r="189" spans="14:14" ht="18" customHeight="1" x14ac:dyDescent="0.3">
      <c r="N189" s="437"/>
    </row>
    <row r="190" spans="14:14" ht="18" customHeight="1" x14ac:dyDescent="0.3">
      <c r="N190" s="437"/>
    </row>
    <row r="191" spans="14:14" ht="18" customHeight="1" x14ac:dyDescent="0.3">
      <c r="N191" s="437"/>
    </row>
    <row r="192" spans="14:14" ht="18" customHeight="1" x14ac:dyDescent="0.3">
      <c r="N192" s="437"/>
    </row>
    <row r="193" spans="14:14" ht="18" customHeight="1" x14ac:dyDescent="0.3">
      <c r="N193" s="437"/>
    </row>
    <row r="194" spans="14:14" ht="18" customHeight="1" x14ac:dyDescent="0.3">
      <c r="N194" s="437"/>
    </row>
    <row r="195" spans="14:14" ht="18" customHeight="1" x14ac:dyDescent="0.3">
      <c r="N195" s="437"/>
    </row>
    <row r="196" spans="14:14" ht="18" customHeight="1" x14ac:dyDescent="0.3">
      <c r="N196" s="437"/>
    </row>
    <row r="197" spans="14:14" ht="18" customHeight="1" x14ac:dyDescent="0.3">
      <c r="N197" s="437"/>
    </row>
    <row r="198" spans="14:14" ht="18" customHeight="1" x14ac:dyDescent="0.3">
      <c r="N198" s="437"/>
    </row>
    <row r="199" spans="14:14" ht="18" customHeight="1" x14ac:dyDescent="0.3">
      <c r="N199" s="437"/>
    </row>
    <row r="200" spans="14:14" ht="18" customHeight="1" x14ac:dyDescent="0.3">
      <c r="N200" s="437"/>
    </row>
    <row r="201" spans="14:14" ht="18" customHeight="1" x14ac:dyDescent="0.3">
      <c r="N201" s="437"/>
    </row>
    <row r="202" spans="14:14" ht="18" customHeight="1" x14ac:dyDescent="0.3">
      <c r="N202" s="437"/>
    </row>
    <row r="203" spans="14:14" ht="18" customHeight="1" x14ac:dyDescent="0.3">
      <c r="N203" s="437"/>
    </row>
    <row r="204" spans="14:14" ht="18" customHeight="1" x14ac:dyDescent="0.3">
      <c r="N204" s="437"/>
    </row>
    <row r="205" spans="14:14" ht="18" customHeight="1" x14ac:dyDescent="0.3">
      <c r="N205" s="437"/>
    </row>
    <row r="206" spans="14:14" ht="18" customHeight="1" x14ac:dyDescent="0.3">
      <c r="N206" s="437"/>
    </row>
    <row r="207" spans="14:14" ht="18" customHeight="1" x14ac:dyDescent="0.3">
      <c r="N207" s="437"/>
    </row>
    <row r="208" spans="14:14" ht="18" customHeight="1" x14ac:dyDescent="0.3">
      <c r="N208" s="437"/>
    </row>
    <row r="209" spans="14:14" ht="18" customHeight="1" x14ac:dyDescent="0.3">
      <c r="N209" s="437"/>
    </row>
    <row r="210" spans="14:14" ht="18" customHeight="1" x14ac:dyDescent="0.3">
      <c r="N210" s="437"/>
    </row>
    <row r="211" spans="14:14" ht="18" customHeight="1" x14ac:dyDescent="0.3">
      <c r="N211" s="437"/>
    </row>
    <row r="212" spans="14:14" ht="18" customHeight="1" x14ac:dyDescent="0.3">
      <c r="N212" s="437"/>
    </row>
    <row r="213" spans="14:14" ht="18" customHeight="1" x14ac:dyDescent="0.3">
      <c r="N213" s="437"/>
    </row>
    <row r="214" spans="14:14" ht="18" customHeight="1" x14ac:dyDescent="0.3">
      <c r="N214" s="437"/>
    </row>
    <row r="215" spans="14:14" ht="18" customHeight="1" x14ac:dyDescent="0.3">
      <c r="N215" s="437"/>
    </row>
    <row r="216" spans="14:14" ht="18" customHeight="1" x14ac:dyDescent="0.3">
      <c r="N216" s="437"/>
    </row>
    <row r="217" spans="14:14" ht="18" customHeight="1" x14ac:dyDescent="0.3">
      <c r="N217" s="437"/>
    </row>
    <row r="218" spans="14:14" ht="18" customHeight="1" x14ac:dyDescent="0.3">
      <c r="N218" s="437"/>
    </row>
    <row r="219" spans="14:14" ht="18" customHeight="1" x14ac:dyDescent="0.3">
      <c r="N219" s="437"/>
    </row>
    <row r="220" spans="14:14" ht="18" customHeight="1" x14ac:dyDescent="0.3">
      <c r="N220" s="437"/>
    </row>
    <row r="221" spans="14:14" ht="18" customHeight="1" x14ac:dyDescent="0.3">
      <c r="N221" s="437"/>
    </row>
    <row r="222" spans="14:14" ht="18" customHeight="1" x14ac:dyDescent="0.3">
      <c r="N222" s="437"/>
    </row>
    <row r="223" spans="14:14" ht="18" customHeight="1" x14ac:dyDescent="0.3">
      <c r="N223" s="437"/>
    </row>
    <row r="224" spans="14:14" ht="18" customHeight="1" x14ac:dyDescent="0.3">
      <c r="N224" s="437"/>
    </row>
    <row r="225" spans="14:14" ht="18" customHeight="1" x14ac:dyDescent="0.3">
      <c r="N225" s="437"/>
    </row>
    <row r="226" spans="14:14" ht="18" customHeight="1" x14ac:dyDescent="0.3">
      <c r="N226" s="437"/>
    </row>
    <row r="227" spans="14:14" ht="18" customHeight="1" x14ac:dyDescent="0.3">
      <c r="N227" s="437"/>
    </row>
    <row r="228" spans="14:14" ht="18" customHeight="1" x14ac:dyDescent="0.3">
      <c r="N228" s="437"/>
    </row>
    <row r="229" spans="14:14" ht="18" customHeight="1" x14ac:dyDescent="0.3">
      <c r="N229" s="437"/>
    </row>
    <row r="230" spans="14:14" ht="18" customHeight="1" x14ac:dyDescent="0.3">
      <c r="N230" s="437"/>
    </row>
    <row r="231" spans="14:14" ht="18" customHeight="1" x14ac:dyDescent="0.3">
      <c r="N231" s="437"/>
    </row>
    <row r="232" spans="14:14" ht="18" customHeight="1" x14ac:dyDescent="0.3">
      <c r="N232" s="437"/>
    </row>
    <row r="233" spans="14:14" ht="18" customHeight="1" x14ac:dyDescent="0.3">
      <c r="N233" s="437"/>
    </row>
    <row r="234" spans="14:14" ht="18" customHeight="1" x14ac:dyDescent="0.3">
      <c r="N234" s="437"/>
    </row>
    <row r="235" spans="14:14" ht="18" customHeight="1" x14ac:dyDescent="0.3">
      <c r="N235" s="437"/>
    </row>
    <row r="236" spans="14:14" ht="18" customHeight="1" x14ac:dyDescent="0.3">
      <c r="N236" s="437"/>
    </row>
    <row r="237" spans="14:14" ht="18" customHeight="1" x14ac:dyDescent="0.3">
      <c r="N237" s="437"/>
    </row>
    <row r="238" spans="14:14" ht="18" customHeight="1" x14ac:dyDescent="0.3">
      <c r="N238" s="437"/>
    </row>
    <row r="239" spans="14:14" ht="18" customHeight="1" x14ac:dyDescent="0.3">
      <c r="N239" s="437"/>
    </row>
    <row r="240" spans="14:14" ht="18" customHeight="1" x14ac:dyDescent="0.3">
      <c r="N240" s="437"/>
    </row>
    <row r="241" spans="14:14" ht="18" customHeight="1" x14ac:dyDescent="0.3">
      <c r="N241" s="437"/>
    </row>
    <row r="242" spans="14:14" ht="18" customHeight="1" x14ac:dyDescent="0.3">
      <c r="N242" s="437"/>
    </row>
    <row r="243" spans="14:14" ht="18" customHeight="1" x14ac:dyDescent="0.3">
      <c r="N243" s="437"/>
    </row>
    <row r="244" spans="14:14" ht="18" customHeight="1" x14ac:dyDescent="0.3">
      <c r="N244" s="437"/>
    </row>
    <row r="245" spans="14:14" ht="18" customHeight="1" x14ac:dyDescent="0.3">
      <c r="N245" s="437"/>
    </row>
    <row r="246" spans="14:14" ht="18" customHeight="1" x14ac:dyDescent="0.3">
      <c r="N246" s="437"/>
    </row>
    <row r="247" spans="14:14" ht="18" customHeight="1" x14ac:dyDescent="0.3">
      <c r="N247" s="437"/>
    </row>
    <row r="248" spans="14:14" ht="18" customHeight="1" x14ac:dyDescent="0.3">
      <c r="N248" s="437"/>
    </row>
    <row r="249" spans="14:14" ht="18" customHeight="1" x14ac:dyDescent="0.3">
      <c r="N249" s="437"/>
    </row>
    <row r="250" spans="14:14" ht="18" customHeight="1" x14ac:dyDescent="0.3">
      <c r="N250" s="437"/>
    </row>
    <row r="251" spans="14:14" ht="18" customHeight="1" x14ac:dyDescent="0.3">
      <c r="N251" s="437"/>
    </row>
    <row r="252" spans="14:14" ht="18" customHeight="1" x14ac:dyDescent="0.3">
      <c r="N252" s="437"/>
    </row>
    <row r="253" spans="14:14" ht="18" customHeight="1" x14ac:dyDescent="0.3">
      <c r="N253" s="437"/>
    </row>
    <row r="254" spans="14:14" ht="18" customHeight="1" x14ac:dyDescent="0.3">
      <c r="N254" s="437"/>
    </row>
    <row r="255" spans="14:14" ht="18" customHeight="1" x14ac:dyDescent="0.3">
      <c r="N255" s="437"/>
    </row>
    <row r="256" spans="14:14" ht="18" customHeight="1" x14ac:dyDescent="0.3">
      <c r="N256" s="437"/>
    </row>
    <row r="257" spans="14:14" ht="18" customHeight="1" x14ac:dyDescent="0.3">
      <c r="N257" s="437"/>
    </row>
    <row r="258" spans="14:14" ht="18" customHeight="1" x14ac:dyDescent="0.3">
      <c r="N258" s="437"/>
    </row>
    <row r="259" spans="14:14" ht="18" customHeight="1" x14ac:dyDescent="0.3">
      <c r="N259" s="437"/>
    </row>
    <row r="260" spans="14:14" ht="18" customHeight="1" x14ac:dyDescent="0.3">
      <c r="N260" s="437"/>
    </row>
    <row r="261" spans="14:14" ht="18" customHeight="1" x14ac:dyDescent="0.3">
      <c r="N261" s="437"/>
    </row>
    <row r="262" spans="14:14" ht="18" customHeight="1" x14ac:dyDescent="0.3">
      <c r="N262" s="437"/>
    </row>
    <row r="263" spans="14:14" ht="18" customHeight="1" x14ac:dyDescent="0.3">
      <c r="N263" s="437"/>
    </row>
    <row r="264" spans="14:14" ht="18" customHeight="1" x14ac:dyDescent="0.3">
      <c r="N264" s="437"/>
    </row>
    <row r="265" spans="14:14" ht="18" customHeight="1" x14ac:dyDescent="0.3">
      <c r="N265" s="437"/>
    </row>
    <row r="266" spans="14:14" ht="18" customHeight="1" x14ac:dyDescent="0.3">
      <c r="N266" s="437"/>
    </row>
    <row r="267" spans="14:14" ht="18" customHeight="1" x14ac:dyDescent="0.3">
      <c r="N267" s="437"/>
    </row>
    <row r="268" spans="14:14" ht="18" customHeight="1" x14ac:dyDescent="0.3">
      <c r="N268" s="437"/>
    </row>
    <row r="269" spans="14:14" ht="18" customHeight="1" x14ac:dyDescent="0.3">
      <c r="N269" s="437"/>
    </row>
    <row r="270" spans="14:14" ht="18" customHeight="1" x14ac:dyDescent="0.3">
      <c r="N270" s="437"/>
    </row>
    <row r="271" spans="14:14" ht="18" customHeight="1" x14ac:dyDescent="0.3">
      <c r="N271" s="437"/>
    </row>
    <row r="272" spans="14:14" ht="18" customHeight="1" x14ac:dyDescent="0.3">
      <c r="N272" s="437"/>
    </row>
    <row r="273" spans="14:14" ht="18" customHeight="1" x14ac:dyDescent="0.3">
      <c r="N273" s="437"/>
    </row>
    <row r="274" spans="14:14" ht="18" customHeight="1" x14ac:dyDescent="0.3">
      <c r="N274" s="437"/>
    </row>
    <row r="275" spans="14:14" ht="18" customHeight="1" x14ac:dyDescent="0.3">
      <c r="N275" s="437"/>
    </row>
    <row r="276" spans="14:14" ht="18" customHeight="1" x14ac:dyDescent="0.3">
      <c r="N276" s="437"/>
    </row>
    <row r="277" spans="14:14" ht="18" customHeight="1" x14ac:dyDescent="0.3">
      <c r="N277" s="437"/>
    </row>
    <row r="278" spans="14:14" ht="18" customHeight="1" x14ac:dyDescent="0.3">
      <c r="N278" s="437"/>
    </row>
    <row r="279" spans="14:14" ht="18" customHeight="1" x14ac:dyDescent="0.3">
      <c r="N279" s="437"/>
    </row>
    <row r="280" spans="14:14" ht="18" customHeight="1" x14ac:dyDescent="0.3">
      <c r="N280" s="437"/>
    </row>
    <row r="281" spans="14:14" ht="18" customHeight="1" x14ac:dyDescent="0.3">
      <c r="N281" s="437"/>
    </row>
    <row r="282" spans="14:14" ht="18" customHeight="1" x14ac:dyDescent="0.3">
      <c r="N282" s="437"/>
    </row>
    <row r="283" spans="14:14" ht="18" customHeight="1" x14ac:dyDescent="0.3">
      <c r="N283" s="437"/>
    </row>
    <row r="284" spans="14:14" ht="18" customHeight="1" x14ac:dyDescent="0.3">
      <c r="N284" s="437"/>
    </row>
    <row r="285" spans="14:14" ht="18" customHeight="1" x14ac:dyDescent="0.3">
      <c r="N285" s="437"/>
    </row>
    <row r="286" spans="14:14" ht="18" customHeight="1" x14ac:dyDescent="0.3">
      <c r="N286" s="437"/>
    </row>
    <row r="287" spans="14:14" ht="18" customHeight="1" x14ac:dyDescent="0.3">
      <c r="N287" s="437"/>
    </row>
    <row r="288" spans="14:14" ht="18" customHeight="1" x14ac:dyDescent="0.3">
      <c r="N288" s="437"/>
    </row>
    <row r="289" spans="14:14" ht="18" customHeight="1" x14ac:dyDescent="0.3">
      <c r="N289" s="437"/>
    </row>
    <row r="290" spans="14:14" ht="18" customHeight="1" x14ac:dyDescent="0.3">
      <c r="N290" s="437"/>
    </row>
    <row r="291" spans="14:14" ht="18" customHeight="1" x14ac:dyDescent="0.3">
      <c r="N291" s="437"/>
    </row>
    <row r="292" spans="14:14" ht="18" customHeight="1" x14ac:dyDescent="0.3">
      <c r="N292" s="437"/>
    </row>
    <row r="293" spans="14:14" ht="18" customHeight="1" x14ac:dyDescent="0.3">
      <c r="N293" s="437"/>
    </row>
    <row r="294" spans="14:14" ht="18" customHeight="1" x14ac:dyDescent="0.3">
      <c r="N294" s="437"/>
    </row>
    <row r="295" spans="14:14" ht="18" customHeight="1" x14ac:dyDescent="0.3">
      <c r="N295" s="437"/>
    </row>
    <row r="296" spans="14:14" ht="18" customHeight="1" x14ac:dyDescent="0.3">
      <c r="N296" s="437"/>
    </row>
    <row r="297" spans="14:14" ht="18" customHeight="1" x14ac:dyDescent="0.3">
      <c r="N297" s="437"/>
    </row>
    <row r="298" spans="14:14" ht="18" customHeight="1" x14ac:dyDescent="0.3">
      <c r="N298" s="437"/>
    </row>
    <row r="299" spans="14:14" ht="18" customHeight="1" x14ac:dyDescent="0.3">
      <c r="N299" s="437"/>
    </row>
    <row r="300" spans="14:14" ht="18" customHeight="1" x14ac:dyDescent="0.3">
      <c r="N300" s="437"/>
    </row>
  </sheetData>
  <mergeCells count="369">
    <mergeCell ref="B1:N2"/>
    <mergeCell ref="C3:D3"/>
    <mergeCell ref="E3:F3"/>
    <mergeCell ref="G3:J3"/>
    <mergeCell ref="K3:L3"/>
    <mergeCell ref="C4:D4"/>
    <mergeCell ref="E4:F4"/>
    <mergeCell ref="G4:J4"/>
    <mergeCell ref="K4:L4"/>
    <mergeCell ref="C5:D5"/>
    <mergeCell ref="E5:F5"/>
    <mergeCell ref="G5:J5"/>
    <mergeCell ref="K5:L5"/>
    <mergeCell ref="C6:D6"/>
    <mergeCell ref="E6:F6"/>
    <mergeCell ref="G6:J6"/>
    <mergeCell ref="K6:L6"/>
    <mergeCell ref="C7:D7"/>
    <mergeCell ref="E7:F7"/>
    <mergeCell ref="G7:J7"/>
    <mergeCell ref="K7:L7"/>
    <mergeCell ref="C8:D8"/>
    <mergeCell ref="E8:F8"/>
    <mergeCell ref="G8:J8"/>
    <mergeCell ref="K8:L8"/>
    <mergeCell ref="C9:D9"/>
    <mergeCell ref="E9:F9"/>
    <mergeCell ref="G9:J9"/>
    <mergeCell ref="K9:L9"/>
    <mergeCell ref="C10:D10"/>
    <mergeCell ref="E10:F10"/>
    <mergeCell ref="G10:J10"/>
    <mergeCell ref="K10:L10"/>
    <mergeCell ref="C11:D11"/>
    <mergeCell ref="E11:F11"/>
    <mergeCell ref="G11:J11"/>
    <mergeCell ref="K11:L11"/>
    <mergeCell ref="C12:D12"/>
    <mergeCell ref="E12:F12"/>
    <mergeCell ref="G12:J12"/>
    <mergeCell ref="K12:L12"/>
    <mergeCell ref="C13:D13"/>
    <mergeCell ref="E13:F13"/>
    <mergeCell ref="G13:J13"/>
    <mergeCell ref="K13:L13"/>
    <mergeCell ref="C14:D14"/>
    <mergeCell ref="E14:F14"/>
    <mergeCell ref="G14:J14"/>
    <mergeCell ref="K14:L14"/>
    <mergeCell ref="C15:D15"/>
    <mergeCell ref="E15:F15"/>
    <mergeCell ref="G15:J15"/>
    <mergeCell ref="K15:L15"/>
    <mergeCell ref="C16:D16"/>
    <mergeCell ref="E16:F16"/>
    <mergeCell ref="G16:J16"/>
    <mergeCell ref="K16:L16"/>
    <mergeCell ref="C17:D17"/>
    <mergeCell ref="E17:F17"/>
    <mergeCell ref="G17:J17"/>
    <mergeCell ref="K17:L17"/>
    <mergeCell ref="C18:D18"/>
    <mergeCell ref="E18:F18"/>
    <mergeCell ref="G18:J18"/>
    <mergeCell ref="K18:L18"/>
    <mergeCell ref="C19:D19"/>
    <mergeCell ref="E19:F19"/>
    <mergeCell ref="G19:J19"/>
    <mergeCell ref="K19:L19"/>
    <mergeCell ref="C20:D20"/>
    <mergeCell ref="E20:F20"/>
    <mergeCell ref="G20:J20"/>
    <mergeCell ref="K20:L20"/>
    <mergeCell ref="C21:D21"/>
    <mergeCell ref="E21:F21"/>
    <mergeCell ref="G21:J21"/>
    <mergeCell ref="K21:L21"/>
    <mergeCell ref="C22:D22"/>
    <mergeCell ref="E22:F22"/>
    <mergeCell ref="G22:J22"/>
    <mergeCell ref="K22:L22"/>
    <mergeCell ref="C23:D23"/>
    <mergeCell ref="E23:F23"/>
    <mergeCell ref="G23:J23"/>
    <mergeCell ref="K23:L23"/>
    <mergeCell ref="C24:D24"/>
    <mergeCell ref="E24:F24"/>
    <mergeCell ref="G24:J24"/>
    <mergeCell ref="K24:L24"/>
    <mergeCell ref="C25:D25"/>
    <mergeCell ref="E25:F25"/>
    <mergeCell ref="G25:J25"/>
    <mergeCell ref="K25:L25"/>
    <mergeCell ref="C26:D26"/>
    <mergeCell ref="E26:F26"/>
    <mergeCell ref="G26:J26"/>
    <mergeCell ref="K26:L26"/>
    <mergeCell ref="C27:D27"/>
    <mergeCell ref="E27:F27"/>
    <mergeCell ref="G27:J27"/>
    <mergeCell ref="K27:L27"/>
    <mergeCell ref="C28:D28"/>
    <mergeCell ref="E28:F28"/>
    <mergeCell ref="G28:J28"/>
    <mergeCell ref="K28:L28"/>
    <mergeCell ref="C29:D29"/>
    <mergeCell ref="E29:F29"/>
    <mergeCell ref="G29:J29"/>
    <mergeCell ref="K29:L29"/>
    <mergeCell ref="C30:D30"/>
    <mergeCell ref="E30:F30"/>
    <mergeCell ref="G30:J30"/>
    <mergeCell ref="K30:L30"/>
    <mergeCell ref="C31:D31"/>
    <mergeCell ref="E31:F31"/>
    <mergeCell ref="G31:J31"/>
    <mergeCell ref="K31:L31"/>
    <mergeCell ref="C32:D32"/>
    <mergeCell ref="E32:F32"/>
    <mergeCell ref="G32:J32"/>
    <mergeCell ref="K32:L32"/>
    <mergeCell ref="C33:D33"/>
    <mergeCell ref="E33:F33"/>
    <mergeCell ref="G33:J33"/>
    <mergeCell ref="K33:L33"/>
    <mergeCell ref="C34:D34"/>
    <mergeCell ref="E34:F34"/>
    <mergeCell ref="G34:J34"/>
    <mergeCell ref="K34:L34"/>
    <mergeCell ref="C35:D35"/>
    <mergeCell ref="E35:F35"/>
    <mergeCell ref="G35:J35"/>
    <mergeCell ref="K35:L35"/>
    <mergeCell ref="C36:D36"/>
    <mergeCell ref="E36:F36"/>
    <mergeCell ref="G36:J36"/>
    <mergeCell ref="K36:L36"/>
    <mergeCell ref="C37:D37"/>
    <mergeCell ref="E37:F37"/>
    <mergeCell ref="G37:J37"/>
    <mergeCell ref="K37:L37"/>
    <mergeCell ref="C38:D38"/>
    <mergeCell ref="E38:F38"/>
    <mergeCell ref="G38:J38"/>
    <mergeCell ref="K38:L38"/>
    <mergeCell ref="C39:D39"/>
    <mergeCell ref="E39:F39"/>
    <mergeCell ref="G39:J39"/>
    <mergeCell ref="K39:L39"/>
    <mergeCell ref="C40:D40"/>
    <mergeCell ref="E40:F40"/>
    <mergeCell ref="G40:J40"/>
    <mergeCell ref="K40:L40"/>
    <mergeCell ref="C41:D41"/>
    <mergeCell ref="E41:F41"/>
    <mergeCell ref="G41:J41"/>
    <mergeCell ref="K41:L41"/>
    <mergeCell ref="C42:D42"/>
    <mergeCell ref="E42:F42"/>
    <mergeCell ref="G42:J42"/>
    <mergeCell ref="K42:L42"/>
    <mergeCell ref="C43:D43"/>
    <mergeCell ref="E43:F43"/>
    <mergeCell ref="G43:J43"/>
    <mergeCell ref="K43:L43"/>
    <mergeCell ref="C44:D44"/>
    <mergeCell ref="E44:F44"/>
    <mergeCell ref="G44:J44"/>
    <mergeCell ref="K44:L44"/>
    <mergeCell ref="C45:D45"/>
    <mergeCell ref="E45:F45"/>
    <mergeCell ref="G45:J45"/>
    <mergeCell ref="K45:L45"/>
    <mergeCell ref="C46:D46"/>
    <mergeCell ref="E46:F46"/>
    <mergeCell ref="G46:J46"/>
    <mergeCell ref="K46:L46"/>
    <mergeCell ref="C47:D47"/>
    <mergeCell ref="E47:F47"/>
    <mergeCell ref="G47:J47"/>
    <mergeCell ref="K47:L47"/>
    <mergeCell ref="C48:D48"/>
    <mergeCell ref="E48:F48"/>
    <mergeCell ref="G48:J48"/>
    <mergeCell ref="K48:L48"/>
    <mergeCell ref="C49:D49"/>
    <mergeCell ref="E49:F49"/>
    <mergeCell ref="G49:J49"/>
    <mergeCell ref="K49:L49"/>
    <mergeCell ref="C50:D50"/>
    <mergeCell ref="E50:F50"/>
    <mergeCell ref="G50:J50"/>
    <mergeCell ref="K50:L50"/>
    <mergeCell ref="C51:D51"/>
    <mergeCell ref="E51:F51"/>
    <mergeCell ref="G51:J51"/>
    <mergeCell ref="K51:L51"/>
    <mergeCell ref="C52:D52"/>
    <mergeCell ref="E52:F52"/>
    <mergeCell ref="G52:J52"/>
    <mergeCell ref="K52:L52"/>
    <mergeCell ref="C53:D53"/>
    <mergeCell ref="E53:F53"/>
    <mergeCell ref="G53:J53"/>
    <mergeCell ref="K53:L53"/>
    <mergeCell ref="C54:D54"/>
    <mergeCell ref="E54:F54"/>
    <mergeCell ref="G54:J54"/>
    <mergeCell ref="K54:L54"/>
    <mergeCell ref="C55:D55"/>
    <mergeCell ref="E55:F55"/>
    <mergeCell ref="G55:J55"/>
    <mergeCell ref="K55:L55"/>
    <mergeCell ref="C56:D56"/>
    <mergeCell ref="E56:F56"/>
    <mergeCell ref="G56:J56"/>
    <mergeCell ref="K56:L56"/>
    <mergeCell ref="C57:D57"/>
    <mergeCell ref="E57:F57"/>
    <mergeCell ref="G57:J57"/>
    <mergeCell ref="K57:L57"/>
    <mergeCell ref="C58:D58"/>
    <mergeCell ref="E58:F58"/>
    <mergeCell ref="G58:J58"/>
    <mergeCell ref="K58:L58"/>
    <mergeCell ref="C59:D59"/>
    <mergeCell ref="E59:F59"/>
    <mergeCell ref="G59:J59"/>
    <mergeCell ref="K59:L59"/>
    <mergeCell ref="C60:D60"/>
    <mergeCell ref="E60:F60"/>
    <mergeCell ref="G60:J60"/>
    <mergeCell ref="K60:L60"/>
    <mergeCell ref="C61:D61"/>
    <mergeCell ref="E61:F61"/>
    <mergeCell ref="G61:J61"/>
    <mergeCell ref="K61:L61"/>
    <mergeCell ref="C62:D62"/>
    <mergeCell ref="E62:F62"/>
    <mergeCell ref="G62:J62"/>
    <mergeCell ref="K62:L62"/>
    <mergeCell ref="C63:D63"/>
    <mergeCell ref="E63:F63"/>
    <mergeCell ref="G63:J63"/>
    <mergeCell ref="K63:L63"/>
    <mergeCell ref="C64:D64"/>
    <mergeCell ref="E64:F64"/>
    <mergeCell ref="G64:J64"/>
    <mergeCell ref="K64:L64"/>
    <mergeCell ref="C65:D65"/>
    <mergeCell ref="E65:F65"/>
    <mergeCell ref="G65:J65"/>
    <mergeCell ref="K65:L65"/>
    <mergeCell ref="C66:D66"/>
    <mergeCell ref="E66:F66"/>
    <mergeCell ref="G66:J66"/>
    <mergeCell ref="K66:L66"/>
    <mergeCell ref="C67:D67"/>
    <mergeCell ref="E67:F67"/>
    <mergeCell ref="G67:J67"/>
    <mergeCell ref="K67:L67"/>
    <mergeCell ref="C68:D68"/>
    <mergeCell ref="E68:F68"/>
    <mergeCell ref="G68:J68"/>
    <mergeCell ref="K68:L68"/>
    <mergeCell ref="C69:D69"/>
    <mergeCell ref="E69:F69"/>
    <mergeCell ref="G69:J69"/>
    <mergeCell ref="K69:L69"/>
    <mergeCell ref="C70:D70"/>
    <mergeCell ref="E70:F70"/>
    <mergeCell ref="G70:J70"/>
    <mergeCell ref="K70:L70"/>
    <mergeCell ref="C71:D71"/>
    <mergeCell ref="E71:F71"/>
    <mergeCell ref="G71:J71"/>
    <mergeCell ref="K71:L71"/>
    <mergeCell ref="C72:D72"/>
    <mergeCell ref="E72:F72"/>
    <mergeCell ref="G72:J72"/>
    <mergeCell ref="K72:L72"/>
    <mergeCell ref="C73:D73"/>
    <mergeCell ref="E73:F73"/>
    <mergeCell ref="G73:J73"/>
    <mergeCell ref="K73:L73"/>
    <mergeCell ref="C74:D74"/>
    <mergeCell ref="E74:F74"/>
    <mergeCell ref="G74:J74"/>
    <mergeCell ref="K74:L74"/>
    <mergeCell ref="C75:D75"/>
    <mergeCell ref="E75:F75"/>
    <mergeCell ref="G75:J75"/>
    <mergeCell ref="K75:L75"/>
    <mergeCell ref="C76:D76"/>
    <mergeCell ref="E76:F76"/>
    <mergeCell ref="G76:J76"/>
    <mergeCell ref="K76:L76"/>
    <mergeCell ref="C77:D77"/>
    <mergeCell ref="E77:F77"/>
    <mergeCell ref="G77:J77"/>
    <mergeCell ref="K77:L77"/>
    <mergeCell ref="C78:D78"/>
    <mergeCell ref="E78:F78"/>
    <mergeCell ref="G78:J78"/>
    <mergeCell ref="K78:L78"/>
    <mergeCell ref="C79:D79"/>
    <mergeCell ref="E79:F79"/>
    <mergeCell ref="G79:J79"/>
    <mergeCell ref="K79:L79"/>
    <mergeCell ref="C80:D80"/>
    <mergeCell ref="E80:F80"/>
    <mergeCell ref="G80:J80"/>
    <mergeCell ref="K80:L80"/>
    <mergeCell ref="C81:D81"/>
    <mergeCell ref="E81:F81"/>
    <mergeCell ref="G81:J81"/>
    <mergeCell ref="K81:L81"/>
    <mergeCell ref="C82:D82"/>
    <mergeCell ref="E82:F82"/>
    <mergeCell ref="G82:J82"/>
    <mergeCell ref="K82:L82"/>
    <mergeCell ref="C83:D83"/>
    <mergeCell ref="E83:F83"/>
    <mergeCell ref="G83:J83"/>
    <mergeCell ref="K83:L83"/>
    <mergeCell ref="C84:D84"/>
    <mergeCell ref="E84:F84"/>
    <mergeCell ref="G84:J84"/>
    <mergeCell ref="K84:L84"/>
    <mergeCell ref="C85:D85"/>
    <mergeCell ref="E85:F85"/>
    <mergeCell ref="G85:J85"/>
    <mergeCell ref="K85:L85"/>
    <mergeCell ref="C86:D86"/>
    <mergeCell ref="E86:F86"/>
    <mergeCell ref="G86:J86"/>
    <mergeCell ref="K86:L86"/>
    <mergeCell ref="C87:D87"/>
    <mergeCell ref="E87:F87"/>
    <mergeCell ref="G87:J87"/>
    <mergeCell ref="K87:L87"/>
    <mergeCell ref="C88:D88"/>
    <mergeCell ref="E88:F88"/>
    <mergeCell ref="G88:J88"/>
    <mergeCell ref="K88:L88"/>
    <mergeCell ref="C89:D89"/>
    <mergeCell ref="E89:F89"/>
    <mergeCell ref="G89:J89"/>
    <mergeCell ref="K89:L89"/>
    <mergeCell ref="C90:D90"/>
    <mergeCell ref="E90:F90"/>
    <mergeCell ref="G90:J90"/>
    <mergeCell ref="K90:L90"/>
    <mergeCell ref="C91:D91"/>
    <mergeCell ref="E91:F91"/>
    <mergeCell ref="G91:J91"/>
    <mergeCell ref="K91:L91"/>
    <mergeCell ref="C92:D92"/>
    <mergeCell ref="E92:F92"/>
    <mergeCell ref="G92:J92"/>
    <mergeCell ref="K92:L92"/>
    <mergeCell ref="C93:D93"/>
    <mergeCell ref="E93:F93"/>
    <mergeCell ref="G93:J93"/>
    <mergeCell ref="K93:L93"/>
    <mergeCell ref="C94:D94"/>
    <mergeCell ref="E94:F94"/>
    <mergeCell ref="G94:J94"/>
    <mergeCell ref="K94:L9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2F3A4A"/>
  </sheetPr>
  <dimension ref="A1:M201"/>
  <sheetViews>
    <sheetView showGridLines="0" topLeftCell="A7" zoomScale="90" zoomScaleNormal="90" workbookViewId="0">
      <selection activeCell="B7" sqref="B7"/>
    </sheetView>
  </sheetViews>
  <sheetFormatPr defaultColWidth="8.6640625" defaultRowHeight="14.4" x14ac:dyDescent="0.3"/>
  <cols>
    <col min="1" max="1" width="36.5546875" customWidth="1"/>
    <col min="2" max="2" width="28" customWidth="1"/>
    <col min="3" max="3" width="14" customWidth="1"/>
    <col min="4" max="4" width="13" customWidth="1"/>
    <col min="5" max="5" width="10" customWidth="1"/>
    <col min="6" max="8" width="13" customWidth="1"/>
    <col min="9" max="9" width="16.6640625" customWidth="1"/>
    <col min="10" max="13" width="12" hidden="1" customWidth="1"/>
  </cols>
  <sheetData>
    <row r="1" spans="1:13" ht="21.75" customHeight="1" x14ac:dyDescent="0.3">
      <c r="A1" s="609" t="s">
        <v>197</v>
      </c>
      <c r="B1" s="609"/>
      <c r="C1" s="609"/>
      <c r="D1" s="609"/>
      <c r="E1" s="609"/>
      <c r="F1" s="609"/>
      <c r="G1" s="609"/>
      <c r="H1" s="609"/>
      <c r="I1" s="609"/>
      <c r="J1" t="s">
        <v>198</v>
      </c>
      <c r="K1" t="s">
        <v>199</v>
      </c>
      <c r="L1" t="s">
        <v>200</v>
      </c>
      <c r="M1" t="s">
        <v>201</v>
      </c>
    </row>
    <row r="2" spans="1:13" ht="18" customHeight="1" x14ac:dyDescent="0.3">
      <c r="A2" s="610" t="s">
        <v>202</v>
      </c>
      <c r="B2" s="610"/>
      <c r="C2" s="610"/>
      <c r="D2" s="610"/>
      <c r="E2" s="610"/>
      <c r="F2" s="610"/>
      <c r="G2" s="610" t="s">
        <v>203</v>
      </c>
      <c r="H2" s="610"/>
      <c r="I2" s="610"/>
    </row>
    <row r="3" spans="1:13" ht="15" customHeight="1" x14ac:dyDescent="0.3">
      <c r="A3" s="30">
        <v>46328</v>
      </c>
      <c r="B3" s="186" t="s">
        <v>78</v>
      </c>
      <c r="C3" s="187" t="s">
        <v>205</v>
      </c>
      <c r="D3" s="188" t="s">
        <v>206</v>
      </c>
      <c r="E3" s="188" t="s">
        <v>207</v>
      </c>
      <c r="F3" s="189" t="s">
        <v>208</v>
      </c>
      <c r="G3" s="188" t="s">
        <v>209</v>
      </c>
      <c r="H3" s="188" t="s">
        <v>210</v>
      </c>
      <c r="I3" s="188" t="s">
        <v>211</v>
      </c>
    </row>
    <row r="4" spans="1:13" ht="21" customHeight="1" x14ac:dyDescent="0.3">
      <c r="A4" s="190"/>
      <c r="B4" s="191"/>
      <c r="C4" s="192"/>
      <c r="D4" s="193"/>
      <c r="E4" s="194" t="s">
        <v>214</v>
      </c>
      <c r="F4" s="195" t="str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196" t="str">
        <f>IFERROR(ROUNDUP(D4/F4,0),"")</f>
        <v/>
      </c>
      <c r="H4" s="197"/>
      <c r="I4" s="193" t="str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</row>
    <row r="5" spans="1:13" ht="21" customHeight="1" x14ac:dyDescent="0.3">
      <c r="A5" s="190"/>
      <c r="B5" s="191"/>
      <c r="C5" s="192"/>
      <c r="D5" s="193"/>
      <c r="E5" s="194" t="s">
        <v>214</v>
      </c>
      <c r="F5" s="195" t="str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196" t="str">
        <f>IFERROR(ROUNDUP(D5/F5,0),"")</f>
        <v/>
      </c>
      <c r="H5" s="197"/>
      <c r="I5" s="193" t="str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</row>
    <row r="6" spans="1:13" ht="21" customHeight="1" x14ac:dyDescent="0.3">
      <c r="A6" s="190"/>
      <c r="B6" s="191"/>
      <c r="C6" s="192"/>
      <c r="D6" s="193"/>
      <c r="E6" s="194" t="s">
        <v>214</v>
      </c>
      <c r="F6" s="195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196" t="str">
        <f>IFERROR(ROUNDUP(D6/F6,0),"")</f>
        <v/>
      </c>
      <c r="H6" s="197"/>
      <c r="I6" s="193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</row>
    <row r="7" spans="1:13" ht="21" customHeight="1" x14ac:dyDescent="0.3">
      <c r="A7" s="190"/>
      <c r="B7" s="191"/>
      <c r="C7" s="192"/>
      <c r="D7" s="193"/>
      <c r="E7" s="194" t="s">
        <v>214</v>
      </c>
      <c r="F7" s="195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196" t="str">
        <f>IFERROR(ROUNDUP(D7/F7,0),"")</f>
        <v/>
      </c>
      <c r="H7" s="197"/>
      <c r="I7" s="193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</row>
    <row r="8" spans="1:13" ht="21" customHeight="1" x14ac:dyDescent="0.3">
      <c r="A8" s="190"/>
      <c r="B8" s="191"/>
      <c r="C8" s="192"/>
      <c r="D8" s="193"/>
      <c r="E8" s="194" t="s">
        <v>214</v>
      </c>
      <c r="F8" s="195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196" t="str">
        <f>IFERROR(ROUNDUP(D8/F8,0),"")</f>
        <v/>
      </c>
      <c r="H8" s="197"/>
      <c r="I8" s="193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</row>
    <row r="9" spans="1:13" ht="15" customHeight="1" x14ac:dyDescent="0.3">
      <c r="A9" s="198"/>
      <c r="B9" s="199" t="s">
        <v>216</v>
      </c>
      <c r="C9" s="200"/>
      <c r="D9" s="201">
        <f>SUM(D2:D8)</f>
        <v>0</v>
      </c>
      <c r="E9" s="202"/>
      <c r="F9" s="202"/>
      <c r="G9" s="203">
        <f>SUM(G2:G8)</f>
        <v>0</v>
      </c>
      <c r="H9" s="201">
        <f>SUM(H2:H8)</f>
        <v>0</v>
      </c>
      <c r="I9" s="201">
        <f>SUM(I2:I8)</f>
        <v>0</v>
      </c>
      <c r="J9" s="28">
        <f>D9</f>
        <v>0</v>
      </c>
      <c r="K9" s="106">
        <f>G9</f>
        <v>0</v>
      </c>
      <c r="L9" s="28">
        <f>H9</f>
        <v>0</v>
      </c>
      <c r="M9" s="28">
        <f>I9</f>
        <v>0</v>
      </c>
    </row>
    <row r="10" spans="1:13" ht="6" customHeight="1" x14ac:dyDescent="0.3">
      <c r="C10" s="72"/>
    </row>
    <row r="11" spans="1:13" ht="15" customHeight="1" x14ac:dyDescent="0.3">
      <c r="A11" s="30">
        <v>46329</v>
      </c>
      <c r="B11" s="186" t="s">
        <v>78</v>
      </c>
      <c r="C11" s="187" t="s">
        <v>205</v>
      </c>
      <c r="D11" s="188" t="s">
        <v>206</v>
      </c>
      <c r="E11" s="188" t="s">
        <v>207</v>
      </c>
      <c r="F11" s="189" t="s">
        <v>208</v>
      </c>
      <c r="G11" s="188" t="s">
        <v>209</v>
      </c>
      <c r="H11" s="188" t="s">
        <v>210</v>
      </c>
      <c r="I11" s="188" t="s">
        <v>211</v>
      </c>
    </row>
    <row r="12" spans="1:13" ht="21" customHeight="1" x14ac:dyDescent="0.3">
      <c r="A12" s="190"/>
      <c r="B12" s="191"/>
      <c r="C12" s="192"/>
      <c r="D12" s="193"/>
      <c r="E12" s="194" t="s">
        <v>214</v>
      </c>
      <c r="F12" s="195" t="str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196" t="str">
        <f>IFERROR(ROUNDUP(D12/F12,0),"")</f>
        <v/>
      </c>
      <c r="H12" s="197"/>
      <c r="I12" s="193" t="str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</row>
    <row r="13" spans="1:13" ht="21" customHeight="1" x14ac:dyDescent="0.3">
      <c r="A13" s="190"/>
      <c r="B13" s="191"/>
      <c r="C13" s="192"/>
      <c r="D13" s="193"/>
      <c r="E13" s="194" t="s">
        <v>214</v>
      </c>
      <c r="F13" s="195" t="str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196" t="str">
        <f>IFERROR(ROUNDUP(D13/F13,0),"")</f>
        <v/>
      </c>
      <c r="H13" s="197"/>
      <c r="I13" s="193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21" customHeight="1" x14ac:dyDescent="0.3">
      <c r="A14" s="190"/>
      <c r="B14" s="191"/>
      <c r="C14" s="192"/>
      <c r="D14" s="193"/>
      <c r="E14" s="194" t="s">
        <v>214</v>
      </c>
      <c r="F14" s="195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196" t="str">
        <f>IFERROR(ROUNDUP(D14/F14,0),"")</f>
        <v/>
      </c>
      <c r="H14" s="197"/>
      <c r="I14" s="193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</row>
    <row r="15" spans="1:13" ht="21" customHeight="1" x14ac:dyDescent="0.3">
      <c r="A15" s="190"/>
      <c r="B15" s="191"/>
      <c r="C15" s="192"/>
      <c r="D15" s="193"/>
      <c r="E15" s="194" t="s">
        <v>214</v>
      </c>
      <c r="F15" s="195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196" t="str">
        <f>IFERROR(ROUNDUP(D15/F15,0),"")</f>
        <v/>
      </c>
      <c r="H15" s="197"/>
      <c r="I15" s="193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3">
      <c r="A16" s="190"/>
      <c r="B16" s="191"/>
      <c r="C16" s="192"/>
      <c r="D16" s="193"/>
      <c r="E16" s="194" t="s">
        <v>214</v>
      </c>
      <c r="F16" s="195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196" t="str">
        <f>IFERROR(ROUNDUP(D16/F16,0),"")</f>
        <v/>
      </c>
      <c r="H16" s="197"/>
      <c r="I16" s="193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15" customHeight="1" x14ac:dyDescent="0.3">
      <c r="A17" s="198"/>
      <c r="B17" s="199" t="s">
        <v>216</v>
      </c>
      <c r="C17" s="200"/>
      <c r="D17" s="201">
        <f>SUM(D10:D16)</f>
        <v>0</v>
      </c>
      <c r="E17" s="202"/>
      <c r="F17" s="202"/>
      <c r="G17" s="203">
        <f>SUM(G10:G16)</f>
        <v>0</v>
      </c>
      <c r="H17" s="201">
        <f>SUM(H10:H16)</f>
        <v>0</v>
      </c>
      <c r="I17" s="201">
        <f>SUM(I10:I16)</f>
        <v>0</v>
      </c>
      <c r="J17" s="28">
        <f>D17</f>
        <v>0</v>
      </c>
      <c r="K17" s="106">
        <f>G17</f>
        <v>0</v>
      </c>
      <c r="L17" s="28">
        <f>H17</f>
        <v>0</v>
      </c>
      <c r="M17" s="28">
        <f>I17</f>
        <v>0</v>
      </c>
    </row>
    <row r="18" spans="1:13" ht="6" customHeight="1" x14ac:dyDescent="0.3">
      <c r="C18" s="72"/>
    </row>
    <row r="19" spans="1:13" ht="15" customHeight="1" x14ac:dyDescent="0.3">
      <c r="A19" s="30">
        <v>46330</v>
      </c>
      <c r="B19" s="186" t="s">
        <v>78</v>
      </c>
      <c r="C19" s="187" t="s">
        <v>205</v>
      </c>
      <c r="D19" s="188" t="s">
        <v>206</v>
      </c>
      <c r="E19" s="188" t="s">
        <v>207</v>
      </c>
      <c r="F19" s="189" t="s">
        <v>208</v>
      </c>
      <c r="G19" s="188" t="s">
        <v>209</v>
      </c>
      <c r="H19" s="188" t="s">
        <v>210</v>
      </c>
      <c r="I19" s="188" t="s">
        <v>211</v>
      </c>
    </row>
    <row r="20" spans="1:13" ht="21" customHeight="1" x14ac:dyDescent="0.3">
      <c r="A20" s="190"/>
      <c r="B20" s="191"/>
      <c r="C20" s="192"/>
      <c r="D20" s="193"/>
      <c r="E20" s="194" t="s">
        <v>214</v>
      </c>
      <c r="F20" s="195" t="str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196" t="str">
        <f>IFERROR(ROUNDUP(D20/F20,0),"")</f>
        <v/>
      </c>
      <c r="H20" s="197"/>
      <c r="I20" s="193" t="str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</row>
    <row r="21" spans="1:13" ht="21" customHeight="1" x14ac:dyDescent="0.3">
      <c r="A21" s="190"/>
      <c r="B21" s="191"/>
      <c r="C21" s="192"/>
      <c r="D21" s="193"/>
      <c r="E21" s="194" t="s">
        <v>214</v>
      </c>
      <c r="F21" s="195" t="str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196" t="str">
        <f>IFERROR(ROUNDUP(D21/F21,0),"")</f>
        <v/>
      </c>
      <c r="H21" s="197"/>
      <c r="I21" s="193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</row>
    <row r="22" spans="1:13" ht="21" customHeight="1" x14ac:dyDescent="0.3">
      <c r="A22" s="190"/>
      <c r="B22" s="191"/>
      <c r="C22" s="192"/>
      <c r="D22" s="193"/>
      <c r="E22" s="194" t="s">
        <v>214</v>
      </c>
      <c r="F22" s="195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196" t="str">
        <f>IFERROR(ROUNDUP(D22/F22,0),"")</f>
        <v/>
      </c>
      <c r="H22" s="197"/>
      <c r="I22" s="193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</row>
    <row r="23" spans="1:13" ht="21" customHeight="1" x14ac:dyDescent="0.3">
      <c r="A23" s="190"/>
      <c r="B23" s="191"/>
      <c r="C23" s="192"/>
      <c r="D23" s="193"/>
      <c r="E23" s="194" t="s">
        <v>214</v>
      </c>
      <c r="F23" s="195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196" t="str">
        <f>IFERROR(ROUNDUP(D23/F23,0),"")</f>
        <v/>
      </c>
      <c r="H23" s="197"/>
      <c r="I23" s="193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</row>
    <row r="24" spans="1:13" ht="21" customHeight="1" x14ac:dyDescent="0.3">
      <c r="A24" s="190"/>
      <c r="B24" s="191"/>
      <c r="C24" s="192"/>
      <c r="D24" s="193"/>
      <c r="E24" s="194" t="s">
        <v>214</v>
      </c>
      <c r="F24" s="195" t="str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196" t="str">
        <f>IFERROR(ROUNDUP(D24/F24,0),"")</f>
        <v/>
      </c>
      <c r="H24" s="197"/>
      <c r="I24" s="193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</row>
    <row r="25" spans="1:13" ht="15" customHeight="1" x14ac:dyDescent="0.3">
      <c r="A25" s="198"/>
      <c r="B25" s="199" t="s">
        <v>216</v>
      </c>
      <c r="C25" s="200"/>
      <c r="D25" s="201">
        <f>SUM(D18:D24)</f>
        <v>0</v>
      </c>
      <c r="E25" s="202"/>
      <c r="F25" s="202"/>
      <c r="G25" s="203">
        <f>SUM(G18:G24)</f>
        <v>0</v>
      </c>
      <c r="H25" s="201">
        <f>SUM(H18:H24)</f>
        <v>0</v>
      </c>
      <c r="I25" s="201">
        <f>SUM(I18:I24)</f>
        <v>0</v>
      </c>
      <c r="J25" s="28">
        <f>D25</f>
        <v>0</v>
      </c>
      <c r="K25" s="106">
        <f>G25</f>
        <v>0</v>
      </c>
      <c r="L25" s="28">
        <f>H25</f>
        <v>0</v>
      </c>
      <c r="M25" s="28">
        <f>I25</f>
        <v>0</v>
      </c>
    </row>
    <row r="26" spans="1:13" ht="6" customHeight="1" x14ac:dyDescent="0.3">
      <c r="C26" s="72"/>
    </row>
    <row r="27" spans="1:13" ht="15" customHeight="1" x14ac:dyDescent="0.3">
      <c r="A27" s="30">
        <v>46331</v>
      </c>
      <c r="B27" s="186" t="s">
        <v>78</v>
      </c>
      <c r="C27" s="187" t="s">
        <v>205</v>
      </c>
      <c r="D27" s="188" t="s">
        <v>206</v>
      </c>
      <c r="E27" s="188" t="s">
        <v>207</v>
      </c>
      <c r="F27" s="189" t="s">
        <v>208</v>
      </c>
      <c r="G27" s="188" t="s">
        <v>209</v>
      </c>
      <c r="H27" s="188" t="s">
        <v>210</v>
      </c>
      <c r="I27" s="188" t="s">
        <v>211</v>
      </c>
    </row>
    <row r="28" spans="1:13" ht="21" customHeight="1" x14ac:dyDescent="0.3">
      <c r="A28" s="190"/>
      <c r="B28" s="191"/>
      <c r="C28" s="192"/>
      <c r="D28" s="193"/>
      <c r="E28" s="194" t="s">
        <v>214</v>
      </c>
      <c r="F28" s="195" t="str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196" t="str">
        <f>IFERROR(ROUNDUP(D28/F28,0),"")</f>
        <v/>
      </c>
      <c r="H28" s="197"/>
      <c r="I28" s="193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</row>
    <row r="29" spans="1:13" ht="21" customHeight="1" x14ac:dyDescent="0.3">
      <c r="A29" s="190"/>
      <c r="B29" s="191"/>
      <c r="C29" s="192"/>
      <c r="D29" s="193"/>
      <c r="E29" s="194" t="s">
        <v>214</v>
      </c>
      <c r="F29" s="195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196" t="str">
        <f>IFERROR(ROUNDUP(D29/F29,0),"")</f>
        <v/>
      </c>
      <c r="H29" s="197"/>
      <c r="I29" s="193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</row>
    <row r="30" spans="1:13" ht="21" customHeight="1" x14ac:dyDescent="0.3">
      <c r="A30" s="190"/>
      <c r="B30" s="191"/>
      <c r="C30" s="192"/>
      <c r="D30" s="193"/>
      <c r="E30" s="194" t="s">
        <v>214</v>
      </c>
      <c r="F30" s="195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196" t="str">
        <f>IFERROR(ROUNDUP(D30/F30,0),"")</f>
        <v/>
      </c>
      <c r="H30" s="197"/>
      <c r="I30" s="193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</row>
    <row r="31" spans="1:13" ht="21" customHeight="1" x14ac:dyDescent="0.3">
      <c r="A31" s="190"/>
      <c r="B31" s="191"/>
      <c r="C31" s="192"/>
      <c r="D31" s="193"/>
      <c r="E31" s="194" t="s">
        <v>214</v>
      </c>
      <c r="F31" s="195" t="str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196" t="str">
        <f>IFERROR(ROUNDUP(D31/F31,0),"")</f>
        <v/>
      </c>
      <c r="H31" s="197"/>
      <c r="I31" s="193" t="str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</row>
    <row r="32" spans="1:13" ht="21" customHeight="1" x14ac:dyDescent="0.3">
      <c r="A32" s="190"/>
      <c r="B32" s="191"/>
      <c r="C32" s="192"/>
      <c r="D32" s="193"/>
      <c r="E32" s="194" t="s">
        <v>214</v>
      </c>
      <c r="F32" s="195" t="str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196" t="str">
        <f>IFERROR(ROUNDUP(D32/F32,0),"")</f>
        <v/>
      </c>
      <c r="H32" s="197"/>
      <c r="I32" s="193" t="str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</row>
    <row r="33" spans="1:13" ht="15" customHeight="1" x14ac:dyDescent="0.3">
      <c r="A33" s="198"/>
      <c r="B33" s="199" t="s">
        <v>216</v>
      </c>
      <c r="C33" s="200"/>
      <c r="D33" s="201">
        <f>SUM(D26:D32)</f>
        <v>0</v>
      </c>
      <c r="E33" s="202"/>
      <c r="F33" s="202"/>
      <c r="G33" s="203">
        <f>SUM(G26:G32)</f>
        <v>0</v>
      </c>
      <c r="H33" s="201">
        <f>SUM(H26:H32)</f>
        <v>0</v>
      </c>
      <c r="I33" s="201">
        <f>SUM(I26:I32)</f>
        <v>0</v>
      </c>
      <c r="J33" s="28">
        <f>D33</f>
        <v>0</v>
      </c>
      <c r="K33" s="106">
        <f>G33</f>
        <v>0</v>
      </c>
      <c r="L33" s="28">
        <f>H33</f>
        <v>0</v>
      </c>
      <c r="M33" s="28">
        <f>I33</f>
        <v>0</v>
      </c>
    </row>
    <row r="34" spans="1:13" ht="6" customHeight="1" x14ac:dyDescent="0.3">
      <c r="C34" s="72"/>
    </row>
    <row r="35" spans="1:13" ht="15" customHeight="1" x14ac:dyDescent="0.3">
      <c r="A35" s="30">
        <v>46332</v>
      </c>
      <c r="B35" s="186" t="s">
        <v>78</v>
      </c>
      <c r="C35" s="187" t="s">
        <v>205</v>
      </c>
      <c r="D35" s="188" t="s">
        <v>206</v>
      </c>
      <c r="E35" s="188" t="s">
        <v>207</v>
      </c>
      <c r="F35" s="189" t="s">
        <v>208</v>
      </c>
      <c r="G35" s="188" t="s">
        <v>209</v>
      </c>
      <c r="H35" s="188" t="s">
        <v>210</v>
      </c>
      <c r="I35" s="188" t="s">
        <v>211</v>
      </c>
    </row>
    <row r="36" spans="1:13" ht="21" customHeight="1" x14ac:dyDescent="0.3">
      <c r="A36" s="190"/>
      <c r="B36" s="191"/>
      <c r="C36" s="192"/>
      <c r="D36" s="193"/>
      <c r="E36" s="194" t="s">
        <v>214</v>
      </c>
      <c r="F36" s="195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196" t="str">
        <f>IFERROR(ROUNDUP(D36/F36,0),"")</f>
        <v/>
      </c>
      <c r="H36" s="197"/>
      <c r="I36" s="193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</row>
    <row r="37" spans="1:13" ht="21" customHeight="1" x14ac:dyDescent="0.3">
      <c r="A37" s="190"/>
      <c r="B37" s="191"/>
      <c r="C37" s="192"/>
      <c r="D37" s="193"/>
      <c r="E37" s="194" t="s">
        <v>214</v>
      </c>
      <c r="F37" s="195" t="str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196" t="str">
        <f>IFERROR(ROUNDUP(D37/F37,0),"")</f>
        <v/>
      </c>
      <c r="H37" s="197"/>
      <c r="I37" s="193" t="str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</row>
    <row r="38" spans="1:13" ht="21" customHeight="1" x14ac:dyDescent="0.3">
      <c r="A38" s="190"/>
      <c r="B38" s="191"/>
      <c r="C38" s="192"/>
      <c r="D38" s="193"/>
      <c r="E38" s="194" t="s">
        <v>214</v>
      </c>
      <c r="F38" s="195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196" t="str">
        <f>IFERROR(ROUNDUP(D38/F38,0),"")</f>
        <v/>
      </c>
      <c r="H38" s="197"/>
      <c r="I38" s="193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</row>
    <row r="39" spans="1:13" ht="21" customHeight="1" x14ac:dyDescent="0.3">
      <c r="A39" s="190"/>
      <c r="B39" s="191"/>
      <c r="C39" s="192"/>
      <c r="D39" s="193"/>
      <c r="E39" s="194" t="s">
        <v>214</v>
      </c>
      <c r="F39" s="195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196" t="str">
        <f>IFERROR(ROUNDUP(D39/F39,0),"")</f>
        <v/>
      </c>
      <c r="H39" s="197"/>
      <c r="I39" s="193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</row>
    <row r="40" spans="1:13" ht="21" customHeight="1" x14ac:dyDescent="0.3">
      <c r="A40" s="190"/>
      <c r="B40" s="191"/>
      <c r="C40" s="192"/>
      <c r="D40" s="193"/>
      <c r="E40" s="194" t="s">
        <v>214</v>
      </c>
      <c r="F40" s="195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196" t="str">
        <f>IFERROR(ROUNDUP(D40/F40,0),"")</f>
        <v/>
      </c>
      <c r="H40" s="197"/>
      <c r="I40" s="193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</row>
    <row r="41" spans="1:13" ht="15" customHeight="1" x14ac:dyDescent="0.3">
      <c r="A41" s="198"/>
      <c r="B41" s="199" t="s">
        <v>216</v>
      </c>
      <c r="C41" s="200"/>
      <c r="D41" s="201">
        <f>SUM(D34:D40)</f>
        <v>0</v>
      </c>
      <c r="E41" s="202"/>
      <c r="F41" s="202"/>
      <c r="G41" s="203">
        <f>SUM(G34:G40)</f>
        <v>0</v>
      </c>
      <c r="H41" s="201">
        <f>SUM(H34:H40)</f>
        <v>0</v>
      </c>
      <c r="I41" s="201">
        <f>SUM(I34:I40)</f>
        <v>0</v>
      </c>
      <c r="J41" s="28">
        <f>D41</f>
        <v>0</v>
      </c>
      <c r="K41" s="106">
        <f>G41</f>
        <v>0</v>
      </c>
      <c r="L41" s="28">
        <f>H41</f>
        <v>0</v>
      </c>
      <c r="M41" s="28">
        <f>I41</f>
        <v>0</v>
      </c>
    </row>
    <row r="42" spans="1:13" ht="6" customHeight="1" x14ac:dyDescent="0.3">
      <c r="C42" s="72"/>
    </row>
    <row r="43" spans="1:13" ht="15" customHeight="1" x14ac:dyDescent="0.3">
      <c r="A43" s="235">
        <v>46333</v>
      </c>
      <c r="B43" s="186" t="s">
        <v>78</v>
      </c>
      <c r="C43" s="187" t="s">
        <v>205</v>
      </c>
      <c r="D43" s="188" t="s">
        <v>206</v>
      </c>
      <c r="E43" s="188" t="s">
        <v>207</v>
      </c>
      <c r="F43" s="236" t="s">
        <v>208</v>
      </c>
      <c r="G43" s="188" t="s">
        <v>209</v>
      </c>
      <c r="H43" s="188" t="s">
        <v>210</v>
      </c>
      <c r="I43" s="188" t="s">
        <v>211</v>
      </c>
      <c r="J43" s="237"/>
      <c r="K43" s="237"/>
      <c r="L43" s="237"/>
      <c r="M43" s="237"/>
    </row>
    <row r="44" spans="1:13" ht="21" customHeight="1" x14ac:dyDescent="0.3">
      <c r="A44" s="190"/>
      <c r="B44" s="238"/>
      <c r="C44" s="239"/>
      <c r="D44" s="240"/>
      <c r="E44" s="241" t="s">
        <v>214</v>
      </c>
      <c r="F44" s="242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243" t="str">
        <f>IFERROR(ROUNDUP(D44/F44,0),"")</f>
        <v/>
      </c>
      <c r="H44" s="197"/>
      <c r="I44" s="240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  <c r="J44" s="237"/>
      <c r="K44" s="237"/>
      <c r="L44" s="237"/>
      <c r="M44" s="237"/>
    </row>
    <row r="45" spans="1:13" ht="21" customHeight="1" x14ac:dyDescent="0.3">
      <c r="A45" s="190"/>
      <c r="B45" s="238"/>
      <c r="C45" s="239"/>
      <c r="D45" s="240"/>
      <c r="E45" s="241" t="s">
        <v>214</v>
      </c>
      <c r="F45" s="242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243" t="str">
        <f>IFERROR(ROUNDUP(D45/F45,0),"")</f>
        <v/>
      </c>
      <c r="H45" s="197"/>
      <c r="I45" s="240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  <c r="J45" s="237"/>
      <c r="K45" s="237"/>
      <c r="L45" s="237"/>
      <c r="M45" s="237"/>
    </row>
    <row r="46" spans="1:13" ht="21" customHeight="1" x14ac:dyDescent="0.3">
      <c r="A46" s="190"/>
      <c r="B46" s="238"/>
      <c r="C46" s="239"/>
      <c r="D46" s="240"/>
      <c r="E46" s="241" t="s">
        <v>214</v>
      </c>
      <c r="F46" s="242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243" t="str">
        <f>IFERROR(ROUNDUP(D46/F46,0),"")</f>
        <v/>
      </c>
      <c r="H46" s="197"/>
      <c r="I46" s="240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  <c r="J46" s="237"/>
      <c r="K46" s="237"/>
      <c r="L46" s="237"/>
      <c r="M46" s="237"/>
    </row>
    <row r="47" spans="1:13" ht="21" customHeight="1" x14ac:dyDescent="0.3">
      <c r="A47" s="190"/>
      <c r="B47" s="238"/>
      <c r="C47" s="239"/>
      <c r="D47" s="240"/>
      <c r="E47" s="241" t="s">
        <v>214</v>
      </c>
      <c r="F47" s="242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243" t="str">
        <f>IFERROR(ROUNDUP(D47/F47,0),"")</f>
        <v/>
      </c>
      <c r="H47" s="197"/>
      <c r="I47" s="240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  <c r="J47" s="237"/>
      <c r="K47" s="237"/>
      <c r="L47" s="237"/>
      <c r="M47" s="237"/>
    </row>
    <row r="48" spans="1:13" ht="21" customHeight="1" x14ac:dyDescent="0.3">
      <c r="A48" s="190"/>
      <c r="B48" s="238"/>
      <c r="C48" s="239"/>
      <c r="D48" s="240"/>
      <c r="E48" s="241" t="s">
        <v>214</v>
      </c>
      <c r="F48" s="242" t="str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243" t="str">
        <f>IFERROR(ROUNDUP(D48/F48,0),"")</f>
        <v/>
      </c>
      <c r="H48" s="197"/>
      <c r="I48" s="240" t="str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  <c r="J48" s="237"/>
      <c r="K48" s="237"/>
      <c r="L48" s="237"/>
      <c r="M48" s="237"/>
    </row>
    <row r="49" spans="1:13" ht="15" customHeight="1" x14ac:dyDescent="0.3">
      <c r="A49" s="244"/>
      <c r="B49" s="199" t="s">
        <v>216</v>
      </c>
      <c r="C49" s="245"/>
      <c r="D49" s="201">
        <f>SUM(D42:D48)</f>
        <v>0</v>
      </c>
      <c r="E49" s="246"/>
      <c r="F49" s="246"/>
      <c r="G49" s="203">
        <f>SUM(G42:G48)</f>
        <v>0</v>
      </c>
      <c r="H49" s="201">
        <f>SUM(H42:H48)</f>
        <v>0</v>
      </c>
      <c r="I49" s="201">
        <f>SUM(I42:I48)</f>
        <v>0</v>
      </c>
      <c r="J49" s="247">
        <f>D49</f>
        <v>0</v>
      </c>
      <c r="K49" s="248">
        <f>G49</f>
        <v>0</v>
      </c>
      <c r="L49" s="247">
        <f>H49</f>
        <v>0</v>
      </c>
      <c r="M49" s="247">
        <f>I49</f>
        <v>0</v>
      </c>
    </row>
    <row r="50" spans="1:13" ht="6" customHeight="1" x14ac:dyDescent="0.3">
      <c r="A50" s="237"/>
      <c r="B50" s="237"/>
      <c r="C50" s="249"/>
      <c r="D50" s="237"/>
      <c r="E50" s="237"/>
      <c r="F50" s="237"/>
      <c r="G50" s="237"/>
      <c r="H50" s="237"/>
      <c r="I50" s="237"/>
      <c r="J50" s="237"/>
      <c r="K50" s="237"/>
      <c r="L50" s="237"/>
      <c r="M50" s="237"/>
    </row>
    <row r="51" spans="1:13" ht="15" customHeight="1" x14ac:dyDescent="0.3">
      <c r="A51" s="30">
        <v>46335</v>
      </c>
      <c r="B51" s="186" t="s">
        <v>78</v>
      </c>
      <c r="C51" s="187" t="s">
        <v>205</v>
      </c>
      <c r="D51" s="188" t="s">
        <v>206</v>
      </c>
      <c r="E51" s="188" t="s">
        <v>207</v>
      </c>
      <c r="F51" s="189" t="s">
        <v>208</v>
      </c>
      <c r="G51" s="188" t="s">
        <v>209</v>
      </c>
      <c r="H51" s="188" t="s">
        <v>210</v>
      </c>
      <c r="I51" s="188" t="s">
        <v>211</v>
      </c>
    </row>
    <row r="52" spans="1:13" ht="21" customHeight="1" x14ac:dyDescent="0.3">
      <c r="A52" s="190"/>
      <c r="B52" s="191"/>
      <c r="C52" s="192"/>
      <c r="D52" s="193"/>
      <c r="E52" s="194" t="s">
        <v>214</v>
      </c>
      <c r="F52" s="195" t="str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196" t="str">
        <f>IFERROR(ROUNDUP(D52/F52,0),"")</f>
        <v/>
      </c>
      <c r="H52" s="197"/>
      <c r="I52" s="193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</row>
    <row r="53" spans="1:13" ht="21" customHeight="1" x14ac:dyDescent="0.3">
      <c r="A53" s="190"/>
      <c r="B53" s="191"/>
      <c r="C53" s="192"/>
      <c r="D53" s="193"/>
      <c r="E53" s="194" t="s">
        <v>214</v>
      </c>
      <c r="F53" s="195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196" t="str">
        <f>IFERROR(ROUNDUP(D53/F53,0),"")</f>
        <v/>
      </c>
      <c r="H53" s="197"/>
      <c r="I53" s="193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</row>
    <row r="54" spans="1:13" ht="21" customHeight="1" x14ac:dyDescent="0.3">
      <c r="A54" s="190"/>
      <c r="B54" s="191"/>
      <c r="C54" s="192"/>
      <c r="D54" s="193"/>
      <c r="E54" s="194" t="s">
        <v>214</v>
      </c>
      <c r="F54" s="195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196" t="str">
        <f>IFERROR(ROUNDUP(D54/F54,0),"")</f>
        <v/>
      </c>
      <c r="H54" s="197"/>
      <c r="I54" s="193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</row>
    <row r="55" spans="1:13" ht="21" customHeight="1" x14ac:dyDescent="0.3">
      <c r="A55" s="190"/>
      <c r="B55" s="191"/>
      <c r="C55" s="192"/>
      <c r="D55" s="193"/>
      <c r="E55" s="194" t="s">
        <v>214</v>
      </c>
      <c r="F55" s="195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196" t="str">
        <f>IFERROR(ROUNDUP(D55/F55,0),"")</f>
        <v/>
      </c>
      <c r="H55" s="197"/>
      <c r="I55" s="193" t="str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</row>
    <row r="56" spans="1:13" ht="21" customHeight="1" x14ac:dyDescent="0.3">
      <c r="A56" s="190"/>
      <c r="B56" s="191"/>
      <c r="C56" s="192"/>
      <c r="D56" s="193"/>
      <c r="E56" s="194" t="s">
        <v>214</v>
      </c>
      <c r="F56" s="195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196" t="str">
        <f>IFERROR(ROUNDUP(D56/F56,0),"")</f>
        <v/>
      </c>
      <c r="H56" s="197"/>
      <c r="I56" s="193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15" customHeight="1" x14ac:dyDescent="0.3">
      <c r="A57" s="198"/>
      <c r="B57" s="199" t="s">
        <v>216</v>
      </c>
      <c r="C57" s="200"/>
      <c r="D57" s="201">
        <f>SUM(D50:D56)</f>
        <v>0</v>
      </c>
      <c r="E57" s="202"/>
      <c r="F57" s="202"/>
      <c r="G57" s="203">
        <f>SUM(G50:G56)</f>
        <v>0</v>
      </c>
      <c r="H57" s="201">
        <f>SUM(H50:H56)</f>
        <v>0</v>
      </c>
      <c r="I57" s="201">
        <f>SUM(I50:I56)</f>
        <v>0</v>
      </c>
      <c r="J57" s="28">
        <f>D57</f>
        <v>0</v>
      </c>
      <c r="K57" s="106">
        <f>G57</f>
        <v>0</v>
      </c>
      <c r="L57" s="28">
        <f>H57</f>
        <v>0</v>
      </c>
      <c r="M57" s="28">
        <f>I57</f>
        <v>0</v>
      </c>
    </row>
    <row r="58" spans="1:13" ht="6" customHeight="1" x14ac:dyDescent="0.3">
      <c r="C58" s="72"/>
    </row>
    <row r="59" spans="1:13" ht="15" customHeight="1" x14ac:dyDescent="0.3">
      <c r="A59" s="30">
        <v>46336</v>
      </c>
      <c r="B59" s="186" t="s">
        <v>78</v>
      </c>
      <c r="C59" s="187" t="s">
        <v>205</v>
      </c>
      <c r="D59" s="188" t="s">
        <v>206</v>
      </c>
      <c r="E59" s="188" t="s">
        <v>207</v>
      </c>
      <c r="F59" s="189" t="s">
        <v>208</v>
      </c>
      <c r="G59" s="188" t="s">
        <v>209</v>
      </c>
      <c r="H59" s="188" t="s">
        <v>210</v>
      </c>
      <c r="I59" s="188" t="s">
        <v>211</v>
      </c>
    </row>
    <row r="60" spans="1:13" ht="21" customHeight="1" x14ac:dyDescent="0.3">
      <c r="A60" s="190"/>
      <c r="B60" s="191"/>
      <c r="C60" s="192"/>
      <c r="D60" s="193"/>
      <c r="E60" s="194" t="s">
        <v>214</v>
      </c>
      <c r="F60" s="195" t="str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196" t="str">
        <f>IFERROR(ROUNDUP(D60/F60,0),"")</f>
        <v/>
      </c>
      <c r="H60" s="197"/>
      <c r="I60" s="193" t="str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</row>
    <row r="61" spans="1:13" ht="21" customHeight="1" x14ac:dyDescent="0.3">
      <c r="A61" s="190"/>
      <c r="B61" s="191"/>
      <c r="C61" s="192"/>
      <c r="D61" s="193"/>
      <c r="E61" s="194" t="s">
        <v>214</v>
      </c>
      <c r="F61" s="195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196" t="str">
        <f>IFERROR(ROUNDUP(D61/F61,0),"")</f>
        <v/>
      </c>
      <c r="H61" s="197"/>
      <c r="I61" s="193" t="str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</row>
    <row r="62" spans="1:13" ht="21" customHeight="1" x14ac:dyDescent="0.3">
      <c r="A62" s="190"/>
      <c r="B62" s="191"/>
      <c r="C62" s="192"/>
      <c r="D62" s="193"/>
      <c r="E62" s="194" t="s">
        <v>214</v>
      </c>
      <c r="F62" s="195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196" t="str">
        <f>IFERROR(ROUNDUP(D62/F62,0),"")</f>
        <v/>
      </c>
      <c r="H62" s="197"/>
      <c r="I62" s="193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3" ht="21" customHeight="1" x14ac:dyDescent="0.3">
      <c r="A63" s="190"/>
      <c r="B63" s="191"/>
      <c r="C63" s="192"/>
      <c r="D63" s="193"/>
      <c r="E63" s="194" t="s">
        <v>214</v>
      </c>
      <c r="F63" s="195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196" t="str">
        <f>IFERROR(ROUNDUP(D63/F63,0),"")</f>
        <v/>
      </c>
      <c r="H63" s="197"/>
      <c r="I63" s="193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3">
      <c r="A64" s="190"/>
      <c r="B64" s="191"/>
      <c r="C64" s="192"/>
      <c r="D64" s="193"/>
      <c r="E64" s="194" t="s">
        <v>214</v>
      </c>
      <c r="F64" s="195" t="str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196" t="str">
        <f>IFERROR(ROUNDUP(D64/F64,0),"")</f>
        <v/>
      </c>
      <c r="H64" s="197"/>
      <c r="I64" s="193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15" customHeight="1" x14ac:dyDescent="0.3">
      <c r="A65" s="198"/>
      <c r="B65" s="199" t="s">
        <v>216</v>
      </c>
      <c r="C65" s="200"/>
      <c r="D65" s="201">
        <f>SUM(D58:D64)</f>
        <v>0</v>
      </c>
      <c r="E65" s="202"/>
      <c r="F65" s="202"/>
      <c r="G65" s="203">
        <f>SUM(G58:G64)</f>
        <v>0</v>
      </c>
      <c r="H65" s="201">
        <f>SUM(H58:H64)</f>
        <v>0</v>
      </c>
      <c r="I65" s="201">
        <f>SUM(I58:I64)</f>
        <v>0</v>
      </c>
      <c r="J65" s="28">
        <f>D65</f>
        <v>0</v>
      </c>
      <c r="K65" s="106">
        <f>G65</f>
        <v>0</v>
      </c>
      <c r="L65" s="28">
        <f>H65</f>
        <v>0</v>
      </c>
      <c r="M65" s="28">
        <f>I65</f>
        <v>0</v>
      </c>
    </row>
    <row r="66" spans="1:13" ht="6" customHeight="1" x14ac:dyDescent="0.3">
      <c r="C66" s="72"/>
    </row>
    <row r="67" spans="1:13" ht="15" customHeight="1" x14ac:dyDescent="0.3">
      <c r="A67" s="30">
        <v>46337</v>
      </c>
      <c r="B67" s="186" t="s">
        <v>78</v>
      </c>
      <c r="C67" s="187" t="s">
        <v>205</v>
      </c>
      <c r="D67" s="188" t="s">
        <v>206</v>
      </c>
      <c r="E67" s="188" t="s">
        <v>207</v>
      </c>
      <c r="F67" s="189" t="s">
        <v>208</v>
      </c>
      <c r="G67" s="188" t="s">
        <v>209</v>
      </c>
      <c r="H67" s="188" t="s">
        <v>210</v>
      </c>
      <c r="I67" s="188" t="s">
        <v>211</v>
      </c>
    </row>
    <row r="68" spans="1:13" ht="21" customHeight="1" x14ac:dyDescent="0.3">
      <c r="A68" s="190"/>
      <c r="B68" s="191"/>
      <c r="C68" s="192"/>
      <c r="D68" s="193"/>
      <c r="E68" s="194" t="s">
        <v>214</v>
      </c>
      <c r="F68" s="195" t="str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196" t="str">
        <f>IFERROR(ROUNDUP(D68/F68,0),"")</f>
        <v/>
      </c>
      <c r="H68" s="197"/>
      <c r="I68" s="193" t="str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</row>
    <row r="69" spans="1:13" ht="21" customHeight="1" x14ac:dyDescent="0.3">
      <c r="A69" s="190"/>
      <c r="B69" s="191"/>
      <c r="C69" s="192"/>
      <c r="D69" s="193"/>
      <c r="E69" s="194" t="s">
        <v>214</v>
      </c>
      <c r="F69" s="195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196" t="str">
        <f>IFERROR(ROUNDUP(D69/F69,0),"")</f>
        <v/>
      </c>
      <c r="H69" s="197"/>
      <c r="I69" s="193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</row>
    <row r="70" spans="1:13" ht="21" customHeight="1" x14ac:dyDescent="0.3">
      <c r="A70" s="190"/>
      <c r="B70" s="191"/>
      <c r="C70" s="192"/>
      <c r="D70" s="193"/>
      <c r="E70" s="194" t="s">
        <v>214</v>
      </c>
      <c r="F70" s="195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196" t="str">
        <f>IFERROR(ROUNDUP(D70/F70,0),"")</f>
        <v/>
      </c>
      <c r="H70" s="197"/>
      <c r="I70" s="193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</row>
    <row r="71" spans="1:13" ht="21" customHeight="1" x14ac:dyDescent="0.3">
      <c r="A71" s="190"/>
      <c r="B71" s="191"/>
      <c r="C71" s="192"/>
      <c r="D71" s="193"/>
      <c r="E71" s="194" t="s">
        <v>214</v>
      </c>
      <c r="F71" s="195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196" t="str">
        <f>IFERROR(ROUNDUP(D71/F71,0),"")</f>
        <v/>
      </c>
      <c r="H71" s="197"/>
      <c r="I71" s="193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</row>
    <row r="72" spans="1:13" ht="21" customHeight="1" x14ac:dyDescent="0.3">
      <c r="A72" s="190"/>
      <c r="B72" s="191"/>
      <c r="C72" s="192"/>
      <c r="D72" s="193"/>
      <c r="E72" s="194" t="s">
        <v>214</v>
      </c>
      <c r="F72" s="195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196" t="str">
        <f>IFERROR(ROUNDUP(D72/F72,0),"")</f>
        <v/>
      </c>
      <c r="H72" s="197"/>
      <c r="I72" s="193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15" customHeight="1" x14ac:dyDescent="0.3">
      <c r="A73" s="198"/>
      <c r="B73" s="199" t="s">
        <v>216</v>
      </c>
      <c r="C73" s="200"/>
      <c r="D73" s="201">
        <f>SUM(D66:D72)</f>
        <v>0</v>
      </c>
      <c r="E73" s="202"/>
      <c r="F73" s="202"/>
      <c r="G73" s="203">
        <f>SUM(G66:G72)</f>
        <v>0</v>
      </c>
      <c r="H73" s="201">
        <f>SUM(H66:H72)</f>
        <v>0</v>
      </c>
      <c r="I73" s="201">
        <f>SUM(I66:I72)</f>
        <v>0</v>
      </c>
      <c r="J73" s="28">
        <f>D73</f>
        <v>0</v>
      </c>
      <c r="K73" s="106">
        <f>G73</f>
        <v>0</v>
      </c>
      <c r="L73" s="28">
        <f>H73</f>
        <v>0</v>
      </c>
      <c r="M73" s="28">
        <f>I73</f>
        <v>0</v>
      </c>
    </row>
    <row r="74" spans="1:13" ht="6" customHeight="1" x14ac:dyDescent="0.3">
      <c r="C74" s="72"/>
    </row>
    <row r="75" spans="1:13" ht="15" customHeight="1" x14ac:dyDescent="0.3">
      <c r="A75" s="30">
        <v>46338</v>
      </c>
      <c r="B75" s="186" t="s">
        <v>78</v>
      </c>
      <c r="C75" s="187" t="s">
        <v>205</v>
      </c>
      <c r="D75" s="188" t="s">
        <v>206</v>
      </c>
      <c r="E75" s="188" t="s">
        <v>207</v>
      </c>
      <c r="F75" s="189" t="s">
        <v>208</v>
      </c>
      <c r="G75" s="188" t="s">
        <v>209</v>
      </c>
      <c r="H75" s="188" t="s">
        <v>210</v>
      </c>
      <c r="I75" s="188" t="s">
        <v>211</v>
      </c>
    </row>
    <row r="76" spans="1:13" ht="21" customHeight="1" x14ac:dyDescent="0.3">
      <c r="A76" s="190"/>
      <c r="B76" s="191"/>
      <c r="C76" s="192"/>
      <c r="D76" s="193"/>
      <c r="E76" s="194" t="s">
        <v>214</v>
      </c>
      <c r="F76" s="195" t="str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196" t="str">
        <f>IFERROR(ROUNDUP(D76/F76,0),"")</f>
        <v/>
      </c>
      <c r="H76" s="197"/>
      <c r="I76" s="193" t="str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</row>
    <row r="77" spans="1:13" ht="21" customHeight="1" x14ac:dyDescent="0.3">
      <c r="A77" s="190"/>
      <c r="B77" s="191"/>
      <c r="C77" s="192"/>
      <c r="D77" s="193"/>
      <c r="E77" s="194" t="s">
        <v>214</v>
      </c>
      <c r="F77" s="195" t="str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196" t="str">
        <f>IFERROR(ROUNDUP(D77/F77,0),"")</f>
        <v/>
      </c>
      <c r="H77" s="197"/>
      <c r="I77" s="193" t="str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</row>
    <row r="78" spans="1:13" ht="21" customHeight="1" x14ac:dyDescent="0.3">
      <c r="A78" s="190"/>
      <c r="B78" s="191"/>
      <c r="C78" s="192"/>
      <c r="D78" s="193"/>
      <c r="E78" s="194" t="s">
        <v>214</v>
      </c>
      <c r="F78" s="195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196" t="str">
        <f>IFERROR(ROUNDUP(D78/F78,0),"")</f>
        <v/>
      </c>
      <c r="H78" s="197"/>
      <c r="I78" s="193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</row>
    <row r="79" spans="1:13" ht="21" customHeight="1" x14ac:dyDescent="0.3">
      <c r="A79" s="190"/>
      <c r="B79" s="191"/>
      <c r="C79" s="192"/>
      <c r="D79" s="193"/>
      <c r="E79" s="194" t="s">
        <v>214</v>
      </c>
      <c r="F79" s="195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196" t="str">
        <f>IFERROR(ROUNDUP(D79/F79,0),"")</f>
        <v/>
      </c>
      <c r="H79" s="197"/>
      <c r="I79" s="193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</row>
    <row r="80" spans="1:13" ht="21" customHeight="1" x14ac:dyDescent="0.3">
      <c r="A80" s="190"/>
      <c r="B80" s="191"/>
      <c r="C80" s="192"/>
      <c r="D80" s="193"/>
      <c r="E80" s="194" t="s">
        <v>214</v>
      </c>
      <c r="F80" s="195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196" t="str">
        <f>IFERROR(ROUNDUP(D80/F80,0),"")</f>
        <v/>
      </c>
      <c r="H80" s="197"/>
      <c r="I80" s="193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15" customHeight="1" x14ac:dyDescent="0.3">
      <c r="A81" s="198"/>
      <c r="B81" s="199" t="s">
        <v>216</v>
      </c>
      <c r="C81" s="200"/>
      <c r="D81" s="201">
        <f>SUM(D74:D80)</f>
        <v>0</v>
      </c>
      <c r="E81" s="202"/>
      <c r="F81" s="202"/>
      <c r="G81" s="203">
        <f>SUM(G74:G80)</f>
        <v>0</v>
      </c>
      <c r="H81" s="201">
        <f>SUM(H74:H80)</f>
        <v>0</v>
      </c>
      <c r="I81" s="201">
        <f>SUM(I74:I80)</f>
        <v>0</v>
      </c>
      <c r="J81" s="28">
        <f>D81</f>
        <v>0</v>
      </c>
      <c r="K81" s="106">
        <f>G81</f>
        <v>0</v>
      </c>
      <c r="L81" s="28">
        <f>H81</f>
        <v>0</v>
      </c>
      <c r="M81" s="28">
        <f>I81</f>
        <v>0</v>
      </c>
    </row>
    <row r="82" spans="1:13" ht="6" customHeight="1" x14ac:dyDescent="0.3">
      <c r="C82" s="72"/>
    </row>
    <row r="83" spans="1:13" ht="15" customHeight="1" x14ac:dyDescent="0.3">
      <c r="A83" s="30">
        <v>46339</v>
      </c>
      <c r="B83" s="186" t="s">
        <v>78</v>
      </c>
      <c r="C83" s="187" t="s">
        <v>205</v>
      </c>
      <c r="D83" s="188" t="s">
        <v>206</v>
      </c>
      <c r="E83" s="188" t="s">
        <v>207</v>
      </c>
      <c r="F83" s="189" t="s">
        <v>208</v>
      </c>
      <c r="G83" s="188" t="s">
        <v>209</v>
      </c>
      <c r="H83" s="188" t="s">
        <v>210</v>
      </c>
      <c r="I83" s="188" t="s">
        <v>211</v>
      </c>
    </row>
    <row r="84" spans="1:13" ht="21" customHeight="1" x14ac:dyDescent="0.3">
      <c r="A84" s="190"/>
      <c r="B84" s="191"/>
      <c r="C84" s="192"/>
      <c r="D84" s="193"/>
      <c r="E84" s="194" t="s">
        <v>214</v>
      </c>
      <c r="F84" s="195" t="str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196" t="str">
        <f>IFERROR(ROUNDUP(D84/F84,0),"")</f>
        <v/>
      </c>
      <c r="H84" s="197"/>
      <c r="I84" s="193" t="str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</row>
    <row r="85" spans="1:13" ht="21" customHeight="1" x14ac:dyDescent="0.3">
      <c r="A85" s="190"/>
      <c r="B85" s="191"/>
      <c r="C85" s="192"/>
      <c r="D85" s="193"/>
      <c r="E85" s="194" t="s">
        <v>214</v>
      </c>
      <c r="F85" s="195" t="str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196" t="str">
        <f>IFERROR(ROUNDUP(D85/F85,0),"")</f>
        <v/>
      </c>
      <c r="H85" s="197"/>
      <c r="I85" s="193" t="str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</row>
    <row r="86" spans="1:13" ht="21" customHeight="1" x14ac:dyDescent="0.3">
      <c r="A86" s="190"/>
      <c r="B86" s="191"/>
      <c r="C86" s="192"/>
      <c r="D86" s="193"/>
      <c r="E86" s="194" t="s">
        <v>214</v>
      </c>
      <c r="F86" s="195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196" t="str">
        <f>IFERROR(ROUNDUP(D86/F86,0),"")</f>
        <v/>
      </c>
      <c r="H86" s="197"/>
      <c r="I86" s="193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</row>
    <row r="87" spans="1:13" ht="21" customHeight="1" x14ac:dyDescent="0.3">
      <c r="A87" s="190"/>
      <c r="B87" s="191"/>
      <c r="C87" s="192"/>
      <c r="D87" s="193"/>
      <c r="E87" s="194" t="s">
        <v>214</v>
      </c>
      <c r="F87" s="195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196" t="str">
        <f>IFERROR(ROUNDUP(D87/F87,0),"")</f>
        <v/>
      </c>
      <c r="H87" s="197"/>
      <c r="I87" s="193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</row>
    <row r="88" spans="1:13" ht="21" customHeight="1" x14ac:dyDescent="0.3">
      <c r="A88" s="190"/>
      <c r="B88" s="191"/>
      <c r="C88" s="192"/>
      <c r="D88" s="193"/>
      <c r="E88" s="194" t="s">
        <v>214</v>
      </c>
      <c r="F88" s="195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196" t="str">
        <f>IFERROR(ROUNDUP(D88/F88,0),"")</f>
        <v/>
      </c>
      <c r="H88" s="197"/>
      <c r="I88" s="193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</row>
    <row r="89" spans="1:13" ht="15" customHeight="1" x14ac:dyDescent="0.3">
      <c r="A89" s="198"/>
      <c r="B89" s="199" t="s">
        <v>216</v>
      </c>
      <c r="C89" s="200"/>
      <c r="D89" s="201">
        <f>SUM(D82:D88)</f>
        <v>0</v>
      </c>
      <c r="E89" s="202"/>
      <c r="F89" s="202"/>
      <c r="G89" s="203">
        <f>SUM(G82:G88)</f>
        <v>0</v>
      </c>
      <c r="H89" s="201">
        <f>SUM(H82:H88)</f>
        <v>0</v>
      </c>
      <c r="I89" s="201">
        <f>SUM(I82:I88)</f>
        <v>0</v>
      </c>
      <c r="J89" s="28">
        <f>D89</f>
        <v>0</v>
      </c>
      <c r="K89" s="106">
        <f>G89</f>
        <v>0</v>
      </c>
      <c r="L89" s="28">
        <f>H89</f>
        <v>0</v>
      </c>
      <c r="M89" s="28">
        <f>I89</f>
        <v>0</v>
      </c>
    </row>
    <row r="90" spans="1:13" ht="6" customHeight="1" x14ac:dyDescent="0.3">
      <c r="C90" s="72"/>
    </row>
    <row r="91" spans="1:13" ht="15" customHeight="1" x14ac:dyDescent="0.3">
      <c r="A91" s="235">
        <v>46340</v>
      </c>
      <c r="B91" s="186" t="s">
        <v>78</v>
      </c>
      <c r="C91" s="187" t="s">
        <v>205</v>
      </c>
      <c r="D91" s="188" t="s">
        <v>206</v>
      </c>
      <c r="E91" s="188" t="s">
        <v>207</v>
      </c>
      <c r="F91" s="236" t="s">
        <v>208</v>
      </c>
      <c r="G91" s="188" t="s">
        <v>209</v>
      </c>
      <c r="H91" s="188" t="s">
        <v>210</v>
      </c>
      <c r="I91" s="188" t="s">
        <v>211</v>
      </c>
      <c r="J91" s="237"/>
      <c r="K91" s="237"/>
      <c r="L91" s="237"/>
      <c r="M91" s="237"/>
    </row>
    <row r="92" spans="1:13" ht="21" customHeight="1" x14ac:dyDescent="0.3">
      <c r="A92" s="190"/>
      <c r="B92" s="238"/>
      <c r="C92" s="239"/>
      <c r="D92" s="240"/>
      <c r="E92" s="241" t="s">
        <v>214</v>
      </c>
      <c r="F92" s="242" t="str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243" t="str">
        <f>IFERROR(ROUNDUP(D92/F92,0),"")</f>
        <v/>
      </c>
      <c r="H92" s="197"/>
      <c r="I92" s="240" t="str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  <c r="J92" s="237"/>
      <c r="K92" s="237"/>
      <c r="L92" s="237"/>
      <c r="M92" s="237"/>
    </row>
    <row r="93" spans="1:13" ht="21" customHeight="1" x14ac:dyDescent="0.3">
      <c r="A93" s="190"/>
      <c r="B93" s="238"/>
      <c r="C93" s="239"/>
      <c r="D93" s="240"/>
      <c r="E93" s="241" t="s">
        <v>214</v>
      </c>
      <c r="F93" s="242" t="str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243" t="str">
        <f>IFERROR(ROUNDUP(D93/F93,0),"")</f>
        <v/>
      </c>
      <c r="H93" s="197"/>
      <c r="I93" s="240" t="str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  <c r="J93" s="237"/>
      <c r="K93" s="237"/>
      <c r="L93" s="237"/>
      <c r="M93" s="237"/>
    </row>
    <row r="94" spans="1:13" ht="21" customHeight="1" x14ac:dyDescent="0.3">
      <c r="A94" s="190"/>
      <c r="B94" s="238"/>
      <c r="C94" s="239"/>
      <c r="D94" s="240"/>
      <c r="E94" s="241" t="s">
        <v>214</v>
      </c>
      <c r="F94" s="242" t="str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243" t="str">
        <f>IFERROR(ROUNDUP(D94/F94,0),"")</f>
        <v/>
      </c>
      <c r="H94" s="197"/>
      <c r="I94" s="240" t="str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  <c r="J94" s="237"/>
      <c r="K94" s="237"/>
      <c r="L94" s="237"/>
      <c r="M94" s="237"/>
    </row>
    <row r="95" spans="1:13" ht="21" customHeight="1" x14ac:dyDescent="0.3">
      <c r="A95" s="190"/>
      <c r="B95" s="238"/>
      <c r="C95" s="239"/>
      <c r="D95" s="240"/>
      <c r="E95" s="241" t="s">
        <v>214</v>
      </c>
      <c r="F95" s="242" t="str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243" t="str">
        <f>IFERROR(ROUNDUP(D95/F95,0),"")</f>
        <v/>
      </c>
      <c r="H95" s="197"/>
      <c r="I95" s="240" t="str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  <c r="J95" s="237"/>
      <c r="K95" s="237"/>
      <c r="L95" s="237"/>
      <c r="M95" s="237"/>
    </row>
    <row r="96" spans="1:13" ht="21" customHeight="1" x14ac:dyDescent="0.3">
      <c r="A96" s="190"/>
      <c r="B96" s="238"/>
      <c r="C96" s="239"/>
      <c r="D96" s="240"/>
      <c r="E96" s="241" t="s">
        <v>214</v>
      </c>
      <c r="F96" s="242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243" t="str">
        <f>IFERROR(ROUNDUP(D96/F96,0),"")</f>
        <v/>
      </c>
      <c r="H96" s="197"/>
      <c r="I96" s="240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  <c r="J96" s="237"/>
      <c r="K96" s="237"/>
      <c r="L96" s="237"/>
      <c r="M96" s="237"/>
    </row>
    <row r="97" spans="1:13" ht="15" customHeight="1" x14ac:dyDescent="0.3">
      <c r="A97" s="244"/>
      <c r="B97" s="199" t="s">
        <v>216</v>
      </c>
      <c r="C97" s="245"/>
      <c r="D97" s="201">
        <f>SUM(D90:D96)</f>
        <v>0</v>
      </c>
      <c r="E97" s="246"/>
      <c r="F97" s="246"/>
      <c r="G97" s="203">
        <f>SUM(G90:G96)</f>
        <v>0</v>
      </c>
      <c r="H97" s="201">
        <f>SUM(H90:H96)</f>
        <v>0</v>
      </c>
      <c r="I97" s="201">
        <f>SUM(I90:I96)</f>
        <v>0</v>
      </c>
      <c r="J97" s="247">
        <f>D97</f>
        <v>0</v>
      </c>
      <c r="K97" s="248">
        <f>G97</f>
        <v>0</v>
      </c>
      <c r="L97" s="247">
        <f>H97</f>
        <v>0</v>
      </c>
      <c r="M97" s="247">
        <f>I97</f>
        <v>0</v>
      </c>
    </row>
    <row r="98" spans="1:13" ht="6" customHeight="1" x14ac:dyDescent="0.3">
      <c r="A98" s="237"/>
      <c r="B98" s="237"/>
      <c r="C98" s="249"/>
      <c r="D98" s="237"/>
      <c r="E98" s="237"/>
      <c r="F98" s="237"/>
      <c r="G98" s="237"/>
      <c r="H98" s="237"/>
      <c r="I98" s="237"/>
      <c r="J98" s="237"/>
      <c r="K98" s="237"/>
      <c r="L98" s="237"/>
      <c r="M98" s="237"/>
    </row>
    <row r="99" spans="1:13" ht="15" customHeight="1" x14ac:dyDescent="0.3">
      <c r="A99" s="30">
        <v>46342</v>
      </c>
      <c r="B99" s="186" t="s">
        <v>78</v>
      </c>
      <c r="C99" s="187" t="s">
        <v>205</v>
      </c>
      <c r="D99" s="188" t="s">
        <v>206</v>
      </c>
      <c r="E99" s="188" t="s">
        <v>207</v>
      </c>
      <c r="F99" s="189" t="s">
        <v>208</v>
      </c>
      <c r="G99" s="188" t="s">
        <v>209</v>
      </c>
      <c r="H99" s="188" t="s">
        <v>210</v>
      </c>
      <c r="I99" s="188" t="s">
        <v>211</v>
      </c>
    </row>
    <row r="100" spans="1:13" ht="21" customHeight="1" x14ac:dyDescent="0.3">
      <c r="A100" s="190"/>
      <c r="B100" s="191"/>
      <c r="C100" s="192"/>
      <c r="D100" s="193"/>
      <c r="E100" s="194" t="s">
        <v>214</v>
      </c>
      <c r="F100" s="195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196" t="str">
        <f>IFERROR(ROUNDUP(D100/F100,0),"")</f>
        <v/>
      </c>
      <c r="H100" s="197"/>
      <c r="I100" s="193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</row>
    <row r="101" spans="1:13" ht="21" customHeight="1" x14ac:dyDescent="0.3">
      <c r="A101" s="190"/>
      <c r="B101" s="191"/>
      <c r="C101" s="192"/>
      <c r="D101" s="193"/>
      <c r="E101" s="194" t="s">
        <v>214</v>
      </c>
      <c r="F101" s="195" t="str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196" t="str">
        <f>IFERROR(ROUNDUP(D101/F101,0),"")</f>
        <v/>
      </c>
      <c r="H101" s="197"/>
      <c r="I101" s="193" t="str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</row>
    <row r="102" spans="1:13" ht="21" customHeight="1" x14ac:dyDescent="0.3">
      <c r="A102" s="190"/>
      <c r="B102" s="191"/>
      <c r="C102" s="192"/>
      <c r="D102" s="193"/>
      <c r="E102" s="194" t="s">
        <v>214</v>
      </c>
      <c r="F102" s="195" t="str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196" t="str">
        <f>IFERROR(ROUNDUP(D102/F102,0),"")</f>
        <v/>
      </c>
      <c r="H102" s="197"/>
      <c r="I102" s="193" t="str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</row>
    <row r="103" spans="1:13" ht="21" customHeight="1" x14ac:dyDescent="0.3">
      <c r="A103" s="190"/>
      <c r="B103" s="191"/>
      <c r="C103" s="192"/>
      <c r="D103" s="193"/>
      <c r="E103" s="194" t="s">
        <v>214</v>
      </c>
      <c r="F103" s="195" t="str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196" t="str">
        <f>IFERROR(ROUNDUP(D103/F103,0),"")</f>
        <v/>
      </c>
      <c r="H103" s="197"/>
      <c r="I103" s="193" t="str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</row>
    <row r="104" spans="1:13" ht="21" customHeight="1" x14ac:dyDescent="0.3">
      <c r="A104" s="190"/>
      <c r="B104" s="191"/>
      <c r="C104" s="192"/>
      <c r="D104" s="193"/>
      <c r="E104" s="194" t="s">
        <v>214</v>
      </c>
      <c r="F104" s="195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196" t="str">
        <f>IFERROR(ROUNDUP(D104/F104,0),"")</f>
        <v/>
      </c>
      <c r="H104" s="197"/>
      <c r="I104" s="193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</row>
    <row r="105" spans="1:13" ht="15" customHeight="1" x14ac:dyDescent="0.3">
      <c r="A105" s="198"/>
      <c r="B105" s="199" t="s">
        <v>216</v>
      </c>
      <c r="C105" s="200"/>
      <c r="D105" s="201">
        <f>SUM(D98:D104)</f>
        <v>0</v>
      </c>
      <c r="E105" s="202"/>
      <c r="F105" s="202"/>
      <c r="G105" s="203">
        <f>SUM(G98:G104)</f>
        <v>0</v>
      </c>
      <c r="H105" s="201">
        <f>SUM(H98:H104)</f>
        <v>0</v>
      </c>
      <c r="I105" s="201">
        <f>SUM(I98:I104)</f>
        <v>0</v>
      </c>
      <c r="J105" s="28">
        <f>D105</f>
        <v>0</v>
      </c>
      <c r="K105" s="106">
        <f>G105</f>
        <v>0</v>
      </c>
      <c r="L105" s="28">
        <f>H105</f>
        <v>0</v>
      </c>
      <c r="M105" s="28">
        <f>I105</f>
        <v>0</v>
      </c>
    </row>
    <row r="106" spans="1:13" ht="6" customHeight="1" x14ac:dyDescent="0.3">
      <c r="C106" s="72"/>
    </row>
    <row r="107" spans="1:13" ht="15" customHeight="1" x14ac:dyDescent="0.3">
      <c r="A107" s="30">
        <v>46343</v>
      </c>
      <c r="B107" s="186" t="s">
        <v>78</v>
      </c>
      <c r="C107" s="187" t="s">
        <v>205</v>
      </c>
      <c r="D107" s="188" t="s">
        <v>206</v>
      </c>
      <c r="E107" s="188" t="s">
        <v>207</v>
      </c>
      <c r="F107" s="189" t="s">
        <v>208</v>
      </c>
      <c r="G107" s="188" t="s">
        <v>209</v>
      </c>
      <c r="H107" s="188" t="s">
        <v>210</v>
      </c>
      <c r="I107" s="188" t="s">
        <v>211</v>
      </c>
    </row>
    <row r="108" spans="1:13" ht="21" customHeight="1" x14ac:dyDescent="0.3">
      <c r="A108" s="190"/>
      <c r="B108" s="191"/>
      <c r="C108" s="192"/>
      <c r="D108" s="193"/>
      <c r="E108" s="194" t="s">
        <v>214</v>
      </c>
      <c r="F108" s="195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196" t="str">
        <f>IFERROR(ROUNDUP(D108/F108,0),"")</f>
        <v/>
      </c>
      <c r="H108" s="197"/>
      <c r="I108" s="193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</row>
    <row r="109" spans="1:13" ht="21" customHeight="1" x14ac:dyDescent="0.3">
      <c r="A109" s="190"/>
      <c r="B109" s="191"/>
      <c r="C109" s="192"/>
      <c r="D109" s="193"/>
      <c r="E109" s="194" t="s">
        <v>214</v>
      </c>
      <c r="F109" s="195" t="str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196" t="str">
        <f>IFERROR(ROUNDUP(D109/F109,0),"")</f>
        <v/>
      </c>
      <c r="H109" s="197"/>
      <c r="I109" s="193" t="str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</row>
    <row r="110" spans="1:13" ht="21" customHeight="1" x14ac:dyDescent="0.3">
      <c r="A110" s="190"/>
      <c r="B110" s="191"/>
      <c r="C110" s="192"/>
      <c r="D110" s="193"/>
      <c r="E110" s="194" t="s">
        <v>214</v>
      </c>
      <c r="F110" s="195" t="str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196" t="str">
        <f>IFERROR(ROUNDUP(D110/F110,0),"")</f>
        <v/>
      </c>
      <c r="H110" s="197"/>
      <c r="I110" s="193" t="str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</row>
    <row r="111" spans="1:13" ht="21" customHeight="1" x14ac:dyDescent="0.3">
      <c r="A111" s="190"/>
      <c r="B111" s="191"/>
      <c r="C111" s="192"/>
      <c r="D111" s="193"/>
      <c r="E111" s="194" t="s">
        <v>214</v>
      </c>
      <c r="F111" s="195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196" t="str">
        <f>IFERROR(ROUNDUP(D111/F111,0),"")</f>
        <v/>
      </c>
      <c r="H111" s="197"/>
      <c r="I111" s="193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3">
      <c r="A112" s="190"/>
      <c r="B112" s="191"/>
      <c r="C112" s="192"/>
      <c r="D112" s="193"/>
      <c r="E112" s="194" t="s">
        <v>214</v>
      </c>
      <c r="F112" s="195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196" t="str">
        <f>IFERROR(ROUNDUP(D112/F112,0),"")</f>
        <v/>
      </c>
      <c r="H112" s="197"/>
      <c r="I112" s="193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15" customHeight="1" x14ac:dyDescent="0.3">
      <c r="A113" s="198"/>
      <c r="B113" s="199" t="s">
        <v>216</v>
      </c>
      <c r="C113" s="200"/>
      <c r="D113" s="201">
        <f>SUM(D106:D112)</f>
        <v>0</v>
      </c>
      <c r="E113" s="202"/>
      <c r="F113" s="202"/>
      <c r="G113" s="203">
        <f>SUM(G106:G112)</f>
        <v>0</v>
      </c>
      <c r="H113" s="201">
        <f>SUM(H106:H112)</f>
        <v>0</v>
      </c>
      <c r="I113" s="201">
        <f>SUM(I106:I112)</f>
        <v>0</v>
      </c>
      <c r="J113" s="28">
        <f>D113</f>
        <v>0</v>
      </c>
      <c r="K113" s="106">
        <f>G113</f>
        <v>0</v>
      </c>
      <c r="L113" s="28">
        <f>H113</f>
        <v>0</v>
      </c>
      <c r="M113" s="28">
        <f>I113</f>
        <v>0</v>
      </c>
    </row>
    <row r="114" spans="1:13" ht="6" customHeight="1" x14ac:dyDescent="0.3">
      <c r="C114" s="72"/>
    </row>
    <row r="115" spans="1:13" ht="15" customHeight="1" x14ac:dyDescent="0.3">
      <c r="A115" s="30">
        <v>46344</v>
      </c>
      <c r="B115" s="186" t="s">
        <v>78</v>
      </c>
      <c r="C115" s="187" t="s">
        <v>205</v>
      </c>
      <c r="D115" s="188" t="s">
        <v>206</v>
      </c>
      <c r="E115" s="188" t="s">
        <v>207</v>
      </c>
      <c r="F115" s="189" t="s">
        <v>208</v>
      </c>
      <c r="G115" s="188" t="s">
        <v>209</v>
      </c>
      <c r="H115" s="188" t="s">
        <v>210</v>
      </c>
      <c r="I115" s="188" t="s">
        <v>211</v>
      </c>
    </row>
    <row r="116" spans="1:13" ht="21" customHeight="1" x14ac:dyDescent="0.3">
      <c r="A116" s="190"/>
      <c r="B116" s="191"/>
      <c r="C116" s="192"/>
      <c r="D116" s="193"/>
      <c r="E116" s="194" t="s">
        <v>214</v>
      </c>
      <c r="F116" s="195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196" t="str">
        <f>IFERROR(ROUNDUP(D116/F116,0),"")</f>
        <v/>
      </c>
      <c r="H116" s="197"/>
      <c r="I116" s="193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</row>
    <row r="117" spans="1:13" ht="21" customHeight="1" x14ac:dyDescent="0.3">
      <c r="A117" s="190"/>
      <c r="B117" s="191"/>
      <c r="C117" s="192"/>
      <c r="D117" s="193"/>
      <c r="E117" s="194" t="s">
        <v>214</v>
      </c>
      <c r="F117" s="195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196" t="str">
        <f>IFERROR(ROUNDUP(D117/F117,0),"")</f>
        <v/>
      </c>
      <c r="H117" s="197"/>
      <c r="I117" s="193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</row>
    <row r="118" spans="1:13" ht="21" customHeight="1" x14ac:dyDescent="0.3">
      <c r="A118" s="190"/>
      <c r="B118" s="191"/>
      <c r="C118" s="192"/>
      <c r="D118" s="193"/>
      <c r="E118" s="194" t="s">
        <v>214</v>
      </c>
      <c r="F118" s="195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196" t="str">
        <f>IFERROR(ROUNDUP(D118/F118,0),"")</f>
        <v/>
      </c>
      <c r="H118" s="197"/>
      <c r="I118" s="193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</row>
    <row r="119" spans="1:13" ht="21" customHeight="1" x14ac:dyDescent="0.3">
      <c r="A119" s="190"/>
      <c r="B119" s="191"/>
      <c r="C119" s="192"/>
      <c r="D119" s="193"/>
      <c r="E119" s="194" t="s">
        <v>214</v>
      </c>
      <c r="F119" s="195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196" t="str">
        <f>IFERROR(ROUNDUP(D119/F119,0),"")</f>
        <v/>
      </c>
      <c r="H119" s="197"/>
      <c r="I119" s="193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</row>
    <row r="120" spans="1:13" ht="21" customHeight="1" x14ac:dyDescent="0.3">
      <c r="A120" s="190"/>
      <c r="B120" s="191"/>
      <c r="C120" s="192"/>
      <c r="D120" s="193"/>
      <c r="E120" s="194" t="s">
        <v>214</v>
      </c>
      <c r="F120" s="195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196" t="str">
        <f>IFERROR(ROUNDUP(D120/F120,0),"")</f>
        <v/>
      </c>
      <c r="H120" s="197"/>
      <c r="I120" s="193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</row>
    <row r="121" spans="1:13" ht="15" customHeight="1" x14ac:dyDescent="0.3">
      <c r="A121" s="198"/>
      <c r="B121" s="199" t="s">
        <v>216</v>
      </c>
      <c r="C121" s="200"/>
      <c r="D121" s="201">
        <f>SUM(D114:D120)</f>
        <v>0</v>
      </c>
      <c r="E121" s="202"/>
      <c r="F121" s="202"/>
      <c r="G121" s="203">
        <f>SUM(G114:G120)</f>
        <v>0</v>
      </c>
      <c r="H121" s="201">
        <f>SUM(H114:H120)</f>
        <v>0</v>
      </c>
      <c r="I121" s="201">
        <f>SUM(I114:I120)</f>
        <v>0</v>
      </c>
      <c r="J121" s="28">
        <f>D121</f>
        <v>0</v>
      </c>
      <c r="K121" s="106">
        <f>G121</f>
        <v>0</v>
      </c>
      <c r="L121" s="28">
        <f>H121</f>
        <v>0</v>
      </c>
      <c r="M121" s="28">
        <f>I121</f>
        <v>0</v>
      </c>
    </row>
    <row r="122" spans="1:13" ht="6" customHeight="1" x14ac:dyDescent="0.3">
      <c r="C122" s="72"/>
    </row>
    <row r="123" spans="1:13" ht="15" customHeight="1" x14ac:dyDescent="0.3">
      <c r="A123" s="30">
        <v>46345</v>
      </c>
      <c r="B123" s="186" t="s">
        <v>78</v>
      </c>
      <c r="C123" s="187" t="s">
        <v>205</v>
      </c>
      <c r="D123" s="188" t="s">
        <v>206</v>
      </c>
      <c r="E123" s="188" t="s">
        <v>207</v>
      </c>
      <c r="F123" s="189" t="s">
        <v>208</v>
      </c>
      <c r="G123" s="188" t="s">
        <v>209</v>
      </c>
      <c r="H123" s="188" t="s">
        <v>210</v>
      </c>
      <c r="I123" s="188" t="s">
        <v>211</v>
      </c>
    </row>
    <row r="124" spans="1:13" ht="21" customHeight="1" x14ac:dyDescent="0.3">
      <c r="A124" s="190"/>
      <c r="B124" s="191"/>
      <c r="C124" s="192"/>
      <c r="D124" s="193"/>
      <c r="E124" s="194" t="s">
        <v>214</v>
      </c>
      <c r="F124" s="195" t="str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196" t="str">
        <f>IFERROR(ROUNDUP(D124/F124,0),"")</f>
        <v/>
      </c>
      <c r="H124" s="197"/>
      <c r="I124" s="193" t="str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</row>
    <row r="125" spans="1:13" ht="21" customHeight="1" x14ac:dyDescent="0.3">
      <c r="A125" s="190"/>
      <c r="B125" s="191"/>
      <c r="C125" s="192"/>
      <c r="D125" s="193"/>
      <c r="E125" s="194" t="s">
        <v>214</v>
      </c>
      <c r="F125" s="195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196" t="str">
        <f>IFERROR(ROUNDUP(D125/F125,0),"")</f>
        <v/>
      </c>
      <c r="H125" s="197"/>
      <c r="I125" s="193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</row>
    <row r="126" spans="1:13" ht="21" customHeight="1" x14ac:dyDescent="0.3">
      <c r="A126" s="190"/>
      <c r="B126" s="191"/>
      <c r="C126" s="192"/>
      <c r="D126" s="193"/>
      <c r="E126" s="194" t="s">
        <v>214</v>
      </c>
      <c r="F126" s="195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196" t="str">
        <f>IFERROR(ROUNDUP(D126/F126,0),"")</f>
        <v/>
      </c>
      <c r="H126" s="197"/>
      <c r="I126" s="193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</row>
    <row r="127" spans="1:13" ht="21" customHeight="1" x14ac:dyDescent="0.3">
      <c r="A127" s="190"/>
      <c r="B127" s="191"/>
      <c r="C127" s="192"/>
      <c r="D127" s="193"/>
      <c r="E127" s="194" t="s">
        <v>214</v>
      </c>
      <c r="F127" s="195" t="str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196" t="str">
        <f>IFERROR(ROUNDUP(D127/F127,0),"")</f>
        <v/>
      </c>
      <c r="H127" s="197"/>
      <c r="I127" s="193" t="str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</row>
    <row r="128" spans="1:13" ht="21" customHeight="1" x14ac:dyDescent="0.3">
      <c r="A128" s="190"/>
      <c r="B128" s="191"/>
      <c r="C128" s="192"/>
      <c r="D128" s="193"/>
      <c r="E128" s="194" t="s">
        <v>214</v>
      </c>
      <c r="F128" s="195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196" t="str">
        <f>IFERROR(ROUNDUP(D128/F128,0),"")</f>
        <v/>
      </c>
      <c r="H128" s="197"/>
      <c r="I128" s="193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</row>
    <row r="129" spans="1:13" ht="15" customHeight="1" x14ac:dyDescent="0.3">
      <c r="A129" s="198"/>
      <c r="B129" s="199" t="s">
        <v>216</v>
      </c>
      <c r="C129" s="200"/>
      <c r="D129" s="201">
        <f>SUM(D122:D128)</f>
        <v>0</v>
      </c>
      <c r="E129" s="202"/>
      <c r="F129" s="202"/>
      <c r="G129" s="203">
        <f>SUM(G122:G128)</f>
        <v>0</v>
      </c>
      <c r="H129" s="201">
        <f>SUM(H122:H128)</f>
        <v>0</v>
      </c>
      <c r="I129" s="201">
        <f>SUM(I122:I128)</f>
        <v>0</v>
      </c>
      <c r="J129" s="28">
        <f>D129</f>
        <v>0</v>
      </c>
      <c r="K129" s="106">
        <f>G129</f>
        <v>0</v>
      </c>
      <c r="L129" s="28">
        <f>H129</f>
        <v>0</v>
      </c>
      <c r="M129" s="28">
        <f>I129</f>
        <v>0</v>
      </c>
    </row>
    <row r="130" spans="1:13" ht="6" customHeight="1" x14ac:dyDescent="0.3">
      <c r="C130" s="72"/>
    </row>
    <row r="131" spans="1:13" ht="15" customHeight="1" x14ac:dyDescent="0.3">
      <c r="A131" s="30">
        <v>46346</v>
      </c>
      <c r="B131" s="186" t="s">
        <v>78</v>
      </c>
      <c r="C131" s="187" t="s">
        <v>205</v>
      </c>
      <c r="D131" s="188" t="s">
        <v>206</v>
      </c>
      <c r="E131" s="188" t="s">
        <v>207</v>
      </c>
      <c r="F131" s="189" t="s">
        <v>208</v>
      </c>
      <c r="G131" s="188" t="s">
        <v>209</v>
      </c>
      <c r="H131" s="188" t="s">
        <v>210</v>
      </c>
      <c r="I131" s="188" t="s">
        <v>211</v>
      </c>
    </row>
    <row r="132" spans="1:13" ht="21" customHeight="1" x14ac:dyDescent="0.3">
      <c r="A132" s="190"/>
      <c r="B132" s="191"/>
      <c r="C132" s="192"/>
      <c r="D132" s="193"/>
      <c r="E132" s="194" t="s">
        <v>214</v>
      </c>
      <c r="F132" s="195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196" t="str">
        <f>IFERROR(ROUNDUP(D132/F132,0),"")</f>
        <v/>
      </c>
      <c r="H132" s="197"/>
      <c r="I132" s="193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</row>
    <row r="133" spans="1:13" ht="21" customHeight="1" x14ac:dyDescent="0.3">
      <c r="A133" s="190"/>
      <c r="B133" s="191"/>
      <c r="C133" s="192"/>
      <c r="D133" s="193"/>
      <c r="E133" s="194" t="s">
        <v>214</v>
      </c>
      <c r="F133" s="195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196" t="str">
        <f>IFERROR(ROUNDUP(D133/F133,0),"")</f>
        <v/>
      </c>
      <c r="H133" s="197"/>
      <c r="I133" s="193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</row>
    <row r="134" spans="1:13" ht="21" customHeight="1" x14ac:dyDescent="0.3">
      <c r="A134" s="190"/>
      <c r="B134" s="191"/>
      <c r="C134" s="192"/>
      <c r="D134" s="193"/>
      <c r="E134" s="194" t="s">
        <v>214</v>
      </c>
      <c r="F134" s="195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196" t="str">
        <f>IFERROR(ROUNDUP(D134/F134,0),"")</f>
        <v/>
      </c>
      <c r="H134" s="197"/>
      <c r="I134" s="193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</row>
    <row r="135" spans="1:13" ht="21" customHeight="1" x14ac:dyDescent="0.3">
      <c r="A135" s="190"/>
      <c r="B135" s="191"/>
      <c r="C135" s="192"/>
      <c r="D135" s="193"/>
      <c r="E135" s="194" t="s">
        <v>214</v>
      </c>
      <c r="F135" s="195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196" t="str">
        <f>IFERROR(ROUNDUP(D135/F135,0),"")</f>
        <v/>
      </c>
      <c r="H135" s="197"/>
      <c r="I135" s="193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</row>
    <row r="136" spans="1:13" ht="21" customHeight="1" x14ac:dyDescent="0.3">
      <c r="A136" s="190"/>
      <c r="B136" s="191"/>
      <c r="C136" s="192"/>
      <c r="D136" s="193"/>
      <c r="E136" s="194" t="s">
        <v>214</v>
      </c>
      <c r="F136" s="195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196" t="str">
        <f>IFERROR(ROUNDUP(D136/F136,0),"")</f>
        <v/>
      </c>
      <c r="H136" s="197"/>
      <c r="I136" s="193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</row>
    <row r="137" spans="1:13" ht="15" customHeight="1" x14ac:dyDescent="0.3">
      <c r="A137" s="198"/>
      <c r="B137" s="199" t="s">
        <v>216</v>
      </c>
      <c r="C137" s="200"/>
      <c r="D137" s="201">
        <f>SUM(D130:D136)</f>
        <v>0</v>
      </c>
      <c r="E137" s="202"/>
      <c r="F137" s="202"/>
      <c r="G137" s="203">
        <f>SUM(G130:G136)</f>
        <v>0</v>
      </c>
      <c r="H137" s="201">
        <f>SUM(H130:H136)</f>
        <v>0</v>
      </c>
      <c r="I137" s="201">
        <f>SUM(I130:I136)</f>
        <v>0</v>
      </c>
      <c r="J137" s="28">
        <f>D137</f>
        <v>0</v>
      </c>
      <c r="K137" s="106">
        <f>G137</f>
        <v>0</v>
      </c>
      <c r="L137" s="28">
        <f>H137</f>
        <v>0</v>
      </c>
      <c r="M137" s="28">
        <f>I137</f>
        <v>0</v>
      </c>
    </row>
    <row r="138" spans="1:13" ht="6" customHeight="1" x14ac:dyDescent="0.3">
      <c r="C138" s="72"/>
    </row>
    <row r="139" spans="1:13" ht="15" customHeight="1" x14ac:dyDescent="0.3">
      <c r="A139" s="235">
        <v>46347</v>
      </c>
      <c r="B139" s="186" t="s">
        <v>78</v>
      </c>
      <c r="C139" s="187" t="s">
        <v>205</v>
      </c>
      <c r="D139" s="188" t="s">
        <v>206</v>
      </c>
      <c r="E139" s="188" t="s">
        <v>207</v>
      </c>
      <c r="F139" s="236" t="s">
        <v>208</v>
      </c>
      <c r="G139" s="188" t="s">
        <v>209</v>
      </c>
      <c r="H139" s="188" t="s">
        <v>210</v>
      </c>
      <c r="I139" s="188" t="s">
        <v>211</v>
      </c>
      <c r="J139" s="237"/>
      <c r="K139" s="237"/>
      <c r="L139" s="237"/>
      <c r="M139" s="237"/>
    </row>
    <row r="140" spans="1:13" ht="21" customHeight="1" x14ac:dyDescent="0.3">
      <c r="A140" s="190"/>
      <c r="B140" s="238"/>
      <c r="C140" s="239"/>
      <c r="D140" s="240"/>
      <c r="E140" s="241" t="s">
        <v>214</v>
      </c>
      <c r="F140" s="242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243" t="str">
        <f>IFERROR(ROUNDUP(D140/F140,0),"")</f>
        <v/>
      </c>
      <c r="H140" s="197"/>
      <c r="I140" s="240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  <c r="J140" s="237"/>
      <c r="K140" s="237"/>
      <c r="L140" s="237"/>
      <c r="M140" s="237"/>
    </row>
    <row r="141" spans="1:13" ht="21" customHeight="1" x14ac:dyDescent="0.3">
      <c r="A141" s="190"/>
      <c r="B141" s="238"/>
      <c r="C141" s="239"/>
      <c r="D141" s="240"/>
      <c r="E141" s="241" t="s">
        <v>214</v>
      </c>
      <c r="F141" s="242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243" t="str">
        <f>IFERROR(ROUNDUP(D141/F141,0),"")</f>
        <v/>
      </c>
      <c r="H141" s="197"/>
      <c r="I141" s="240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  <c r="J141" s="237"/>
      <c r="K141" s="237"/>
      <c r="L141" s="237"/>
      <c r="M141" s="237"/>
    </row>
    <row r="142" spans="1:13" ht="21" customHeight="1" x14ac:dyDescent="0.3">
      <c r="A142" s="190"/>
      <c r="B142" s="238"/>
      <c r="C142" s="239"/>
      <c r="D142" s="240"/>
      <c r="E142" s="241" t="s">
        <v>214</v>
      </c>
      <c r="F142" s="242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243" t="str">
        <f>IFERROR(ROUNDUP(D142/F142,0),"")</f>
        <v/>
      </c>
      <c r="H142" s="197"/>
      <c r="I142" s="240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  <c r="J142" s="237"/>
      <c r="K142" s="237"/>
      <c r="L142" s="237"/>
      <c r="M142" s="237"/>
    </row>
    <row r="143" spans="1:13" ht="21" customHeight="1" x14ac:dyDescent="0.3">
      <c r="A143" s="190"/>
      <c r="B143" s="238"/>
      <c r="C143" s="239"/>
      <c r="D143" s="240"/>
      <c r="E143" s="241" t="s">
        <v>214</v>
      </c>
      <c r="F143" s="242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243" t="str">
        <f>IFERROR(ROUNDUP(D143/F143,0),"")</f>
        <v/>
      </c>
      <c r="H143" s="197"/>
      <c r="I143" s="240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  <c r="J143" s="237"/>
      <c r="K143" s="237"/>
      <c r="L143" s="237"/>
      <c r="M143" s="237"/>
    </row>
    <row r="144" spans="1:13" ht="21" customHeight="1" x14ac:dyDescent="0.3">
      <c r="A144" s="190"/>
      <c r="B144" s="238"/>
      <c r="C144" s="239"/>
      <c r="D144" s="240"/>
      <c r="E144" s="241" t="s">
        <v>214</v>
      </c>
      <c r="F144" s="242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243" t="str">
        <f>IFERROR(ROUNDUP(D144/F144,0),"")</f>
        <v/>
      </c>
      <c r="H144" s="197"/>
      <c r="I144" s="240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  <c r="J144" s="237"/>
      <c r="K144" s="237"/>
      <c r="L144" s="237"/>
      <c r="M144" s="237"/>
    </row>
    <row r="145" spans="1:13" ht="15" customHeight="1" x14ac:dyDescent="0.3">
      <c r="A145" s="244"/>
      <c r="B145" s="199" t="s">
        <v>216</v>
      </c>
      <c r="C145" s="245"/>
      <c r="D145" s="201">
        <f>SUM(D138:D144)</f>
        <v>0</v>
      </c>
      <c r="E145" s="246"/>
      <c r="F145" s="246"/>
      <c r="G145" s="203">
        <f>SUM(G138:G144)</f>
        <v>0</v>
      </c>
      <c r="H145" s="201">
        <f>SUM(H138:H144)</f>
        <v>0</v>
      </c>
      <c r="I145" s="201">
        <f>SUM(I138:I144)</f>
        <v>0</v>
      </c>
      <c r="J145" s="247">
        <f>D145</f>
        <v>0</v>
      </c>
      <c r="K145" s="248">
        <f>G145</f>
        <v>0</v>
      </c>
      <c r="L145" s="247">
        <f>H145</f>
        <v>0</v>
      </c>
      <c r="M145" s="247">
        <f>I145</f>
        <v>0</v>
      </c>
    </row>
    <row r="146" spans="1:13" ht="6" customHeight="1" x14ac:dyDescent="0.3">
      <c r="A146" s="237"/>
      <c r="B146" s="237"/>
      <c r="C146" s="249"/>
      <c r="D146" s="237"/>
      <c r="E146" s="237"/>
      <c r="F146" s="237"/>
      <c r="G146" s="237"/>
      <c r="H146" s="237"/>
      <c r="I146" s="237"/>
      <c r="J146" s="237"/>
      <c r="K146" s="237"/>
      <c r="L146" s="237"/>
      <c r="M146" s="237"/>
    </row>
    <row r="147" spans="1:13" ht="15" customHeight="1" x14ac:dyDescent="0.3">
      <c r="A147" s="30">
        <v>46349</v>
      </c>
      <c r="B147" s="186" t="s">
        <v>78</v>
      </c>
      <c r="C147" s="187" t="s">
        <v>205</v>
      </c>
      <c r="D147" s="188" t="s">
        <v>206</v>
      </c>
      <c r="E147" s="188" t="s">
        <v>207</v>
      </c>
      <c r="F147" s="189" t="s">
        <v>208</v>
      </c>
      <c r="G147" s="188" t="s">
        <v>209</v>
      </c>
      <c r="H147" s="188" t="s">
        <v>210</v>
      </c>
      <c r="I147" s="188" t="s">
        <v>211</v>
      </c>
    </row>
    <row r="148" spans="1:13" ht="21" customHeight="1" x14ac:dyDescent="0.3">
      <c r="A148" s="190"/>
      <c r="B148" s="191"/>
      <c r="C148" s="192"/>
      <c r="D148" s="193"/>
      <c r="E148" s="194" t="s">
        <v>214</v>
      </c>
      <c r="F148" s="195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196" t="str">
        <f>IFERROR(ROUNDUP(D148/F148,0),"")</f>
        <v/>
      </c>
      <c r="H148" s="197"/>
      <c r="I148" s="193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</row>
    <row r="149" spans="1:13" ht="21" customHeight="1" x14ac:dyDescent="0.3">
      <c r="A149" s="190"/>
      <c r="B149" s="191"/>
      <c r="C149" s="192"/>
      <c r="D149" s="193"/>
      <c r="E149" s="194" t="s">
        <v>214</v>
      </c>
      <c r="F149" s="195" t="str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196" t="str">
        <f>IFERROR(ROUNDUP(D149/F149,0),"")</f>
        <v/>
      </c>
      <c r="H149" s="197"/>
      <c r="I149" s="193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</row>
    <row r="150" spans="1:13" ht="21" customHeight="1" x14ac:dyDescent="0.3">
      <c r="A150" s="190"/>
      <c r="B150" s="191"/>
      <c r="C150" s="192"/>
      <c r="D150" s="193"/>
      <c r="E150" s="194" t="s">
        <v>214</v>
      </c>
      <c r="F150" s="195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196" t="str">
        <f>IFERROR(ROUNDUP(D150/F150,0),"")</f>
        <v/>
      </c>
      <c r="H150" s="197"/>
      <c r="I150" s="193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</row>
    <row r="151" spans="1:13" ht="21" customHeight="1" x14ac:dyDescent="0.3">
      <c r="A151" s="190"/>
      <c r="B151" s="191"/>
      <c r="C151" s="192"/>
      <c r="D151" s="193"/>
      <c r="E151" s="194" t="s">
        <v>214</v>
      </c>
      <c r="F151" s="195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196" t="str">
        <f>IFERROR(ROUNDUP(D151/F151,0),"")</f>
        <v/>
      </c>
      <c r="H151" s="197"/>
      <c r="I151" s="193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</row>
    <row r="152" spans="1:13" ht="21" customHeight="1" x14ac:dyDescent="0.3">
      <c r="A152" s="190"/>
      <c r="B152" s="191"/>
      <c r="C152" s="192"/>
      <c r="D152" s="193"/>
      <c r="E152" s="194" t="s">
        <v>214</v>
      </c>
      <c r="F152" s="195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196" t="str">
        <f>IFERROR(ROUNDUP(D152/F152,0),"")</f>
        <v/>
      </c>
      <c r="H152" s="197"/>
      <c r="I152" s="193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</row>
    <row r="153" spans="1:13" ht="15" customHeight="1" x14ac:dyDescent="0.3">
      <c r="A153" s="198"/>
      <c r="B153" s="199" t="s">
        <v>216</v>
      </c>
      <c r="C153" s="200"/>
      <c r="D153" s="201">
        <f>SUM(D146:D152)</f>
        <v>0</v>
      </c>
      <c r="E153" s="202"/>
      <c r="F153" s="202"/>
      <c r="G153" s="203">
        <f>SUM(G146:G152)</f>
        <v>0</v>
      </c>
      <c r="H153" s="201">
        <f>SUM(H146:H152)</f>
        <v>0</v>
      </c>
      <c r="I153" s="201">
        <f>SUM(I146:I152)</f>
        <v>0</v>
      </c>
      <c r="J153" s="28">
        <f>D153</f>
        <v>0</v>
      </c>
      <c r="K153" s="106">
        <f>G153</f>
        <v>0</v>
      </c>
      <c r="L153" s="28">
        <f>H153</f>
        <v>0</v>
      </c>
      <c r="M153" s="28">
        <f>I153</f>
        <v>0</v>
      </c>
    </row>
    <row r="154" spans="1:13" ht="6" customHeight="1" x14ac:dyDescent="0.3">
      <c r="C154" s="72"/>
    </row>
    <row r="155" spans="1:13" ht="15" customHeight="1" x14ac:dyDescent="0.3">
      <c r="A155" s="30">
        <v>46350</v>
      </c>
      <c r="B155" s="186" t="s">
        <v>78</v>
      </c>
      <c r="C155" s="187" t="s">
        <v>205</v>
      </c>
      <c r="D155" s="188" t="s">
        <v>206</v>
      </c>
      <c r="E155" s="188" t="s">
        <v>207</v>
      </c>
      <c r="F155" s="189" t="s">
        <v>208</v>
      </c>
      <c r="G155" s="188" t="s">
        <v>209</v>
      </c>
      <c r="H155" s="188" t="s">
        <v>210</v>
      </c>
      <c r="I155" s="188" t="s">
        <v>211</v>
      </c>
    </row>
    <row r="156" spans="1:13" ht="21" customHeight="1" x14ac:dyDescent="0.3">
      <c r="A156" s="190"/>
      <c r="B156" s="191"/>
      <c r="C156" s="192"/>
      <c r="D156" s="193"/>
      <c r="E156" s="194" t="s">
        <v>214</v>
      </c>
      <c r="F156" s="195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196" t="str">
        <f>IFERROR(ROUNDUP(D156/F156,0),"")</f>
        <v/>
      </c>
      <c r="H156" s="197"/>
      <c r="I156" s="193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21" customHeight="1" x14ac:dyDescent="0.3">
      <c r="A157" s="190"/>
      <c r="B157" s="191"/>
      <c r="C157" s="192"/>
      <c r="D157" s="193"/>
      <c r="E157" s="194" t="s">
        <v>214</v>
      </c>
      <c r="F157" s="195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196" t="str">
        <f>IFERROR(ROUNDUP(D157/F157,0),"")</f>
        <v/>
      </c>
      <c r="H157" s="197"/>
      <c r="I157" s="193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</row>
    <row r="158" spans="1:13" ht="21" customHeight="1" x14ac:dyDescent="0.3">
      <c r="A158" s="190"/>
      <c r="B158" s="191"/>
      <c r="C158" s="192"/>
      <c r="D158" s="193"/>
      <c r="E158" s="194" t="s">
        <v>214</v>
      </c>
      <c r="F158" s="195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196" t="str">
        <f>IFERROR(ROUNDUP(D158/F158,0),"")</f>
        <v/>
      </c>
      <c r="H158" s="197"/>
      <c r="I158" s="193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</row>
    <row r="159" spans="1:13" ht="21" customHeight="1" x14ac:dyDescent="0.3">
      <c r="A159" s="190"/>
      <c r="B159" s="191"/>
      <c r="C159" s="192"/>
      <c r="D159" s="193"/>
      <c r="E159" s="194" t="s">
        <v>214</v>
      </c>
      <c r="F159" s="195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196" t="str">
        <f>IFERROR(ROUNDUP(D159/F159,0),"")</f>
        <v/>
      </c>
      <c r="H159" s="197"/>
      <c r="I159" s="193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3">
      <c r="A160" s="190"/>
      <c r="B160" s="191"/>
      <c r="C160" s="192"/>
      <c r="D160" s="193"/>
      <c r="E160" s="194" t="s">
        <v>214</v>
      </c>
      <c r="F160" s="195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196" t="str">
        <f>IFERROR(ROUNDUP(D160/F160,0),"")</f>
        <v/>
      </c>
      <c r="H160" s="197"/>
      <c r="I160" s="193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15" customHeight="1" x14ac:dyDescent="0.3">
      <c r="A161" s="198"/>
      <c r="B161" s="199" t="s">
        <v>216</v>
      </c>
      <c r="C161" s="200"/>
      <c r="D161" s="201">
        <f>SUM(D154:D160)</f>
        <v>0</v>
      </c>
      <c r="E161" s="202"/>
      <c r="F161" s="202"/>
      <c r="G161" s="203">
        <f>SUM(G154:G160)</f>
        <v>0</v>
      </c>
      <c r="H161" s="201">
        <f>SUM(H154:H160)</f>
        <v>0</v>
      </c>
      <c r="I161" s="201">
        <f>SUM(I154:I160)</f>
        <v>0</v>
      </c>
      <c r="J161" s="28">
        <f>D161</f>
        <v>0</v>
      </c>
      <c r="K161" s="106">
        <f>G161</f>
        <v>0</v>
      </c>
      <c r="L161" s="28">
        <f>H161</f>
        <v>0</v>
      </c>
      <c r="M161" s="28">
        <f>I161</f>
        <v>0</v>
      </c>
    </row>
    <row r="162" spans="1:13" ht="6" customHeight="1" x14ac:dyDescent="0.3">
      <c r="C162" s="72"/>
    </row>
    <row r="163" spans="1:13" ht="15" customHeight="1" x14ac:dyDescent="0.3">
      <c r="A163" s="30">
        <v>46351</v>
      </c>
      <c r="B163" s="186" t="s">
        <v>78</v>
      </c>
      <c r="C163" s="187" t="s">
        <v>205</v>
      </c>
      <c r="D163" s="188" t="s">
        <v>206</v>
      </c>
      <c r="E163" s="188" t="s">
        <v>207</v>
      </c>
      <c r="F163" s="189" t="s">
        <v>208</v>
      </c>
      <c r="G163" s="188" t="s">
        <v>209</v>
      </c>
      <c r="H163" s="188" t="s">
        <v>210</v>
      </c>
      <c r="I163" s="188" t="s">
        <v>211</v>
      </c>
    </row>
    <row r="164" spans="1:13" ht="21" customHeight="1" x14ac:dyDescent="0.3">
      <c r="A164" s="190"/>
      <c r="B164" s="191"/>
      <c r="C164" s="192"/>
      <c r="D164" s="193"/>
      <c r="E164" s="194" t="s">
        <v>214</v>
      </c>
      <c r="F164" s="195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196" t="str">
        <f>IFERROR(ROUNDUP(D164/F164,0),"")</f>
        <v/>
      </c>
      <c r="H164" s="197"/>
      <c r="I164" s="193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</row>
    <row r="165" spans="1:13" ht="21" customHeight="1" x14ac:dyDescent="0.3">
      <c r="A165" s="190"/>
      <c r="B165" s="191"/>
      <c r="C165" s="192"/>
      <c r="D165" s="193"/>
      <c r="E165" s="194" t="s">
        <v>214</v>
      </c>
      <c r="F165" s="195" t="str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196" t="str">
        <f>IFERROR(ROUNDUP(D165/F165,0),"")</f>
        <v/>
      </c>
      <c r="H165" s="197"/>
      <c r="I165" s="193" t="str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</row>
    <row r="166" spans="1:13" ht="21" customHeight="1" x14ac:dyDescent="0.3">
      <c r="A166" s="190"/>
      <c r="B166" s="191"/>
      <c r="C166" s="192"/>
      <c r="D166" s="193"/>
      <c r="E166" s="194" t="s">
        <v>214</v>
      </c>
      <c r="F166" s="195" t="str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196" t="str">
        <f>IFERROR(ROUNDUP(D166/F166,0),"")</f>
        <v/>
      </c>
      <c r="H166" s="197"/>
      <c r="I166" s="193" t="str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</row>
    <row r="167" spans="1:13" ht="21" customHeight="1" x14ac:dyDescent="0.3">
      <c r="A167" s="190"/>
      <c r="B167" s="191"/>
      <c r="C167" s="192"/>
      <c r="D167" s="193"/>
      <c r="E167" s="194" t="s">
        <v>214</v>
      </c>
      <c r="F167" s="195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196" t="str">
        <f>IFERROR(ROUNDUP(D167/F167,0),"")</f>
        <v/>
      </c>
      <c r="H167" s="197"/>
      <c r="I167" s="193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</row>
    <row r="168" spans="1:13" ht="21" customHeight="1" x14ac:dyDescent="0.3">
      <c r="A168" s="190"/>
      <c r="B168" s="191"/>
      <c r="C168" s="192"/>
      <c r="D168" s="193"/>
      <c r="E168" s="194" t="s">
        <v>214</v>
      </c>
      <c r="F168" s="195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196" t="str">
        <f>IFERROR(ROUNDUP(D168/F168,0),"")</f>
        <v/>
      </c>
      <c r="H168" s="197"/>
      <c r="I168" s="193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</row>
    <row r="169" spans="1:13" ht="15" customHeight="1" x14ac:dyDescent="0.3">
      <c r="A169" s="198"/>
      <c r="B169" s="199" t="s">
        <v>216</v>
      </c>
      <c r="C169" s="200"/>
      <c r="D169" s="201">
        <f>SUM(D162:D168)</f>
        <v>0</v>
      </c>
      <c r="E169" s="202"/>
      <c r="F169" s="202"/>
      <c r="G169" s="203">
        <f>SUM(G162:G168)</f>
        <v>0</v>
      </c>
      <c r="H169" s="201">
        <f>SUM(H162:H168)</f>
        <v>0</v>
      </c>
      <c r="I169" s="201">
        <f>SUM(I162:I168)</f>
        <v>0</v>
      </c>
      <c r="J169" s="28">
        <f>D169</f>
        <v>0</v>
      </c>
      <c r="K169" s="106">
        <f>G169</f>
        <v>0</v>
      </c>
      <c r="L169" s="28">
        <f>H169</f>
        <v>0</v>
      </c>
      <c r="M169" s="28">
        <f>I169</f>
        <v>0</v>
      </c>
    </row>
    <row r="170" spans="1:13" ht="6" customHeight="1" x14ac:dyDescent="0.3">
      <c r="C170" s="72"/>
    </row>
    <row r="171" spans="1:13" ht="14.25" customHeight="1" x14ac:dyDescent="0.3">
      <c r="A171" s="30">
        <v>46352</v>
      </c>
      <c r="B171" s="186" t="s">
        <v>78</v>
      </c>
      <c r="C171" s="187" t="s">
        <v>205</v>
      </c>
      <c r="D171" s="188" t="s">
        <v>206</v>
      </c>
      <c r="E171" s="188" t="s">
        <v>207</v>
      </c>
      <c r="F171" s="189" t="s">
        <v>208</v>
      </c>
      <c r="G171" s="188" t="s">
        <v>209</v>
      </c>
      <c r="H171" s="188" t="s">
        <v>210</v>
      </c>
      <c r="I171" s="188" t="s">
        <v>211</v>
      </c>
    </row>
    <row r="172" spans="1:13" ht="21" customHeight="1" x14ac:dyDescent="0.3">
      <c r="A172" s="190"/>
      <c r="B172" s="191"/>
      <c r="C172" s="192"/>
      <c r="D172" s="193"/>
      <c r="E172" s="194" t="s">
        <v>214</v>
      </c>
      <c r="F172" s="195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196" t="str">
        <f>IFERROR(ROUNDUP(D172/F172,0),"")</f>
        <v/>
      </c>
      <c r="H172" s="197"/>
      <c r="I172" s="193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</row>
    <row r="173" spans="1:13" ht="21" customHeight="1" x14ac:dyDescent="0.3">
      <c r="A173" s="190"/>
      <c r="B173" s="191"/>
      <c r="C173" s="192"/>
      <c r="D173" s="193"/>
      <c r="E173" s="194" t="s">
        <v>214</v>
      </c>
      <c r="F173" s="195" t="str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196" t="str">
        <f>IFERROR(ROUNDUP(D173/F173,0),"")</f>
        <v/>
      </c>
      <c r="H173" s="197"/>
      <c r="I173" s="193" t="str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</row>
    <row r="174" spans="1:13" ht="21" customHeight="1" x14ac:dyDescent="0.3">
      <c r="A174" s="190"/>
      <c r="B174" s="191"/>
      <c r="C174" s="192"/>
      <c r="D174" s="193"/>
      <c r="E174" s="194" t="s">
        <v>214</v>
      </c>
      <c r="F174" s="195" t="str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196" t="str">
        <f>IFERROR(ROUNDUP(D174/F174,0),"")</f>
        <v/>
      </c>
      <c r="H174" s="197"/>
      <c r="I174" s="193" t="str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</row>
    <row r="175" spans="1:13" ht="21" customHeight="1" x14ac:dyDescent="0.3">
      <c r="A175" s="190"/>
      <c r="B175" s="191"/>
      <c r="C175" s="192"/>
      <c r="D175" s="193"/>
      <c r="E175" s="194" t="s">
        <v>214</v>
      </c>
      <c r="F175" s="195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196" t="str">
        <f>IFERROR(ROUNDUP(D175/F175,0),"")</f>
        <v/>
      </c>
      <c r="H175" s="197"/>
      <c r="I175" s="193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</row>
    <row r="176" spans="1:13" ht="21" customHeight="1" x14ac:dyDescent="0.3">
      <c r="A176" s="190"/>
      <c r="B176" s="191"/>
      <c r="C176" s="192"/>
      <c r="D176" s="193"/>
      <c r="E176" s="194" t="s">
        <v>214</v>
      </c>
      <c r="F176" s="195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196" t="str">
        <f>IFERROR(ROUNDUP(D176/F176,0),"")</f>
        <v/>
      </c>
      <c r="H176" s="197"/>
      <c r="I176" s="193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</row>
    <row r="177" spans="1:13" ht="14.25" customHeight="1" x14ac:dyDescent="0.3">
      <c r="A177" s="198"/>
      <c r="B177" s="199" t="s">
        <v>216</v>
      </c>
      <c r="C177" s="200"/>
      <c r="D177" s="201">
        <f>SUM(D170:D176)</f>
        <v>0</v>
      </c>
      <c r="E177" s="202"/>
      <c r="F177" s="202"/>
      <c r="G177" s="203">
        <f>SUM(G170:G176)</f>
        <v>0</v>
      </c>
      <c r="H177" s="201">
        <f>SUM(H170:H176)</f>
        <v>0</v>
      </c>
      <c r="I177" s="201">
        <f>SUM(I170:I176)</f>
        <v>0</v>
      </c>
      <c r="J177" s="28">
        <f>D177</f>
        <v>0</v>
      </c>
      <c r="K177" s="106">
        <f>G177</f>
        <v>0</v>
      </c>
      <c r="L177" s="28">
        <f>H177</f>
        <v>0</v>
      </c>
      <c r="M177" s="28">
        <f>I177</f>
        <v>0</v>
      </c>
    </row>
    <row r="178" spans="1:13" ht="14.25" customHeight="1" x14ac:dyDescent="0.3">
      <c r="C178" s="72"/>
    </row>
    <row r="179" spans="1:13" ht="14.25" customHeight="1" x14ac:dyDescent="0.3">
      <c r="A179" s="30">
        <v>46353</v>
      </c>
      <c r="B179" s="186" t="s">
        <v>78</v>
      </c>
      <c r="C179" s="187" t="s">
        <v>205</v>
      </c>
      <c r="D179" s="188" t="s">
        <v>206</v>
      </c>
      <c r="E179" s="188" t="s">
        <v>207</v>
      </c>
      <c r="F179" s="189" t="s">
        <v>208</v>
      </c>
      <c r="G179" s="188" t="s">
        <v>209</v>
      </c>
      <c r="H179" s="188" t="s">
        <v>210</v>
      </c>
      <c r="I179" s="188" t="s">
        <v>211</v>
      </c>
    </row>
    <row r="180" spans="1:13" ht="21" customHeight="1" x14ac:dyDescent="0.3">
      <c r="A180" s="190"/>
      <c r="B180" s="191"/>
      <c r="C180" s="192"/>
      <c r="D180" s="193"/>
      <c r="E180" s="194" t="s">
        <v>214</v>
      </c>
      <c r="F180" s="195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196" t="str">
        <f>IFERROR(ROUNDUP(D180/F180,0),"")</f>
        <v/>
      </c>
      <c r="H180" s="197"/>
      <c r="I180" s="193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</row>
    <row r="181" spans="1:13" ht="21" customHeight="1" x14ac:dyDescent="0.3">
      <c r="A181" s="190"/>
      <c r="B181" s="191"/>
      <c r="C181" s="192"/>
      <c r="D181" s="193"/>
      <c r="E181" s="194" t="s">
        <v>214</v>
      </c>
      <c r="F181" s="195" t="str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196" t="str">
        <f>IFERROR(ROUNDUP(D181/F181,0),"")</f>
        <v/>
      </c>
      <c r="H181" s="197"/>
      <c r="I181" s="193" t="str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</row>
    <row r="182" spans="1:13" ht="21" customHeight="1" x14ac:dyDescent="0.3">
      <c r="A182" s="190"/>
      <c r="B182" s="191"/>
      <c r="C182" s="192"/>
      <c r="D182" s="193"/>
      <c r="E182" s="194" t="s">
        <v>214</v>
      </c>
      <c r="F182" s="195" t="str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196" t="str">
        <f>IFERROR(ROUNDUP(D182/F182,0),"")</f>
        <v/>
      </c>
      <c r="H182" s="197"/>
      <c r="I182" s="193" t="str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</row>
    <row r="183" spans="1:13" ht="21" customHeight="1" x14ac:dyDescent="0.3">
      <c r="A183" s="190"/>
      <c r="B183" s="191"/>
      <c r="C183" s="192"/>
      <c r="D183" s="193"/>
      <c r="E183" s="194" t="s">
        <v>214</v>
      </c>
      <c r="F183" s="195" t="str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196" t="str">
        <f>IFERROR(ROUNDUP(D183/F183,0),"")</f>
        <v/>
      </c>
      <c r="H183" s="197"/>
      <c r="I183" s="193" t="str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</row>
    <row r="184" spans="1:13" ht="21" customHeight="1" x14ac:dyDescent="0.3">
      <c r="A184" s="190"/>
      <c r="B184" s="191"/>
      <c r="C184" s="192"/>
      <c r="D184" s="193"/>
      <c r="E184" s="194" t="s">
        <v>214</v>
      </c>
      <c r="F184" s="195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196" t="str">
        <f>IFERROR(ROUNDUP(D184/F184,0),"")</f>
        <v/>
      </c>
      <c r="H184" s="197"/>
      <c r="I184" s="193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</row>
    <row r="185" spans="1:13" ht="14.25" customHeight="1" x14ac:dyDescent="0.3">
      <c r="A185" s="198"/>
      <c r="B185" s="199" t="s">
        <v>216</v>
      </c>
      <c r="C185" s="200"/>
      <c r="D185" s="201">
        <f>SUM(D178:D184)</f>
        <v>0</v>
      </c>
      <c r="E185" s="202"/>
      <c r="F185" s="202"/>
      <c r="G185" s="203">
        <f>SUM(G178:G184)</f>
        <v>0</v>
      </c>
      <c r="H185" s="201">
        <f>SUM(H178:H184)</f>
        <v>0</v>
      </c>
      <c r="I185" s="201">
        <f>SUM(I178:I184)</f>
        <v>0</v>
      </c>
      <c r="J185" s="28">
        <f>D185</f>
        <v>0</v>
      </c>
      <c r="K185" s="106">
        <f>G185</f>
        <v>0</v>
      </c>
      <c r="L185" s="28">
        <f>H185</f>
        <v>0</v>
      </c>
      <c r="M185" s="28">
        <f>I185</f>
        <v>0</v>
      </c>
    </row>
    <row r="186" spans="1:13" ht="14.25" customHeight="1" x14ac:dyDescent="0.3">
      <c r="C186" s="72"/>
    </row>
    <row r="187" spans="1:13" ht="14.25" customHeight="1" x14ac:dyDescent="0.3">
      <c r="A187" s="235">
        <v>46354</v>
      </c>
      <c r="B187" s="186" t="s">
        <v>78</v>
      </c>
      <c r="C187" s="187" t="s">
        <v>205</v>
      </c>
      <c r="D187" s="188" t="s">
        <v>206</v>
      </c>
      <c r="E187" s="188" t="s">
        <v>207</v>
      </c>
      <c r="F187" s="236" t="s">
        <v>208</v>
      </c>
      <c r="G187" s="188" t="s">
        <v>209</v>
      </c>
      <c r="H187" s="188" t="s">
        <v>210</v>
      </c>
      <c r="I187" s="188" t="s">
        <v>211</v>
      </c>
      <c r="J187" s="237"/>
      <c r="K187" s="237"/>
      <c r="L187" s="237"/>
      <c r="M187" s="237"/>
    </row>
    <row r="188" spans="1:13" ht="21" customHeight="1" x14ac:dyDescent="0.3">
      <c r="A188" s="190"/>
      <c r="B188" s="238"/>
      <c r="C188" s="239"/>
      <c r="D188" s="240"/>
      <c r="E188" s="241" t="s">
        <v>214</v>
      </c>
      <c r="F188" s="242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243" t="str">
        <f>IFERROR(ROUNDUP(D188/F188,0),"")</f>
        <v/>
      </c>
      <c r="H188" s="197"/>
      <c r="I188" s="240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  <c r="J188" s="237"/>
      <c r="K188" s="237"/>
      <c r="L188" s="237"/>
      <c r="M188" s="237"/>
    </row>
    <row r="189" spans="1:13" ht="21" customHeight="1" x14ac:dyDescent="0.3">
      <c r="A189" s="190"/>
      <c r="B189" s="238"/>
      <c r="C189" s="239"/>
      <c r="D189" s="240"/>
      <c r="E189" s="241" t="s">
        <v>214</v>
      </c>
      <c r="F189" s="242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243" t="str">
        <f>IFERROR(ROUNDUP(D189/F189,0),"")</f>
        <v/>
      </c>
      <c r="H189" s="197"/>
      <c r="I189" s="240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  <c r="J189" s="237"/>
      <c r="K189" s="237"/>
      <c r="L189" s="237"/>
      <c r="M189" s="237"/>
    </row>
    <row r="190" spans="1:13" ht="21" customHeight="1" x14ac:dyDescent="0.3">
      <c r="A190" s="190"/>
      <c r="B190" s="238"/>
      <c r="C190" s="239"/>
      <c r="D190" s="240"/>
      <c r="E190" s="241" t="s">
        <v>214</v>
      </c>
      <c r="F190" s="242" t="str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243" t="str">
        <f>IFERROR(ROUNDUP(D190/F190,0),"")</f>
        <v/>
      </c>
      <c r="H190" s="197"/>
      <c r="I190" s="240" t="str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  <c r="J190" s="237"/>
      <c r="K190" s="237"/>
      <c r="L190" s="237"/>
      <c r="M190" s="237"/>
    </row>
    <row r="191" spans="1:13" ht="21" customHeight="1" x14ac:dyDescent="0.3">
      <c r="A191" s="190"/>
      <c r="B191" s="238"/>
      <c r="C191" s="239"/>
      <c r="D191" s="240"/>
      <c r="E191" s="241" t="s">
        <v>214</v>
      </c>
      <c r="F191" s="242" t="str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243" t="str">
        <f>IFERROR(ROUNDUP(D191/F191,0),"")</f>
        <v/>
      </c>
      <c r="H191" s="197"/>
      <c r="I191" s="240" t="str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  <c r="J191" s="237"/>
      <c r="K191" s="237"/>
      <c r="L191" s="237"/>
      <c r="M191" s="237"/>
    </row>
    <row r="192" spans="1:13" ht="21" customHeight="1" x14ac:dyDescent="0.3">
      <c r="A192" s="190"/>
      <c r="B192" s="238"/>
      <c r="C192" s="239"/>
      <c r="D192" s="240"/>
      <c r="E192" s="241" t="s">
        <v>214</v>
      </c>
      <c r="F192" s="242" t="str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243" t="str">
        <f>IFERROR(ROUNDUP(D192/F192,0),"")</f>
        <v/>
      </c>
      <c r="H192" s="197"/>
      <c r="I192" s="240" t="str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  <c r="J192" s="237"/>
      <c r="K192" s="237"/>
      <c r="L192" s="237"/>
      <c r="M192" s="237"/>
    </row>
    <row r="193" spans="1:13" ht="14.25" customHeight="1" x14ac:dyDescent="0.3">
      <c r="A193" s="244"/>
      <c r="B193" s="199" t="s">
        <v>216</v>
      </c>
      <c r="C193" s="245"/>
      <c r="D193" s="201">
        <f>SUM(D186:D192)</f>
        <v>0</v>
      </c>
      <c r="E193" s="246"/>
      <c r="F193" s="246"/>
      <c r="G193" s="203">
        <f>SUM(G186:G192)</f>
        <v>0</v>
      </c>
      <c r="H193" s="201">
        <f>SUM(H186:H192)</f>
        <v>0</v>
      </c>
      <c r="I193" s="201">
        <f>SUM(I186:I192)</f>
        <v>0</v>
      </c>
      <c r="J193" s="247">
        <f>D193</f>
        <v>0</v>
      </c>
      <c r="K193" s="248">
        <f>G193</f>
        <v>0</v>
      </c>
      <c r="L193" s="247">
        <f>H193</f>
        <v>0</v>
      </c>
      <c r="M193" s="247">
        <f>I193</f>
        <v>0</v>
      </c>
    </row>
    <row r="194" spans="1:13" ht="14.25" customHeight="1" x14ac:dyDescent="0.3">
      <c r="A194" s="237"/>
      <c r="B194" s="237"/>
      <c r="C194" s="249"/>
      <c r="D194" s="237"/>
      <c r="E194" s="237"/>
      <c r="F194" s="237"/>
      <c r="G194" s="237"/>
      <c r="H194" s="237"/>
      <c r="I194" s="237"/>
      <c r="J194" s="237"/>
      <c r="K194" s="237"/>
      <c r="L194" s="237"/>
      <c r="M194" s="237"/>
    </row>
    <row r="195" spans="1:13" ht="14.25" customHeight="1" x14ac:dyDescent="0.3">
      <c r="A195" s="30">
        <v>46356</v>
      </c>
      <c r="B195" s="186" t="s">
        <v>78</v>
      </c>
      <c r="C195" s="187" t="s">
        <v>205</v>
      </c>
      <c r="D195" s="188" t="s">
        <v>206</v>
      </c>
      <c r="E195" s="188" t="s">
        <v>207</v>
      </c>
      <c r="F195" s="189" t="s">
        <v>208</v>
      </c>
      <c r="G195" s="188" t="s">
        <v>209</v>
      </c>
      <c r="H195" s="188" t="s">
        <v>210</v>
      </c>
      <c r="I195" s="188" t="s">
        <v>211</v>
      </c>
    </row>
    <row r="196" spans="1:13" ht="21" customHeight="1" x14ac:dyDescent="0.3">
      <c r="A196" s="190"/>
      <c r="B196" s="191"/>
      <c r="C196" s="192"/>
      <c r="D196" s="193"/>
      <c r="E196" s="194" t="s">
        <v>214</v>
      </c>
      <c r="F196" s="195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196" t="str">
        <f>IFERROR(ROUNDUP(D196/F196,0),"")</f>
        <v/>
      </c>
      <c r="H196" s="197"/>
      <c r="I196" s="193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</row>
    <row r="197" spans="1:13" ht="21" customHeight="1" x14ac:dyDescent="0.3">
      <c r="A197" s="190"/>
      <c r="B197" s="191"/>
      <c r="C197" s="192"/>
      <c r="D197" s="193"/>
      <c r="E197" s="194" t="s">
        <v>214</v>
      </c>
      <c r="F197" s="195" t="str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196" t="str">
        <f>IFERROR(ROUNDUP(D197/F197,0),"")</f>
        <v/>
      </c>
      <c r="H197" s="197"/>
      <c r="I197" s="193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</row>
    <row r="198" spans="1:13" ht="21" customHeight="1" x14ac:dyDescent="0.3">
      <c r="A198" s="190"/>
      <c r="B198" s="191"/>
      <c r="C198" s="192"/>
      <c r="D198" s="193"/>
      <c r="E198" s="194" t="s">
        <v>214</v>
      </c>
      <c r="F198" s="195" t="str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196" t="str">
        <f>IFERROR(ROUNDUP(D198/F198,0),"")</f>
        <v/>
      </c>
      <c r="H198" s="197"/>
      <c r="I198" s="193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</row>
    <row r="199" spans="1:13" ht="21" customHeight="1" x14ac:dyDescent="0.3">
      <c r="A199" s="190"/>
      <c r="B199" s="191"/>
      <c r="C199" s="192"/>
      <c r="D199" s="193"/>
      <c r="E199" s="194" t="s">
        <v>214</v>
      </c>
      <c r="F199" s="195" t="str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196" t="str">
        <f>IFERROR(ROUNDUP(D199/F199,0),"")</f>
        <v/>
      </c>
      <c r="H199" s="197"/>
      <c r="I199" s="193" t="str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</row>
    <row r="200" spans="1:13" ht="21" customHeight="1" x14ac:dyDescent="0.3">
      <c r="A200" s="190"/>
      <c r="B200" s="191"/>
      <c r="C200" s="192"/>
      <c r="D200" s="193"/>
      <c r="E200" s="194" t="s">
        <v>214</v>
      </c>
      <c r="F200" s="195" t="str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196" t="str">
        <f>IFERROR(ROUNDUP(D200/F200,0),"")</f>
        <v/>
      </c>
      <c r="H200" s="197"/>
      <c r="I200" s="193" t="str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</row>
    <row r="201" spans="1:13" ht="14.25" customHeight="1" x14ac:dyDescent="0.3">
      <c r="A201" s="198"/>
      <c r="B201" s="199" t="s">
        <v>216</v>
      </c>
      <c r="C201" s="200"/>
      <c r="D201" s="201">
        <f>SUM(D194:D200)</f>
        <v>0</v>
      </c>
      <c r="E201" s="202"/>
      <c r="F201" s="202"/>
      <c r="G201" s="203">
        <f>SUM(G194:G200)</f>
        <v>0</v>
      </c>
      <c r="H201" s="201">
        <f>SUM(H194:H200)</f>
        <v>0</v>
      </c>
      <c r="I201" s="201">
        <f>SUM(I194:I200)</f>
        <v>0</v>
      </c>
      <c r="J201" s="28">
        <f>D201</f>
        <v>0</v>
      </c>
      <c r="K201" s="106">
        <f>G201</f>
        <v>0</v>
      </c>
      <c r="L201" s="28">
        <f>H201</f>
        <v>0</v>
      </c>
      <c r="M201" s="28">
        <f>I201</f>
        <v>0</v>
      </c>
    </row>
  </sheetData>
  <mergeCells count="3">
    <mergeCell ref="A1:I1"/>
    <mergeCell ref="A2:F2"/>
    <mergeCell ref="G2:I2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69" xr:uid="{00000000-0002-0000-22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F766E"/>
  </sheetPr>
  <dimension ref="A1:Y59"/>
  <sheetViews>
    <sheetView showGridLines="0" zoomScale="90" zoomScaleNormal="90" workbookViewId="0">
      <selection activeCell="F15" sqref="F15"/>
    </sheetView>
  </sheetViews>
  <sheetFormatPr defaultColWidth="8.6640625" defaultRowHeight="14.4" x14ac:dyDescent="0.3"/>
  <cols>
    <col min="1" max="1" width="12" style="437" customWidth="1"/>
    <col min="2" max="2" width="15" customWidth="1"/>
    <col min="3" max="3" width="14" customWidth="1"/>
    <col min="4" max="4" width="13.664062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4">
      <c r="A1" s="612" t="s">
        <v>665</v>
      </c>
      <c r="B1" s="612"/>
      <c r="C1" s="612"/>
      <c r="D1" s="612"/>
      <c r="E1" s="612"/>
      <c r="F1" s="612"/>
    </row>
    <row r="3" spans="1:25" ht="14.25" customHeight="1" x14ac:dyDescent="0.3">
      <c r="B3" s="148" t="s">
        <v>234</v>
      </c>
      <c r="D3" s="148" t="s">
        <v>235</v>
      </c>
      <c r="F3" s="149" t="s">
        <v>236</v>
      </c>
      <c r="H3" s="148" t="s">
        <v>237</v>
      </c>
      <c r="J3" s="150" t="s">
        <v>238</v>
      </c>
      <c r="K3" s="151" t="s">
        <v>239</v>
      </c>
      <c r="L3" s="151" t="s">
        <v>240</v>
      </c>
    </row>
    <row r="4" spans="1:25" ht="15.75" customHeight="1" x14ac:dyDescent="0.3">
      <c r="B4" s="152">
        <f>SUM(C9:C33)</f>
        <v>0</v>
      </c>
      <c r="D4" s="152">
        <f>SUM(D9:D33)</f>
        <v>253000</v>
      </c>
      <c r="F4" s="152">
        <f ca="1">IFERROR(SUMIFS(C9:C33,A9:A33,"&lt;="&amp;TODAY(),F9:F33,"&lt;&gt;*Feriado*")/COUNTIFS(A9:A33,"&lt;="&amp;TODAY(),F9:F33,"&lt;&gt;*Feriado*"),0)</f>
        <v>0</v>
      </c>
      <c r="H4" s="152">
        <f>IFERROR(MAX(C9:C33),0)</f>
        <v>0</v>
      </c>
      <c r="J4" s="153">
        <f>IFERROR(B4/D4,0)</f>
        <v>0</v>
      </c>
      <c r="K4" s="154" t="s">
        <v>241</v>
      </c>
      <c r="L4" s="155" t="s">
        <v>242</v>
      </c>
    </row>
    <row r="5" spans="1:25" ht="15" customHeight="1" x14ac:dyDescent="0.3">
      <c r="K5" s="156" t="s">
        <v>243</v>
      </c>
      <c r="L5" s="157" t="s">
        <v>244</v>
      </c>
    </row>
    <row r="6" spans="1:25" ht="15" customHeight="1" x14ac:dyDescent="0.3">
      <c r="K6" s="158" t="s">
        <v>245</v>
      </c>
      <c r="L6" s="159" t="s">
        <v>246</v>
      </c>
    </row>
    <row r="8" spans="1:25" ht="14.25" customHeight="1" x14ac:dyDescent="0.3">
      <c r="A8" s="442" t="s">
        <v>247</v>
      </c>
      <c r="B8" s="231" t="s">
        <v>248</v>
      </c>
      <c r="C8" s="204" t="s">
        <v>249</v>
      </c>
      <c r="D8" s="204" t="s">
        <v>250</v>
      </c>
      <c r="E8" s="204" t="s">
        <v>251</v>
      </c>
      <c r="F8" s="204" t="s">
        <v>252</v>
      </c>
      <c r="X8" t="s">
        <v>253</v>
      </c>
      <c r="Y8" t="s">
        <v>254</v>
      </c>
    </row>
    <row r="9" spans="1:25" ht="15" customHeight="1" x14ac:dyDescent="0.3">
      <c r="A9" s="443">
        <v>46328</v>
      </c>
      <c r="B9" s="219" t="str">
        <f>IF(D9&gt;0,COUNTIF($D$9:D9,"&gt;0"),"")</f>
        <v/>
      </c>
      <c r="C9" s="221">
        <f>'SEMANA NOVEMBRO'!$M$9</f>
        <v>0</v>
      </c>
      <c r="D9" s="221">
        <v>0</v>
      </c>
      <c r="E9" s="221">
        <f t="shared" ref="E9:E33" si="0">C9-D9</f>
        <v>0</v>
      </c>
      <c r="F9" s="162" t="s">
        <v>666</v>
      </c>
      <c r="X9" t="e">
        <f t="shared" ref="X9:X29" si="1">IF(COUNTIF($F9,"*Feriado*")&gt;0,NA(),$C9)</f>
        <v>#N/A</v>
      </c>
      <c r="Y9" t="e">
        <f t="shared" ref="Y9:Y29" si="2">IF(COUNTIF($F9,"*Feriado*")&gt;0,NA(),$D9)</f>
        <v>#N/A</v>
      </c>
    </row>
    <row r="10" spans="1:25" ht="15" customHeight="1" x14ac:dyDescent="0.3">
      <c r="A10" s="443">
        <v>46329</v>
      </c>
      <c r="B10" s="219">
        <f>IF(D10&gt;0,COUNTIF($D$9:D10,"&gt;0"),"")</f>
        <v>1</v>
      </c>
      <c r="C10" s="221">
        <f>'SEMANA NOVEMBRO'!$M$17</f>
        <v>0</v>
      </c>
      <c r="D10" s="221">
        <f>CONFIG!$B$3</f>
        <v>11000</v>
      </c>
      <c r="E10" s="221">
        <f t="shared" si="0"/>
        <v>-11000</v>
      </c>
      <c r="F10" s="431"/>
      <c r="X10" s="28">
        <f t="shared" si="1"/>
        <v>0</v>
      </c>
      <c r="Y10" s="28">
        <f t="shared" si="2"/>
        <v>11000</v>
      </c>
    </row>
    <row r="11" spans="1:25" ht="15" customHeight="1" x14ac:dyDescent="0.3">
      <c r="A11" s="443">
        <v>46330</v>
      </c>
      <c r="B11" s="219">
        <f>IF(D11&gt;0,COUNTIF($D$9:D11,"&gt;0"),"")</f>
        <v>2</v>
      </c>
      <c r="C11" s="221">
        <f>'SEMANA NOVEMBRO'!$M$25</f>
        <v>0</v>
      </c>
      <c r="D11" s="221">
        <f>CONFIG!$B$3</f>
        <v>11000</v>
      </c>
      <c r="E11" s="221">
        <f t="shared" si="0"/>
        <v>-11000</v>
      </c>
      <c r="F11" s="431"/>
      <c r="X11" s="28">
        <f t="shared" si="1"/>
        <v>0</v>
      </c>
      <c r="Y11" s="28">
        <f t="shared" si="2"/>
        <v>11000</v>
      </c>
    </row>
    <row r="12" spans="1:25" ht="15" customHeight="1" x14ac:dyDescent="0.3">
      <c r="A12" s="443">
        <v>46331</v>
      </c>
      <c r="B12" s="219">
        <f>IF(D12&gt;0,COUNTIF($D$9:D12,"&gt;0"),"")</f>
        <v>3</v>
      </c>
      <c r="C12" s="221">
        <f>'SEMANA NOVEMBRO'!$M$33</f>
        <v>0</v>
      </c>
      <c r="D12" s="221">
        <f>CONFIG!$B$3</f>
        <v>11000</v>
      </c>
      <c r="E12" s="221">
        <f t="shared" si="0"/>
        <v>-11000</v>
      </c>
      <c r="F12" s="431"/>
      <c r="X12" s="28">
        <f t="shared" si="1"/>
        <v>0</v>
      </c>
      <c r="Y12" s="28">
        <f t="shared" si="2"/>
        <v>11000</v>
      </c>
    </row>
    <row r="13" spans="1:25" ht="15" customHeight="1" x14ac:dyDescent="0.3">
      <c r="A13" s="443">
        <v>46332</v>
      </c>
      <c r="B13" s="219">
        <f>IF(D13&gt;0,COUNTIF($D$9:D13,"&gt;0"),"")</f>
        <v>4</v>
      </c>
      <c r="C13" s="221">
        <f>'SEMANA NOVEMBRO'!$M$41</f>
        <v>0</v>
      </c>
      <c r="D13" s="221">
        <f>CONFIG!$B$3</f>
        <v>11000</v>
      </c>
      <c r="E13" s="221">
        <f t="shared" si="0"/>
        <v>-11000</v>
      </c>
      <c r="F13" s="431"/>
      <c r="X13" s="28">
        <f t="shared" si="1"/>
        <v>0</v>
      </c>
      <c r="Y13" s="28">
        <f t="shared" si="2"/>
        <v>11000</v>
      </c>
    </row>
    <row r="14" spans="1:25" ht="15" customHeight="1" x14ac:dyDescent="0.3">
      <c r="A14" s="443">
        <v>46333</v>
      </c>
      <c r="B14" s="219">
        <f>IF(D14&gt;0,COUNTIF($D$9:D14,"&gt;0"),"")</f>
        <v>5</v>
      </c>
      <c r="C14" s="221">
        <f>'SEMANA NOVEMBRO'!$M$49</f>
        <v>0</v>
      </c>
      <c r="D14" s="221">
        <f>CONFIG!$B$3</f>
        <v>11000</v>
      </c>
      <c r="E14" s="221">
        <f t="shared" si="0"/>
        <v>-11000</v>
      </c>
      <c r="F14" s="162" t="s">
        <v>557</v>
      </c>
      <c r="X14" s="28">
        <f t="shared" si="1"/>
        <v>0</v>
      </c>
      <c r="Y14" s="28">
        <f t="shared" si="2"/>
        <v>11000</v>
      </c>
    </row>
    <row r="15" spans="1:25" ht="15" customHeight="1" x14ac:dyDescent="0.3">
      <c r="A15" s="443">
        <v>46335</v>
      </c>
      <c r="B15" s="219">
        <f>IF(D15&gt;0,COUNTIF($D$9:D15,"&gt;0"),"")</f>
        <v>6</v>
      </c>
      <c r="C15" s="221">
        <f>'SEMANA NOVEMBRO'!$M$57</f>
        <v>0</v>
      </c>
      <c r="D15" s="221">
        <f>CONFIG!$B$3</f>
        <v>11000</v>
      </c>
      <c r="E15" s="221">
        <f t="shared" si="0"/>
        <v>-11000</v>
      </c>
      <c r="F15" s="431"/>
      <c r="X15" s="28">
        <f t="shared" si="1"/>
        <v>0</v>
      </c>
      <c r="Y15" s="28">
        <f t="shared" si="2"/>
        <v>11000</v>
      </c>
    </row>
    <row r="16" spans="1:25" ht="15" customHeight="1" x14ac:dyDescent="0.3">
      <c r="A16" s="443">
        <v>46336</v>
      </c>
      <c r="B16" s="219">
        <f>IF(D16&gt;0,COUNTIF($D$9:D16,"&gt;0"),"")</f>
        <v>7</v>
      </c>
      <c r="C16" s="221">
        <f>'SEMANA NOVEMBRO'!$M$65</f>
        <v>0</v>
      </c>
      <c r="D16" s="221">
        <f>CONFIG!$B$3</f>
        <v>11000</v>
      </c>
      <c r="E16" s="221">
        <f t="shared" si="0"/>
        <v>-11000</v>
      </c>
      <c r="F16" s="431"/>
      <c r="X16" s="28">
        <f t="shared" si="1"/>
        <v>0</v>
      </c>
      <c r="Y16" s="28">
        <f t="shared" si="2"/>
        <v>11000</v>
      </c>
    </row>
    <row r="17" spans="1:25" ht="15" customHeight="1" x14ac:dyDescent="0.3">
      <c r="A17" s="443">
        <v>46337</v>
      </c>
      <c r="B17" s="219">
        <f>IF(D17&gt;0,COUNTIF($D$9:D17,"&gt;0"),"")</f>
        <v>8</v>
      </c>
      <c r="C17" s="221">
        <f>'SEMANA NOVEMBRO'!$M$73</f>
        <v>0</v>
      </c>
      <c r="D17" s="221">
        <f>CONFIG!$B$3</f>
        <v>11000</v>
      </c>
      <c r="E17" s="221">
        <f t="shared" si="0"/>
        <v>-11000</v>
      </c>
      <c r="F17" s="431"/>
      <c r="X17" s="28">
        <f t="shared" si="1"/>
        <v>0</v>
      </c>
      <c r="Y17" s="28">
        <f t="shared" si="2"/>
        <v>11000</v>
      </c>
    </row>
    <row r="18" spans="1:25" ht="15" customHeight="1" x14ac:dyDescent="0.3">
      <c r="A18" s="443">
        <v>46338</v>
      </c>
      <c r="B18" s="219">
        <f>IF(D18&gt;0,COUNTIF($D$9:D18,"&gt;0"),"")</f>
        <v>9</v>
      </c>
      <c r="C18" s="221">
        <f>'SEMANA NOVEMBRO'!$M$81</f>
        <v>0</v>
      </c>
      <c r="D18" s="221">
        <f>CONFIG!$B$3</f>
        <v>11000</v>
      </c>
      <c r="E18" s="221">
        <f t="shared" si="0"/>
        <v>-11000</v>
      </c>
      <c r="F18" s="431"/>
      <c r="X18" s="28">
        <f t="shared" si="1"/>
        <v>0</v>
      </c>
      <c r="Y18" s="28">
        <f t="shared" si="2"/>
        <v>11000</v>
      </c>
    </row>
    <row r="19" spans="1:25" ht="15" customHeight="1" x14ac:dyDescent="0.3">
      <c r="A19" s="443">
        <v>46339</v>
      </c>
      <c r="B19" s="219">
        <f>IF(D19&gt;0,COUNTIF($D$9:D19,"&gt;0"),"")</f>
        <v>10</v>
      </c>
      <c r="C19" s="221">
        <f>'SEMANA NOVEMBRO'!$M$89</f>
        <v>0</v>
      </c>
      <c r="D19" s="221">
        <f>CONFIG!$B$3</f>
        <v>11000</v>
      </c>
      <c r="E19" s="221">
        <f t="shared" si="0"/>
        <v>-11000</v>
      </c>
      <c r="F19" s="431"/>
      <c r="X19" s="28">
        <f t="shared" si="1"/>
        <v>0</v>
      </c>
      <c r="Y19" s="28">
        <f t="shared" si="2"/>
        <v>11000</v>
      </c>
    </row>
    <row r="20" spans="1:25" ht="15" customHeight="1" x14ac:dyDescent="0.3">
      <c r="A20" s="443">
        <v>46340</v>
      </c>
      <c r="B20" s="219">
        <f>IF(D20&gt;0,COUNTIF($D$9:D20,"&gt;0"),"")</f>
        <v>11</v>
      </c>
      <c r="C20" s="221">
        <f>'SEMANA NOVEMBRO'!$M$97</f>
        <v>0</v>
      </c>
      <c r="D20" s="221">
        <f>CONFIG!$B$3</f>
        <v>11000</v>
      </c>
      <c r="E20" s="221">
        <f t="shared" si="0"/>
        <v>-11000</v>
      </c>
      <c r="F20" s="162" t="s">
        <v>557</v>
      </c>
      <c r="X20" s="28">
        <f t="shared" si="1"/>
        <v>0</v>
      </c>
      <c r="Y20" s="28">
        <f t="shared" si="2"/>
        <v>11000</v>
      </c>
    </row>
    <row r="21" spans="1:25" ht="15" customHeight="1" x14ac:dyDescent="0.3">
      <c r="A21" s="443">
        <v>46342</v>
      </c>
      <c r="B21" s="219">
        <f>IF(D21&gt;0,COUNTIF($D$9:D21,"&gt;0"),"")</f>
        <v>12</v>
      </c>
      <c r="C21" s="221">
        <f>'SEMANA NOVEMBRO'!$M$105</f>
        <v>0</v>
      </c>
      <c r="D21" s="221">
        <f>CONFIG!$B$3</f>
        <v>11000</v>
      </c>
      <c r="E21" s="221">
        <f t="shared" si="0"/>
        <v>-11000</v>
      </c>
      <c r="F21" s="431"/>
      <c r="X21" s="28">
        <f t="shared" si="1"/>
        <v>0</v>
      </c>
      <c r="Y21" s="28">
        <f t="shared" si="2"/>
        <v>11000</v>
      </c>
    </row>
    <row r="22" spans="1:25" ht="15" customHeight="1" x14ac:dyDescent="0.3">
      <c r="A22" s="443">
        <v>46343</v>
      </c>
      <c r="B22" s="219">
        <f>IF(D22&gt;0,COUNTIF($D$9:D22,"&gt;0"),"")</f>
        <v>13</v>
      </c>
      <c r="C22" s="221">
        <f>'SEMANA NOVEMBRO'!$M$113</f>
        <v>0</v>
      </c>
      <c r="D22" s="221">
        <f>CONFIG!$B$3</f>
        <v>11000</v>
      </c>
      <c r="E22" s="221">
        <f t="shared" si="0"/>
        <v>-11000</v>
      </c>
      <c r="F22" s="431"/>
      <c r="X22" s="28">
        <f t="shared" si="1"/>
        <v>0</v>
      </c>
      <c r="Y22" s="28">
        <f t="shared" si="2"/>
        <v>11000</v>
      </c>
    </row>
    <row r="23" spans="1:25" ht="15" customHeight="1" x14ac:dyDescent="0.3">
      <c r="A23" s="443">
        <v>46344</v>
      </c>
      <c r="B23" s="219">
        <f>IF(D23&gt;0,COUNTIF($D$9:D23,"&gt;0"),"")</f>
        <v>14</v>
      </c>
      <c r="C23" s="221">
        <f>'SEMANA NOVEMBRO'!$M$121</f>
        <v>0</v>
      </c>
      <c r="D23" s="221">
        <f>CONFIG!$B$3</f>
        <v>11000</v>
      </c>
      <c r="E23" s="221">
        <f t="shared" si="0"/>
        <v>-11000</v>
      </c>
      <c r="F23" s="431"/>
      <c r="X23" s="28">
        <f t="shared" si="1"/>
        <v>0</v>
      </c>
      <c r="Y23" s="28">
        <f t="shared" si="2"/>
        <v>11000</v>
      </c>
    </row>
    <row r="24" spans="1:25" ht="15" customHeight="1" x14ac:dyDescent="0.3">
      <c r="A24" s="443">
        <v>46345</v>
      </c>
      <c r="B24" s="219">
        <f>IF(D24&gt;0,COUNTIF($D$9:D24,"&gt;0"),"")</f>
        <v>15</v>
      </c>
      <c r="C24" s="221">
        <f>'SEMANA NOVEMBRO'!$M$129</f>
        <v>0</v>
      </c>
      <c r="D24" s="221">
        <f>CONFIG!$B$3</f>
        <v>11000</v>
      </c>
      <c r="E24" s="221">
        <f t="shared" si="0"/>
        <v>-11000</v>
      </c>
      <c r="F24" s="431"/>
      <c r="X24" s="28">
        <f t="shared" si="1"/>
        <v>0</v>
      </c>
      <c r="Y24" s="28">
        <f t="shared" si="2"/>
        <v>11000</v>
      </c>
    </row>
    <row r="25" spans="1:25" ht="15" customHeight="1" x14ac:dyDescent="0.3">
      <c r="A25" s="443">
        <v>46346</v>
      </c>
      <c r="B25" s="219" t="str">
        <f>IF(D25&gt;0,COUNTIF($D$9:D25,"&gt;0"),"")</f>
        <v/>
      </c>
      <c r="C25" s="221">
        <f>'SEMANA NOVEMBRO'!$M$137</f>
        <v>0</v>
      </c>
      <c r="D25" s="221">
        <v>0</v>
      </c>
      <c r="E25" s="221">
        <f t="shared" si="0"/>
        <v>0</v>
      </c>
      <c r="F25" s="162" t="s">
        <v>667</v>
      </c>
      <c r="X25" s="28" t="e">
        <f t="shared" si="1"/>
        <v>#N/A</v>
      </c>
      <c r="Y25" s="28" t="e">
        <f t="shared" si="2"/>
        <v>#N/A</v>
      </c>
    </row>
    <row r="26" spans="1:25" ht="15" customHeight="1" x14ac:dyDescent="0.3">
      <c r="A26" s="443">
        <v>46347</v>
      </c>
      <c r="B26" s="219">
        <f>IF(D26&gt;0,COUNTIF($D$9:D26,"&gt;0"),"")</f>
        <v>16</v>
      </c>
      <c r="C26" s="221">
        <f>'SEMANA NOVEMBRO'!$M$145</f>
        <v>0</v>
      </c>
      <c r="D26" s="221">
        <f>CONFIG!$B$3</f>
        <v>11000</v>
      </c>
      <c r="E26" s="221">
        <f t="shared" si="0"/>
        <v>-11000</v>
      </c>
      <c r="F26" s="162" t="s">
        <v>557</v>
      </c>
      <c r="X26" s="28">
        <f t="shared" si="1"/>
        <v>0</v>
      </c>
      <c r="Y26" s="28">
        <f t="shared" si="2"/>
        <v>11000</v>
      </c>
    </row>
    <row r="27" spans="1:25" ht="15" customHeight="1" x14ac:dyDescent="0.3">
      <c r="A27" s="443">
        <v>46349</v>
      </c>
      <c r="B27" s="219">
        <f>IF(D27&gt;0,COUNTIF($D$9:D27,"&gt;0"),"")</f>
        <v>17</v>
      </c>
      <c r="C27" s="221">
        <f>'SEMANA NOVEMBRO'!$M$153</f>
        <v>0</v>
      </c>
      <c r="D27" s="221">
        <f>CONFIG!$B$3</f>
        <v>11000</v>
      </c>
      <c r="E27" s="221">
        <f t="shared" si="0"/>
        <v>-11000</v>
      </c>
      <c r="F27" s="431"/>
      <c r="X27" s="28">
        <f t="shared" si="1"/>
        <v>0</v>
      </c>
      <c r="Y27" s="28">
        <f t="shared" si="2"/>
        <v>11000</v>
      </c>
    </row>
    <row r="28" spans="1:25" ht="15" customHeight="1" x14ac:dyDescent="0.3">
      <c r="A28" s="443">
        <v>46350</v>
      </c>
      <c r="B28" s="219">
        <f>IF(D28&gt;0,COUNTIF($D$9:D28,"&gt;0"),"")</f>
        <v>18</v>
      </c>
      <c r="C28" s="221">
        <f>'SEMANA NOVEMBRO'!$M$161</f>
        <v>0</v>
      </c>
      <c r="D28" s="221">
        <f>CONFIG!$B$3</f>
        <v>11000</v>
      </c>
      <c r="E28" s="221">
        <f t="shared" si="0"/>
        <v>-11000</v>
      </c>
      <c r="F28" s="431"/>
      <c r="X28" s="28">
        <f t="shared" si="1"/>
        <v>0</v>
      </c>
      <c r="Y28" s="28">
        <f t="shared" si="2"/>
        <v>11000</v>
      </c>
    </row>
    <row r="29" spans="1:25" ht="15" customHeight="1" x14ac:dyDescent="0.3">
      <c r="A29" s="443">
        <v>46351</v>
      </c>
      <c r="B29" s="219">
        <f>IF(D29&gt;0,COUNTIF($D$9:D29,"&gt;0"),"")</f>
        <v>19</v>
      </c>
      <c r="C29" s="221">
        <f>'SEMANA NOVEMBRO'!$M$169</f>
        <v>0</v>
      </c>
      <c r="D29" s="221">
        <f>CONFIG!$B$3</f>
        <v>11000</v>
      </c>
      <c r="E29" s="221">
        <f t="shared" si="0"/>
        <v>-11000</v>
      </c>
      <c r="F29" s="431"/>
      <c r="X29" s="28">
        <f t="shared" si="1"/>
        <v>0</v>
      </c>
      <c r="Y29" s="28">
        <f t="shared" si="2"/>
        <v>11000</v>
      </c>
    </row>
    <row r="30" spans="1:25" ht="15" customHeight="1" x14ac:dyDescent="0.3">
      <c r="A30" s="443">
        <v>46352</v>
      </c>
      <c r="B30" s="219">
        <f>IF(D30&gt;0,COUNTIF($D$9:D30,"&gt;0"),"")</f>
        <v>20</v>
      </c>
      <c r="C30" s="221">
        <f>'SEMANA NOVEMBRO'!$M$177</f>
        <v>0</v>
      </c>
      <c r="D30" s="221">
        <f>CONFIG!$B$3</f>
        <v>11000</v>
      </c>
      <c r="E30" s="221">
        <f t="shared" si="0"/>
        <v>-11000</v>
      </c>
      <c r="F30" s="431"/>
    </row>
    <row r="31" spans="1:25" ht="14.25" customHeight="1" x14ac:dyDescent="0.3">
      <c r="A31" s="443">
        <v>46353</v>
      </c>
      <c r="B31" s="219">
        <f>IF(D31&gt;0,COUNTIF($D$9:D31,"&gt;0"),"")</f>
        <v>21</v>
      </c>
      <c r="C31" s="221">
        <f>'SEMANA NOVEMBRO'!$M$185</f>
        <v>0</v>
      </c>
      <c r="D31" s="221">
        <f>CONFIG!$B$3</f>
        <v>11000</v>
      </c>
      <c r="E31" s="221">
        <f t="shared" si="0"/>
        <v>-11000</v>
      </c>
      <c r="F31" s="431"/>
    </row>
    <row r="32" spans="1:25" ht="14.25" customHeight="1" x14ac:dyDescent="0.3">
      <c r="A32" s="443">
        <v>46354</v>
      </c>
      <c r="B32" s="219">
        <f>IF(D32&gt;0,COUNTIF($D$9:D32,"&gt;0"),"")</f>
        <v>22</v>
      </c>
      <c r="C32" s="221">
        <f>'SEMANA NOVEMBRO'!$M$193</f>
        <v>0</v>
      </c>
      <c r="D32" s="221">
        <f>CONFIG!$B$3</f>
        <v>11000</v>
      </c>
      <c r="E32" s="221">
        <f t="shared" si="0"/>
        <v>-11000</v>
      </c>
      <c r="F32" s="162" t="s">
        <v>557</v>
      </c>
    </row>
    <row r="33" spans="1:6" ht="14.25" customHeight="1" x14ac:dyDescent="0.3">
      <c r="A33" s="443">
        <v>46356</v>
      </c>
      <c r="B33" s="219">
        <f>IF(D33&gt;0,COUNTIF($D$9:D33,"&gt;0"),"")</f>
        <v>23</v>
      </c>
      <c r="C33" s="221">
        <f>'SEMANA NOVEMBRO'!$M$201</f>
        <v>0</v>
      </c>
      <c r="D33" s="221">
        <f>CONFIG!$B$3</f>
        <v>11000</v>
      </c>
      <c r="E33" s="221">
        <f t="shared" si="0"/>
        <v>-11000</v>
      </c>
      <c r="F33" s="431"/>
    </row>
    <row r="34" spans="1:6" ht="14.25" customHeight="1" x14ac:dyDescent="0.3"/>
    <row r="35" spans="1:6" ht="14.25" customHeight="1" x14ac:dyDescent="0.3"/>
    <row r="36" spans="1:6" ht="14.25" customHeight="1" x14ac:dyDescent="0.3"/>
    <row r="37" spans="1:6" ht="14.25" customHeight="1" x14ac:dyDescent="0.3"/>
    <row r="38" spans="1:6" ht="14.25" customHeight="1" x14ac:dyDescent="0.3"/>
    <row r="39" spans="1:6" ht="14.25" customHeight="1" x14ac:dyDescent="0.3"/>
    <row r="40" spans="1:6" ht="14.25" customHeight="1" x14ac:dyDescent="0.3"/>
    <row r="41" spans="1:6" ht="14.25" customHeight="1" x14ac:dyDescent="0.3"/>
    <row r="42" spans="1:6" ht="14.25" customHeight="1" x14ac:dyDescent="0.3"/>
    <row r="43" spans="1:6" ht="14.25" customHeight="1" x14ac:dyDescent="0.3"/>
    <row r="44" spans="1:6" ht="14.25" customHeight="1" x14ac:dyDescent="0.3"/>
    <row r="45" spans="1:6" ht="14.25" customHeight="1" x14ac:dyDescent="0.3"/>
    <row r="46" spans="1:6" ht="14.25" customHeight="1" x14ac:dyDescent="0.3"/>
    <row r="47" spans="1:6" ht="14.25" customHeight="1" x14ac:dyDescent="0.3"/>
    <row r="48" spans="1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</sheetData>
  <mergeCells count="1">
    <mergeCell ref="A1:F1"/>
  </mergeCells>
  <conditionalFormatting sqref="E9:E30">
    <cfRule type="cellIs" dxfId="23" priority="2" operator="greaterThan">
      <formula>0</formula>
    </cfRule>
    <cfRule type="cellIs" dxfId="22" priority="3" operator="lessThan">
      <formula>0</formula>
    </cfRule>
    <cfRule type="cellIs" dxfId="21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C96B0A"/>
  </sheetPr>
  <dimension ref="B1:N300"/>
  <sheetViews>
    <sheetView showGridLines="0" zoomScaleNormal="100" workbookViewId="0"/>
  </sheetViews>
  <sheetFormatPr defaultColWidth="8.6640625" defaultRowHeight="17.399999999999999" x14ac:dyDescent="0.3"/>
  <cols>
    <col min="1" max="1" width="2.5546875" customWidth="1"/>
    <col min="2" max="2" width="13.5546875" style="5" customWidth="1"/>
    <col min="3" max="3" width="7.6640625" style="6" customWidth="1"/>
    <col min="4" max="4" width="12.6640625" style="6" customWidth="1"/>
    <col min="5" max="5" width="9.109375" style="7" customWidth="1"/>
    <col min="6" max="6" width="13.5546875" style="7" customWidth="1"/>
    <col min="7" max="7" width="6.6640625" style="7" customWidth="1"/>
    <col min="8" max="8" width="8" style="7" customWidth="1"/>
    <col min="9" max="9" width="7.5546875" style="7" customWidth="1"/>
    <col min="10" max="10" width="20" style="7" customWidth="1"/>
    <col min="11" max="11" width="9.109375" style="7" customWidth="1"/>
    <col min="12" max="12" width="21" style="7" customWidth="1"/>
    <col min="13" max="13" width="18.109375" style="6" customWidth="1"/>
    <col min="14" max="14" width="17.109375" style="441" customWidth="1"/>
  </cols>
  <sheetData>
    <row r="1" spans="2:14" ht="21.75" customHeight="1" x14ac:dyDescent="0.3">
      <c r="B1" s="561" t="s">
        <v>668</v>
      </c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561"/>
    </row>
    <row r="2" spans="2:14" ht="15" customHeight="1" x14ac:dyDescent="0.3"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</row>
    <row r="3" spans="2:14" ht="17.25" customHeight="1" x14ac:dyDescent="0.3">
      <c r="B3" s="163" t="s">
        <v>75</v>
      </c>
      <c r="C3" s="562" t="s">
        <v>76</v>
      </c>
      <c r="D3" s="562"/>
      <c r="E3" s="562" t="s">
        <v>77</v>
      </c>
      <c r="F3" s="562"/>
      <c r="G3" s="562" t="s">
        <v>78</v>
      </c>
      <c r="H3" s="562"/>
      <c r="I3" s="562"/>
      <c r="J3" s="562"/>
      <c r="K3" s="562" t="s">
        <v>79</v>
      </c>
      <c r="L3" s="562"/>
      <c r="M3" s="164" t="s">
        <v>80</v>
      </c>
      <c r="N3" s="438" t="s">
        <v>81</v>
      </c>
    </row>
    <row r="4" spans="2:14" ht="17.25" customHeight="1" x14ac:dyDescent="0.3">
      <c r="B4" s="233"/>
      <c r="C4" s="605"/>
      <c r="D4" s="605"/>
      <c r="E4" s="605"/>
      <c r="F4" s="605"/>
      <c r="G4" s="605"/>
      <c r="H4" s="605"/>
      <c r="I4" s="605"/>
      <c r="J4" s="605"/>
      <c r="K4" s="605"/>
      <c r="L4" s="605"/>
      <c r="M4" s="234"/>
      <c r="N4" s="438"/>
    </row>
    <row r="5" spans="2:14" ht="17.25" customHeight="1" x14ac:dyDescent="0.3">
      <c r="B5" s="21"/>
      <c r="C5" s="552"/>
      <c r="D5" s="552"/>
      <c r="E5" s="552"/>
      <c r="F5" s="552"/>
      <c r="G5" s="552"/>
      <c r="H5" s="552"/>
      <c r="I5" s="552"/>
      <c r="J5" s="552"/>
      <c r="K5" s="552"/>
      <c r="L5" s="552"/>
      <c r="M5" s="22"/>
      <c r="N5" s="438"/>
    </row>
    <row r="6" spans="2:14" ht="17.25" customHeight="1" x14ac:dyDescent="0.3">
      <c r="B6" s="19"/>
      <c r="C6" s="553"/>
      <c r="D6" s="553"/>
      <c r="E6" s="553"/>
      <c r="F6" s="553"/>
      <c r="G6" s="553"/>
      <c r="H6" s="553"/>
      <c r="I6" s="553"/>
      <c r="J6" s="553"/>
      <c r="K6" s="553"/>
      <c r="L6" s="553"/>
      <c r="M6" s="23"/>
      <c r="N6" s="438"/>
    </row>
    <row r="7" spans="2:14" ht="17.25" customHeight="1" x14ac:dyDescent="0.3">
      <c r="B7" s="21"/>
      <c r="C7" s="552"/>
      <c r="D7" s="552"/>
      <c r="E7" s="552"/>
      <c r="F7" s="552"/>
      <c r="G7" s="552"/>
      <c r="H7" s="552"/>
      <c r="I7" s="552"/>
      <c r="J7" s="552"/>
      <c r="K7" s="552"/>
      <c r="L7" s="552"/>
      <c r="M7" s="24"/>
      <c r="N7" s="438"/>
    </row>
    <row r="8" spans="2:14" ht="17.25" customHeight="1" x14ac:dyDescent="0.3">
      <c r="B8" s="19"/>
      <c r="C8" s="553"/>
      <c r="D8" s="553"/>
      <c r="E8" s="553"/>
      <c r="F8" s="553"/>
      <c r="G8" s="553"/>
      <c r="H8" s="553"/>
      <c r="I8" s="553"/>
      <c r="J8" s="553"/>
      <c r="K8" s="553"/>
      <c r="L8" s="553"/>
      <c r="M8" s="23"/>
      <c r="N8" s="438"/>
    </row>
    <row r="9" spans="2:14" ht="17.25" customHeight="1" x14ac:dyDescent="0.3">
      <c r="B9" s="21"/>
      <c r="C9" s="552"/>
      <c r="D9" s="552"/>
      <c r="E9" s="552"/>
      <c r="F9" s="552"/>
      <c r="G9" s="552"/>
      <c r="H9" s="552"/>
      <c r="I9" s="552"/>
      <c r="J9" s="552"/>
      <c r="K9" s="552"/>
      <c r="L9" s="552"/>
      <c r="M9" s="22"/>
      <c r="N9" s="438"/>
    </row>
    <row r="10" spans="2:14" ht="17.25" customHeight="1" x14ac:dyDescent="0.3">
      <c r="B10" s="19"/>
      <c r="C10" s="553"/>
      <c r="D10" s="553"/>
      <c r="E10" s="553"/>
      <c r="F10" s="553"/>
      <c r="G10" s="553"/>
      <c r="H10" s="553"/>
      <c r="I10" s="553"/>
      <c r="J10" s="553"/>
      <c r="K10" s="553"/>
      <c r="L10" s="553"/>
      <c r="M10" s="20"/>
      <c r="N10" s="438"/>
    </row>
    <row r="11" spans="2:14" ht="17.25" customHeight="1" x14ac:dyDescent="0.3">
      <c r="B11" s="21"/>
      <c r="C11" s="552"/>
      <c r="D11" s="552"/>
      <c r="E11" s="552"/>
      <c r="F11" s="552"/>
      <c r="G11" s="552"/>
      <c r="H11" s="552"/>
      <c r="I11" s="552"/>
      <c r="J11" s="552"/>
      <c r="K11" s="552"/>
      <c r="L11" s="552"/>
      <c r="M11" s="22"/>
      <c r="N11" s="438"/>
    </row>
    <row r="12" spans="2:14" ht="17.25" customHeight="1" x14ac:dyDescent="0.3">
      <c r="B12" s="19"/>
      <c r="C12" s="553"/>
      <c r="D12" s="553"/>
      <c r="E12" s="553"/>
      <c r="F12" s="553"/>
      <c r="G12" s="553"/>
      <c r="H12" s="553"/>
      <c r="I12" s="553"/>
      <c r="J12" s="553"/>
      <c r="K12" s="553"/>
      <c r="L12" s="553"/>
      <c r="M12" s="20"/>
      <c r="N12" s="438"/>
    </row>
    <row r="13" spans="2:14" ht="17.25" customHeight="1" x14ac:dyDescent="0.3">
      <c r="B13" s="21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22"/>
      <c r="N13" s="438"/>
    </row>
    <row r="14" spans="2:14" ht="17.25" customHeight="1" x14ac:dyDescent="0.3">
      <c r="B14" s="19"/>
      <c r="C14" s="553"/>
      <c r="D14" s="553"/>
      <c r="E14" s="553"/>
      <c r="F14" s="553"/>
      <c r="G14" s="553"/>
      <c r="H14" s="553"/>
      <c r="I14" s="553"/>
      <c r="J14" s="553"/>
      <c r="K14" s="553"/>
      <c r="L14" s="553"/>
      <c r="M14" s="20"/>
      <c r="N14" s="438"/>
    </row>
    <row r="15" spans="2:14" ht="17.25" customHeight="1" x14ac:dyDescent="0.3">
      <c r="B15" s="21"/>
      <c r="C15" s="552"/>
      <c r="D15" s="552"/>
      <c r="E15" s="552"/>
      <c r="F15" s="552"/>
      <c r="G15" s="552"/>
      <c r="H15" s="552"/>
      <c r="I15" s="552"/>
      <c r="J15" s="552"/>
      <c r="K15" s="552"/>
      <c r="L15" s="552"/>
      <c r="M15" s="22"/>
      <c r="N15" s="438"/>
    </row>
    <row r="16" spans="2:14" ht="17.25" customHeight="1" x14ac:dyDescent="0.3">
      <c r="B16" s="19"/>
      <c r="C16" s="553"/>
      <c r="D16" s="553"/>
      <c r="E16" s="553"/>
      <c r="F16" s="553"/>
      <c r="G16" s="553"/>
      <c r="H16" s="553"/>
      <c r="I16" s="553"/>
      <c r="J16" s="553"/>
      <c r="K16" s="553"/>
      <c r="L16" s="553"/>
      <c r="M16" s="20"/>
      <c r="N16" s="438"/>
    </row>
    <row r="17" spans="2:14" ht="17.25" customHeight="1" x14ac:dyDescent="0.3">
      <c r="B17" s="21"/>
      <c r="C17" s="552"/>
      <c r="D17" s="552"/>
      <c r="E17" s="552"/>
      <c r="F17" s="552"/>
      <c r="G17" s="552"/>
      <c r="H17" s="552"/>
      <c r="I17" s="552"/>
      <c r="J17" s="552"/>
      <c r="K17" s="552"/>
      <c r="L17" s="552"/>
      <c r="M17" s="24"/>
      <c r="N17" s="438"/>
    </row>
    <row r="18" spans="2:14" ht="17.25" customHeight="1" x14ac:dyDescent="0.3">
      <c r="B18" s="19"/>
      <c r="C18" s="553"/>
      <c r="D18" s="553"/>
      <c r="E18" s="553"/>
      <c r="F18" s="553"/>
      <c r="G18" s="553"/>
      <c r="H18" s="553"/>
      <c r="I18" s="553"/>
      <c r="J18" s="553"/>
      <c r="K18" s="553"/>
      <c r="L18" s="553"/>
      <c r="M18" s="20"/>
      <c r="N18" s="438"/>
    </row>
    <row r="19" spans="2:14" ht="17.25" customHeight="1" x14ac:dyDescent="0.3">
      <c r="B19" s="21"/>
      <c r="C19" s="552"/>
      <c r="D19" s="552"/>
      <c r="E19" s="552"/>
      <c r="F19" s="552"/>
      <c r="G19" s="552"/>
      <c r="H19" s="552"/>
      <c r="I19" s="552"/>
      <c r="J19" s="552"/>
      <c r="K19" s="552"/>
      <c r="L19" s="552"/>
      <c r="M19" s="22"/>
      <c r="N19" s="438"/>
    </row>
    <row r="20" spans="2:14" ht="17.25" customHeight="1" x14ac:dyDescent="0.3">
      <c r="B20" s="19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20"/>
      <c r="N20" s="438"/>
    </row>
    <row r="21" spans="2:14" ht="17.25" customHeight="1" x14ac:dyDescent="0.3">
      <c r="B21" s="21"/>
      <c r="C21" s="552"/>
      <c r="D21" s="552"/>
      <c r="E21" s="552"/>
      <c r="F21" s="552"/>
      <c r="G21" s="552"/>
      <c r="H21" s="552"/>
      <c r="I21" s="552"/>
      <c r="J21" s="552"/>
      <c r="K21" s="552"/>
      <c r="L21" s="552"/>
      <c r="M21" s="22"/>
      <c r="N21" s="438"/>
    </row>
    <row r="22" spans="2:14" ht="17.25" customHeight="1" x14ac:dyDescent="0.3">
      <c r="B22" s="19"/>
      <c r="C22" s="553"/>
      <c r="D22" s="553"/>
      <c r="E22" s="553"/>
      <c r="F22" s="553"/>
      <c r="G22" s="553"/>
      <c r="H22" s="553"/>
      <c r="I22" s="553"/>
      <c r="J22" s="553"/>
      <c r="K22" s="553"/>
      <c r="L22" s="553"/>
      <c r="M22" s="20"/>
      <c r="N22" s="438"/>
    </row>
    <row r="23" spans="2:14" ht="17.25" customHeight="1" x14ac:dyDescent="0.3">
      <c r="B23" s="21"/>
      <c r="C23" s="552"/>
      <c r="D23" s="552"/>
      <c r="E23" s="552"/>
      <c r="F23" s="552"/>
      <c r="G23" s="552"/>
      <c r="H23" s="552"/>
      <c r="I23" s="552"/>
      <c r="J23" s="552"/>
      <c r="K23" s="552"/>
      <c r="L23" s="552"/>
      <c r="M23" s="22"/>
      <c r="N23" s="438"/>
    </row>
    <row r="24" spans="2:14" ht="17.25" customHeight="1" x14ac:dyDescent="0.3">
      <c r="B24" s="19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20"/>
      <c r="N24" s="438"/>
    </row>
    <row r="25" spans="2:14" ht="17.25" customHeight="1" x14ac:dyDescent="0.3">
      <c r="B25" s="21"/>
      <c r="C25" s="552"/>
      <c r="D25" s="552"/>
      <c r="E25" s="552"/>
      <c r="F25" s="552"/>
      <c r="G25" s="552"/>
      <c r="H25" s="552"/>
      <c r="I25" s="552"/>
      <c r="J25" s="552"/>
      <c r="K25" s="552"/>
      <c r="L25" s="552"/>
      <c r="M25" s="24"/>
      <c r="N25" s="438"/>
    </row>
    <row r="26" spans="2:14" ht="17.25" customHeight="1" x14ac:dyDescent="0.3">
      <c r="B26" s="19"/>
      <c r="C26" s="553"/>
      <c r="D26" s="553"/>
      <c r="E26" s="553"/>
      <c r="F26" s="553"/>
      <c r="G26" s="553"/>
      <c r="H26" s="553"/>
      <c r="I26" s="553"/>
      <c r="J26" s="553"/>
      <c r="K26" s="553"/>
      <c r="L26" s="553"/>
      <c r="M26" s="20"/>
      <c r="N26" s="438"/>
    </row>
    <row r="27" spans="2:14" ht="17.25" customHeight="1" x14ac:dyDescent="0.3">
      <c r="B27" s="21"/>
      <c r="C27" s="552"/>
      <c r="D27" s="552"/>
      <c r="E27" s="552"/>
      <c r="F27" s="552"/>
      <c r="G27" s="552"/>
      <c r="H27" s="552"/>
      <c r="I27" s="552"/>
      <c r="J27" s="552"/>
      <c r="K27" s="552"/>
      <c r="L27" s="552"/>
      <c r="M27" s="22"/>
      <c r="N27" s="438"/>
    </row>
    <row r="28" spans="2:14" ht="17.25" customHeight="1" x14ac:dyDescent="0.3">
      <c r="B28" s="19"/>
      <c r="C28" s="553"/>
      <c r="D28" s="553"/>
      <c r="E28" s="553"/>
      <c r="F28" s="553"/>
      <c r="G28" s="553"/>
      <c r="H28" s="553"/>
      <c r="I28" s="553"/>
      <c r="J28" s="553"/>
      <c r="K28" s="553"/>
      <c r="L28" s="553"/>
      <c r="M28" s="20"/>
      <c r="N28" s="438"/>
    </row>
    <row r="29" spans="2:14" ht="17.25" customHeight="1" x14ac:dyDescent="0.3">
      <c r="B29" s="21"/>
      <c r="C29" s="552"/>
      <c r="D29" s="552"/>
      <c r="E29" s="552"/>
      <c r="F29" s="552"/>
      <c r="G29" s="552"/>
      <c r="H29" s="552"/>
      <c r="I29" s="552"/>
      <c r="J29" s="552"/>
      <c r="K29" s="552"/>
      <c r="L29" s="552"/>
      <c r="M29" s="22"/>
      <c r="N29" s="438"/>
    </row>
    <row r="30" spans="2:14" ht="17.25" customHeight="1" x14ac:dyDescent="0.3">
      <c r="B30" s="19"/>
      <c r="C30" s="553"/>
      <c r="D30" s="553"/>
      <c r="E30" s="553"/>
      <c r="F30" s="553"/>
      <c r="G30" s="553"/>
      <c r="H30" s="553"/>
      <c r="I30" s="553"/>
      <c r="J30" s="553"/>
      <c r="K30" s="553"/>
      <c r="L30" s="553"/>
      <c r="M30" s="20"/>
      <c r="N30" s="438"/>
    </row>
    <row r="31" spans="2:14" ht="17.25" customHeight="1" x14ac:dyDescent="0.3">
      <c r="B31" s="21"/>
      <c r="C31" s="552"/>
      <c r="D31" s="552"/>
      <c r="E31" s="552"/>
      <c r="F31" s="552"/>
      <c r="G31" s="552"/>
      <c r="H31" s="552"/>
      <c r="I31" s="552"/>
      <c r="J31" s="552"/>
      <c r="K31" s="552"/>
      <c r="L31" s="552"/>
      <c r="M31" s="22"/>
      <c r="N31" s="438"/>
    </row>
    <row r="32" spans="2:14" ht="17.25" customHeight="1" x14ac:dyDescent="0.3">
      <c r="B32" s="19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20"/>
      <c r="N32" s="438"/>
    </row>
    <row r="33" spans="2:14" ht="17.25" customHeight="1" x14ac:dyDescent="0.3">
      <c r="B33" s="21"/>
      <c r="C33" s="552"/>
      <c r="D33" s="552"/>
      <c r="E33" s="552"/>
      <c r="F33" s="552"/>
      <c r="G33" s="552"/>
      <c r="H33" s="552"/>
      <c r="I33" s="552"/>
      <c r="J33" s="552"/>
      <c r="K33" s="552"/>
      <c r="L33" s="552"/>
      <c r="M33" s="22"/>
      <c r="N33" s="438"/>
    </row>
    <row r="34" spans="2:14" ht="17.25" customHeight="1" x14ac:dyDescent="0.3">
      <c r="B34" s="19"/>
      <c r="C34" s="553"/>
      <c r="D34" s="553"/>
      <c r="E34" s="553"/>
      <c r="F34" s="553"/>
      <c r="G34" s="553"/>
      <c r="H34" s="553"/>
      <c r="I34" s="553"/>
      <c r="J34" s="553"/>
      <c r="K34" s="553"/>
      <c r="L34" s="553"/>
      <c r="M34" s="23"/>
      <c r="N34" s="438"/>
    </row>
    <row r="35" spans="2:14" ht="17.25" customHeight="1" x14ac:dyDescent="0.3">
      <c r="B35" s="21"/>
      <c r="C35" s="552"/>
      <c r="D35" s="552"/>
      <c r="E35" s="552"/>
      <c r="F35" s="552"/>
      <c r="G35" s="552"/>
      <c r="H35" s="552"/>
      <c r="I35" s="552"/>
      <c r="J35" s="552"/>
      <c r="K35" s="552"/>
      <c r="L35" s="552"/>
      <c r="M35" s="22"/>
      <c r="N35" s="438"/>
    </row>
    <row r="36" spans="2:14" ht="17.25" customHeight="1" x14ac:dyDescent="0.3">
      <c r="B36" s="19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20"/>
      <c r="N36" s="438"/>
    </row>
    <row r="37" spans="2:14" ht="17.25" customHeight="1" x14ac:dyDescent="0.3">
      <c r="B37" s="21"/>
      <c r="C37" s="552"/>
      <c r="D37" s="552"/>
      <c r="E37" s="552"/>
      <c r="F37" s="552"/>
      <c r="G37" s="552"/>
      <c r="H37" s="552"/>
      <c r="I37" s="552"/>
      <c r="J37" s="552"/>
      <c r="K37" s="552"/>
      <c r="L37" s="552"/>
      <c r="M37" s="22"/>
      <c r="N37" s="438"/>
    </row>
    <row r="38" spans="2:14" ht="17.25" customHeight="1" x14ac:dyDescent="0.3">
      <c r="B38" s="19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20"/>
      <c r="N38" s="438"/>
    </row>
    <row r="39" spans="2:14" ht="17.25" customHeight="1" x14ac:dyDescent="0.3">
      <c r="B39" s="21"/>
      <c r="C39" s="552"/>
      <c r="D39" s="552"/>
      <c r="E39" s="552"/>
      <c r="F39" s="552"/>
      <c r="G39" s="552"/>
      <c r="H39" s="552"/>
      <c r="I39" s="552"/>
      <c r="J39" s="552"/>
      <c r="K39" s="552"/>
      <c r="L39" s="552"/>
      <c r="M39" s="22"/>
      <c r="N39" s="438"/>
    </row>
    <row r="40" spans="2:14" ht="17.25" customHeight="1" x14ac:dyDescent="0.3">
      <c r="B40" s="19"/>
      <c r="C40" s="553"/>
      <c r="D40" s="553"/>
      <c r="E40" s="553"/>
      <c r="F40" s="553"/>
      <c r="G40" s="553"/>
      <c r="H40" s="553"/>
      <c r="I40" s="553"/>
      <c r="J40" s="553"/>
      <c r="K40" s="553"/>
      <c r="L40" s="553"/>
      <c r="M40" s="20"/>
      <c r="N40" s="438"/>
    </row>
    <row r="41" spans="2:14" ht="17.25" customHeight="1" x14ac:dyDescent="0.3">
      <c r="B41" s="21"/>
      <c r="C41" s="552"/>
      <c r="D41" s="552"/>
      <c r="E41" s="552"/>
      <c r="F41" s="552"/>
      <c r="G41" s="552"/>
      <c r="H41" s="552"/>
      <c r="I41" s="552"/>
      <c r="J41" s="552"/>
      <c r="K41" s="552"/>
      <c r="L41" s="552"/>
      <c r="M41" s="22"/>
      <c r="N41" s="438"/>
    </row>
    <row r="42" spans="2:14" ht="17.25" customHeight="1" x14ac:dyDescent="0.3">
      <c r="B42" s="19"/>
      <c r="C42" s="553"/>
      <c r="D42" s="553"/>
      <c r="E42" s="553"/>
      <c r="F42" s="553"/>
      <c r="G42" s="553"/>
      <c r="H42" s="553"/>
      <c r="I42" s="553"/>
      <c r="J42" s="553"/>
      <c r="K42" s="553"/>
      <c r="L42" s="553"/>
      <c r="M42" s="23"/>
      <c r="N42" s="438"/>
    </row>
    <row r="43" spans="2:14" ht="17.25" customHeight="1" x14ac:dyDescent="0.3">
      <c r="B43" s="21"/>
      <c r="C43" s="552"/>
      <c r="D43" s="552"/>
      <c r="E43" s="552"/>
      <c r="F43" s="552"/>
      <c r="G43" s="552"/>
      <c r="H43" s="552"/>
      <c r="I43" s="552"/>
      <c r="J43" s="552"/>
      <c r="K43" s="552"/>
      <c r="L43" s="552"/>
      <c r="M43" s="22"/>
      <c r="N43" s="438"/>
    </row>
    <row r="44" spans="2:14" ht="17.25" customHeight="1" x14ac:dyDescent="0.3">
      <c r="B44" s="19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20"/>
      <c r="N44" s="438"/>
    </row>
    <row r="45" spans="2:14" ht="17.25" customHeight="1" x14ac:dyDescent="0.3">
      <c r="B45" s="21"/>
      <c r="C45" s="552"/>
      <c r="D45" s="552"/>
      <c r="E45" s="552"/>
      <c r="F45" s="552"/>
      <c r="G45" s="552"/>
      <c r="H45" s="552"/>
      <c r="I45" s="552"/>
      <c r="J45" s="552"/>
      <c r="K45" s="552"/>
      <c r="L45" s="552"/>
      <c r="M45" s="22"/>
      <c r="N45" s="438"/>
    </row>
    <row r="46" spans="2:14" ht="17.25" customHeight="1" x14ac:dyDescent="0.3">
      <c r="B46" s="19"/>
      <c r="C46" s="553"/>
      <c r="D46" s="553"/>
      <c r="E46" s="553"/>
      <c r="F46" s="553"/>
      <c r="G46" s="553"/>
      <c r="H46" s="553"/>
      <c r="I46" s="553"/>
      <c r="J46" s="553"/>
      <c r="K46" s="553"/>
      <c r="L46" s="553"/>
      <c r="M46" s="20"/>
      <c r="N46" s="438"/>
    </row>
    <row r="47" spans="2:14" ht="17.25" customHeight="1" x14ac:dyDescent="0.3">
      <c r="B47" s="21"/>
      <c r="C47" s="552"/>
      <c r="D47" s="552"/>
      <c r="E47" s="552"/>
      <c r="F47" s="552"/>
      <c r="G47" s="552"/>
      <c r="H47" s="552"/>
      <c r="I47" s="552"/>
      <c r="J47" s="552"/>
      <c r="K47" s="552"/>
      <c r="L47" s="552"/>
      <c r="M47" s="22"/>
      <c r="N47" s="438"/>
    </row>
    <row r="48" spans="2:14" ht="17.25" customHeight="1" x14ac:dyDescent="0.3">
      <c r="B48" s="19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20"/>
      <c r="N48" s="438"/>
    </row>
    <row r="49" spans="2:14" ht="17.25" customHeight="1" x14ac:dyDescent="0.3">
      <c r="B49" s="21"/>
      <c r="C49" s="552"/>
      <c r="D49" s="552"/>
      <c r="E49" s="552"/>
      <c r="F49" s="552"/>
      <c r="G49" s="552"/>
      <c r="H49" s="552"/>
      <c r="I49" s="552"/>
      <c r="J49" s="552"/>
      <c r="K49" s="552"/>
      <c r="L49" s="552"/>
      <c r="M49" s="22"/>
      <c r="N49" s="438"/>
    </row>
    <row r="50" spans="2:14" ht="17.25" customHeight="1" x14ac:dyDescent="0.3">
      <c r="B50" s="19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20"/>
      <c r="N50" s="438"/>
    </row>
    <row r="51" spans="2:14" ht="17.25" customHeight="1" x14ac:dyDescent="0.3">
      <c r="B51" s="21"/>
      <c r="C51" s="552"/>
      <c r="D51" s="552"/>
      <c r="E51" s="552"/>
      <c r="F51" s="552"/>
      <c r="G51" s="552"/>
      <c r="H51" s="552"/>
      <c r="I51" s="552"/>
      <c r="J51" s="552"/>
      <c r="K51" s="552"/>
      <c r="L51" s="552"/>
      <c r="M51" s="24"/>
      <c r="N51" s="438"/>
    </row>
    <row r="52" spans="2:14" ht="17.25" customHeight="1" x14ac:dyDescent="0.3">
      <c r="B52" s="19"/>
      <c r="C52" s="553"/>
      <c r="D52" s="553"/>
      <c r="E52" s="553"/>
      <c r="F52" s="553"/>
      <c r="G52" s="553"/>
      <c r="H52" s="553"/>
      <c r="I52" s="553"/>
      <c r="J52" s="553"/>
      <c r="K52" s="553"/>
      <c r="L52" s="553"/>
      <c r="M52" s="20"/>
      <c r="N52" s="438"/>
    </row>
    <row r="53" spans="2:14" ht="17.25" customHeight="1" x14ac:dyDescent="0.3">
      <c r="B53" s="21"/>
      <c r="C53" s="552"/>
      <c r="D53" s="552"/>
      <c r="E53" s="552"/>
      <c r="F53" s="552"/>
      <c r="G53" s="552"/>
      <c r="H53" s="552"/>
      <c r="I53" s="552"/>
      <c r="J53" s="552"/>
      <c r="K53" s="552"/>
      <c r="L53" s="552"/>
      <c r="M53" s="22"/>
      <c r="N53" s="438"/>
    </row>
    <row r="54" spans="2:14" ht="17.25" customHeight="1" x14ac:dyDescent="0.3">
      <c r="B54" s="19"/>
      <c r="C54" s="553"/>
      <c r="D54" s="553"/>
      <c r="E54" s="553"/>
      <c r="F54" s="553"/>
      <c r="G54" s="553"/>
      <c r="H54" s="553"/>
      <c r="I54" s="553"/>
      <c r="J54" s="553"/>
      <c r="K54" s="553"/>
      <c r="L54" s="553"/>
      <c r="M54" s="20"/>
      <c r="N54" s="438"/>
    </row>
    <row r="55" spans="2:14" ht="17.25" customHeight="1" x14ac:dyDescent="0.3">
      <c r="B55" s="21"/>
      <c r="C55" s="552"/>
      <c r="D55" s="552"/>
      <c r="E55" s="552"/>
      <c r="F55" s="552"/>
      <c r="G55" s="552"/>
      <c r="H55" s="552"/>
      <c r="I55" s="552"/>
      <c r="J55" s="552"/>
      <c r="K55" s="552"/>
      <c r="L55" s="552"/>
      <c r="M55" s="22"/>
      <c r="N55" s="438"/>
    </row>
    <row r="56" spans="2:14" ht="17.25" customHeight="1" x14ac:dyDescent="0.3">
      <c r="B56" s="19"/>
      <c r="C56" s="553"/>
      <c r="D56" s="553"/>
      <c r="E56" s="553"/>
      <c r="F56" s="553"/>
      <c r="G56" s="553"/>
      <c r="H56" s="553"/>
      <c r="I56" s="553"/>
      <c r="J56" s="553"/>
      <c r="K56" s="553"/>
      <c r="L56" s="553"/>
      <c r="M56" s="20"/>
      <c r="N56" s="438"/>
    </row>
    <row r="57" spans="2:14" ht="17.25" customHeight="1" x14ac:dyDescent="0.3">
      <c r="B57" s="21"/>
      <c r="C57" s="552"/>
      <c r="D57" s="552"/>
      <c r="E57" s="552"/>
      <c r="F57" s="552"/>
      <c r="G57" s="552"/>
      <c r="H57" s="552"/>
      <c r="I57" s="552"/>
      <c r="J57" s="552"/>
      <c r="K57" s="552"/>
      <c r="L57" s="552"/>
      <c r="M57" s="22"/>
      <c r="N57" s="438"/>
    </row>
    <row r="58" spans="2:14" ht="17.25" customHeight="1" x14ac:dyDescent="0.3">
      <c r="B58" s="19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20"/>
      <c r="N58" s="438"/>
    </row>
    <row r="59" spans="2:14" ht="17.25" customHeight="1" x14ac:dyDescent="0.3">
      <c r="B59" s="21"/>
      <c r="C59" s="552"/>
      <c r="D59" s="552"/>
      <c r="E59" s="552"/>
      <c r="F59" s="552"/>
      <c r="G59" s="552"/>
      <c r="H59" s="552"/>
      <c r="I59" s="552"/>
      <c r="J59" s="552"/>
      <c r="K59" s="552"/>
      <c r="L59" s="552"/>
      <c r="M59" s="24"/>
      <c r="N59" s="438"/>
    </row>
    <row r="60" spans="2:14" ht="17.25" customHeight="1" x14ac:dyDescent="0.3">
      <c r="B60" s="19"/>
      <c r="C60" s="553"/>
      <c r="D60" s="553"/>
      <c r="E60" s="553"/>
      <c r="F60" s="553"/>
      <c r="G60" s="553"/>
      <c r="H60" s="553"/>
      <c r="I60" s="553"/>
      <c r="J60" s="553"/>
      <c r="K60" s="553"/>
      <c r="L60" s="553"/>
      <c r="M60" s="20"/>
      <c r="N60" s="438"/>
    </row>
    <row r="61" spans="2:14" ht="17.25" customHeight="1" x14ac:dyDescent="0.3">
      <c r="B61" s="21"/>
      <c r="C61" s="552"/>
      <c r="D61" s="552"/>
      <c r="E61" s="552"/>
      <c r="F61" s="552"/>
      <c r="G61" s="552"/>
      <c r="H61" s="552"/>
      <c r="I61" s="552"/>
      <c r="J61" s="552"/>
      <c r="K61" s="552"/>
      <c r="L61" s="552"/>
      <c r="M61" s="22"/>
      <c r="N61" s="438"/>
    </row>
    <row r="62" spans="2:14" ht="17.25" customHeight="1" x14ac:dyDescent="0.3">
      <c r="B62" s="19"/>
      <c r="C62" s="553"/>
      <c r="D62" s="553"/>
      <c r="E62" s="553"/>
      <c r="F62" s="553"/>
      <c r="G62" s="553"/>
      <c r="H62" s="553"/>
      <c r="I62" s="553"/>
      <c r="J62" s="553"/>
      <c r="K62" s="553"/>
      <c r="L62" s="553"/>
      <c r="M62" s="20"/>
      <c r="N62" s="438"/>
    </row>
    <row r="63" spans="2:14" ht="17.25" customHeight="1" x14ac:dyDescent="0.3">
      <c r="B63" s="21"/>
      <c r="C63" s="552"/>
      <c r="D63" s="552"/>
      <c r="E63" s="552"/>
      <c r="F63" s="552"/>
      <c r="G63" s="552"/>
      <c r="H63" s="552"/>
      <c r="I63" s="552"/>
      <c r="J63" s="552"/>
      <c r="K63" s="552"/>
      <c r="L63" s="552"/>
      <c r="M63" s="22"/>
      <c r="N63" s="438"/>
    </row>
    <row r="64" spans="2:14" ht="17.25" customHeight="1" x14ac:dyDescent="0.3">
      <c r="B64" s="19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20"/>
      <c r="N64" s="438"/>
    </row>
    <row r="65" spans="2:14" ht="17.25" customHeight="1" x14ac:dyDescent="0.3">
      <c r="B65" s="21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22"/>
      <c r="N65" s="438"/>
    </row>
    <row r="66" spans="2:14" ht="17.25" customHeight="1" x14ac:dyDescent="0.3">
      <c r="B66" s="19"/>
      <c r="C66" s="553"/>
      <c r="D66" s="553"/>
      <c r="E66" s="553"/>
      <c r="F66" s="553"/>
      <c r="G66" s="553"/>
      <c r="H66" s="553"/>
      <c r="I66" s="553"/>
      <c r="J66" s="553"/>
      <c r="K66" s="553"/>
      <c r="L66" s="553"/>
      <c r="M66" s="20"/>
      <c r="N66" s="438"/>
    </row>
    <row r="67" spans="2:14" ht="17.25" customHeight="1" x14ac:dyDescent="0.3">
      <c r="B67" s="21"/>
      <c r="C67" s="552"/>
      <c r="D67" s="552"/>
      <c r="E67" s="552"/>
      <c r="F67" s="552"/>
      <c r="G67" s="552"/>
      <c r="H67" s="552"/>
      <c r="I67" s="552"/>
      <c r="J67" s="552"/>
      <c r="K67" s="552"/>
      <c r="L67" s="552"/>
      <c r="M67" s="22"/>
      <c r="N67" s="438"/>
    </row>
    <row r="68" spans="2:14" ht="17.25" customHeight="1" x14ac:dyDescent="0.3">
      <c r="B68" s="19"/>
      <c r="C68" s="553"/>
      <c r="D68" s="553"/>
      <c r="E68" s="553"/>
      <c r="F68" s="553"/>
      <c r="G68" s="553"/>
      <c r="H68" s="553"/>
      <c r="I68" s="553"/>
      <c r="J68" s="553"/>
      <c r="K68" s="553"/>
      <c r="L68" s="553"/>
      <c r="M68" s="23"/>
      <c r="N68" s="438"/>
    </row>
    <row r="69" spans="2:14" ht="17.25" customHeight="1" x14ac:dyDescent="0.3">
      <c r="B69" s="21"/>
      <c r="C69" s="552"/>
      <c r="D69" s="552"/>
      <c r="E69" s="552"/>
      <c r="F69" s="552"/>
      <c r="G69" s="552"/>
      <c r="H69" s="552"/>
      <c r="I69" s="552"/>
      <c r="J69" s="552"/>
      <c r="K69" s="552"/>
      <c r="L69" s="552"/>
      <c r="M69" s="22"/>
      <c r="N69" s="438"/>
    </row>
    <row r="70" spans="2:14" ht="17.25" customHeight="1" x14ac:dyDescent="0.3">
      <c r="B70" s="19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20"/>
      <c r="N70" s="438"/>
    </row>
    <row r="71" spans="2:14" ht="17.25" customHeight="1" x14ac:dyDescent="0.3">
      <c r="B71" s="21"/>
      <c r="C71" s="552"/>
      <c r="D71" s="552"/>
      <c r="E71" s="552"/>
      <c r="F71" s="552"/>
      <c r="G71" s="552"/>
      <c r="H71" s="552"/>
      <c r="I71" s="552"/>
      <c r="J71" s="552"/>
      <c r="K71" s="552"/>
      <c r="L71" s="552"/>
      <c r="M71" s="22"/>
      <c r="N71" s="438"/>
    </row>
    <row r="72" spans="2:14" ht="17.25" customHeight="1" x14ac:dyDescent="0.3">
      <c r="B72" s="19"/>
      <c r="C72" s="553"/>
      <c r="D72" s="553"/>
      <c r="E72" s="553"/>
      <c r="F72" s="553"/>
      <c r="G72" s="553"/>
      <c r="H72" s="553"/>
      <c r="I72" s="553"/>
      <c r="J72" s="553"/>
      <c r="K72" s="553"/>
      <c r="L72" s="553"/>
      <c r="M72" s="20"/>
      <c r="N72" s="438"/>
    </row>
    <row r="73" spans="2:14" ht="17.25" customHeight="1" x14ac:dyDescent="0.3">
      <c r="B73" s="21"/>
      <c r="C73" s="552"/>
      <c r="D73" s="552"/>
      <c r="E73" s="552"/>
      <c r="F73" s="552"/>
      <c r="G73" s="552"/>
      <c r="H73" s="552"/>
      <c r="I73" s="552"/>
      <c r="J73" s="552"/>
      <c r="K73" s="552"/>
      <c r="L73" s="552"/>
      <c r="M73" s="22"/>
      <c r="N73" s="438"/>
    </row>
    <row r="74" spans="2:14" ht="17.25" customHeight="1" x14ac:dyDescent="0.3">
      <c r="B74" s="19"/>
      <c r="C74" s="553"/>
      <c r="D74" s="553"/>
      <c r="E74" s="553"/>
      <c r="F74" s="553"/>
      <c r="G74" s="553"/>
      <c r="H74" s="553"/>
      <c r="I74" s="553"/>
      <c r="J74" s="553"/>
      <c r="K74" s="553"/>
      <c r="L74" s="553"/>
      <c r="M74" s="20"/>
      <c r="N74" s="438"/>
    </row>
    <row r="75" spans="2:14" ht="17.25" customHeight="1" x14ac:dyDescent="0.3">
      <c r="B75" s="21"/>
      <c r="C75" s="552"/>
      <c r="D75" s="552"/>
      <c r="E75" s="552"/>
      <c r="F75" s="552"/>
      <c r="G75" s="552"/>
      <c r="H75" s="552"/>
      <c r="I75" s="552"/>
      <c r="J75" s="552"/>
      <c r="K75" s="552"/>
      <c r="L75" s="552"/>
      <c r="M75" s="22"/>
      <c r="N75" s="438"/>
    </row>
    <row r="76" spans="2:14" ht="17.25" customHeight="1" x14ac:dyDescent="0.3">
      <c r="B76" s="19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23"/>
      <c r="N76" s="438"/>
    </row>
    <row r="77" spans="2:14" ht="17.25" customHeight="1" x14ac:dyDescent="0.3">
      <c r="B77" s="21"/>
      <c r="C77" s="552"/>
      <c r="D77" s="552"/>
      <c r="E77" s="552"/>
      <c r="F77" s="552"/>
      <c r="G77" s="552"/>
      <c r="H77" s="552"/>
      <c r="I77" s="552"/>
      <c r="J77" s="552"/>
      <c r="K77" s="552"/>
      <c r="L77" s="552"/>
      <c r="M77" s="22"/>
      <c r="N77" s="438"/>
    </row>
    <row r="78" spans="2:14" ht="17.25" customHeight="1" x14ac:dyDescent="0.3">
      <c r="B78" s="19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20"/>
      <c r="N78" s="438"/>
    </row>
    <row r="79" spans="2:14" ht="17.25" customHeight="1" x14ac:dyDescent="0.3">
      <c r="B79" s="21"/>
      <c r="C79" s="552"/>
      <c r="D79" s="552"/>
      <c r="E79" s="552"/>
      <c r="F79" s="552"/>
      <c r="G79" s="552"/>
      <c r="H79" s="552"/>
      <c r="I79" s="552"/>
      <c r="J79" s="552"/>
      <c r="K79" s="552"/>
      <c r="L79" s="552"/>
      <c r="M79" s="22"/>
      <c r="N79" s="438"/>
    </row>
    <row r="80" spans="2:14" ht="17.25" customHeight="1" x14ac:dyDescent="0.3">
      <c r="B80" s="19"/>
      <c r="C80" s="553"/>
      <c r="D80" s="553"/>
      <c r="E80" s="553"/>
      <c r="F80" s="553"/>
      <c r="G80" s="553"/>
      <c r="H80" s="553"/>
      <c r="I80" s="553"/>
      <c r="J80" s="553"/>
      <c r="K80" s="553"/>
      <c r="L80" s="553"/>
      <c r="M80" s="20"/>
      <c r="N80" s="438"/>
    </row>
    <row r="81" spans="2:14" ht="17.25" customHeight="1" x14ac:dyDescent="0.3">
      <c r="B81" s="21"/>
      <c r="C81" s="552"/>
      <c r="D81" s="552"/>
      <c r="E81" s="552"/>
      <c r="F81" s="552"/>
      <c r="G81" s="552"/>
      <c r="H81" s="552"/>
      <c r="I81" s="552"/>
      <c r="J81" s="552"/>
      <c r="K81" s="552"/>
      <c r="L81" s="552"/>
      <c r="M81" s="22"/>
      <c r="N81" s="438"/>
    </row>
    <row r="82" spans="2:14" ht="17.25" customHeight="1" x14ac:dyDescent="0.3">
      <c r="B82" s="19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20"/>
      <c r="N82" s="438"/>
    </row>
    <row r="83" spans="2:14" ht="17.25" customHeight="1" x14ac:dyDescent="0.3">
      <c r="B83" s="21"/>
      <c r="C83" s="552"/>
      <c r="D83" s="552"/>
      <c r="E83" s="552"/>
      <c r="F83" s="552"/>
      <c r="G83" s="552"/>
      <c r="H83" s="552"/>
      <c r="I83" s="552"/>
      <c r="J83" s="552"/>
      <c r="K83" s="552"/>
      <c r="L83" s="552"/>
      <c r="M83" s="22"/>
      <c r="N83" s="438"/>
    </row>
    <row r="84" spans="2:14" ht="17.25" customHeight="1" x14ac:dyDescent="0.3">
      <c r="B84" s="19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20"/>
      <c r="N84" s="438"/>
    </row>
    <row r="85" spans="2:14" ht="17.25" customHeight="1" x14ac:dyDescent="0.3">
      <c r="B85" s="21"/>
      <c r="C85" s="552"/>
      <c r="D85" s="552"/>
      <c r="E85" s="552"/>
      <c r="F85" s="552"/>
      <c r="G85" s="552"/>
      <c r="H85" s="552"/>
      <c r="I85" s="552"/>
      <c r="J85" s="552"/>
      <c r="K85" s="552"/>
      <c r="L85" s="552"/>
      <c r="M85" s="24"/>
      <c r="N85" s="438"/>
    </row>
    <row r="86" spans="2:14" ht="17.25" customHeight="1" x14ac:dyDescent="0.3">
      <c r="B86" s="19"/>
      <c r="C86" s="553"/>
      <c r="D86" s="553"/>
      <c r="E86" s="553"/>
      <c r="F86" s="553"/>
      <c r="G86" s="553"/>
      <c r="H86" s="553"/>
      <c r="I86" s="553"/>
      <c r="J86" s="553"/>
      <c r="K86" s="553"/>
      <c r="L86" s="553"/>
      <c r="M86" s="20"/>
      <c r="N86" s="438"/>
    </row>
    <row r="87" spans="2:14" ht="17.25" customHeight="1" x14ac:dyDescent="0.3">
      <c r="B87" s="21"/>
      <c r="C87" s="552"/>
      <c r="D87" s="552"/>
      <c r="E87" s="552"/>
      <c r="F87" s="552"/>
      <c r="G87" s="552"/>
      <c r="H87" s="552"/>
      <c r="I87" s="552"/>
      <c r="J87" s="552"/>
      <c r="K87" s="552"/>
      <c r="L87" s="552"/>
      <c r="M87" s="22"/>
      <c r="N87" s="438"/>
    </row>
    <row r="88" spans="2:14" ht="17.25" customHeight="1" x14ac:dyDescent="0.3">
      <c r="B88" s="19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20"/>
      <c r="N88" s="438"/>
    </row>
    <row r="89" spans="2:14" ht="17.25" customHeight="1" x14ac:dyDescent="0.3">
      <c r="B89" s="21"/>
      <c r="C89" s="552"/>
      <c r="D89" s="552"/>
      <c r="E89" s="552"/>
      <c r="F89" s="552"/>
      <c r="G89" s="552"/>
      <c r="H89" s="552"/>
      <c r="I89" s="552"/>
      <c r="J89" s="552"/>
      <c r="K89" s="552"/>
      <c r="L89" s="552"/>
      <c r="M89" s="22"/>
      <c r="N89" s="438"/>
    </row>
    <row r="90" spans="2:14" ht="17.25" customHeight="1" x14ac:dyDescent="0.3">
      <c r="B90" s="19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20"/>
      <c r="N90" s="438"/>
    </row>
    <row r="91" spans="2:14" ht="17.25" customHeight="1" x14ac:dyDescent="0.3">
      <c r="B91" s="21"/>
      <c r="C91" s="552"/>
      <c r="D91" s="552"/>
      <c r="E91" s="552"/>
      <c r="F91" s="552"/>
      <c r="G91" s="552"/>
      <c r="H91" s="552"/>
      <c r="I91" s="552"/>
      <c r="J91" s="552"/>
      <c r="K91" s="552"/>
      <c r="L91" s="552"/>
      <c r="M91" s="22"/>
      <c r="N91" s="438"/>
    </row>
    <row r="92" spans="2:14" ht="17.25" customHeight="1" x14ac:dyDescent="0.3">
      <c r="B92" s="19"/>
      <c r="C92" s="553"/>
      <c r="D92" s="553"/>
      <c r="E92" s="553"/>
      <c r="F92" s="553"/>
      <c r="G92" s="553"/>
      <c r="H92" s="553"/>
      <c r="I92" s="553"/>
      <c r="J92" s="553"/>
      <c r="K92" s="553"/>
      <c r="L92" s="553"/>
      <c r="M92" s="20"/>
      <c r="N92" s="438"/>
    </row>
    <row r="93" spans="2:14" ht="17.25" customHeight="1" x14ac:dyDescent="0.3">
      <c r="B93" s="21"/>
      <c r="C93" s="552"/>
      <c r="D93" s="552"/>
      <c r="E93" s="552"/>
      <c r="F93" s="552"/>
      <c r="G93" s="552"/>
      <c r="H93" s="552"/>
      <c r="I93" s="552"/>
      <c r="J93" s="552"/>
      <c r="K93" s="552"/>
      <c r="L93" s="552"/>
      <c r="M93" s="24"/>
      <c r="N93" s="438"/>
    </row>
    <row r="94" spans="2:14" ht="17.25" customHeight="1" x14ac:dyDescent="0.3">
      <c r="B94" s="25"/>
      <c r="C94" s="601"/>
      <c r="D94" s="601"/>
      <c r="E94" s="601"/>
      <c r="F94" s="601"/>
      <c r="G94" s="601"/>
      <c r="H94" s="601"/>
      <c r="I94" s="601"/>
      <c r="J94" s="601"/>
      <c r="K94" s="601"/>
      <c r="L94" s="601"/>
      <c r="M94" s="26"/>
      <c r="N94" s="438"/>
    </row>
    <row r="95" spans="2:14" ht="18" customHeight="1" x14ac:dyDescent="0.3">
      <c r="N95" s="437"/>
    </row>
    <row r="96" spans="2:14" ht="18" customHeight="1" x14ac:dyDescent="0.3">
      <c r="N96" s="437"/>
    </row>
    <row r="97" spans="14:14" ht="18" customHeight="1" x14ac:dyDescent="0.3">
      <c r="N97" s="437"/>
    </row>
    <row r="98" spans="14:14" ht="18" customHeight="1" x14ac:dyDescent="0.3">
      <c r="N98" s="437"/>
    </row>
    <row r="99" spans="14:14" ht="18" customHeight="1" x14ac:dyDescent="0.3">
      <c r="N99" s="437"/>
    </row>
    <row r="100" spans="14:14" ht="18" customHeight="1" x14ac:dyDescent="0.3">
      <c r="N100" s="437"/>
    </row>
    <row r="101" spans="14:14" ht="18" customHeight="1" x14ac:dyDescent="0.3">
      <c r="N101" s="437"/>
    </row>
    <row r="102" spans="14:14" ht="18" customHeight="1" x14ac:dyDescent="0.3">
      <c r="N102" s="437"/>
    </row>
    <row r="103" spans="14:14" ht="18" customHeight="1" x14ac:dyDescent="0.3">
      <c r="N103" s="437"/>
    </row>
    <row r="104" spans="14:14" ht="18" customHeight="1" x14ac:dyDescent="0.3">
      <c r="N104" s="437"/>
    </row>
    <row r="105" spans="14:14" ht="18" customHeight="1" x14ac:dyDescent="0.3">
      <c r="N105" s="437"/>
    </row>
    <row r="106" spans="14:14" ht="18" customHeight="1" x14ac:dyDescent="0.3">
      <c r="N106" s="437"/>
    </row>
    <row r="107" spans="14:14" ht="18" customHeight="1" x14ac:dyDescent="0.3">
      <c r="N107" s="437"/>
    </row>
    <row r="108" spans="14:14" ht="18" customHeight="1" x14ac:dyDescent="0.3">
      <c r="N108" s="437"/>
    </row>
    <row r="109" spans="14:14" ht="18" customHeight="1" x14ac:dyDescent="0.3">
      <c r="N109" s="437"/>
    </row>
    <row r="110" spans="14:14" ht="18" customHeight="1" x14ac:dyDescent="0.3">
      <c r="N110" s="437"/>
    </row>
    <row r="111" spans="14:14" ht="18" customHeight="1" x14ac:dyDescent="0.3">
      <c r="N111" s="437"/>
    </row>
    <row r="112" spans="14:14" ht="18" customHeight="1" x14ac:dyDescent="0.3">
      <c r="N112" s="437"/>
    </row>
    <row r="113" spans="14:14" ht="18" customHeight="1" x14ac:dyDescent="0.3">
      <c r="N113" s="437"/>
    </row>
    <row r="114" spans="14:14" ht="18" customHeight="1" x14ac:dyDescent="0.3">
      <c r="N114" s="437"/>
    </row>
    <row r="115" spans="14:14" ht="18" customHeight="1" x14ac:dyDescent="0.3">
      <c r="N115" s="437"/>
    </row>
    <row r="116" spans="14:14" ht="18" customHeight="1" x14ac:dyDescent="0.3">
      <c r="N116" s="437"/>
    </row>
    <row r="117" spans="14:14" ht="18" customHeight="1" x14ac:dyDescent="0.3">
      <c r="N117" s="437"/>
    </row>
    <row r="118" spans="14:14" ht="18" customHeight="1" x14ac:dyDescent="0.3">
      <c r="N118" s="437"/>
    </row>
    <row r="119" spans="14:14" ht="18" customHeight="1" x14ac:dyDescent="0.3">
      <c r="N119" s="437"/>
    </row>
    <row r="120" spans="14:14" ht="18" customHeight="1" x14ac:dyDescent="0.3">
      <c r="N120" s="437"/>
    </row>
    <row r="121" spans="14:14" ht="18" customHeight="1" x14ac:dyDescent="0.3">
      <c r="N121" s="437"/>
    </row>
    <row r="122" spans="14:14" ht="18" customHeight="1" x14ac:dyDescent="0.3">
      <c r="N122" s="437"/>
    </row>
    <row r="123" spans="14:14" ht="18" customHeight="1" x14ac:dyDescent="0.3">
      <c r="N123" s="437"/>
    </row>
    <row r="124" spans="14:14" ht="18" customHeight="1" x14ac:dyDescent="0.3">
      <c r="N124" s="437"/>
    </row>
    <row r="125" spans="14:14" ht="18" customHeight="1" x14ac:dyDescent="0.3">
      <c r="N125" s="437"/>
    </row>
    <row r="126" spans="14:14" ht="18" customHeight="1" x14ac:dyDescent="0.3">
      <c r="N126" s="437"/>
    </row>
    <row r="127" spans="14:14" ht="18" customHeight="1" x14ac:dyDescent="0.3">
      <c r="N127" s="437"/>
    </row>
    <row r="128" spans="14:14" ht="18" customHeight="1" x14ac:dyDescent="0.3">
      <c r="N128" s="437"/>
    </row>
    <row r="129" spans="14:14" ht="18" customHeight="1" x14ac:dyDescent="0.3">
      <c r="N129" s="437"/>
    </row>
    <row r="130" spans="14:14" ht="18" customHeight="1" x14ac:dyDescent="0.3">
      <c r="N130" s="437"/>
    </row>
    <row r="131" spans="14:14" ht="18" customHeight="1" x14ac:dyDescent="0.3">
      <c r="N131" s="437"/>
    </row>
    <row r="132" spans="14:14" ht="18" customHeight="1" x14ac:dyDescent="0.3">
      <c r="N132" s="437"/>
    </row>
    <row r="133" spans="14:14" ht="18" customHeight="1" x14ac:dyDescent="0.3">
      <c r="N133" s="437"/>
    </row>
    <row r="134" spans="14:14" ht="18" customHeight="1" x14ac:dyDescent="0.3">
      <c r="N134" s="437"/>
    </row>
    <row r="135" spans="14:14" ht="18" customHeight="1" x14ac:dyDescent="0.3">
      <c r="N135" s="437"/>
    </row>
    <row r="136" spans="14:14" ht="18" customHeight="1" x14ac:dyDescent="0.3">
      <c r="N136" s="437"/>
    </row>
    <row r="137" spans="14:14" ht="18" customHeight="1" x14ac:dyDescent="0.3">
      <c r="N137" s="437"/>
    </row>
    <row r="138" spans="14:14" ht="18" customHeight="1" x14ac:dyDescent="0.3">
      <c r="N138" s="437"/>
    </row>
    <row r="139" spans="14:14" ht="18" customHeight="1" x14ac:dyDescent="0.3">
      <c r="N139" s="437"/>
    </row>
    <row r="140" spans="14:14" ht="18" customHeight="1" x14ac:dyDescent="0.3">
      <c r="N140" s="437"/>
    </row>
    <row r="141" spans="14:14" ht="18" customHeight="1" x14ac:dyDescent="0.3">
      <c r="N141" s="437"/>
    </row>
    <row r="142" spans="14:14" ht="18" customHeight="1" x14ac:dyDescent="0.3">
      <c r="N142" s="437"/>
    </row>
    <row r="143" spans="14:14" ht="18" customHeight="1" x14ac:dyDescent="0.3">
      <c r="N143" s="437"/>
    </row>
    <row r="144" spans="14:14" ht="18" customHeight="1" x14ac:dyDescent="0.3">
      <c r="N144" s="437"/>
    </row>
    <row r="145" spans="14:14" ht="18" customHeight="1" x14ac:dyDescent="0.3">
      <c r="N145" s="437"/>
    </row>
    <row r="146" spans="14:14" ht="18" customHeight="1" x14ac:dyDescent="0.3">
      <c r="N146" s="437"/>
    </row>
    <row r="147" spans="14:14" ht="18" customHeight="1" x14ac:dyDescent="0.3">
      <c r="N147" s="437"/>
    </row>
    <row r="148" spans="14:14" ht="18" customHeight="1" x14ac:dyDescent="0.3">
      <c r="N148" s="437"/>
    </row>
    <row r="149" spans="14:14" ht="18" customHeight="1" x14ac:dyDescent="0.3">
      <c r="N149" s="437"/>
    </row>
    <row r="150" spans="14:14" ht="18" customHeight="1" x14ac:dyDescent="0.3">
      <c r="N150" s="437"/>
    </row>
    <row r="151" spans="14:14" ht="18" customHeight="1" x14ac:dyDescent="0.3">
      <c r="N151" s="437"/>
    </row>
    <row r="152" spans="14:14" ht="18" customHeight="1" x14ac:dyDescent="0.3">
      <c r="N152" s="437"/>
    </row>
    <row r="153" spans="14:14" ht="18" customHeight="1" x14ac:dyDescent="0.3">
      <c r="N153" s="437"/>
    </row>
    <row r="154" spans="14:14" ht="18" customHeight="1" x14ac:dyDescent="0.3">
      <c r="N154" s="437"/>
    </row>
    <row r="155" spans="14:14" ht="18" customHeight="1" x14ac:dyDescent="0.3">
      <c r="N155" s="437"/>
    </row>
    <row r="156" spans="14:14" ht="18" customHeight="1" x14ac:dyDescent="0.3">
      <c r="N156" s="437"/>
    </row>
    <row r="157" spans="14:14" ht="18" customHeight="1" x14ac:dyDescent="0.3">
      <c r="N157" s="437"/>
    </row>
    <row r="158" spans="14:14" ht="18" customHeight="1" x14ac:dyDescent="0.3">
      <c r="N158" s="437"/>
    </row>
    <row r="159" spans="14:14" ht="18" customHeight="1" x14ac:dyDescent="0.3">
      <c r="N159" s="437"/>
    </row>
    <row r="160" spans="14:14" ht="18" customHeight="1" x14ac:dyDescent="0.3">
      <c r="N160" s="437"/>
    </row>
    <row r="161" spans="14:14" ht="18" customHeight="1" x14ac:dyDescent="0.3">
      <c r="N161" s="437"/>
    </row>
    <row r="162" spans="14:14" ht="18" customHeight="1" x14ac:dyDescent="0.3">
      <c r="N162" s="437"/>
    </row>
    <row r="163" spans="14:14" ht="18" customHeight="1" x14ac:dyDescent="0.3">
      <c r="N163" s="437"/>
    </row>
    <row r="164" spans="14:14" ht="18" customHeight="1" x14ac:dyDescent="0.3">
      <c r="N164" s="437"/>
    </row>
    <row r="165" spans="14:14" ht="18" customHeight="1" x14ac:dyDescent="0.3">
      <c r="N165" s="437"/>
    </row>
    <row r="166" spans="14:14" ht="18" customHeight="1" x14ac:dyDescent="0.3">
      <c r="N166" s="437"/>
    </row>
    <row r="167" spans="14:14" ht="18" customHeight="1" x14ac:dyDescent="0.3">
      <c r="N167" s="437"/>
    </row>
    <row r="168" spans="14:14" ht="18" customHeight="1" x14ac:dyDescent="0.3">
      <c r="N168" s="437"/>
    </row>
    <row r="169" spans="14:14" ht="18" customHeight="1" x14ac:dyDescent="0.3">
      <c r="N169" s="437"/>
    </row>
    <row r="170" spans="14:14" ht="18" customHeight="1" x14ac:dyDescent="0.3">
      <c r="N170" s="437"/>
    </row>
    <row r="171" spans="14:14" ht="18" customHeight="1" x14ac:dyDescent="0.3">
      <c r="N171" s="437"/>
    </row>
    <row r="172" spans="14:14" ht="18" customHeight="1" x14ac:dyDescent="0.3">
      <c r="N172" s="437"/>
    </row>
    <row r="173" spans="14:14" ht="18" customHeight="1" x14ac:dyDescent="0.3">
      <c r="N173" s="437"/>
    </row>
    <row r="174" spans="14:14" ht="18" customHeight="1" x14ac:dyDescent="0.3">
      <c r="N174" s="437"/>
    </row>
    <row r="175" spans="14:14" ht="18" customHeight="1" x14ac:dyDescent="0.3">
      <c r="N175" s="437"/>
    </row>
    <row r="176" spans="14:14" ht="18" customHeight="1" x14ac:dyDescent="0.3">
      <c r="N176" s="437"/>
    </row>
    <row r="177" spans="14:14" ht="18" customHeight="1" x14ac:dyDescent="0.3">
      <c r="N177" s="437"/>
    </row>
    <row r="178" spans="14:14" ht="18" customHeight="1" x14ac:dyDescent="0.3">
      <c r="N178" s="437"/>
    </row>
    <row r="179" spans="14:14" ht="18" customHeight="1" x14ac:dyDescent="0.3">
      <c r="N179" s="437"/>
    </row>
    <row r="180" spans="14:14" ht="18" customHeight="1" x14ac:dyDescent="0.3">
      <c r="N180" s="437"/>
    </row>
    <row r="181" spans="14:14" ht="18" customHeight="1" x14ac:dyDescent="0.3">
      <c r="N181" s="437"/>
    </row>
    <row r="182" spans="14:14" ht="18" customHeight="1" x14ac:dyDescent="0.3">
      <c r="N182" s="437"/>
    </row>
    <row r="183" spans="14:14" ht="18" customHeight="1" x14ac:dyDescent="0.3">
      <c r="N183" s="437"/>
    </row>
    <row r="184" spans="14:14" ht="18" customHeight="1" x14ac:dyDescent="0.3">
      <c r="N184" s="437"/>
    </row>
    <row r="185" spans="14:14" ht="18" customHeight="1" x14ac:dyDescent="0.3">
      <c r="N185" s="437"/>
    </row>
    <row r="186" spans="14:14" ht="18" customHeight="1" x14ac:dyDescent="0.3">
      <c r="N186" s="437"/>
    </row>
    <row r="187" spans="14:14" ht="18" customHeight="1" x14ac:dyDescent="0.3">
      <c r="N187" s="437"/>
    </row>
    <row r="188" spans="14:14" ht="18" customHeight="1" x14ac:dyDescent="0.3">
      <c r="N188" s="437"/>
    </row>
    <row r="189" spans="14:14" ht="18" customHeight="1" x14ac:dyDescent="0.3">
      <c r="N189" s="437"/>
    </row>
    <row r="190" spans="14:14" ht="18" customHeight="1" x14ac:dyDescent="0.3">
      <c r="N190" s="437"/>
    </row>
    <row r="191" spans="14:14" ht="18" customHeight="1" x14ac:dyDescent="0.3">
      <c r="N191" s="437"/>
    </row>
    <row r="192" spans="14:14" ht="18" customHeight="1" x14ac:dyDescent="0.3">
      <c r="N192" s="437"/>
    </row>
    <row r="193" spans="14:14" ht="18" customHeight="1" x14ac:dyDescent="0.3">
      <c r="N193" s="437"/>
    </row>
    <row r="194" spans="14:14" ht="18" customHeight="1" x14ac:dyDescent="0.3">
      <c r="N194" s="437"/>
    </row>
    <row r="195" spans="14:14" ht="18" customHeight="1" x14ac:dyDescent="0.3">
      <c r="N195" s="437"/>
    </row>
    <row r="196" spans="14:14" ht="18" customHeight="1" x14ac:dyDescent="0.3">
      <c r="N196" s="437"/>
    </row>
    <row r="197" spans="14:14" ht="18" customHeight="1" x14ac:dyDescent="0.3">
      <c r="N197" s="437"/>
    </row>
    <row r="198" spans="14:14" ht="18" customHeight="1" x14ac:dyDescent="0.3">
      <c r="N198" s="437"/>
    </row>
    <row r="199" spans="14:14" ht="18" customHeight="1" x14ac:dyDescent="0.3">
      <c r="N199" s="437"/>
    </row>
    <row r="200" spans="14:14" ht="18" customHeight="1" x14ac:dyDescent="0.3">
      <c r="N200" s="437"/>
    </row>
    <row r="201" spans="14:14" ht="18" customHeight="1" x14ac:dyDescent="0.3">
      <c r="N201" s="437"/>
    </row>
    <row r="202" spans="14:14" ht="18" customHeight="1" x14ac:dyDescent="0.3">
      <c r="N202" s="437"/>
    </row>
    <row r="203" spans="14:14" ht="18" customHeight="1" x14ac:dyDescent="0.3">
      <c r="N203" s="437"/>
    </row>
    <row r="204" spans="14:14" ht="18" customHeight="1" x14ac:dyDescent="0.3">
      <c r="N204" s="437"/>
    </row>
    <row r="205" spans="14:14" ht="18" customHeight="1" x14ac:dyDescent="0.3">
      <c r="N205" s="437"/>
    </row>
    <row r="206" spans="14:14" ht="18" customHeight="1" x14ac:dyDescent="0.3">
      <c r="N206" s="437"/>
    </row>
    <row r="207" spans="14:14" ht="18" customHeight="1" x14ac:dyDescent="0.3">
      <c r="N207" s="437"/>
    </row>
    <row r="208" spans="14:14" ht="18" customHeight="1" x14ac:dyDescent="0.3">
      <c r="N208" s="437"/>
    </row>
    <row r="209" spans="14:14" ht="18" customHeight="1" x14ac:dyDescent="0.3">
      <c r="N209" s="437"/>
    </row>
    <row r="210" spans="14:14" ht="18" customHeight="1" x14ac:dyDescent="0.3">
      <c r="N210" s="437"/>
    </row>
    <row r="211" spans="14:14" ht="18" customHeight="1" x14ac:dyDescent="0.3">
      <c r="N211" s="437"/>
    </row>
    <row r="212" spans="14:14" ht="18" customHeight="1" x14ac:dyDescent="0.3">
      <c r="N212" s="437"/>
    </row>
    <row r="213" spans="14:14" ht="18" customHeight="1" x14ac:dyDescent="0.3">
      <c r="N213" s="437"/>
    </row>
    <row r="214" spans="14:14" ht="18" customHeight="1" x14ac:dyDescent="0.3">
      <c r="N214" s="437"/>
    </row>
    <row r="215" spans="14:14" ht="18" customHeight="1" x14ac:dyDescent="0.3">
      <c r="N215" s="437"/>
    </row>
    <row r="216" spans="14:14" ht="18" customHeight="1" x14ac:dyDescent="0.3">
      <c r="N216" s="437"/>
    </row>
    <row r="217" spans="14:14" ht="18" customHeight="1" x14ac:dyDescent="0.3">
      <c r="N217" s="437"/>
    </row>
    <row r="218" spans="14:14" ht="18" customHeight="1" x14ac:dyDescent="0.3">
      <c r="N218" s="437"/>
    </row>
    <row r="219" spans="14:14" ht="18" customHeight="1" x14ac:dyDescent="0.3">
      <c r="N219" s="437"/>
    </row>
    <row r="220" spans="14:14" ht="18" customHeight="1" x14ac:dyDescent="0.3">
      <c r="N220" s="437"/>
    </row>
    <row r="221" spans="14:14" ht="18" customHeight="1" x14ac:dyDescent="0.3">
      <c r="N221" s="437"/>
    </row>
    <row r="222" spans="14:14" ht="18" customHeight="1" x14ac:dyDescent="0.3">
      <c r="N222" s="437"/>
    </row>
    <row r="223" spans="14:14" ht="18" customHeight="1" x14ac:dyDescent="0.3">
      <c r="N223" s="437"/>
    </row>
    <row r="224" spans="14:14" ht="18" customHeight="1" x14ac:dyDescent="0.3">
      <c r="N224" s="437"/>
    </row>
    <row r="225" spans="14:14" ht="18" customHeight="1" x14ac:dyDescent="0.3">
      <c r="N225" s="437"/>
    </row>
    <row r="226" spans="14:14" ht="18" customHeight="1" x14ac:dyDescent="0.3">
      <c r="N226" s="437"/>
    </row>
    <row r="227" spans="14:14" ht="18" customHeight="1" x14ac:dyDescent="0.3">
      <c r="N227" s="437"/>
    </row>
    <row r="228" spans="14:14" ht="18" customHeight="1" x14ac:dyDescent="0.3">
      <c r="N228" s="437"/>
    </row>
    <row r="229" spans="14:14" ht="18" customHeight="1" x14ac:dyDescent="0.3">
      <c r="N229" s="437"/>
    </row>
    <row r="230" spans="14:14" ht="18" customHeight="1" x14ac:dyDescent="0.3">
      <c r="N230" s="437"/>
    </row>
    <row r="231" spans="14:14" ht="18" customHeight="1" x14ac:dyDescent="0.3">
      <c r="N231" s="437"/>
    </row>
    <row r="232" spans="14:14" ht="18" customHeight="1" x14ac:dyDescent="0.3">
      <c r="N232" s="437"/>
    </row>
    <row r="233" spans="14:14" ht="18" customHeight="1" x14ac:dyDescent="0.3">
      <c r="N233" s="437"/>
    </row>
    <row r="234" spans="14:14" ht="18" customHeight="1" x14ac:dyDescent="0.3">
      <c r="N234" s="437"/>
    </row>
    <row r="235" spans="14:14" ht="18" customHeight="1" x14ac:dyDescent="0.3">
      <c r="N235" s="437"/>
    </row>
    <row r="236" spans="14:14" ht="18" customHeight="1" x14ac:dyDescent="0.3">
      <c r="N236" s="437"/>
    </row>
    <row r="237" spans="14:14" ht="18" customHeight="1" x14ac:dyDescent="0.3">
      <c r="N237" s="437"/>
    </row>
    <row r="238" spans="14:14" ht="18" customHeight="1" x14ac:dyDescent="0.3">
      <c r="N238" s="437"/>
    </row>
    <row r="239" spans="14:14" ht="18" customHeight="1" x14ac:dyDescent="0.3">
      <c r="N239" s="437"/>
    </row>
    <row r="240" spans="14:14" ht="18" customHeight="1" x14ac:dyDescent="0.3">
      <c r="N240" s="437"/>
    </row>
    <row r="241" spans="14:14" ht="18" customHeight="1" x14ac:dyDescent="0.3">
      <c r="N241" s="437"/>
    </row>
    <row r="242" spans="14:14" ht="18" customHeight="1" x14ac:dyDescent="0.3">
      <c r="N242" s="437"/>
    </row>
    <row r="243" spans="14:14" ht="18" customHeight="1" x14ac:dyDescent="0.3">
      <c r="N243" s="437"/>
    </row>
    <row r="244" spans="14:14" ht="18" customHeight="1" x14ac:dyDescent="0.3">
      <c r="N244" s="437"/>
    </row>
    <row r="245" spans="14:14" ht="18" customHeight="1" x14ac:dyDescent="0.3">
      <c r="N245" s="437"/>
    </row>
    <row r="246" spans="14:14" ht="18" customHeight="1" x14ac:dyDescent="0.3">
      <c r="N246" s="437"/>
    </row>
    <row r="247" spans="14:14" ht="18" customHeight="1" x14ac:dyDescent="0.3">
      <c r="N247" s="437"/>
    </row>
    <row r="248" spans="14:14" ht="18" customHeight="1" x14ac:dyDescent="0.3">
      <c r="N248" s="437"/>
    </row>
    <row r="249" spans="14:14" ht="18" customHeight="1" x14ac:dyDescent="0.3">
      <c r="N249" s="437"/>
    </row>
    <row r="250" spans="14:14" ht="18" customHeight="1" x14ac:dyDescent="0.3">
      <c r="N250" s="437"/>
    </row>
    <row r="251" spans="14:14" ht="18" customHeight="1" x14ac:dyDescent="0.3">
      <c r="N251" s="437"/>
    </row>
    <row r="252" spans="14:14" ht="18" customHeight="1" x14ac:dyDescent="0.3">
      <c r="N252" s="437"/>
    </row>
    <row r="253" spans="14:14" ht="18" customHeight="1" x14ac:dyDescent="0.3">
      <c r="N253" s="437"/>
    </row>
    <row r="254" spans="14:14" ht="18" customHeight="1" x14ac:dyDescent="0.3">
      <c r="N254" s="437"/>
    </row>
    <row r="255" spans="14:14" ht="18" customHeight="1" x14ac:dyDescent="0.3">
      <c r="N255" s="437"/>
    </row>
    <row r="256" spans="14:14" ht="18" customHeight="1" x14ac:dyDescent="0.3">
      <c r="N256" s="437"/>
    </row>
    <row r="257" spans="14:14" ht="18" customHeight="1" x14ac:dyDescent="0.3">
      <c r="N257" s="437"/>
    </row>
    <row r="258" spans="14:14" ht="18" customHeight="1" x14ac:dyDescent="0.3">
      <c r="N258" s="437"/>
    </row>
    <row r="259" spans="14:14" ht="18" customHeight="1" x14ac:dyDescent="0.3">
      <c r="N259" s="437"/>
    </row>
    <row r="260" spans="14:14" ht="18" customHeight="1" x14ac:dyDescent="0.3">
      <c r="N260" s="437"/>
    </row>
    <row r="261" spans="14:14" ht="18" customHeight="1" x14ac:dyDescent="0.3">
      <c r="N261" s="437"/>
    </row>
    <row r="262" spans="14:14" ht="18" customHeight="1" x14ac:dyDescent="0.3">
      <c r="N262" s="437"/>
    </row>
    <row r="263" spans="14:14" ht="18" customHeight="1" x14ac:dyDescent="0.3">
      <c r="N263" s="437"/>
    </row>
    <row r="264" spans="14:14" ht="18" customHeight="1" x14ac:dyDescent="0.3">
      <c r="N264" s="437"/>
    </row>
    <row r="265" spans="14:14" ht="18" customHeight="1" x14ac:dyDescent="0.3">
      <c r="N265" s="437"/>
    </row>
    <row r="266" spans="14:14" ht="18" customHeight="1" x14ac:dyDescent="0.3">
      <c r="N266" s="437"/>
    </row>
    <row r="267" spans="14:14" ht="18" customHeight="1" x14ac:dyDescent="0.3">
      <c r="N267" s="437"/>
    </row>
    <row r="268" spans="14:14" ht="18" customHeight="1" x14ac:dyDescent="0.3">
      <c r="N268" s="437"/>
    </row>
    <row r="269" spans="14:14" ht="18" customHeight="1" x14ac:dyDescent="0.3">
      <c r="N269" s="437"/>
    </row>
    <row r="270" spans="14:14" ht="18" customHeight="1" x14ac:dyDescent="0.3">
      <c r="N270" s="437"/>
    </row>
    <row r="271" spans="14:14" ht="18" customHeight="1" x14ac:dyDescent="0.3">
      <c r="N271" s="437"/>
    </row>
    <row r="272" spans="14:14" ht="18" customHeight="1" x14ac:dyDescent="0.3">
      <c r="N272" s="437"/>
    </row>
    <row r="273" spans="14:14" ht="18" customHeight="1" x14ac:dyDescent="0.3">
      <c r="N273" s="437"/>
    </row>
    <row r="274" spans="14:14" ht="18" customHeight="1" x14ac:dyDescent="0.3">
      <c r="N274" s="437"/>
    </row>
    <row r="275" spans="14:14" ht="18" customHeight="1" x14ac:dyDescent="0.3">
      <c r="N275" s="437"/>
    </row>
    <row r="276" spans="14:14" ht="18" customHeight="1" x14ac:dyDescent="0.3">
      <c r="N276" s="437"/>
    </row>
    <row r="277" spans="14:14" ht="18" customHeight="1" x14ac:dyDescent="0.3">
      <c r="N277" s="437"/>
    </row>
    <row r="278" spans="14:14" ht="18" customHeight="1" x14ac:dyDescent="0.3">
      <c r="N278" s="437"/>
    </row>
    <row r="279" spans="14:14" ht="18" customHeight="1" x14ac:dyDescent="0.3">
      <c r="N279" s="437"/>
    </row>
    <row r="280" spans="14:14" ht="18" customHeight="1" x14ac:dyDescent="0.3">
      <c r="N280" s="437"/>
    </row>
    <row r="281" spans="14:14" ht="18" customHeight="1" x14ac:dyDescent="0.3">
      <c r="N281" s="437"/>
    </row>
    <row r="282" spans="14:14" ht="18" customHeight="1" x14ac:dyDescent="0.3">
      <c r="N282" s="437"/>
    </row>
    <row r="283" spans="14:14" ht="18" customHeight="1" x14ac:dyDescent="0.3">
      <c r="N283" s="437"/>
    </row>
    <row r="284" spans="14:14" ht="18" customHeight="1" x14ac:dyDescent="0.3">
      <c r="N284" s="437"/>
    </row>
    <row r="285" spans="14:14" ht="18" customHeight="1" x14ac:dyDescent="0.3">
      <c r="N285" s="437"/>
    </row>
    <row r="286" spans="14:14" ht="18" customHeight="1" x14ac:dyDescent="0.3">
      <c r="N286" s="437"/>
    </row>
    <row r="287" spans="14:14" ht="18" customHeight="1" x14ac:dyDescent="0.3">
      <c r="N287" s="437"/>
    </row>
    <row r="288" spans="14:14" ht="18" customHeight="1" x14ac:dyDescent="0.3">
      <c r="N288" s="437"/>
    </row>
    <row r="289" spans="14:14" ht="18" customHeight="1" x14ac:dyDescent="0.3">
      <c r="N289" s="437"/>
    </row>
    <row r="290" spans="14:14" ht="18" customHeight="1" x14ac:dyDescent="0.3">
      <c r="N290" s="437"/>
    </row>
    <row r="291" spans="14:14" ht="18" customHeight="1" x14ac:dyDescent="0.3">
      <c r="N291" s="437"/>
    </row>
    <row r="292" spans="14:14" ht="18" customHeight="1" x14ac:dyDescent="0.3">
      <c r="N292" s="437"/>
    </row>
    <row r="293" spans="14:14" ht="18" customHeight="1" x14ac:dyDescent="0.3">
      <c r="N293" s="437"/>
    </row>
    <row r="294" spans="14:14" ht="18" customHeight="1" x14ac:dyDescent="0.3">
      <c r="N294" s="437"/>
    </row>
    <row r="295" spans="14:14" ht="18" customHeight="1" x14ac:dyDescent="0.3">
      <c r="N295" s="437"/>
    </row>
    <row r="296" spans="14:14" ht="18" customHeight="1" x14ac:dyDescent="0.3">
      <c r="N296" s="437"/>
    </row>
    <row r="297" spans="14:14" ht="18" customHeight="1" x14ac:dyDescent="0.3">
      <c r="N297" s="437"/>
    </row>
    <row r="298" spans="14:14" ht="18" customHeight="1" x14ac:dyDescent="0.3">
      <c r="N298" s="437"/>
    </row>
    <row r="299" spans="14:14" ht="18" customHeight="1" x14ac:dyDescent="0.3">
      <c r="N299" s="437"/>
    </row>
    <row r="300" spans="14:14" ht="18" customHeight="1" x14ac:dyDescent="0.3">
      <c r="N300" s="437"/>
    </row>
  </sheetData>
  <mergeCells count="369">
    <mergeCell ref="B1:N2"/>
    <mergeCell ref="C3:D3"/>
    <mergeCell ref="E3:F3"/>
    <mergeCell ref="G3:J3"/>
    <mergeCell ref="K3:L3"/>
    <mergeCell ref="C4:D4"/>
    <mergeCell ref="E4:F4"/>
    <mergeCell ref="G4:J4"/>
    <mergeCell ref="K4:L4"/>
    <mergeCell ref="C5:D5"/>
    <mergeCell ref="E5:F5"/>
    <mergeCell ref="G5:J5"/>
    <mergeCell ref="K5:L5"/>
    <mergeCell ref="C6:D6"/>
    <mergeCell ref="E6:F6"/>
    <mergeCell ref="G6:J6"/>
    <mergeCell ref="K6:L6"/>
    <mergeCell ref="C7:D7"/>
    <mergeCell ref="E7:F7"/>
    <mergeCell ref="G7:J7"/>
    <mergeCell ref="K7:L7"/>
    <mergeCell ref="C8:D8"/>
    <mergeCell ref="E8:F8"/>
    <mergeCell ref="G8:J8"/>
    <mergeCell ref="K8:L8"/>
    <mergeCell ref="C9:D9"/>
    <mergeCell ref="E9:F9"/>
    <mergeCell ref="G9:J9"/>
    <mergeCell ref="K9:L9"/>
    <mergeCell ref="C10:D10"/>
    <mergeCell ref="E10:F10"/>
    <mergeCell ref="G10:J10"/>
    <mergeCell ref="K10:L10"/>
    <mergeCell ref="C11:D11"/>
    <mergeCell ref="E11:F11"/>
    <mergeCell ref="G11:J11"/>
    <mergeCell ref="K11:L11"/>
    <mergeCell ref="C12:D12"/>
    <mergeCell ref="E12:F12"/>
    <mergeCell ref="G12:J12"/>
    <mergeCell ref="K12:L12"/>
    <mergeCell ref="C13:D13"/>
    <mergeCell ref="E13:F13"/>
    <mergeCell ref="G13:J13"/>
    <mergeCell ref="K13:L13"/>
    <mergeCell ref="C14:D14"/>
    <mergeCell ref="E14:F14"/>
    <mergeCell ref="G14:J14"/>
    <mergeCell ref="K14:L14"/>
    <mergeCell ref="C15:D15"/>
    <mergeCell ref="E15:F15"/>
    <mergeCell ref="G15:J15"/>
    <mergeCell ref="K15:L15"/>
    <mergeCell ref="C16:D16"/>
    <mergeCell ref="E16:F16"/>
    <mergeCell ref="G16:J16"/>
    <mergeCell ref="K16:L16"/>
    <mergeCell ref="C17:D17"/>
    <mergeCell ref="E17:F17"/>
    <mergeCell ref="G17:J17"/>
    <mergeCell ref="K17:L17"/>
    <mergeCell ref="C18:D18"/>
    <mergeCell ref="E18:F18"/>
    <mergeCell ref="G18:J18"/>
    <mergeCell ref="K18:L18"/>
    <mergeCell ref="C19:D19"/>
    <mergeCell ref="E19:F19"/>
    <mergeCell ref="G19:J19"/>
    <mergeCell ref="K19:L19"/>
    <mergeCell ref="C20:D20"/>
    <mergeCell ref="E20:F20"/>
    <mergeCell ref="G20:J20"/>
    <mergeCell ref="K20:L20"/>
    <mergeCell ref="C21:D21"/>
    <mergeCell ref="E21:F21"/>
    <mergeCell ref="G21:J21"/>
    <mergeCell ref="K21:L21"/>
    <mergeCell ref="C22:D22"/>
    <mergeCell ref="E22:F22"/>
    <mergeCell ref="G22:J22"/>
    <mergeCell ref="K22:L22"/>
    <mergeCell ref="C23:D23"/>
    <mergeCell ref="E23:F23"/>
    <mergeCell ref="G23:J23"/>
    <mergeCell ref="K23:L23"/>
    <mergeCell ref="C24:D24"/>
    <mergeCell ref="E24:F24"/>
    <mergeCell ref="G24:J24"/>
    <mergeCell ref="K24:L24"/>
    <mergeCell ref="C25:D25"/>
    <mergeCell ref="E25:F25"/>
    <mergeCell ref="G25:J25"/>
    <mergeCell ref="K25:L25"/>
    <mergeCell ref="C26:D26"/>
    <mergeCell ref="E26:F26"/>
    <mergeCell ref="G26:J26"/>
    <mergeCell ref="K26:L26"/>
    <mergeCell ref="C27:D27"/>
    <mergeCell ref="E27:F27"/>
    <mergeCell ref="G27:J27"/>
    <mergeCell ref="K27:L27"/>
    <mergeCell ref="C28:D28"/>
    <mergeCell ref="E28:F28"/>
    <mergeCell ref="G28:J28"/>
    <mergeCell ref="K28:L28"/>
    <mergeCell ref="C29:D29"/>
    <mergeCell ref="E29:F29"/>
    <mergeCell ref="G29:J29"/>
    <mergeCell ref="K29:L29"/>
    <mergeCell ref="C30:D30"/>
    <mergeCell ref="E30:F30"/>
    <mergeCell ref="G30:J30"/>
    <mergeCell ref="K30:L30"/>
    <mergeCell ref="C31:D31"/>
    <mergeCell ref="E31:F31"/>
    <mergeCell ref="G31:J31"/>
    <mergeCell ref="K31:L31"/>
    <mergeCell ref="C32:D32"/>
    <mergeCell ref="E32:F32"/>
    <mergeCell ref="G32:J32"/>
    <mergeCell ref="K32:L32"/>
    <mergeCell ref="C33:D33"/>
    <mergeCell ref="E33:F33"/>
    <mergeCell ref="G33:J33"/>
    <mergeCell ref="K33:L33"/>
    <mergeCell ref="C34:D34"/>
    <mergeCell ref="E34:F34"/>
    <mergeCell ref="G34:J34"/>
    <mergeCell ref="K34:L34"/>
    <mergeCell ref="C35:D35"/>
    <mergeCell ref="E35:F35"/>
    <mergeCell ref="G35:J35"/>
    <mergeCell ref="K35:L35"/>
    <mergeCell ref="C36:D36"/>
    <mergeCell ref="E36:F36"/>
    <mergeCell ref="G36:J36"/>
    <mergeCell ref="K36:L36"/>
    <mergeCell ref="C37:D37"/>
    <mergeCell ref="E37:F37"/>
    <mergeCell ref="G37:J37"/>
    <mergeCell ref="K37:L37"/>
    <mergeCell ref="C38:D38"/>
    <mergeCell ref="E38:F38"/>
    <mergeCell ref="G38:J38"/>
    <mergeCell ref="K38:L38"/>
    <mergeCell ref="C39:D39"/>
    <mergeCell ref="E39:F39"/>
    <mergeCell ref="G39:J39"/>
    <mergeCell ref="K39:L39"/>
    <mergeCell ref="C40:D40"/>
    <mergeCell ref="E40:F40"/>
    <mergeCell ref="G40:J40"/>
    <mergeCell ref="K40:L40"/>
    <mergeCell ref="C41:D41"/>
    <mergeCell ref="E41:F41"/>
    <mergeCell ref="G41:J41"/>
    <mergeCell ref="K41:L41"/>
    <mergeCell ref="C42:D42"/>
    <mergeCell ref="E42:F42"/>
    <mergeCell ref="G42:J42"/>
    <mergeCell ref="K42:L42"/>
    <mergeCell ref="C43:D43"/>
    <mergeCell ref="E43:F43"/>
    <mergeCell ref="G43:J43"/>
    <mergeCell ref="K43:L43"/>
    <mergeCell ref="C44:D44"/>
    <mergeCell ref="E44:F44"/>
    <mergeCell ref="G44:J44"/>
    <mergeCell ref="K44:L44"/>
    <mergeCell ref="C45:D45"/>
    <mergeCell ref="E45:F45"/>
    <mergeCell ref="G45:J45"/>
    <mergeCell ref="K45:L45"/>
    <mergeCell ref="C46:D46"/>
    <mergeCell ref="E46:F46"/>
    <mergeCell ref="G46:J46"/>
    <mergeCell ref="K46:L46"/>
    <mergeCell ref="C47:D47"/>
    <mergeCell ref="E47:F47"/>
    <mergeCell ref="G47:J47"/>
    <mergeCell ref="K47:L47"/>
    <mergeCell ref="C48:D48"/>
    <mergeCell ref="E48:F48"/>
    <mergeCell ref="G48:J48"/>
    <mergeCell ref="K48:L48"/>
    <mergeCell ref="C49:D49"/>
    <mergeCell ref="E49:F49"/>
    <mergeCell ref="G49:J49"/>
    <mergeCell ref="K49:L49"/>
    <mergeCell ref="C50:D50"/>
    <mergeCell ref="E50:F50"/>
    <mergeCell ref="G50:J50"/>
    <mergeCell ref="K50:L50"/>
    <mergeCell ref="C51:D51"/>
    <mergeCell ref="E51:F51"/>
    <mergeCell ref="G51:J51"/>
    <mergeCell ref="K51:L51"/>
    <mergeCell ref="C52:D52"/>
    <mergeCell ref="E52:F52"/>
    <mergeCell ref="G52:J52"/>
    <mergeCell ref="K52:L52"/>
    <mergeCell ref="C53:D53"/>
    <mergeCell ref="E53:F53"/>
    <mergeCell ref="G53:J53"/>
    <mergeCell ref="K53:L53"/>
    <mergeCell ref="C54:D54"/>
    <mergeCell ref="E54:F54"/>
    <mergeCell ref="G54:J54"/>
    <mergeCell ref="K54:L54"/>
    <mergeCell ref="C55:D55"/>
    <mergeCell ref="E55:F55"/>
    <mergeCell ref="G55:J55"/>
    <mergeCell ref="K55:L55"/>
    <mergeCell ref="C56:D56"/>
    <mergeCell ref="E56:F56"/>
    <mergeCell ref="G56:J56"/>
    <mergeCell ref="K56:L56"/>
    <mergeCell ref="C57:D57"/>
    <mergeCell ref="E57:F57"/>
    <mergeCell ref="G57:J57"/>
    <mergeCell ref="K57:L57"/>
    <mergeCell ref="C58:D58"/>
    <mergeCell ref="E58:F58"/>
    <mergeCell ref="G58:J58"/>
    <mergeCell ref="K58:L58"/>
    <mergeCell ref="C59:D59"/>
    <mergeCell ref="E59:F59"/>
    <mergeCell ref="G59:J59"/>
    <mergeCell ref="K59:L59"/>
    <mergeCell ref="C60:D60"/>
    <mergeCell ref="E60:F60"/>
    <mergeCell ref="G60:J60"/>
    <mergeCell ref="K60:L60"/>
    <mergeCell ref="C61:D61"/>
    <mergeCell ref="E61:F61"/>
    <mergeCell ref="G61:J61"/>
    <mergeCell ref="K61:L61"/>
    <mergeCell ref="C62:D62"/>
    <mergeCell ref="E62:F62"/>
    <mergeCell ref="G62:J62"/>
    <mergeCell ref="K62:L62"/>
    <mergeCell ref="C63:D63"/>
    <mergeCell ref="E63:F63"/>
    <mergeCell ref="G63:J63"/>
    <mergeCell ref="K63:L63"/>
    <mergeCell ref="C64:D64"/>
    <mergeCell ref="E64:F64"/>
    <mergeCell ref="G64:J64"/>
    <mergeCell ref="K64:L64"/>
    <mergeCell ref="C65:D65"/>
    <mergeCell ref="E65:F65"/>
    <mergeCell ref="G65:J65"/>
    <mergeCell ref="K65:L65"/>
    <mergeCell ref="C66:D66"/>
    <mergeCell ref="E66:F66"/>
    <mergeCell ref="G66:J66"/>
    <mergeCell ref="K66:L66"/>
    <mergeCell ref="C67:D67"/>
    <mergeCell ref="E67:F67"/>
    <mergeCell ref="G67:J67"/>
    <mergeCell ref="K67:L67"/>
    <mergeCell ref="C68:D68"/>
    <mergeCell ref="E68:F68"/>
    <mergeCell ref="G68:J68"/>
    <mergeCell ref="K68:L68"/>
    <mergeCell ref="C69:D69"/>
    <mergeCell ref="E69:F69"/>
    <mergeCell ref="G69:J69"/>
    <mergeCell ref="K69:L69"/>
    <mergeCell ref="C70:D70"/>
    <mergeCell ref="E70:F70"/>
    <mergeCell ref="G70:J70"/>
    <mergeCell ref="K70:L70"/>
    <mergeCell ref="C71:D71"/>
    <mergeCell ref="E71:F71"/>
    <mergeCell ref="G71:J71"/>
    <mergeCell ref="K71:L71"/>
    <mergeCell ref="C72:D72"/>
    <mergeCell ref="E72:F72"/>
    <mergeCell ref="G72:J72"/>
    <mergeCell ref="K72:L72"/>
    <mergeCell ref="C73:D73"/>
    <mergeCell ref="E73:F73"/>
    <mergeCell ref="G73:J73"/>
    <mergeCell ref="K73:L73"/>
    <mergeCell ref="C74:D74"/>
    <mergeCell ref="E74:F74"/>
    <mergeCell ref="G74:J74"/>
    <mergeCell ref="K74:L74"/>
    <mergeCell ref="C75:D75"/>
    <mergeCell ref="E75:F75"/>
    <mergeCell ref="G75:J75"/>
    <mergeCell ref="K75:L75"/>
    <mergeCell ref="C76:D76"/>
    <mergeCell ref="E76:F76"/>
    <mergeCell ref="G76:J76"/>
    <mergeCell ref="K76:L76"/>
    <mergeCell ref="C77:D77"/>
    <mergeCell ref="E77:F77"/>
    <mergeCell ref="G77:J77"/>
    <mergeCell ref="K77:L77"/>
    <mergeCell ref="C78:D78"/>
    <mergeCell ref="E78:F78"/>
    <mergeCell ref="G78:J78"/>
    <mergeCell ref="K78:L78"/>
    <mergeCell ref="C79:D79"/>
    <mergeCell ref="E79:F79"/>
    <mergeCell ref="G79:J79"/>
    <mergeCell ref="K79:L79"/>
    <mergeCell ref="C80:D80"/>
    <mergeCell ref="E80:F80"/>
    <mergeCell ref="G80:J80"/>
    <mergeCell ref="K80:L80"/>
    <mergeCell ref="C81:D81"/>
    <mergeCell ref="E81:F81"/>
    <mergeCell ref="G81:J81"/>
    <mergeCell ref="K81:L81"/>
    <mergeCell ref="C82:D82"/>
    <mergeCell ref="E82:F82"/>
    <mergeCell ref="G82:J82"/>
    <mergeCell ref="K82:L82"/>
    <mergeCell ref="C83:D83"/>
    <mergeCell ref="E83:F83"/>
    <mergeCell ref="G83:J83"/>
    <mergeCell ref="K83:L83"/>
    <mergeCell ref="C84:D84"/>
    <mergeCell ref="E84:F84"/>
    <mergeCell ref="G84:J84"/>
    <mergeCell ref="K84:L84"/>
    <mergeCell ref="C85:D85"/>
    <mergeCell ref="E85:F85"/>
    <mergeCell ref="G85:J85"/>
    <mergeCell ref="K85:L85"/>
    <mergeCell ref="C86:D86"/>
    <mergeCell ref="E86:F86"/>
    <mergeCell ref="G86:J86"/>
    <mergeCell ref="K86:L86"/>
    <mergeCell ref="C87:D87"/>
    <mergeCell ref="E87:F87"/>
    <mergeCell ref="G87:J87"/>
    <mergeCell ref="K87:L87"/>
    <mergeCell ref="C88:D88"/>
    <mergeCell ref="E88:F88"/>
    <mergeCell ref="G88:J88"/>
    <mergeCell ref="K88:L88"/>
    <mergeCell ref="C89:D89"/>
    <mergeCell ref="E89:F89"/>
    <mergeCell ref="G89:J89"/>
    <mergeCell ref="K89:L89"/>
    <mergeCell ref="C90:D90"/>
    <mergeCell ref="E90:F90"/>
    <mergeCell ref="G90:J90"/>
    <mergeCell ref="K90:L90"/>
    <mergeCell ref="C91:D91"/>
    <mergeCell ref="E91:F91"/>
    <mergeCell ref="G91:J91"/>
    <mergeCell ref="K91:L91"/>
    <mergeCell ref="C92:D92"/>
    <mergeCell ref="E92:F92"/>
    <mergeCell ref="G92:J92"/>
    <mergeCell ref="K92:L92"/>
    <mergeCell ref="C93:D93"/>
    <mergeCell ref="E93:F93"/>
    <mergeCell ref="G93:J93"/>
    <mergeCell ref="K93:L93"/>
    <mergeCell ref="C94:D94"/>
    <mergeCell ref="E94:F94"/>
    <mergeCell ref="G94:J94"/>
    <mergeCell ref="K94:L9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2F3A4A"/>
  </sheetPr>
  <dimension ref="A1:M217"/>
  <sheetViews>
    <sheetView showGridLines="0" zoomScale="90" zoomScaleNormal="90" workbookViewId="0">
      <selection sqref="A1:I1"/>
    </sheetView>
  </sheetViews>
  <sheetFormatPr defaultColWidth="8.6640625" defaultRowHeight="14.4" x14ac:dyDescent="0.3"/>
  <cols>
    <col min="1" max="1" width="36.44140625" customWidth="1"/>
    <col min="2" max="2" width="28" customWidth="1"/>
    <col min="3" max="3" width="14" customWidth="1"/>
    <col min="4" max="4" width="13" customWidth="1"/>
    <col min="5" max="5" width="10" customWidth="1"/>
    <col min="6" max="8" width="13" customWidth="1"/>
    <col min="9" max="9" width="16.6640625" customWidth="1"/>
    <col min="10" max="13" width="12" hidden="1" customWidth="1"/>
  </cols>
  <sheetData>
    <row r="1" spans="1:13" ht="21.75" customHeight="1" x14ac:dyDescent="0.3">
      <c r="A1" s="609" t="s">
        <v>197</v>
      </c>
      <c r="B1" s="609"/>
      <c r="C1" s="609"/>
      <c r="D1" s="609"/>
      <c r="E1" s="609"/>
      <c r="F1" s="609"/>
      <c r="G1" s="609"/>
      <c r="H1" s="609"/>
      <c r="I1" s="609"/>
      <c r="J1" t="s">
        <v>198</v>
      </c>
      <c r="K1" t="s">
        <v>199</v>
      </c>
      <c r="L1" t="s">
        <v>200</v>
      </c>
      <c r="M1" t="s">
        <v>201</v>
      </c>
    </row>
    <row r="2" spans="1:13" ht="18" customHeight="1" x14ac:dyDescent="0.3">
      <c r="A2" s="610" t="s">
        <v>202</v>
      </c>
      <c r="B2" s="610"/>
      <c r="C2" s="610"/>
      <c r="D2" s="610"/>
      <c r="E2" s="610"/>
      <c r="F2" s="610"/>
      <c r="G2" s="610" t="s">
        <v>203</v>
      </c>
      <c r="H2" s="610"/>
      <c r="I2" s="610"/>
    </row>
    <row r="3" spans="1:13" ht="15" customHeight="1" x14ac:dyDescent="0.3">
      <c r="A3" s="30">
        <v>46357</v>
      </c>
      <c r="B3" s="186" t="s">
        <v>78</v>
      </c>
      <c r="C3" s="187" t="s">
        <v>205</v>
      </c>
      <c r="D3" s="188" t="s">
        <v>206</v>
      </c>
      <c r="E3" s="188" t="s">
        <v>207</v>
      </c>
      <c r="F3" s="189" t="s">
        <v>208</v>
      </c>
      <c r="G3" s="188" t="s">
        <v>209</v>
      </c>
      <c r="H3" s="188" t="s">
        <v>210</v>
      </c>
      <c r="I3" s="188" t="s">
        <v>211</v>
      </c>
    </row>
    <row r="4" spans="1:13" ht="21" customHeight="1" x14ac:dyDescent="0.3">
      <c r="A4" s="190"/>
      <c r="B4" s="191"/>
      <c r="C4" s="192"/>
      <c r="D4" s="193"/>
      <c r="E4" s="194" t="s">
        <v>214</v>
      </c>
      <c r="F4" s="195" t="str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196" t="str">
        <f>IFERROR(ROUNDUP(D4/F4,0),"")</f>
        <v/>
      </c>
      <c r="H4" s="197"/>
      <c r="I4" s="193" t="str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</row>
    <row r="5" spans="1:13" ht="21" customHeight="1" x14ac:dyDescent="0.3">
      <c r="A5" s="190"/>
      <c r="B5" s="191"/>
      <c r="C5" s="192"/>
      <c r="D5" s="193"/>
      <c r="E5" s="194" t="s">
        <v>214</v>
      </c>
      <c r="F5" s="195" t="str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196" t="str">
        <f>IFERROR(ROUNDUP(D5/F5,0),"")</f>
        <v/>
      </c>
      <c r="H5" s="197"/>
      <c r="I5" s="193" t="str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</row>
    <row r="6" spans="1:13" ht="21" customHeight="1" x14ac:dyDescent="0.3">
      <c r="A6" s="190"/>
      <c r="B6" s="191"/>
      <c r="C6" s="192"/>
      <c r="D6" s="193"/>
      <c r="E6" s="194" t="s">
        <v>214</v>
      </c>
      <c r="F6" s="195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196" t="str">
        <f>IFERROR(ROUNDUP(D6/F6,0),"")</f>
        <v/>
      </c>
      <c r="H6" s="197"/>
      <c r="I6" s="193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</row>
    <row r="7" spans="1:13" ht="21" customHeight="1" x14ac:dyDescent="0.3">
      <c r="A7" s="190"/>
      <c r="B7" s="191"/>
      <c r="C7" s="192"/>
      <c r="D7" s="193"/>
      <c r="E7" s="194" t="s">
        <v>214</v>
      </c>
      <c r="F7" s="195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196" t="str">
        <f>IFERROR(ROUNDUP(D7/F7,0),"")</f>
        <v/>
      </c>
      <c r="H7" s="197"/>
      <c r="I7" s="193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</row>
    <row r="8" spans="1:13" ht="21" customHeight="1" x14ac:dyDescent="0.3">
      <c r="A8" s="190"/>
      <c r="B8" s="191"/>
      <c r="C8" s="192"/>
      <c r="D8" s="193"/>
      <c r="E8" s="194" t="s">
        <v>214</v>
      </c>
      <c r="F8" s="195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196" t="str">
        <f>IFERROR(ROUNDUP(D8/F8,0),"")</f>
        <v/>
      </c>
      <c r="H8" s="197"/>
      <c r="I8" s="193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</row>
    <row r="9" spans="1:13" ht="15" customHeight="1" x14ac:dyDescent="0.3">
      <c r="A9" s="198"/>
      <c r="B9" s="199" t="s">
        <v>216</v>
      </c>
      <c r="C9" s="200"/>
      <c r="D9" s="201">
        <f>SUM(D2:D8)</f>
        <v>0</v>
      </c>
      <c r="E9" s="202"/>
      <c r="F9" s="202"/>
      <c r="G9" s="203">
        <f>SUM(G2:G8)</f>
        <v>0</v>
      </c>
      <c r="H9" s="201">
        <f>SUM(H2:H8)</f>
        <v>0</v>
      </c>
      <c r="I9" s="201">
        <f>SUM(I2:I8)</f>
        <v>0</v>
      </c>
      <c r="J9" s="28">
        <f>D9</f>
        <v>0</v>
      </c>
      <c r="K9" s="106">
        <f>G9</f>
        <v>0</v>
      </c>
      <c r="L9" s="28">
        <f>H9</f>
        <v>0</v>
      </c>
      <c r="M9" s="28">
        <f>I9</f>
        <v>0</v>
      </c>
    </row>
    <row r="10" spans="1:13" ht="6" customHeight="1" x14ac:dyDescent="0.3">
      <c r="C10" s="72"/>
    </row>
    <row r="11" spans="1:13" ht="15" customHeight="1" x14ac:dyDescent="0.3">
      <c r="A11" s="30">
        <v>46358</v>
      </c>
      <c r="B11" s="186" t="s">
        <v>78</v>
      </c>
      <c r="C11" s="187" t="s">
        <v>205</v>
      </c>
      <c r="D11" s="188" t="s">
        <v>206</v>
      </c>
      <c r="E11" s="188" t="s">
        <v>207</v>
      </c>
      <c r="F11" s="189" t="s">
        <v>208</v>
      </c>
      <c r="G11" s="188" t="s">
        <v>209</v>
      </c>
      <c r="H11" s="188" t="s">
        <v>210</v>
      </c>
      <c r="I11" s="188" t="s">
        <v>211</v>
      </c>
    </row>
    <row r="12" spans="1:13" ht="21" customHeight="1" x14ac:dyDescent="0.3">
      <c r="A12" s="190"/>
      <c r="B12" s="191"/>
      <c r="C12" s="192"/>
      <c r="D12" s="193"/>
      <c r="E12" s="194" t="s">
        <v>214</v>
      </c>
      <c r="F12" s="195" t="str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196" t="str">
        <f>IFERROR(ROUNDUP(D12/F12,0),"")</f>
        <v/>
      </c>
      <c r="H12" s="197"/>
      <c r="I12" s="193" t="str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</row>
    <row r="13" spans="1:13" ht="21" customHeight="1" x14ac:dyDescent="0.3">
      <c r="A13" s="190"/>
      <c r="B13" s="191"/>
      <c r="C13" s="192"/>
      <c r="D13" s="193"/>
      <c r="E13" s="194" t="s">
        <v>214</v>
      </c>
      <c r="F13" s="195" t="str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196" t="str">
        <f>IFERROR(ROUNDUP(D13/F13,0),"")</f>
        <v/>
      </c>
      <c r="H13" s="197"/>
      <c r="I13" s="193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21" customHeight="1" x14ac:dyDescent="0.3">
      <c r="A14" s="190"/>
      <c r="B14" s="191"/>
      <c r="C14" s="192"/>
      <c r="D14" s="193"/>
      <c r="E14" s="194" t="s">
        <v>214</v>
      </c>
      <c r="F14" s="195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196" t="str">
        <f>IFERROR(ROUNDUP(D14/F14,0),"")</f>
        <v/>
      </c>
      <c r="H14" s="197"/>
      <c r="I14" s="193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</row>
    <row r="15" spans="1:13" ht="21" customHeight="1" x14ac:dyDescent="0.3">
      <c r="A15" s="190"/>
      <c r="B15" s="191"/>
      <c r="C15" s="192"/>
      <c r="D15" s="193"/>
      <c r="E15" s="194" t="s">
        <v>214</v>
      </c>
      <c r="F15" s="195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196" t="str">
        <f>IFERROR(ROUNDUP(D15/F15,0),"")</f>
        <v/>
      </c>
      <c r="H15" s="197"/>
      <c r="I15" s="193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3">
      <c r="A16" s="190"/>
      <c r="B16" s="191"/>
      <c r="C16" s="192"/>
      <c r="D16" s="193"/>
      <c r="E16" s="194" t="s">
        <v>214</v>
      </c>
      <c r="F16" s="195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196" t="str">
        <f>IFERROR(ROUNDUP(D16/F16,0),"")</f>
        <v/>
      </c>
      <c r="H16" s="197"/>
      <c r="I16" s="193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15" customHeight="1" x14ac:dyDescent="0.3">
      <c r="A17" s="198"/>
      <c r="B17" s="199" t="s">
        <v>216</v>
      </c>
      <c r="C17" s="200"/>
      <c r="D17" s="201">
        <f>SUM(D10:D16)</f>
        <v>0</v>
      </c>
      <c r="E17" s="202"/>
      <c r="F17" s="202"/>
      <c r="G17" s="203">
        <f>SUM(G10:G16)</f>
        <v>0</v>
      </c>
      <c r="H17" s="201">
        <f>SUM(H10:H16)</f>
        <v>0</v>
      </c>
      <c r="I17" s="201">
        <f>SUM(I10:I16)</f>
        <v>0</v>
      </c>
      <c r="J17" s="28">
        <f>D17</f>
        <v>0</v>
      </c>
      <c r="K17" s="106">
        <f>G17</f>
        <v>0</v>
      </c>
      <c r="L17" s="28">
        <f>H17</f>
        <v>0</v>
      </c>
      <c r="M17" s="28">
        <f>I17</f>
        <v>0</v>
      </c>
    </row>
    <row r="18" spans="1:13" ht="6" customHeight="1" x14ac:dyDescent="0.3">
      <c r="C18" s="72"/>
    </row>
    <row r="19" spans="1:13" ht="15" customHeight="1" x14ac:dyDescent="0.3">
      <c r="A19" s="30">
        <v>46359</v>
      </c>
      <c r="B19" s="186" t="s">
        <v>78</v>
      </c>
      <c r="C19" s="187" t="s">
        <v>205</v>
      </c>
      <c r="D19" s="188" t="s">
        <v>206</v>
      </c>
      <c r="E19" s="188" t="s">
        <v>207</v>
      </c>
      <c r="F19" s="189" t="s">
        <v>208</v>
      </c>
      <c r="G19" s="188" t="s">
        <v>209</v>
      </c>
      <c r="H19" s="188" t="s">
        <v>210</v>
      </c>
      <c r="I19" s="188" t="s">
        <v>211</v>
      </c>
    </row>
    <row r="20" spans="1:13" ht="21" customHeight="1" x14ac:dyDescent="0.3">
      <c r="A20" s="190"/>
      <c r="B20" s="191"/>
      <c r="C20" s="192"/>
      <c r="D20" s="193"/>
      <c r="E20" s="194" t="s">
        <v>214</v>
      </c>
      <c r="F20" s="195" t="str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196" t="str">
        <f>IFERROR(ROUNDUP(D20/F20,0),"")</f>
        <v/>
      </c>
      <c r="H20" s="197"/>
      <c r="I20" s="193" t="str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</row>
    <row r="21" spans="1:13" ht="21" customHeight="1" x14ac:dyDescent="0.3">
      <c r="A21" s="190"/>
      <c r="B21" s="191"/>
      <c r="C21" s="192"/>
      <c r="D21" s="193"/>
      <c r="E21" s="194" t="s">
        <v>214</v>
      </c>
      <c r="F21" s="195" t="str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196" t="str">
        <f>IFERROR(ROUNDUP(D21/F21,0),"")</f>
        <v/>
      </c>
      <c r="H21" s="197"/>
      <c r="I21" s="193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</row>
    <row r="22" spans="1:13" ht="21" customHeight="1" x14ac:dyDescent="0.3">
      <c r="A22" s="190"/>
      <c r="B22" s="191"/>
      <c r="C22" s="192"/>
      <c r="D22" s="193"/>
      <c r="E22" s="194" t="s">
        <v>214</v>
      </c>
      <c r="F22" s="195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196" t="str">
        <f>IFERROR(ROUNDUP(D22/F22,0),"")</f>
        <v/>
      </c>
      <c r="H22" s="197"/>
      <c r="I22" s="193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</row>
    <row r="23" spans="1:13" ht="21" customHeight="1" x14ac:dyDescent="0.3">
      <c r="A23" s="190"/>
      <c r="B23" s="191"/>
      <c r="C23" s="192"/>
      <c r="D23" s="193"/>
      <c r="E23" s="194" t="s">
        <v>214</v>
      </c>
      <c r="F23" s="195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196" t="str">
        <f>IFERROR(ROUNDUP(D23/F23,0),"")</f>
        <v/>
      </c>
      <c r="H23" s="197"/>
      <c r="I23" s="193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</row>
    <row r="24" spans="1:13" ht="21" customHeight="1" x14ac:dyDescent="0.3">
      <c r="A24" s="190"/>
      <c r="B24" s="191"/>
      <c r="C24" s="192"/>
      <c r="D24" s="193"/>
      <c r="E24" s="194" t="s">
        <v>214</v>
      </c>
      <c r="F24" s="195" t="str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196" t="str">
        <f>IFERROR(ROUNDUP(D24/F24,0),"")</f>
        <v/>
      </c>
      <c r="H24" s="197"/>
      <c r="I24" s="193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</row>
    <row r="25" spans="1:13" ht="15" customHeight="1" x14ac:dyDescent="0.3">
      <c r="A25" s="198"/>
      <c r="B25" s="199" t="s">
        <v>216</v>
      </c>
      <c r="C25" s="200"/>
      <c r="D25" s="201">
        <f>SUM(D18:D24)</f>
        <v>0</v>
      </c>
      <c r="E25" s="202"/>
      <c r="F25" s="202"/>
      <c r="G25" s="203">
        <f>SUM(G18:G24)</f>
        <v>0</v>
      </c>
      <c r="H25" s="201">
        <f>SUM(H18:H24)</f>
        <v>0</v>
      </c>
      <c r="I25" s="201">
        <f>SUM(I18:I24)</f>
        <v>0</v>
      </c>
      <c r="J25" s="28">
        <f>D25</f>
        <v>0</v>
      </c>
      <c r="K25" s="106">
        <f>G25</f>
        <v>0</v>
      </c>
      <c r="L25" s="28">
        <f>H25</f>
        <v>0</v>
      </c>
      <c r="M25" s="28">
        <f>I25</f>
        <v>0</v>
      </c>
    </row>
    <row r="26" spans="1:13" ht="6" customHeight="1" x14ac:dyDescent="0.3">
      <c r="C26" s="72"/>
    </row>
    <row r="27" spans="1:13" ht="15" customHeight="1" x14ac:dyDescent="0.3">
      <c r="A27" s="30">
        <v>46360</v>
      </c>
      <c r="B27" s="186" t="s">
        <v>78</v>
      </c>
      <c r="C27" s="187" t="s">
        <v>205</v>
      </c>
      <c r="D27" s="188" t="s">
        <v>206</v>
      </c>
      <c r="E27" s="188" t="s">
        <v>207</v>
      </c>
      <c r="F27" s="189" t="s">
        <v>208</v>
      </c>
      <c r="G27" s="188" t="s">
        <v>209</v>
      </c>
      <c r="H27" s="188" t="s">
        <v>210</v>
      </c>
      <c r="I27" s="188" t="s">
        <v>211</v>
      </c>
    </row>
    <row r="28" spans="1:13" ht="21" customHeight="1" x14ac:dyDescent="0.3">
      <c r="A28" s="190"/>
      <c r="B28" s="191"/>
      <c r="C28" s="192"/>
      <c r="D28" s="193"/>
      <c r="E28" s="194" t="s">
        <v>214</v>
      </c>
      <c r="F28" s="195" t="str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196" t="str">
        <f>IFERROR(ROUNDUP(D28/F28,0),"")</f>
        <v/>
      </c>
      <c r="H28" s="197"/>
      <c r="I28" s="193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</row>
    <row r="29" spans="1:13" ht="21" customHeight="1" x14ac:dyDescent="0.3">
      <c r="A29" s="190"/>
      <c r="B29" s="191"/>
      <c r="C29" s="192"/>
      <c r="D29" s="193"/>
      <c r="E29" s="194" t="s">
        <v>214</v>
      </c>
      <c r="F29" s="195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196" t="str">
        <f>IFERROR(ROUNDUP(D29/F29,0),"")</f>
        <v/>
      </c>
      <c r="H29" s="197"/>
      <c r="I29" s="193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</row>
    <row r="30" spans="1:13" ht="21" customHeight="1" x14ac:dyDescent="0.3">
      <c r="A30" s="190"/>
      <c r="B30" s="191"/>
      <c r="C30" s="192"/>
      <c r="D30" s="193"/>
      <c r="E30" s="194" t="s">
        <v>214</v>
      </c>
      <c r="F30" s="195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196" t="str">
        <f>IFERROR(ROUNDUP(D30/F30,0),"")</f>
        <v/>
      </c>
      <c r="H30" s="197"/>
      <c r="I30" s="193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</row>
    <row r="31" spans="1:13" ht="21" customHeight="1" x14ac:dyDescent="0.3">
      <c r="A31" s="190"/>
      <c r="B31" s="191"/>
      <c r="C31" s="192"/>
      <c r="D31" s="193"/>
      <c r="E31" s="194" t="s">
        <v>214</v>
      </c>
      <c r="F31" s="195" t="str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196" t="str">
        <f>IFERROR(ROUNDUP(D31/F31,0),"")</f>
        <v/>
      </c>
      <c r="H31" s="197"/>
      <c r="I31" s="193" t="str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</row>
    <row r="32" spans="1:13" ht="21" customHeight="1" x14ac:dyDescent="0.3">
      <c r="A32" s="190"/>
      <c r="B32" s="191"/>
      <c r="C32" s="192"/>
      <c r="D32" s="193"/>
      <c r="E32" s="194" t="s">
        <v>214</v>
      </c>
      <c r="F32" s="195" t="str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196" t="str">
        <f>IFERROR(ROUNDUP(D32/F32,0),"")</f>
        <v/>
      </c>
      <c r="H32" s="197"/>
      <c r="I32" s="193" t="str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</row>
    <row r="33" spans="1:13" ht="15" customHeight="1" x14ac:dyDescent="0.3">
      <c r="A33" s="198"/>
      <c r="B33" s="199" t="s">
        <v>216</v>
      </c>
      <c r="C33" s="200"/>
      <c r="D33" s="201">
        <f>SUM(D26:D32)</f>
        <v>0</v>
      </c>
      <c r="E33" s="202"/>
      <c r="F33" s="202"/>
      <c r="G33" s="203">
        <f>SUM(G26:G32)</f>
        <v>0</v>
      </c>
      <c r="H33" s="201">
        <f>SUM(H26:H32)</f>
        <v>0</v>
      </c>
      <c r="I33" s="201">
        <f>SUM(I26:I32)</f>
        <v>0</v>
      </c>
      <c r="J33" s="28">
        <f>D33</f>
        <v>0</v>
      </c>
      <c r="K33" s="106">
        <f>G33</f>
        <v>0</v>
      </c>
      <c r="L33" s="28">
        <f>H33</f>
        <v>0</v>
      </c>
      <c r="M33" s="28">
        <f>I33</f>
        <v>0</v>
      </c>
    </row>
    <row r="34" spans="1:13" ht="6" customHeight="1" x14ac:dyDescent="0.3">
      <c r="C34" s="72"/>
    </row>
    <row r="35" spans="1:13" ht="15" customHeight="1" x14ac:dyDescent="0.3">
      <c r="A35" s="235">
        <v>46361</v>
      </c>
      <c r="B35" s="186" t="s">
        <v>78</v>
      </c>
      <c r="C35" s="187" t="s">
        <v>205</v>
      </c>
      <c r="D35" s="188" t="s">
        <v>206</v>
      </c>
      <c r="E35" s="188" t="s">
        <v>207</v>
      </c>
      <c r="F35" s="236" t="s">
        <v>208</v>
      </c>
      <c r="G35" s="188" t="s">
        <v>209</v>
      </c>
      <c r="H35" s="188" t="s">
        <v>210</v>
      </c>
      <c r="I35" s="188" t="s">
        <v>211</v>
      </c>
      <c r="J35" s="237"/>
      <c r="K35" s="237"/>
      <c r="L35" s="237"/>
      <c r="M35" s="237"/>
    </row>
    <row r="36" spans="1:13" ht="21" customHeight="1" x14ac:dyDescent="0.3">
      <c r="A36" s="190"/>
      <c r="B36" s="238"/>
      <c r="C36" s="239"/>
      <c r="D36" s="240"/>
      <c r="E36" s="241" t="s">
        <v>214</v>
      </c>
      <c r="F36" s="242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243" t="str">
        <f>IFERROR(ROUNDUP(D36/F36,0),"")</f>
        <v/>
      </c>
      <c r="H36" s="197"/>
      <c r="I36" s="240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  <c r="J36" s="237"/>
      <c r="K36" s="237"/>
      <c r="L36" s="237"/>
      <c r="M36" s="237"/>
    </row>
    <row r="37" spans="1:13" ht="21" customHeight="1" x14ac:dyDescent="0.3">
      <c r="A37" s="190"/>
      <c r="B37" s="238"/>
      <c r="C37" s="239"/>
      <c r="D37" s="240"/>
      <c r="E37" s="241" t="s">
        <v>214</v>
      </c>
      <c r="F37" s="242" t="str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243" t="str">
        <f>IFERROR(ROUNDUP(D37/F37,0),"")</f>
        <v/>
      </c>
      <c r="H37" s="197"/>
      <c r="I37" s="240" t="str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  <c r="J37" s="237"/>
      <c r="K37" s="237"/>
      <c r="L37" s="237"/>
      <c r="M37" s="237"/>
    </row>
    <row r="38" spans="1:13" ht="21" customHeight="1" x14ac:dyDescent="0.3">
      <c r="A38" s="190"/>
      <c r="B38" s="238"/>
      <c r="C38" s="239"/>
      <c r="D38" s="240"/>
      <c r="E38" s="241" t="s">
        <v>214</v>
      </c>
      <c r="F38" s="242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243" t="str">
        <f>IFERROR(ROUNDUP(D38/F38,0),"")</f>
        <v/>
      </c>
      <c r="H38" s="197"/>
      <c r="I38" s="240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  <c r="J38" s="237"/>
      <c r="K38" s="237"/>
      <c r="L38" s="237"/>
      <c r="M38" s="237"/>
    </row>
    <row r="39" spans="1:13" ht="21" customHeight="1" x14ac:dyDescent="0.3">
      <c r="A39" s="190"/>
      <c r="B39" s="238"/>
      <c r="C39" s="239"/>
      <c r="D39" s="240"/>
      <c r="E39" s="241" t="s">
        <v>214</v>
      </c>
      <c r="F39" s="242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243" t="str">
        <f>IFERROR(ROUNDUP(D39/F39,0),"")</f>
        <v/>
      </c>
      <c r="H39" s="197"/>
      <c r="I39" s="240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  <c r="J39" s="237"/>
      <c r="K39" s="237"/>
      <c r="L39" s="237"/>
      <c r="M39" s="237"/>
    </row>
    <row r="40" spans="1:13" ht="21" customHeight="1" x14ac:dyDescent="0.3">
      <c r="A40" s="190"/>
      <c r="B40" s="238"/>
      <c r="C40" s="239"/>
      <c r="D40" s="240"/>
      <c r="E40" s="241" t="s">
        <v>214</v>
      </c>
      <c r="F40" s="242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243" t="str">
        <f>IFERROR(ROUNDUP(D40/F40,0),"")</f>
        <v/>
      </c>
      <c r="H40" s="197"/>
      <c r="I40" s="240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  <c r="J40" s="237"/>
      <c r="K40" s="237"/>
      <c r="L40" s="237"/>
      <c r="M40" s="237"/>
    </row>
    <row r="41" spans="1:13" ht="15" customHeight="1" x14ac:dyDescent="0.3">
      <c r="A41" s="244"/>
      <c r="B41" s="199" t="s">
        <v>216</v>
      </c>
      <c r="C41" s="245"/>
      <c r="D41" s="201">
        <f>SUM(D34:D40)</f>
        <v>0</v>
      </c>
      <c r="E41" s="246"/>
      <c r="F41" s="246"/>
      <c r="G41" s="203">
        <f>SUM(G34:G40)</f>
        <v>0</v>
      </c>
      <c r="H41" s="201">
        <f>SUM(H34:H40)</f>
        <v>0</v>
      </c>
      <c r="I41" s="201">
        <f>SUM(I34:I40)</f>
        <v>0</v>
      </c>
      <c r="J41" s="247">
        <f>D41</f>
        <v>0</v>
      </c>
      <c r="K41" s="248">
        <f>G41</f>
        <v>0</v>
      </c>
      <c r="L41" s="247">
        <f>H41</f>
        <v>0</v>
      </c>
      <c r="M41" s="247">
        <f>I41</f>
        <v>0</v>
      </c>
    </row>
    <row r="42" spans="1:13" ht="6" customHeight="1" x14ac:dyDescent="0.3">
      <c r="A42" s="237"/>
      <c r="B42" s="237"/>
      <c r="C42" s="249"/>
      <c r="D42" s="237"/>
      <c r="E42" s="237"/>
      <c r="F42" s="237"/>
      <c r="G42" s="237"/>
      <c r="H42" s="237"/>
      <c r="I42" s="237"/>
      <c r="J42" s="237"/>
      <c r="K42" s="237"/>
      <c r="L42" s="237"/>
      <c r="M42" s="237"/>
    </row>
    <row r="43" spans="1:13" ht="15" customHeight="1" x14ac:dyDescent="0.3">
      <c r="A43" s="30">
        <v>46363</v>
      </c>
      <c r="B43" s="186" t="s">
        <v>78</v>
      </c>
      <c r="C43" s="187" t="s">
        <v>205</v>
      </c>
      <c r="D43" s="188" t="s">
        <v>206</v>
      </c>
      <c r="E43" s="188" t="s">
        <v>207</v>
      </c>
      <c r="F43" s="189" t="s">
        <v>208</v>
      </c>
      <c r="G43" s="188" t="s">
        <v>209</v>
      </c>
      <c r="H43" s="188" t="s">
        <v>210</v>
      </c>
      <c r="I43" s="188" t="s">
        <v>211</v>
      </c>
    </row>
    <row r="44" spans="1:13" ht="21" customHeight="1" x14ac:dyDescent="0.3">
      <c r="A44" s="190"/>
      <c r="B44" s="191"/>
      <c r="C44" s="192"/>
      <c r="D44" s="193"/>
      <c r="E44" s="194" t="s">
        <v>214</v>
      </c>
      <c r="F44" s="195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196" t="str">
        <f>IFERROR(ROUNDUP(D44/F44,0),"")</f>
        <v/>
      </c>
      <c r="H44" s="197"/>
      <c r="I44" s="193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</row>
    <row r="45" spans="1:13" ht="21" customHeight="1" x14ac:dyDescent="0.3">
      <c r="A45" s="190"/>
      <c r="B45" s="191"/>
      <c r="C45" s="192"/>
      <c r="D45" s="193"/>
      <c r="E45" s="194" t="s">
        <v>214</v>
      </c>
      <c r="F45" s="195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196" t="str">
        <f>IFERROR(ROUNDUP(D45/F45,0),"")</f>
        <v/>
      </c>
      <c r="H45" s="197"/>
      <c r="I45" s="193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</row>
    <row r="46" spans="1:13" ht="21" customHeight="1" x14ac:dyDescent="0.3">
      <c r="A46" s="190"/>
      <c r="B46" s="191"/>
      <c r="C46" s="192"/>
      <c r="D46" s="193"/>
      <c r="E46" s="194" t="s">
        <v>214</v>
      </c>
      <c r="F46" s="195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196" t="str">
        <f>IFERROR(ROUNDUP(D46/F46,0),"")</f>
        <v/>
      </c>
      <c r="H46" s="197"/>
      <c r="I46" s="193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</row>
    <row r="47" spans="1:13" ht="21" customHeight="1" x14ac:dyDescent="0.3">
      <c r="A47" s="190"/>
      <c r="B47" s="191"/>
      <c r="C47" s="192"/>
      <c r="D47" s="193"/>
      <c r="E47" s="194" t="s">
        <v>214</v>
      </c>
      <c r="F47" s="195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196" t="str">
        <f>IFERROR(ROUNDUP(D47/F47,0),"")</f>
        <v/>
      </c>
      <c r="H47" s="197"/>
      <c r="I47" s="193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</row>
    <row r="48" spans="1:13" ht="21" customHeight="1" x14ac:dyDescent="0.3">
      <c r="A48" s="190"/>
      <c r="B48" s="191"/>
      <c r="C48" s="192"/>
      <c r="D48" s="193"/>
      <c r="E48" s="194" t="s">
        <v>214</v>
      </c>
      <c r="F48" s="195" t="str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196" t="str">
        <f>IFERROR(ROUNDUP(D48/F48,0),"")</f>
        <v/>
      </c>
      <c r="H48" s="197"/>
      <c r="I48" s="193" t="str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</row>
    <row r="49" spans="1:13" ht="15" customHeight="1" x14ac:dyDescent="0.3">
      <c r="A49" s="198"/>
      <c r="B49" s="199" t="s">
        <v>216</v>
      </c>
      <c r="C49" s="200"/>
      <c r="D49" s="201">
        <f>SUM(D42:D48)</f>
        <v>0</v>
      </c>
      <c r="E49" s="202"/>
      <c r="F49" s="202"/>
      <c r="G49" s="203">
        <f>SUM(G42:G48)</f>
        <v>0</v>
      </c>
      <c r="H49" s="201">
        <f>SUM(H42:H48)</f>
        <v>0</v>
      </c>
      <c r="I49" s="201">
        <f>SUM(I42:I48)</f>
        <v>0</v>
      </c>
      <c r="J49" s="28">
        <f>D49</f>
        <v>0</v>
      </c>
      <c r="K49" s="106">
        <f>G49</f>
        <v>0</v>
      </c>
      <c r="L49" s="28">
        <f>H49</f>
        <v>0</v>
      </c>
      <c r="M49" s="28">
        <f>I49</f>
        <v>0</v>
      </c>
    </row>
    <row r="50" spans="1:13" ht="6" customHeight="1" x14ac:dyDescent="0.3">
      <c r="C50" s="72"/>
    </row>
    <row r="51" spans="1:13" ht="15" customHeight="1" x14ac:dyDescent="0.3">
      <c r="A51" s="30">
        <v>46364</v>
      </c>
      <c r="B51" s="186" t="s">
        <v>78</v>
      </c>
      <c r="C51" s="187" t="s">
        <v>205</v>
      </c>
      <c r="D51" s="188" t="s">
        <v>206</v>
      </c>
      <c r="E51" s="188" t="s">
        <v>207</v>
      </c>
      <c r="F51" s="189" t="s">
        <v>208</v>
      </c>
      <c r="G51" s="188" t="s">
        <v>209</v>
      </c>
      <c r="H51" s="188" t="s">
        <v>210</v>
      </c>
      <c r="I51" s="188" t="s">
        <v>211</v>
      </c>
    </row>
    <row r="52" spans="1:13" ht="21" customHeight="1" x14ac:dyDescent="0.3">
      <c r="A52" s="190"/>
      <c r="B52" s="191"/>
      <c r="C52" s="192"/>
      <c r="D52" s="193"/>
      <c r="E52" s="194" t="s">
        <v>214</v>
      </c>
      <c r="F52" s="195" t="str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196" t="str">
        <f>IFERROR(ROUNDUP(D52/F52,0),"")</f>
        <v/>
      </c>
      <c r="H52" s="197"/>
      <c r="I52" s="193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</row>
    <row r="53" spans="1:13" ht="21" customHeight="1" x14ac:dyDescent="0.3">
      <c r="A53" s="190"/>
      <c r="B53" s="191"/>
      <c r="C53" s="192"/>
      <c r="D53" s="193"/>
      <c r="E53" s="194" t="s">
        <v>214</v>
      </c>
      <c r="F53" s="195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196" t="str">
        <f>IFERROR(ROUNDUP(D53/F53,0),"")</f>
        <v/>
      </c>
      <c r="H53" s="197"/>
      <c r="I53" s="193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</row>
    <row r="54" spans="1:13" ht="21" customHeight="1" x14ac:dyDescent="0.3">
      <c r="A54" s="190"/>
      <c r="B54" s="191"/>
      <c r="C54" s="192"/>
      <c r="D54" s="193"/>
      <c r="E54" s="194" t="s">
        <v>214</v>
      </c>
      <c r="F54" s="195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196" t="str">
        <f>IFERROR(ROUNDUP(D54/F54,0),"")</f>
        <v/>
      </c>
      <c r="H54" s="197"/>
      <c r="I54" s="193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</row>
    <row r="55" spans="1:13" ht="21" customHeight="1" x14ac:dyDescent="0.3">
      <c r="A55" s="190"/>
      <c r="B55" s="191"/>
      <c r="C55" s="192"/>
      <c r="D55" s="193"/>
      <c r="E55" s="194" t="s">
        <v>214</v>
      </c>
      <c r="F55" s="195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196" t="str">
        <f>IFERROR(ROUNDUP(D55/F55,0),"")</f>
        <v/>
      </c>
      <c r="H55" s="197"/>
      <c r="I55" s="193" t="str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</row>
    <row r="56" spans="1:13" ht="21" customHeight="1" x14ac:dyDescent="0.3">
      <c r="A56" s="190"/>
      <c r="B56" s="191"/>
      <c r="C56" s="192"/>
      <c r="D56" s="193"/>
      <c r="E56" s="194" t="s">
        <v>214</v>
      </c>
      <c r="F56" s="195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196" t="str">
        <f>IFERROR(ROUNDUP(D56/F56,0),"")</f>
        <v/>
      </c>
      <c r="H56" s="197"/>
      <c r="I56" s="193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15" customHeight="1" x14ac:dyDescent="0.3">
      <c r="A57" s="198"/>
      <c r="B57" s="199" t="s">
        <v>216</v>
      </c>
      <c r="C57" s="200"/>
      <c r="D57" s="201">
        <f>SUM(D50:D56)</f>
        <v>0</v>
      </c>
      <c r="E57" s="202"/>
      <c r="F57" s="202"/>
      <c r="G57" s="203">
        <f>SUM(G50:G56)</f>
        <v>0</v>
      </c>
      <c r="H57" s="201">
        <f>SUM(H50:H56)</f>
        <v>0</v>
      </c>
      <c r="I57" s="201">
        <f>SUM(I50:I56)</f>
        <v>0</v>
      </c>
      <c r="J57" s="28">
        <f>D57</f>
        <v>0</v>
      </c>
      <c r="K57" s="106">
        <f>G57</f>
        <v>0</v>
      </c>
      <c r="L57" s="28">
        <f>H57</f>
        <v>0</v>
      </c>
      <c r="M57" s="28">
        <f>I57</f>
        <v>0</v>
      </c>
    </row>
    <row r="58" spans="1:13" ht="6" customHeight="1" x14ac:dyDescent="0.3">
      <c r="C58" s="72"/>
    </row>
    <row r="59" spans="1:13" ht="15" customHeight="1" x14ac:dyDescent="0.3">
      <c r="A59" s="30">
        <v>46365</v>
      </c>
      <c r="B59" s="186" t="s">
        <v>78</v>
      </c>
      <c r="C59" s="187" t="s">
        <v>205</v>
      </c>
      <c r="D59" s="188" t="s">
        <v>206</v>
      </c>
      <c r="E59" s="188" t="s">
        <v>207</v>
      </c>
      <c r="F59" s="189" t="s">
        <v>208</v>
      </c>
      <c r="G59" s="188" t="s">
        <v>209</v>
      </c>
      <c r="H59" s="188" t="s">
        <v>210</v>
      </c>
      <c r="I59" s="188" t="s">
        <v>211</v>
      </c>
    </row>
    <row r="60" spans="1:13" ht="21" customHeight="1" x14ac:dyDescent="0.3">
      <c r="A60" s="190"/>
      <c r="B60" s="191"/>
      <c r="C60" s="192"/>
      <c r="D60" s="193"/>
      <c r="E60" s="194" t="s">
        <v>214</v>
      </c>
      <c r="F60" s="195" t="str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196" t="str">
        <f>IFERROR(ROUNDUP(D60/F60,0),"")</f>
        <v/>
      </c>
      <c r="H60" s="197"/>
      <c r="I60" s="193" t="str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</row>
    <row r="61" spans="1:13" ht="21" customHeight="1" x14ac:dyDescent="0.3">
      <c r="A61" s="190"/>
      <c r="B61" s="191"/>
      <c r="C61" s="192"/>
      <c r="D61" s="193"/>
      <c r="E61" s="194" t="s">
        <v>214</v>
      </c>
      <c r="F61" s="195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196" t="str">
        <f>IFERROR(ROUNDUP(D61/F61,0),"")</f>
        <v/>
      </c>
      <c r="H61" s="197"/>
      <c r="I61" s="193" t="str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</row>
    <row r="62" spans="1:13" ht="21" customHeight="1" x14ac:dyDescent="0.3">
      <c r="A62" s="190"/>
      <c r="B62" s="191"/>
      <c r="C62" s="192"/>
      <c r="D62" s="193"/>
      <c r="E62" s="194" t="s">
        <v>214</v>
      </c>
      <c r="F62" s="195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196" t="str">
        <f>IFERROR(ROUNDUP(D62/F62,0),"")</f>
        <v/>
      </c>
      <c r="H62" s="197"/>
      <c r="I62" s="193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3" ht="21" customHeight="1" x14ac:dyDescent="0.3">
      <c r="A63" s="190"/>
      <c r="B63" s="191"/>
      <c r="C63" s="192"/>
      <c r="D63" s="193"/>
      <c r="E63" s="194" t="s">
        <v>214</v>
      </c>
      <c r="F63" s="195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196" t="str">
        <f>IFERROR(ROUNDUP(D63/F63,0),"")</f>
        <v/>
      </c>
      <c r="H63" s="197"/>
      <c r="I63" s="193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3">
      <c r="A64" s="190"/>
      <c r="B64" s="191"/>
      <c r="C64" s="192"/>
      <c r="D64" s="193"/>
      <c r="E64" s="194" t="s">
        <v>214</v>
      </c>
      <c r="F64" s="195" t="str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196" t="str">
        <f>IFERROR(ROUNDUP(D64/F64,0),"")</f>
        <v/>
      </c>
      <c r="H64" s="197"/>
      <c r="I64" s="193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15" customHeight="1" x14ac:dyDescent="0.3">
      <c r="A65" s="198"/>
      <c r="B65" s="199" t="s">
        <v>216</v>
      </c>
      <c r="C65" s="200"/>
      <c r="D65" s="201">
        <f>SUM(D58:D64)</f>
        <v>0</v>
      </c>
      <c r="E65" s="202"/>
      <c r="F65" s="202"/>
      <c r="G65" s="203">
        <f>SUM(G58:G64)</f>
        <v>0</v>
      </c>
      <c r="H65" s="201">
        <f>SUM(H58:H64)</f>
        <v>0</v>
      </c>
      <c r="I65" s="201">
        <f>SUM(I58:I64)</f>
        <v>0</v>
      </c>
      <c r="J65" s="28">
        <f>D65</f>
        <v>0</v>
      </c>
      <c r="K65" s="106">
        <f>G65</f>
        <v>0</v>
      </c>
      <c r="L65" s="28">
        <f>H65</f>
        <v>0</v>
      </c>
      <c r="M65" s="28">
        <f>I65</f>
        <v>0</v>
      </c>
    </row>
    <row r="66" spans="1:13" ht="6" customHeight="1" x14ac:dyDescent="0.3">
      <c r="C66" s="72"/>
    </row>
    <row r="67" spans="1:13" ht="15" customHeight="1" x14ac:dyDescent="0.3">
      <c r="A67" s="30">
        <v>46366</v>
      </c>
      <c r="B67" s="186" t="s">
        <v>78</v>
      </c>
      <c r="C67" s="187" t="s">
        <v>205</v>
      </c>
      <c r="D67" s="188" t="s">
        <v>206</v>
      </c>
      <c r="E67" s="188" t="s">
        <v>207</v>
      </c>
      <c r="F67" s="189" t="s">
        <v>208</v>
      </c>
      <c r="G67" s="188" t="s">
        <v>209</v>
      </c>
      <c r="H67" s="188" t="s">
        <v>210</v>
      </c>
      <c r="I67" s="188" t="s">
        <v>211</v>
      </c>
    </row>
    <row r="68" spans="1:13" ht="21" customHeight="1" x14ac:dyDescent="0.3">
      <c r="A68" s="190"/>
      <c r="B68" s="191"/>
      <c r="C68" s="192"/>
      <c r="D68" s="193"/>
      <c r="E68" s="194" t="s">
        <v>214</v>
      </c>
      <c r="F68" s="195" t="str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196" t="str">
        <f>IFERROR(ROUNDUP(D68/F68,0),"")</f>
        <v/>
      </c>
      <c r="H68" s="197"/>
      <c r="I68" s="193" t="str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</row>
    <row r="69" spans="1:13" ht="21" customHeight="1" x14ac:dyDescent="0.3">
      <c r="A69" s="190"/>
      <c r="B69" s="191"/>
      <c r="C69" s="192"/>
      <c r="D69" s="193"/>
      <c r="E69" s="194" t="s">
        <v>214</v>
      </c>
      <c r="F69" s="195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196" t="str">
        <f>IFERROR(ROUNDUP(D69/F69,0),"")</f>
        <v/>
      </c>
      <c r="H69" s="197"/>
      <c r="I69" s="193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</row>
    <row r="70" spans="1:13" ht="21" customHeight="1" x14ac:dyDescent="0.3">
      <c r="A70" s="190"/>
      <c r="B70" s="191"/>
      <c r="C70" s="192"/>
      <c r="D70" s="193"/>
      <c r="E70" s="194" t="s">
        <v>214</v>
      </c>
      <c r="F70" s="195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196" t="str">
        <f>IFERROR(ROUNDUP(D70/F70,0),"")</f>
        <v/>
      </c>
      <c r="H70" s="197"/>
      <c r="I70" s="193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</row>
    <row r="71" spans="1:13" ht="21" customHeight="1" x14ac:dyDescent="0.3">
      <c r="A71" s="190"/>
      <c r="B71" s="191"/>
      <c r="C71" s="192"/>
      <c r="D71" s="193"/>
      <c r="E71" s="194" t="s">
        <v>214</v>
      </c>
      <c r="F71" s="195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196" t="str">
        <f>IFERROR(ROUNDUP(D71/F71,0),"")</f>
        <v/>
      </c>
      <c r="H71" s="197"/>
      <c r="I71" s="193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</row>
    <row r="72" spans="1:13" ht="21" customHeight="1" x14ac:dyDescent="0.3">
      <c r="A72" s="190"/>
      <c r="B72" s="191"/>
      <c r="C72" s="192"/>
      <c r="D72" s="193"/>
      <c r="E72" s="194" t="s">
        <v>214</v>
      </c>
      <c r="F72" s="195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196" t="str">
        <f>IFERROR(ROUNDUP(D72/F72,0),"")</f>
        <v/>
      </c>
      <c r="H72" s="197"/>
      <c r="I72" s="193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15" customHeight="1" x14ac:dyDescent="0.3">
      <c r="A73" s="198"/>
      <c r="B73" s="199" t="s">
        <v>216</v>
      </c>
      <c r="C73" s="200"/>
      <c r="D73" s="201">
        <f>SUM(D66:D72)</f>
        <v>0</v>
      </c>
      <c r="E73" s="202"/>
      <c r="F73" s="202"/>
      <c r="G73" s="203">
        <f>SUM(G66:G72)</f>
        <v>0</v>
      </c>
      <c r="H73" s="201">
        <f>SUM(H66:H72)</f>
        <v>0</v>
      </c>
      <c r="I73" s="201">
        <f>SUM(I66:I72)</f>
        <v>0</v>
      </c>
      <c r="J73" s="28">
        <f>D73</f>
        <v>0</v>
      </c>
      <c r="K73" s="106">
        <f>G73</f>
        <v>0</v>
      </c>
      <c r="L73" s="28">
        <f>H73</f>
        <v>0</v>
      </c>
      <c r="M73" s="28">
        <f>I73</f>
        <v>0</v>
      </c>
    </row>
    <row r="74" spans="1:13" ht="6" customHeight="1" x14ac:dyDescent="0.3">
      <c r="C74" s="72"/>
    </row>
    <row r="75" spans="1:13" ht="15" customHeight="1" x14ac:dyDescent="0.3">
      <c r="A75" s="30">
        <v>46367</v>
      </c>
      <c r="B75" s="186" t="s">
        <v>78</v>
      </c>
      <c r="C75" s="187" t="s">
        <v>205</v>
      </c>
      <c r="D75" s="188" t="s">
        <v>206</v>
      </c>
      <c r="E75" s="188" t="s">
        <v>207</v>
      </c>
      <c r="F75" s="189" t="s">
        <v>208</v>
      </c>
      <c r="G75" s="188" t="s">
        <v>209</v>
      </c>
      <c r="H75" s="188" t="s">
        <v>210</v>
      </c>
      <c r="I75" s="188" t="s">
        <v>211</v>
      </c>
    </row>
    <row r="76" spans="1:13" ht="21" customHeight="1" x14ac:dyDescent="0.3">
      <c r="A76" s="190"/>
      <c r="B76" s="191"/>
      <c r="C76" s="192"/>
      <c r="D76" s="193"/>
      <c r="E76" s="194" t="s">
        <v>214</v>
      </c>
      <c r="F76" s="195" t="str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196" t="str">
        <f>IFERROR(ROUNDUP(D76/F76,0),"")</f>
        <v/>
      </c>
      <c r="H76" s="197"/>
      <c r="I76" s="193" t="str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</row>
    <row r="77" spans="1:13" ht="21" customHeight="1" x14ac:dyDescent="0.3">
      <c r="A77" s="190"/>
      <c r="B77" s="191"/>
      <c r="C77" s="192"/>
      <c r="D77" s="193"/>
      <c r="E77" s="194" t="s">
        <v>214</v>
      </c>
      <c r="F77" s="195" t="str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196" t="str">
        <f>IFERROR(ROUNDUP(D77/F77,0),"")</f>
        <v/>
      </c>
      <c r="H77" s="197"/>
      <c r="I77" s="193" t="str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</row>
    <row r="78" spans="1:13" ht="21" customHeight="1" x14ac:dyDescent="0.3">
      <c r="A78" s="190"/>
      <c r="B78" s="191"/>
      <c r="C78" s="192"/>
      <c r="D78" s="193"/>
      <c r="E78" s="194" t="s">
        <v>214</v>
      </c>
      <c r="F78" s="195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196" t="str">
        <f>IFERROR(ROUNDUP(D78/F78,0),"")</f>
        <v/>
      </c>
      <c r="H78" s="197"/>
      <c r="I78" s="193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</row>
    <row r="79" spans="1:13" ht="21" customHeight="1" x14ac:dyDescent="0.3">
      <c r="A79" s="190"/>
      <c r="B79" s="191"/>
      <c r="C79" s="192"/>
      <c r="D79" s="193"/>
      <c r="E79" s="194" t="s">
        <v>214</v>
      </c>
      <c r="F79" s="195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196" t="str">
        <f>IFERROR(ROUNDUP(D79/F79,0),"")</f>
        <v/>
      </c>
      <c r="H79" s="197"/>
      <c r="I79" s="193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</row>
    <row r="80" spans="1:13" ht="21" customHeight="1" x14ac:dyDescent="0.3">
      <c r="A80" s="190"/>
      <c r="B80" s="191"/>
      <c r="C80" s="192"/>
      <c r="D80" s="193"/>
      <c r="E80" s="194" t="s">
        <v>214</v>
      </c>
      <c r="F80" s="195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196" t="str">
        <f>IFERROR(ROUNDUP(D80/F80,0),"")</f>
        <v/>
      </c>
      <c r="H80" s="197"/>
      <c r="I80" s="193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15" customHeight="1" x14ac:dyDescent="0.3">
      <c r="A81" s="198"/>
      <c r="B81" s="199" t="s">
        <v>216</v>
      </c>
      <c r="C81" s="200"/>
      <c r="D81" s="201">
        <f>SUM(D74:D80)</f>
        <v>0</v>
      </c>
      <c r="E81" s="202"/>
      <c r="F81" s="202"/>
      <c r="G81" s="203">
        <f>SUM(G74:G80)</f>
        <v>0</v>
      </c>
      <c r="H81" s="201">
        <f>SUM(H74:H80)</f>
        <v>0</v>
      </c>
      <c r="I81" s="201">
        <f>SUM(I74:I80)</f>
        <v>0</v>
      </c>
      <c r="J81" s="28">
        <f>D81</f>
        <v>0</v>
      </c>
      <c r="K81" s="106">
        <f>G81</f>
        <v>0</v>
      </c>
      <c r="L81" s="28">
        <f>H81</f>
        <v>0</v>
      </c>
      <c r="M81" s="28">
        <f>I81</f>
        <v>0</v>
      </c>
    </row>
    <row r="82" spans="1:13" ht="6" customHeight="1" x14ac:dyDescent="0.3">
      <c r="C82" s="72"/>
    </row>
    <row r="83" spans="1:13" ht="15" customHeight="1" x14ac:dyDescent="0.3">
      <c r="A83" s="235">
        <v>46368</v>
      </c>
      <c r="B83" s="186" t="s">
        <v>78</v>
      </c>
      <c r="C83" s="187" t="s">
        <v>205</v>
      </c>
      <c r="D83" s="188" t="s">
        <v>206</v>
      </c>
      <c r="E83" s="188" t="s">
        <v>207</v>
      </c>
      <c r="F83" s="236" t="s">
        <v>208</v>
      </c>
      <c r="G83" s="188" t="s">
        <v>209</v>
      </c>
      <c r="H83" s="188" t="s">
        <v>210</v>
      </c>
      <c r="I83" s="188" t="s">
        <v>211</v>
      </c>
      <c r="J83" s="237"/>
      <c r="K83" s="237"/>
      <c r="L83" s="237"/>
      <c r="M83" s="237"/>
    </row>
    <row r="84" spans="1:13" ht="21" customHeight="1" x14ac:dyDescent="0.3">
      <c r="A84" s="190"/>
      <c r="B84" s="238"/>
      <c r="C84" s="239"/>
      <c r="D84" s="240"/>
      <c r="E84" s="241" t="s">
        <v>214</v>
      </c>
      <c r="F84" s="242" t="str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243" t="str">
        <f>IFERROR(ROUNDUP(D84/F84,0),"")</f>
        <v/>
      </c>
      <c r="H84" s="197"/>
      <c r="I84" s="240" t="str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  <c r="J84" s="237"/>
      <c r="K84" s="237"/>
      <c r="L84" s="237"/>
      <c r="M84" s="237"/>
    </row>
    <row r="85" spans="1:13" ht="21" customHeight="1" x14ac:dyDescent="0.3">
      <c r="A85" s="190"/>
      <c r="B85" s="238"/>
      <c r="C85" s="239"/>
      <c r="D85" s="240"/>
      <c r="E85" s="241" t="s">
        <v>214</v>
      </c>
      <c r="F85" s="242" t="str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243" t="str">
        <f>IFERROR(ROUNDUP(D85/F85,0),"")</f>
        <v/>
      </c>
      <c r="H85" s="197"/>
      <c r="I85" s="240" t="str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  <c r="J85" s="237"/>
      <c r="K85" s="237"/>
      <c r="L85" s="237"/>
      <c r="M85" s="237"/>
    </row>
    <row r="86" spans="1:13" ht="21" customHeight="1" x14ac:dyDescent="0.3">
      <c r="A86" s="190"/>
      <c r="B86" s="238"/>
      <c r="C86" s="239"/>
      <c r="D86" s="240"/>
      <c r="E86" s="241" t="s">
        <v>214</v>
      </c>
      <c r="F86" s="242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243" t="str">
        <f>IFERROR(ROUNDUP(D86/F86,0),"")</f>
        <v/>
      </c>
      <c r="H86" s="197"/>
      <c r="I86" s="240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  <c r="J86" s="237"/>
      <c r="K86" s="237"/>
      <c r="L86" s="237"/>
      <c r="M86" s="237"/>
    </row>
    <row r="87" spans="1:13" ht="21" customHeight="1" x14ac:dyDescent="0.3">
      <c r="A87" s="190"/>
      <c r="B87" s="238"/>
      <c r="C87" s="239"/>
      <c r="D87" s="240"/>
      <c r="E87" s="241" t="s">
        <v>214</v>
      </c>
      <c r="F87" s="242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243" t="str">
        <f>IFERROR(ROUNDUP(D87/F87,0),"")</f>
        <v/>
      </c>
      <c r="H87" s="197"/>
      <c r="I87" s="240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  <c r="J87" s="237"/>
      <c r="K87" s="237"/>
      <c r="L87" s="237"/>
      <c r="M87" s="237"/>
    </row>
    <row r="88" spans="1:13" ht="21" customHeight="1" x14ac:dyDescent="0.3">
      <c r="A88" s="190"/>
      <c r="B88" s="238"/>
      <c r="C88" s="239"/>
      <c r="D88" s="240"/>
      <c r="E88" s="241" t="s">
        <v>214</v>
      </c>
      <c r="F88" s="242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243" t="str">
        <f>IFERROR(ROUNDUP(D88/F88,0),"")</f>
        <v/>
      </c>
      <c r="H88" s="197"/>
      <c r="I88" s="240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  <c r="J88" s="237"/>
      <c r="K88" s="237"/>
      <c r="L88" s="237"/>
      <c r="M88" s="237"/>
    </row>
    <row r="89" spans="1:13" ht="15" customHeight="1" x14ac:dyDescent="0.3">
      <c r="A89" s="244"/>
      <c r="B89" s="199" t="s">
        <v>216</v>
      </c>
      <c r="C89" s="245"/>
      <c r="D89" s="201">
        <f>SUM(D82:D88)</f>
        <v>0</v>
      </c>
      <c r="E89" s="246"/>
      <c r="F89" s="246"/>
      <c r="G89" s="203">
        <f>SUM(G82:G88)</f>
        <v>0</v>
      </c>
      <c r="H89" s="201">
        <f>SUM(H82:H88)</f>
        <v>0</v>
      </c>
      <c r="I89" s="201">
        <f>SUM(I82:I88)</f>
        <v>0</v>
      </c>
      <c r="J89" s="247">
        <f>D89</f>
        <v>0</v>
      </c>
      <c r="K89" s="248">
        <f>G89</f>
        <v>0</v>
      </c>
      <c r="L89" s="247">
        <f>H89</f>
        <v>0</v>
      </c>
      <c r="M89" s="247">
        <f>I89</f>
        <v>0</v>
      </c>
    </row>
    <row r="90" spans="1:13" ht="6" customHeight="1" x14ac:dyDescent="0.3">
      <c r="A90" s="237"/>
      <c r="B90" s="237"/>
      <c r="C90" s="249"/>
      <c r="D90" s="237"/>
      <c r="E90" s="237"/>
      <c r="F90" s="237"/>
      <c r="G90" s="237"/>
      <c r="H90" s="237"/>
      <c r="I90" s="237"/>
      <c r="J90" s="237"/>
      <c r="K90" s="237"/>
      <c r="L90" s="237"/>
      <c r="M90" s="237"/>
    </row>
    <row r="91" spans="1:13" ht="15" customHeight="1" x14ac:dyDescent="0.3">
      <c r="A91" s="30">
        <v>46370</v>
      </c>
      <c r="B91" s="186" t="s">
        <v>78</v>
      </c>
      <c r="C91" s="187" t="s">
        <v>205</v>
      </c>
      <c r="D91" s="188" t="s">
        <v>206</v>
      </c>
      <c r="E91" s="188" t="s">
        <v>207</v>
      </c>
      <c r="F91" s="189" t="s">
        <v>208</v>
      </c>
      <c r="G91" s="188" t="s">
        <v>209</v>
      </c>
      <c r="H91" s="188" t="s">
        <v>210</v>
      </c>
      <c r="I91" s="188" t="s">
        <v>211</v>
      </c>
    </row>
    <row r="92" spans="1:13" ht="21" customHeight="1" x14ac:dyDescent="0.3">
      <c r="A92" s="190"/>
      <c r="B92" s="191"/>
      <c r="C92" s="192"/>
      <c r="D92" s="193"/>
      <c r="E92" s="194" t="s">
        <v>214</v>
      </c>
      <c r="F92" s="195" t="str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196" t="str">
        <f>IFERROR(ROUNDUP(D92/F92,0),"")</f>
        <v/>
      </c>
      <c r="H92" s="197"/>
      <c r="I92" s="193" t="str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</row>
    <row r="93" spans="1:13" ht="21" customHeight="1" x14ac:dyDescent="0.3">
      <c r="A93" s="190"/>
      <c r="B93" s="191"/>
      <c r="C93" s="192"/>
      <c r="D93" s="193"/>
      <c r="E93" s="194" t="s">
        <v>214</v>
      </c>
      <c r="F93" s="195" t="str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196" t="str">
        <f>IFERROR(ROUNDUP(D93/F93,0),"")</f>
        <v/>
      </c>
      <c r="H93" s="197"/>
      <c r="I93" s="193" t="str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</row>
    <row r="94" spans="1:13" ht="21" customHeight="1" x14ac:dyDescent="0.3">
      <c r="A94" s="190"/>
      <c r="B94" s="191"/>
      <c r="C94" s="192"/>
      <c r="D94" s="193"/>
      <c r="E94" s="194" t="s">
        <v>214</v>
      </c>
      <c r="F94" s="195" t="str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196" t="str">
        <f>IFERROR(ROUNDUP(D94/F94,0),"")</f>
        <v/>
      </c>
      <c r="H94" s="197"/>
      <c r="I94" s="193" t="str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</row>
    <row r="95" spans="1:13" ht="21" customHeight="1" x14ac:dyDescent="0.3">
      <c r="A95" s="190"/>
      <c r="B95" s="191"/>
      <c r="C95" s="192"/>
      <c r="D95" s="193"/>
      <c r="E95" s="194" t="s">
        <v>214</v>
      </c>
      <c r="F95" s="195" t="str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196" t="str">
        <f>IFERROR(ROUNDUP(D95/F95,0),"")</f>
        <v/>
      </c>
      <c r="H95" s="197"/>
      <c r="I95" s="193" t="str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</row>
    <row r="96" spans="1:13" ht="21" customHeight="1" x14ac:dyDescent="0.3">
      <c r="A96" s="190"/>
      <c r="B96" s="191"/>
      <c r="C96" s="192"/>
      <c r="D96" s="193"/>
      <c r="E96" s="194" t="s">
        <v>214</v>
      </c>
      <c r="F96" s="195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196" t="str">
        <f>IFERROR(ROUNDUP(D96/F96,0),"")</f>
        <v/>
      </c>
      <c r="H96" s="197"/>
      <c r="I96" s="193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</row>
    <row r="97" spans="1:13" ht="15" customHeight="1" x14ac:dyDescent="0.3">
      <c r="A97" s="198"/>
      <c r="B97" s="199" t="s">
        <v>216</v>
      </c>
      <c r="C97" s="200"/>
      <c r="D97" s="201">
        <f>SUM(D90:D96)</f>
        <v>0</v>
      </c>
      <c r="E97" s="202"/>
      <c r="F97" s="202"/>
      <c r="G97" s="203">
        <f>SUM(G90:G96)</f>
        <v>0</v>
      </c>
      <c r="H97" s="201">
        <f>SUM(H90:H96)</f>
        <v>0</v>
      </c>
      <c r="I97" s="201">
        <f>SUM(I90:I96)</f>
        <v>0</v>
      </c>
      <c r="J97" s="28">
        <f>D97</f>
        <v>0</v>
      </c>
      <c r="K97" s="106">
        <f>G97</f>
        <v>0</v>
      </c>
      <c r="L97" s="28">
        <f>H97</f>
        <v>0</v>
      </c>
      <c r="M97" s="28">
        <f>I97</f>
        <v>0</v>
      </c>
    </row>
    <row r="98" spans="1:13" ht="6" customHeight="1" x14ac:dyDescent="0.3">
      <c r="C98" s="72"/>
    </row>
    <row r="99" spans="1:13" ht="15" customHeight="1" x14ac:dyDescent="0.3">
      <c r="A99" s="30">
        <v>46371</v>
      </c>
      <c r="B99" s="186" t="s">
        <v>78</v>
      </c>
      <c r="C99" s="187" t="s">
        <v>205</v>
      </c>
      <c r="D99" s="188" t="s">
        <v>206</v>
      </c>
      <c r="E99" s="188" t="s">
        <v>207</v>
      </c>
      <c r="F99" s="189" t="s">
        <v>208</v>
      </c>
      <c r="G99" s="188" t="s">
        <v>209</v>
      </c>
      <c r="H99" s="188" t="s">
        <v>210</v>
      </c>
      <c r="I99" s="188" t="s">
        <v>211</v>
      </c>
    </row>
    <row r="100" spans="1:13" ht="21" customHeight="1" x14ac:dyDescent="0.3">
      <c r="A100" s="190"/>
      <c r="B100" s="191"/>
      <c r="C100" s="192"/>
      <c r="D100" s="193"/>
      <c r="E100" s="194" t="s">
        <v>214</v>
      </c>
      <c r="F100" s="195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196" t="str">
        <f>IFERROR(ROUNDUP(D100/F100,0),"")</f>
        <v/>
      </c>
      <c r="H100" s="197"/>
      <c r="I100" s="193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</row>
    <row r="101" spans="1:13" ht="21" customHeight="1" x14ac:dyDescent="0.3">
      <c r="A101" s="190"/>
      <c r="B101" s="191"/>
      <c r="C101" s="192"/>
      <c r="D101" s="193"/>
      <c r="E101" s="194" t="s">
        <v>214</v>
      </c>
      <c r="F101" s="195" t="str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196" t="str">
        <f>IFERROR(ROUNDUP(D101/F101,0),"")</f>
        <v/>
      </c>
      <c r="H101" s="197"/>
      <c r="I101" s="193" t="str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</row>
    <row r="102" spans="1:13" ht="21" customHeight="1" x14ac:dyDescent="0.3">
      <c r="A102" s="190"/>
      <c r="B102" s="191"/>
      <c r="C102" s="192"/>
      <c r="D102" s="193"/>
      <c r="E102" s="194" t="s">
        <v>214</v>
      </c>
      <c r="F102" s="195" t="str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196" t="str">
        <f>IFERROR(ROUNDUP(D102/F102,0),"")</f>
        <v/>
      </c>
      <c r="H102" s="197"/>
      <c r="I102" s="193" t="str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</row>
    <row r="103" spans="1:13" ht="21" customHeight="1" x14ac:dyDescent="0.3">
      <c r="A103" s="190"/>
      <c r="B103" s="191"/>
      <c r="C103" s="192"/>
      <c r="D103" s="193"/>
      <c r="E103" s="194" t="s">
        <v>214</v>
      </c>
      <c r="F103" s="195" t="str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196" t="str">
        <f>IFERROR(ROUNDUP(D103/F103,0),"")</f>
        <v/>
      </c>
      <c r="H103" s="197"/>
      <c r="I103" s="193" t="str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</row>
    <row r="104" spans="1:13" ht="21" customHeight="1" x14ac:dyDescent="0.3">
      <c r="A104" s="190"/>
      <c r="B104" s="191"/>
      <c r="C104" s="192"/>
      <c r="D104" s="193"/>
      <c r="E104" s="194" t="s">
        <v>214</v>
      </c>
      <c r="F104" s="195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196" t="str">
        <f>IFERROR(ROUNDUP(D104/F104,0),"")</f>
        <v/>
      </c>
      <c r="H104" s="197"/>
      <c r="I104" s="193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</row>
    <row r="105" spans="1:13" ht="15" customHeight="1" x14ac:dyDescent="0.3">
      <c r="A105" s="198"/>
      <c r="B105" s="199" t="s">
        <v>216</v>
      </c>
      <c r="C105" s="200"/>
      <c r="D105" s="201">
        <f>SUM(D98:D104)</f>
        <v>0</v>
      </c>
      <c r="E105" s="202"/>
      <c r="F105" s="202"/>
      <c r="G105" s="203">
        <f>SUM(G98:G104)</f>
        <v>0</v>
      </c>
      <c r="H105" s="201">
        <f>SUM(H98:H104)</f>
        <v>0</v>
      </c>
      <c r="I105" s="201">
        <f>SUM(I98:I104)</f>
        <v>0</v>
      </c>
      <c r="J105" s="28">
        <f>D105</f>
        <v>0</v>
      </c>
      <c r="K105" s="106">
        <f>G105</f>
        <v>0</v>
      </c>
      <c r="L105" s="28">
        <f>H105</f>
        <v>0</v>
      </c>
      <c r="M105" s="28">
        <f>I105</f>
        <v>0</v>
      </c>
    </row>
    <row r="106" spans="1:13" ht="6" customHeight="1" x14ac:dyDescent="0.3">
      <c r="C106" s="72"/>
    </row>
    <row r="107" spans="1:13" ht="15" customHeight="1" x14ac:dyDescent="0.3">
      <c r="A107" s="30">
        <v>46372</v>
      </c>
      <c r="B107" s="186" t="s">
        <v>78</v>
      </c>
      <c r="C107" s="187" t="s">
        <v>205</v>
      </c>
      <c r="D107" s="188" t="s">
        <v>206</v>
      </c>
      <c r="E107" s="188" t="s">
        <v>207</v>
      </c>
      <c r="F107" s="189" t="s">
        <v>208</v>
      </c>
      <c r="G107" s="188" t="s">
        <v>209</v>
      </c>
      <c r="H107" s="188" t="s">
        <v>210</v>
      </c>
      <c r="I107" s="188" t="s">
        <v>211</v>
      </c>
    </row>
    <row r="108" spans="1:13" ht="21" customHeight="1" x14ac:dyDescent="0.3">
      <c r="A108" s="190"/>
      <c r="B108" s="191"/>
      <c r="C108" s="192"/>
      <c r="D108" s="193"/>
      <c r="E108" s="194" t="s">
        <v>214</v>
      </c>
      <c r="F108" s="195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196" t="str">
        <f>IFERROR(ROUNDUP(D108/F108,0),"")</f>
        <v/>
      </c>
      <c r="H108" s="197"/>
      <c r="I108" s="193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</row>
    <row r="109" spans="1:13" ht="21" customHeight="1" x14ac:dyDescent="0.3">
      <c r="A109" s="190"/>
      <c r="B109" s="191"/>
      <c r="C109" s="192"/>
      <c r="D109" s="193"/>
      <c r="E109" s="194" t="s">
        <v>214</v>
      </c>
      <c r="F109" s="195" t="str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196" t="str">
        <f>IFERROR(ROUNDUP(D109/F109,0),"")</f>
        <v/>
      </c>
      <c r="H109" s="197"/>
      <c r="I109" s="193" t="str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</row>
    <row r="110" spans="1:13" ht="21" customHeight="1" x14ac:dyDescent="0.3">
      <c r="A110" s="190"/>
      <c r="B110" s="191"/>
      <c r="C110" s="192"/>
      <c r="D110" s="193"/>
      <c r="E110" s="194" t="s">
        <v>214</v>
      </c>
      <c r="F110" s="195" t="str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196" t="str">
        <f>IFERROR(ROUNDUP(D110/F110,0),"")</f>
        <v/>
      </c>
      <c r="H110" s="197"/>
      <c r="I110" s="193" t="str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</row>
    <row r="111" spans="1:13" ht="21" customHeight="1" x14ac:dyDescent="0.3">
      <c r="A111" s="190"/>
      <c r="B111" s="191"/>
      <c r="C111" s="192"/>
      <c r="D111" s="193"/>
      <c r="E111" s="194" t="s">
        <v>214</v>
      </c>
      <c r="F111" s="195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196" t="str">
        <f>IFERROR(ROUNDUP(D111/F111,0),"")</f>
        <v/>
      </c>
      <c r="H111" s="197"/>
      <c r="I111" s="193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3">
      <c r="A112" s="190"/>
      <c r="B112" s="191"/>
      <c r="C112" s="192"/>
      <c r="D112" s="193"/>
      <c r="E112" s="194" t="s">
        <v>214</v>
      </c>
      <c r="F112" s="195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196" t="str">
        <f>IFERROR(ROUNDUP(D112/F112,0),"")</f>
        <v/>
      </c>
      <c r="H112" s="197"/>
      <c r="I112" s="193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15" customHeight="1" x14ac:dyDescent="0.3">
      <c r="A113" s="198"/>
      <c r="B113" s="199" t="s">
        <v>216</v>
      </c>
      <c r="C113" s="200"/>
      <c r="D113" s="201">
        <f>SUM(D106:D112)</f>
        <v>0</v>
      </c>
      <c r="E113" s="202"/>
      <c r="F113" s="202"/>
      <c r="G113" s="203">
        <f>SUM(G106:G112)</f>
        <v>0</v>
      </c>
      <c r="H113" s="201">
        <f>SUM(H106:H112)</f>
        <v>0</v>
      </c>
      <c r="I113" s="201">
        <f>SUM(I106:I112)</f>
        <v>0</v>
      </c>
      <c r="J113" s="28">
        <f>D113</f>
        <v>0</v>
      </c>
      <c r="K113" s="106">
        <f>G113</f>
        <v>0</v>
      </c>
      <c r="L113" s="28">
        <f>H113</f>
        <v>0</v>
      </c>
      <c r="M113" s="28">
        <f>I113</f>
        <v>0</v>
      </c>
    </row>
    <row r="114" spans="1:13" ht="6" customHeight="1" x14ac:dyDescent="0.3">
      <c r="C114" s="72"/>
    </row>
    <row r="115" spans="1:13" ht="15" customHeight="1" x14ac:dyDescent="0.3">
      <c r="A115" s="30">
        <v>46373</v>
      </c>
      <c r="B115" s="186" t="s">
        <v>78</v>
      </c>
      <c r="C115" s="187" t="s">
        <v>205</v>
      </c>
      <c r="D115" s="188" t="s">
        <v>206</v>
      </c>
      <c r="E115" s="188" t="s">
        <v>207</v>
      </c>
      <c r="F115" s="189" t="s">
        <v>208</v>
      </c>
      <c r="G115" s="188" t="s">
        <v>209</v>
      </c>
      <c r="H115" s="188" t="s">
        <v>210</v>
      </c>
      <c r="I115" s="188" t="s">
        <v>211</v>
      </c>
    </row>
    <row r="116" spans="1:13" ht="21" customHeight="1" x14ac:dyDescent="0.3">
      <c r="A116" s="190"/>
      <c r="B116" s="191"/>
      <c r="C116" s="192"/>
      <c r="D116" s="193"/>
      <c r="E116" s="194" t="s">
        <v>214</v>
      </c>
      <c r="F116" s="195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196" t="str">
        <f>IFERROR(ROUNDUP(D116/F116,0),"")</f>
        <v/>
      </c>
      <c r="H116" s="197"/>
      <c r="I116" s="193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</row>
    <row r="117" spans="1:13" ht="21" customHeight="1" x14ac:dyDescent="0.3">
      <c r="A117" s="190"/>
      <c r="B117" s="191"/>
      <c r="C117" s="192"/>
      <c r="D117" s="193"/>
      <c r="E117" s="194" t="s">
        <v>214</v>
      </c>
      <c r="F117" s="195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196" t="str">
        <f>IFERROR(ROUNDUP(D117/F117,0),"")</f>
        <v/>
      </c>
      <c r="H117" s="197"/>
      <c r="I117" s="193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</row>
    <row r="118" spans="1:13" ht="21" customHeight="1" x14ac:dyDescent="0.3">
      <c r="A118" s="190"/>
      <c r="B118" s="191"/>
      <c r="C118" s="192"/>
      <c r="D118" s="193"/>
      <c r="E118" s="194" t="s">
        <v>214</v>
      </c>
      <c r="F118" s="195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196" t="str">
        <f>IFERROR(ROUNDUP(D118/F118,0),"")</f>
        <v/>
      </c>
      <c r="H118" s="197"/>
      <c r="I118" s="193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</row>
    <row r="119" spans="1:13" ht="21" customHeight="1" x14ac:dyDescent="0.3">
      <c r="A119" s="190"/>
      <c r="B119" s="191"/>
      <c r="C119" s="192"/>
      <c r="D119" s="193"/>
      <c r="E119" s="194" t="s">
        <v>214</v>
      </c>
      <c r="F119" s="195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196" t="str">
        <f>IFERROR(ROUNDUP(D119/F119,0),"")</f>
        <v/>
      </c>
      <c r="H119" s="197"/>
      <c r="I119" s="193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</row>
    <row r="120" spans="1:13" ht="21" customHeight="1" x14ac:dyDescent="0.3">
      <c r="A120" s="190"/>
      <c r="B120" s="191"/>
      <c r="C120" s="192"/>
      <c r="D120" s="193"/>
      <c r="E120" s="194" t="s">
        <v>214</v>
      </c>
      <c r="F120" s="195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196" t="str">
        <f>IFERROR(ROUNDUP(D120/F120,0),"")</f>
        <v/>
      </c>
      <c r="H120" s="197"/>
      <c r="I120" s="193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</row>
    <row r="121" spans="1:13" ht="15" customHeight="1" x14ac:dyDescent="0.3">
      <c r="A121" s="198"/>
      <c r="B121" s="199" t="s">
        <v>216</v>
      </c>
      <c r="C121" s="200"/>
      <c r="D121" s="201">
        <f>SUM(D114:D120)</f>
        <v>0</v>
      </c>
      <c r="E121" s="202"/>
      <c r="F121" s="202"/>
      <c r="G121" s="203">
        <f>SUM(G114:G120)</f>
        <v>0</v>
      </c>
      <c r="H121" s="201">
        <f>SUM(H114:H120)</f>
        <v>0</v>
      </c>
      <c r="I121" s="201">
        <f>SUM(I114:I120)</f>
        <v>0</v>
      </c>
      <c r="J121" s="28">
        <f>D121</f>
        <v>0</v>
      </c>
      <c r="K121" s="106">
        <f>G121</f>
        <v>0</v>
      </c>
      <c r="L121" s="28">
        <f>H121</f>
        <v>0</v>
      </c>
      <c r="M121" s="28">
        <f>I121</f>
        <v>0</v>
      </c>
    </row>
    <row r="122" spans="1:13" ht="6" customHeight="1" x14ac:dyDescent="0.3">
      <c r="C122" s="72"/>
    </row>
    <row r="123" spans="1:13" ht="15" customHeight="1" x14ac:dyDescent="0.3">
      <c r="A123" s="30">
        <v>46374</v>
      </c>
      <c r="B123" s="186" t="s">
        <v>78</v>
      </c>
      <c r="C123" s="187" t="s">
        <v>205</v>
      </c>
      <c r="D123" s="188" t="s">
        <v>206</v>
      </c>
      <c r="E123" s="188" t="s">
        <v>207</v>
      </c>
      <c r="F123" s="189" t="s">
        <v>208</v>
      </c>
      <c r="G123" s="188" t="s">
        <v>209</v>
      </c>
      <c r="H123" s="188" t="s">
        <v>210</v>
      </c>
      <c r="I123" s="188" t="s">
        <v>211</v>
      </c>
    </row>
    <row r="124" spans="1:13" ht="21" customHeight="1" x14ac:dyDescent="0.3">
      <c r="A124" s="190"/>
      <c r="B124" s="191"/>
      <c r="C124" s="192"/>
      <c r="D124" s="193"/>
      <c r="E124" s="194" t="s">
        <v>214</v>
      </c>
      <c r="F124" s="195" t="str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196" t="str">
        <f>IFERROR(ROUNDUP(D124/F124,0),"")</f>
        <v/>
      </c>
      <c r="H124" s="197"/>
      <c r="I124" s="193" t="str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</row>
    <row r="125" spans="1:13" ht="21" customHeight="1" x14ac:dyDescent="0.3">
      <c r="A125" s="190"/>
      <c r="B125" s="191"/>
      <c r="C125" s="192"/>
      <c r="D125" s="193"/>
      <c r="E125" s="194" t="s">
        <v>214</v>
      </c>
      <c r="F125" s="195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196" t="str">
        <f>IFERROR(ROUNDUP(D125/F125,0),"")</f>
        <v/>
      </c>
      <c r="H125" s="197"/>
      <c r="I125" s="193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</row>
    <row r="126" spans="1:13" ht="21" customHeight="1" x14ac:dyDescent="0.3">
      <c r="A126" s="190"/>
      <c r="B126" s="191"/>
      <c r="C126" s="192"/>
      <c r="D126" s="193"/>
      <c r="E126" s="194" t="s">
        <v>214</v>
      </c>
      <c r="F126" s="195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196" t="str">
        <f>IFERROR(ROUNDUP(D126/F126,0),"")</f>
        <v/>
      </c>
      <c r="H126" s="197"/>
      <c r="I126" s="193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</row>
    <row r="127" spans="1:13" ht="21" customHeight="1" x14ac:dyDescent="0.3">
      <c r="A127" s="190"/>
      <c r="B127" s="191"/>
      <c r="C127" s="192"/>
      <c r="D127" s="193"/>
      <c r="E127" s="194" t="s">
        <v>214</v>
      </c>
      <c r="F127" s="195" t="str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196" t="str">
        <f>IFERROR(ROUNDUP(D127/F127,0),"")</f>
        <v/>
      </c>
      <c r="H127" s="197"/>
      <c r="I127" s="193" t="str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</row>
    <row r="128" spans="1:13" ht="21" customHeight="1" x14ac:dyDescent="0.3">
      <c r="A128" s="190"/>
      <c r="B128" s="191"/>
      <c r="C128" s="192"/>
      <c r="D128" s="193"/>
      <c r="E128" s="194" t="s">
        <v>214</v>
      </c>
      <c r="F128" s="195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196" t="str">
        <f>IFERROR(ROUNDUP(D128/F128,0),"")</f>
        <v/>
      </c>
      <c r="H128" s="197"/>
      <c r="I128" s="193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</row>
    <row r="129" spans="1:13" ht="15" customHeight="1" x14ac:dyDescent="0.3">
      <c r="A129" s="198"/>
      <c r="B129" s="199" t="s">
        <v>216</v>
      </c>
      <c r="C129" s="200"/>
      <c r="D129" s="201">
        <f>SUM(D122:D128)</f>
        <v>0</v>
      </c>
      <c r="E129" s="202"/>
      <c r="F129" s="202"/>
      <c r="G129" s="203">
        <f>SUM(G122:G128)</f>
        <v>0</v>
      </c>
      <c r="H129" s="201">
        <f>SUM(H122:H128)</f>
        <v>0</v>
      </c>
      <c r="I129" s="201">
        <f>SUM(I122:I128)</f>
        <v>0</v>
      </c>
      <c r="J129" s="28">
        <f>D129</f>
        <v>0</v>
      </c>
      <c r="K129" s="106">
        <f>G129</f>
        <v>0</v>
      </c>
      <c r="L129" s="28">
        <f>H129</f>
        <v>0</v>
      </c>
      <c r="M129" s="28">
        <f>I129</f>
        <v>0</v>
      </c>
    </row>
    <row r="130" spans="1:13" ht="6" customHeight="1" x14ac:dyDescent="0.3">
      <c r="C130" s="72"/>
    </row>
    <row r="131" spans="1:13" ht="15" customHeight="1" x14ac:dyDescent="0.3">
      <c r="A131" s="235">
        <v>46375</v>
      </c>
      <c r="B131" s="186" t="s">
        <v>78</v>
      </c>
      <c r="C131" s="187" t="s">
        <v>205</v>
      </c>
      <c r="D131" s="188" t="s">
        <v>206</v>
      </c>
      <c r="E131" s="188" t="s">
        <v>207</v>
      </c>
      <c r="F131" s="236" t="s">
        <v>208</v>
      </c>
      <c r="G131" s="188" t="s">
        <v>209</v>
      </c>
      <c r="H131" s="188" t="s">
        <v>210</v>
      </c>
      <c r="I131" s="188" t="s">
        <v>211</v>
      </c>
      <c r="J131" s="237"/>
      <c r="K131" s="237"/>
      <c r="L131" s="237"/>
      <c r="M131" s="237"/>
    </row>
    <row r="132" spans="1:13" ht="21" customHeight="1" x14ac:dyDescent="0.3">
      <c r="A132" s="190"/>
      <c r="B132" s="238"/>
      <c r="C132" s="239"/>
      <c r="D132" s="240"/>
      <c r="E132" s="241" t="s">
        <v>214</v>
      </c>
      <c r="F132" s="242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243" t="str">
        <f>IFERROR(ROUNDUP(D132/F132,0),"")</f>
        <v/>
      </c>
      <c r="H132" s="197"/>
      <c r="I132" s="240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  <c r="J132" s="237"/>
      <c r="K132" s="237"/>
      <c r="L132" s="237"/>
      <c r="M132" s="237"/>
    </row>
    <row r="133" spans="1:13" ht="21" customHeight="1" x14ac:dyDescent="0.3">
      <c r="A133" s="190"/>
      <c r="B133" s="238"/>
      <c r="C133" s="239"/>
      <c r="D133" s="240"/>
      <c r="E133" s="241" t="s">
        <v>214</v>
      </c>
      <c r="F133" s="242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243" t="str">
        <f>IFERROR(ROUNDUP(D133/F133,0),"")</f>
        <v/>
      </c>
      <c r="H133" s="197"/>
      <c r="I133" s="240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  <c r="J133" s="237"/>
      <c r="K133" s="237"/>
      <c r="L133" s="237"/>
      <c r="M133" s="237"/>
    </row>
    <row r="134" spans="1:13" ht="21" customHeight="1" x14ac:dyDescent="0.3">
      <c r="A134" s="190"/>
      <c r="B134" s="238"/>
      <c r="C134" s="239"/>
      <c r="D134" s="240"/>
      <c r="E134" s="241" t="s">
        <v>214</v>
      </c>
      <c r="F134" s="242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243" t="str">
        <f>IFERROR(ROUNDUP(D134/F134,0),"")</f>
        <v/>
      </c>
      <c r="H134" s="197"/>
      <c r="I134" s="240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  <c r="J134" s="237"/>
      <c r="K134" s="237"/>
      <c r="L134" s="237"/>
      <c r="M134" s="237"/>
    </row>
    <row r="135" spans="1:13" ht="21" customHeight="1" x14ac:dyDescent="0.3">
      <c r="A135" s="190"/>
      <c r="B135" s="238"/>
      <c r="C135" s="239"/>
      <c r="D135" s="240"/>
      <c r="E135" s="241" t="s">
        <v>214</v>
      </c>
      <c r="F135" s="242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243" t="str">
        <f>IFERROR(ROUNDUP(D135/F135,0),"")</f>
        <v/>
      </c>
      <c r="H135" s="197"/>
      <c r="I135" s="240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  <c r="J135" s="237"/>
      <c r="K135" s="237"/>
      <c r="L135" s="237"/>
      <c r="M135" s="237"/>
    </row>
    <row r="136" spans="1:13" ht="21" customHeight="1" x14ac:dyDescent="0.3">
      <c r="A136" s="190"/>
      <c r="B136" s="238"/>
      <c r="C136" s="239"/>
      <c r="D136" s="240"/>
      <c r="E136" s="241" t="s">
        <v>214</v>
      </c>
      <c r="F136" s="242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243" t="str">
        <f>IFERROR(ROUNDUP(D136/F136,0),"")</f>
        <v/>
      </c>
      <c r="H136" s="197"/>
      <c r="I136" s="240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  <c r="J136" s="237"/>
      <c r="K136" s="237"/>
      <c r="L136" s="237"/>
      <c r="M136" s="237"/>
    </row>
    <row r="137" spans="1:13" ht="15" customHeight="1" x14ac:dyDescent="0.3">
      <c r="A137" s="244"/>
      <c r="B137" s="199" t="s">
        <v>216</v>
      </c>
      <c r="C137" s="245"/>
      <c r="D137" s="201">
        <f>SUM(D130:D136)</f>
        <v>0</v>
      </c>
      <c r="E137" s="246"/>
      <c r="F137" s="246"/>
      <c r="G137" s="203">
        <f>SUM(G130:G136)</f>
        <v>0</v>
      </c>
      <c r="H137" s="201">
        <f>SUM(H130:H136)</f>
        <v>0</v>
      </c>
      <c r="I137" s="201">
        <f>SUM(I130:I136)</f>
        <v>0</v>
      </c>
      <c r="J137" s="247">
        <f>D137</f>
        <v>0</v>
      </c>
      <c r="K137" s="248">
        <f>G137</f>
        <v>0</v>
      </c>
      <c r="L137" s="247">
        <f>H137</f>
        <v>0</v>
      </c>
      <c r="M137" s="247">
        <f>I137</f>
        <v>0</v>
      </c>
    </row>
    <row r="138" spans="1:13" ht="6" customHeight="1" x14ac:dyDescent="0.3">
      <c r="A138" s="237"/>
      <c r="B138" s="237"/>
      <c r="C138" s="249"/>
      <c r="D138" s="237"/>
      <c r="E138" s="237"/>
      <c r="F138" s="237"/>
      <c r="G138" s="237"/>
      <c r="H138" s="237"/>
      <c r="I138" s="237"/>
      <c r="J138" s="237"/>
      <c r="K138" s="237"/>
      <c r="L138" s="237"/>
      <c r="M138" s="237"/>
    </row>
    <row r="139" spans="1:13" ht="15" customHeight="1" x14ac:dyDescent="0.3">
      <c r="A139" s="30">
        <v>46377</v>
      </c>
      <c r="B139" s="186" t="s">
        <v>78</v>
      </c>
      <c r="C139" s="187" t="s">
        <v>205</v>
      </c>
      <c r="D139" s="188" t="s">
        <v>206</v>
      </c>
      <c r="E139" s="188" t="s">
        <v>207</v>
      </c>
      <c r="F139" s="189" t="s">
        <v>208</v>
      </c>
      <c r="G139" s="188" t="s">
        <v>209</v>
      </c>
      <c r="H139" s="188" t="s">
        <v>210</v>
      </c>
      <c r="I139" s="188" t="s">
        <v>211</v>
      </c>
    </row>
    <row r="140" spans="1:13" ht="21" customHeight="1" x14ac:dyDescent="0.3">
      <c r="A140" s="190"/>
      <c r="B140" s="191"/>
      <c r="C140" s="192"/>
      <c r="D140" s="193"/>
      <c r="E140" s="194" t="s">
        <v>214</v>
      </c>
      <c r="F140" s="195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196" t="str">
        <f>IFERROR(ROUNDUP(D140/F140,0),"")</f>
        <v/>
      </c>
      <c r="H140" s="197"/>
      <c r="I140" s="193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</row>
    <row r="141" spans="1:13" ht="21" customHeight="1" x14ac:dyDescent="0.3">
      <c r="A141" s="190"/>
      <c r="B141" s="191"/>
      <c r="C141" s="192"/>
      <c r="D141" s="193"/>
      <c r="E141" s="194" t="s">
        <v>214</v>
      </c>
      <c r="F141" s="195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196" t="str">
        <f>IFERROR(ROUNDUP(D141/F141,0),"")</f>
        <v/>
      </c>
      <c r="H141" s="197"/>
      <c r="I141" s="193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</row>
    <row r="142" spans="1:13" ht="21" customHeight="1" x14ac:dyDescent="0.3">
      <c r="A142" s="190"/>
      <c r="B142" s="191"/>
      <c r="C142" s="192"/>
      <c r="D142" s="193"/>
      <c r="E142" s="194" t="s">
        <v>214</v>
      </c>
      <c r="F142" s="195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196" t="str">
        <f>IFERROR(ROUNDUP(D142/F142,0),"")</f>
        <v/>
      </c>
      <c r="H142" s="197"/>
      <c r="I142" s="193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</row>
    <row r="143" spans="1:13" ht="21" customHeight="1" x14ac:dyDescent="0.3">
      <c r="A143" s="190"/>
      <c r="B143" s="191"/>
      <c r="C143" s="192"/>
      <c r="D143" s="193"/>
      <c r="E143" s="194" t="s">
        <v>214</v>
      </c>
      <c r="F143" s="195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196" t="str">
        <f>IFERROR(ROUNDUP(D143/F143,0),"")</f>
        <v/>
      </c>
      <c r="H143" s="197"/>
      <c r="I143" s="193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</row>
    <row r="144" spans="1:13" ht="21" customHeight="1" x14ac:dyDescent="0.3">
      <c r="A144" s="190"/>
      <c r="B144" s="191"/>
      <c r="C144" s="192"/>
      <c r="D144" s="193"/>
      <c r="E144" s="194" t="s">
        <v>214</v>
      </c>
      <c r="F144" s="195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196" t="str">
        <f>IFERROR(ROUNDUP(D144/F144,0),"")</f>
        <v/>
      </c>
      <c r="H144" s="197"/>
      <c r="I144" s="193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</row>
    <row r="145" spans="1:13" ht="15" customHeight="1" x14ac:dyDescent="0.3">
      <c r="A145" s="198"/>
      <c r="B145" s="199" t="s">
        <v>216</v>
      </c>
      <c r="C145" s="200"/>
      <c r="D145" s="201">
        <f>SUM(D138:D144)</f>
        <v>0</v>
      </c>
      <c r="E145" s="202"/>
      <c r="F145" s="202"/>
      <c r="G145" s="203">
        <f>SUM(G138:G144)</f>
        <v>0</v>
      </c>
      <c r="H145" s="201">
        <f>SUM(H138:H144)</f>
        <v>0</v>
      </c>
      <c r="I145" s="201">
        <f>SUM(I138:I144)</f>
        <v>0</v>
      </c>
      <c r="J145" s="28">
        <f>D145</f>
        <v>0</v>
      </c>
      <c r="K145" s="106">
        <f>G145</f>
        <v>0</v>
      </c>
      <c r="L145" s="28">
        <f>H145</f>
        <v>0</v>
      </c>
      <c r="M145" s="28">
        <f>I145</f>
        <v>0</v>
      </c>
    </row>
    <row r="146" spans="1:13" ht="6" customHeight="1" x14ac:dyDescent="0.3">
      <c r="C146" s="72"/>
    </row>
    <row r="147" spans="1:13" ht="15" customHeight="1" x14ac:dyDescent="0.3">
      <c r="A147" s="30">
        <v>46378</v>
      </c>
      <c r="B147" s="186" t="s">
        <v>78</v>
      </c>
      <c r="C147" s="187" t="s">
        <v>205</v>
      </c>
      <c r="D147" s="188" t="s">
        <v>206</v>
      </c>
      <c r="E147" s="188" t="s">
        <v>207</v>
      </c>
      <c r="F147" s="189" t="s">
        <v>208</v>
      </c>
      <c r="G147" s="188" t="s">
        <v>209</v>
      </c>
      <c r="H147" s="188" t="s">
        <v>210</v>
      </c>
      <c r="I147" s="188" t="s">
        <v>211</v>
      </c>
    </row>
    <row r="148" spans="1:13" ht="21" customHeight="1" x14ac:dyDescent="0.3">
      <c r="A148" s="190"/>
      <c r="B148" s="191"/>
      <c r="C148" s="192"/>
      <c r="D148" s="193"/>
      <c r="E148" s="194" t="s">
        <v>214</v>
      </c>
      <c r="F148" s="195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196" t="str">
        <f>IFERROR(ROUNDUP(D148/F148,0),"")</f>
        <v/>
      </c>
      <c r="H148" s="197"/>
      <c r="I148" s="193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</row>
    <row r="149" spans="1:13" ht="21" customHeight="1" x14ac:dyDescent="0.3">
      <c r="A149" s="190"/>
      <c r="B149" s="191"/>
      <c r="C149" s="192"/>
      <c r="D149" s="193"/>
      <c r="E149" s="194" t="s">
        <v>214</v>
      </c>
      <c r="F149" s="195" t="str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196" t="str">
        <f>IFERROR(ROUNDUP(D149/F149,0),"")</f>
        <v/>
      </c>
      <c r="H149" s="197"/>
      <c r="I149" s="193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</row>
    <row r="150" spans="1:13" ht="21" customHeight="1" x14ac:dyDescent="0.3">
      <c r="A150" s="190"/>
      <c r="B150" s="191"/>
      <c r="C150" s="192"/>
      <c r="D150" s="193"/>
      <c r="E150" s="194" t="s">
        <v>214</v>
      </c>
      <c r="F150" s="195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196" t="str">
        <f>IFERROR(ROUNDUP(D150/F150,0),"")</f>
        <v/>
      </c>
      <c r="H150" s="197"/>
      <c r="I150" s="193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</row>
    <row r="151" spans="1:13" ht="21" customHeight="1" x14ac:dyDescent="0.3">
      <c r="A151" s="190"/>
      <c r="B151" s="191"/>
      <c r="C151" s="192"/>
      <c r="D151" s="193"/>
      <c r="E151" s="194" t="s">
        <v>214</v>
      </c>
      <c r="F151" s="195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196" t="str">
        <f>IFERROR(ROUNDUP(D151/F151,0),"")</f>
        <v/>
      </c>
      <c r="H151" s="197"/>
      <c r="I151" s="193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</row>
    <row r="152" spans="1:13" ht="21" customHeight="1" x14ac:dyDescent="0.3">
      <c r="A152" s="190"/>
      <c r="B152" s="191"/>
      <c r="C152" s="192"/>
      <c r="D152" s="193"/>
      <c r="E152" s="194" t="s">
        <v>214</v>
      </c>
      <c r="F152" s="195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196" t="str">
        <f>IFERROR(ROUNDUP(D152/F152,0),"")</f>
        <v/>
      </c>
      <c r="H152" s="197"/>
      <c r="I152" s="193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</row>
    <row r="153" spans="1:13" ht="15" customHeight="1" x14ac:dyDescent="0.3">
      <c r="A153" s="198"/>
      <c r="B153" s="199" t="s">
        <v>216</v>
      </c>
      <c r="C153" s="200"/>
      <c r="D153" s="201">
        <f>SUM(D146:D152)</f>
        <v>0</v>
      </c>
      <c r="E153" s="202"/>
      <c r="F153" s="202"/>
      <c r="G153" s="203">
        <f>SUM(G146:G152)</f>
        <v>0</v>
      </c>
      <c r="H153" s="201">
        <f>SUM(H146:H152)</f>
        <v>0</v>
      </c>
      <c r="I153" s="201">
        <f>SUM(I146:I152)</f>
        <v>0</v>
      </c>
      <c r="J153" s="28">
        <f>D153</f>
        <v>0</v>
      </c>
      <c r="K153" s="106">
        <f>G153</f>
        <v>0</v>
      </c>
      <c r="L153" s="28">
        <f>H153</f>
        <v>0</v>
      </c>
      <c r="M153" s="28">
        <f>I153</f>
        <v>0</v>
      </c>
    </row>
    <row r="154" spans="1:13" ht="6" customHeight="1" x14ac:dyDescent="0.3">
      <c r="C154" s="72"/>
    </row>
    <row r="155" spans="1:13" ht="15" customHeight="1" x14ac:dyDescent="0.3">
      <c r="A155" s="30">
        <v>46379</v>
      </c>
      <c r="B155" s="186" t="s">
        <v>78</v>
      </c>
      <c r="C155" s="187" t="s">
        <v>205</v>
      </c>
      <c r="D155" s="188" t="s">
        <v>206</v>
      </c>
      <c r="E155" s="188" t="s">
        <v>207</v>
      </c>
      <c r="F155" s="189" t="s">
        <v>208</v>
      </c>
      <c r="G155" s="188" t="s">
        <v>209</v>
      </c>
      <c r="H155" s="188" t="s">
        <v>210</v>
      </c>
      <c r="I155" s="188" t="s">
        <v>211</v>
      </c>
    </row>
    <row r="156" spans="1:13" ht="21" customHeight="1" x14ac:dyDescent="0.3">
      <c r="A156" s="190"/>
      <c r="B156" s="191"/>
      <c r="C156" s="192"/>
      <c r="D156" s="193"/>
      <c r="E156" s="194" t="s">
        <v>214</v>
      </c>
      <c r="F156" s="195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196" t="str">
        <f>IFERROR(ROUNDUP(D156/F156,0),"")</f>
        <v/>
      </c>
      <c r="H156" s="197"/>
      <c r="I156" s="193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21" customHeight="1" x14ac:dyDescent="0.3">
      <c r="A157" s="190"/>
      <c r="B157" s="191"/>
      <c r="C157" s="192"/>
      <c r="D157" s="193"/>
      <c r="E157" s="194" t="s">
        <v>214</v>
      </c>
      <c r="F157" s="195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196" t="str">
        <f>IFERROR(ROUNDUP(D157/F157,0),"")</f>
        <v/>
      </c>
      <c r="H157" s="197"/>
      <c r="I157" s="193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</row>
    <row r="158" spans="1:13" ht="21" customHeight="1" x14ac:dyDescent="0.3">
      <c r="A158" s="190"/>
      <c r="B158" s="191"/>
      <c r="C158" s="192"/>
      <c r="D158" s="193"/>
      <c r="E158" s="194" t="s">
        <v>214</v>
      </c>
      <c r="F158" s="195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196" t="str">
        <f>IFERROR(ROUNDUP(D158/F158,0),"")</f>
        <v/>
      </c>
      <c r="H158" s="197"/>
      <c r="I158" s="193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</row>
    <row r="159" spans="1:13" ht="21" customHeight="1" x14ac:dyDescent="0.3">
      <c r="A159" s="190"/>
      <c r="B159" s="191"/>
      <c r="C159" s="192"/>
      <c r="D159" s="193"/>
      <c r="E159" s="194" t="s">
        <v>214</v>
      </c>
      <c r="F159" s="195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196" t="str">
        <f>IFERROR(ROUNDUP(D159/F159,0),"")</f>
        <v/>
      </c>
      <c r="H159" s="197"/>
      <c r="I159" s="193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3">
      <c r="A160" s="190"/>
      <c r="B160" s="191"/>
      <c r="C160" s="192"/>
      <c r="D160" s="193"/>
      <c r="E160" s="194" t="s">
        <v>214</v>
      </c>
      <c r="F160" s="195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196" t="str">
        <f>IFERROR(ROUNDUP(D160/F160,0),"")</f>
        <v/>
      </c>
      <c r="H160" s="197"/>
      <c r="I160" s="193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15" customHeight="1" x14ac:dyDescent="0.3">
      <c r="A161" s="198"/>
      <c r="B161" s="199" t="s">
        <v>216</v>
      </c>
      <c r="C161" s="200"/>
      <c r="D161" s="201">
        <f>SUM(D154:D160)</f>
        <v>0</v>
      </c>
      <c r="E161" s="202"/>
      <c r="F161" s="202"/>
      <c r="G161" s="203">
        <f>SUM(G154:G160)</f>
        <v>0</v>
      </c>
      <c r="H161" s="201">
        <f>SUM(H154:H160)</f>
        <v>0</v>
      </c>
      <c r="I161" s="201">
        <f>SUM(I154:I160)</f>
        <v>0</v>
      </c>
      <c r="J161" s="28">
        <f>D161</f>
        <v>0</v>
      </c>
      <c r="K161" s="106">
        <f>G161</f>
        <v>0</v>
      </c>
      <c r="L161" s="28">
        <f>H161</f>
        <v>0</v>
      </c>
      <c r="M161" s="28">
        <f>I161</f>
        <v>0</v>
      </c>
    </row>
    <row r="162" spans="1:13" ht="6" customHeight="1" x14ac:dyDescent="0.3">
      <c r="C162" s="72"/>
    </row>
    <row r="163" spans="1:13" ht="15" customHeight="1" x14ac:dyDescent="0.3">
      <c r="A163" s="30">
        <v>46380</v>
      </c>
      <c r="B163" s="186" t="s">
        <v>78</v>
      </c>
      <c r="C163" s="187" t="s">
        <v>205</v>
      </c>
      <c r="D163" s="188" t="s">
        <v>206</v>
      </c>
      <c r="E163" s="188" t="s">
        <v>207</v>
      </c>
      <c r="F163" s="189" t="s">
        <v>208</v>
      </c>
      <c r="G163" s="188" t="s">
        <v>209</v>
      </c>
      <c r="H163" s="188" t="s">
        <v>210</v>
      </c>
      <c r="I163" s="188" t="s">
        <v>211</v>
      </c>
    </row>
    <row r="164" spans="1:13" ht="21" customHeight="1" x14ac:dyDescent="0.3">
      <c r="A164" s="190"/>
      <c r="B164" s="191"/>
      <c r="C164" s="192"/>
      <c r="D164" s="193"/>
      <c r="E164" s="194" t="s">
        <v>214</v>
      </c>
      <c r="F164" s="195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196" t="str">
        <f>IFERROR(ROUNDUP(D164/F164,0),"")</f>
        <v/>
      </c>
      <c r="H164" s="197"/>
      <c r="I164" s="193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</row>
    <row r="165" spans="1:13" ht="21" customHeight="1" x14ac:dyDescent="0.3">
      <c r="A165" s="190"/>
      <c r="B165" s="191"/>
      <c r="C165" s="192"/>
      <c r="D165" s="193"/>
      <c r="E165" s="194" t="s">
        <v>214</v>
      </c>
      <c r="F165" s="195" t="str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196" t="str">
        <f>IFERROR(ROUNDUP(D165/F165,0),"")</f>
        <v/>
      </c>
      <c r="H165" s="197"/>
      <c r="I165" s="193" t="str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</row>
    <row r="166" spans="1:13" ht="21" customHeight="1" x14ac:dyDescent="0.3">
      <c r="A166" s="190"/>
      <c r="B166" s="191"/>
      <c r="C166" s="192"/>
      <c r="D166" s="193"/>
      <c r="E166" s="194" t="s">
        <v>214</v>
      </c>
      <c r="F166" s="195" t="str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196" t="str">
        <f>IFERROR(ROUNDUP(D166/F166,0),"")</f>
        <v/>
      </c>
      <c r="H166" s="197"/>
      <c r="I166" s="193" t="str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</row>
    <row r="167" spans="1:13" ht="21" customHeight="1" x14ac:dyDescent="0.3">
      <c r="A167" s="190"/>
      <c r="B167" s="191"/>
      <c r="C167" s="192"/>
      <c r="D167" s="193"/>
      <c r="E167" s="194" t="s">
        <v>214</v>
      </c>
      <c r="F167" s="195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196" t="str">
        <f>IFERROR(ROUNDUP(D167/F167,0),"")</f>
        <v/>
      </c>
      <c r="H167" s="197"/>
      <c r="I167" s="193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</row>
    <row r="168" spans="1:13" ht="21" customHeight="1" x14ac:dyDescent="0.3">
      <c r="A168" s="190"/>
      <c r="B168" s="191"/>
      <c r="C168" s="192"/>
      <c r="D168" s="193"/>
      <c r="E168" s="194" t="s">
        <v>214</v>
      </c>
      <c r="F168" s="195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196" t="str">
        <f>IFERROR(ROUNDUP(D168/F168,0),"")</f>
        <v/>
      </c>
      <c r="H168" s="197"/>
      <c r="I168" s="193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</row>
    <row r="169" spans="1:13" ht="15" customHeight="1" x14ac:dyDescent="0.3">
      <c r="A169" s="198"/>
      <c r="B169" s="199" t="s">
        <v>216</v>
      </c>
      <c r="C169" s="200"/>
      <c r="D169" s="201">
        <f>SUM(D162:D168)</f>
        <v>0</v>
      </c>
      <c r="E169" s="202"/>
      <c r="F169" s="202"/>
      <c r="G169" s="203">
        <f>SUM(G162:G168)</f>
        <v>0</v>
      </c>
      <c r="H169" s="201">
        <f>SUM(H162:H168)</f>
        <v>0</v>
      </c>
      <c r="I169" s="201">
        <f>SUM(I162:I168)</f>
        <v>0</v>
      </c>
      <c r="J169" s="28">
        <f>D169</f>
        <v>0</v>
      </c>
      <c r="K169" s="106">
        <f>G169</f>
        <v>0</v>
      </c>
      <c r="L169" s="28">
        <f>H169</f>
        <v>0</v>
      </c>
      <c r="M169" s="28">
        <f>I169</f>
        <v>0</v>
      </c>
    </row>
    <row r="170" spans="1:13" ht="6" customHeight="1" x14ac:dyDescent="0.3">
      <c r="C170" s="72"/>
    </row>
    <row r="171" spans="1:13" ht="15" customHeight="1" x14ac:dyDescent="0.3">
      <c r="A171" s="30">
        <v>46381</v>
      </c>
      <c r="B171" s="186" t="s">
        <v>78</v>
      </c>
      <c r="C171" s="187" t="s">
        <v>205</v>
      </c>
      <c r="D171" s="188" t="s">
        <v>206</v>
      </c>
      <c r="E171" s="188" t="s">
        <v>207</v>
      </c>
      <c r="F171" s="189" t="s">
        <v>208</v>
      </c>
      <c r="G171" s="188" t="s">
        <v>209</v>
      </c>
      <c r="H171" s="188" t="s">
        <v>210</v>
      </c>
      <c r="I171" s="188" t="s">
        <v>211</v>
      </c>
    </row>
    <row r="172" spans="1:13" ht="21" customHeight="1" x14ac:dyDescent="0.3">
      <c r="A172" s="190"/>
      <c r="B172" s="191"/>
      <c r="C172" s="192"/>
      <c r="D172" s="193"/>
      <c r="E172" s="194" t="s">
        <v>214</v>
      </c>
      <c r="F172" s="195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196" t="str">
        <f>IFERROR(ROUNDUP(D172/F172,0),"")</f>
        <v/>
      </c>
      <c r="H172" s="197"/>
      <c r="I172" s="193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</row>
    <row r="173" spans="1:13" ht="21" customHeight="1" x14ac:dyDescent="0.3">
      <c r="A173" s="190"/>
      <c r="B173" s="191"/>
      <c r="C173" s="192"/>
      <c r="D173" s="193"/>
      <c r="E173" s="194" t="s">
        <v>214</v>
      </c>
      <c r="F173" s="195" t="str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196" t="str">
        <f>IFERROR(ROUNDUP(D173/F173,0),"")</f>
        <v/>
      </c>
      <c r="H173" s="197"/>
      <c r="I173" s="193" t="str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</row>
    <row r="174" spans="1:13" ht="21" customHeight="1" x14ac:dyDescent="0.3">
      <c r="A174" s="190"/>
      <c r="B174" s="191"/>
      <c r="C174" s="192"/>
      <c r="D174" s="193"/>
      <c r="E174" s="194" t="s">
        <v>214</v>
      </c>
      <c r="F174" s="195" t="str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196" t="str">
        <f>IFERROR(ROUNDUP(D174/F174,0),"")</f>
        <v/>
      </c>
      <c r="H174" s="197"/>
      <c r="I174" s="193" t="str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</row>
    <row r="175" spans="1:13" ht="21" customHeight="1" x14ac:dyDescent="0.3">
      <c r="A175" s="190"/>
      <c r="B175" s="191"/>
      <c r="C175" s="192"/>
      <c r="D175" s="193"/>
      <c r="E175" s="194" t="s">
        <v>214</v>
      </c>
      <c r="F175" s="195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196" t="str">
        <f>IFERROR(ROUNDUP(D175/F175,0),"")</f>
        <v/>
      </c>
      <c r="H175" s="197"/>
      <c r="I175" s="193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</row>
    <row r="176" spans="1:13" ht="21" customHeight="1" x14ac:dyDescent="0.3">
      <c r="A176" s="190"/>
      <c r="B176" s="191"/>
      <c r="C176" s="192"/>
      <c r="D176" s="193"/>
      <c r="E176" s="194" t="s">
        <v>214</v>
      </c>
      <c r="F176" s="195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196" t="str">
        <f>IFERROR(ROUNDUP(D176/F176,0),"")</f>
        <v/>
      </c>
      <c r="H176" s="197"/>
      <c r="I176" s="193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</row>
    <row r="177" spans="1:13" ht="15" customHeight="1" x14ac:dyDescent="0.3">
      <c r="A177" s="198"/>
      <c r="B177" s="199" t="s">
        <v>216</v>
      </c>
      <c r="C177" s="200"/>
      <c r="D177" s="201">
        <f>SUM(D170:D176)</f>
        <v>0</v>
      </c>
      <c r="E177" s="202"/>
      <c r="F177" s="202"/>
      <c r="G177" s="203">
        <f>SUM(G170:G176)</f>
        <v>0</v>
      </c>
      <c r="H177" s="201">
        <f>SUM(H170:H176)</f>
        <v>0</v>
      </c>
      <c r="I177" s="201">
        <f>SUM(I170:I176)</f>
        <v>0</v>
      </c>
      <c r="J177" s="28">
        <f>D177</f>
        <v>0</v>
      </c>
      <c r="K177" s="106">
        <f>G177</f>
        <v>0</v>
      </c>
      <c r="L177" s="28">
        <f>H177</f>
        <v>0</v>
      </c>
      <c r="M177" s="28">
        <f>I177</f>
        <v>0</v>
      </c>
    </row>
    <row r="178" spans="1:13" ht="6" customHeight="1" x14ac:dyDescent="0.3">
      <c r="C178" s="72"/>
    </row>
    <row r="179" spans="1:13" ht="15" customHeight="1" x14ac:dyDescent="0.3">
      <c r="A179" s="235">
        <v>46382</v>
      </c>
      <c r="B179" s="186" t="s">
        <v>78</v>
      </c>
      <c r="C179" s="187" t="s">
        <v>205</v>
      </c>
      <c r="D179" s="188" t="s">
        <v>206</v>
      </c>
      <c r="E179" s="188" t="s">
        <v>207</v>
      </c>
      <c r="F179" s="236" t="s">
        <v>208</v>
      </c>
      <c r="G179" s="188" t="s">
        <v>209</v>
      </c>
      <c r="H179" s="188" t="s">
        <v>210</v>
      </c>
      <c r="I179" s="188" t="s">
        <v>211</v>
      </c>
      <c r="J179" s="237"/>
      <c r="K179" s="237"/>
      <c r="L179" s="237"/>
      <c r="M179" s="237"/>
    </row>
    <row r="180" spans="1:13" ht="21" customHeight="1" x14ac:dyDescent="0.3">
      <c r="A180" s="190"/>
      <c r="B180" s="238"/>
      <c r="C180" s="239"/>
      <c r="D180" s="240"/>
      <c r="E180" s="241" t="s">
        <v>214</v>
      </c>
      <c r="F180" s="242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243" t="str">
        <f>IFERROR(ROUNDUP(D180/F180,0),"")</f>
        <v/>
      </c>
      <c r="H180" s="197"/>
      <c r="I180" s="240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  <c r="J180" s="237"/>
      <c r="K180" s="237"/>
      <c r="L180" s="237"/>
      <c r="M180" s="237"/>
    </row>
    <row r="181" spans="1:13" ht="21" customHeight="1" x14ac:dyDescent="0.3">
      <c r="A181" s="190"/>
      <c r="B181" s="238"/>
      <c r="C181" s="239"/>
      <c r="D181" s="240"/>
      <c r="E181" s="241" t="s">
        <v>214</v>
      </c>
      <c r="F181" s="242" t="str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243" t="str">
        <f>IFERROR(ROUNDUP(D181/F181,0),"")</f>
        <v/>
      </c>
      <c r="H181" s="197"/>
      <c r="I181" s="240" t="str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  <c r="J181" s="237"/>
      <c r="K181" s="237"/>
      <c r="L181" s="237"/>
      <c r="M181" s="237"/>
    </row>
    <row r="182" spans="1:13" ht="21" customHeight="1" x14ac:dyDescent="0.3">
      <c r="A182" s="190"/>
      <c r="B182" s="238"/>
      <c r="C182" s="239"/>
      <c r="D182" s="240"/>
      <c r="E182" s="241" t="s">
        <v>214</v>
      </c>
      <c r="F182" s="242" t="str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243" t="str">
        <f>IFERROR(ROUNDUP(D182/F182,0),"")</f>
        <v/>
      </c>
      <c r="H182" s="197"/>
      <c r="I182" s="240" t="str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  <c r="J182" s="237"/>
      <c r="K182" s="237"/>
      <c r="L182" s="237"/>
      <c r="M182" s="237"/>
    </row>
    <row r="183" spans="1:13" ht="21" customHeight="1" x14ac:dyDescent="0.3">
      <c r="A183" s="190"/>
      <c r="B183" s="238"/>
      <c r="C183" s="239"/>
      <c r="D183" s="240"/>
      <c r="E183" s="241" t="s">
        <v>214</v>
      </c>
      <c r="F183" s="242" t="str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243" t="str">
        <f>IFERROR(ROUNDUP(D183/F183,0),"")</f>
        <v/>
      </c>
      <c r="H183" s="197"/>
      <c r="I183" s="240" t="str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  <c r="J183" s="237"/>
      <c r="K183" s="237"/>
      <c r="L183" s="237"/>
      <c r="M183" s="237"/>
    </row>
    <row r="184" spans="1:13" ht="21" customHeight="1" x14ac:dyDescent="0.3">
      <c r="A184" s="190"/>
      <c r="B184" s="238"/>
      <c r="C184" s="239"/>
      <c r="D184" s="240"/>
      <c r="E184" s="241" t="s">
        <v>214</v>
      </c>
      <c r="F184" s="242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243" t="str">
        <f>IFERROR(ROUNDUP(D184/F184,0),"")</f>
        <v/>
      </c>
      <c r="H184" s="197"/>
      <c r="I184" s="240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  <c r="J184" s="237"/>
      <c r="K184" s="237"/>
      <c r="L184" s="237"/>
      <c r="M184" s="237"/>
    </row>
    <row r="185" spans="1:13" ht="15" customHeight="1" x14ac:dyDescent="0.3">
      <c r="A185" s="244"/>
      <c r="B185" s="199" t="s">
        <v>216</v>
      </c>
      <c r="C185" s="245"/>
      <c r="D185" s="201">
        <f>SUM(D178:D184)</f>
        <v>0</v>
      </c>
      <c r="E185" s="246"/>
      <c r="F185" s="246"/>
      <c r="G185" s="203">
        <f>SUM(G178:G184)</f>
        <v>0</v>
      </c>
      <c r="H185" s="201">
        <f>SUM(H178:H184)</f>
        <v>0</v>
      </c>
      <c r="I185" s="201">
        <f>SUM(I178:I184)</f>
        <v>0</v>
      </c>
      <c r="J185" s="247">
        <f>D185</f>
        <v>0</v>
      </c>
      <c r="K185" s="248">
        <f>G185</f>
        <v>0</v>
      </c>
      <c r="L185" s="247">
        <f>H185</f>
        <v>0</v>
      </c>
      <c r="M185" s="247">
        <f>I185</f>
        <v>0</v>
      </c>
    </row>
    <row r="186" spans="1:13" ht="6" customHeight="1" x14ac:dyDescent="0.3">
      <c r="A186" s="237"/>
      <c r="B186" s="237"/>
      <c r="C186" s="249"/>
      <c r="D186" s="237"/>
      <c r="E186" s="237"/>
      <c r="F186" s="237"/>
      <c r="G186" s="237"/>
      <c r="H186" s="237"/>
      <c r="I186" s="237"/>
      <c r="J186" s="237"/>
      <c r="K186" s="237"/>
      <c r="L186" s="237"/>
      <c r="M186" s="237"/>
    </row>
    <row r="187" spans="1:13" ht="14.25" customHeight="1" x14ac:dyDescent="0.3">
      <c r="A187" s="30">
        <v>46384</v>
      </c>
      <c r="B187" s="186" t="s">
        <v>78</v>
      </c>
      <c r="C187" s="187" t="s">
        <v>205</v>
      </c>
      <c r="D187" s="188" t="s">
        <v>206</v>
      </c>
      <c r="E187" s="188" t="s">
        <v>207</v>
      </c>
      <c r="F187" s="189" t="s">
        <v>208</v>
      </c>
      <c r="G187" s="188" t="s">
        <v>209</v>
      </c>
      <c r="H187" s="188" t="s">
        <v>210</v>
      </c>
      <c r="I187" s="188" t="s">
        <v>211</v>
      </c>
    </row>
    <row r="188" spans="1:13" ht="21" customHeight="1" x14ac:dyDescent="0.3">
      <c r="A188" s="190"/>
      <c r="B188" s="191"/>
      <c r="C188" s="192"/>
      <c r="D188" s="193"/>
      <c r="E188" s="194" t="s">
        <v>214</v>
      </c>
      <c r="F188" s="195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196" t="str">
        <f>IFERROR(ROUNDUP(D188/F188,0),"")</f>
        <v/>
      </c>
      <c r="H188" s="197"/>
      <c r="I188" s="193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</row>
    <row r="189" spans="1:13" ht="21" customHeight="1" x14ac:dyDescent="0.3">
      <c r="A189" s="190"/>
      <c r="B189" s="191"/>
      <c r="C189" s="192"/>
      <c r="D189" s="193"/>
      <c r="E189" s="194" t="s">
        <v>214</v>
      </c>
      <c r="F189" s="195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196" t="str">
        <f>IFERROR(ROUNDUP(D189/F189,0),"")</f>
        <v/>
      </c>
      <c r="H189" s="197"/>
      <c r="I189" s="193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</row>
    <row r="190" spans="1:13" ht="21" customHeight="1" x14ac:dyDescent="0.3">
      <c r="A190" s="190"/>
      <c r="B190" s="191"/>
      <c r="C190" s="192"/>
      <c r="D190" s="193"/>
      <c r="E190" s="194" t="s">
        <v>214</v>
      </c>
      <c r="F190" s="195" t="str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196" t="str">
        <f>IFERROR(ROUNDUP(D190/F190,0),"")</f>
        <v/>
      </c>
      <c r="H190" s="197"/>
      <c r="I190" s="193" t="str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</row>
    <row r="191" spans="1:13" ht="21" customHeight="1" x14ac:dyDescent="0.3">
      <c r="A191" s="190"/>
      <c r="B191" s="191"/>
      <c r="C191" s="192"/>
      <c r="D191" s="193"/>
      <c r="E191" s="194" t="s">
        <v>214</v>
      </c>
      <c r="F191" s="195" t="str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196" t="str">
        <f>IFERROR(ROUNDUP(D191/F191,0),"")</f>
        <v/>
      </c>
      <c r="H191" s="197"/>
      <c r="I191" s="193" t="str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</row>
    <row r="192" spans="1:13" ht="21" customHeight="1" x14ac:dyDescent="0.3">
      <c r="A192" s="190"/>
      <c r="B192" s="191"/>
      <c r="C192" s="192"/>
      <c r="D192" s="193"/>
      <c r="E192" s="194" t="s">
        <v>214</v>
      </c>
      <c r="F192" s="195" t="str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196" t="str">
        <f>IFERROR(ROUNDUP(D192/F192,0),"")</f>
        <v/>
      </c>
      <c r="H192" s="197"/>
      <c r="I192" s="193" t="str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</row>
    <row r="193" spans="1:13" ht="14.25" customHeight="1" x14ac:dyDescent="0.3">
      <c r="A193" s="198"/>
      <c r="B193" s="199" t="s">
        <v>216</v>
      </c>
      <c r="C193" s="200"/>
      <c r="D193" s="201">
        <f>SUM(D186:D192)</f>
        <v>0</v>
      </c>
      <c r="E193" s="202"/>
      <c r="F193" s="202"/>
      <c r="G193" s="203">
        <f>SUM(G186:G192)</f>
        <v>0</v>
      </c>
      <c r="H193" s="201">
        <f>SUM(H186:H192)</f>
        <v>0</v>
      </c>
      <c r="I193" s="201">
        <f>SUM(I186:I192)</f>
        <v>0</v>
      </c>
      <c r="J193" s="28">
        <f>D193</f>
        <v>0</v>
      </c>
      <c r="K193" s="106">
        <f>G193</f>
        <v>0</v>
      </c>
      <c r="L193" s="28">
        <f>H193</f>
        <v>0</v>
      </c>
      <c r="M193" s="28">
        <f>I193</f>
        <v>0</v>
      </c>
    </row>
    <row r="194" spans="1:13" ht="14.25" customHeight="1" x14ac:dyDescent="0.3">
      <c r="C194" s="72"/>
    </row>
    <row r="195" spans="1:13" ht="14.25" customHeight="1" x14ac:dyDescent="0.3">
      <c r="A195" s="30">
        <v>46385</v>
      </c>
      <c r="B195" s="186" t="s">
        <v>78</v>
      </c>
      <c r="C195" s="187" t="s">
        <v>205</v>
      </c>
      <c r="D195" s="188" t="s">
        <v>206</v>
      </c>
      <c r="E195" s="188" t="s">
        <v>207</v>
      </c>
      <c r="F195" s="189" t="s">
        <v>208</v>
      </c>
      <c r="G195" s="188" t="s">
        <v>209</v>
      </c>
      <c r="H195" s="188" t="s">
        <v>210</v>
      </c>
      <c r="I195" s="188" t="s">
        <v>211</v>
      </c>
    </row>
    <row r="196" spans="1:13" ht="21" customHeight="1" x14ac:dyDescent="0.3">
      <c r="A196" s="190"/>
      <c r="B196" s="191"/>
      <c r="C196" s="192"/>
      <c r="D196" s="193"/>
      <c r="E196" s="194" t="s">
        <v>214</v>
      </c>
      <c r="F196" s="195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196" t="str">
        <f>IFERROR(ROUNDUP(D196/F196,0),"")</f>
        <v/>
      </c>
      <c r="H196" s="197"/>
      <c r="I196" s="193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</row>
    <row r="197" spans="1:13" ht="21" customHeight="1" x14ac:dyDescent="0.3">
      <c r="A197" s="190"/>
      <c r="B197" s="191"/>
      <c r="C197" s="192"/>
      <c r="D197" s="193"/>
      <c r="E197" s="194" t="s">
        <v>214</v>
      </c>
      <c r="F197" s="195" t="str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196" t="str">
        <f>IFERROR(ROUNDUP(D197/F197,0),"")</f>
        <v/>
      </c>
      <c r="H197" s="197"/>
      <c r="I197" s="193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</row>
    <row r="198" spans="1:13" ht="21" customHeight="1" x14ac:dyDescent="0.3">
      <c r="A198" s="190"/>
      <c r="B198" s="191"/>
      <c r="C198" s="192"/>
      <c r="D198" s="193"/>
      <c r="E198" s="194" t="s">
        <v>214</v>
      </c>
      <c r="F198" s="195" t="str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196" t="str">
        <f>IFERROR(ROUNDUP(D198/F198,0),"")</f>
        <v/>
      </c>
      <c r="H198" s="197"/>
      <c r="I198" s="193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</row>
    <row r="199" spans="1:13" ht="21" customHeight="1" x14ac:dyDescent="0.3">
      <c r="A199" s="190"/>
      <c r="B199" s="191"/>
      <c r="C199" s="192"/>
      <c r="D199" s="193"/>
      <c r="E199" s="194" t="s">
        <v>214</v>
      </c>
      <c r="F199" s="195" t="str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196" t="str">
        <f>IFERROR(ROUNDUP(D199/F199,0),"")</f>
        <v/>
      </c>
      <c r="H199" s="197"/>
      <c r="I199" s="193" t="str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</row>
    <row r="200" spans="1:13" ht="21" customHeight="1" x14ac:dyDescent="0.3">
      <c r="A200" s="190"/>
      <c r="B200" s="191"/>
      <c r="C200" s="192"/>
      <c r="D200" s="193"/>
      <c r="E200" s="194" t="s">
        <v>214</v>
      </c>
      <c r="F200" s="195" t="str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196" t="str">
        <f>IFERROR(ROUNDUP(D200/F200,0),"")</f>
        <v/>
      </c>
      <c r="H200" s="197"/>
      <c r="I200" s="193" t="str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</row>
    <row r="201" spans="1:13" ht="14.25" customHeight="1" x14ac:dyDescent="0.3">
      <c r="A201" s="198"/>
      <c r="B201" s="199" t="s">
        <v>216</v>
      </c>
      <c r="C201" s="200"/>
      <c r="D201" s="201">
        <f>SUM(D194:D200)</f>
        <v>0</v>
      </c>
      <c r="E201" s="202"/>
      <c r="F201" s="202"/>
      <c r="G201" s="203">
        <f>SUM(G194:G200)</f>
        <v>0</v>
      </c>
      <c r="H201" s="201">
        <f>SUM(H194:H200)</f>
        <v>0</v>
      </c>
      <c r="I201" s="201">
        <f>SUM(I194:I200)</f>
        <v>0</v>
      </c>
      <c r="J201" s="28">
        <f>D201</f>
        <v>0</v>
      </c>
      <c r="K201" s="106">
        <f>G201</f>
        <v>0</v>
      </c>
      <c r="L201" s="28">
        <f>H201</f>
        <v>0</v>
      </c>
      <c r="M201" s="28">
        <f>I201</f>
        <v>0</v>
      </c>
    </row>
    <row r="202" spans="1:13" ht="14.25" customHeight="1" x14ac:dyDescent="0.3">
      <c r="C202" s="72"/>
    </row>
    <row r="203" spans="1:13" ht="14.25" customHeight="1" x14ac:dyDescent="0.3">
      <c r="A203" s="30">
        <v>46386</v>
      </c>
      <c r="B203" s="186" t="s">
        <v>78</v>
      </c>
      <c r="C203" s="187" t="s">
        <v>205</v>
      </c>
      <c r="D203" s="188" t="s">
        <v>206</v>
      </c>
      <c r="E203" s="188" t="s">
        <v>207</v>
      </c>
      <c r="F203" s="189" t="s">
        <v>208</v>
      </c>
      <c r="G203" s="188" t="s">
        <v>209</v>
      </c>
      <c r="H203" s="188" t="s">
        <v>210</v>
      </c>
      <c r="I203" s="188" t="s">
        <v>211</v>
      </c>
    </row>
    <row r="204" spans="1:13" ht="21" customHeight="1" x14ac:dyDescent="0.3">
      <c r="A204" s="190"/>
      <c r="B204" s="191"/>
      <c r="C204" s="192"/>
      <c r="D204" s="193"/>
      <c r="E204" s="194" t="s">
        <v>214</v>
      </c>
      <c r="F204" s="195" t="str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196" t="str">
        <f>IFERROR(ROUNDUP(D204/F204,0),"")</f>
        <v/>
      </c>
      <c r="H204" s="197"/>
      <c r="I204" s="193" t="str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</row>
    <row r="205" spans="1:13" ht="21" customHeight="1" x14ac:dyDescent="0.3">
      <c r="A205" s="190"/>
      <c r="B205" s="191"/>
      <c r="C205" s="192"/>
      <c r="D205" s="193"/>
      <c r="E205" s="194" t="s">
        <v>214</v>
      </c>
      <c r="F205" s="195" t="str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196" t="str">
        <f>IFERROR(ROUNDUP(D205/F205,0),"")</f>
        <v/>
      </c>
      <c r="H205" s="197"/>
      <c r="I205" s="193" t="str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</row>
    <row r="206" spans="1:13" ht="21" customHeight="1" x14ac:dyDescent="0.3">
      <c r="A206" s="190"/>
      <c r="B206" s="191"/>
      <c r="C206" s="192"/>
      <c r="D206" s="193"/>
      <c r="E206" s="194" t="s">
        <v>214</v>
      </c>
      <c r="F206" s="195" t="str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196" t="str">
        <f>IFERROR(ROUNDUP(D206/F206,0),"")</f>
        <v/>
      </c>
      <c r="H206" s="197"/>
      <c r="I206" s="193" t="str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</row>
    <row r="207" spans="1:13" ht="21" customHeight="1" x14ac:dyDescent="0.3">
      <c r="A207" s="190"/>
      <c r="B207" s="191"/>
      <c r="C207" s="192"/>
      <c r="D207" s="193"/>
      <c r="E207" s="194" t="s">
        <v>214</v>
      </c>
      <c r="F207" s="195" t="str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196" t="str">
        <f>IFERROR(ROUNDUP(D207/F207,0),"")</f>
        <v/>
      </c>
      <c r="H207" s="197"/>
      <c r="I207" s="193" t="str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</row>
    <row r="208" spans="1:13" ht="21" customHeight="1" x14ac:dyDescent="0.3">
      <c r="A208" s="190"/>
      <c r="B208" s="191"/>
      <c r="C208" s="192"/>
      <c r="D208" s="193"/>
      <c r="E208" s="194" t="s">
        <v>214</v>
      </c>
      <c r="F208" s="195" t="str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196" t="str">
        <f>IFERROR(ROUNDUP(D208/F208,0),"")</f>
        <v/>
      </c>
      <c r="H208" s="197"/>
      <c r="I208" s="193" t="str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</row>
    <row r="209" spans="1:13" ht="14.25" customHeight="1" x14ac:dyDescent="0.3">
      <c r="A209" s="198"/>
      <c r="B209" s="199" t="s">
        <v>216</v>
      </c>
      <c r="C209" s="200"/>
      <c r="D209" s="201">
        <f>SUM(D202:D208)</f>
        <v>0</v>
      </c>
      <c r="E209" s="202"/>
      <c r="F209" s="202"/>
      <c r="G209" s="203">
        <f>SUM(G202:G208)</f>
        <v>0</v>
      </c>
      <c r="H209" s="201">
        <f>SUM(H202:H208)</f>
        <v>0</v>
      </c>
      <c r="I209" s="201">
        <f>SUM(I202:I208)</f>
        <v>0</v>
      </c>
      <c r="J209" s="28">
        <f>D209</f>
        <v>0</v>
      </c>
      <c r="K209" s="106">
        <f>G209</f>
        <v>0</v>
      </c>
      <c r="L209" s="28">
        <f>H209</f>
        <v>0</v>
      </c>
      <c r="M209" s="28">
        <f>I209</f>
        <v>0</v>
      </c>
    </row>
    <row r="210" spans="1:13" ht="14.25" customHeight="1" x14ac:dyDescent="0.3">
      <c r="C210" s="72"/>
    </row>
    <row r="211" spans="1:13" ht="14.25" customHeight="1" x14ac:dyDescent="0.3">
      <c r="A211" s="30">
        <v>46387</v>
      </c>
      <c r="B211" s="186" t="s">
        <v>78</v>
      </c>
      <c r="C211" s="187" t="s">
        <v>205</v>
      </c>
      <c r="D211" s="188" t="s">
        <v>206</v>
      </c>
      <c r="E211" s="188" t="s">
        <v>207</v>
      </c>
      <c r="F211" s="189" t="s">
        <v>208</v>
      </c>
      <c r="G211" s="188" t="s">
        <v>209</v>
      </c>
      <c r="H211" s="188" t="s">
        <v>210</v>
      </c>
      <c r="I211" s="188" t="s">
        <v>211</v>
      </c>
    </row>
    <row r="212" spans="1:13" ht="21" customHeight="1" x14ac:dyDescent="0.3">
      <c r="A212" s="190"/>
      <c r="B212" s="191"/>
      <c r="C212" s="192"/>
      <c r="D212" s="193"/>
      <c r="E212" s="194" t="s">
        <v>214</v>
      </c>
      <c r="F212" s="195" t="str">
        <f>IF($B212="","",IF(SUMIFS(CONFIG_PALLETS!$C:$C,CONFIG_PALLETS!$A:$A,TRIM($B212),CONFIG_PALLETS!$B:$B,$C212&amp;" ml")&gt;0,SUMIFS(CONFIG_PALLETS!$C:$C,CONFIG_PALLETS!$A:$A,TRIM($B212),CONFIG_PALLETS!$B:$B,$C212&amp;" ml"),IF(SUMIFS(CONFIG_PALLETS!$C:$C,CONFIG_PALLETS!$A:$A,"GERAL",CONFIG_PALLETS!$B:$B,$C212&amp;" ml")&gt;0,SUMIFS(CONFIG_PALLETS!$C:$C,CONFIG_PALLETS!$A:$A,"GERAL",CONFIG_PALLETS!$B:$B,$C212&amp;" ml"),"")))</f>
        <v/>
      </c>
      <c r="G212" s="196" t="str">
        <f>IFERROR(ROUNDUP(D212/F212,0),"")</f>
        <v/>
      </c>
      <c r="H212" s="197"/>
      <c r="I212" s="193" t="str">
        <f>IF(H212="","",H212*IF(SUMIFS(CONFIG_PALLETS!$D:$D,CONFIG_PALLETS!$A:$A,IF(ISNUMBER(SEARCH("ESPUMA",$B212)),"ESPUMA",IF(OR(ISNUMBER(SEARCH("OLEO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ml")&gt;0,SUMIFS(CONFIG_PALLETS!$D:$D,CONFIG_PALLETS!$A:$A,IF(ISNUMBER(SEARCH("ESPUMA",$B212)),"ESPUMA",IF(OR(ISNUMBER(SEARCH("OLEO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ml"),IF(SUMIFS(CONFIG_PALLETS!$D:$D,CONFIG_PALLETS!$A:$A,"GERAL",CONFIG_PALLETS!$B:$B,$C212&amp;" ml")&gt;0,SUMIFS(CONFIG_PALLETS!$D:$D,CONFIG_PALLETS!$A:$A,"GERAL",CONFIG_PALLETS!$B:$B,$C212&amp;" ml"),12)))</f>
        <v/>
      </c>
    </row>
    <row r="213" spans="1:13" ht="21" customHeight="1" x14ac:dyDescent="0.3">
      <c r="A213" s="190"/>
      <c r="B213" s="191"/>
      <c r="C213" s="192"/>
      <c r="D213" s="193"/>
      <c r="E213" s="194" t="s">
        <v>214</v>
      </c>
      <c r="F213" s="195" t="str">
        <f>IF($B213="","",IF(SUMIFS(CONFIG_PALLETS!$C:$C,CONFIG_PALLETS!$A:$A,TRIM($B213),CONFIG_PALLETS!$B:$B,$C213&amp;" ml")&gt;0,SUMIFS(CONFIG_PALLETS!$C:$C,CONFIG_PALLETS!$A:$A,TRIM($B213),CONFIG_PALLETS!$B:$B,$C213&amp;" ml"),IF(SUMIFS(CONFIG_PALLETS!$C:$C,CONFIG_PALLETS!$A:$A,"GERAL",CONFIG_PALLETS!$B:$B,$C213&amp;" ml")&gt;0,SUMIFS(CONFIG_PALLETS!$C:$C,CONFIG_PALLETS!$A:$A,"GERAL",CONFIG_PALLETS!$B:$B,$C213&amp;" ml"),"")))</f>
        <v/>
      </c>
      <c r="G213" s="196" t="str">
        <f>IFERROR(ROUNDUP(D213/F213,0),"")</f>
        <v/>
      </c>
      <c r="H213" s="197"/>
      <c r="I213" s="193" t="str">
        <f>IF(H213="","",H213*IF(SUMIFS(CONFIG_PALLETS!$D:$D,CONFIG_PALLETS!$A:$A,IF(ISNUMBER(SEARCH("ESPUMA",$B213)),"ESPUMA",IF(OR(ISNUMBER(SEARCH("OLEO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ml")&gt;0,SUMIFS(CONFIG_PALLETS!$D:$D,CONFIG_PALLETS!$A:$A,IF(ISNUMBER(SEARCH("ESPUMA",$B213)),"ESPUMA",IF(OR(ISNUMBER(SEARCH("OLEO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ml"),IF(SUMIFS(CONFIG_PALLETS!$D:$D,CONFIG_PALLETS!$A:$A,"GERAL",CONFIG_PALLETS!$B:$B,$C213&amp;" ml")&gt;0,SUMIFS(CONFIG_PALLETS!$D:$D,CONFIG_PALLETS!$A:$A,"GERAL",CONFIG_PALLETS!$B:$B,$C213&amp;" ml"),12)))</f>
        <v/>
      </c>
    </row>
    <row r="214" spans="1:13" ht="21" customHeight="1" x14ac:dyDescent="0.3">
      <c r="A214" s="190"/>
      <c r="B214" s="191"/>
      <c r="C214" s="192"/>
      <c r="D214" s="193"/>
      <c r="E214" s="194" t="s">
        <v>214</v>
      </c>
      <c r="F214" s="195" t="str">
        <f>IF($B214="","",IF(SUMIFS(CONFIG_PALLETS!$C:$C,CONFIG_PALLETS!$A:$A,TRIM($B214),CONFIG_PALLETS!$B:$B,$C214&amp;" ml")&gt;0,SUMIFS(CONFIG_PALLETS!$C:$C,CONFIG_PALLETS!$A:$A,TRIM($B214),CONFIG_PALLETS!$B:$B,$C214&amp;" ml"),IF(SUMIFS(CONFIG_PALLETS!$C:$C,CONFIG_PALLETS!$A:$A,"GERAL",CONFIG_PALLETS!$B:$B,$C214&amp;" ml")&gt;0,SUMIFS(CONFIG_PALLETS!$C:$C,CONFIG_PALLETS!$A:$A,"GERAL",CONFIG_PALLETS!$B:$B,$C214&amp;" ml"),"")))</f>
        <v/>
      </c>
      <c r="G214" s="196" t="str">
        <f>IFERROR(ROUNDUP(D214/F214,0),"")</f>
        <v/>
      </c>
      <c r="H214" s="197"/>
      <c r="I214" s="193" t="str">
        <f>IF(H214="","",H214*IF(SUMIFS(CONFIG_PALLETS!$D:$D,CONFIG_PALLETS!$A:$A,IF(ISNUMBER(SEARCH("ESPUMA",$B214)),"ESPUMA",IF(OR(ISNUMBER(SEARCH("OLEO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ml")&gt;0,SUMIFS(CONFIG_PALLETS!$D:$D,CONFIG_PALLETS!$A:$A,IF(ISNUMBER(SEARCH("ESPUMA",$B214)),"ESPUMA",IF(OR(ISNUMBER(SEARCH("OLEO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ml"),IF(SUMIFS(CONFIG_PALLETS!$D:$D,CONFIG_PALLETS!$A:$A,"GERAL",CONFIG_PALLETS!$B:$B,$C214&amp;" ml")&gt;0,SUMIFS(CONFIG_PALLETS!$D:$D,CONFIG_PALLETS!$A:$A,"GERAL",CONFIG_PALLETS!$B:$B,$C214&amp;" ml"),12)))</f>
        <v/>
      </c>
    </row>
    <row r="215" spans="1:13" ht="21" customHeight="1" x14ac:dyDescent="0.3">
      <c r="A215" s="190"/>
      <c r="B215" s="191"/>
      <c r="C215" s="192"/>
      <c r="D215" s="193"/>
      <c r="E215" s="194" t="s">
        <v>214</v>
      </c>
      <c r="F215" s="195" t="str">
        <f>IF($B215="","",IF(SUMIFS(CONFIG_PALLETS!$C:$C,CONFIG_PALLETS!$A:$A,TRIM($B215),CONFIG_PALLETS!$B:$B,$C215&amp;" ml")&gt;0,SUMIFS(CONFIG_PALLETS!$C:$C,CONFIG_PALLETS!$A:$A,TRIM($B215),CONFIG_PALLETS!$B:$B,$C215&amp;" ml"),IF(SUMIFS(CONFIG_PALLETS!$C:$C,CONFIG_PALLETS!$A:$A,"GERAL",CONFIG_PALLETS!$B:$B,$C215&amp;" ml")&gt;0,SUMIFS(CONFIG_PALLETS!$C:$C,CONFIG_PALLETS!$A:$A,"GERAL",CONFIG_PALLETS!$B:$B,$C215&amp;" ml"),"")))</f>
        <v/>
      </c>
      <c r="G215" s="196" t="str">
        <f>IFERROR(ROUNDUP(D215/F215,0),"")</f>
        <v/>
      </c>
      <c r="H215" s="197"/>
      <c r="I215" s="193" t="str">
        <f>IF(H215="","",H215*IF(SUMIFS(CONFIG_PALLETS!$D:$D,CONFIG_PALLETS!$A:$A,IF(ISNUMBER(SEARCH("ESPUMA",$B215)),"ESPUMA",IF(OR(ISNUMBER(SEARCH("OLEO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ml")&gt;0,SUMIFS(CONFIG_PALLETS!$D:$D,CONFIG_PALLETS!$A:$A,IF(ISNUMBER(SEARCH("ESPUMA",$B215)),"ESPUMA",IF(OR(ISNUMBER(SEARCH("OLEO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ml"),IF(SUMIFS(CONFIG_PALLETS!$D:$D,CONFIG_PALLETS!$A:$A,"GERAL",CONFIG_PALLETS!$B:$B,$C215&amp;" ml")&gt;0,SUMIFS(CONFIG_PALLETS!$D:$D,CONFIG_PALLETS!$A:$A,"GERAL",CONFIG_PALLETS!$B:$B,$C215&amp;" ml"),12)))</f>
        <v/>
      </c>
    </row>
    <row r="216" spans="1:13" ht="21" customHeight="1" x14ac:dyDescent="0.3">
      <c r="A216" s="190"/>
      <c r="B216" s="191"/>
      <c r="C216" s="192"/>
      <c r="D216" s="193"/>
      <c r="E216" s="194" t="s">
        <v>214</v>
      </c>
      <c r="F216" s="195" t="str">
        <f>IF($B216="","",IF(SUMIFS(CONFIG_PALLETS!$C:$C,CONFIG_PALLETS!$A:$A,TRIM($B216),CONFIG_PALLETS!$B:$B,$C216&amp;" ml")&gt;0,SUMIFS(CONFIG_PALLETS!$C:$C,CONFIG_PALLETS!$A:$A,TRIM($B216),CONFIG_PALLETS!$B:$B,$C216&amp;" ml"),IF(SUMIFS(CONFIG_PALLETS!$C:$C,CONFIG_PALLETS!$A:$A,"GERAL",CONFIG_PALLETS!$B:$B,$C216&amp;" ml")&gt;0,SUMIFS(CONFIG_PALLETS!$C:$C,CONFIG_PALLETS!$A:$A,"GERAL",CONFIG_PALLETS!$B:$B,$C216&amp;" ml"),"")))</f>
        <v/>
      </c>
      <c r="G216" s="196" t="str">
        <f>IFERROR(ROUNDUP(D216/F216,0),"")</f>
        <v/>
      </c>
      <c r="H216" s="197"/>
      <c r="I216" s="193" t="str">
        <f>IF(H216="","",H216*IF(SUMIFS(CONFIG_PALLETS!$D:$D,CONFIG_PALLETS!$A:$A,IF(ISNUMBER(SEARCH("ESPUMA",$B216)),"ESPUMA",IF(OR(ISNUMBER(SEARCH("OLEO DE COCO",$B216)),ISNUMBER(SEARCH("ÓLEO DE COCO",$B216)),ISNUMBER(SEARCH("COPRA",$B216))),"ÓLEO DE COCO",IF(ISNUMBER(SEARCH("CORANTE",$B216)),"CORANTE",TRIM($B216)))),CONFIG_PALLETS!$B:$B,$C216&amp;" ml")&gt;0,SUMIFS(CONFIG_PALLETS!$D:$D,CONFIG_PALLETS!$A:$A,IF(ISNUMBER(SEARCH("ESPUMA",$B216)),"ESPUMA",IF(OR(ISNUMBER(SEARCH("OLEO DE COCO",$B216)),ISNUMBER(SEARCH("ÓLEO DE COCO",$B216)),ISNUMBER(SEARCH("COPRA",$B216))),"ÓLEO DE COCO",IF(ISNUMBER(SEARCH("CORANTE",$B216)),"CORANTE",TRIM($B216)))),CONFIG_PALLETS!$B:$B,$C216&amp;" ml"),IF(SUMIFS(CONFIG_PALLETS!$D:$D,CONFIG_PALLETS!$A:$A,"GERAL",CONFIG_PALLETS!$B:$B,$C216&amp;" ml")&gt;0,SUMIFS(CONFIG_PALLETS!$D:$D,CONFIG_PALLETS!$A:$A,"GERAL",CONFIG_PALLETS!$B:$B,$C216&amp;" ml"),12)))</f>
        <v/>
      </c>
    </row>
    <row r="217" spans="1:13" ht="14.25" customHeight="1" x14ac:dyDescent="0.3">
      <c r="A217" s="198"/>
      <c r="B217" s="199" t="s">
        <v>216</v>
      </c>
      <c r="C217" s="200"/>
      <c r="D217" s="201">
        <f>SUM(D210:D216)</f>
        <v>0</v>
      </c>
      <c r="E217" s="202"/>
      <c r="F217" s="202"/>
      <c r="G217" s="203">
        <f>SUM(G210:G216)</f>
        <v>0</v>
      </c>
      <c r="H217" s="201">
        <f>SUM(H210:H216)</f>
        <v>0</v>
      </c>
      <c r="I217" s="201">
        <f>SUM(I210:I216)</f>
        <v>0</v>
      </c>
      <c r="J217" s="28">
        <f>D217</f>
        <v>0</v>
      </c>
      <c r="K217" s="106">
        <f>G217</f>
        <v>0</v>
      </c>
      <c r="L217" s="28">
        <f>H217</f>
        <v>0</v>
      </c>
      <c r="M217" s="28">
        <f>I217</f>
        <v>0</v>
      </c>
    </row>
  </sheetData>
  <mergeCells count="3">
    <mergeCell ref="A1:I1"/>
    <mergeCell ref="A2:F2"/>
    <mergeCell ref="G2:I2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85" xr:uid="{00000000-0002-0000-25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F766E"/>
  </sheetPr>
  <dimension ref="A1:Y59"/>
  <sheetViews>
    <sheetView showGridLines="0" topLeftCell="A3" zoomScale="90" zoomScaleNormal="90" workbookViewId="0">
      <selection activeCell="F11" sqref="F11"/>
    </sheetView>
  </sheetViews>
  <sheetFormatPr defaultColWidth="8.6640625" defaultRowHeight="14.4" x14ac:dyDescent="0.3"/>
  <cols>
    <col min="1" max="1" width="12" style="437" customWidth="1"/>
    <col min="2" max="2" width="15" customWidth="1"/>
    <col min="3" max="3" width="14" customWidth="1"/>
    <col min="4" max="4" width="13.664062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4">
      <c r="A1" s="612" t="s">
        <v>669</v>
      </c>
      <c r="B1" s="612"/>
      <c r="C1" s="612"/>
      <c r="D1" s="612"/>
      <c r="E1" s="612"/>
      <c r="F1" s="612"/>
    </row>
    <row r="3" spans="1:25" ht="14.25" customHeight="1" x14ac:dyDescent="0.3">
      <c r="B3" s="148" t="s">
        <v>234</v>
      </c>
      <c r="D3" s="148" t="s">
        <v>235</v>
      </c>
      <c r="F3" s="149" t="s">
        <v>236</v>
      </c>
      <c r="H3" s="148" t="s">
        <v>237</v>
      </c>
      <c r="J3" s="150" t="s">
        <v>238</v>
      </c>
      <c r="K3" s="151" t="s">
        <v>239</v>
      </c>
      <c r="L3" s="151" t="s">
        <v>240</v>
      </c>
    </row>
    <row r="4" spans="1:25" ht="15.75" customHeight="1" x14ac:dyDescent="0.3">
      <c r="B4" s="152">
        <f>SUM(C9:C35)</f>
        <v>0</v>
      </c>
      <c r="D4" s="152">
        <f>SUM(D9:D35)</f>
        <v>286000</v>
      </c>
      <c r="F4" s="152">
        <f ca="1">IFERROR(SUMIFS(C9:C35,A9:A35,"&lt;="&amp;TODAY(),F9:F35,"&lt;&gt;*Feriado*")/COUNTIFS(A9:A35,"&lt;="&amp;TODAY(),F9:F35,"&lt;&gt;*Feriado*"),0)</f>
        <v>0</v>
      </c>
      <c r="H4" s="152">
        <f>IFERROR(MAX(C9:C35),0)</f>
        <v>0</v>
      </c>
      <c r="J4" s="153">
        <f>IFERROR(B4/D4,0)</f>
        <v>0</v>
      </c>
      <c r="K4" s="154" t="s">
        <v>241</v>
      </c>
      <c r="L4" s="155" t="s">
        <v>242</v>
      </c>
    </row>
    <row r="5" spans="1:25" ht="15" customHeight="1" x14ac:dyDescent="0.3">
      <c r="K5" s="156" t="s">
        <v>243</v>
      </c>
      <c r="L5" s="157" t="s">
        <v>244</v>
      </c>
    </row>
    <row r="6" spans="1:25" ht="15" customHeight="1" x14ac:dyDescent="0.3">
      <c r="K6" s="158" t="s">
        <v>245</v>
      </c>
      <c r="L6" s="159" t="s">
        <v>246</v>
      </c>
    </row>
    <row r="8" spans="1:25" ht="14.25" customHeight="1" x14ac:dyDescent="0.3">
      <c r="A8" s="442" t="s">
        <v>247</v>
      </c>
      <c r="B8" s="231" t="s">
        <v>248</v>
      </c>
      <c r="C8" s="204" t="s">
        <v>249</v>
      </c>
      <c r="D8" s="204" t="s">
        <v>250</v>
      </c>
      <c r="E8" s="204" t="s">
        <v>251</v>
      </c>
      <c r="F8" s="204" t="s">
        <v>252</v>
      </c>
      <c r="X8" t="s">
        <v>253</v>
      </c>
      <c r="Y8" t="s">
        <v>254</v>
      </c>
    </row>
    <row r="9" spans="1:25" ht="15" customHeight="1" x14ac:dyDescent="0.3">
      <c r="A9" s="443">
        <v>46357</v>
      </c>
      <c r="B9" s="219">
        <f>IF(D9&gt;0,COUNTIF($D$9:D9,"&gt;0"),"")</f>
        <v>1</v>
      </c>
      <c r="C9" s="221">
        <f>'SEMANA DEZEMBRO'!$M$9</f>
        <v>0</v>
      </c>
      <c r="D9" s="221">
        <f>CONFIG!$B$3</f>
        <v>11000</v>
      </c>
      <c r="E9" s="221">
        <f t="shared" ref="E9:E35" si="0">C9-D9</f>
        <v>-11000</v>
      </c>
      <c r="F9" s="253"/>
      <c r="X9" s="28">
        <f t="shared" ref="X9:X31" si="1">IF(COUNTIF($F9,"*Feriado*")&gt;0,NA(),$C9)</f>
        <v>0</v>
      </c>
      <c r="Y9" s="28">
        <f t="shared" ref="Y9:Y31" si="2">IF(COUNTIF($F9,"*Feriado*")&gt;0,NA(),$D9)</f>
        <v>11000</v>
      </c>
    </row>
    <row r="10" spans="1:25" ht="15" customHeight="1" x14ac:dyDescent="0.3">
      <c r="A10" s="443">
        <v>46358</v>
      </c>
      <c r="B10" s="219">
        <f>IF(D10&gt;0,COUNTIF($D$9:D10,"&gt;0"),"")</f>
        <v>2</v>
      </c>
      <c r="C10" s="221">
        <f>'SEMANA DEZEMBRO'!$M$17</f>
        <v>0</v>
      </c>
      <c r="D10" s="221">
        <f>CONFIG!$B$3</f>
        <v>11000</v>
      </c>
      <c r="E10" s="221">
        <f t="shared" si="0"/>
        <v>-11000</v>
      </c>
      <c r="F10" s="253"/>
      <c r="X10" s="28">
        <f t="shared" si="1"/>
        <v>0</v>
      </c>
      <c r="Y10" s="28">
        <f t="shared" si="2"/>
        <v>11000</v>
      </c>
    </row>
    <row r="11" spans="1:25" ht="15" customHeight="1" x14ac:dyDescent="0.3">
      <c r="A11" s="443">
        <v>46359</v>
      </c>
      <c r="B11" s="219">
        <f>IF(D11&gt;0,COUNTIF($D$9:D11,"&gt;0"),"")</f>
        <v>3</v>
      </c>
      <c r="C11" s="221">
        <f>'SEMANA DEZEMBRO'!$M$25</f>
        <v>0</v>
      </c>
      <c r="D11" s="221">
        <f>CONFIG!$B$3</f>
        <v>11000</v>
      </c>
      <c r="E11" s="221">
        <f t="shared" si="0"/>
        <v>-11000</v>
      </c>
      <c r="F11" s="253"/>
      <c r="X11" s="28">
        <f t="shared" si="1"/>
        <v>0</v>
      </c>
      <c r="Y11" s="28">
        <f t="shared" si="2"/>
        <v>11000</v>
      </c>
    </row>
    <row r="12" spans="1:25" ht="15" customHeight="1" x14ac:dyDescent="0.3">
      <c r="A12" s="443">
        <v>46360</v>
      </c>
      <c r="B12" s="219">
        <f>IF(D12&gt;0,COUNTIF($D$9:D12,"&gt;0"),"")</f>
        <v>4</v>
      </c>
      <c r="C12" s="221">
        <f>'SEMANA DEZEMBRO'!$M$33</f>
        <v>0</v>
      </c>
      <c r="D12" s="221">
        <f>CONFIG!$B$3</f>
        <v>11000</v>
      </c>
      <c r="E12" s="221">
        <f t="shared" si="0"/>
        <v>-11000</v>
      </c>
      <c r="F12" s="253"/>
      <c r="X12" s="28">
        <f t="shared" si="1"/>
        <v>0</v>
      </c>
      <c r="Y12" s="28">
        <f t="shared" si="2"/>
        <v>11000</v>
      </c>
    </row>
    <row r="13" spans="1:25" ht="15" customHeight="1" x14ac:dyDescent="0.3">
      <c r="A13" s="443">
        <v>46361</v>
      </c>
      <c r="B13" s="219">
        <f>IF(D13&gt;0,COUNTIF($D$9:D13,"&gt;0"),"")</f>
        <v>5</v>
      </c>
      <c r="C13" s="221">
        <f>'SEMANA DEZEMBRO'!$M$41</f>
        <v>0</v>
      </c>
      <c r="D13" s="221">
        <f>CONFIG!$B$3</f>
        <v>11000</v>
      </c>
      <c r="E13" s="221">
        <f t="shared" si="0"/>
        <v>-11000</v>
      </c>
      <c r="F13" s="254" t="s">
        <v>557</v>
      </c>
      <c r="X13" s="28">
        <f t="shared" si="1"/>
        <v>0</v>
      </c>
      <c r="Y13" s="28">
        <f t="shared" si="2"/>
        <v>11000</v>
      </c>
    </row>
    <row r="14" spans="1:25" ht="15" customHeight="1" x14ac:dyDescent="0.3">
      <c r="A14" s="443">
        <v>46363</v>
      </c>
      <c r="B14" s="219">
        <f>IF(D14&gt;0,COUNTIF($D$9:D14,"&gt;0"),"")</f>
        <v>6</v>
      </c>
      <c r="C14" s="221">
        <f>'SEMANA DEZEMBRO'!$M$49</f>
        <v>0</v>
      </c>
      <c r="D14" s="221">
        <f>CONFIG!$B$3</f>
        <v>11000</v>
      </c>
      <c r="E14" s="221">
        <f t="shared" si="0"/>
        <v>-11000</v>
      </c>
      <c r="F14" s="253"/>
      <c r="X14" s="28">
        <f t="shared" si="1"/>
        <v>0</v>
      </c>
      <c r="Y14" s="28">
        <f t="shared" si="2"/>
        <v>11000</v>
      </c>
    </row>
    <row r="15" spans="1:25" ht="15" customHeight="1" x14ac:dyDescent="0.3">
      <c r="A15" s="443">
        <v>46364</v>
      </c>
      <c r="B15" s="219">
        <f>IF(D15&gt;0,COUNTIF($D$9:D15,"&gt;0"),"")</f>
        <v>7</v>
      </c>
      <c r="C15" s="221">
        <f>'SEMANA DEZEMBRO'!$M$57</f>
        <v>0</v>
      </c>
      <c r="D15" s="221">
        <f>CONFIG!$B$3</f>
        <v>11000</v>
      </c>
      <c r="E15" s="221">
        <f t="shared" si="0"/>
        <v>-11000</v>
      </c>
      <c r="F15" s="253"/>
      <c r="X15" s="28">
        <f t="shared" si="1"/>
        <v>0</v>
      </c>
      <c r="Y15" s="28">
        <f t="shared" si="2"/>
        <v>11000</v>
      </c>
    </row>
    <row r="16" spans="1:25" ht="15" customHeight="1" x14ac:dyDescent="0.3">
      <c r="A16" s="443">
        <v>46365</v>
      </c>
      <c r="B16" s="219">
        <f>IF(D16&gt;0,COUNTIF($D$9:D16,"&gt;0"),"")</f>
        <v>8</v>
      </c>
      <c r="C16" s="221">
        <f>'SEMANA DEZEMBRO'!$M$65</f>
        <v>0</v>
      </c>
      <c r="D16" s="221">
        <f>CONFIG!$B$3</f>
        <v>11000</v>
      </c>
      <c r="E16" s="221">
        <f t="shared" si="0"/>
        <v>-11000</v>
      </c>
      <c r="F16" s="253"/>
      <c r="X16" s="28">
        <f t="shared" si="1"/>
        <v>0</v>
      </c>
      <c r="Y16" s="28">
        <f t="shared" si="2"/>
        <v>11000</v>
      </c>
    </row>
    <row r="17" spans="1:25" ht="15" customHeight="1" x14ac:dyDescent="0.3">
      <c r="A17" s="443">
        <v>46366</v>
      </c>
      <c r="B17" s="219">
        <f>IF(D17&gt;0,COUNTIF($D$9:D17,"&gt;0"),"")</f>
        <v>9</v>
      </c>
      <c r="C17" s="221">
        <f>'SEMANA DEZEMBRO'!$M$73</f>
        <v>0</v>
      </c>
      <c r="D17" s="221">
        <f>CONFIG!$B$3</f>
        <v>11000</v>
      </c>
      <c r="E17" s="221">
        <f t="shared" si="0"/>
        <v>-11000</v>
      </c>
      <c r="F17" s="253"/>
      <c r="X17" s="28">
        <f t="shared" si="1"/>
        <v>0</v>
      </c>
      <c r="Y17" s="28">
        <f t="shared" si="2"/>
        <v>11000</v>
      </c>
    </row>
    <row r="18" spans="1:25" ht="15" customHeight="1" x14ac:dyDescent="0.3">
      <c r="A18" s="443">
        <v>46367</v>
      </c>
      <c r="B18" s="219">
        <f>IF(D18&gt;0,COUNTIF($D$9:D18,"&gt;0"),"")</f>
        <v>10</v>
      </c>
      <c r="C18" s="221">
        <f>'SEMANA DEZEMBRO'!$M$81</f>
        <v>0</v>
      </c>
      <c r="D18" s="221">
        <f>CONFIG!$B$3</f>
        <v>11000</v>
      </c>
      <c r="E18" s="221">
        <f t="shared" si="0"/>
        <v>-11000</v>
      </c>
      <c r="F18" s="253"/>
      <c r="X18" s="28">
        <f t="shared" si="1"/>
        <v>0</v>
      </c>
      <c r="Y18" s="28">
        <f t="shared" si="2"/>
        <v>11000</v>
      </c>
    </row>
    <row r="19" spans="1:25" ht="15" customHeight="1" x14ac:dyDescent="0.3">
      <c r="A19" s="443">
        <v>46368</v>
      </c>
      <c r="B19" s="219">
        <f>IF(D19&gt;0,COUNTIF($D$9:D19,"&gt;0"),"")</f>
        <v>11</v>
      </c>
      <c r="C19" s="221">
        <f>'SEMANA DEZEMBRO'!$M$89</f>
        <v>0</v>
      </c>
      <c r="D19" s="221">
        <f>CONFIG!$B$3</f>
        <v>11000</v>
      </c>
      <c r="E19" s="221">
        <f t="shared" si="0"/>
        <v>-11000</v>
      </c>
      <c r="F19" s="254" t="s">
        <v>557</v>
      </c>
      <c r="X19" s="28">
        <f t="shared" si="1"/>
        <v>0</v>
      </c>
      <c r="Y19" s="28">
        <f t="shared" si="2"/>
        <v>11000</v>
      </c>
    </row>
    <row r="20" spans="1:25" ht="15" customHeight="1" x14ac:dyDescent="0.3">
      <c r="A20" s="443">
        <v>46370</v>
      </c>
      <c r="B20" s="219">
        <f>IF(D20&gt;0,COUNTIF($D$9:D20,"&gt;0"),"")</f>
        <v>12</v>
      </c>
      <c r="C20" s="221">
        <f>'SEMANA DEZEMBRO'!$M$97</f>
        <v>0</v>
      </c>
      <c r="D20" s="221">
        <f>CONFIG!$B$3</f>
        <v>11000</v>
      </c>
      <c r="E20" s="221">
        <f t="shared" si="0"/>
        <v>-11000</v>
      </c>
      <c r="F20" s="253"/>
      <c r="X20" s="28">
        <f t="shared" si="1"/>
        <v>0</v>
      </c>
      <c r="Y20" s="28">
        <f t="shared" si="2"/>
        <v>11000</v>
      </c>
    </row>
    <row r="21" spans="1:25" ht="15" customHeight="1" x14ac:dyDescent="0.3">
      <c r="A21" s="443">
        <v>46371</v>
      </c>
      <c r="B21" s="219">
        <f>IF(D21&gt;0,COUNTIF($D$9:D21,"&gt;0"),"")</f>
        <v>13</v>
      </c>
      <c r="C21" s="221">
        <f>'SEMANA DEZEMBRO'!$M$105</f>
        <v>0</v>
      </c>
      <c r="D21" s="221">
        <f>CONFIG!$B$3</f>
        <v>11000</v>
      </c>
      <c r="E21" s="221">
        <f t="shared" si="0"/>
        <v>-11000</v>
      </c>
      <c r="F21" s="253"/>
      <c r="X21" s="28">
        <f t="shared" si="1"/>
        <v>0</v>
      </c>
      <c r="Y21" s="28">
        <f t="shared" si="2"/>
        <v>11000</v>
      </c>
    </row>
    <row r="22" spans="1:25" ht="15" customHeight="1" x14ac:dyDescent="0.3">
      <c r="A22" s="443">
        <v>46372</v>
      </c>
      <c r="B22" s="219">
        <f>IF(D22&gt;0,COUNTIF($D$9:D22,"&gt;0"),"")</f>
        <v>14</v>
      </c>
      <c r="C22" s="221">
        <f>'SEMANA DEZEMBRO'!$M$113</f>
        <v>0</v>
      </c>
      <c r="D22" s="221">
        <f>CONFIG!$B$3</f>
        <v>11000</v>
      </c>
      <c r="E22" s="221">
        <f t="shared" si="0"/>
        <v>-11000</v>
      </c>
      <c r="F22" s="253"/>
      <c r="X22" s="28">
        <f t="shared" si="1"/>
        <v>0</v>
      </c>
      <c r="Y22" s="28">
        <f t="shared" si="2"/>
        <v>11000</v>
      </c>
    </row>
    <row r="23" spans="1:25" ht="15" customHeight="1" x14ac:dyDescent="0.3">
      <c r="A23" s="443">
        <v>46373</v>
      </c>
      <c r="B23" s="219">
        <f>IF(D23&gt;0,COUNTIF($D$9:D23,"&gt;0"),"")</f>
        <v>15</v>
      </c>
      <c r="C23" s="221">
        <f>'SEMANA DEZEMBRO'!$M$121</f>
        <v>0</v>
      </c>
      <c r="D23" s="221">
        <f>CONFIG!$B$3</f>
        <v>11000</v>
      </c>
      <c r="E23" s="221">
        <f t="shared" si="0"/>
        <v>-11000</v>
      </c>
      <c r="F23" s="253"/>
      <c r="X23" s="28">
        <f t="shared" si="1"/>
        <v>0</v>
      </c>
      <c r="Y23" s="28">
        <f t="shared" si="2"/>
        <v>11000</v>
      </c>
    </row>
    <row r="24" spans="1:25" ht="15" customHeight="1" x14ac:dyDescent="0.3">
      <c r="A24" s="443">
        <v>46374</v>
      </c>
      <c r="B24" s="219">
        <f>IF(D24&gt;0,COUNTIF($D$9:D24,"&gt;0"),"")</f>
        <v>16</v>
      </c>
      <c r="C24" s="221">
        <f>'SEMANA DEZEMBRO'!$M$129</f>
        <v>0</v>
      </c>
      <c r="D24" s="221">
        <f>CONFIG!$B$3</f>
        <v>11000</v>
      </c>
      <c r="E24" s="221">
        <f t="shared" si="0"/>
        <v>-11000</v>
      </c>
      <c r="F24" s="253"/>
      <c r="X24" s="28">
        <f t="shared" si="1"/>
        <v>0</v>
      </c>
      <c r="Y24" s="28">
        <f t="shared" si="2"/>
        <v>11000</v>
      </c>
    </row>
    <row r="25" spans="1:25" ht="15" customHeight="1" x14ac:dyDescent="0.3">
      <c r="A25" s="443">
        <v>46375</v>
      </c>
      <c r="B25" s="219">
        <f>IF(D25&gt;0,COUNTIF($D$9:D25,"&gt;0"),"")</f>
        <v>17</v>
      </c>
      <c r="C25" s="221">
        <f>'SEMANA DEZEMBRO'!$M$137</f>
        <v>0</v>
      </c>
      <c r="D25" s="221">
        <f>CONFIG!$B$3</f>
        <v>11000</v>
      </c>
      <c r="E25" s="221">
        <f t="shared" si="0"/>
        <v>-11000</v>
      </c>
      <c r="F25" s="254" t="s">
        <v>557</v>
      </c>
      <c r="X25" s="28">
        <f t="shared" si="1"/>
        <v>0</v>
      </c>
      <c r="Y25" s="28">
        <f t="shared" si="2"/>
        <v>11000</v>
      </c>
    </row>
    <row r="26" spans="1:25" ht="15" customHeight="1" x14ac:dyDescent="0.3">
      <c r="A26" s="443">
        <v>46377</v>
      </c>
      <c r="B26" s="219">
        <f>IF(D26&gt;0,COUNTIF($D$9:D26,"&gt;0"),"")</f>
        <v>18</v>
      </c>
      <c r="C26" s="221">
        <f>'SEMANA DEZEMBRO'!$M$145</f>
        <v>0</v>
      </c>
      <c r="D26" s="221">
        <f>CONFIG!$B$3</f>
        <v>11000</v>
      </c>
      <c r="E26" s="221">
        <f t="shared" si="0"/>
        <v>-11000</v>
      </c>
      <c r="F26" s="253"/>
      <c r="X26" s="28">
        <f t="shared" si="1"/>
        <v>0</v>
      </c>
      <c r="Y26" s="28">
        <f t="shared" si="2"/>
        <v>11000</v>
      </c>
    </row>
    <row r="27" spans="1:25" ht="15" customHeight="1" x14ac:dyDescent="0.3">
      <c r="A27" s="443">
        <v>46378</v>
      </c>
      <c r="B27" s="219">
        <f>IF(D27&gt;0,COUNTIF($D$9:D27,"&gt;0"),"")</f>
        <v>19</v>
      </c>
      <c r="C27" s="221">
        <f>'SEMANA DEZEMBRO'!$M$153</f>
        <v>0</v>
      </c>
      <c r="D27" s="221">
        <f>CONFIG!$B$3</f>
        <v>11000</v>
      </c>
      <c r="E27" s="221">
        <f t="shared" si="0"/>
        <v>-11000</v>
      </c>
      <c r="F27" s="253"/>
      <c r="X27" s="28">
        <f t="shared" si="1"/>
        <v>0</v>
      </c>
      <c r="Y27" s="28">
        <f t="shared" si="2"/>
        <v>11000</v>
      </c>
    </row>
    <row r="28" spans="1:25" ht="15" customHeight="1" x14ac:dyDescent="0.3">
      <c r="A28" s="443">
        <v>46379</v>
      </c>
      <c r="B28" s="219">
        <f>IF(D28&gt;0,COUNTIF($D$9:D28,"&gt;0"),"")</f>
        <v>20</v>
      </c>
      <c r="C28" s="221">
        <f>'SEMANA DEZEMBRO'!$M$161</f>
        <v>0</v>
      </c>
      <c r="D28" s="221">
        <f>CONFIG!$B$3</f>
        <v>11000</v>
      </c>
      <c r="E28" s="221">
        <f t="shared" si="0"/>
        <v>-11000</v>
      </c>
      <c r="F28" s="253"/>
      <c r="X28" s="28">
        <f t="shared" si="1"/>
        <v>0</v>
      </c>
      <c r="Y28" s="28">
        <f t="shared" si="2"/>
        <v>11000</v>
      </c>
    </row>
    <row r="29" spans="1:25" ht="15" customHeight="1" x14ac:dyDescent="0.3">
      <c r="A29" s="443">
        <v>46380</v>
      </c>
      <c r="B29" s="219">
        <f>IF(D29&gt;0,COUNTIF($D$9:D29,"&gt;0"),"")</f>
        <v>21</v>
      </c>
      <c r="C29" s="221">
        <f>'SEMANA DEZEMBRO'!$M$169</f>
        <v>0</v>
      </c>
      <c r="D29" s="221">
        <f>CONFIG!$B$3</f>
        <v>11000</v>
      </c>
      <c r="E29" s="221">
        <f t="shared" si="0"/>
        <v>-11000</v>
      </c>
      <c r="F29" s="253"/>
      <c r="X29" s="28">
        <f t="shared" si="1"/>
        <v>0</v>
      </c>
      <c r="Y29" s="28">
        <f t="shared" si="2"/>
        <v>11000</v>
      </c>
    </row>
    <row r="30" spans="1:25" ht="15" customHeight="1" x14ac:dyDescent="0.3">
      <c r="A30" s="443">
        <v>46381</v>
      </c>
      <c r="B30" s="219" t="str">
        <f>IF(D30&gt;0,COUNTIF($D$9:D30,"&gt;0"),"")</f>
        <v/>
      </c>
      <c r="C30" s="221">
        <f>'SEMANA DEZEMBRO'!$M$177</f>
        <v>0</v>
      </c>
      <c r="D30" s="221">
        <v>0</v>
      </c>
      <c r="E30" s="221">
        <f t="shared" si="0"/>
        <v>0</v>
      </c>
      <c r="F30" s="254" t="s">
        <v>670</v>
      </c>
      <c r="X30" s="28" t="e">
        <f t="shared" si="1"/>
        <v>#N/A</v>
      </c>
      <c r="Y30" s="28" t="e">
        <f t="shared" si="2"/>
        <v>#N/A</v>
      </c>
    </row>
    <row r="31" spans="1:25" ht="15" customHeight="1" x14ac:dyDescent="0.3">
      <c r="A31" s="443">
        <v>46382</v>
      </c>
      <c r="B31" s="219">
        <f>IF(D31&gt;0,COUNTIF($D$9:D31,"&gt;0"),"")</f>
        <v>22</v>
      </c>
      <c r="C31" s="221">
        <f>'SEMANA DEZEMBRO'!$M$185</f>
        <v>0</v>
      </c>
      <c r="D31" s="221">
        <f>CONFIG!$B$3</f>
        <v>11000</v>
      </c>
      <c r="E31" s="221">
        <f t="shared" si="0"/>
        <v>-11000</v>
      </c>
      <c r="F31" s="254" t="s">
        <v>557</v>
      </c>
      <c r="X31" s="28">
        <f t="shared" si="1"/>
        <v>0</v>
      </c>
      <c r="Y31" s="28">
        <f t="shared" si="2"/>
        <v>11000</v>
      </c>
    </row>
    <row r="32" spans="1:25" ht="14.25" customHeight="1" x14ac:dyDescent="0.3">
      <c r="A32" s="443">
        <v>46384</v>
      </c>
      <c r="B32" s="219">
        <f>IF(D32&gt;0,COUNTIF($D$9:D32,"&gt;0"),"")</f>
        <v>23</v>
      </c>
      <c r="C32" s="221">
        <f>'SEMANA DEZEMBRO'!$M$193</f>
        <v>0</v>
      </c>
      <c r="D32" s="221">
        <f>CONFIG!$B$3</f>
        <v>11000</v>
      </c>
      <c r="E32" s="221">
        <f t="shared" si="0"/>
        <v>-11000</v>
      </c>
      <c r="F32" s="253"/>
    </row>
    <row r="33" spans="1:6" ht="14.25" customHeight="1" x14ac:dyDescent="0.3">
      <c r="A33" s="443">
        <v>46385</v>
      </c>
      <c r="B33" s="219">
        <f>IF(D33&gt;0,COUNTIF($D$9:D33,"&gt;0"),"")</f>
        <v>24</v>
      </c>
      <c r="C33" s="221">
        <f>'SEMANA DEZEMBRO'!$M$201</f>
        <v>0</v>
      </c>
      <c r="D33" s="221">
        <f>CONFIG!$B$3</f>
        <v>11000</v>
      </c>
      <c r="E33" s="221">
        <f t="shared" si="0"/>
        <v>-11000</v>
      </c>
      <c r="F33" s="253"/>
    </row>
    <row r="34" spans="1:6" ht="14.25" customHeight="1" x14ac:dyDescent="0.3">
      <c r="A34" s="443">
        <v>46386</v>
      </c>
      <c r="B34" s="219">
        <f>IF(D34&gt;0,COUNTIF($D$9:D34,"&gt;0"),"")</f>
        <v>25</v>
      </c>
      <c r="C34" s="221">
        <f>'SEMANA DEZEMBRO'!$M$209</f>
        <v>0</v>
      </c>
      <c r="D34" s="221">
        <f>CONFIG!$B$3</f>
        <v>11000</v>
      </c>
      <c r="E34" s="221">
        <f t="shared" si="0"/>
        <v>-11000</v>
      </c>
      <c r="F34" s="253"/>
    </row>
    <row r="35" spans="1:6" ht="14.25" customHeight="1" x14ac:dyDescent="0.3">
      <c r="A35" s="443">
        <v>46387</v>
      </c>
      <c r="B35" s="219">
        <f>IF(D35&gt;0,COUNTIF($D$9:D35,"&gt;0"),"")</f>
        <v>26</v>
      </c>
      <c r="C35" s="221">
        <f>'SEMANA DEZEMBRO'!$M$217</f>
        <v>0</v>
      </c>
      <c r="D35" s="221">
        <f>CONFIG!$B$3</f>
        <v>11000</v>
      </c>
      <c r="E35" s="221">
        <f t="shared" si="0"/>
        <v>-11000</v>
      </c>
      <c r="F35" s="253"/>
    </row>
    <row r="36" spans="1:6" ht="14.25" customHeight="1" x14ac:dyDescent="0.3"/>
    <row r="37" spans="1:6" ht="14.25" customHeight="1" x14ac:dyDescent="0.3"/>
    <row r="38" spans="1:6" ht="14.25" customHeight="1" x14ac:dyDescent="0.3"/>
    <row r="39" spans="1:6" ht="14.25" customHeight="1" x14ac:dyDescent="0.3"/>
    <row r="40" spans="1:6" ht="14.25" customHeight="1" x14ac:dyDescent="0.3"/>
    <row r="41" spans="1:6" ht="14.25" customHeight="1" x14ac:dyDescent="0.3"/>
    <row r="42" spans="1:6" ht="14.25" customHeight="1" x14ac:dyDescent="0.3"/>
    <row r="43" spans="1:6" ht="14.25" customHeight="1" x14ac:dyDescent="0.3"/>
    <row r="44" spans="1:6" ht="14.25" customHeight="1" x14ac:dyDescent="0.3"/>
    <row r="45" spans="1:6" ht="14.25" customHeight="1" x14ac:dyDescent="0.3"/>
    <row r="46" spans="1:6" ht="14.25" customHeight="1" x14ac:dyDescent="0.3"/>
    <row r="47" spans="1:6" ht="14.25" customHeight="1" x14ac:dyDescent="0.3"/>
    <row r="48" spans="1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</sheetData>
  <mergeCells count="1">
    <mergeCell ref="A1:F1"/>
  </mergeCells>
  <conditionalFormatting sqref="E9:E30">
    <cfRule type="cellIs" dxfId="20" priority="2" operator="greaterThan">
      <formula>0</formula>
    </cfRule>
    <cfRule type="cellIs" dxfId="19" priority="3" operator="lessThan">
      <formula>0</formula>
    </cfRule>
    <cfRule type="cellIs" dxfId="18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T148"/>
  <sheetViews>
    <sheetView zoomScaleNormal="100" workbookViewId="0"/>
  </sheetViews>
  <sheetFormatPr defaultColWidth="8.6640625" defaultRowHeight="14.4" x14ac:dyDescent="0.3"/>
  <cols>
    <col min="1" max="1" width="22.88671875" customWidth="1"/>
    <col min="2" max="2" width="12.5546875" customWidth="1"/>
    <col min="3" max="3" width="11" customWidth="1"/>
    <col min="4" max="4" width="13.44140625" customWidth="1"/>
    <col min="5" max="5" width="17" customWidth="1"/>
    <col min="6" max="6" width="14.5546875" customWidth="1"/>
    <col min="7" max="7" width="15.5546875" customWidth="1"/>
    <col min="8" max="8" width="15.88671875" customWidth="1"/>
    <col min="9" max="9" width="26.5546875" customWidth="1"/>
    <col min="11" max="11" width="12.109375" customWidth="1"/>
    <col min="12" max="12" width="12.33203125" customWidth="1"/>
    <col min="13" max="13" width="19" customWidth="1"/>
    <col min="14" max="14" width="14.33203125" customWidth="1"/>
    <col min="15" max="15" width="17.109375" customWidth="1"/>
    <col min="16" max="16" width="16.44140625" customWidth="1"/>
    <col min="17" max="17" width="16.5546875" customWidth="1"/>
    <col min="18" max="18" width="13.33203125" customWidth="1"/>
    <col min="19" max="19" width="22" customWidth="1"/>
    <col min="20" max="20" width="26" customWidth="1"/>
  </cols>
  <sheetData>
    <row r="1" spans="1:10" ht="14.25" customHeight="1" x14ac:dyDescent="0.3">
      <c r="A1" s="257" t="s">
        <v>78</v>
      </c>
      <c r="B1" s="258" t="s">
        <v>671</v>
      </c>
      <c r="C1" s="258" t="s">
        <v>672</v>
      </c>
      <c r="D1" s="258" t="s">
        <v>673</v>
      </c>
      <c r="E1" s="258" t="s">
        <v>208</v>
      </c>
      <c r="F1" s="258" t="s">
        <v>674</v>
      </c>
      <c r="G1" s="258" t="s">
        <v>216</v>
      </c>
    </row>
    <row r="2" spans="1:10" ht="14.25" customHeight="1" x14ac:dyDescent="0.3">
      <c r="A2" s="259"/>
      <c r="B2" s="260"/>
      <c r="C2" s="260"/>
      <c r="D2" s="260"/>
      <c r="E2" s="260"/>
      <c r="F2" s="260"/>
      <c r="G2" s="261"/>
    </row>
    <row r="3" spans="1:10" ht="14.25" customHeight="1" x14ac:dyDescent="0.3">
      <c r="A3" s="259" t="s">
        <v>675</v>
      </c>
      <c r="B3" s="262"/>
      <c r="C3" s="262" t="s">
        <v>30</v>
      </c>
      <c r="D3" s="262">
        <v>12</v>
      </c>
      <c r="E3" s="262">
        <v>125</v>
      </c>
      <c r="F3" s="263"/>
      <c r="G3" s="264">
        <v>21</v>
      </c>
      <c r="I3" s="178" t="s">
        <v>676</v>
      </c>
      <c r="J3" s="265" t="s">
        <v>677</v>
      </c>
    </row>
    <row r="4" spans="1:10" ht="18" customHeight="1" x14ac:dyDescent="0.3">
      <c r="A4" s="266"/>
      <c r="B4" s="267"/>
      <c r="C4" s="267"/>
      <c r="D4" s="267"/>
      <c r="E4" s="267"/>
      <c r="F4" s="268"/>
      <c r="G4" s="269"/>
      <c r="I4" s="205" t="s">
        <v>678</v>
      </c>
      <c r="J4" s="270">
        <v>1</v>
      </c>
    </row>
    <row r="5" spans="1:10" ht="14.25" customHeight="1" x14ac:dyDescent="0.3">
      <c r="A5" s="259"/>
      <c r="B5" s="271"/>
      <c r="C5" s="271"/>
      <c r="D5" s="271"/>
      <c r="E5" s="271"/>
      <c r="F5" s="271"/>
      <c r="G5" s="261"/>
      <c r="I5" s="205" t="s">
        <v>339</v>
      </c>
      <c r="J5" s="270">
        <v>2</v>
      </c>
    </row>
    <row r="6" spans="1:10" ht="14.25" customHeight="1" x14ac:dyDescent="0.3">
      <c r="A6" s="259" t="s">
        <v>679</v>
      </c>
      <c r="B6" s="262">
        <v>15179090</v>
      </c>
      <c r="C6" s="262" t="s">
        <v>680</v>
      </c>
      <c r="D6" s="262">
        <v>12</v>
      </c>
      <c r="E6" s="262">
        <v>250</v>
      </c>
      <c r="F6" s="264">
        <v>16.100000000000001</v>
      </c>
      <c r="G6" s="264">
        <f>F6*E6*12</f>
        <v>48300.000000000007</v>
      </c>
      <c r="I6" s="205" t="s">
        <v>333</v>
      </c>
      <c r="J6" s="270">
        <v>3</v>
      </c>
    </row>
    <row r="7" spans="1:10" ht="18" customHeight="1" x14ac:dyDescent="0.3">
      <c r="A7" s="266"/>
      <c r="B7" s="267"/>
      <c r="C7" s="267"/>
      <c r="D7" s="267"/>
      <c r="E7" s="267"/>
      <c r="F7" s="268"/>
      <c r="G7" s="269"/>
      <c r="I7" s="205" t="s">
        <v>326</v>
      </c>
      <c r="J7" s="270">
        <v>4</v>
      </c>
    </row>
    <row r="8" spans="1:10" ht="18" customHeight="1" x14ac:dyDescent="0.3">
      <c r="A8" s="259"/>
      <c r="B8" s="272"/>
      <c r="C8" s="272"/>
      <c r="D8" s="272"/>
      <c r="E8" s="272"/>
      <c r="F8" s="262"/>
      <c r="G8" s="261"/>
      <c r="I8" s="205" t="s">
        <v>681</v>
      </c>
      <c r="J8" s="270">
        <v>5</v>
      </c>
    </row>
    <row r="9" spans="1:10" ht="14.25" customHeight="1" x14ac:dyDescent="0.3">
      <c r="A9" s="273" t="s">
        <v>682</v>
      </c>
      <c r="B9" s="262"/>
      <c r="C9" s="262"/>
      <c r="D9" s="262"/>
      <c r="E9" s="262">
        <v>25000</v>
      </c>
      <c r="F9" s="274">
        <v>0.37</v>
      </c>
      <c r="G9" s="264">
        <f>F9*E9</f>
        <v>9250</v>
      </c>
      <c r="I9" s="205" t="s">
        <v>683</v>
      </c>
      <c r="J9" s="270">
        <v>6</v>
      </c>
    </row>
    <row r="10" spans="1:10" ht="18" customHeight="1" x14ac:dyDescent="0.3">
      <c r="A10" s="266"/>
      <c r="B10" s="267"/>
      <c r="C10" s="267"/>
      <c r="D10" s="267"/>
      <c r="E10" s="267"/>
      <c r="F10" s="268"/>
      <c r="G10" s="269" t="s">
        <v>684</v>
      </c>
      <c r="I10" s="205" t="s">
        <v>685</v>
      </c>
      <c r="J10" s="270">
        <v>7</v>
      </c>
    </row>
    <row r="11" spans="1:10" ht="14.25" customHeight="1" x14ac:dyDescent="0.3">
      <c r="A11" s="266"/>
      <c r="B11" s="275"/>
      <c r="C11" s="275"/>
      <c r="D11" s="275"/>
      <c r="E11" s="275"/>
      <c r="F11" s="269"/>
      <c r="G11" s="269"/>
      <c r="I11" s="205" t="s">
        <v>686</v>
      </c>
      <c r="J11" s="270">
        <v>8</v>
      </c>
    </row>
    <row r="12" spans="1:10" ht="14.25" customHeight="1" x14ac:dyDescent="0.3">
      <c r="I12" s="205" t="s">
        <v>687</v>
      </c>
      <c r="J12" s="270">
        <v>9</v>
      </c>
    </row>
    <row r="13" spans="1:10" ht="14.25" customHeight="1" x14ac:dyDescent="0.3">
      <c r="I13" s="205" t="s">
        <v>688</v>
      </c>
      <c r="J13" s="270">
        <v>10</v>
      </c>
    </row>
    <row r="14" spans="1:10" ht="14.25" customHeight="1" x14ac:dyDescent="0.3">
      <c r="I14" s="205" t="s">
        <v>689</v>
      </c>
      <c r="J14" s="270">
        <v>11</v>
      </c>
    </row>
    <row r="15" spans="1:10" ht="14.25" customHeight="1" x14ac:dyDescent="0.3">
      <c r="A15" s="276" t="s">
        <v>690</v>
      </c>
      <c r="B15" s="277" t="s">
        <v>155</v>
      </c>
      <c r="C15" s="277" t="s">
        <v>691</v>
      </c>
      <c r="D15" s="277" t="s">
        <v>692</v>
      </c>
      <c r="E15" s="277" t="s">
        <v>693</v>
      </c>
      <c r="F15" s="277" t="s">
        <v>694</v>
      </c>
      <c r="G15" s="277" t="s">
        <v>216</v>
      </c>
      <c r="H15" s="277" t="s">
        <v>695</v>
      </c>
    </row>
    <row r="16" spans="1:10" ht="14.25" customHeight="1" x14ac:dyDescent="0.3">
      <c r="A16" t="s">
        <v>340</v>
      </c>
      <c r="B16">
        <v>500</v>
      </c>
      <c r="C16">
        <v>100</v>
      </c>
      <c r="D16">
        <v>100</v>
      </c>
      <c r="E16">
        <v>990</v>
      </c>
      <c r="F16">
        <v>330</v>
      </c>
      <c r="G16">
        <f t="shared" ref="G16:G25" si="0">SUM(B16:F16)</f>
        <v>2020</v>
      </c>
      <c r="H16">
        <f t="shared" ref="H16:H26" si="1">G16*6*0.195</f>
        <v>2363.4</v>
      </c>
    </row>
    <row r="17" spans="1:19" ht="14.25" customHeight="1" x14ac:dyDescent="0.3">
      <c r="A17" t="s">
        <v>696</v>
      </c>
      <c r="B17">
        <v>300</v>
      </c>
      <c r="C17">
        <v>100</v>
      </c>
      <c r="D17">
        <v>100</v>
      </c>
      <c r="G17">
        <f t="shared" si="0"/>
        <v>500</v>
      </c>
      <c r="H17">
        <f t="shared" si="1"/>
        <v>585</v>
      </c>
    </row>
    <row r="18" spans="1:19" ht="14.25" customHeight="1" x14ac:dyDescent="0.3">
      <c r="A18" t="s">
        <v>697</v>
      </c>
      <c r="B18">
        <v>200</v>
      </c>
      <c r="C18">
        <v>100</v>
      </c>
      <c r="D18">
        <v>100</v>
      </c>
      <c r="G18">
        <f t="shared" si="0"/>
        <v>400</v>
      </c>
      <c r="H18">
        <f t="shared" si="1"/>
        <v>468</v>
      </c>
    </row>
    <row r="19" spans="1:19" ht="14.25" customHeight="1" x14ac:dyDescent="0.3">
      <c r="A19" t="s">
        <v>698</v>
      </c>
      <c r="B19">
        <v>300</v>
      </c>
      <c r="C19">
        <v>100</v>
      </c>
      <c r="D19">
        <v>100</v>
      </c>
      <c r="G19">
        <f t="shared" si="0"/>
        <v>500</v>
      </c>
      <c r="H19">
        <f t="shared" si="1"/>
        <v>585</v>
      </c>
    </row>
    <row r="20" spans="1:19" ht="14.25" customHeight="1" x14ac:dyDescent="0.3">
      <c r="A20" t="s">
        <v>699</v>
      </c>
      <c r="B20">
        <v>250</v>
      </c>
      <c r="G20">
        <f t="shared" si="0"/>
        <v>250</v>
      </c>
      <c r="H20">
        <f t="shared" si="1"/>
        <v>292.5</v>
      </c>
    </row>
    <row r="21" spans="1:19" ht="14.25" customHeight="1" x14ac:dyDescent="0.3">
      <c r="A21" t="s">
        <v>700</v>
      </c>
      <c r="B21">
        <v>300</v>
      </c>
      <c r="G21">
        <f t="shared" si="0"/>
        <v>300</v>
      </c>
      <c r="H21">
        <f t="shared" si="1"/>
        <v>351</v>
      </c>
    </row>
    <row r="22" spans="1:19" ht="14.25" customHeight="1" x14ac:dyDescent="0.3">
      <c r="A22" t="s">
        <v>701</v>
      </c>
      <c r="B22">
        <v>250</v>
      </c>
      <c r="G22">
        <f t="shared" si="0"/>
        <v>250</v>
      </c>
      <c r="H22">
        <f t="shared" si="1"/>
        <v>292.5</v>
      </c>
    </row>
    <row r="23" spans="1:19" ht="14.25" customHeight="1" x14ac:dyDescent="0.3">
      <c r="A23" t="s">
        <v>702</v>
      </c>
      <c r="B23">
        <v>250</v>
      </c>
      <c r="G23">
        <f t="shared" si="0"/>
        <v>250</v>
      </c>
      <c r="H23">
        <f t="shared" si="1"/>
        <v>292.5</v>
      </c>
    </row>
    <row r="24" spans="1:19" ht="14.25" customHeight="1" x14ac:dyDescent="0.3">
      <c r="A24" t="s">
        <v>703</v>
      </c>
      <c r="G24">
        <f t="shared" si="0"/>
        <v>0</v>
      </c>
      <c r="H24">
        <f t="shared" si="1"/>
        <v>0</v>
      </c>
    </row>
    <row r="25" spans="1:19" ht="14.25" customHeight="1" x14ac:dyDescent="0.3">
      <c r="A25" t="s">
        <v>704</v>
      </c>
      <c r="F25">
        <v>330</v>
      </c>
      <c r="G25">
        <f t="shared" si="0"/>
        <v>330</v>
      </c>
      <c r="H25">
        <f t="shared" si="1"/>
        <v>386.1</v>
      </c>
    </row>
    <row r="26" spans="1:19" ht="14.25" customHeight="1" x14ac:dyDescent="0.3">
      <c r="G26">
        <f>SUM(G16:G25)</f>
        <v>4800</v>
      </c>
      <c r="H26">
        <f t="shared" si="1"/>
        <v>5616</v>
      </c>
    </row>
    <row r="29" spans="1:19" ht="14.25" customHeight="1" x14ac:dyDescent="0.3">
      <c r="A29" s="730"/>
    </row>
    <row r="30" spans="1:19" ht="78.75" customHeight="1" x14ac:dyDescent="0.3">
      <c r="A30" s="730"/>
      <c r="M30" s="730"/>
    </row>
    <row r="31" spans="1:19" ht="30" customHeight="1" x14ac:dyDescent="0.3">
      <c r="A31" s="278" t="s">
        <v>78</v>
      </c>
      <c r="B31" s="279" t="s">
        <v>671</v>
      </c>
      <c r="C31" s="279" t="s">
        <v>672</v>
      </c>
      <c r="D31" s="279" t="s">
        <v>673</v>
      </c>
      <c r="E31" s="279" t="s">
        <v>705</v>
      </c>
      <c r="F31" s="280" t="s">
        <v>706</v>
      </c>
      <c r="G31" s="279" t="s">
        <v>216</v>
      </c>
      <c r="H31" s="279"/>
      <c r="M31" s="730"/>
    </row>
    <row r="32" spans="1:19" ht="30" customHeight="1" x14ac:dyDescent="0.3">
      <c r="A32" s="259"/>
      <c r="B32" s="260"/>
      <c r="C32" s="260"/>
      <c r="D32" s="260"/>
      <c r="E32" s="260"/>
      <c r="F32" s="260"/>
      <c r="G32" s="261"/>
      <c r="H32" s="273"/>
      <c r="I32" s="726" t="s">
        <v>707</v>
      </c>
      <c r="M32" s="278" t="s">
        <v>78</v>
      </c>
      <c r="N32" s="279" t="s">
        <v>671</v>
      </c>
      <c r="O32" s="279" t="s">
        <v>672</v>
      </c>
      <c r="P32" s="279" t="s">
        <v>673</v>
      </c>
      <c r="Q32" s="279" t="s">
        <v>705</v>
      </c>
      <c r="R32" s="280" t="s">
        <v>706</v>
      </c>
      <c r="S32" s="279" t="s">
        <v>216</v>
      </c>
    </row>
    <row r="33" spans="1:20" ht="15" customHeight="1" x14ac:dyDescent="0.3">
      <c r="A33" s="259" t="s">
        <v>708</v>
      </c>
      <c r="B33" s="262"/>
      <c r="C33" s="262" t="s">
        <v>709</v>
      </c>
      <c r="D33" s="262">
        <v>6</v>
      </c>
      <c r="E33" s="262">
        <v>660</v>
      </c>
      <c r="F33" s="263">
        <v>10.119999999999999</v>
      </c>
      <c r="G33" s="264">
        <f>F33*E33*D33</f>
        <v>40075.199999999997</v>
      </c>
      <c r="H33" s="281"/>
      <c r="I33" s="726"/>
      <c r="M33" s="259"/>
      <c r="N33" s="260"/>
      <c r="O33" s="260"/>
      <c r="P33" s="260"/>
      <c r="Q33" s="260"/>
      <c r="R33" s="260"/>
      <c r="S33" s="261"/>
      <c r="T33" s="734" t="s">
        <v>710</v>
      </c>
    </row>
    <row r="34" spans="1:20" ht="18" customHeight="1" x14ac:dyDescent="0.3">
      <c r="A34" s="266"/>
      <c r="B34" s="267"/>
      <c r="C34" s="267"/>
      <c r="D34" s="267"/>
      <c r="E34" s="267"/>
      <c r="F34" s="268"/>
      <c r="G34" s="269"/>
      <c r="H34" s="275"/>
      <c r="I34" s="726"/>
      <c r="M34" s="259" t="s">
        <v>708</v>
      </c>
      <c r="N34" s="262"/>
      <c r="O34" s="262" t="s">
        <v>709</v>
      </c>
      <c r="P34" s="262">
        <v>6</v>
      </c>
      <c r="Q34" s="262">
        <v>660</v>
      </c>
      <c r="R34" s="263">
        <v>10.119999999999999</v>
      </c>
      <c r="S34" s="264">
        <f>R34*Q34*P34</f>
        <v>40075.199999999997</v>
      </c>
      <c r="T34" s="734"/>
    </row>
    <row r="35" spans="1:20" ht="18" customHeight="1" x14ac:dyDescent="0.3">
      <c r="A35" s="259"/>
      <c r="B35" s="272"/>
      <c r="C35" s="272"/>
      <c r="D35" s="272"/>
      <c r="E35" s="272"/>
      <c r="F35" s="262"/>
      <c r="G35" s="261"/>
      <c r="H35" s="273"/>
      <c r="I35" s="726" t="s">
        <v>711</v>
      </c>
      <c r="M35" s="266"/>
      <c r="N35" s="267"/>
      <c r="O35" s="267"/>
      <c r="P35" s="267"/>
      <c r="Q35" s="267"/>
      <c r="R35" s="268"/>
      <c r="S35" s="269"/>
      <c r="T35" s="734"/>
    </row>
    <row r="36" spans="1:20" ht="18" customHeight="1" x14ac:dyDescent="0.3">
      <c r="A36" s="273" t="s">
        <v>712</v>
      </c>
      <c r="B36" s="262"/>
      <c r="C36" s="262"/>
      <c r="D36" s="262"/>
      <c r="E36" s="262">
        <v>25000</v>
      </c>
      <c r="F36" s="274">
        <v>0.27</v>
      </c>
      <c r="G36" s="264">
        <f>F36*E36</f>
        <v>6750</v>
      </c>
      <c r="H36" s="281"/>
      <c r="I36" s="726"/>
      <c r="K36" t="s">
        <v>713</v>
      </c>
      <c r="M36" s="259"/>
      <c r="N36" s="272"/>
      <c r="O36" s="272"/>
      <c r="P36" s="272"/>
      <c r="Q36" s="272"/>
      <c r="R36" s="262"/>
      <c r="S36" s="273"/>
      <c r="T36" s="726" t="s">
        <v>714</v>
      </c>
    </row>
    <row r="37" spans="1:20" ht="18" customHeight="1" x14ac:dyDescent="0.3">
      <c r="A37" s="266"/>
      <c r="B37" s="267"/>
      <c r="C37" s="267"/>
      <c r="D37" s="267"/>
      <c r="E37" s="267"/>
      <c r="F37" s="268"/>
      <c r="G37" s="269"/>
      <c r="H37" s="275"/>
      <c r="I37" s="726"/>
      <c r="M37" s="271" t="s">
        <v>712</v>
      </c>
      <c r="N37" s="262"/>
      <c r="O37" s="262"/>
      <c r="P37" s="262"/>
      <c r="Q37" s="262">
        <v>25000</v>
      </c>
      <c r="R37" s="274">
        <v>0.27</v>
      </c>
      <c r="S37" s="281">
        <f>R37*Q37</f>
        <v>6750</v>
      </c>
      <c r="T37" s="726"/>
    </row>
    <row r="38" spans="1:20" ht="18" customHeight="1" x14ac:dyDescent="0.3">
      <c r="A38" s="266"/>
      <c r="B38" s="275"/>
      <c r="C38" s="275"/>
      <c r="D38" s="275"/>
      <c r="E38" s="275"/>
      <c r="F38" s="269"/>
      <c r="G38" s="269"/>
      <c r="H38" s="275"/>
      <c r="I38" s="726"/>
      <c r="M38" s="266"/>
      <c r="N38" s="267"/>
      <c r="O38" s="267"/>
      <c r="P38" s="267"/>
      <c r="Q38" s="267"/>
      <c r="R38" s="268"/>
      <c r="S38" s="275"/>
      <c r="T38" s="726"/>
    </row>
    <row r="39" spans="1:20" ht="14.25" customHeight="1" x14ac:dyDescent="0.3">
      <c r="I39" s="726"/>
      <c r="M39" s="266"/>
      <c r="N39" s="275"/>
      <c r="O39" s="275"/>
      <c r="P39" s="275"/>
      <c r="Q39" s="275"/>
      <c r="R39" s="269"/>
      <c r="S39" s="275"/>
      <c r="T39" s="726"/>
    </row>
    <row r="41" spans="1:20" ht="14.25" customHeight="1" x14ac:dyDescent="0.3">
      <c r="A41" s="730"/>
    </row>
    <row r="42" spans="1:20" ht="78.75" customHeight="1" x14ac:dyDescent="0.3">
      <c r="A42" s="730"/>
    </row>
    <row r="43" spans="1:20" ht="15" customHeight="1" x14ac:dyDescent="0.3">
      <c r="A43" s="257" t="s">
        <v>78</v>
      </c>
      <c r="B43" s="258" t="s">
        <v>671</v>
      </c>
      <c r="C43" s="258" t="s">
        <v>672</v>
      </c>
      <c r="D43" s="258" t="s">
        <v>673</v>
      </c>
      <c r="E43" s="258" t="s">
        <v>715</v>
      </c>
      <c r="F43" s="258" t="s">
        <v>674</v>
      </c>
      <c r="G43" s="258" t="s">
        <v>216</v>
      </c>
      <c r="H43" s="733" t="s">
        <v>716</v>
      </c>
    </row>
    <row r="44" spans="1:20" ht="14.25" customHeight="1" x14ac:dyDescent="0.3">
      <c r="A44" s="259"/>
      <c r="B44" s="260"/>
      <c r="C44" s="260"/>
      <c r="D44" s="260"/>
      <c r="E44" s="260"/>
      <c r="F44" s="260"/>
      <c r="G44" s="261"/>
      <c r="H44" s="733"/>
    </row>
    <row r="45" spans="1:20" ht="14.25" customHeight="1" x14ac:dyDescent="0.3">
      <c r="A45" s="259" t="s">
        <v>679</v>
      </c>
      <c r="B45" s="262">
        <v>15179090</v>
      </c>
      <c r="C45" s="262" t="s">
        <v>30</v>
      </c>
      <c r="D45" s="262">
        <v>12</v>
      </c>
      <c r="E45" s="262">
        <v>750</v>
      </c>
      <c r="F45" s="263">
        <v>13.58</v>
      </c>
      <c r="G45" s="264">
        <f>F45*E45*12</f>
        <v>122220</v>
      </c>
      <c r="H45" s="733"/>
    </row>
    <row r="46" spans="1:20" ht="18" customHeight="1" x14ac:dyDescent="0.3">
      <c r="A46" s="266"/>
      <c r="B46" s="267"/>
      <c r="C46" s="267"/>
      <c r="D46" s="267"/>
      <c r="E46" s="267" t="s">
        <v>485</v>
      </c>
      <c r="F46" s="268"/>
      <c r="G46" s="269"/>
      <c r="H46" s="733"/>
    </row>
    <row r="47" spans="1:20" ht="14.25" customHeight="1" x14ac:dyDescent="0.3">
      <c r="H47" s="733"/>
    </row>
    <row r="48" spans="1:20" ht="30" customHeight="1" x14ac:dyDescent="0.3">
      <c r="A48" s="278" t="s">
        <v>78</v>
      </c>
      <c r="B48" s="279" t="s">
        <v>671</v>
      </c>
      <c r="C48" s="279" t="s">
        <v>672</v>
      </c>
      <c r="D48" s="282" t="s">
        <v>717</v>
      </c>
      <c r="E48" s="279" t="s">
        <v>674</v>
      </c>
      <c r="F48" s="258" t="s">
        <v>216</v>
      </c>
    </row>
    <row r="49" spans="1:9" ht="15" customHeight="1" x14ac:dyDescent="0.3">
      <c r="A49" s="259"/>
      <c r="B49" s="260"/>
      <c r="C49" s="260"/>
      <c r="D49" s="260"/>
      <c r="E49" s="283"/>
      <c r="F49" s="284"/>
      <c r="G49" s="726" t="s">
        <v>718</v>
      </c>
    </row>
    <row r="50" spans="1:9" ht="14.25" customHeight="1" x14ac:dyDescent="0.3">
      <c r="A50" s="259" t="s">
        <v>679</v>
      </c>
      <c r="B50" s="262">
        <v>15179090</v>
      </c>
      <c r="C50" s="262" t="s">
        <v>30</v>
      </c>
      <c r="D50" s="285">
        <v>25000</v>
      </c>
      <c r="E50" s="286">
        <v>0.45</v>
      </c>
      <c r="F50" s="287">
        <f>E50*D50</f>
        <v>11250</v>
      </c>
      <c r="G50" s="726"/>
    </row>
    <row r="51" spans="1:9" ht="18" customHeight="1" x14ac:dyDescent="0.3">
      <c r="A51" s="266"/>
      <c r="B51" s="267"/>
      <c r="C51" s="267"/>
      <c r="D51" s="267"/>
      <c r="E51" s="288"/>
      <c r="F51" s="74"/>
      <c r="G51" s="726"/>
    </row>
    <row r="52" spans="1:9" ht="14.25" customHeight="1" x14ac:dyDescent="0.3">
      <c r="G52" s="726"/>
    </row>
    <row r="53" spans="1:9" ht="14.25" customHeight="1" x14ac:dyDescent="0.3">
      <c r="G53" s="726"/>
    </row>
    <row r="54" spans="1:9" ht="14.25" customHeight="1" x14ac:dyDescent="0.3">
      <c r="G54" s="726"/>
    </row>
    <row r="55" spans="1:9" ht="14.25" customHeight="1" x14ac:dyDescent="0.3">
      <c r="G55" s="726"/>
    </row>
    <row r="56" spans="1:9" ht="15" customHeight="1" x14ac:dyDescent="0.3">
      <c r="A56" s="730"/>
      <c r="I56" t="s">
        <v>719</v>
      </c>
    </row>
    <row r="57" spans="1:9" ht="67.5" customHeight="1" x14ac:dyDescent="0.3">
      <c r="A57" s="730"/>
    </row>
    <row r="58" spans="1:9" ht="14.25" customHeight="1" x14ac:dyDescent="0.3">
      <c r="A58" s="257" t="s">
        <v>78</v>
      </c>
      <c r="B58" s="258" t="s">
        <v>671</v>
      </c>
      <c r="C58" s="258" t="s">
        <v>672</v>
      </c>
      <c r="D58" s="258" t="s">
        <v>673</v>
      </c>
      <c r="E58" s="258" t="s">
        <v>715</v>
      </c>
      <c r="F58" s="258" t="s">
        <v>674</v>
      </c>
      <c r="G58" s="258" t="s">
        <v>216</v>
      </c>
    </row>
    <row r="59" spans="1:9" ht="15" customHeight="1" x14ac:dyDescent="0.3">
      <c r="A59" s="259"/>
      <c r="B59" s="260"/>
      <c r="C59" s="260"/>
      <c r="D59" s="260"/>
      <c r="E59" s="260" t="s">
        <v>720</v>
      </c>
      <c r="F59" s="260"/>
      <c r="G59" s="261"/>
      <c r="H59" s="726" t="s">
        <v>721</v>
      </c>
    </row>
    <row r="60" spans="1:9" ht="14.25" customHeight="1" x14ac:dyDescent="0.3">
      <c r="A60" s="259" t="s">
        <v>679</v>
      </c>
      <c r="B60" s="262">
        <v>15179090</v>
      </c>
      <c r="C60" s="262" t="s">
        <v>30</v>
      </c>
      <c r="D60" s="262">
        <v>12</v>
      </c>
      <c r="E60" s="262">
        <v>750</v>
      </c>
      <c r="F60" s="263">
        <v>12.57</v>
      </c>
      <c r="G60" s="264">
        <f>F60*E60*12</f>
        <v>113130</v>
      </c>
      <c r="H60" s="726"/>
    </row>
    <row r="61" spans="1:9" ht="18" customHeight="1" x14ac:dyDescent="0.3">
      <c r="A61" s="266"/>
      <c r="B61" s="267"/>
      <c r="C61" s="267"/>
      <c r="D61" s="267"/>
      <c r="E61" s="267" t="s">
        <v>722</v>
      </c>
      <c r="F61" s="268"/>
      <c r="G61" s="269"/>
      <c r="H61" s="726"/>
    </row>
    <row r="62" spans="1:9" ht="14.25" customHeight="1" x14ac:dyDescent="0.3">
      <c r="A62" s="259"/>
      <c r="B62" s="271"/>
      <c r="C62" s="271"/>
      <c r="D62" s="271"/>
      <c r="E62" s="271" t="s">
        <v>723</v>
      </c>
      <c r="F62" s="271"/>
      <c r="G62" s="261"/>
      <c r="H62" s="726"/>
    </row>
    <row r="63" spans="1:9" ht="14.25" customHeight="1" x14ac:dyDescent="0.3">
      <c r="A63" s="259" t="s">
        <v>679</v>
      </c>
      <c r="B63" s="262">
        <v>15179090</v>
      </c>
      <c r="C63" s="262" t="s">
        <v>34</v>
      </c>
      <c r="D63" s="262">
        <v>12</v>
      </c>
      <c r="E63" s="262">
        <v>380</v>
      </c>
      <c r="F63" s="264">
        <v>18.32</v>
      </c>
      <c r="G63" s="264">
        <f>F63*E63*12</f>
        <v>83539.200000000012</v>
      </c>
      <c r="H63" s="726"/>
    </row>
    <row r="64" spans="1:9" ht="18" customHeight="1" x14ac:dyDescent="0.3">
      <c r="A64" s="266"/>
      <c r="B64" s="267"/>
      <c r="C64" s="267"/>
      <c r="D64" s="267"/>
      <c r="E64" s="267" t="s">
        <v>724</v>
      </c>
      <c r="F64" s="268"/>
      <c r="G64" s="269"/>
      <c r="H64" s="726"/>
    </row>
    <row r="66" spans="1:19" ht="30" customHeight="1" x14ac:dyDescent="0.3">
      <c r="A66" s="278" t="s">
        <v>78</v>
      </c>
      <c r="B66" s="279" t="s">
        <v>671</v>
      </c>
      <c r="C66" s="279" t="s">
        <v>672</v>
      </c>
      <c r="D66" s="282" t="s">
        <v>717</v>
      </c>
      <c r="E66" s="279" t="s">
        <v>674</v>
      </c>
      <c r="F66" s="258" t="s">
        <v>216</v>
      </c>
      <c r="M66" s="278" t="s">
        <v>78</v>
      </c>
      <c r="N66" s="279" t="s">
        <v>671</v>
      </c>
      <c r="O66" s="279" t="s">
        <v>672</v>
      </c>
      <c r="P66" s="282" t="s">
        <v>717</v>
      </c>
      <c r="Q66" s="279" t="s">
        <v>674</v>
      </c>
      <c r="R66" s="258" t="s">
        <v>216</v>
      </c>
    </row>
    <row r="67" spans="1:19" ht="15" customHeight="1" x14ac:dyDescent="0.3">
      <c r="A67" s="259"/>
      <c r="B67" s="271"/>
      <c r="C67" s="271"/>
      <c r="D67" s="271"/>
      <c r="E67" s="283"/>
      <c r="F67" s="284"/>
      <c r="G67" s="726" t="s">
        <v>725</v>
      </c>
      <c r="M67" s="259"/>
      <c r="N67" s="271"/>
      <c r="O67" s="271"/>
      <c r="P67" s="271"/>
      <c r="Q67" s="283"/>
      <c r="R67" s="284"/>
      <c r="S67" s="726" t="s">
        <v>726</v>
      </c>
    </row>
    <row r="68" spans="1:19" ht="14.25" customHeight="1" x14ac:dyDescent="0.3">
      <c r="A68" s="259" t="s">
        <v>679</v>
      </c>
      <c r="B68" s="262">
        <v>15179090</v>
      </c>
      <c r="C68" s="262" t="s">
        <v>30</v>
      </c>
      <c r="D68" s="285">
        <v>35000</v>
      </c>
      <c r="E68" s="286">
        <v>0</v>
      </c>
      <c r="F68" s="287">
        <f>E68*D68</f>
        <v>0</v>
      </c>
      <c r="G68" s="726"/>
      <c r="M68" s="259" t="s">
        <v>679</v>
      </c>
      <c r="N68" s="262">
        <v>15179090</v>
      </c>
      <c r="O68" s="262" t="s">
        <v>30</v>
      </c>
      <c r="P68" s="285">
        <v>25000</v>
      </c>
      <c r="Q68" s="286">
        <v>0.48</v>
      </c>
      <c r="R68" s="287">
        <f>Q68*P68</f>
        <v>12000</v>
      </c>
      <c r="S68" s="726"/>
    </row>
    <row r="69" spans="1:19" ht="24" customHeight="1" x14ac:dyDescent="0.3">
      <c r="A69" s="266"/>
      <c r="B69" s="267"/>
      <c r="C69" s="267"/>
      <c r="D69" s="267"/>
      <c r="E69" s="288"/>
      <c r="F69" s="74"/>
      <c r="G69" s="726"/>
      <c r="M69" s="266"/>
      <c r="N69" s="267"/>
      <c r="O69" s="267"/>
      <c r="P69" s="267"/>
      <c r="Q69" s="288"/>
      <c r="R69" s="74"/>
      <c r="S69" s="726"/>
    </row>
    <row r="70" spans="1:19" ht="14.25" customHeight="1" x14ac:dyDescent="0.3">
      <c r="A70" s="259"/>
      <c r="B70" s="271"/>
      <c r="C70" s="271"/>
      <c r="D70" s="271"/>
      <c r="E70" s="283"/>
      <c r="F70" s="284"/>
      <c r="G70" s="726"/>
      <c r="M70" s="259"/>
      <c r="N70" s="271"/>
      <c r="O70" s="271"/>
      <c r="P70" s="271"/>
      <c r="Q70" s="283"/>
      <c r="R70" s="284"/>
      <c r="S70" s="726"/>
    </row>
    <row r="71" spans="1:19" ht="14.25" customHeight="1" x14ac:dyDescent="0.3">
      <c r="A71" s="259" t="s">
        <v>679</v>
      </c>
      <c r="B71" s="262">
        <v>15179090</v>
      </c>
      <c r="C71" s="262" t="s">
        <v>34</v>
      </c>
      <c r="D71" s="285">
        <v>35000</v>
      </c>
      <c r="E71" s="286">
        <v>0</v>
      </c>
      <c r="F71" s="287">
        <f>E71*D71</f>
        <v>0</v>
      </c>
      <c r="G71" s="726"/>
      <c r="M71" s="259" t="s">
        <v>679</v>
      </c>
      <c r="N71" s="262">
        <v>15179090</v>
      </c>
      <c r="O71" s="262" t="s">
        <v>34</v>
      </c>
      <c r="P71" s="285">
        <v>18000</v>
      </c>
      <c r="Q71" s="286">
        <v>0.55000000000000004</v>
      </c>
      <c r="R71" s="287">
        <f>Q71*P71</f>
        <v>9900</v>
      </c>
      <c r="S71" s="726"/>
    </row>
    <row r="72" spans="1:19" ht="24.75" customHeight="1" x14ac:dyDescent="0.3">
      <c r="A72" s="266"/>
      <c r="B72" s="267"/>
      <c r="C72" s="267"/>
      <c r="D72" s="267"/>
      <c r="E72" s="288"/>
      <c r="F72" s="74"/>
      <c r="G72" s="726"/>
      <c r="M72" s="266"/>
      <c r="N72" s="267"/>
      <c r="O72" s="267"/>
      <c r="P72" s="267"/>
      <c r="Q72" s="288"/>
      <c r="R72" s="74"/>
      <c r="S72" s="726"/>
    </row>
    <row r="75" spans="1:19" ht="15" customHeight="1" x14ac:dyDescent="0.3">
      <c r="A75" s="730"/>
    </row>
    <row r="76" spans="1:19" ht="67.5" customHeight="1" x14ac:dyDescent="0.3">
      <c r="A76" s="730"/>
    </row>
    <row r="77" spans="1:19" ht="15" customHeight="1" x14ac:dyDescent="0.3">
      <c r="A77" s="257" t="s">
        <v>78</v>
      </c>
      <c r="B77" s="258" t="s">
        <v>671</v>
      </c>
      <c r="C77" s="258" t="s">
        <v>672</v>
      </c>
      <c r="D77" s="258" t="s">
        <v>673</v>
      </c>
      <c r="E77" s="258" t="s">
        <v>715</v>
      </c>
      <c r="F77" s="258" t="s">
        <v>727</v>
      </c>
      <c r="G77" s="258" t="s">
        <v>216</v>
      </c>
      <c r="H77" s="726" t="s">
        <v>728</v>
      </c>
      <c r="I77" s="611"/>
    </row>
    <row r="78" spans="1:19" ht="14.25" customHeight="1" x14ac:dyDescent="0.3">
      <c r="A78" s="259"/>
      <c r="B78" s="260"/>
      <c r="C78" s="260"/>
      <c r="D78" s="260"/>
      <c r="E78" s="260"/>
      <c r="F78" s="260"/>
      <c r="G78" s="261"/>
      <c r="H78" s="726"/>
      <c r="I78" s="726"/>
    </row>
    <row r="79" spans="1:19" ht="14.25" customHeight="1" x14ac:dyDescent="0.3">
      <c r="A79" s="259" t="s">
        <v>729</v>
      </c>
      <c r="B79" s="262"/>
      <c r="C79" s="262" t="s">
        <v>730</v>
      </c>
      <c r="D79" s="262">
        <v>12</v>
      </c>
      <c r="E79" s="262">
        <v>495</v>
      </c>
      <c r="F79" s="263">
        <v>10.5</v>
      </c>
      <c r="G79" s="264">
        <f>F79*E79*D79</f>
        <v>62370</v>
      </c>
      <c r="H79" s="726"/>
      <c r="I79" s="726"/>
    </row>
    <row r="80" spans="1:19" ht="18" customHeight="1" x14ac:dyDescent="0.3">
      <c r="A80" s="266"/>
      <c r="B80" s="267"/>
      <c r="C80" s="267"/>
      <c r="D80" s="267"/>
      <c r="E80" s="267" t="s">
        <v>731</v>
      </c>
      <c r="F80" s="268"/>
      <c r="G80" s="269"/>
      <c r="H80" s="726"/>
      <c r="I80" s="611"/>
    </row>
    <row r="81" spans="1:16" ht="15" customHeight="1" x14ac:dyDescent="0.3">
      <c r="A81" s="259"/>
      <c r="B81" s="260"/>
      <c r="C81" s="260"/>
      <c r="D81" s="260"/>
      <c r="E81" s="260"/>
      <c r="F81" s="260"/>
      <c r="G81" s="261"/>
      <c r="H81" s="726" t="s">
        <v>732</v>
      </c>
      <c r="I81" s="611"/>
    </row>
    <row r="82" spans="1:16" ht="14.25" customHeight="1" x14ac:dyDescent="0.3">
      <c r="A82" s="259" t="s">
        <v>292</v>
      </c>
      <c r="B82" s="262"/>
      <c r="C82" s="262" t="s">
        <v>730</v>
      </c>
      <c r="D82" s="262">
        <v>12</v>
      </c>
      <c r="E82" s="262">
        <v>495</v>
      </c>
      <c r="F82" s="263">
        <v>10.5</v>
      </c>
      <c r="G82" s="264">
        <f>F82*E82*D82</f>
        <v>62370</v>
      </c>
      <c r="H82" s="726"/>
      <c r="I82" s="726"/>
    </row>
    <row r="83" spans="1:16" ht="18" customHeight="1" x14ac:dyDescent="0.3">
      <c r="A83" s="266"/>
      <c r="B83" s="267"/>
      <c r="C83" s="267"/>
      <c r="D83" s="267"/>
      <c r="E83" s="267" t="s">
        <v>731</v>
      </c>
      <c r="F83" s="268"/>
      <c r="G83" s="269"/>
      <c r="H83" s="726"/>
      <c r="I83" s="726"/>
    </row>
    <row r="85" spans="1:16" ht="30" customHeight="1" x14ac:dyDescent="0.3">
      <c r="A85" s="278" t="s">
        <v>78</v>
      </c>
      <c r="B85" s="279" t="s">
        <v>671</v>
      </c>
      <c r="C85" s="279" t="s">
        <v>672</v>
      </c>
      <c r="D85" s="282" t="s">
        <v>717</v>
      </c>
      <c r="E85" s="279" t="s">
        <v>727</v>
      </c>
      <c r="F85" s="258" t="s">
        <v>216</v>
      </c>
    </row>
    <row r="86" spans="1:16" ht="15" customHeight="1" x14ac:dyDescent="0.3">
      <c r="A86" s="259"/>
      <c r="B86" s="260"/>
      <c r="C86" s="260"/>
      <c r="D86" s="260"/>
      <c r="E86" s="283"/>
      <c r="F86" s="284"/>
      <c r="G86" s="726" t="s">
        <v>714</v>
      </c>
    </row>
    <row r="87" spans="1:16" ht="14.25" customHeight="1" x14ac:dyDescent="0.3">
      <c r="A87" s="259" t="s">
        <v>733</v>
      </c>
      <c r="B87" s="262"/>
      <c r="C87" s="262" t="s">
        <v>730</v>
      </c>
      <c r="D87" s="285">
        <v>25000</v>
      </c>
      <c r="E87" s="286">
        <v>0.27</v>
      </c>
      <c r="F87" s="287">
        <f>E87*D87</f>
        <v>6750</v>
      </c>
      <c r="G87" s="726"/>
    </row>
    <row r="88" spans="1:16" ht="18" customHeight="1" x14ac:dyDescent="0.3">
      <c r="A88" s="266"/>
      <c r="B88" s="267"/>
      <c r="C88" s="267"/>
      <c r="D88" s="267"/>
      <c r="E88" s="288"/>
      <c r="F88" s="74"/>
      <c r="G88" s="726"/>
    </row>
    <row r="89" spans="1:16" ht="14.25" customHeight="1" x14ac:dyDescent="0.3">
      <c r="A89" s="259"/>
      <c r="B89" s="260"/>
      <c r="C89" s="260"/>
      <c r="D89" s="260"/>
      <c r="E89" s="283"/>
      <c r="F89" s="284"/>
      <c r="G89" s="726"/>
      <c r="I89" s="730"/>
    </row>
    <row r="90" spans="1:16" ht="25.5" customHeight="1" x14ac:dyDescent="0.3">
      <c r="A90" s="259" t="s">
        <v>734</v>
      </c>
      <c r="B90" s="262"/>
      <c r="C90" s="262" t="s">
        <v>730</v>
      </c>
      <c r="D90" s="285">
        <v>25000</v>
      </c>
      <c r="E90" s="286">
        <v>0.27</v>
      </c>
      <c r="F90" s="287">
        <f>E90*D90</f>
        <v>6750</v>
      </c>
      <c r="G90" s="726"/>
      <c r="I90" s="730"/>
    </row>
    <row r="91" spans="1:16" ht="18.75" customHeight="1" x14ac:dyDescent="0.3">
      <c r="A91" s="266"/>
      <c r="B91" s="267"/>
      <c r="C91" s="267"/>
      <c r="D91" s="267"/>
      <c r="E91" s="288"/>
      <c r="F91" s="74"/>
      <c r="G91" s="726"/>
      <c r="I91" s="257" t="s">
        <v>78</v>
      </c>
      <c r="J91" s="257" t="s">
        <v>671</v>
      </c>
      <c r="K91" s="257" t="s">
        <v>672</v>
      </c>
      <c r="L91" s="257" t="s">
        <v>673</v>
      </c>
      <c r="M91" s="257" t="s">
        <v>715</v>
      </c>
      <c r="N91" s="257" t="s">
        <v>727</v>
      </c>
      <c r="O91" s="289" t="s">
        <v>216</v>
      </c>
      <c r="P91" s="726" t="s">
        <v>735</v>
      </c>
    </row>
    <row r="92" spans="1:16" ht="14.25" customHeight="1" x14ac:dyDescent="0.3">
      <c r="I92" s="290"/>
      <c r="J92" s="290"/>
      <c r="K92" s="290"/>
      <c r="L92" s="290"/>
      <c r="M92" s="290"/>
      <c r="N92" s="290"/>
      <c r="O92" s="291"/>
      <c r="P92" s="726"/>
    </row>
    <row r="93" spans="1:16" ht="14.25" customHeight="1" x14ac:dyDescent="0.3">
      <c r="A93" s="276" t="s">
        <v>690</v>
      </c>
      <c r="B93" s="277" t="s">
        <v>155</v>
      </c>
      <c r="C93" s="277" t="s">
        <v>691</v>
      </c>
      <c r="D93" s="277" t="s">
        <v>692</v>
      </c>
      <c r="E93" s="277" t="s">
        <v>693</v>
      </c>
      <c r="F93" s="277" t="s">
        <v>694</v>
      </c>
      <c r="G93" s="277" t="s">
        <v>149</v>
      </c>
      <c r="H93" s="277" t="s">
        <v>736</v>
      </c>
      <c r="I93" s="290" t="s">
        <v>729</v>
      </c>
      <c r="J93" s="292"/>
      <c r="K93" s="292" t="s">
        <v>737</v>
      </c>
      <c r="L93" s="292">
        <v>12</v>
      </c>
      <c r="M93" s="292">
        <v>720</v>
      </c>
      <c r="N93" s="293">
        <v>7.15</v>
      </c>
      <c r="O93" s="294">
        <f>N93*M93*L93</f>
        <v>61776</v>
      </c>
      <c r="P93" s="726"/>
    </row>
    <row r="94" spans="1:16" ht="18" customHeight="1" x14ac:dyDescent="0.3">
      <c r="A94" t="s">
        <v>340</v>
      </c>
      <c r="B94">
        <v>500</v>
      </c>
      <c r="C94">
        <v>200</v>
      </c>
      <c r="D94" s="57">
        <v>200</v>
      </c>
      <c r="E94">
        <v>330</v>
      </c>
      <c r="I94" s="290"/>
      <c r="J94" s="295"/>
      <c r="K94" s="295"/>
      <c r="L94" s="295"/>
      <c r="M94" s="295" t="s">
        <v>731</v>
      </c>
      <c r="N94" s="292"/>
      <c r="O94" s="296"/>
      <c r="P94" s="726"/>
    </row>
    <row r="95" spans="1:16" ht="14.25" customHeight="1" x14ac:dyDescent="0.3">
      <c r="A95" s="297" t="s">
        <v>696</v>
      </c>
      <c r="C95">
        <v>100</v>
      </c>
      <c r="D95" s="57">
        <v>100</v>
      </c>
      <c r="I95" s="273"/>
      <c r="J95" s="273"/>
      <c r="K95" s="273"/>
      <c r="L95" s="273"/>
      <c r="M95" s="273"/>
      <c r="N95" s="273"/>
      <c r="O95" s="273"/>
      <c r="P95" s="726"/>
    </row>
    <row r="96" spans="1:16" ht="14.25" customHeight="1" x14ac:dyDescent="0.3">
      <c r="A96" s="297" t="s">
        <v>697</v>
      </c>
      <c r="B96">
        <v>200</v>
      </c>
      <c r="C96">
        <v>100</v>
      </c>
      <c r="D96" s="57">
        <v>100</v>
      </c>
      <c r="I96" s="273"/>
      <c r="J96" s="298"/>
      <c r="K96" s="298"/>
      <c r="L96" s="298"/>
      <c r="M96" s="298"/>
      <c r="N96" s="281"/>
      <c r="O96" s="281"/>
      <c r="P96" s="726"/>
    </row>
    <row r="97" spans="1:16" ht="18" customHeight="1" x14ac:dyDescent="0.3">
      <c r="A97" t="s">
        <v>698</v>
      </c>
      <c r="B97" s="57">
        <v>300</v>
      </c>
      <c r="C97">
        <v>100</v>
      </c>
      <c r="D97" s="57">
        <v>100</v>
      </c>
      <c r="I97" s="273"/>
      <c r="J97" s="299"/>
      <c r="K97" s="299"/>
      <c r="L97" s="299"/>
      <c r="M97" s="299"/>
      <c r="N97" s="298"/>
      <c r="O97" s="298"/>
      <c r="P97" s="726"/>
    </row>
    <row r="98" spans="1:16" ht="14.25" customHeight="1" x14ac:dyDescent="0.3">
      <c r="A98" t="s">
        <v>699</v>
      </c>
      <c r="B98" s="57">
        <v>330</v>
      </c>
    </row>
    <row r="99" spans="1:16" ht="30" customHeight="1" x14ac:dyDescent="0.3">
      <c r="A99" s="297" t="s">
        <v>700</v>
      </c>
      <c r="I99" s="278" t="s">
        <v>78</v>
      </c>
      <c r="J99" s="279" t="s">
        <v>671</v>
      </c>
      <c r="K99" s="279" t="s">
        <v>672</v>
      </c>
      <c r="L99" s="282" t="s">
        <v>717</v>
      </c>
      <c r="M99" s="279" t="s">
        <v>727</v>
      </c>
      <c r="N99" s="258" t="s">
        <v>216</v>
      </c>
    </row>
    <row r="100" spans="1:16" ht="15" customHeight="1" x14ac:dyDescent="0.3">
      <c r="A100" t="s">
        <v>701</v>
      </c>
      <c r="B100" s="57"/>
      <c r="I100" s="259"/>
      <c r="J100" s="260"/>
      <c r="K100" s="260"/>
      <c r="L100" s="260"/>
      <c r="M100" s="283"/>
      <c r="N100" s="284"/>
      <c r="O100" s="726" t="s">
        <v>738</v>
      </c>
    </row>
    <row r="101" spans="1:16" ht="14.25" customHeight="1" x14ac:dyDescent="0.3">
      <c r="A101" t="s">
        <v>702</v>
      </c>
      <c r="B101" s="57">
        <v>400</v>
      </c>
      <c r="I101" s="259" t="s">
        <v>729</v>
      </c>
      <c r="J101" s="262"/>
      <c r="K101" s="262" t="s">
        <v>737</v>
      </c>
      <c r="L101" s="285">
        <v>25000</v>
      </c>
      <c r="M101" s="286">
        <v>0.25</v>
      </c>
      <c r="N101" s="287">
        <f>M101*L101</f>
        <v>6250</v>
      </c>
      <c r="O101" s="726"/>
    </row>
    <row r="102" spans="1:16" ht="18" customHeight="1" x14ac:dyDescent="0.3">
      <c r="A102" s="297" t="s">
        <v>703</v>
      </c>
      <c r="I102" s="266"/>
      <c r="J102" s="267"/>
      <c r="K102" s="267"/>
      <c r="L102" s="267"/>
      <c r="M102" s="288"/>
      <c r="N102" s="74"/>
      <c r="O102" s="726"/>
    </row>
    <row r="103" spans="1:16" ht="14.25" customHeight="1" x14ac:dyDescent="0.3">
      <c r="A103" s="297" t="s">
        <v>704</v>
      </c>
      <c r="O103" s="726"/>
    </row>
    <row r="104" spans="1:16" ht="24.75" customHeight="1" x14ac:dyDescent="0.3">
      <c r="O104" s="726"/>
    </row>
    <row r="106" spans="1:16" ht="14.25" customHeight="1" x14ac:dyDescent="0.3">
      <c r="H106" t="s">
        <v>739</v>
      </c>
      <c r="I106">
        <f>I104*6</f>
        <v>0</v>
      </c>
    </row>
    <row r="116" spans="1:8" ht="14.25" customHeight="1" x14ac:dyDescent="0.3">
      <c r="A116" s="730"/>
    </row>
    <row r="117" spans="1:8" ht="52.5" customHeight="1" x14ac:dyDescent="0.3">
      <c r="A117" s="730"/>
    </row>
    <row r="118" spans="1:8" ht="15" customHeight="1" x14ac:dyDescent="0.3">
      <c r="A118" s="257" t="s">
        <v>78</v>
      </c>
      <c r="B118" s="257" t="s">
        <v>671</v>
      </c>
      <c r="C118" s="257" t="s">
        <v>672</v>
      </c>
      <c r="D118" s="257" t="s">
        <v>673</v>
      </c>
      <c r="E118" s="257" t="s">
        <v>715</v>
      </c>
      <c r="F118" s="257" t="s">
        <v>727</v>
      </c>
      <c r="G118" s="289" t="s">
        <v>216</v>
      </c>
      <c r="H118" s="726" t="s">
        <v>740</v>
      </c>
    </row>
    <row r="119" spans="1:8" ht="14.25" customHeight="1" x14ac:dyDescent="0.3">
      <c r="A119" s="290"/>
      <c r="B119" s="290"/>
      <c r="C119" s="290"/>
      <c r="D119" s="290"/>
      <c r="E119" s="290"/>
      <c r="F119" s="290"/>
      <c r="G119" s="291"/>
      <c r="H119" s="726"/>
    </row>
    <row r="120" spans="1:8" ht="14.25" customHeight="1" x14ac:dyDescent="0.3">
      <c r="A120" s="290" t="s">
        <v>741</v>
      </c>
      <c r="B120" s="292"/>
      <c r="C120" s="292" t="s">
        <v>742</v>
      </c>
      <c r="D120" s="292">
        <v>12</v>
      </c>
      <c r="E120" s="292">
        <v>190</v>
      </c>
      <c r="F120" s="293">
        <v>17.3</v>
      </c>
      <c r="G120" s="294">
        <f>F120*E120*D120</f>
        <v>39444</v>
      </c>
      <c r="H120" s="726"/>
    </row>
    <row r="121" spans="1:8" ht="18" customHeight="1" x14ac:dyDescent="0.3">
      <c r="A121" s="290"/>
      <c r="B121" s="295"/>
      <c r="C121" s="295"/>
      <c r="D121" s="295"/>
      <c r="E121" s="295" t="s">
        <v>509</v>
      </c>
      <c r="F121" s="292"/>
      <c r="G121" s="296"/>
      <c r="H121" s="726"/>
    </row>
    <row r="122" spans="1:8" ht="14.25" customHeight="1" x14ac:dyDescent="0.3">
      <c r="A122" s="290" t="s">
        <v>743</v>
      </c>
      <c r="B122" s="292"/>
      <c r="C122" s="292" t="s">
        <v>742</v>
      </c>
      <c r="D122" s="292">
        <v>12</v>
      </c>
      <c r="E122" s="292">
        <v>190</v>
      </c>
      <c r="F122" s="293">
        <v>18.5</v>
      </c>
      <c r="G122" s="294">
        <f>F122*E122*D122</f>
        <v>42180</v>
      </c>
      <c r="H122" s="726"/>
    </row>
    <row r="123" spans="1:8" ht="18" customHeight="1" x14ac:dyDescent="0.3">
      <c r="A123" s="290"/>
      <c r="B123" s="295"/>
      <c r="C123" s="295"/>
      <c r="D123" s="295"/>
      <c r="E123" s="295" t="s">
        <v>509</v>
      </c>
      <c r="F123" s="292"/>
      <c r="G123" s="296"/>
      <c r="H123" s="726"/>
    </row>
    <row r="124" spans="1:8" ht="18" customHeight="1" x14ac:dyDescent="0.3">
      <c r="A124" s="273"/>
      <c r="B124" s="299"/>
      <c r="C124" s="299"/>
      <c r="D124" s="299"/>
      <c r="E124" s="299"/>
      <c r="F124" s="298"/>
      <c r="G124" s="298"/>
      <c r="H124" s="726"/>
    </row>
    <row r="126" spans="1:8" ht="30" customHeight="1" x14ac:dyDescent="0.3">
      <c r="A126" s="278" t="s">
        <v>78</v>
      </c>
      <c r="B126" s="279" t="s">
        <v>671</v>
      </c>
      <c r="C126" s="279" t="s">
        <v>672</v>
      </c>
      <c r="D126" s="282" t="s">
        <v>717</v>
      </c>
      <c r="E126" s="279" t="s">
        <v>727</v>
      </c>
      <c r="F126" s="258" t="s">
        <v>216</v>
      </c>
    </row>
    <row r="127" spans="1:8" ht="15" customHeight="1" x14ac:dyDescent="0.3">
      <c r="A127" s="259"/>
      <c r="B127" s="260"/>
      <c r="C127" s="260"/>
      <c r="D127" s="260"/>
      <c r="E127" s="283"/>
      <c r="F127" s="284"/>
      <c r="G127" s="726" t="s">
        <v>738</v>
      </c>
    </row>
    <row r="128" spans="1:8" ht="14.25" customHeight="1" x14ac:dyDescent="0.3">
      <c r="A128" s="290" t="s">
        <v>741</v>
      </c>
      <c r="B128" s="296"/>
      <c r="C128" s="292" t="s">
        <v>742</v>
      </c>
      <c r="D128" s="292">
        <v>20000</v>
      </c>
      <c r="E128" s="300">
        <v>0.55000000000000004</v>
      </c>
      <c r="F128" s="300">
        <f>E128*D128</f>
        <v>11000</v>
      </c>
      <c r="G128" s="726"/>
    </row>
    <row r="129" spans="1:8" ht="14.25" customHeight="1" x14ac:dyDescent="0.3">
      <c r="A129" s="259"/>
      <c r="B129" s="260"/>
      <c r="C129" s="260"/>
      <c r="D129" s="260"/>
      <c r="E129" s="283"/>
      <c r="F129" s="284"/>
      <c r="G129" s="726"/>
    </row>
    <row r="130" spans="1:8" ht="14.25" customHeight="1" x14ac:dyDescent="0.3">
      <c r="A130" s="291" t="s">
        <v>588</v>
      </c>
      <c r="B130" s="296"/>
      <c r="C130" s="292" t="s">
        <v>742</v>
      </c>
      <c r="D130" s="292">
        <v>20000</v>
      </c>
      <c r="E130" s="300">
        <v>0.55000000000000004</v>
      </c>
      <c r="F130" s="300">
        <f>E130*D130</f>
        <v>11000</v>
      </c>
      <c r="G130" s="726"/>
    </row>
    <row r="131" spans="1:8" ht="18" customHeight="1" x14ac:dyDescent="0.3">
      <c r="A131" s="266"/>
      <c r="B131" s="267"/>
      <c r="C131" s="267"/>
      <c r="D131" s="267"/>
      <c r="E131" s="288"/>
      <c r="F131" s="205"/>
    </row>
    <row r="134" spans="1:8" ht="14.25" customHeight="1" x14ac:dyDescent="0.3">
      <c r="A134" s="730"/>
      <c r="B134" s="730"/>
      <c r="C134" s="730"/>
      <c r="D134" s="730"/>
      <c r="E134" s="730"/>
      <c r="F134" s="730"/>
      <c r="G134" s="730"/>
      <c r="H134" s="730"/>
    </row>
    <row r="135" spans="1:8" ht="78.75" customHeight="1" x14ac:dyDescent="0.3">
      <c r="A135" s="730"/>
      <c r="B135" s="730"/>
      <c r="C135" s="730"/>
      <c r="D135" s="730"/>
      <c r="E135" s="730"/>
      <c r="F135" s="730"/>
      <c r="G135" s="730"/>
      <c r="H135" s="730"/>
    </row>
    <row r="136" spans="1:8" ht="15" customHeight="1" x14ac:dyDescent="0.3">
      <c r="A136" s="257" t="s">
        <v>78</v>
      </c>
      <c r="B136" s="258" t="s">
        <v>671</v>
      </c>
      <c r="C136" s="258" t="s">
        <v>672</v>
      </c>
      <c r="D136" s="258" t="s">
        <v>673</v>
      </c>
      <c r="E136" s="258" t="s">
        <v>715</v>
      </c>
      <c r="F136" s="258" t="s">
        <v>674</v>
      </c>
      <c r="G136" s="301" t="s">
        <v>216</v>
      </c>
      <c r="H136" s="731" t="s">
        <v>744</v>
      </c>
    </row>
    <row r="137" spans="1:8" ht="14.25" customHeight="1" x14ac:dyDescent="0.3">
      <c r="A137" s="259"/>
      <c r="B137" s="260"/>
      <c r="C137" s="260"/>
      <c r="D137" s="260"/>
      <c r="E137" s="260"/>
      <c r="F137" s="260"/>
      <c r="G137" s="273"/>
      <c r="H137" s="731"/>
    </row>
    <row r="138" spans="1:8" ht="14.25" customHeight="1" x14ac:dyDescent="0.3">
      <c r="A138" s="259" t="s">
        <v>679</v>
      </c>
      <c r="B138" s="262">
        <v>15179090</v>
      </c>
      <c r="C138" s="262" t="s">
        <v>34</v>
      </c>
      <c r="D138" s="262">
        <v>12</v>
      </c>
      <c r="E138" s="262">
        <v>475</v>
      </c>
      <c r="F138" s="263">
        <v>19.100000000000001</v>
      </c>
      <c r="G138" s="281">
        <f>F138*E138*12</f>
        <v>108870</v>
      </c>
      <c r="H138" s="731"/>
    </row>
    <row r="139" spans="1:8" ht="18" customHeight="1" x14ac:dyDescent="0.3">
      <c r="A139" s="266"/>
      <c r="B139" s="267"/>
      <c r="C139" s="267"/>
      <c r="D139" s="267"/>
      <c r="E139" s="267" t="s">
        <v>745</v>
      </c>
      <c r="F139" s="268"/>
      <c r="G139" s="275"/>
      <c r="H139" s="731"/>
    </row>
    <row r="140" spans="1:8" ht="14.25" customHeight="1" x14ac:dyDescent="0.3">
      <c r="A140" s="732"/>
      <c r="B140" s="732"/>
      <c r="C140" s="732"/>
      <c r="D140" s="732"/>
      <c r="E140" s="732"/>
      <c r="F140" s="732"/>
      <c r="G140" s="732"/>
      <c r="H140" s="731"/>
    </row>
    <row r="141" spans="1:8" ht="30" customHeight="1" x14ac:dyDescent="0.3">
      <c r="A141" s="278" t="s">
        <v>78</v>
      </c>
      <c r="B141" s="279" t="s">
        <v>671</v>
      </c>
      <c r="C141" s="279" t="s">
        <v>672</v>
      </c>
      <c r="D141" s="282" t="s">
        <v>746</v>
      </c>
      <c r="E141" s="279" t="s">
        <v>674</v>
      </c>
      <c r="F141" s="258" t="s">
        <v>216</v>
      </c>
      <c r="G141" s="732"/>
      <c r="H141" s="128"/>
    </row>
    <row r="142" spans="1:8" ht="15" customHeight="1" x14ac:dyDescent="0.3">
      <c r="A142" s="259"/>
      <c r="B142" s="260"/>
      <c r="C142" s="260"/>
      <c r="D142" s="260"/>
      <c r="E142" s="283"/>
      <c r="F142" s="284"/>
      <c r="G142" s="726" t="s">
        <v>718</v>
      </c>
      <c r="H142" s="727" t="s">
        <v>747</v>
      </c>
    </row>
    <row r="143" spans="1:8" ht="14.25" customHeight="1" x14ac:dyDescent="0.3">
      <c r="A143" s="259" t="s">
        <v>679</v>
      </c>
      <c r="B143" s="262">
        <v>15179090</v>
      </c>
      <c r="C143" s="262" t="s">
        <v>34</v>
      </c>
      <c r="D143" s="285">
        <v>25000</v>
      </c>
      <c r="E143" s="286">
        <v>0.45</v>
      </c>
      <c r="F143" s="287">
        <f>E143*D143</f>
        <v>11250</v>
      </c>
      <c r="G143" s="726"/>
      <c r="H143" s="726"/>
    </row>
    <row r="144" spans="1:8" ht="18" customHeight="1" x14ac:dyDescent="0.3">
      <c r="A144" s="266"/>
      <c r="B144" s="267"/>
      <c r="C144" s="267"/>
      <c r="D144" s="267"/>
      <c r="E144" s="288"/>
      <c r="F144" s="74"/>
      <c r="G144" s="726"/>
      <c r="H144" s="727"/>
    </row>
    <row r="145" spans="1:8" ht="14.25" customHeight="1" x14ac:dyDescent="0.3">
      <c r="A145" s="728"/>
      <c r="B145" s="728"/>
      <c r="C145" s="728"/>
      <c r="D145" s="728"/>
      <c r="E145" s="728"/>
      <c r="F145" s="728"/>
      <c r="G145" s="726"/>
      <c r="H145" s="729"/>
    </row>
    <row r="146" spans="1:8" ht="14.25" customHeight="1" x14ac:dyDescent="0.3">
      <c r="A146" s="728"/>
      <c r="B146" s="728"/>
      <c r="C146" s="728"/>
      <c r="D146" s="728"/>
      <c r="E146" s="728"/>
      <c r="F146" s="728"/>
      <c r="G146" s="726"/>
      <c r="H146" s="729"/>
    </row>
    <row r="147" spans="1:8" ht="14.25" customHeight="1" x14ac:dyDescent="0.3">
      <c r="A147" s="728"/>
      <c r="B147" s="728"/>
      <c r="C147" s="728"/>
      <c r="D147" s="728"/>
      <c r="E147" s="728"/>
      <c r="F147" s="728"/>
      <c r="G147" s="726"/>
      <c r="H147" s="729"/>
    </row>
    <row r="148" spans="1:8" ht="14.25" customHeight="1" x14ac:dyDescent="0.3">
      <c r="A148" s="728"/>
      <c r="B148" s="728"/>
      <c r="C148" s="728"/>
      <c r="D148" s="728"/>
      <c r="E148" s="728"/>
      <c r="F148" s="728"/>
      <c r="G148" s="726"/>
      <c r="H148" s="729"/>
    </row>
  </sheetData>
  <mergeCells count="33">
    <mergeCell ref="A29:A30"/>
    <mergeCell ref="M30:M31"/>
    <mergeCell ref="I32:I34"/>
    <mergeCell ref="T33:T35"/>
    <mergeCell ref="I35:I39"/>
    <mergeCell ref="T36:T39"/>
    <mergeCell ref="A41:A42"/>
    <mergeCell ref="H43:H47"/>
    <mergeCell ref="G49:G55"/>
    <mergeCell ref="A56:A57"/>
    <mergeCell ref="H59:H64"/>
    <mergeCell ref="G67:G72"/>
    <mergeCell ref="S67:S72"/>
    <mergeCell ref="A75:A76"/>
    <mergeCell ref="H77:H80"/>
    <mergeCell ref="I77:I83"/>
    <mergeCell ref="H81:H83"/>
    <mergeCell ref="G86:G91"/>
    <mergeCell ref="I89:I90"/>
    <mergeCell ref="P91:P97"/>
    <mergeCell ref="O100:O104"/>
    <mergeCell ref="A116:A117"/>
    <mergeCell ref="G142:G148"/>
    <mergeCell ref="H142:H144"/>
    <mergeCell ref="A145:F148"/>
    <mergeCell ref="H145:H148"/>
    <mergeCell ref="H118:H124"/>
    <mergeCell ref="G127:G130"/>
    <mergeCell ref="A134:A135"/>
    <mergeCell ref="B134:H135"/>
    <mergeCell ref="H136:H140"/>
    <mergeCell ref="A140:F140"/>
    <mergeCell ref="G140:G14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T252"/>
  <sheetViews>
    <sheetView showGridLines="0" topLeftCell="A100" zoomScaleNormal="100" workbookViewId="0">
      <selection activeCell="A127" sqref="A127:D127"/>
    </sheetView>
  </sheetViews>
  <sheetFormatPr defaultColWidth="8.6640625" defaultRowHeight="14.4" x14ac:dyDescent="0.3"/>
  <cols>
    <col min="1" max="1" width="12.6640625" style="437" customWidth="1"/>
    <col min="2" max="2" width="12.6640625" customWidth="1"/>
    <col min="4" max="4" width="5" customWidth="1"/>
    <col min="5" max="5" width="20.33203125" customWidth="1"/>
    <col min="10" max="10" width="6" customWidth="1"/>
    <col min="14" max="14" width="9.109375" customWidth="1"/>
    <col min="15" max="15" width="16.109375" customWidth="1"/>
    <col min="16" max="16" width="4.6640625" customWidth="1"/>
  </cols>
  <sheetData>
    <row r="1" spans="1:20" ht="15" customHeight="1" x14ac:dyDescent="0.3">
      <c r="A1" s="744" t="s">
        <v>748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4"/>
      <c r="N1" s="744"/>
      <c r="O1" s="744"/>
      <c r="P1" s="744"/>
      <c r="Q1" s="302"/>
      <c r="R1" s="302"/>
      <c r="S1" s="302"/>
      <c r="T1" s="302"/>
    </row>
    <row r="2" spans="1:20" ht="15" customHeight="1" x14ac:dyDescent="0.3">
      <c r="A2" s="745"/>
      <c r="B2" s="744"/>
      <c r="C2" s="744"/>
      <c r="D2" s="744"/>
      <c r="E2" s="744"/>
      <c r="F2" s="744"/>
      <c r="G2" s="744"/>
      <c r="H2" s="744"/>
      <c r="I2" s="744"/>
      <c r="J2" s="744"/>
      <c r="K2" s="744"/>
      <c r="L2" s="744"/>
      <c r="M2" s="744"/>
      <c r="N2" s="744"/>
      <c r="O2" s="744"/>
      <c r="P2" s="744"/>
      <c r="Q2" s="302"/>
      <c r="R2" s="302"/>
      <c r="S2" s="302"/>
      <c r="T2" s="302"/>
    </row>
    <row r="3" spans="1:20" ht="19.5" customHeight="1" x14ac:dyDescent="0.3">
      <c r="A3" s="746" t="s">
        <v>749</v>
      </c>
      <c r="B3" s="747"/>
      <c r="C3" s="747"/>
      <c r="D3" s="747"/>
      <c r="E3" s="303" t="s">
        <v>750</v>
      </c>
      <c r="F3" s="747" t="s">
        <v>76</v>
      </c>
      <c r="G3" s="747"/>
      <c r="H3" s="747"/>
      <c r="I3" s="747"/>
      <c r="J3" s="747"/>
      <c r="K3" s="747" t="s">
        <v>78</v>
      </c>
      <c r="L3" s="747"/>
      <c r="M3" s="747"/>
      <c r="N3" s="747"/>
      <c r="O3" s="747" t="s">
        <v>751</v>
      </c>
      <c r="P3" s="747"/>
    </row>
    <row r="4" spans="1:20" ht="15.75" customHeight="1" x14ac:dyDescent="0.3">
      <c r="A4" s="739">
        <v>46027</v>
      </c>
      <c r="B4" s="740"/>
      <c r="C4" s="740"/>
      <c r="D4" s="740"/>
      <c r="E4" s="304" t="s">
        <v>752</v>
      </c>
      <c r="F4" s="743" t="s">
        <v>753</v>
      </c>
      <c r="G4" s="743"/>
      <c r="H4" s="743"/>
      <c r="I4" s="743"/>
      <c r="J4" s="743"/>
      <c r="K4" s="742" t="s">
        <v>754</v>
      </c>
      <c r="L4" s="742"/>
      <c r="M4" s="742"/>
      <c r="N4" s="742"/>
      <c r="O4" s="305">
        <f>210+701</f>
        <v>911</v>
      </c>
      <c r="P4" s="306" t="s">
        <v>695</v>
      </c>
    </row>
    <row r="5" spans="1:20" ht="15.75" customHeight="1" x14ac:dyDescent="0.3">
      <c r="A5" s="739">
        <v>46028</v>
      </c>
      <c r="B5" s="740"/>
      <c r="C5" s="740"/>
      <c r="D5" s="740"/>
      <c r="E5" s="304">
        <v>2136</v>
      </c>
      <c r="F5" s="743" t="s">
        <v>755</v>
      </c>
      <c r="G5" s="743"/>
      <c r="H5" s="743"/>
      <c r="I5" s="743"/>
      <c r="J5" s="743"/>
      <c r="K5" s="742" t="s">
        <v>754</v>
      </c>
      <c r="L5" s="742"/>
      <c r="M5" s="742"/>
      <c r="N5" s="742"/>
      <c r="O5" s="305">
        <v>470</v>
      </c>
      <c r="P5" s="306" t="s">
        <v>695</v>
      </c>
    </row>
    <row r="6" spans="1:20" ht="15.75" customHeight="1" x14ac:dyDescent="0.3">
      <c r="A6" s="739">
        <v>46029</v>
      </c>
      <c r="B6" s="740"/>
      <c r="C6" s="740"/>
      <c r="D6" s="740"/>
      <c r="E6" s="304" t="s">
        <v>756</v>
      </c>
      <c r="F6" s="743" t="s">
        <v>757</v>
      </c>
      <c r="G6" s="743"/>
      <c r="H6" s="743"/>
      <c r="I6" s="743"/>
      <c r="J6" s="743"/>
      <c r="K6" s="742" t="s">
        <v>754</v>
      </c>
      <c r="L6" s="742"/>
      <c r="M6" s="742"/>
      <c r="N6" s="742"/>
      <c r="O6" s="305">
        <f>800+330+500</f>
        <v>1630</v>
      </c>
      <c r="P6" s="306" t="s">
        <v>695</v>
      </c>
    </row>
    <row r="7" spans="1:20" ht="15.75" customHeight="1" x14ac:dyDescent="0.3">
      <c r="A7" s="739">
        <v>46030</v>
      </c>
      <c r="B7" s="740"/>
      <c r="C7" s="740"/>
      <c r="D7" s="740"/>
      <c r="E7" s="304" t="s">
        <v>758</v>
      </c>
      <c r="F7" s="743" t="s">
        <v>759</v>
      </c>
      <c r="G7" s="743"/>
      <c r="H7" s="743"/>
      <c r="I7" s="743"/>
      <c r="J7" s="743"/>
      <c r="K7" s="742" t="s">
        <v>754</v>
      </c>
      <c r="L7" s="742"/>
      <c r="M7" s="742"/>
      <c r="N7" s="742"/>
      <c r="O7" s="305">
        <f>800+350+430</f>
        <v>1580</v>
      </c>
      <c r="P7" s="306" t="s">
        <v>695</v>
      </c>
    </row>
    <row r="8" spans="1:20" ht="15.75" customHeight="1" x14ac:dyDescent="0.3">
      <c r="A8" s="739">
        <v>46031</v>
      </c>
      <c r="B8" s="740"/>
      <c r="C8" s="740"/>
      <c r="D8" s="740"/>
      <c r="E8" s="304" t="s">
        <v>760</v>
      </c>
      <c r="F8" s="743" t="s">
        <v>761</v>
      </c>
      <c r="G8" s="743"/>
      <c r="H8" s="743"/>
      <c r="I8" s="743"/>
      <c r="J8" s="743"/>
      <c r="K8" s="742" t="s">
        <v>754</v>
      </c>
      <c r="L8" s="742"/>
      <c r="M8" s="742"/>
      <c r="N8" s="742"/>
      <c r="O8" s="305">
        <f>630+810</f>
        <v>1440</v>
      </c>
      <c r="P8" s="306" t="s">
        <v>695</v>
      </c>
    </row>
    <row r="9" spans="1:20" ht="15.75" customHeight="1" x14ac:dyDescent="0.3">
      <c r="A9" s="739">
        <v>46034</v>
      </c>
      <c r="B9" s="740"/>
      <c r="C9" s="740"/>
      <c r="D9" s="740"/>
      <c r="E9" s="304" t="s">
        <v>762</v>
      </c>
      <c r="F9" s="743" t="s">
        <v>763</v>
      </c>
      <c r="G9" s="743"/>
      <c r="H9" s="743"/>
      <c r="I9" s="743"/>
      <c r="J9" s="743"/>
      <c r="K9" s="742" t="s">
        <v>754</v>
      </c>
      <c r="L9" s="742"/>
      <c r="M9" s="742"/>
      <c r="N9" s="742"/>
      <c r="O9" s="305">
        <f>460+280</f>
        <v>740</v>
      </c>
      <c r="P9" s="306" t="s">
        <v>695</v>
      </c>
    </row>
    <row r="10" spans="1:20" ht="15.75" customHeight="1" x14ac:dyDescent="0.3">
      <c r="A10" s="739">
        <v>46035</v>
      </c>
      <c r="B10" s="740"/>
      <c r="C10" s="740"/>
      <c r="D10" s="740"/>
      <c r="E10" s="304">
        <v>2154</v>
      </c>
      <c r="F10" s="743" t="s">
        <v>764</v>
      </c>
      <c r="G10" s="743"/>
      <c r="H10" s="743"/>
      <c r="I10" s="743"/>
      <c r="J10" s="743"/>
      <c r="K10" s="742" t="s">
        <v>754</v>
      </c>
      <c r="L10" s="742"/>
      <c r="M10" s="742"/>
      <c r="N10" s="742"/>
      <c r="O10" s="305">
        <f>230+650</f>
        <v>880</v>
      </c>
      <c r="P10" s="306" t="s">
        <v>695</v>
      </c>
    </row>
    <row r="11" spans="1:20" ht="15.75" customHeight="1" x14ac:dyDescent="0.3">
      <c r="A11" s="739">
        <v>46038</v>
      </c>
      <c r="B11" s="740"/>
      <c r="C11" s="740"/>
      <c r="D11" s="740"/>
      <c r="E11" s="304" t="s">
        <v>765</v>
      </c>
      <c r="F11" s="743" t="s">
        <v>766</v>
      </c>
      <c r="G11" s="743"/>
      <c r="H11" s="743"/>
      <c r="I11" s="743"/>
      <c r="J11" s="743"/>
      <c r="K11" s="742" t="s">
        <v>754</v>
      </c>
      <c r="L11" s="742"/>
      <c r="M11" s="742"/>
      <c r="N11" s="742"/>
      <c r="O11" s="305">
        <f>800*2</f>
        <v>1600</v>
      </c>
      <c r="P11" s="306" t="s">
        <v>695</v>
      </c>
    </row>
    <row r="12" spans="1:20" ht="15.75" customHeight="1" x14ac:dyDescent="0.3">
      <c r="A12" s="739">
        <v>46039</v>
      </c>
      <c r="B12" s="740"/>
      <c r="C12" s="740"/>
      <c r="D12" s="740"/>
      <c r="E12" s="304">
        <v>2163</v>
      </c>
      <c r="F12" s="743" t="s">
        <v>767</v>
      </c>
      <c r="G12" s="743"/>
      <c r="H12" s="743"/>
      <c r="I12" s="743"/>
      <c r="J12" s="743"/>
      <c r="K12" s="742" t="s">
        <v>754</v>
      </c>
      <c r="L12" s="742"/>
      <c r="M12" s="742"/>
      <c r="N12" s="742"/>
      <c r="O12" s="305">
        <v>600</v>
      </c>
      <c r="P12" s="306" t="s">
        <v>695</v>
      </c>
    </row>
    <row r="13" spans="1:20" ht="15.75" customHeight="1" x14ac:dyDescent="0.3">
      <c r="A13" s="739">
        <v>46041</v>
      </c>
      <c r="B13" s="740"/>
      <c r="C13" s="740"/>
      <c r="D13" s="740"/>
      <c r="E13" s="304" t="s">
        <v>768</v>
      </c>
      <c r="F13" s="743" t="s">
        <v>769</v>
      </c>
      <c r="G13" s="743"/>
      <c r="H13" s="743"/>
      <c r="I13" s="743"/>
      <c r="J13" s="743"/>
      <c r="K13" s="742" t="s">
        <v>754</v>
      </c>
      <c r="L13" s="742"/>
      <c r="M13" s="742"/>
      <c r="N13" s="742"/>
      <c r="O13" s="305">
        <f>650+670</f>
        <v>1320</v>
      </c>
      <c r="P13" s="306" t="s">
        <v>695</v>
      </c>
    </row>
    <row r="14" spans="1:20" ht="15.75" customHeight="1" x14ac:dyDescent="0.3">
      <c r="A14" s="739">
        <v>46042</v>
      </c>
      <c r="B14" s="740"/>
      <c r="C14" s="740"/>
      <c r="D14" s="740"/>
      <c r="E14" s="304">
        <v>2169</v>
      </c>
      <c r="F14" s="743" t="s">
        <v>770</v>
      </c>
      <c r="G14" s="743"/>
      <c r="H14" s="743"/>
      <c r="I14" s="743"/>
      <c r="J14" s="743"/>
      <c r="K14" s="742" t="s">
        <v>754</v>
      </c>
      <c r="L14" s="742"/>
      <c r="M14" s="742"/>
      <c r="N14" s="742"/>
      <c r="O14" s="305">
        <v>550</v>
      </c>
      <c r="P14" s="306" t="s">
        <v>695</v>
      </c>
    </row>
    <row r="15" spans="1:20" ht="15.75" customHeight="1" x14ac:dyDescent="0.3">
      <c r="A15" s="739">
        <v>46043</v>
      </c>
      <c r="B15" s="740"/>
      <c r="C15" s="740"/>
      <c r="D15" s="740"/>
      <c r="E15" s="304">
        <v>2173</v>
      </c>
      <c r="F15" s="743" t="s">
        <v>771</v>
      </c>
      <c r="G15" s="743"/>
      <c r="H15" s="743"/>
      <c r="I15" s="743"/>
      <c r="J15" s="743"/>
      <c r="K15" s="742" t="s">
        <v>754</v>
      </c>
      <c r="L15" s="742"/>
      <c r="M15" s="742"/>
      <c r="N15" s="742"/>
      <c r="O15" s="305">
        <v>470</v>
      </c>
      <c r="P15" s="306" t="s">
        <v>695</v>
      </c>
    </row>
    <row r="16" spans="1:20" ht="15.75" customHeight="1" x14ac:dyDescent="0.3">
      <c r="A16" s="739">
        <v>46048</v>
      </c>
      <c r="B16" s="740"/>
      <c r="C16" s="740"/>
      <c r="D16" s="740"/>
      <c r="E16" s="304">
        <v>2180</v>
      </c>
      <c r="F16" s="743" t="s">
        <v>772</v>
      </c>
      <c r="G16" s="743"/>
      <c r="H16" s="743"/>
      <c r="I16" s="743"/>
      <c r="J16" s="743"/>
      <c r="K16" s="742" t="s">
        <v>754</v>
      </c>
      <c r="L16" s="742"/>
      <c r="M16" s="742"/>
      <c r="N16" s="742"/>
      <c r="O16" s="305">
        <v>490</v>
      </c>
      <c r="P16" s="306" t="s">
        <v>695</v>
      </c>
    </row>
    <row r="17" spans="1:16" ht="15.75" customHeight="1" x14ac:dyDescent="0.3">
      <c r="A17" s="739">
        <v>46049</v>
      </c>
      <c r="B17" s="740"/>
      <c r="C17" s="740"/>
      <c r="D17" s="740"/>
      <c r="E17" s="304" t="s">
        <v>773</v>
      </c>
      <c r="F17" s="743" t="s">
        <v>774</v>
      </c>
      <c r="G17" s="743"/>
      <c r="H17" s="743"/>
      <c r="I17" s="743"/>
      <c r="J17" s="743"/>
      <c r="K17" s="742" t="s">
        <v>754</v>
      </c>
      <c r="L17" s="742"/>
      <c r="M17" s="742"/>
      <c r="N17" s="742"/>
      <c r="O17" s="305">
        <f>640+560</f>
        <v>1200</v>
      </c>
      <c r="P17" s="306" t="s">
        <v>695</v>
      </c>
    </row>
    <row r="18" spans="1:16" ht="15.75" customHeight="1" x14ac:dyDescent="0.3">
      <c r="A18" s="739">
        <v>46051</v>
      </c>
      <c r="B18" s="740"/>
      <c r="C18" s="740"/>
      <c r="D18" s="740"/>
      <c r="E18" s="304" t="s">
        <v>775</v>
      </c>
      <c r="F18" s="743" t="s">
        <v>776</v>
      </c>
      <c r="G18" s="743"/>
      <c r="H18" s="743"/>
      <c r="I18" s="743"/>
      <c r="J18" s="743"/>
      <c r="K18" s="742" t="s">
        <v>754</v>
      </c>
      <c r="L18" s="742"/>
      <c r="M18" s="742"/>
      <c r="N18" s="742"/>
      <c r="O18" s="305">
        <f>748+270</f>
        <v>1018</v>
      </c>
      <c r="P18" s="306" t="s">
        <v>695</v>
      </c>
    </row>
    <row r="19" spans="1:16" ht="15.75" customHeight="1" x14ac:dyDescent="0.3">
      <c r="A19" s="739">
        <v>46052</v>
      </c>
      <c r="B19" s="740"/>
      <c r="C19" s="740"/>
      <c r="D19" s="740"/>
      <c r="E19" s="304" t="s">
        <v>777</v>
      </c>
      <c r="F19" s="743" t="s">
        <v>778</v>
      </c>
      <c r="G19" s="743"/>
      <c r="H19" s="743"/>
      <c r="I19" s="743"/>
      <c r="J19" s="743"/>
      <c r="K19" s="742" t="s">
        <v>754</v>
      </c>
      <c r="L19" s="742"/>
      <c r="M19" s="742"/>
      <c r="N19" s="742"/>
      <c r="O19" s="305">
        <f>800+800</f>
        <v>1600</v>
      </c>
      <c r="P19" s="306" t="s">
        <v>695</v>
      </c>
    </row>
    <row r="20" spans="1:16" ht="15.75" customHeight="1" x14ac:dyDescent="0.3">
      <c r="A20" s="739">
        <v>46053</v>
      </c>
      <c r="B20" s="740"/>
      <c r="C20" s="740"/>
      <c r="D20" s="740"/>
      <c r="E20" s="304">
        <v>2194</v>
      </c>
      <c r="F20" s="743" t="s">
        <v>779</v>
      </c>
      <c r="G20" s="743"/>
      <c r="H20" s="743"/>
      <c r="I20" s="743"/>
      <c r="J20" s="743"/>
      <c r="K20" s="742" t="s">
        <v>754</v>
      </c>
      <c r="L20" s="742"/>
      <c r="M20" s="742"/>
      <c r="N20" s="742"/>
      <c r="O20" s="305">
        <v>600</v>
      </c>
      <c r="P20" s="306" t="s">
        <v>695</v>
      </c>
    </row>
    <row r="21" spans="1:16" ht="16.5" customHeight="1" x14ac:dyDescent="0.3">
      <c r="A21" s="739">
        <v>46055</v>
      </c>
      <c r="B21" s="740"/>
      <c r="C21" s="740"/>
      <c r="D21" s="740"/>
      <c r="E21" s="304" t="s">
        <v>780</v>
      </c>
      <c r="F21" s="743" t="s">
        <v>781</v>
      </c>
      <c r="G21" s="743"/>
      <c r="H21" s="743"/>
      <c r="I21" s="743"/>
      <c r="J21" s="743"/>
      <c r="K21" s="742" t="s">
        <v>754</v>
      </c>
      <c r="L21" s="742"/>
      <c r="M21" s="742"/>
      <c r="N21" s="742"/>
      <c r="O21" s="305">
        <f>560+630</f>
        <v>1190</v>
      </c>
      <c r="P21" s="306" t="s">
        <v>695</v>
      </c>
    </row>
    <row r="22" spans="1:16" ht="15.75" customHeight="1" x14ac:dyDescent="0.3">
      <c r="A22" s="739">
        <v>46056</v>
      </c>
      <c r="B22" s="740"/>
      <c r="C22" s="740"/>
      <c r="D22" s="740"/>
      <c r="E22" s="304" t="s">
        <v>782</v>
      </c>
      <c r="F22" s="743" t="s">
        <v>783</v>
      </c>
      <c r="G22" s="743"/>
      <c r="H22" s="743"/>
      <c r="I22" s="743"/>
      <c r="J22" s="743"/>
      <c r="K22" s="742" t="s">
        <v>754</v>
      </c>
      <c r="L22" s="742"/>
      <c r="M22" s="742"/>
      <c r="N22" s="742"/>
      <c r="O22" s="305">
        <f>700+800</f>
        <v>1500</v>
      </c>
      <c r="P22" s="306" t="s">
        <v>695</v>
      </c>
    </row>
    <row r="23" spans="1:16" ht="15.75" customHeight="1" x14ac:dyDescent="0.3">
      <c r="A23" s="739">
        <v>46057</v>
      </c>
      <c r="B23" s="740"/>
      <c r="C23" s="740"/>
      <c r="D23" s="740"/>
      <c r="E23" s="304" t="s">
        <v>784</v>
      </c>
      <c r="F23" s="743" t="s">
        <v>785</v>
      </c>
      <c r="G23" s="743"/>
      <c r="H23" s="743"/>
      <c r="I23" s="743"/>
      <c r="J23" s="743"/>
      <c r="K23" s="742" t="s">
        <v>754</v>
      </c>
      <c r="L23" s="742"/>
      <c r="M23" s="742"/>
      <c r="N23" s="742"/>
      <c r="O23" s="305">
        <f>792+210</f>
        <v>1002</v>
      </c>
      <c r="P23" s="306" t="s">
        <v>695</v>
      </c>
    </row>
    <row r="24" spans="1:16" ht="15.75" customHeight="1" x14ac:dyDescent="0.3">
      <c r="A24" s="739">
        <v>46058</v>
      </c>
      <c r="B24" s="740"/>
      <c r="C24" s="740"/>
      <c r="D24" s="740"/>
      <c r="E24" s="304" t="s">
        <v>786</v>
      </c>
      <c r="F24" s="743" t="s">
        <v>787</v>
      </c>
      <c r="G24" s="743"/>
      <c r="H24" s="743"/>
      <c r="I24" s="743"/>
      <c r="J24" s="743"/>
      <c r="K24" s="742" t="s">
        <v>754</v>
      </c>
      <c r="L24" s="742"/>
      <c r="M24" s="742"/>
      <c r="N24" s="742"/>
      <c r="O24" s="305">
        <f>740+830</f>
        <v>1570</v>
      </c>
      <c r="P24" s="306" t="s">
        <v>695</v>
      </c>
    </row>
    <row r="25" spans="1:16" ht="15.75" customHeight="1" x14ac:dyDescent="0.3">
      <c r="A25" s="739">
        <v>46062</v>
      </c>
      <c r="B25" s="740"/>
      <c r="C25" s="740"/>
      <c r="D25" s="740"/>
      <c r="E25" s="304" t="s">
        <v>788</v>
      </c>
      <c r="F25" s="743" t="s">
        <v>789</v>
      </c>
      <c r="G25" s="743"/>
      <c r="H25" s="743"/>
      <c r="I25" s="743"/>
      <c r="J25" s="743"/>
      <c r="K25" s="742" t="s">
        <v>754</v>
      </c>
      <c r="L25" s="742"/>
      <c r="M25" s="742"/>
      <c r="N25" s="742"/>
      <c r="O25" s="305">
        <f>730+330</f>
        <v>1060</v>
      </c>
      <c r="P25" s="306" t="s">
        <v>695</v>
      </c>
    </row>
    <row r="26" spans="1:16" ht="15.75" customHeight="1" x14ac:dyDescent="0.3">
      <c r="A26" s="739">
        <v>46063</v>
      </c>
      <c r="B26" s="740"/>
      <c r="C26" s="740"/>
      <c r="D26" s="740"/>
      <c r="E26" s="304">
        <v>2215</v>
      </c>
      <c r="F26" s="743" t="s">
        <v>790</v>
      </c>
      <c r="G26" s="743"/>
      <c r="H26" s="743"/>
      <c r="I26" s="743"/>
      <c r="J26" s="743"/>
      <c r="K26" s="742" t="s">
        <v>754</v>
      </c>
      <c r="L26" s="742"/>
      <c r="M26" s="742"/>
      <c r="N26" s="742"/>
      <c r="O26" s="305">
        <v>600</v>
      </c>
      <c r="P26" s="306" t="s">
        <v>695</v>
      </c>
    </row>
    <row r="27" spans="1:16" ht="15.75" customHeight="1" x14ac:dyDescent="0.3">
      <c r="A27" s="739">
        <v>46064</v>
      </c>
      <c r="B27" s="740"/>
      <c r="C27" s="740"/>
      <c r="D27" s="740"/>
      <c r="E27" s="304" t="s">
        <v>791</v>
      </c>
      <c r="F27" s="743" t="s">
        <v>792</v>
      </c>
      <c r="G27" s="743"/>
      <c r="H27" s="743"/>
      <c r="I27" s="743"/>
      <c r="J27" s="743"/>
      <c r="K27" s="742" t="s">
        <v>754</v>
      </c>
      <c r="L27" s="742"/>
      <c r="M27" s="742"/>
      <c r="N27" s="742"/>
      <c r="O27" s="305">
        <f>800+510</f>
        <v>1310</v>
      </c>
      <c r="P27" s="306" t="s">
        <v>695</v>
      </c>
    </row>
    <row r="28" spans="1:16" ht="15.75" customHeight="1" x14ac:dyDescent="0.3">
      <c r="A28" s="739">
        <v>46065</v>
      </c>
      <c r="B28" s="740"/>
      <c r="C28" s="740"/>
      <c r="D28" s="740"/>
      <c r="E28" s="304" t="s">
        <v>793</v>
      </c>
      <c r="F28" s="743" t="s">
        <v>794</v>
      </c>
      <c r="G28" s="743"/>
      <c r="H28" s="743"/>
      <c r="I28" s="743"/>
      <c r="J28" s="743"/>
      <c r="K28" s="742" t="s">
        <v>754</v>
      </c>
      <c r="L28" s="742"/>
      <c r="M28" s="742"/>
      <c r="N28" s="742"/>
      <c r="O28" s="305">
        <f>680+730</f>
        <v>1410</v>
      </c>
      <c r="P28" s="306" t="s">
        <v>695</v>
      </c>
    </row>
    <row r="29" spans="1:16" ht="15.75" customHeight="1" x14ac:dyDescent="0.3">
      <c r="A29" s="739">
        <v>46066</v>
      </c>
      <c r="B29" s="740"/>
      <c r="C29" s="740"/>
      <c r="D29" s="740"/>
      <c r="E29" s="304" t="s">
        <v>795</v>
      </c>
      <c r="F29" s="743" t="s">
        <v>796</v>
      </c>
      <c r="G29" s="743"/>
      <c r="H29" s="743"/>
      <c r="I29" s="743"/>
      <c r="J29" s="743"/>
      <c r="K29" s="742" t="s">
        <v>754</v>
      </c>
      <c r="L29" s="742"/>
      <c r="M29" s="742"/>
      <c r="N29" s="742"/>
      <c r="O29" s="305">
        <f>730+300</f>
        <v>1030</v>
      </c>
      <c r="P29" s="306" t="s">
        <v>695</v>
      </c>
    </row>
    <row r="30" spans="1:16" ht="15.75" customHeight="1" x14ac:dyDescent="0.3">
      <c r="A30" s="739">
        <v>46066</v>
      </c>
      <c r="B30" s="740"/>
      <c r="C30" s="740"/>
      <c r="D30" s="740"/>
      <c r="E30" s="304">
        <v>2231</v>
      </c>
      <c r="F30" s="743" t="s">
        <v>797</v>
      </c>
      <c r="G30" s="743"/>
      <c r="H30" s="743"/>
      <c r="I30" s="743"/>
      <c r="J30" s="743"/>
      <c r="K30" s="742" t="s">
        <v>754</v>
      </c>
      <c r="L30" s="742"/>
      <c r="M30" s="742"/>
      <c r="N30" s="742"/>
      <c r="O30" s="305">
        <v>90</v>
      </c>
      <c r="P30" s="306" t="s">
        <v>695</v>
      </c>
    </row>
    <row r="31" spans="1:16" ht="15.75" customHeight="1" x14ac:dyDescent="0.3">
      <c r="A31" s="739">
        <v>46072</v>
      </c>
      <c r="B31" s="740"/>
      <c r="C31" s="740"/>
      <c r="D31" s="740"/>
      <c r="E31" s="304" t="s">
        <v>798</v>
      </c>
      <c r="F31" s="743" t="s">
        <v>799</v>
      </c>
      <c r="G31" s="743"/>
      <c r="H31" s="743"/>
      <c r="I31" s="743"/>
      <c r="J31" s="743"/>
      <c r="K31" s="742" t="s">
        <v>754</v>
      </c>
      <c r="L31" s="742"/>
      <c r="M31" s="742"/>
      <c r="N31" s="742"/>
      <c r="O31" s="305">
        <f>600+300</f>
        <v>900</v>
      </c>
      <c r="P31" s="306" t="s">
        <v>695</v>
      </c>
    </row>
    <row r="32" spans="1:16" ht="15.75" customHeight="1" x14ac:dyDescent="0.3">
      <c r="A32" s="739">
        <v>46073</v>
      </c>
      <c r="B32" s="740"/>
      <c r="C32" s="740"/>
      <c r="D32" s="740"/>
      <c r="E32" s="304">
        <v>2237</v>
      </c>
      <c r="F32" s="743" t="s">
        <v>800</v>
      </c>
      <c r="G32" s="743"/>
      <c r="H32" s="743"/>
      <c r="I32" s="743"/>
      <c r="J32" s="743"/>
      <c r="K32" s="742" t="s">
        <v>754</v>
      </c>
      <c r="L32" s="742"/>
      <c r="M32" s="742"/>
      <c r="N32" s="742"/>
      <c r="O32" s="305">
        <v>360</v>
      </c>
      <c r="P32" s="306" t="s">
        <v>695</v>
      </c>
    </row>
    <row r="33" spans="1:18" ht="15.75" customHeight="1" x14ac:dyDescent="0.3">
      <c r="A33" s="739">
        <v>46076</v>
      </c>
      <c r="B33" s="740"/>
      <c r="C33" s="740"/>
      <c r="D33" s="740"/>
      <c r="E33" s="304">
        <v>2239</v>
      </c>
      <c r="F33" s="743" t="s">
        <v>801</v>
      </c>
      <c r="G33" s="743"/>
      <c r="H33" s="743"/>
      <c r="I33" s="743"/>
      <c r="J33" s="743"/>
      <c r="K33" s="742" t="s">
        <v>754</v>
      </c>
      <c r="L33" s="742"/>
      <c r="M33" s="742"/>
      <c r="N33" s="742"/>
      <c r="O33" s="305">
        <v>340</v>
      </c>
      <c r="P33" s="306" t="s">
        <v>695</v>
      </c>
    </row>
    <row r="34" spans="1:18" ht="15.75" customHeight="1" x14ac:dyDescent="0.3">
      <c r="A34" s="739">
        <v>46077</v>
      </c>
      <c r="B34" s="740"/>
      <c r="C34" s="740"/>
      <c r="D34" s="740"/>
      <c r="E34" s="304" t="s">
        <v>802</v>
      </c>
      <c r="F34" s="743" t="s">
        <v>803</v>
      </c>
      <c r="G34" s="743"/>
      <c r="H34" s="743"/>
      <c r="I34" s="743"/>
      <c r="J34" s="743"/>
      <c r="K34" s="742" t="s">
        <v>754</v>
      </c>
      <c r="L34" s="742"/>
      <c r="M34" s="742"/>
      <c r="N34" s="742"/>
      <c r="O34" s="305">
        <f>541+110</f>
        <v>651</v>
      </c>
      <c r="P34" s="306" t="s">
        <v>695</v>
      </c>
    </row>
    <row r="35" spans="1:18" ht="15.75" customHeight="1" x14ac:dyDescent="0.3">
      <c r="A35" s="739">
        <v>46078</v>
      </c>
      <c r="B35" s="740"/>
      <c r="C35" s="740"/>
      <c r="D35" s="740"/>
      <c r="E35" s="304">
        <v>2248</v>
      </c>
      <c r="F35" s="743" t="s">
        <v>804</v>
      </c>
      <c r="G35" s="743"/>
      <c r="H35" s="743"/>
      <c r="I35" s="743"/>
      <c r="J35" s="743"/>
      <c r="K35" s="742" t="s">
        <v>754</v>
      </c>
      <c r="L35" s="742"/>
      <c r="M35" s="742"/>
      <c r="N35" s="742"/>
      <c r="O35" s="305">
        <v>320</v>
      </c>
      <c r="P35" s="306" t="s">
        <v>695</v>
      </c>
    </row>
    <row r="36" spans="1:18" ht="15.75" customHeight="1" x14ac:dyDescent="0.3">
      <c r="A36" s="739">
        <v>46079</v>
      </c>
      <c r="B36" s="740"/>
      <c r="C36" s="740"/>
      <c r="D36" s="740"/>
      <c r="E36" s="304">
        <v>2250</v>
      </c>
      <c r="F36" s="743" t="s">
        <v>805</v>
      </c>
      <c r="G36" s="743"/>
      <c r="H36" s="743"/>
      <c r="I36" s="743"/>
      <c r="J36" s="743"/>
      <c r="K36" s="742" t="s">
        <v>754</v>
      </c>
      <c r="L36" s="742"/>
      <c r="M36" s="742"/>
      <c r="N36" s="742"/>
      <c r="O36" s="305">
        <v>140</v>
      </c>
      <c r="P36" s="306" t="s">
        <v>695</v>
      </c>
    </row>
    <row r="37" spans="1:18" ht="15.75" customHeight="1" x14ac:dyDescent="0.3">
      <c r="A37" s="739">
        <v>46080</v>
      </c>
      <c r="B37" s="740"/>
      <c r="C37" s="740"/>
      <c r="D37" s="740"/>
      <c r="E37" s="304">
        <v>2253</v>
      </c>
      <c r="F37" s="743" t="s">
        <v>806</v>
      </c>
      <c r="G37" s="743"/>
      <c r="H37" s="743"/>
      <c r="I37" s="743"/>
      <c r="J37" s="743"/>
      <c r="K37" s="742" t="s">
        <v>754</v>
      </c>
      <c r="L37" s="742"/>
      <c r="M37" s="742"/>
      <c r="N37" s="742"/>
      <c r="O37" s="305">
        <v>440</v>
      </c>
      <c r="P37" s="306" t="s">
        <v>695</v>
      </c>
    </row>
    <row r="38" spans="1:18" ht="15.75" customHeight="1" x14ac:dyDescent="0.3">
      <c r="A38" s="739">
        <v>46081</v>
      </c>
      <c r="B38" s="740"/>
      <c r="C38" s="740"/>
      <c r="D38" s="740"/>
      <c r="E38" s="304">
        <v>2254</v>
      </c>
      <c r="F38" s="743" t="s">
        <v>807</v>
      </c>
      <c r="G38" s="743"/>
      <c r="H38" s="743"/>
      <c r="I38" s="743"/>
      <c r="J38" s="743"/>
      <c r="K38" s="742" t="s">
        <v>754</v>
      </c>
      <c r="L38" s="742"/>
      <c r="M38" s="742"/>
      <c r="N38" s="742"/>
      <c r="O38" s="305">
        <v>800</v>
      </c>
      <c r="P38" s="306" t="s">
        <v>695</v>
      </c>
    </row>
    <row r="39" spans="1:18" ht="15.75" customHeight="1" x14ac:dyDescent="0.3">
      <c r="A39" s="739">
        <v>46083</v>
      </c>
      <c r="B39" s="740"/>
      <c r="C39" s="740"/>
      <c r="D39" s="740"/>
      <c r="E39" s="304" t="s">
        <v>808</v>
      </c>
      <c r="F39" s="743" t="s">
        <v>807</v>
      </c>
      <c r="G39" s="743"/>
      <c r="H39" s="743"/>
      <c r="I39" s="743"/>
      <c r="J39" s="743"/>
      <c r="K39" s="742" t="s">
        <v>754</v>
      </c>
      <c r="L39" s="742"/>
      <c r="M39" s="742"/>
      <c r="N39" s="742"/>
      <c r="O39" s="305">
        <f>800+510</f>
        <v>1310</v>
      </c>
      <c r="P39" s="306" t="s">
        <v>695</v>
      </c>
    </row>
    <row r="40" spans="1:18" ht="15.75" customHeight="1" x14ac:dyDescent="0.3">
      <c r="A40" s="739">
        <v>46084</v>
      </c>
      <c r="B40" s="740"/>
      <c r="C40" s="740"/>
      <c r="D40" s="740"/>
      <c r="E40" s="304" t="s">
        <v>809</v>
      </c>
      <c r="F40" s="743" t="s">
        <v>810</v>
      </c>
      <c r="G40" s="743"/>
      <c r="H40" s="743"/>
      <c r="I40" s="743"/>
      <c r="J40" s="743"/>
      <c r="K40" s="742" t="s">
        <v>754</v>
      </c>
      <c r="L40" s="742"/>
      <c r="M40" s="742"/>
      <c r="N40" s="742"/>
      <c r="O40" s="305">
        <f>550+800</f>
        <v>1350</v>
      </c>
      <c r="P40" s="306" t="s">
        <v>695</v>
      </c>
    </row>
    <row r="41" spans="1:18" ht="15.75" customHeight="1" x14ac:dyDescent="0.3">
      <c r="A41" s="739">
        <v>46085</v>
      </c>
      <c r="B41" s="740"/>
      <c r="C41" s="740"/>
      <c r="D41" s="740"/>
      <c r="E41" s="304" t="s">
        <v>811</v>
      </c>
      <c r="F41" s="743" t="s">
        <v>812</v>
      </c>
      <c r="G41" s="743"/>
      <c r="H41" s="743"/>
      <c r="I41" s="743"/>
      <c r="J41" s="743"/>
      <c r="K41" s="742" t="s">
        <v>754</v>
      </c>
      <c r="L41" s="742"/>
      <c r="M41" s="742"/>
      <c r="N41" s="742"/>
      <c r="O41" s="305">
        <f>800*2</f>
        <v>1600</v>
      </c>
      <c r="P41" s="306" t="s">
        <v>695</v>
      </c>
    </row>
    <row r="42" spans="1:18" ht="15.75" customHeight="1" x14ac:dyDescent="0.3">
      <c r="A42" s="739">
        <v>46086</v>
      </c>
      <c r="B42" s="740"/>
      <c r="C42" s="740"/>
      <c r="D42" s="740"/>
      <c r="E42" s="304" t="s">
        <v>813</v>
      </c>
      <c r="F42" s="743" t="s">
        <v>814</v>
      </c>
      <c r="G42" s="743"/>
      <c r="H42" s="743"/>
      <c r="I42" s="743"/>
      <c r="J42" s="743"/>
      <c r="K42" s="742" t="s">
        <v>754</v>
      </c>
      <c r="L42" s="742"/>
      <c r="M42" s="742"/>
      <c r="N42" s="742"/>
      <c r="O42" s="305">
        <f>630+660</f>
        <v>1290</v>
      </c>
      <c r="P42" s="306" t="s">
        <v>695</v>
      </c>
      <c r="Q42" s="307">
        <f>SUM(O42:O54)</f>
        <v>12711</v>
      </c>
      <c r="R42" s="308" t="s">
        <v>815</v>
      </c>
    </row>
    <row r="43" spans="1:18" ht="15.75" customHeight="1" x14ac:dyDescent="0.3">
      <c r="A43" s="739">
        <v>46087</v>
      </c>
      <c r="B43" s="740"/>
      <c r="C43" s="740"/>
      <c r="D43" s="740"/>
      <c r="E43" s="304" t="s">
        <v>816</v>
      </c>
      <c r="F43" s="743" t="s">
        <v>817</v>
      </c>
      <c r="G43" s="743"/>
      <c r="H43" s="743"/>
      <c r="I43" s="743"/>
      <c r="J43" s="743"/>
      <c r="K43" s="742" t="s">
        <v>754</v>
      </c>
      <c r="L43" s="742"/>
      <c r="M43" s="742"/>
      <c r="N43" s="742"/>
      <c r="O43" s="305">
        <f>370+110</f>
        <v>480</v>
      </c>
      <c r="P43" s="306" t="s">
        <v>695</v>
      </c>
    </row>
    <row r="44" spans="1:18" ht="15.75" customHeight="1" x14ac:dyDescent="0.3">
      <c r="A44" s="739">
        <v>46090</v>
      </c>
      <c r="B44" s="740"/>
      <c r="C44" s="740"/>
      <c r="D44" s="740"/>
      <c r="E44" s="304" t="s">
        <v>818</v>
      </c>
      <c r="F44" s="743" t="s">
        <v>819</v>
      </c>
      <c r="G44" s="743"/>
      <c r="H44" s="743"/>
      <c r="I44" s="743"/>
      <c r="J44" s="743"/>
      <c r="K44" s="742" t="s">
        <v>754</v>
      </c>
      <c r="L44" s="742"/>
      <c r="M44" s="742"/>
      <c r="N44" s="742"/>
      <c r="O44" s="305">
        <f>800+301</f>
        <v>1101</v>
      </c>
      <c r="P44" s="306" t="s">
        <v>695</v>
      </c>
    </row>
    <row r="45" spans="1:18" ht="15.75" customHeight="1" x14ac:dyDescent="0.3">
      <c r="A45" s="739">
        <v>46091</v>
      </c>
      <c r="B45" s="740"/>
      <c r="C45" s="740"/>
      <c r="D45" s="740"/>
      <c r="E45" s="304">
        <v>2278</v>
      </c>
      <c r="F45" s="743" t="s">
        <v>820</v>
      </c>
      <c r="G45" s="743"/>
      <c r="H45" s="743"/>
      <c r="I45" s="743"/>
      <c r="J45" s="743"/>
      <c r="K45" s="742" t="s">
        <v>754</v>
      </c>
      <c r="L45" s="742"/>
      <c r="M45" s="742"/>
      <c r="N45" s="742"/>
      <c r="O45" s="305">
        <v>490</v>
      </c>
      <c r="P45" s="306" t="s">
        <v>695</v>
      </c>
    </row>
    <row r="46" spans="1:18" ht="15.75" customHeight="1" x14ac:dyDescent="0.3">
      <c r="A46" s="739">
        <v>46092</v>
      </c>
      <c r="B46" s="740"/>
      <c r="C46" s="740"/>
      <c r="D46" s="740"/>
      <c r="E46" s="304" t="s">
        <v>821</v>
      </c>
      <c r="F46" s="743" t="s">
        <v>822</v>
      </c>
      <c r="G46" s="743"/>
      <c r="H46" s="743"/>
      <c r="I46" s="743"/>
      <c r="J46" s="743"/>
      <c r="K46" s="742" t="s">
        <v>754</v>
      </c>
      <c r="L46" s="742"/>
      <c r="M46" s="742"/>
      <c r="N46" s="742"/>
      <c r="O46" s="305">
        <f>800+380</f>
        <v>1180</v>
      </c>
      <c r="P46" s="306" t="s">
        <v>695</v>
      </c>
    </row>
    <row r="47" spans="1:18" ht="15.75" customHeight="1" x14ac:dyDescent="0.3">
      <c r="A47" s="739">
        <v>46093</v>
      </c>
      <c r="B47" s="740"/>
      <c r="C47" s="740"/>
      <c r="D47" s="740"/>
      <c r="E47" s="304">
        <v>2284</v>
      </c>
      <c r="F47" s="743" t="s">
        <v>823</v>
      </c>
      <c r="G47" s="743"/>
      <c r="H47" s="743"/>
      <c r="I47" s="743"/>
      <c r="J47" s="743"/>
      <c r="K47" s="742" t="s">
        <v>754</v>
      </c>
      <c r="L47" s="742"/>
      <c r="M47" s="742"/>
      <c r="N47" s="742"/>
      <c r="O47" s="305">
        <v>580</v>
      </c>
      <c r="P47" s="306" t="s">
        <v>695</v>
      </c>
    </row>
    <row r="48" spans="1:18" ht="15.75" customHeight="1" x14ac:dyDescent="0.3">
      <c r="A48" s="739">
        <v>46094</v>
      </c>
      <c r="B48" s="740"/>
      <c r="C48" s="740"/>
      <c r="D48" s="740"/>
      <c r="E48" s="304" t="s">
        <v>824</v>
      </c>
      <c r="F48" s="743" t="s">
        <v>825</v>
      </c>
      <c r="G48" s="743"/>
      <c r="H48" s="743"/>
      <c r="I48" s="743"/>
      <c r="J48" s="743"/>
      <c r="K48" s="742" t="s">
        <v>754</v>
      </c>
      <c r="L48" s="742"/>
      <c r="M48" s="742"/>
      <c r="N48" s="742"/>
      <c r="O48" s="305">
        <f>800+540</f>
        <v>1340</v>
      </c>
      <c r="P48" s="306" t="s">
        <v>695</v>
      </c>
    </row>
    <row r="49" spans="1:18" ht="15.75" customHeight="1" x14ac:dyDescent="0.3">
      <c r="A49" s="739">
        <v>46097</v>
      </c>
      <c r="B49" s="740"/>
      <c r="C49" s="740"/>
      <c r="D49" s="740"/>
      <c r="E49" s="304" t="s">
        <v>826</v>
      </c>
      <c r="F49" s="743" t="s">
        <v>827</v>
      </c>
      <c r="G49" s="743"/>
      <c r="H49" s="743"/>
      <c r="I49" s="743"/>
      <c r="J49" s="743"/>
      <c r="K49" s="742" t="s">
        <v>754</v>
      </c>
      <c r="L49" s="742"/>
      <c r="M49" s="742"/>
      <c r="N49" s="742"/>
      <c r="O49" s="309">
        <f>720+660</f>
        <v>1380</v>
      </c>
      <c r="P49" s="306" t="s">
        <v>695</v>
      </c>
    </row>
    <row r="50" spans="1:18" ht="15.75" customHeight="1" x14ac:dyDescent="0.3">
      <c r="A50" s="739">
        <v>46098</v>
      </c>
      <c r="B50" s="740"/>
      <c r="C50" s="740"/>
      <c r="D50" s="740"/>
      <c r="E50" s="304">
        <v>2296</v>
      </c>
      <c r="F50" s="743" t="s">
        <v>828</v>
      </c>
      <c r="G50" s="743"/>
      <c r="H50" s="743"/>
      <c r="I50" s="743"/>
      <c r="J50" s="743"/>
      <c r="K50" s="742" t="s">
        <v>754</v>
      </c>
      <c r="L50" s="742"/>
      <c r="M50" s="742"/>
      <c r="N50" s="742"/>
      <c r="O50" s="309">
        <f>540+740</f>
        <v>1280</v>
      </c>
      <c r="P50" s="306" t="s">
        <v>695</v>
      </c>
    </row>
    <row r="51" spans="1:18" ht="15.75" customHeight="1" x14ac:dyDescent="0.3">
      <c r="A51" s="739">
        <v>46099</v>
      </c>
      <c r="B51" s="740"/>
      <c r="C51" s="740"/>
      <c r="D51" s="740"/>
      <c r="E51" s="304" t="s">
        <v>829</v>
      </c>
      <c r="F51" s="743" t="s">
        <v>830</v>
      </c>
      <c r="G51" s="743"/>
      <c r="H51" s="743"/>
      <c r="I51" s="743"/>
      <c r="J51" s="743"/>
      <c r="K51" s="742" t="s">
        <v>754</v>
      </c>
      <c r="L51" s="742"/>
      <c r="M51" s="742"/>
      <c r="N51" s="742"/>
      <c r="O51" s="309">
        <f>800+300</f>
        <v>1100</v>
      </c>
      <c r="P51" s="306" t="s">
        <v>695</v>
      </c>
    </row>
    <row r="52" spans="1:18" ht="15.75" customHeight="1" x14ac:dyDescent="0.3">
      <c r="A52" s="739">
        <v>46100</v>
      </c>
      <c r="B52" s="740"/>
      <c r="C52" s="740"/>
      <c r="D52" s="740"/>
      <c r="E52" s="304" t="s">
        <v>831</v>
      </c>
      <c r="F52" s="743" t="s">
        <v>832</v>
      </c>
      <c r="G52" s="743"/>
      <c r="H52" s="743"/>
      <c r="I52" s="743"/>
      <c r="J52" s="743"/>
      <c r="K52" s="742" t="s">
        <v>754</v>
      </c>
      <c r="L52" s="742"/>
      <c r="M52" s="742"/>
      <c r="N52" s="742"/>
      <c r="O52" s="309">
        <f>650+380</f>
        <v>1030</v>
      </c>
      <c r="P52" s="306" t="s">
        <v>695</v>
      </c>
    </row>
    <row r="53" spans="1:18" ht="15.75" customHeight="1" x14ac:dyDescent="0.3">
      <c r="A53" s="739">
        <v>46101</v>
      </c>
      <c r="B53" s="740"/>
      <c r="C53" s="740"/>
      <c r="D53" s="740"/>
      <c r="E53" s="304" t="s">
        <v>833</v>
      </c>
      <c r="F53" s="743" t="s">
        <v>834</v>
      </c>
      <c r="G53" s="743"/>
      <c r="H53" s="743"/>
      <c r="I53" s="743"/>
      <c r="J53" s="743"/>
      <c r="K53" s="742" t="s">
        <v>754</v>
      </c>
      <c r="L53" s="742"/>
      <c r="M53" s="742"/>
      <c r="N53" s="742"/>
      <c r="O53" s="305">
        <f>480+540</f>
        <v>1020</v>
      </c>
      <c r="P53" s="306" t="s">
        <v>695</v>
      </c>
    </row>
    <row r="54" spans="1:18" ht="15.75" customHeight="1" x14ac:dyDescent="0.3">
      <c r="A54" s="739">
        <v>46076</v>
      </c>
      <c r="B54" s="740"/>
      <c r="C54" s="740"/>
      <c r="D54" s="740"/>
      <c r="E54" s="304">
        <v>2311</v>
      </c>
      <c r="F54" s="743" t="s">
        <v>835</v>
      </c>
      <c r="G54" s="743"/>
      <c r="H54" s="743"/>
      <c r="I54" s="743"/>
      <c r="J54" s="743"/>
      <c r="K54" s="742" t="s">
        <v>754</v>
      </c>
      <c r="L54" s="742"/>
      <c r="M54" s="742"/>
      <c r="N54" s="742"/>
      <c r="O54" s="305">
        <v>440</v>
      </c>
      <c r="P54" s="306" t="s">
        <v>695</v>
      </c>
      <c r="Q54" s="307">
        <f>SUM(O50:O55)</f>
        <v>6490</v>
      </c>
      <c r="R54" s="308" t="s">
        <v>836</v>
      </c>
    </row>
    <row r="55" spans="1:18" ht="15.75" customHeight="1" x14ac:dyDescent="0.3">
      <c r="A55" s="739">
        <v>46105</v>
      </c>
      <c r="B55" s="740"/>
      <c r="C55" s="740"/>
      <c r="D55" s="740"/>
      <c r="E55" s="304" t="s">
        <v>837</v>
      </c>
      <c r="F55" s="743" t="s">
        <v>838</v>
      </c>
      <c r="G55" s="743"/>
      <c r="H55" s="743"/>
      <c r="I55" s="743"/>
      <c r="J55" s="743"/>
      <c r="K55" s="742" t="s">
        <v>754</v>
      </c>
      <c r="L55" s="742"/>
      <c r="M55" s="742"/>
      <c r="N55" s="742"/>
      <c r="O55" s="309">
        <f>800+820</f>
        <v>1620</v>
      </c>
      <c r="P55" s="306" t="s">
        <v>695</v>
      </c>
    </row>
    <row r="56" spans="1:18" ht="15.75" customHeight="1" x14ac:dyDescent="0.3">
      <c r="A56" s="739">
        <v>46106</v>
      </c>
      <c r="B56" s="740"/>
      <c r="C56" s="740"/>
      <c r="D56" s="740"/>
      <c r="E56" s="304">
        <v>2316</v>
      </c>
      <c r="F56" s="743" t="s">
        <v>839</v>
      </c>
      <c r="G56" s="743"/>
      <c r="H56" s="743"/>
      <c r="I56" s="743"/>
      <c r="J56" s="743"/>
      <c r="K56" s="742" t="s">
        <v>754</v>
      </c>
      <c r="L56" s="742"/>
      <c r="M56" s="742"/>
      <c r="N56" s="742"/>
      <c r="O56" s="309">
        <v>800</v>
      </c>
      <c r="P56" s="306" t="s">
        <v>695</v>
      </c>
    </row>
    <row r="57" spans="1:18" ht="15.75" customHeight="1" x14ac:dyDescent="0.3">
      <c r="A57" s="739">
        <v>46107</v>
      </c>
      <c r="B57" s="740"/>
      <c r="C57" s="740"/>
      <c r="D57" s="740"/>
      <c r="E57" s="304" t="s">
        <v>840</v>
      </c>
      <c r="F57" s="743" t="s">
        <v>841</v>
      </c>
      <c r="G57" s="743"/>
      <c r="H57" s="743"/>
      <c r="I57" s="743"/>
      <c r="J57" s="743"/>
      <c r="K57" s="742" t="s">
        <v>754</v>
      </c>
      <c r="L57" s="742"/>
      <c r="M57" s="742"/>
      <c r="N57" s="742"/>
      <c r="O57" s="309">
        <f>400+200</f>
        <v>600</v>
      </c>
      <c r="P57" s="306" t="s">
        <v>695</v>
      </c>
    </row>
    <row r="58" spans="1:18" ht="15.75" customHeight="1" x14ac:dyDescent="0.3">
      <c r="A58" s="739">
        <v>46108</v>
      </c>
      <c r="B58" s="740"/>
      <c r="C58" s="740"/>
      <c r="D58" s="740"/>
      <c r="E58" s="304" t="s">
        <v>842</v>
      </c>
      <c r="F58" s="743" t="s">
        <v>843</v>
      </c>
      <c r="G58" s="743"/>
      <c r="H58" s="743"/>
      <c r="I58" s="743"/>
      <c r="J58" s="743"/>
      <c r="K58" s="742" t="s">
        <v>754</v>
      </c>
      <c r="L58" s="742"/>
      <c r="M58" s="742"/>
      <c r="N58" s="742"/>
      <c r="O58" s="309">
        <f>430+230</f>
        <v>660</v>
      </c>
      <c r="P58" s="306" t="s">
        <v>695</v>
      </c>
    </row>
    <row r="59" spans="1:18" ht="15.75" customHeight="1" x14ac:dyDescent="0.3">
      <c r="A59" s="739">
        <v>46111</v>
      </c>
      <c r="B59" s="740"/>
      <c r="C59" s="740"/>
      <c r="D59" s="740"/>
      <c r="E59" s="304">
        <v>2326</v>
      </c>
      <c r="F59" s="743" t="s">
        <v>844</v>
      </c>
      <c r="G59" s="743"/>
      <c r="H59" s="743"/>
      <c r="I59" s="743"/>
      <c r="J59" s="743"/>
      <c r="K59" s="742" t="s">
        <v>754</v>
      </c>
      <c r="L59" s="742"/>
      <c r="M59" s="742"/>
      <c r="N59" s="742"/>
      <c r="O59" s="309">
        <v>270</v>
      </c>
      <c r="P59" s="306" t="s">
        <v>695</v>
      </c>
    </row>
    <row r="60" spans="1:18" ht="15.75" customHeight="1" x14ac:dyDescent="0.3">
      <c r="A60" s="739">
        <v>46112</v>
      </c>
      <c r="B60" s="740"/>
      <c r="C60" s="740"/>
      <c r="D60" s="740"/>
      <c r="E60" s="304">
        <v>2331</v>
      </c>
      <c r="F60" s="743" t="s">
        <v>845</v>
      </c>
      <c r="G60" s="743"/>
      <c r="H60" s="743"/>
      <c r="I60" s="743"/>
      <c r="J60" s="743"/>
      <c r="K60" s="742" t="s">
        <v>754</v>
      </c>
      <c r="L60" s="742"/>
      <c r="M60" s="742"/>
      <c r="N60" s="742"/>
      <c r="O60" s="309">
        <v>610</v>
      </c>
      <c r="P60" s="306" t="s">
        <v>695</v>
      </c>
    </row>
    <row r="61" spans="1:18" ht="15.75" customHeight="1" x14ac:dyDescent="0.3">
      <c r="A61" s="739">
        <v>46113</v>
      </c>
      <c r="B61" s="740"/>
      <c r="C61" s="740"/>
      <c r="D61" s="740"/>
      <c r="E61" s="304">
        <v>2333</v>
      </c>
      <c r="F61" s="743" t="s">
        <v>846</v>
      </c>
      <c r="G61" s="743"/>
      <c r="H61" s="743"/>
      <c r="I61" s="743"/>
      <c r="J61" s="743"/>
      <c r="K61" s="742" t="s">
        <v>754</v>
      </c>
      <c r="L61" s="742"/>
      <c r="M61" s="742"/>
      <c r="N61" s="742"/>
      <c r="O61" s="309">
        <v>210</v>
      </c>
      <c r="P61" s="306" t="s">
        <v>695</v>
      </c>
    </row>
    <row r="62" spans="1:18" ht="15.75" customHeight="1" x14ac:dyDescent="0.3">
      <c r="A62" s="739">
        <v>46114</v>
      </c>
      <c r="B62" s="740"/>
      <c r="C62" s="740"/>
      <c r="D62" s="740"/>
      <c r="E62" s="304">
        <v>2336</v>
      </c>
      <c r="F62" s="743" t="s">
        <v>847</v>
      </c>
      <c r="G62" s="743"/>
      <c r="H62" s="743"/>
      <c r="I62" s="743"/>
      <c r="J62" s="743"/>
      <c r="K62" s="742" t="s">
        <v>754</v>
      </c>
      <c r="L62" s="742"/>
      <c r="M62" s="742"/>
      <c r="N62" s="742"/>
      <c r="O62" s="309">
        <v>440</v>
      </c>
      <c r="P62" s="306" t="s">
        <v>695</v>
      </c>
    </row>
    <row r="63" spans="1:18" ht="15.75" customHeight="1" x14ac:dyDescent="0.3">
      <c r="A63" s="739">
        <v>46120</v>
      </c>
      <c r="B63" s="740"/>
      <c r="C63" s="740"/>
      <c r="D63" s="740"/>
      <c r="E63" s="304" t="s">
        <v>848</v>
      </c>
      <c r="F63" s="743" t="s">
        <v>849</v>
      </c>
      <c r="G63" s="743"/>
      <c r="H63" s="743"/>
      <c r="I63" s="743"/>
      <c r="J63" s="743"/>
      <c r="K63" s="742" t="s">
        <v>754</v>
      </c>
      <c r="L63" s="742"/>
      <c r="M63" s="742"/>
      <c r="N63" s="742"/>
      <c r="O63" s="309">
        <f>330+800</f>
        <v>1130</v>
      </c>
      <c r="P63" s="306" t="s">
        <v>695</v>
      </c>
    </row>
    <row r="64" spans="1:18" ht="15.75" customHeight="1" x14ac:dyDescent="0.3">
      <c r="A64" s="739">
        <v>46121</v>
      </c>
      <c r="B64" s="740"/>
      <c r="C64" s="740"/>
      <c r="D64" s="740"/>
      <c r="E64" s="304" t="s">
        <v>850</v>
      </c>
      <c r="F64" s="743" t="s">
        <v>851</v>
      </c>
      <c r="G64" s="743"/>
      <c r="H64" s="743"/>
      <c r="I64" s="743"/>
      <c r="J64" s="743"/>
      <c r="K64" s="742" t="s">
        <v>754</v>
      </c>
      <c r="L64" s="742"/>
      <c r="M64" s="742"/>
      <c r="N64" s="742"/>
      <c r="O64" s="309">
        <f>530+800</f>
        <v>1330</v>
      </c>
      <c r="P64" s="306" t="s">
        <v>695</v>
      </c>
    </row>
    <row r="65" spans="1:16" ht="15.75" customHeight="1" x14ac:dyDescent="0.3">
      <c r="A65" s="739">
        <v>46122</v>
      </c>
      <c r="B65" s="740"/>
      <c r="C65" s="740"/>
      <c r="D65" s="740"/>
      <c r="E65" s="304">
        <v>2352</v>
      </c>
      <c r="F65" s="743" t="s">
        <v>852</v>
      </c>
      <c r="G65" s="743"/>
      <c r="H65" s="743"/>
      <c r="I65" s="743"/>
      <c r="J65" s="743"/>
      <c r="K65" s="742" t="s">
        <v>754</v>
      </c>
      <c r="L65" s="742"/>
      <c r="M65" s="742"/>
      <c r="N65" s="742"/>
      <c r="O65" s="309">
        <v>170</v>
      </c>
      <c r="P65" s="306" t="s">
        <v>695</v>
      </c>
    </row>
    <row r="66" spans="1:16" ht="15.75" customHeight="1" x14ac:dyDescent="0.3">
      <c r="A66" s="739">
        <v>46125</v>
      </c>
      <c r="B66" s="740"/>
      <c r="C66" s="740"/>
      <c r="D66" s="740"/>
      <c r="E66" s="304" t="s">
        <v>853</v>
      </c>
      <c r="F66" s="743" t="s">
        <v>854</v>
      </c>
      <c r="G66" s="743"/>
      <c r="H66" s="743"/>
      <c r="I66" s="743"/>
      <c r="J66" s="743"/>
      <c r="K66" s="742" t="s">
        <v>754</v>
      </c>
      <c r="L66" s="742"/>
      <c r="M66" s="742"/>
      <c r="N66" s="742"/>
      <c r="O66" s="309">
        <f>800+360</f>
        <v>1160</v>
      </c>
      <c r="P66" s="306" t="s">
        <v>695</v>
      </c>
    </row>
    <row r="67" spans="1:16" ht="15.75" customHeight="1" x14ac:dyDescent="0.3">
      <c r="A67" s="739">
        <v>46126</v>
      </c>
      <c r="B67" s="740"/>
      <c r="C67" s="740"/>
      <c r="D67" s="740"/>
      <c r="E67" s="304" t="s">
        <v>855</v>
      </c>
      <c r="F67" s="743" t="s">
        <v>856</v>
      </c>
      <c r="G67" s="743"/>
      <c r="H67" s="743"/>
      <c r="I67" s="743"/>
      <c r="J67" s="743"/>
      <c r="K67" s="742" t="s">
        <v>754</v>
      </c>
      <c r="L67" s="742"/>
      <c r="M67" s="742"/>
      <c r="N67" s="742"/>
      <c r="O67" s="309">
        <f>410+710</f>
        <v>1120</v>
      </c>
      <c r="P67" s="306" t="s">
        <v>695</v>
      </c>
    </row>
    <row r="68" spans="1:16" ht="15.75" customHeight="1" x14ac:dyDescent="0.3">
      <c r="A68" s="739">
        <v>46127</v>
      </c>
      <c r="B68" s="740"/>
      <c r="C68" s="740"/>
      <c r="D68" s="740"/>
      <c r="E68" s="304" t="s">
        <v>857</v>
      </c>
      <c r="F68" s="743" t="s">
        <v>858</v>
      </c>
      <c r="G68" s="743"/>
      <c r="H68" s="743"/>
      <c r="I68" s="743"/>
      <c r="J68" s="743"/>
      <c r="K68" s="742" t="s">
        <v>754</v>
      </c>
      <c r="L68" s="742"/>
      <c r="M68" s="742"/>
      <c r="N68" s="742"/>
      <c r="O68" s="309">
        <f>801+800</f>
        <v>1601</v>
      </c>
      <c r="P68" s="306" t="s">
        <v>695</v>
      </c>
    </row>
    <row r="69" spans="1:16" ht="15.75" customHeight="1" x14ac:dyDescent="0.3">
      <c r="A69" s="739">
        <v>46128</v>
      </c>
      <c r="B69" s="740"/>
      <c r="C69" s="740"/>
      <c r="D69" s="740"/>
      <c r="E69" s="304">
        <v>2367</v>
      </c>
      <c r="F69" s="743" t="s">
        <v>859</v>
      </c>
      <c r="G69" s="743"/>
      <c r="H69" s="743"/>
      <c r="I69" s="743"/>
      <c r="J69" s="743"/>
      <c r="K69" s="742" t="s">
        <v>754</v>
      </c>
      <c r="L69" s="742"/>
      <c r="M69" s="742"/>
      <c r="N69" s="742"/>
      <c r="O69" s="309">
        <v>670</v>
      </c>
      <c r="P69" s="306" t="s">
        <v>695</v>
      </c>
    </row>
    <row r="70" spans="1:16" ht="15.75" customHeight="1" x14ac:dyDescent="0.3">
      <c r="A70" s="739">
        <v>46129</v>
      </c>
      <c r="B70" s="740"/>
      <c r="C70" s="740"/>
      <c r="D70" s="740"/>
      <c r="E70" s="304">
        <v>2369</v>
      </c>
      <c r="F70" s="743" t="s">
        <v>860</v>
      </c>
      <c r="G70" s="743"/>
      <c r="H70" s="743"/>
      <c r="I70" s="743"/>
      <c r="J70" s="743"/>
      <c r="K70" s="742" t="s">
        <v>754</v>
      </c>
      <c r="L70" s="742"/>
      <c r="M70" s="742"/>
      <c r="N70" s="742"/>
      <c r="O70" s="309">
        <v>300</v>
      </c>
      <c r="P70" s="306" t="s">
        <v>695</v>
      </c>
    </row>
    <row r="71" spans="1:16" ht="15.75" customHeight="1" x14ac:dyDescent="0.3">
      <c r="A71" s="739">
        <v>46130</v>
      </c>
      <c r="B71" s="740"/>
      <c r="C71" s="740"/>
      <c r="D71" s="740"/>
      <c r="E71" s="304" t="s">
        <v>861</v>
      </c>
      <c r="F71" s="743" t="s">
        <v>862</v>
      </c>
      <c r="G71" s="743"/>
      <c r="H71" s="743"/>
      <c r="I71" s="743"/>
      <c r="J71" s="743"/>
      <c r="K71" s="742" t="s">
        <v>754</v>
      </c>
      <c r="L71" s="742"/>
      <c r="M71" s="742"/>
      <c r="N71" s="742"/>
      <c r="O71" s="309">
        <f>570+450</f>
        <v>1020</v>
      </c>
      <c r="P71" s="306" t="s">
        <v>695</v>
      </c>
    </row>
    <row r="72" spans="1:16" ht="15.75" customHeight="1" x14ac:dyDescent="0.3">
      <c r="A72" s="739">
        <v>46132</v>
      </c>
      <c r="B72" s="740"/>
      <c r="C72" s="740"/>
      <c r="D72" s="740"/>
      <c r="E72" s="304" t="s">
        <v>863</v>
      </c>
      <c r="F72" s="743" t="s">
        <v>864</v>
      </c>
      <c r="G72" s="743"/>
      <c r="H72" s="743"/>
      <c r="I72" s="743"/>
      <c r="J72" s="743"/>
      <c r="K72" s="742" t="s">
        <v>754</v>
      </c>
      <c r="L72" s="742"/>
      <c r="M72" s="742"/>
      <c r="N72" s="742"/>
      <c r="O72" s="309">
        <f>670+520</f>
        <v>1190</v>
      </c>
      <c r="P72" s="306" t="s">
        <v>695</v>
      </c>
    </row>
    <row r="73" spans="1:16" ht="15.75" customHeight="1" x14ac:dyDescent="0.3">
      <c r="A73" s="739">
        <v>46133</v>
      </c>
      <c r="B73" s="740"/>
      <c r="C73" s="740"/>
      <c r="D73" s="740"/>
      <c r="E73" s="304" t="s">
        <v>865</v>
      </c>
      <c r="F73" s="743" t="s">
        <v>866</v>
      </c>
      <c r="G73" s="743"/>
      <c r="H73" s="743"/>
      <c r="I73" s="743"/>
      <c r="J73" s="743"/>
      <c r="K73" s="742" t="s">
        <v>754</v>
      </c>
      <c r="L73" s="742"/>
      <c r="M73" s="742"/>
      <c r="N73" s="742"/>
      <c r="O73" s="309">
        <f>800+700+350</f>
        <v>1850</v>
      </c>
      <c r="P73" s="306" t="s">
        <v>695</v>
      </c>
    </row>
    <row r="74" spans="1:16" ht="15.75" customHeight="1" x14ac:dyDescent="0.3">
      <c r="A74" s="739">
        <v>46134</v>
      </c>
      <c r="B74" s="740"/>
      <c r="C74" s="740"/>
      <c r="D74" s="740"/>
      <c r="E74" s="304" t="s">
        <v>867</v>
      </c>
      <c r="F74" s="743" t="s">
        <v>868</v>
      </c>
      <c r="G74" s="743"/>
      <c r="H74" s="743"/>
      <c r="I74" s="743"/>
      <c r="J74" s="743"/>
      <c r="K74" s="742" t="s">
        <v>754</v>
      </c>
      <c r="L74" s="742"/>
      <c r="M74" s="742"/>
      <c r="N74" s="742"/>
      <c r="O74" s="309">
        <f>800+540</f>
        <v>1340</v>
      </c>
      <c r="P74" s="306" t="s">
        <v>695</v>
      </c>
    </row>
    <row r="75" spans="1:16" ht="15.75" customHeight="1" x14ac:dyDescent="0.3">
      <c r="A75" s="739">
        <v>46135</v>
      </c>
      <c r="B75" s="740"/>
      <c r="C75" s="740"/>
      <c r="D75" s="740"/>
      <c r="E75" s="304" t="s">
        <v>869</v>
      </c>
      <c r="F75" s="743" t="s">
        <v>870</v>
      </c>
      <c r="G75" s="743"/>
      <c r="H75" s="743"/>
      <c r="I75" s="743"/>
      <c r="J75" s="743"/>
      <c r="K75" s="742" t="s">
        <v>754</v>
      </c>
      <c r="L75" s="742"/>
      <c r="M75" s="742"/>
      <c r="N75" s="742"/>
      <c r="O75" s="309">
        <f>630+800</f>
        <v>1430</v>
      </c>
      <c r="P75" s="306" t="s">
        <v>695</v>
      </c>
    </row>
    <row r="76" spans="1:16" ht="15.75" customHeight="1" x14ac:dyDescent="0.3">
      <c r="A76" s="739">
        <v>46136</v>
      </c>
      <c r="B76" s="740"/>
      <c r="C76" s="740"/>
      <c r="D76" s="740"/>
      <c r="E76" s="304" t="s">
        <v>871</v>
      </c>
      <c r="F76" s="743" t="s">
        <v>872</v>
      </c>
      <c r="G76" s="743"/>
      <c r="H76" s="743"/>
      <c r="I76" s="743"/>
      <c r="J76" s="743"/>
      <c r="K76" s="742" t="s">
        <v>754</v>
      </c>
      <c r="L76" s="742"/>
      <c r="M76" s="742"/>
      <c r="N76" s="742"/>
      <c r="O76" s="309">
        <f>650+140</f>
        <v>790</v>
      </c>
      <c r="P76" s="306" t="s">
        <v>695</v>
      </c>
    </row>
    <row r="77" spans="1:16" ht="15.75" customHeight="1" x14ac:dyDescent="0.3">
      <c r="A77" s="739">
        <v>46137</v>
      </c>
      <c r="B77" s="740"/>
      <c r="C77" s="740"/>
      <c r="D77" s="740"/>
      <c r="E77" s="304" t="s">
        <v>873</v>
      </c>
      <c r="F77" s="743" t="s">
        <v>874</v>
      </c>
      <c r="G77" s="743"/>
      <c r="H77" s="743"/>
      <c r="I77" s="743"/>
      <c r="J77" s="743"/>
      <c r="K77" s="742" t="s">
        <v>754</v>
      </c>
      <c r="L77" s="742"/>
      <c r="M77" s="742"/>
      <c r="N77" s="742"/>
      <c r="O77" s="309">
        <f>180+320</f>
        <v>500</v>
      </c>
      <c r="P77" s="306" t="s">
        <v>695</v>
      </c>
    </row>
    <row r="78" spans="1:16" ht="15.75" customHeight="1" x14ac:dyDescent="0.3">
      <c r="A78" s="739">
        <v>46139</v>
      </c>
      <c r="B78" s="740"/>
      <c r="C78" s="740"/>
      <c r="D78" s="740"/>
      <c r="E78" s="304">
        <v>2392</v>
      </c>
      <c r="F78" s="743" t="s">
        <v>874</v>
      </c>
      <c r="G78" s="743"/>
      <c r="H78" s="743"/>
      <c r="I78" s="743"/>
      <c r="J78" s="743"/>
      <c r="K78" s="742" t="s">
        <v>754</v>
      </c>
      <c r="L78" s="742"/>
      <c r="M78" s="742"/>
      <c r="N78" s="742"/>
      <c r="O78" s="309">
        <v>500</v>
      </c>
      <c r="P78" s="306" t="s">
        <v>695</v>
      </c>
    </row>
    <row r="79" spans="1:16" ht="15.75" customHeight="1" x14ac:dyDescent="0.3">
      <c r="A79" s="739">
        <v>46140</v>
      </c>
      <c r="B79" s="740"/>
      <c r="C79" s="740"/>
      <c r="D79" s="740"/>
      <c r="E79" s="304">
        <v>2394</v>
      </c>
      <c r="F79" s="743" t="s">
        <v>875</v>
      </c>
      <c r="G79" s="743"/>
      <c r="H79" s="743"/>
      <c r="I79" s="743"/>
      <c r="J79" s="743"/>
      <c r="K79" s="742" t="s">
        <v>754</v>
      </c>
      <c r="L79" s="742"/>
      <c r="M79" s="742"/>
      <c r="N79" s="742"/>
      <c r="O79" s="309">
        <v>460</v>
      </c>
      <c r="P79" s="306" t="s">
        <v>695</v>
      </c>
    </row>
    <row r="80" spans="1:16" ht="15.75" customHeight="1" x14ac:dyDescent="0.3">
      <c r="A80" s="739">
        <v>46141</v>
      </c>
      <c r="B80" s="740"/>
      <c r="C80" s="740"/>
      <c r="D80" s="740"/>
      <c r="E80" s="304" t="s">
        <v>876</v>
      </c>
      <c r="F80" s="743" t="s">
        <v>877</v>
      </c>
      <c r="G80" s="743"/>
      <c r="H80" s="743"/>
      <c r="I80" s="743"/>
      <c r="J80" s="743"/>
      <c r="K80" s="742" t="s">
        <v>754</v>
      </c>
      <c r="L80" s="742"/>
      <c r="M80" s="742"/>
      <c r="N80" s="742"/>
      <c r="O80" s="309">
        <f>800+800+400</f>
        <v>2000</v>
      </c>
      <c r="P80" s="306" t="s">
        <v>695</v>
      </c>
    </row>
    <row r="81" spans="1:17" ht="15.75" customHeight="1" x14ac:dyDescent="0.3">
      <c r="A81" s="739">
        <v>46142</v>
      </c>
      <c r="B81" s="740"/>
      <c r="C81" s="740"/>
      <c r="D81" s="740"/>
      <c r="E81" s="304" t="s">
        <v>878</v>
      </c>
      <c r="F81" s="743" t="s">
        <v>879</v>
      </c>
      <c r="G81" s="743"/>
      <c r="H81" s="743"/>
      <c r="I81" s="743"/>
      <c r="J81" s="743"/>
      <c r="K81" s="742" t="s">
        <v>754</v>
      </c>
      <c r="L81" s="742"/>
      <c r="M81" s="742"/>
      <c r="N81" s="742"/>
      <c r="O81" s="309">
        <f>580+670+500</f>
        <v>1750</v>
      </c>
      <c r="P81" s="306" t="s">
        <v>695</v>
      </c>
    </row>
    <row r="82" spans="1:17" ht="15.75" customHeight="1" x14ac:dyDescent="0.3">
      <c r="A82" s="739">
        <v>46143</v>
      </c>
      <c r="B82" s="740"/>
      <c r="C82" s="740"/>
      <c r="D82" s="740"/>
      <c r="E82" s="304" t="s">
        <v>880</v>
      </c>
      <c r="F82" s="743" t="s">
        <v>881</v>
      </c>
      <c r="G82" s="743"/>
      <c r="H82" s="743"/>
      <c r="I82" s="743"/>
      <c r="J82" s="743"/>
      <c r="K82" s="742" t="s">
        <v>754</v>
      </c>
      <c r="L82" s="742"/>
      <c r="M82" s="742"/>
      <c r="N82" s="742"/>
      <c r="O82" s="310">
        <v>1630</v>
      </c>
      <c r="P82" s="306" t="s">
        <v>695</v>
      </c>
    </row>
    <row r="83" spans="1:17" ht="15.75" customHeight="1" x14ac:dyDescent="0.3">
      <c r="A83" s="739">
        <v>46144</v>
      </c>
      <c r="B83" s="740"/>
      <c r="C83" s="740"/>
      <c r="D83" s="740"/>
      <c r="E83" s="304">
        <v>2406</v>
      </c>
      <c r="F83" s="743" t="s">
        <v>881</v>
      </c>
      <c r="G83" s="743"/>
      <c r="H83" s="743"/>
      <c r="I83" s="743"/>
      <c r="J83" s="743"/>
      <c r="K83" s="742" t="s">
        <v>754</v>
      </c>
      <c r="L83" s="742"/>
      <c r="M83" s="742"/>
      <c r="N83" s="742"/>
      <c r="O83" s="309">
        <f>380+540</f>
        <v>920</v>
      </c>
      <c r="P83" s="306" t="s">
        <v>695</v>
      </c>
    </row>
    <row r="84" spans="1:17" ht="15.75" customHeight="1" x14ac:dyDescent="0.3">
      <c r="A84" s="739">
        <v>46146</v>
      </c>
      <c r="B84" s="740"/>
      <c r="C84" s="740"/>
      <c r="D84" s="740"/>
      <c r="E84" s="304" t="s">
        <v>882</v>
      </c>
      <c r="F84" s="743" t="s">
        <v>883</v>
      </c>
      <c r="G84" s="743"/>
      <c r="H84" s="743"/>
      <c r="I84" s="743"/>
      <c r="J84" s="743"/>
      <c r="K84" s="742" t="s">
        <v>754</v>
      </c>
      <c r="L84" s="742"/>
      <c r="M84" s="742"/>
      <c r="N84" s="742"/>
      <c r="O84" s="309">
        <f>560+420</f>
        <v>980</v>
      </c>
      <c r="P84" s="306" t="s">
        <v>695</v>
      </c>
    </row>
    <row r="85" spans="1:17" ht="15.75" customHeight="1" x14ac:dyDescent="0.3">
      <c r="A85" s="739">
        <v>46147</v>
      </c>
      <c r="B85" s="740"/>
      <c r="C85" s="740"/>
      <c r="D85" s="740"/>
      <c r="E85" s="304">
        <v>2412</v>
      </c>
      <c r="F85" s="743" t="s">
        <v>884</v>
      </c>
      <c r="G85" s="743"/>
      <c r="H85" s="743"/>
      <c r="I85" s="743"/>
      <c r="J85" s="743"/>
      <c r="K85" s="742" t="s">
        <v>754</v>
      </c>
      <c r="L85" s="742"/>
      <c r="M85" s="742"/>
      <c r="N85" s="742"/>
      <c r="O85" s="309">
        <v>800</v>
      </c>
      <c r="P85" s="306" t="s">
        <v>695</v>
      </c>
    </row>
    <row r="86" spans="1:17" ht="15.75" customHeight="1" x14ac:dyDescent="0.3">
      <c r="A86" s="739">
        <v>46149</v>
      </c>
      <c r="B86" s="740"/>
      <c r="C86" s="740"/>
      <c r="D86" s="740"/>
      <c r="E86" s="304">
        <v>2419</v>
      </c>
      <c r="F86" s="743" t="s">
        <v>885</v>
      </c>
      <c r="G86" s="743"/>
      <c r="H86" s="743"/>
      <c r="I86" s="743"/>
      <c r="J86" s="743"/>
      <c r="K86" s="742" t="s">
        <v>754</v>
      </c>
      <c r="L86" s="742"/>
      <c r="M86" s="742"/>
      <c r="N86" s="742"/>
      <c r="O86" s="309">
        <v>300</v>
      </c>
      <c r="P86" s="306" t="s">
        <v>695</v>
      </c>
    </row>
    <row r="87" spans="1:17" ht="15.75" customHeight="1" x14ac:dyDescent="0.3">
      <c r="A87" s="739">
        <v>46150</v>
      </c>
      <c r="B87" s="740"/>
      <c r="C87" s="740"/>
      <c r="D87" s="740"/>
      <c r="E87" s="304" t="s">
        <v>886</v>
      </c>
      <c r="F87" s="743" t="s">
        <v>887</v>
      </c>
      <c r="G87" s="743"/>
      <c r="H87" s="743"/>
      <c r="I87" s="743"/>
      <c r="J87" s="743"/>
      <c r="K87" s="742" t="s">
        <v>754</v>
      </c>
      <c r="L87" s="742"/>
      <c r="M87" s="742"/>
      <c r="N87" s="742"/>
      <c r="O87" s="309">
        <f>400+650</f>
        <v>1050</v>
      </c>
      <c r="P87" s="306" t="s">
        <v>695</v>
      </c>
    </row>
    <row r="88" spans="1:17" ht="15.75" customHeight="1" x14ac:dyDescent="0.3">
      <c r="A88" s="739">
        <v>46151</v>
      </c>
      <c r="B88" s="740"/>
      <c r="C88" s="740"/>
      <c r="D88" s="740"/>
      <c r="E88" s="304" t="s">
        <v>888</v>
      </c>
      <c r="F88" s="743" t="s">
        <v>889</v>
      </c>
      <c r="G88" s="743"/>
      <c r="H88" s="743"/>
      <c r="I88" s="743"/>
      <c r="J88" s="743"/>
      <c r="K88" s="742" t="s">
        <v>754</v>
      </c>
      <c r="L88" s="742"/>
      <c r="M88" s="742"/>
      <c r="N88" s="742"/>
      <c r="O88" s="309">
        <f>300+530+610</f>
        <v>1440</v>
      </c>
      <c r="P88" s="306" t="s">
        <v>695</v>
      </c>
    </row>
    <row r="89" spans="1:17" ht="15.75" customHeight="1" x14ac:dyDescent="0.3">
      <c r="A89" s="739">
        <v>46153</v>
      </c>
      <c r="B89" s="740"/>
      <c r="C89" s="740"/>
      <c r="D89" s="740"/>
      <c r="E89" s="304" t="s">
        <v>890</v>
      </c>
      <c r="F89" s="743" t="s">
        <v>891</v>
      </c>
      <c r="G89" s="743"/>
      <c r="H89" s="743"/>
      <c r="I89" s="743"/>
      <c r="J89" s="743"/>
      <c r="K89" s="742" t="s">
        <v>754</v>
      </c>
      <c r="L89" s="742"/>
      <c r="M89" s="742"/>
      <c r="N89" s="742"/>
      <c r="O89" s="309">
        <f>600+50</f>
        <v>650</v>
      </c>
      <c r="P89" s="306" t="s">
        <v>695</v>
      </c>
    </row>
    <row r="90" spans="1:17" ht="15.75" customHeight="1" x14ac:dyDescent="0.3">
      <c r="A90" s="739">
        <v>46154</v>
      </c>
      <c r="B90" s="740"/>
      <c r="C90" s="740"/>
      <c r="D90" s="740"/>
      <c r="E90" s="304" t="s">
        <v>892</v>
      </c>
      <c r="F90" s="743" t="s">
        <v>893</v>
      </c>
      <c r="G90" s="743"/>
      <c r="H90" s="743"/>
      <c r="I90" s="743"/>
      <c r="J90" s="743"/>
      <c r="K90" s="742" t="s">
        <v>754</v>
      </c>
      <c r="L90" s="742"/>
      <c r="M90" s="742"/>
      <c r="N90" s="742"/>
      <c r="O90" s="309">
        <f>800+240</f>
        <v>1040</v>
      </c>
      <c r="P90" s="306" t="s">
        <v>695</v>
      </c>
    </row>
    <row r="91" spans="1:17" ht="15.75" customHeight="1" x14ac:dyDescent="0.3">
      <c r="A91" s="739">
        <v>46154</v>
      </c>
      <c r="B91" s="740"/>
      <c r="C91" s="740"/>
      <c r="D91" s="740"/>
      <c r="E91" s="311" t="s">
        <v>894</v>
      </c>
      <c r="F91" s="743" t="s">
        <v>895</v>
      </c>
      <c r="G91" s="743"/>
      <c r="H91" s="743"/>
      <c r="I91" s="743"/>
      <c r="J91" s="743"/>
      <c r="K91" s="742" t="s">
        <v>754</v>
      </c>
      <c r="L91" s="742"/>
      <c r="M91" s="742"/>
      <c r="N91" s="742"/>
      <c r="O91" s="309">
        <f>800+800</f>
        <v>1600</v>
      </c>
      <c r="P91" s="306" t="s">
        <v>695</v>
      </c>
    </row>
    <row r="92" spans="1:17" ht="15.75" customHeight="1" x14ac:dyDescent="0.3">
      <c r="A92" s="739">
        <v>46156</v>
      </c>
      <c r="B92" s="740"/>
      <c r="C92" s="740"/>
      <c r="D92" s="740"/>
      <c r="E92" s="304" t="s">
        <v>896</v>
      </c>
      <c r="F92" s="743" t="s">
        <v>897</v>
      </c>
      <c r="G92" s="743"/>
      <c r="H92" s="743"/>
      <c r="I92" s="743"/>
      <c r="J92" s="743"/>
      <c r="K92" s="742" t="s">
        <v>754</v>
      </c>
      <c r="L92" s="742"/>
      <c r="M92" s="742"/>
      <c r="N92" s="742"/>
      <c r="O92" s="309">
        <f>800+540</f>
        <v>1340</v>
      </c>
      <c r="P92" s="306" t="s">
        <v>695</v>
      </c>
      <c r="Q92" s="312"/>
    </row>
    <row r="93" spans="1:17" ht="15.75" customHeight="1" x14ac:dyDescent="0.3">
      <c r="A93" s="739">
        <v>46157</v>
      </c>
      <c r="B93" s="740"/>
      <c r="C93" s="740"/>
      <c r="D93" s="740"/>
      <c r="E93" s="304" t="s">
        <v>898</v>
      </c>
      <c r="F93" s="743" t="s">
        <v>899</v>
      </c>
      <c r="G93" s="743"/>
      <c r="H93" s="743"/>
      <c r="I93" s="743"/>
      <c r="J93" s="743"/>
      <c r="K93" s="742" t="s">
        <v>754</v>
      </c>
      <c r="L93" s="742"/>
      <c r="M93" s="742"/>
      <c r="N93" s="742"/>
      <c r="O93" s="309">
        <f>750+600</f>
        <v>1350</v>
      </c>
      <c r="P93" s="306" t="s">
        <v>695</v>
      </c>
    </row>
    <row r="94" spans="1:17" ht="15.75" customHeight="1" x14ac:dyDescent="0.3">
      <c r="A94" s="739">
        <v>46158</v>
      </c>
      <c r="B94" s="740"/>
      <c r="C94" s="740"/>
      <c r="D94" s="740"/>
      <c r="E94" s="304" t="s">
        <v>900</v>
      </c>
      <c r="F94" s="743" t="s">
        <v>901</v>
      </c>
      <c r="G94" s="743"/>
      <c r="H94" s="743"/>
      <c r="I94" s="743"/>
      <c r="J94" s="743"/>
      <c r="K94" s="742" t="s">
        <v>754</v>
      </c>
      <c r="L94" s="742"/>
      <c r="M94" s="742"/>
      <c r="N94" s="742"/>
      <c r="O94" s="309">
        <f>310+420+600</f>
        <v>1330</v>
      </c>
      <c r="P94" s="306" t="s">
        <v>695</v>
      </c>
    </row>
    <row r="95" spans="1:17" ht="15.75" customHeight="1" x14ac:dyDescent="0.3">
      <c r="A95" s="739">
        <v>46160</v>
      </c>
      <c r="B95" s="740"/>
      <c r="C95" s="740"/>
      <c r="D95" s="740"/>
      <c r="E95" s="423" t="s">
        <v>902</v>
      </c>
      <c r="F95" s="743" t="s">
        <v>903</v>
      </c>
      <c r="G95" s="743"/>
      <c r="H95" s="743"/>
      <c r="I95" s="743"/>
      <c r="J95" s="743"/>
      <c r="K95" s="742" t="s">
        <v>754</v>
      </c>
      <c r="L95" s="742"/>
      <c r="M95" s="742"/>
      <c r="N95" s="742"/>
      <c r="O95" s="309">
        <f>200+180</f>
        <v>380</v>
      </c>
      <c r="P95" s="306" t="s">
        <v>695</v>
      </c>
    </row>
    <row r="96" spans="1:17" ht="15.75" customHeight="1" x14ac:dyDescent="0.3">
      <c r="A96" s="739">
        <v>46161</v>
      </c>
      <c r="B96" s="740"/>
      <c r="C96" s="740"/>
      <c r="D96" s="740"/>
      <c r="E96" s="423" t="s">
        <v>1340</v>
      </c>
      <c r="F96" s="743" t="s">
        <v>1307</v>
      </c>
      <c r="G96" s="743"/>
      <c r="H96" s="743"/>
      <c r="I96" s="743"/>
      <c r="J96" s="743"/>
      <c r="K96" s="742" t="s">
        <v>754</v>
      </c>
      <c r="L96" s="742"/>
      <c r="M96" s="742"/>
      <c r="N96" s="742"/>
      <c r="O96" s="309">
        <f>350</f>
        <v>350</v>
      </c>
      <c r="P96" s="306" t="s">
        <v>695</v>
      </c>
    </row>
    <row r="97" spans="1:16" ht="15.75" customHeight="1" x14ac:dyDescent="0.3">
      <c r="A97" s="739">
        <v>46162</v>
      </c>
      <c r="B97" s="740"/>
      <c r="C97" s="740"/>
      <c r="D97" s="740"/>
      <c r="E97" s="423" t="s">
        <v>1311</v>
      </c>
      <c r="F97" s="743" t="s">
        <v>1312</v>
      </c>
      <c r="G97" s="743"/>
      <c r="H97" s="743"/>
      <c r="I97" s="743"/>
      <c r="J97" s="743"/>
      <c r="K97" s="742" t="s">
        <v>754</v>
      </c>
      <c r="L97" s="742"/>
      <c r="M97" s="742"/>
      <c r="N97" s="742"/>
      <c r="O97" s="309">
        <f>800+200</f>
        <v>1000</v>
      </c>
      <c r="P97" s="306" t="s">
        <v>695</v>
      </c>
    </row>
    <row r="98" spans="1:16" ht="15.75" customHeight="1" x14ac:dyDescent="0.3">
      <c r="A98" s="739">
        <v>46163</v>
      </c>
      <c r="B98" s="740"/>
      <c r="C98" s="740"/>
      <c r="D98" s="740"/>
      <c r="E98" s="423" t="s">
        <v>1314</v>
      </c>
      <c r="F98" s="743" t="s">
        <v>1313</v>
      </c>
      <c r="G98" s="743"/>
      <c r="H98" s="743"/>
      <c r="I98" s="743"/>
      <c r="J98" s="743"/>
      <c r="K98" s="742" t="s">
        <v>754</v>
      </c>
      <c r="L98" s="742"/>
      <c r="M98" s="742"/>
      <c r="N98" s="742"/>
      <c r="O98" s="309">
        <f>380+801</f>
        <v>1181</v>
      </c>
      <c r="P98" s="306" t="s">
        <v>695</v>
      </c>
    </row>
    <row r="99" spans="1:16" ht="15.75" customHeight="1" x14ac:dyDescent="0.3">
      <c r="A99" s="739">
        <v>46164</v>
      </c>
      <c r="B99" s="740"/>
      <c r="C99" s="740"/>
      <c r="D99" s="740"/>
      <c r="E99" s="304" t="s">
        <v>1318</v>
      </c>
      <c r="F99" s="741" t="s">
        <v>1316</v>
      </c>
      <c r="G99" s="741"/>
      <c r="H99" s="741"/>
      <c r="I99" s="741"/>
      <c r="J99" s="741"/>
      <c r="K99" s="742" t="s">
        <v>754</v>
      </c>
      <c r="L99" s="742"/>
      <c r="M99" s="742"/>
      <c r="N99" s="742"/>
      <c r="O99" s="309">
        <f>610+330</f>
        <v>940</v>
      </c>
      <c r="P99" s="306" t="s">
        <v>695</v>
      </c>
    </row>
    <row r="100" spans="1:16" ht="15.75" customHeight="1" x14ac:dyDescent="0.3">
      <c r="A100" s="739">
        <v>46165</v>
      </c>
      <c r="B100" s="740"/>
      <c r="C100" s="740"/>
      <c r="D100" s="740"/>
      <c r="E100" s="304" t="s">
        <v>1320</v>
      </c>
      <c r="F100" s="741" t="s">
        <v>1321</v>
      </c>
      <c r="G100" s="741"/>
      <c r="H100" s="741"/>
      <c r="I100" s="741"/>
      <c r="J100" s="741"/>
      <c r="K100" s="742" t="s">
        <v>754</v>
      </c>
      <c r="L100" s="742"/>
      <c r="M100" s="742"/>
      <c r="N100" s="742"/>
      <c r="O100" s="309">
        <f>30+390+260</f>
        <v>680</v>
      </c>
      <c r="P100" s="306" t="s">
        <v>695</v>
      </c>
    </row>
    <row r="101" spans="1:16" ht="15.75" customHeight="1" x14ac:dyDescent="0.3">
      <c r="A101" s="739">
        <v>46167</v>
      </c>
      <c r="B101" s="740"/>
      <c r="C101" s="740"/>
      <c r="D101" s="740"/>
      <c r="E101" s="304" t="s">
        <v>1326</v>
      </c>
      <c r="F101" s="741" t="s">
        <v>1321</v>
      </c>
      <c r="G101" s="741"/>
      <c r="H101" s="741"/>
      <c r="I101" s="741"/>
      <c r="J101" s="741"/>
      <c r="K101" s="742" t="s">
        <v>754</v>
      </c>
      <c r="L101" s="742"/>
      <c r="M101" s="742"/>
      <c r="N101" s="742"/>
      <c r="O101" s="309">
        <f>550+210</f>
        <v>760</v>
      </c>
      <c r="P101" s="306" t="s">
        <v>695</v>
      </c>
    </row>
    <row r="102" spans="1:16" ht="15.75" customHeight="1" x14ac:dyDescent="0.3">
      <c r="A102" s="739">
        <v>46168</v>
      </c>
      <c r="B102" s="740"/>
      <c r="C102" s="740"/>
      <c r="D102" s="740"/>
      <c r="E102" s="304" t="s">
        <v>1332</v>
      </c>
      <c r="F102" s="741" t="s">
        <v>1330</v>
      </c>
      <c r="G102" s="741"/>
      <c r="H102" s="741"/>
      <c r="I102" s="741"/>
      <c r="J102" s="741"/>
      <c r="K102" s="742" t="s">
        <v>754</v>
      </c>
      <c r="L102" s="742"/>
      <c r="M102" s="742"/>
      <c r="N102" s="742"/>
      <c r="O102" s="309">
        <f>250+800</f>
        <v>1050</v>
      </c>
      <c r="P102" s="306" t="s">
        <v>695</v>
      </c>
    </row>
    <row r="103" spans="1:16" ht="15.75" customHeight="1" x14ac:dyDescent="0.3">
      <c r="A103" s="739">
        <v>46169</v>
      </c>
      <c r="B103" s="740"/>
      <c r="C103" s="740"/>
      <c r="D103" s="740"/>
      <c r="E103" s="304" t="s">
        <v>1341</v>
      </c>
      <c r="F103" s="741" t="s">
        <v>1338</v>
      </c>
      <c r="G103" s="741"/>
      <c r="H103" s="741"/>
      <c r="I103" s="741"/>
      <c r="J103" s="741"/>
      <c r="K103" s="742" t="s">
        <v>754</v>
      </c>
      <c r="L103" s="742"/>
      <c r="M103" s="742"/>
      <c r="N103" s="742"/>
      <c r="O103" s="309">
        <f>620+800+130</f>
        <v>1550</v>
      </c>
      <c r="P103" s="306" t="s">
        <v>695</v>
      </c>
    </row>
    <row r="104" spans="1:16" ht="15.75" customHeight="1" x14ac:dyDescent="0.3">
      <c r="A104" s="739">
        <v>46170</v>
      </c>
      <c r="B104" s="740"/>
      <c r="C104" s="740"/>
      <c r="D104" s="740"/>
      <c r="E104" s="423" t="s">
        <v>1349</v>
      </c>
      <c r="F104" s="741" t="s">
        <v>1343</v>
      </c>
      <c r="G104" s="741"/>
      <c r="H104" s="741"/>
      <c r="I104" s="741"/>
      <c r="J104" s="741"/>
      <c r="K104" s="742" t="s">
        <v>754</v>
      </c>
      <c r="L104" s="742"/>
      <c r="M104" s="742"/>
      <c r="N104" s="742"/>
      <c r="O104" s="309">
        <f>400+310</f>
        <v>710</v>
      </c>
      <c r="P104" s="306" t="s">
        <v>695</v>
      </c>
    </row>
    <row r="105" spans="1:16" ht="15.75" customHeight="1" x14ac:dyDescent="0.3">
      <c r="A105" s="739">
        <v>46171</v>
      </c>
      <c r="B105" s="740"/>
      <c r="C105" s="740"/>
      <c r="D105" s="740"/>
      <c r="E105" s="423" t="s">
        <v>1362</v>
      </c>
      <c r="F105" s="741" t="s">
        <v>1359</v>
      </c>
      <c r="G105" s="741"/>
      <c r="H105" s="741"/>
      <c r="I105" s="741"/>
      <c r="J105" s="741"/>
      <c r="K105" s="742" t="s">
        <v>754</v>
      </c>
      <c r="L105" s="742"/>
      <c r="M105" s="742"/>
      <c r="N105" s="742"/>
      <c r="O105" s="309">
        <f>330+110</f>
        <v>440</v>
      </c>
      <c r="P105" s="306" t="s">
        <v>695</v>
      </c>
    </row>
    <row r="106" spans="1:16" ht="15.75" customHeight="1" x14ac:dyDescent="0.3">
      <c r="A106" s="739">
        <v>46172</v>
      </c>
      <c r="B106" s="740"/>
      <c r="C106" s="740"/>
      <c r="D106" s="740"/>
      <c r="E106" s="423" t="s">
        <v>1366</v>
      </c>
      <c r="F106" s="741" t="s">
        <v>1365</v>
      </c>
      <c r="G106" s="741"/>
      <c r="H106" s="741"/>
      <c r="I106" s="741"/>
      <c r="J106" s="741"/>
      <c r="K106" s="742" t="s">
        <v>754</v>
      </c>
      <c r="L106" s="742"/>
      <c r="M106" s="742"/>
      <c r="N106" s="742"/>
      <c r="O106" s="309">
        <f>660+420</f>
        <v>1080</v>
      </c>
      <c r="P106" s="306" t="s">
        <v>695</v>
      </c>
    </row>
    <row r="107" spans="1:16" ht="15.75" customHeight="1" x14ac:dyDescent="0.3">
      <c r="A107" s="739">
        <v>46174</v>
      </c>
      <c r="B107" s="740"/>
      <c r="C107" s="740"/>
      <c r="D107" s="740"/>
      <c r="E107" s="423" t="s">
        <v>1369</v>
      </c>
      <c r="F107" s="741" t="s">
        <v>1368</v>
      </c>
      <c r="G107" s="741"/>
      <c r="H107" s="741"/>
      <c r="I107" s="741"/>
      <c r="J107" s="741"/>
      <c r="K107" s="742" t="s">
        <v>754</v>
      </c>
      <c r="L107" s="742"/>
      <c r="M107" s="742"/>
      <c r="N107" s="742"/>
      <c r="O107" s="309">
        <f>500+350</f>
        <v>850</v>
      </c>
      <c r="P107" s="306" t="s">
        <v>695</v>
      </c>
    </row>
    <row r="108" spans="1:16" ht="15.75" customHeight="1" x14ac:dyDescent="0.3">
      <c r="A108" s="739">
        <v>46175</v>
      </c>
      <c r="B108" s="740"/>
      <c r="C108" s="740"/>
      <c r="D108" s="740"/>
      <c r="E108" s="304" t="s">
        <v>1384</v>
      </c>
      <c r="F108" s="741" t="s">
        <v>1382</v>
      </c>
      <c r="G108" s="741"/>
      <c r="H108" s="741"/>
      <c r="I108" s="741"/>
      <c r="J108" s="741"/>
      <c r="K108" s="742" t="s">
        <v>754</v>
      </c>
      <c r="L108" s="742"/>
      <c r="M108" s="742"/>
      <c r="N108" s="742"/>
      <c r="O108" s="309">
        <f>800+60+800+170</f>
        <v>1830</v>
      </c>
      <c r="P108" s="306" t="s">
        <v>695</v>
      </c>
    </row>
    <row r="109" spans="1:16" ht="15.75" customHeight="1" x14ac:dyDescent="0.3">
      <c r="A109" s="739">
        <v>46176</v>
      </c>
      <c r="B109" s="740"/>
      <c r="C109" s="740"/>
      <c r="D109" s="740"/>
      <c r="E109" s="304" t="s">
        <v>1410</v>
      </c>
      <c r="F109" s="741" t="s">
        <v>1388</v>
      </c>
      <c r="G109" s="741"/>
      <c r="H109" s="741"/>
      <c r="I109" s="741"/>
      <c r="J109" s="741"/>
      <c r="K109" s="742" t="s">
        <v>754</v>
      </c>
      <c r="L109" s="742"/>
      <c r="M109" s="742"/>
      <c r="N109" s="742"/>
      <c r="O109" s="309">
        <f>740+800</f>
        <v>1540</v>
      </c>
      <c r="P109" s="306" t="s">
        <v>695</v>
      </c>
    </row>
    <row r="110" spans="1:16" ht="15.75" customHeight="1" x14ac:dyDescent="0.3">
      <c r="A110" s="739">
        <v>46177</v>
      </c>
      <c r="B110" s="740"/>
      <c r="C110" s="740"/>
      <c r="D110" s="740"/>
      <c r="E110" s="423" t="s">
        <v>1420</v>
      </c>
      <c r="F110" s="741" t="s">
        <v>1412</v>
      </c>
      <c r="G110" s="741"/>
      <c r="H110" s="741"/>
      <c r="I110" s="741"/>
      <c r="J110" s="741"/>
      <c r="K110" s="742" t="s">
        <v>754</v>
      </c>
      <c r="L110" s="742"/>
      <c r="M110" s="742"/>
      <c r="N110" s="742"/>
      <c r="O110" s="309">
        <f>640+480+430</f>
        <v>1550</v>
      </c>
      <c r="P110" s="306" t="s">
        <v>695</v>
      </c>
    </row>
    <row r="111" spans="1:16" ht="15.75" customHeight="1" x14ac:dyDescent="0.3">
      <c r="A111" s="739">
        <v>46178</v>
      </c>
      <c r="B111" s="740"/>
      <c r="C111" s="740"/>
      <c r="D111" s="740"/>
      <c r="E111" s="423">
        <v>2507</v>
      </c>
      <c r="F111" s="741" t="s">
        <v>1423</v>
      </c>
      <c r="G111" s="741"/>
      <c r="H111" s="741"/>
      <c r="I111" s="741"/>
      <c r="J111" s="741"/>
      <c r="K111" s="742" t="s">
        <v>754</v>
      </c>
      <c r="L111" s="742"/>
      <c r="M111" s="742"/>
      <c r="N111" s="742"/>
      <c r="O111" s="550">
        <v>410</v>
      </c>
      <c r="P111" s="306" t="s">
        <v>695</v>
      </c>
    </row>
    <row r="112" spans="1:16" ht="15.75" customHeight="1" x14ac:dyDescent="0.3">
      <c r="A112" s="739">
        <v>46181</v>
      </c>
      <c r="B112" s="740"/>
      <c r="C112" s="740"/>
      <c r="D112" s="740"/>
      <c r="E112" s="423">
        <v>2509</v>
      </c>
      <c r="F112" s="741" t="s">
        <v>1423</v>
      </c>
      <c r="G112" s="741"/>
      <c r="H112" s="741"/>
      <c r="I112" s="741"/>
      <c r="J112" s="741"/>
      <c r="K112" s="742" t="s">
        <v>754</v>
      </c>
      <c r="L112" s="742"/>
      <c r="M112" s="742"/>
      <c r="N112" s="742"/>
      <c r="O112" s="309">
        <v>100</v>
      </c>
      <c r="P112" s="306" t="s">
        <v>695</v>
      </c>
    </row>
    <row r="113" spans="1:16" ht="15.75" customHeight="1" x14ac:dyDescent="0.3">
      <c r="A113" s="735"/>
      <c r="B113" s="736"/>
      <c r="C113" s="736"/>
      <c r="D113" s="736"/>
      <c r="E113" s="313"/>
      <c r="F113" s="737"/>
      <c r="G113" s="737"/>
      <c r="H113" s="737"/>
      <c r="I113" s="737"/>
      <c r="J113" s="737"/>
      <c r="K113" s="738" t="s">
        <v>754</v>
      </c>
      <c r="L113" s="738"/>
      <c r="M113" s="738"/>
      <c r="N113" s="738"/>
      <c r="O113" s="309"/>
      <c r="P113" s="306" t="s">
        <v>695</v>
      </c>
    </row>
    <row r="114" spans="1:16" ht="15.75" customHeight="1" x14ac:dyDescent="0.3">
      <c r="A114" s="735"/>
      <c r="B114" s="736"/>
      <c r="C114" s="736"/>
      <c r="D114" s="736"/>
      <c r="E114" s="313"/>
      <c r="F114" s="737"/>
      <c r="G114" s="737"/>
      <c r="H114" s="737"/>
      <c r="I114" s="737"/>
      <c r="J114" s="737"/>
      <c r="K114" s="738" t="s">
        <v>754</v>
      </c>
      <c r="L114" s="738"/>
      <c r="M114" s="738"/>
      <c r="N114" s="738"/>
      <c r="O114" s="309"/>
      <c r="P114" s="306" t="s">
        <v>695</v>
      </c>
    </row>
    <row r="115" spans="1:16" ht="15.75" customHeight="1" x14ac:dyDescent="0.3">
      <c r="A115" s="735"/>
      <c r="B115" s="736"/>
      <c r="C115" s="736"/>
      <c r="D115" s="736"/>
      <c r="E115" s="313"/>
      <c r="F115" s="737"/>
      <c r="G115" s="737"/>
      <c r="H115" s="737"/>
      <c r="I115" s="737"/>
      <c r="J115" s="737"/>
      <c r="K115" s="738" t="s">
        <v>754</v>
      </c>
      <c r="L115" s="738"/>
      <c r="M115" s="738"/>
      <c r="N115" s="738"/>
      <c r="O115" s="309"/>
      <c r="P115" s="306" t="s">
        <v>695</v>
      </c>
    </row>
    <row r="116" spans="1:16" ht="15.75" customHeight="1" x14ac:dyDescent="0.3">
      <c r="A116" s="735"/>
      <c r="B116" s="736"/>
      <c r="C116" s="736"/>
      <c r="D116" s="736"/>
      <c r="E116" s="313"/>
      <c r="F116" s="737"/>
      <c r="G116" s="737"/>
      <c r="H116" s="737"/>
      <c r="I116" s="737"/>
      <c r="J116" s="737"/>
      <c r="K116" s="738" t="s">
        <v>754</v>
      </c>
      <c r="L116" s="738"/>
      <c r="M116" s="738"/>
      <c r="N116" s="738"/>
      <c r="O116" s="309"/>
      <c r="P116" s="306" t="s">
        <v>695</v>
      </c>
    </row>
    <row r="117" spans="1:16" ht="15.75" customHeight="1" x14ac:dyDescent="0.3">
      <c r="A117" s="735"/>
      <c r="B117" s="736"/>
      <c r="C117" s="736"/>
      <c r="D117" s="736"/>
      <c r="E117" s="313"/>
      <c r="F117" s="737"/>
      <c r="G117" s="737"/>
      <c r="H117" s="737"/>
      <c r="I117" s="737"/>
      <c r="J117" s="737"/>
      <c r="K117" s="738" t="s">
        <v>754</v>
      </c>
      <c r="L117" s="738"/>
      <c r="M117" s="738"/>
      <c r="N117" s="738"/>
      <c r="O117" s="309"/>
      <c r="P117" s="306" t="s">
        <v>695</v>
      </c>
    </row>
    <row r="118" spans="1:16" ht="15.75" customHeight="1" x14ac:dyDescent="0.3">
      <c r="A118" s="735"/>
      <c r="B118" s="736"/>
      <c r="C118" s="736"/>
      <c r="D118" s="736"/>
      <c r="E118" s="313"/>
      <c r="F118" s="737"/>
      <c r="G118" s="737"/>
      <c r="H118" s="737"/>
      <c r="I118" s="737"/>
      <c r="J118" s="737"/>
      <c r="K118" s="738" t="s">
        <v>754</v>
      </c>
      <c r="L118" s="738"/>
      <c r="M118" s="738"/>
      <c r="N118" s="738"/>
      <c r="O118" s="309"/>
      <c r="P118" s="306" t="s">
        <v>695</v>
      </c>
    </row>
    <row r="119" spans="1:16" ht="15.75" customHeight="1" x14ac:dyDescent="0.3">
      <c r="A119" s="735"/>
      <c r="B119" s="736"/>
      <c r="C119" s="736"/>
      <c r="D119" s="736"/>
      <c r="E119" s="313"/>
      <c r="F119" s="737"/>
      <c r="G119" s="737"/>
      <c r="H119" s="737"/>
      <c r="I119" s="737"/>
      <c r="J119" s="737"/>
      <c r="K119" s="738" t="s">
        <v>754</v>
      </c>
      <c r="L119" s="738"/>
      <c r="M119" s="738"/>
      <c r="N119" s="738"/>
      <c r="O119" s="309"/>
      <c r="P119" s="306" t="s">
        <v>695</v>
      </c>
    </row>
    <row r="120" spans="1:16" ht="15.75" customHeight="1" x14ac:dyDescent="0.3">
      <c r="A120" s="735"/>
      <c r="B120" s="736"/>
      <c r="C120" s="736"/>
      <c r="D120" s="736"/>
      <c r="E120" s="313"/>
      <c r="F120" s="737"/>
      <c r="G120" s="737"/>
      <c r="H120" s="737"/>
      <c r="I120" s="737"/>
      <c r="J120" s="737"/>
      <c r="K120" s="738" t="s">
        <v>754</v>
      </c>
      <c r="L120" s="738"/>
      <c r="M120" s="738"/>
      <c r="N120" s="738"/>
      <c r="O120" s="309"/>
      <c r="P120" s="306" t="s">
        <v>695</v>
      </c>
    </row>
    <row r="121" spans="1:16" ht="15.75" customHeight="1" x14ac:dyDescent="0.3">
      <c r="A121" s="735"/>
      <c r="B121" s="736"/>
      <c r="C121" s="736"/>
      <c r="D121" s="736"/>
      <c r="E121" s="313"/>
      <c r="F121" s="737"/>
      <c r="G121" s="737"/>
      <c r="H121" s="737"/>
      <c r="I121" s="737"/>
      <c r="J121" s="737"/>
      <c r="K121" s="738" t="s">
        <v>754</v>
      </c>
      <c r="L121" s="738"/>
      <c r="M121" s="738"/>
      <c r="N121" s="738"/>
      <c r="O121" s="309"/>
      <c r="P121" s="306" t="s">
        <v>695</v>
      </c>
    </row>
    <row r="122" spans="1:16" ht="15.75" customHeight="1" x14ac:dyDescent="0.3">
      <c r="A122" s="735"/>
      <c r="B122" s="736"/>
      <c r="C122" s="736"/>
      <c r="D122" s="736"/>
      <c r="E122" s="313"/>
      <c r="F122" s="737"/>
      <c r="G122" s="737"/>
      <c r="H122" s="737"/>
      <c r="I122" s="737"/>
      <c r="J122" s="737"/>
      <c r="K122" s="738" t="s">
        <v>754</v>
      </c>
      <c r="L122" s="738"/>
      <c r="M122" s="738"/>
      <c r="N122" s="738"/>
      <c r="O122" s="309"/>
      <c r="P122" s="306" t="s">
        <v>695</v>
      </c>
    </row>
    <row r="123" spans="1:16" ht="15.75" customHeight="1" x14ac:dyDescent="0.3">
      <c r="A123" s="735"/>
      <c r="B123" s="736"/>
      <c r="C123" s="736"/>
      <c r="D123" s="736"/>
      <c r="E123" s="313"/>
      <c r="F123" s="737"/>
      <c r="G123" s="737"/>
      <c r="H123" s="737"/>
      <c r="I123" s="737"/>
      <c r="J123" s="737"/>
      <c r="K123" s="738" t="s">
        <v>754</v>
      </c>
      <c r="L123" s="738"/>
      <c r="M123" s="738"/>
      <c r="N123" s="738"/>
      <c r="O123" s="309"/>
      <c r="P123" s="306" t="s">
        <v>695</v>
      </c>
    </row>
    <row r="124" spans="1:16" ht="15.75" customHeight="1" x14ac:dyDescent="0.3">
      <c r="A124" s="735"/>
      <c r="B124" s="736"/>
      <c r="C124" s="736"/>
      <c r="D124" s="736"/>
      <c r="E124" s="313"/>
      <c r="F124" s="737"/>
      <c r="G124" s="737"/>
      <c r="H124" s="737"/>
      <c r="I124" s="737"/>
      <c r="J124" s="737"/>
      <c r="K124" s="738" t="s">
        <v>754</v>
      </c>
      <c r="L124" s="738"/>
      <c r="M124" s="738"/>
      <c r="N124" s="738"/>
      <c r="O124" s="309"/>
      <c r="P124" s="306" t="s">
        <v>695</v>
      </c>
    </row>
    <row r="125" spans="1:16" ht="15.75" customHeight="1" x14ac:dyDescent="0.3">
      <c r="A125" s="735"/>
      <c r="B125" s="736"/>
      <c r="C125" s="736"/>
      <c r="D125" s="736"/>
      <c r="E125" s="313"/>
      <c r="F125" s="737"/>
      <c r="G125" s="737"/>
      <c r="H125" s="737"/>
      <c r="I125" s="737"/>
      <c r="J125" s="737"/>
      <c r="K125" s="738" t="s">
        <v>754</v>
      </c>
      <c r="L125" s="738"/>
      <c r="M125" s="738"/>
      <c r="N125" s="738"/>
      <c r="O125" s="309"/>
      <c r="P125" s="306" t="s">
        <v>695</v>
      </c>
    </row>
    <row r="126" spans="1:16" ht="15.75" customHeight="1" x14ac:dyDescent="0.3">
      <c r="A126" s="735"/>
      <c r="B126" s="736"/>
      <c r="C126" s="736"/>
      <c r="D126" s="736"/>
      <c r="E126" s="313"/>
      <c r="F126" s="737"/>
      <c r="G126" s="737"/>
      <c r="H126" s="737"/>
      <c r="I126" s="737"/>
      <c r="J126" s="737"/>
      <c r="K126" s="738" t="s">
        <v>754</v>
      </c>
      <c r="L126" s="738"/>
      <c r="M126" s="738"/>
      <c r="N126" s="738"/>
      <c r="O126" s="309"/>
      <c r="P126" s="306" t="s">
        <v>695</v>
      </c>
    </row>
    <row r="127" spans="1:16" ht="15.75" customHeight="1" x14ac:dyDescent="0.3">
      <c r="A127" s="735"/>
      <c r="B127" s="736"/>
      <c r="C127" s="736"/>
      <c r="D127" s="736"/>
      <c r="E127" s="313"/>
      <c r="F127" s="737"/>
      <c r="G127" s="737"/>
      <c r="H127" s="737"/>
      <c r="I127" s="737"/>
      <c r="J127" s="737"/>
      <c r="K127" s="738" t="s">
        <v>754</v>
      </c>
      <c r="L127" s="738"/>
      <c r="M127" s="738"/>
      <c r="N127" s="738"/>
      <c r="O127" s="309"/>
      <c r="P127" s="306" t="s">
        <v>695</v>
      </c>
    </row>
    <row r="128" spans="1:16" ht="15.75" customHeight="1" x14ac:dyDescent="0.3">
      <c r="A128" s="735"/>
      <c r="B128" s="736"/>
      <c r="C128" s="736"/>
      <c r="D128" s="736"/>
      <c r="E128" s="313"/>
      <c r="F128" s="737"/>
      <c r="G128" s="737"/>
      <c r="H128" s="737"/>
      <c r="I128" s="737"/>
      <c r="J128" s="737"/>
      <c r="K128" s="738" t="s">
        <v>754</v>
      </c>
      <c r="L128" s="738"/>
      <c r="M128" s="738"/>
      <c r="N128" s="738"/>
      <c r="O128" s="309"/>
      <c r="P128" s="306" t="s">
        <v>695</v>
      </c>
    </row>
    <row r="129" spans="1:16" ht="15.75" customHeight="1" x14ac:dyDescent="0.3">
      <c r="A129" s="735"/>
      <c r="B129" s="736"/>
      <c r="C129" s="736"/>
      <c r="D129" s="736"/>
      <c r="E129" s="313"/>
      <c r="F129" s="737"/>
      <c r="G129" s="737"/>
      <c r="H129" s="737"/>
      <c r="I129" s="737"/>
      <c r="J129" s="737"/>
      <c r="K129" s="738" t="s">
        <v>754</v>
      </c>
      <c r="L129" s="738"/>
      <c r="M129" s="738"/>
      <c r="N129" s="738"/>
      <c r="O129" s="309"/>
      <c r="P129" s="306" t="s">
        <v>695</v>
      </c>
    </row>
    <row r="130" spans="1:16" ht="15.75" customHeight="1" x14ac:dyDescent="0.3">
      <c r="A130" s="735"/>
      <c r="B130" s="736"/>
      <c r="C130" s="736"/>
      <c r="D130" s="736"/>
      <c r="E130" s="313"/>
      <c r="F130" s="737"/>
      <c r="G130" s="737"/>
      <c r="H130" s="737"/>
      <c r="I130" s="737"/>
      <c r="J130" s="737"/>
      <c r="K130" s="738" t="s">
        <v>904</v>
      </c>
      <c r="L130" s="738"/>
      <c r="M130" s="738"/>
      <c r="N130" s="738"/>
      <c r="O130" s="309"/>
      <c r="P130" s="306" t="s">
        <v>695</v>
      </c>
    </row>
    <row r="131" spans="1:16" ht="15.75" customHeight="1" x14ac:dyDescent="0.3">
      <c r="A131" s="735"/>
      <c r="B131" s="736"/>
      <c r="C131" s="736"/>
      <c r="D131" s="736"/>
      <c r="E131" s="313"/>
      <c r="F131" s="737"/>
      <c r="G131" s="737"/>
      <c r="H131" s="737"/>
      <c r="I131" s="737"/>
      <c r="J131" s="737"/>
      <c r="K131" s="738" t="s">
        <v>905</v>
      </c>
      <c r="L131" s="738"/>
      <c r="M131" s="738"/>
      <c r="N131" s="738"/>
      <c r="O131" s="309"/>
      <c r="P131" s="306" t="s">
        <v>695</v>
      </c>
    </row>
    <row r="132" spans="1:16" ht="15.75" customHeight="1" x14ac:dyDescent="0.3">
      <c r="A132" s="735"/>
      <c r="B132" s="736"/>
      <c r="C132" s="736"/>
      <c r="D132" s="736"/>
      <c r="E132" s="313"/>
      <c r="F132" s="737"/>
      <c r="G132" s="737"/>
      <c r="H132" s="737"/>
      <c r="I132" s="737"/>
      <c r="J132" s="737"/>
      <c r="K132" s="738" t="s">
        <v>754</v>
      </c>
      <c r="L132" s="738"/>
      <c r="M132" s="738"/>
      <c r="N132" s="738"/>
      <c r="O132" s="309"/>
      <c r="P132" s="306" t="s">
        <v>695</v>
      </c>
    </row>
    <row r="133" spans="1:16" ht="15.75" customHeight="1" x14ac:dyDescent="0.3">
      <c r="A133" s="735"/>
      <c r="B133" s="736"/>
      <c r="C133" s="736"/>
      <c r="D133" s="736"/>
      <c r="E133" s="313"/>
      <c r="F133" s="737"/>
      <c r="G133" s="737"/>
      <c r="H133" s="737"/>
      <c r="I133" s="737"/>
      <c r="J133" s="737"/>
      <c r="K133" s="738" t="s">
        <v>754</v>
      </c>
      <c r="L133" s="738"/>
      <c r="M133" s="738"/>
      <c r="N133" s="738"/>
      <c r="O133" s="309"/>
      <c r="P133" s="306" t="s">
        <v>695</v>
      </c>
    </row>
    <row r="134" spans="1:16" ht="15.75" customHeight="1" x14ac:dyDescent="0.3">
      <c r="A134" s="735"/>
      <c r="B134" s="736"/>
      <c r="C134" s="736"/>
      <c r="D134" s="736"/>
      <c r="E134" s="313"/>
      <c r="F134" s="737"/>
      <c r="G134" s="737"/>
      <c r="H134" s="737"/>
      <c r="I134" s="737"/>
      <c r="J134" s="737"/>
      <c r="K134" s="738" t="s">
        <v>754</v>
      </c>
      <c r="L134" s="738"/>
      <c r="M134" s="738"/>
      <c r="N134" s="738"/>
      <c r="O134" s="309"/>
      <c r="P134" s="306" t="s">
        <v>695</v>
      </c>
    </row>
    <row r="135" spans="1:16" ht="15.75" customHeight="1" x14ac:dyDescent="0.3">
      <c r="A135" s="735"/>
      <c r="B135" s="736"/>
      <c r="C135" s="736"/>
      <c r="D135" s="736"/>
      <c r="E135" s="313"/>
      <c r="F135" s="737"/>
      <c r="G135" s="737"/>
      <c r="H135" s="737"/>
      <c r="I135" s="737"/>
      <c r="J135" s="737"/>
      <c r="K135" s="738" t="s">
        <v>754</v>
      </c>
      <c r="L135" s="738"/>
      <c r="M135" s="738"/>
      <c r="N135" s="738"/>
      <c r="O135" s="309"/>
      <c r="P135" s="306" t="s">
        <v>695</v>
      </c>
    </row>
    <row r="136" spans="1:16" ht="15.75" customHeight="1" x14ac:dyDescent="0.3">
      <c r="A136" s="735"/>
      <c r="B136" s="736"/>
      <c r="C136" s="736"/>
      <c r="D136" s="736"/>
      <c r="E136" s="313"/>
      <c r="F136" s="737"/>
      <c r="G136" s="737"/>
      <c r="H136" s="737"/>
      <c r="I136" s="737"/>
      <c r="J136" s="737"/>
      <c r="K136" s="738" t="s">
        <v>754</v>
      </c>
      <c r="L136" s="738"/>
      <c r="M136" s="738"/>
      <c r="N136" s="738"/>
      <c r="O136" s="309"/>
      <c r="P136" s="306" t="s">
        <v>695</v>
      </c>
    </row>
    <row r="137" spans="1:16" ht="15.75" customHeight="1" x14ac:dyDescent="0.3">
      <c r="A137" s="735"/>
      <c r="B137" s="736"/>
      <c r="C137" s="736"/>
      <c r="D137" s="736"/>
      <c r="E137" s="313"/>
      <c r="F137" s="737"/>
      <c r="G137" s="737"/>
      <c r="H137" s="737"/>
      <c r="I137" s="737"/>
      <c r="J137" s="737"/>
      <c r="K137" s="738" t="s">
        <v>754</v>
      </c>
      <c r="L137" s="738"/>
      <c r="M137" s="738"/>
      <c r="N137" s="738"/>
      <c r="O137" s="309"/>
      <c r="P137" s="306" t="s">
        <v>695</v>
      </c>
    </row>
    <row r="138" spans="1:16" ht="15.75" customHeight="1" x14ac:dyDescent="0.3">
      <c r="A138" s="735"/>
      <c r="B138" s="736"/>
      <c r="C138" s="736"/>
      <c r="D138" s="736"/>
      <c r="E138" s="313"/>
      <c r="F138" s="737"/>
      <c r="G138" s="737"/>
      <c r="H138" s="737"/>
      <c r="I138" s="737"/>
      <c r="J138" s="737"/>
      <c r="K138" s="738" t="s">
        <v>754</v>
      </c>
      <c r="L138" s="738"/>
      <c r="M138" s="738"/>
      <c r="N138" s="738"/>
      <c r="O138" s="309"/>
      <c r="P138" s="306" t="s">
        <v>695</v>
      </c>
    </row>
    <row r="139" spans="1:16" ht="15.75" customHeight="1" x14ac:dyDescent="0.3">
      <c r="A139" s="735"/>
      <c r="B139" s="736"/>
      <c r="C139" s="736"/>
      <c r="D139" s="736"/>
      <c r="E139" s="313"/>
      <c r="F139" s="737"/>
      <c r="G139" s="737"/>
      <c r="H139" s="737"/>
      <c r="I139" s="737"/>
      <c r="J139" s="737"/>
      <c r="K139" s="738" t="s">
        <v>754</v>
      </c>
      <c r="L139" s="738"/>
      <c r="M139" s="738"/>
      <c r="N139" s="738"/>
      <c r="O139" s="309"/>
      <c r="P139" s="306" t="s">
        <v>695</v>
      </c>
    </row>
    <row r="140" spans="1:16" ht="15.75" customHeight="1" x14ac:dyDescent="0.3">
      <c r="A140" s="735"/>
      <c r="B140" s="736"/>
      <c r="C140" s="736"/>
      <c r="D140" s="736"/>
      <c r="E140" s="313"/>
      <c r="F140" s="737"/>
      <c r="G140" s="737"/>
      <c r="H140" s="737"/>
      <c r="I140" s="737"/>
      <c r="J140" s="737"/>
      <c r="K140" s="738" t="s">
        <v>754</v>
      </c>
      <c r="L140" s="738"/>
      <c r="M140" s="738"/>
      <c r="N140" s="738"/>
      <c r="O140" s="309"/>
      <c r="P140" s="306" t="s">
        <v>695</v>
      </c>
    </row>
    <row r="141" spans="1:16" ht="15.75" customHeight="1" x14ac:dyDescent="0.3">
      <c r="A141" s="735"/>
      <c r="B141" s="736"/>
      <c r="C141" s="736"/>
      <c r="D141" s="736"/>
      <c r="E141" s="313"/>
      <c r="F141" s="737"/>
      <c r="G141" s="737"/>
      <c r="H141" s="737"/>
      <c r="I141" s="737"/>
      <c r="J141" s="737"/>
      <c r="K141" s="738" t="s">
        <v>754</v>
      </c>
      <c r="L141" s="738"/>
      <c r="M141" s="738"/>
      <c r="N141" s="738"/>
      <c r="O141" s="309"/>
      <c r="P141" s="306" t="s">
        <v>695</v>
      </c>
    </row>
    <row r="142" spans="1:16" ht="15.75" customHeight="1" x14ac:dyDescent="0.3">
      <c r="A142" s="735"/>
      <c r="B142" s="736"/>
      <c r="C142" s="736"/>
      <c r="D142" s="736"/>
      <c r="E142" s="313"/>
      <c r="F142" s="737"/>
      <c r="G142" s="737"/>
      <c r="H142" s="737"/>
      <c r="I142" s="737"/>
      <c r="J142" s="737"/>
      <c r="K142" s="738" t="s">
        <v>754</v>
      </c>
      <c r="L142" s="738"/>
      <c r="M142" s="738"/>
      <c r="N142" s="738"/>
      <c r="O142" s="309"/>
      <c r="P142" s="306" t="s">
        <v>695</v>
      </c>
    </row>
    <row r="143" spans="1:16" ht="15.75" customHeight="1" x14ac:dyDescent="0.3">
      <c r="A143" s="735"/>
      <c r="B143" s="736"/>
      <c r="C143" s="736"/>
      <c r="D143" s="736"/>
      <c r="E143" s="313"/>
      <c r="F143" s="737"/>
      <c r="G143" s="737"/>
      <c r="H143" s="737"/>
      <c r="I143" s="737"/>
      <c r="J143" s="737"/>
      <c r="K143" s="738" t="s">
        <v>754</v>
      </c>
      <c r="L143" s="738"/>
      <c r="M143" s="738"/>
      <c r="N143" s="738"/>
      <c r="O143" s="309"/>
      <c r="P143" s="306" t="s">
        <v>695</v>
      </c>
    </row>
    <row r="144" spans="1:16" ht="15.75" customHeight="1" x14ac:dyDescent="0.3">
      <c r="A144" s="735"/>
      <c r="B144" s="736"/>
      <c r="C144" s="736"/>
      <c r="D144" s="736"/>
      <c r="E144" s="313"/>
      <c r="F144" s="737"/>
      <c r="G144" s="737"/>
      <c r="H144" s="737"/>
      <c r="I144" s="737"/>
      <c r="J144" s="737"/>
      <c r="K144" s="738" t="s">
        <v>754</v>
      </c>
      <c r="L144" s="738"/>
      <c r="M144" s="738"/>
      <c r="N144" s="738"/>
      <c r="O144" s="309"/>
      <c r="P144" s="306" t="s">
        <v>695</v>
      </c>
    </row>
    <row r="145" spans="1:16" ht="15.75" customHeight="1" x14ac:dyDescent="0.3">
      <c r="A145" s="735"/>
      <c r="B145" s="736"/>
      <c r="C145" s="736"/>
      <c r="D145" s="736"/>
      <c r="E145" s="313"/>
      <c r="F145" s="737"/>
      <c r="G145" s="737"/>
      <c r="H145" s="737"/>
      <c r="I145" s="737"/>
      <c r="J145" s="737"/>
      <c r="K145" s="738" t="s">
        <v>754</v>
      </c>
      <c r="L145" s="738"/>
      <c r="M145" s="738"/>
      <c r="N145" s="738"/>
      <c r="O145" s="309"/>
      <c r="P145" s="306" t="s">
        <v>695</v>
      </c>
    </row>
    <row r="146" spans="1:16" ht="15.75" customHeight="1" x14ac:dyDescent="0.3">
      <c r="A146" s="735"/>
      <c r="B146" s="736"/>
      <c r="C146" s="736"/>
      <c r="D146" s="736"/>
      <c r="E146" s="313"/>
      <c r="F146" s="737"/>
      <c r="G146" s="737"/>
      <c r="H146" s="737"/>
      <c r="I146" s="737"/>
      <c r="J146" s="737"/>
      <c r="K146" s="738" t="s">
        <v>754</v>
      </c>
      <c r="L146" s="738"/>
      <c r="M146" s="738"/>
      <c r="N146" s="738"/>
      <c r="O146" s="309"/>
      <c r="P146" s="306" t="s">
        <v>695</v>
      </c>
    </row>
    <row r="147" spans="1:16" ht="15.75" customHeight="1" x14ac:dyDescent="0.3">
      <c r="A147" s="735"/>
      <c r="B147" s="736"/>
      <c r="C147" s="736"/>
      <c r="D147" s="736"/>
      <c r="E147" s="313"/>
      <c r="F147" s="737"/>
      <c r="G147" s="737"/>
      <c r="H147" s="737"/>
      <c r="I147" s="737"/>
      <c r="J147" s="737"/>
      <c r="K147" s="738" t="s">
        <v>754</v>
      </c>
      <c r="L147" s="738"/>
      <c r="M147" s="738"/>
      <c r="N147" s="738"/>
      <c r="O147" s="309"/>
      <c r="P147" s="306" t="s">
        <v>695</v>
      </c>
    </row>
    <row r="148" spans="1:16" ht="15.75" customHeight="1" x14ac:dyDescent="0.3">
      <c r="A148" s="735"/>
      <c r="B148" s="736"/>
      <c r="C148" s="736"/>
      <c r="D148" s="736"/>
      <c r="E148" s="313"/>
      <c r="F148" s="737"/>
      <c r="G148" s="737"/>
      <c r="H148" s="737"/>
      <c r="I148" s="737"/>
      <c r="J148" s="737"/>
      <c r="K148" s="738" t="s">
        <v>754</v>
      </c>
      <c r="L148" s="738"/>
      <c r="M148" s="738"/>
      <c r="N148" s="738"/>
      <c r="O148" s="309"/>
      <c r="P148" s="306" t="s">
        <v>695</v>
      </c>
    </row>
    <row r="149" spans="1:16" ht="15.75" customHeight="1" x14ac:dyDescent="0.3">
      <c r="A149" s="735"/>
      <c r="B149" s="736"/>
      <c r="C149" s="736"/>
      <c r="D149" s="736"/>
      <c r="E149" s="313"/>
      <c r="F149" s="737"/>
      <c r="G149" s="737"/>
      <c r="H149" s="737"/>
      <c r="I149" s="737"/>
      <c r="J149" s="737"/>
      <c r="K149" s="738" t="s">
        <v>754</v>
      </c>
      <c r="L149" s="738"/>
      <c r="M149" s="738"/>
      <c r="N149" s="738"/>
      <c r="O149" s="309"/>
      <c r="P149" s="306" t="s">
        <v>695</v>
      </c>
    </row>
    <row r="150" spans="1:16" ht="15.75" customHeight="1" x14ac:dyDescent="0.3">
      <c r="A150" s="735"/>
      <c r="B150" s="736"/>
      <c r="C150" s="736"/>
      <c r="D150" s="736"/>
      <c r="E150" s="313"/>
      <c r="F150" s="737"/>
      <c r="G150" s="737"/>
      <c r="H150" s="737"/>
      <c r="I150" s="737"/>
      <c r="J150" s="737"/>
      <c r="K150" s="738" t="s">
        <v>754</v>
      </c>
      <c r="L150" s="738"/>
      <c r="M150" s="738"/>
      <c r="N150" s="738"/>
      <c r="O150" s="309"/>
      <c r="P150" s="306" t="s">
        <v>695</v>
      </c>
    </row>
    <row r="151" spans="1:16" ht="15.75" customHeight="1" x14ac:dyDescent="0.3">
      <c r="A151" s="735"/>
      <c r="B151" s="736"/>
      <c r="C151" s="736"/>
      <c r="D151" s="736"/>
      <c r="E151" s="313"/>
      <c r="F151" s="737"/>
      <c r="G151" s="737"/>
      <c r="H151" s="737"/>
      <c r="I151" s="737"/>
      <c r="J151" s="737"/>
      <c r="K151" s="738" t="s">
        <v>754</v>
      </c>
      <c r="L151" s="738"/>
      <c r="M151" s="738"/>
      <c r="N151" s="738"/>
      <c r="O151" s="309"/>
      <c r="P151" s="306" t="s">
        <v>695</v>
      </c>
    </row>
    <row r="152" spans="1:16" ht="15.75" customHeight="1" x14ac:dyDescent="0.3">
      <c r="A152" s="735"/>
      <c r="B152" s="736"/>
      <c r="C152" s="736"/>
      <c r="D152" s="736"/>
      <c r="E152" s="313"/>
      <c r="F152" s="737"/>
      <c r="G152" s="737"/>
      <c r="H152" s="737"/>
      <c r="I152" s="737"/>
      <c r="J152" s="737"/>
      <c r="K152" s="738" t="s">
        <v>754</v>
      </c>
      <c r="L152" s="738"/>
      <c r="M152" s="738"/>
      <c r="N152" s="738"/>
      <c r="O152" s="309"/>
      <c r="P152" s="306" t="s">
        <v>695</v>
      </c>
    </row>
    <row r="153" spans="1:16" ht="15.75" customHeight="1" x14ac:dyDescent="0.3">
      <c r="A153" s="735"/>
      <c r="B153" s="736"/>
      <c r="C153" s="736"/>
      <c r="D153" s="736"/>
      <c r="E153" s="313"/>
      <c r="F153" s="737"/>
      <c r="G153" s="737"/>
      <c r="H153" s="737"/>
      <c r="I153" s="737"/>
      <c r="J153" s="737"/>
      <c r="K153" s="738" t="s">
        <v>754</v>
      </c>
      <c r="L153" s="738"/>
      <c r="M153" s="738"/>
      <c r="N153" s="738"/>
      <c r="O153" s="309"/>
      <c r="P153" s="306" t="s">
        <v>695</v>
      </c>
    </row>
    <row r="154" spans="1:16" ht="15.75" customHeight="1" x14ac:dyDescent="0.3">
      <c r="A154" s="735"/>
      <c r="B154" s="736"/>
      <c r="C154" s="736"/>
      <c r="D154" s="736"/>
      <c r="E154" s="313"/>
      <c r="F154" s="737"/>
      <c r="G154" s="737"/>
      <c r="H154" s="737"/>
      <c r="I154" s="737"/>
      <c r="J154" s="737"/>
      <c r="K154" s="738" t="s">
        <v>754</v>
      </c>
      <c r="L154" s="738"/>
      <c r="M154" s="738"/>
      <c r="N154" s="738"/>
      <c r="O154" s="309"/>
      <c r="P154" s="306" t="s">
        <v>695</v>
      </c>
    </row>
    <row r="155" spans="1:16" ht="15.75" customHeight="1" x14ac:dyDescent="0.3">
      <c r="A155" s="735"/>
      <c r="B155" s="736"/>
      <c r="C155" s="736"/>
      <c r="D155" s="736"/>
      <c r="E155" s="313"/>
      <c r="F155" s="737"/>
      <c r="G155" s="737"/>
      <c r="H155" s="737"/>
      <c r="I155" s="737"/>
      <c r="J155" s="737"/>
      <c r="K155" s="738" t="s">
        <v>754</v>
      </c>
      <c r="L155" s="738"/>
      <c r="M155" s="738"/>
      <c r="N155" s="738"/>
      <c r="O155" s="309"/>
      <c r="P155" s="306" t="s">
        <v>695</v>
      </c>
    </row>
    <row r="156" spans="1:16" ht="15.75" customHeight="1" x14ac:dyDescent="0.3">
      <c r="A156" s="735"/>
      <c r="B156" s="736"/>
      <c r="C156" s="736"/>
      <c r="D156" s="736"/>
      <c r="E156" s="313"/>
      <c r="F156" s="737"/>
      <c r="G156" s="737"/>
      <c r="H156" s="737"/>
      <c r="I156" s="737"/>
      <c r="J156" s="737"/>
      <c r="K156" s="738" t="s">
        <v>754</v>
      </c>
      <c r="L156" s="738"/>
      <c r="M156" s="738"/>
      <c r="N156" s="738"/>
      <c r="O156" s="309"/>
      <c r="P156" s="306" t="s">
        <v>695</v>
      </c>
    </row>
    <row r="157" spans="1:16" ht="15.75" customHeight="1" x14ac:dyDescent="0.3">
      <c r="A157" s="735"/>
      <c r="B157" s="736"/>
      <c r="C157" s="736"/>
      <c r="D157" s="736"/>
      <c r="E157" s="313"/>
      <c r="F157" s="737"/>
      <c r="G157" s="737"/>
      <c r="H157" s="737"/>
      <c r="I157" s="737"/>
      <c r="J157" s="737"/>
      <c r="K157" s="738" t="s">
        <v>754</v>
      </c>
      <c r="L157" s="738"/>
      <c r="M157" s="738"/>
      <c r="N157" s="738"/>
      <c r="O157" s="309"/>
      <c r="P157" s="306" t="s">
        <v>695</v>
      </c>
    </row>
    <row r="158" spans="1:16" ht="15.75" customHeight="1" x14ac:dyDescent="0.3">
      <c r="A158" s="735"/>
      <c r="B158" s="736"/>
      <c r="C158" s="736"/>
      <c r="D158" s="736"/>
      <c r="E158" s="313"/>
      <c r="F158" s="737"/>
      <c r="G158" s="737"/>
      <c r="H158" s="737"/>
      <c r="I158" s="737"/>
      <c r="J158" s="737"/>
      <c r="K158" s="738" t="s">
        <v>754</v>
      </c>
      <c r="L158" s="738"/>
      <c r="M158" s="738"/>
      <c r="N158" s="738"/>
      <c r="O158" s="309"/>
      <c r="P158" s="306" t="s">
        <v>695</v>
      </c>
    </row>
    <row r="159" spans="1:16" ht="15.75" customHeight="1" x14ac:dyDescent="0.3">
      <c r="A159" s="735"/>
      <c r="B159" s="736"/>
      <c r="C159" s="736"/>
      <c r="D159" s="736"/>
      <c r="E159" s="313"/>
      <c r="F159" s="737"/>
      <c r="G159" s="737"/>
      <c r="H159" s="737"/>
      <c r="I159" s="737"/>
      <c r="J159" s="737"/>
      <c r="K159" s="738" t="s">
        <v>754</v>
      </c>
      <c r="L159" s="738"/>
      <c r="M159" s="738"/>
      <c r="N159" s="738"/>
      <c r="O159" s="309"/>
      <c r="P159" s="306" t="s">
        <v>695</v>
      </c>
    </row>
    <row r="160" spans="1:16" ht="15.75" customHeight="1" x14ac:dyDescent="0.3">
      <c r="A160" s="735"/>
      <c r="B160" s="736"/>
      <c r="C160" s="736"/>
      <c r="D160" s="736"/>
      <c r="E160" s="313"/>
      <c r="F160" s="737"/>
      <c r="G160" s="737"/>
      <c r="H160" s="737"/>
      <c r="I160" s="737"/>
      <c r="J160" s="737"/>
      <c r="K160" s="738" t="s">
        <v>754</v>
      </c>
      <c r="L160" s="738"/>
      <c r="M160" s="738"/>
      <c r="N160" s="738"/>
      <c r="O160" s="309"/>
      <c r="P160" s="306" t="s">
        <v>695</v>
      </c>
    </row>
    <row r="161" spans="1:16" ht="15.75" customHeight="1" x14ac:dyDescent="0.3">
      <c r="A161" s="735"/>
      <c r="B161" s="736"/>
      <c r="C161" s="736"/>
      <c r="D161" s="736"/>
      <c r="E161" s="313"/>
      <c r="F161" s="737"/>
      <c r="G161" s="737"/>
      <c r="H161" s="737"/>
      <c r="I161" s="737"/>
      <c r="J161" s="737"/>
      <c r="K161" s="738" t="s">
        <v>754</v>
      </c>
      <c r="L161" s="738"/>
      <c r="M161" s="738"/>
      <c r="N161" s="738"/>
      <c r="O161" s="309"/>
      <c r="P161" s="306" t="s">
        <v>695</v>
      </c>
    </row>
    <row r="162" spans="1:16" ht="15.75" customHeight="1" x14ac:dyDescent="0.3">
      <c r="A162" s="735"/>
      <c r="B162" s="736"/>
      <c r="C162" s="736"/>
      <c r="D162" s="736"/>
      <c r="E162" s="313"/>
      <c r="F162" s="737"/>
      <c r="G162" s="737"/>
      <c r="H162" s="737"/>
      <c r="I162" s="737"/>
      <c r="J162" s="737"/>
      <c r="K162" s="738" t="s">
        <v>754</v>
      </c>
      <c r="L162" s="738"/>
      <c r="M162" s="738"/>
      <c r="N162" s="738"/>
      <c r="O162" s="309"/>
      <c r="P162" s="306" t="s">
        <v>695</v>
      </c>
    </row>
    <row r="163" spans="1:16" ht="15.75" customHeight="1" x14ac:dyDescent="0.3">
      <c r="A163" s="735"/>
      <c r="B163" s="736"/>
      <c r="C163" s="736"/>
      <c r="D163" s="736"/>
      <c r="E163" s="313"/>
      <c r="F163" s="737"/>
      <c r="G163" s="737"/>
      <c r="H163" s="737"/>
      <c r="I163" s="737"/>
      <c r="J163" s="737"/>
      <c r="K163" s="738" t="s">
        <v>754</v>
      </c>
      <c r="L163" s="738"/>
      <c r="M163" s="738"/>
      <c r="N163" s="738"/>
      <c r="O163" s="309"/>
      <c r="P163" s="306" t="s">
        <v>695</v>
      </c>
    </row>
    <row r="164" spans="1:16" ht="15.75" customHeight="1" x14ac:dyDescent="0.3">
      <c r="A164" s="735"/>
      <c r="B164" s="736"/>
      <c r="C164" s="736"/>
      <c r="D164" s="736"/>
      <c r="E164" s="313"/>
      <c r="F164" s="737"/>
      <c r="G164" s="737"/>
      <c r="H164" s="737"/>
      <c r="I164" s="737"/>
      <c r="J164" s="737"/>
      <c r="K164" s="738" t="s">
        <v>754</v>
      </c>
      <c r="L164" s="738"/>
      <c r="M164" s="738"/>
      <c r="N164" s="738"/>
      <c r="O164" s="309"/>
      <c r="P164" s="306" t="s">
        <v>695</v>
      </c>
    </row>
    <row r="165" spans="1:16" ht="15.75" customHeight="1" x14ac:dyDescent="0.3">
      <c r="A165" s="735"/>
      <c r="B165" s="736"/>
      <c r="C165" s="736"/>
      <c r="D165" s="736"/>
      <c r="E165" s="313"/>
      <c r="F165" s="737"/>
      <c r="G165" s="737"/>
      <c r="H165" s="737"/>
      <c r="I165" s="737"/>
      <c r="J165" s="737"/>
      <c r="K165" s="738" t="s">
        <v>754</v>
      </c>
      <c r="L165" s="738"/>
      <c r="M165" s="738"/>
      <c r="N165" s="738"/>
      <c r="O165" s="309"/>
      <c r="P165" s="306" t="s">
        <v>695</v>
      </c>
    </row>
    <row r="166" spans="1:16" ht="15.75" customHeight="1" x14ac:dyDescent="0.3">
      <c r="A166" s="735"/>
      <c r="B166" s="736"/>
      <c r="C166" s="736"/>
      <c r="D166" s="736"/>
      <c r="E166" s="313"/>
      <c r="F166" s="737"/>
      <c r="G166" s="737"/>
      <c r="H166" s="737"/>
      <c r="I166" s="737"/>
      <c r="J166" s="737"/>
      <c r="K166" s="738" t="s">
        <v>754</v>
      </c>
      <c r="L166" s="738"/>
      <c r="M166" s="738"/>
      <c r="N166" s="738"/>
      <c r="O166" s="309"/>
      <c r="P166" s="306" t="s">
        <v>695</v>
      </c>
    </row>
    <row r="167" spans="1:16" ht="15.75" customHeight="1" x14ac:dyDescent="0.3">
      <c r="A167" s="735"/>
      <c r="B167" s="736"/>
      <c r="C167" s="736"/>
      <c r="D167" s="736"/>
      <c r="E167" s="313"/>
      <c r="F167" s="737"/>
      <c r="G167" s="737"/>
      <c r="H167" s="737"/>
      <c r="I167" s="737"/>
      <c r="J167" s="737"/>
      <c r="K167" s="738" t="s">
        <v>754</v>
      </c>
      <c r="L167" s="738"/>
      <c r="M167" s="738"/>
      <c r="N167" s="738"/>
      <c r="O167" s="309"/>
      <c r="P167" s="306" t="s">
        <v>695</v>
      </c>
    </row>
    <row r="168" spans="1:16" ht="15.75" customHeight="1" x14ac:dyDescent="0.3">
      <c r="A168" s="735"/>
      <c r="B168" s="736"/>
      <c r="C168" s="736"/>
      <c r="D168" s="736"/>
      <c r="E168" s="313"/>
      <c r="F168" s="737"/>
      <c r="G168" s="737"/>
      <c r="H168" s="737"/>
      <c r="I168" s="737"/>
      <c r="J168" s="737"/>
      <c r="K168" s="738" t="s">
        <v>754</v>
      </c>
      <c r="L168" s="738"/>
      <c r="M168" s="738"/>
      <c r="N168" s="738"/>
      <c r="O168" s="309"/>
      <c r="P168" s="306" t="s">
        <v>695</v>
      </c>
    </row>
    <row r="169" spans="1:16" ht="15.75" customHeight="1" x14ac:dyDescent="0.3">
      <c r="A169" s="735"/>
      <c r="B169" s="736"/>
      <c r="C169" s="736"/>
      <c r="D169" s="736"/>
      <c r="E169" s="313"/>
      <c r="F169" s="737"/>
      <c r="G169" s="737"/>
      <c r="H169" s="737"/>
      <c r="I169" s="737"/>
      <c r="J169" s="737"/>
      <c r="K169" s="738" t="s">
        <v>754</v>
      </c>
      <c r="L169" s="738"/>
      <c r="M169" s="738"/>
      <c r="N169" s="738"/>
      <c r="O169" s="309"/>
      <c r="P169" s="306" t="s">
        <v>695</v>
      </c>
    </row>
    <row r="170" spans="1:16" ht="15.75" customHeight="1" x14ac:dyDescent="0.3">
      <c r="A170" s="735"/>
      <c r="B170" s="736"/>
      <c r="C170" s="736"/>
      <c r="D170" s="736"/>
      <c r="E170" s="313"/>
      <c r="F170" s="737"/>
      <c r="G170" s="737"/>
      <c r="H170" s="737"/>
      <c r="I170" s="737"/>
      <c r="J170" s="737"/>
      <c r="K170" s="738" t="s">
        <v>754</v>
      </c>
      <c r="L170" s="738"/>
      <c r="M170" s="738"/>
      <c r="N170" s="738"/>
      <c r="O170" s="309"/>
      <c r="P170" s="306" t="s">
        <v>695</v>
      </c>
    </row>
    <row r="171" spans="1:16" ht="15.75" customHeight="1" x14ac:dyDescent="0.3">
      <c r="A171" s="735"/>
      <c r="B171" s="736"/>
      <c r="C171" s="736"/>
      <c r="D171" s="736"/>
      <c r="E171" s="313"/>
      <c r="F171" s="737"/>
      <c r="G171" s="737"/>
      <c r="H171" s="737"/>
      <c r="I171" s="737"/>
      <c r="J171" s="737"/>
      <c r="K171" s="738" t="s">
        <v>754</v>
      </c>
      <c r="L171" s="738"/>
      <c r="M171" s="738"/>
      <c r="N171" s="738"/>
      <c r="O171" s="309"/>
      <c r="P171" s="306" t="s">
        <v>695</v>
      </c>
    </row>
    <row r="172" spans="1:16" ht="15.75" customHeight="1" x14ac:dyDescent="0.3">
      <c r="A172" s="735"/>
      <c r="B172" s="736"/>
      <c r="C172" s="736"/>
      <c r="D172" s="736"/>
      <c r="E172" s="313"/>
      <c r="F172" s="737"/>
      <c r="G172" s="737"/>
      <c r="H172" s="737"/>
      <c r="I172" s="737"/>
      <c r="J172" s="737"/>
      <c r="K172" s="738" t="s">
        <v>754</v>
      </c>
      <c r="L172" s="738"/>
      <c r="M172" s="738"/>
      <c r="N172" s="738"/>
      <c r="O172" s="309"/>
      <c r="P172" s="306" t="s">
        <v>695</v>
      </c>
    </row>
    <row r="173" spans="1:16" ht="15.75" customHeight="1" x14ac:dyDescent="0.3">
      <c r="A173" s="735"/>
      <c r="B173" s="736"/>
      <c r="C173" s="736"/>
      <c r="D173" s="736"/>
      <c r="E173" s="313"/>
      <c r="F173" s="737"/>
      <c r="G173" s="737"/>
      <c r="H173" s="737"/>
      <c r="I173" s="737"/>
      <c r="J173" s="737"/>
      <c r="K173" s="738" t="s">
        <v>754</v>
      </c>
      <c r="L173" s="738"/>
      <c r="M173" s="738"/>
      <c r="N173" s="738"/>
      <c r="O173" s="309"/>
      <c r="P173" s="306" t="s">
        <v>695</v>
      </c>
    </row>
    <row r="174" spans="1:16" ht="15.75" customHeight="1" x14ac:dyDescent="0.3">
      <c r="A174" s="735"/>
      <c r="B174" s="736"/>
      <c r="C174" s="736"/>
      <c r="D174" s="736"/>
      <c r="E174" s="313"/>
      <c r="F174" s="737"/>
      <c r="G174" s="737"/>
      <c r="H174" s="737"/>
      <c r="I174" s="737"/>
      <c r="J174" s="737"/>
      <c r="K174" s="738" t="s">
        <v>754</v>
      </c>
      <c r="L174" s="738"/>
      <c r="M174" s="738"/>
      <c r="N174" s="738"/>
      <c r="O174" s="309"/>
      <c r="P174" s="306" t="s">
        <v>695</v>
      </c>
    </row>
    <row r="175" spans="1:16" ht="15.75" customHeight="1" x14ac:dyDescent="0.3">
      <c r="A175" s="735"/>
      <c r="B175" s="736"/>
      <c r="C175" s="736"/>
      <c r="D175" s="736"/>
      <c r="E175" s="313"/>
      <c r="F175" s="737"/>
      <c r="G175" s="737"/>
      <c r="H175" s="737"/>
      <c r="I175" s="737"/>
      <c r="J175" s="737"/>
      <c r="K175" s="738" t="s">
        <v>754</v>
      </c>
      <c r="L175" s="738"/>
      <c r="M175" s="738"/>
      <c r="N175" s="738"/>
      <c r="O175" s="309"/>
      <c r="P175" s="306" t="s">
        <v>695</v>
      </c>
    </row>
    <row r="176" spans="1:16" ht="15.75" customHeight="1" x14ac:dyDescent="0.3">
      <c r="A176" s="735"/>
      <c r="B176" s="736"/>
      <c r="C176" s="736"/>
      <c r="D176" s="736"/>
      <c r="E176" s="313"/>
      <c r="F176" s="737"/>
      <c r="G176" s="737"/>
      <c r="H176" s="737"/>
      <c r="I176" s="737"/>
      <c r="J176" s="737"/>
      <c r="K176" s="738" t="s">
        <v>754</v>
      </c>
      <c r="L176" s="738"/>
      <c r="M176" s="738"/>
      <c r="N176" s="738"/>
      <c r="O176" s="309"/>
      <c r="P176" s="306" t="s">
        <v>695</v>
      </c>
    </row>
    <row r="177" spans="1:16" ht="15.75" customHeight="1" x14ac:dyDescent="0.3">
      <c r="A177" s="735"/>
      <c r="B177" s="736"/>
      <c r="C177" s="736"/>
      <c r="D177" s="736"/>
      <c r="E177" s="313"/>
      <c r="F177" s="737"/>
      <c r="G177" s="737"/>
      <c r="H177" s="737"/>
      <c r="I177" s="737"/>
      <c r="J177" s="737"/>
      <c r="K177" s="738" t="s">
        <v>754</v>
      </c>
      <c r="L177" s="738"/>
      <c r="M177" s="738"/>
      <c r="N177" s="738"/>
      <c r="O177" s="309"/>
      <c r="P177" s="306" t="s">
        <v>695</v>
      </c>
    </row>
    <row r="178" spans="1:16" ht="15.75" customHeight="1" x14ac:dyDescent="0.3">
      <c r="A178" s="735"/>
      <c r="B178" s="736"/>
      <c r="C178" s="736"/>
      <c r="D178" s="736"/>
      <c r="E178" s="313"/>
      <c r="F178" s="737"/>
      <c r="G178" s="737"/>
      <c r="H178" s="737"/>
      <c r="I178" s="737"/>
      <c r="J178" s="737"/>
      <c r="K178" s="738" t="s">
        <v>754</v>
      </c>
      <c r="L178" s="738"/>
      <c r="M178" s="738"/>
      <c r="N178" s="738"/>
      <c r="O178" s="309"/>
      <c r="P178" s="306" t="s">
        <v>695</v>
      </c>
    </row>
    <row r="179" spans="1:16" ht="15.75" customHeight="1" x14ac:dyDescent="0.3">
      <c r="A179" s="735"/>
      <c r="B179" s="736"/>
      <c r="C179" s="736"/>
      <c r="D179" s="736"/>
      <c r="E179" s="313"/>
      <c r="F179" s="737"/>
      <c r="G179" s="737"/>
      <c r="H179" s="737"/>
      <c r="I179" s="737"/>
      <c r="J179" s="737"/>
      <c r="K179" s="738" t="s">
        <v>754</v>
      </c>
      <c r="L179" s="738"/>
      <c r="M179" s="738"/>
      <c r="N179" s="738"/>
      <c r="O179" s="309"/>
      <c r="P179" s="306" t="s">
        <v>695</v>
      </c>
    </row>
    <row r="180" spans="1:16" ht="15.75" customHeight="1" x14ac:dyDescent="0.3">
      <c r="A180" s="735"/>
      <c r="B180" s="736"/>
      <c r="C180" s="736"/>
      <c r="D180" s="736"/>
      <c r="E180" s="313"/>
      <c r="F180" s="737"/>
      <c r="G180" s="737"/>
      <c r="H180" s="737"/>
      <c r="I180" s="737"/>
      <c r="J180" s="737"/>
      <c r="K180" s="738" t="s">
        <v>754</v>
      </c>
      <c r="L180" s="738"/>
      <c r="M180" s="738"/>
      <c r="N180" s="738"/>
      <c r="O180" s="309"/>
      <c r="P180" s="306" t="s">
        <v>695</v>
      </c>
    </row>
    <row r="181" spans="1:16" ht="15.75" customHeight="1" x14ac:dyDescent="0.3">
      <c r="A181" s="735"/>
      <c r="B181" s="736"/>
      <c r="C181" s="736"/>
      <c r="D181" s="736"/>
      <c r="E181" s="313"/>
      <c r="F181" s="737"/>
      <c r="G181" s="737"/>
      <c r="H181" s="737"/>
      <c r="I181" s="737"/>
      <c r="J181" s="737"/>
      <c r="K181" s="738" t="s">
        <v>754</v>
      </c>
      <c r="L181" s="738"/>
      <c r="M181" s="738"/>
      <c r="N181" s="738"/>
      <c r="O181" s="309"/>
      <c r="P181" s="306" t="s">
        <v>695</v>
      </c>
    </row>
    <row r="182" spans="1:16" ht="15.75" customHeight="1" x14ac:dyDescent="0.3">
      <c r="A182" s="735"/>
      <c r="B182" s="736"/>
      <c r="C182" s="736"/>
      <c r="D182" s="736"/>
      <c r="E182" s="313"/>
      <c r="F182" s="737"/>
      <c r="G182" s="737"/>
      <c r="H182" s="737"/>
      <c r="I182" s="737"/>
      <c r="J182" s="737"/>
      <c r="K182" s="738" t="s">
        <v>754</v>
      </c>
      <c r="L182" s="738"/>
      <c r="M182" s="738"/>
      <c r="N182" s="738"/>
      <c r="O182" s="309"/>
      <c r="P182" s="306" t="s">
        <v>695</v>
      </c>
    </row>
    <row r="183" spans="1:16" ht="15.75" customHeight="1" x14ac:dyDescent="0.3">
      <c r="A183" s="735"/>
      <c r="B183" s="736"/>
      <c r="C183" s="736"/>
      <c r="D183" s="736"/>
      <c r="E183" s="313"/>
      <c r="F183" s="737"/>
      <c r="G183" s="737"/>
      <c r="H183" s="737"/>
      <c r="I183" s="737"/>
      <c r="J183" s="737"/>
      <c r="K183" s="738" t="s">
        <v>754</v>
      </c>
      <c r="L183" s="738"/>
      <c r="M183" s="738"/>
      <c r="N183" s="738"/>
      <c r="O183" s="309"/>
      <c r="P183" s="306" t="s">
        <v>695</v>
      </c>
    </row>
    <row r="184" spans="1:16" ht="15.75" customHeight="1" x14ac:dyDescent="0.3">
      <c r="A184" s="735"/>
      <c r="B184" s="736"/>
      <c r="C184" s="736"/>
      <c r="D184" s="736"/>
      <c r="E184" s="313"/>
      <c r="F184" s="737"/>
      <c r="G184" s="737"/>
      <c r="H184" s="737"/>
      <c r="I184" s="737"/>
      <c r="J184" s="737"/>
      <c r="K184" s="738" t="s">
        <v>754</v>
      </c>
      <c r="L184" s="738"/>
      <c r="M184" s="738"/>
      <c r="N184" s="738"/>
      <c r="O184" s="309"/>
      <c r="P184" s="306" t="s">
        <v>695</v>
      </c>
    </row>
    <row r="185" spans="1:16" ht="15.75" customHeight="1" x14ac:dyDescent="0.3">
      <c r="A185" s="735"/>
      <c r="B185" s="736"/>
      <c r="C185" s="736"/>
      <c r="D185" s="736"/>
      <c r="E185" s="313"/>
      <c r="F185" s="737"/>
      <c r="G185" s="737"/>
      <c r="H185" s="737"/>
      <c r="I185" s="737"/>
      <c r="J185" s="737"/>
      <c r="K185" s="738" t="s">
        <v>754</v>
      </c>
      <c r="L185" s="738"/>
      <c r="M185" s="738"/>
      <c r="N185" s="738"/>
      <c r="O185" s="309"/>
      <c r="P185" s="306" t="s">
        <v>695</v>
      </c>
    </row>
    <row r="186" spans="1:16" ht="15.75" customHeight="1" x14ac:dyDescent="0.3">
      <c r="A186" s="735"/>
      <c r="B186" s="736"/>
      <c r="C186" s="736"/>
      <c r="D186" s="736"/>
      <c r="E186" s="313"/>
      <c r="F186" s="737"/>
      <c r="G186" s="737"/>
      <c r="H186" s="737"/>
      <c r="I186" s="737"/>
      <c r="J186" s="737"/>
      <c r="K186" s="738" t="s">
        <v>754</v>
      </c>
      <c r="L186" s="738"/>
      <c r="M186" s="738"/>
      <c r="N186" s="738"/>
      <c r="O186" s="309"/>
      <c r="P186" s="306" t="s">
        <v>695</v>
      </c>
    </row>
    <row r="187" spans="1:16" ht="15.75" customHeight="1" x14ac:dyDescent="0.3">
      <c r="A187" s="735"/>
      <c r="B187" s="736"/>
      <c r="C187" s="736"/>
      <c r="D187" s="736"/>
      <c r="E187" s="313"/>
      <c r="F187" s="737"/>
      <c r="G187" s="737"/>
      <c r="H187" s="737"/>
      <c r="I187" s="737"/>
      <c r="J187" s="737"/>
      <c r="K187" s="738" t="s">
        <v>754</v>
      </c>
      <c r="L187" s="738"/>
      <c r="M187" s="738"/>
      <c r="N187" s="738"/>
      <c r="O187" s="309"/>
      <c r="P187" s="306" t="s">
        <v>695</v>
      </c>
    </row>
    <row r="188" spans="1:16" ht="15.75" customHeight="1" x14ac:dyDescent="0.3">
      <c r="A188" s="735"/>
      <c r="B188" s="736"/>
      <c r="C188" s="736"/>
      <c r="D188" s="736"/>
      <c r="E188" s="313"/>
      <c r="F188" s="737"/>
      <c r="G188" s="737"/>
      <c r="H188" s="737"/>
      <c r="I188" s="737"/>
      <c r="J188" s="737"/>
      <c r="K188" s="738" t="s">
        <v>754</v>
      </c>
      <c r="L188" s="738"/>
      <c r="M188" s="738"/>
      <c r="N188" s="738"/>
      <c r="O188" s="309"/>
      <c r="P188" s="306" t="s">
        <v>695</v>
      </c>
    </row>
    <row r="189" spans="1:16" ht="15.75" customHeight="1" x14ac:dyDescent="0.3">
      <c r="A189" s="735"/>
      <c r="B189" s="736"/>
      <c r="C189" s="736"/>
      <c r="D189" s="736"/>
      <c r="E189" s="313"/>
      <c r="F189" s="737"/>
      <c r="G189" s="737"/>
      <c r="H189" s="737"/>
      <c r="I189" s="737"/>
      <c r="J189" s="737"/>
      <c r="K189" s="738" t="s">
        <v>754</v>
      </c>
      <c r="L189" s="738"/>
      <c r="M189" s="738"/>
      <c r="N189" s="738"/>
      <c r="O189" s="309"/>
      <c r="P189" s="306" t="s">
        <v>695</v>
      </c>
    </row>
    <row r="190" spans="1:16" ht="15.75" customHeight="1" x14ac:dyDescent="0.3">
      <c r="A190" s="735"/>
      <c r="B190" s="736"/>
      <c r="C190" s="736"/>
      <c r="D190" s="736"/>
      <c r="E190" s="313"/>
      <c r="F190" s="737"/>
      <c r="G190" s="737"/>
      <c r="H190" s="737"/>
      <c r="I190" s="737"/>
      <c r="J190" s="737"/>
      <c r="K190" s="738" t="s">
        <v>754</v>
      </c>
      <c r="L190" s="738"/>
      <c r="M190" s="738"/>
      <c r="N190" s="738"/>
      <c r="O190" s="309"/>
      <c r="P190" s="306" t="s">
        <v>695</v>
      </c>
    </row>
    <row r="191" spans="1:16" ht="15.75" customHeight="1" x14ac:dyDescent="0.3">
      <c r="A191" s="735"/>
      <c r="B191" s="736"/>
      <c r="C191" s="736"/>
      <c r="D191" s="736"/>
      <c r="E191" s="313"/>
      <c r="F191" s="737"/>
      <c r="G191" s="737"/>
      <c r="H191" s="737"/>
      <c r="I191" s="737"/>
      <c r="J191" s="737"/>
      <c r="K191" s="738" t="s">
        <v>754</v>
      </c>
      <c r="L191" s="738"/>
      <c r="M191" s="738"/>
      <c r="N191" s="738"/>
      <c r="O191" s="309"/>
      <c r="P191" s="306" t="s">
        <v>695</v>
      </c>
    </row>
    <row r="192" spans="1:16" ht="15.75" customHeight="1" x14ac:dyDescent="0.3">
      <c r="A192" s="735"/>
      <c r="B192" s="736"/>
      <c r="C192" s="736"/>
      <c r="D192" s="736"/>
      <c r="E192" s="313"/>
      <c r="F192" s="737"/>
      <c r="G192" s="737"/>
      <c r="H192" s="737"/>
      <c r="I192" s="737"/>
      <c r="J192" s="737"/>
      <c r="K192" s="738" t="s">
        <v>754</v>
      </c>
      <c r="L192" s="738"/>
      <c r="M192" s="738"/>
      <c r="N192" s="738"/>
      <c r="O192" s="309"/>
      <c r="P192" s="306" t="s">
        <v>695</v>
      </c>
    </row>
    <row r="193" spans="1:16" ht="15.75" customHeight="1" x14ac:dyDescent="0.3">
      <c r="A193" s="735"/>
      <c r="B193" s="736"/>
      <c r="C193" s="736"/>
      <c r="D193" s="736"/>
      <c r="E193" s="313"/>
      <c r="F193" s="737"/>
      <c r="G193" s="737"/>
      <c r="H193" s="737"/>
      <c r="I193" s="737"/>
      <c r="J193" s="737"/>
      <c r="K193" s="738" t="s">
        <v>754</v>
      </c>
      <c r="L193" s="738"/>
      <c r="M193" s="738"/>
      <c r="N193" s="738"/>
      <c r="O193" s="309"/>
      <c r="P193" s="306" t="s">
        <v>695</v>
      </c>
    </row>
    <row r="194" spans="1:16" ht="15.75" customHeight="1" x14ac:dyDescent="0.3">
      <c r="A194" s="735"/>
      <c r="B194" s="736"/>
      <c r="C194" s="736"/>
      <c r="D194" s="736"/>
      <c r="E194" s="313"/>
      <c r="F194" s="737"/>
      <c r="G194" s="737"/>
      <c r="H194" s="737"/>
      <c r="I194" s="737"/>
      <c r="J194" s="737"/>
      <c r="K194" s="738" t="s">
        <v>754</v>
      </c>
      <c r="L194" s="738"/>
      <c r="M194" s="738"/>
      <c r="N194" s="738"/>
      <c r="O194" s="309"/>
      <c r="P194" s="306" t="s">
        <v>695</v>
      </c>
    </row>
    <row r="195" spans="1:16" ht="15.75" customHeight="1" x14ac:dyDescent="0.3">
      <c r="A195" s="735"/>
      <c r="B195" s="736"/>
      <c r="C195" s="736"/>
      <c r="D195" s="736"/>
      <c r="E195" s="313"/>
      <c r="F195" s="737"/>
      <c r="G195" s="737"/>
      <c r="H195" s="737"/>
      <c r="I195" s="737"/>
      <c r="J195" s="737"/>
      <c r="K195" s="738" t="s">
        <v>754</v>
      </c>
      <c r="L195" s="738"/>
      <c r="M195" s="738"/>
      <c r="N195" s="738"/>
      <c r="O195" s="309"/>
      <c r="P195" s="306" t="s">
        <v>695</v>
      </c>
    </row>
    <row r="196" spans="1:16" ht="15.75" customHeight="1" x14ac:dyDescent="0.3">
      <c r="A196" s="735"/>
      <c r="B196" s="736"/>
      <c r="C196" s="736"/>
      <c r="D196" s="736"/>
      <c r="E196" s="313"/>
      <c r="F196" s="737"/>
      <c r="G196" s="737"/>
      <c r="H196" s="737"/>
      <c r="I196" s="737"/>
      <c r="J196" s="737"/>
      <c r="K196" s="738" t="s">
        <v>754</v>
      </c>
      <c r="L196" s="738"/>
      <c r="M196" s="738"/>
      <c r="N196" s="738"/>
      <c r="O196" s="309"/>
      <c r="P196" s="306" t="s">
        <v>695</v>
      </c>
    </row>
    <row r="197" spans="1:16" ht="15.75" customHeight="1" x14ac:dyDescent="0.3">
      <c r="A197" s="735"/>
      <c r="B197" s="736"/>
      <c r="C197" s="736"/>
      <c r="D197" s="736"/>
      <c r="E197" s="313"/>
      <c r="F197" s="737"/>
      <c r="G197" s="737"/>
      <c r="H197" s="737"/>
      <c r="I197" s="737"/>
      <c r="J197" s="737"/>
      <c r="K197" s="738" t="s">
        <v>754</v>
      </c>
      <c r="L197" s="738"/>
      <c r="M197" s="738"/>
      <c r="N197" s="738"/>
      <c r="O197" s="309"/>
      <c r="P197" s="306" t="s">
        <v>695</v>
      </c>
    </row>
    <row r="198" spans="1:16" ht="15.75" customHeight="1" x14ac:dyDescent="0.3">
      <c r="A198" s="735"/>
      <c r="B198" s="736"/>
      <c r="C198" s="736"/>
      <c r="D198" s="736"/>
      <c r="E198" s="313"/>
      <c r="F198" s="737"/>
      <c r="G198" s="737"/>
      <c r="H198" s="737"/>
      <c r="I198" s="737"/>
      <c r="J198" s="737"/>
      <c r="K198" s="738" t="s">
        <v>754</v>
      </c>
      <c r="L198" s="738"/>
      <c r="M198" s="738"/>
      <c r="N198" s="738"/>
      <c r="O198" s="309"/>
      <c r="P198" s="306" t="s">
        <v>695</v>
      </c>
    </row>
    <row r="199" spans="1:16" ht="15.75" customHeight="1" x14ac:dyDescent="0.3">
      <c r="A199" s="735"/>
      <c r="B199" s="736"/>
      <c r="C199" s="736"/>
      <c r="D199" s="736"/>
      <c r="E199" s="313"/>
      <c r="F199" s="737"/>
      <c r="G199" s="737"/>
      <c r="H199" s="737"/>
      <c r="I199" s="737"/>
      <c r="J199" s="737"/>
      <c r="K199" s="738" t="s">
        <v>754</v>
      </c>
      <c r="L199" s="738"/>
      <c r="M199" s="738"/>
      <c r="N199" s="738"/>
      <c r="O199" s="309"/>
      <c r="P199" s="306" t="s">
        <v>695</v>
      </c>
    </row>
    <row r="200" spans="1:16" ht="15.75" customHeight="1" x14ac:dyDescent="0.3">
      <c r="A200" s="735"/>
      <c r="B200" s="736"/>
      <c r="C200" s="736"/>
      <c r="D200" s="736"/>
      <c r="E200" s="313"/>
      <c r="F200" s="737"/>
      <c r="G200" s="737"/>
      <c r="H200" s="737"/>
      <c r="I200" s="737"/>
      <c r="J200" s="737"/>
      <c r="K200" s="738" t="s">
        <v>754</v>
      </c>
      <c r="L200" s="738"/>
      <c r="M200" s="738"/>
      <c r="N200" s="738"/>
      <c r="O200" s="309"/>
      <c r="P200" s="306" t="s">
        <v>695</v>
      </c>
    </row>
    <row r="201" spans="1:16" ht="15.75" customHeight="1" x14ac:dyDescent="0.3">
      <c r="A201" s="735"/>
      <c r="B201" s="736"/>
      <c r="C201" s="736"/>
      <c r="D201" s="736"/>
      <c r="E201" s="313"/>
      <c r="F201" s="737"/>
      <c r="G201" s="737"/>
      <c r="H201" s="737"/>
      <c r="I201" s="737"/>
      <c r="J201" s="737"/>
      <c r="K201" s="738" t="s">
        <v>754</v>
      </c>
      <c r="L201" s="738"/>
      <c r="M201" s="738"/>
      <c r="N201" s="738"/>
      <c r="O201" s="309"/>
      <c r="P201" s="306" t="s">
        <v>695</v>
      </c>
    </row>
    <row r="202" spans="1:16" ht="15.75" customHeight="1" x14ac:dyDescent="0.3">
      <c r="A202" s="735"/>
      <c r="B202" s="736"/>
      <c r="C202" s="736"/>
      <c r="D202" s="736"/>
      <c r="E202" s="313"/>
      <c r="F202" s="737"/>
      <c r="G202" s="737"/>
      <c r="H202" s="737"/>
      <c r="I202" s="737"/>
      <c r="J202" s="737"/>
      <c r="K202" s="738" t="s">
        <v>754</v>
      </c>
      <c r="L202" s="738"/>
      <c r="M202" s="738"/>
      <c r="N202" s="738"/>
      <c r="O202" s="309"/>
      <c r="P202" s="306" t="s">
        <v>695</v>
      </c>
    </row>
    <row r="203" spans="1:16" ht="15.75" customHeight="1" x14ac:dyDescent="0.3">
      <c r="A203" s="735"/>
      <c r="B203" s="736"/>
      <c r="C203" s="736"/>
      <c r="D203" s="736"/>
      <c r="E203" s="313"/>
      <c r="F203" s="737"/>
      <c r="G203" s="737"/>
      <c r="H203" s="737"/>
      <c r="I203" s="737"/>
      <c r="J203" s="737"/>
      <c r="K203" s="738" t="s">
        <v>754</v>
      </c>
      <c r="L203" s="738"/>
      <c r="M203" s="738"/>
      <c r="N203" s="738"/>
      <c r="O203" s="309"/>
      <c r="P203" s="306" t="s">
        <v>695</v>
      </c>
    </row>
    <row r="204" spans="1:16" ht="15.75" customHeight="1" x14ac:dyDescent="0.3">
      <c r="A204" s="735"/>
      <c r="B204" s="736"/>
      <c r="C204" s="736"/>
      <c r="D204" s="736"/>
      <c r="E204" s="313"/>
      <c r="F204" s="737"/>
      <c r="G204" s="737"/>
      <c r="H204" s="737"/>
      <c r="I204" s="737"/>
      <c r="J204" s="737"/>
      <c r="K204" s="738" t="s">
        <v>754</v>
      </c>
      <c r="L204" s="738"/>
      <c r="M204" s="738"/>
      <c r="N204" s="738"/>
      <c r="O204" s="309"/>
      <c r="P204" s="306" t="s">
        <v>695</v>
      </c>
    </row>
    <row r="205" spans="1:16" ht="15.75" customHeight="1" x14ac:dyDescent="0.3">
      <c r="A205" s="735"/>
      <c r="B205" s="736"/>
      <c r="C205" s="736"/>
      <c r="D205" s="736"/>
      <c r="E205" s="313"/>
      <c r="F205" s="737"/>
      <c r="G205" s="737"/>
      <c r="H205" s="737"/>
      <c r="I205" s="737"/>
      <c r="J205" s="737"/>
      <c r="K205" s="738" t="s">
        <v>754</v>
      </c>
      <c r="L205" s="738"/>
      <c r="M205" s="738"/>
      <c r="N205" s="738"/>
      <c r="O205" s="309"/>
      <c r="P205" s="306" t="s">
        <v>695</v>
      </c>
    </row>
    <row r="206" spans="1:16" ht="15.75" customHeight="1" x14ac:dyDescent="0.3">
      <c r="A206" s="735"/>
      <c r="B206" s="736"/>
      <c r="C206" s="736"/>
      <c r="D206" s="736"/>
      <c r="E206" s="313"/>
      <c r="F206" s="737"/>
      <c r="G206" s="737"/>
      <c r="H206" s="737"/>
      <c r="I206" s="737"/>
      <c r="J206" s="737"/>
      <c r="K206" s="738" t="s">
        <v>754</v>
      </c>
      <c r="L206" s="738"/>
      <c r="M206" s="738"/>
      <c r="N206" s="738"/>
      <c r="O206" s="309"/>
      <c r="P206" s="306" t="s">
        <v>695</v>
      </c>
    </row>
    <row r="207" spans="1:16" ht="15.75" customHeight="1" x14ac:dyDescent="0.3">
      <c r="A207" s="735"/>
      <c r="B207" s="736"/>
      <c r="C207" s="736"/>
      <c r="D207" s="736"/>
      <c r="E207" s="313"/>
      <c r="F207" s="737"/>
      <c r="G207" s="737"/>
      <c r="H207" s="737"/>
      <c r="I207" s="737"/>
      <c r="J207" s="737"/>
      <c r="K207" s="738" t="s">
        <v>754</v>
      </c>
      <c r="L207" s="738"/>
      <c r="M207" s="738"/>
      <c r="N207" s="738"/>
      <c r="O207" s="309"/>
      <c r="P207" s="306" t="s">
        <v>695</v>
      </c>
    </row>
    <row r="208" spans="1:16" ht="15.75" customHeight="1" x14ac:dyDescent="0.3">
      <c r="A208" s="735"/>
      <c r="B208" s="736"/>
      <c r="C208" s="736"/>
      <c r="D208" s="736"/>
      <c r="E208" s="313"/>
      <c r="F208" s="737"/>
      <c r="G208" s="737"/>
      <c r="H208" s="737"/>
      <c r="I208" s="737"/>
      <c r="J208" s="737"/>
      <c r="K208" s="738" t="s">
        <v>754</v>
      </c>
      <c r="L208" s="738"/>
      <c r="M208" s="738"/>
      <c r="N208" s="738"/>
      <c r="O208" s="309"/>
      <c r="P208" s="306" t="s">
        <v>695</v>
      </c>
    </row>
    <row r="209" spans="1:16" ht="15.75" customHeight="1" x14ac:dyDescent="0.3">
      <c r="A209" s="735"/>
      <c r="B209" s="736"/>
      <c r="C209" s="736"/>
      <c r="D209" s="736"/>
      <c r="E209" s="313"/>
      <c r="F209" s="737"/>
      <c r="G209" s="737"/>
      <c r="H209" s="737"/>
      <c r="I209" s="737"/>
      <c r="J209" s="737"/>
      <c r="K209" s="738" t="s">
        <v>754</v>
      </c>
      <c r="L209" s="738"/>
      <c r="M209" s="738"/>
      <c r="N209" s="738"/>
      <c r="O209" s="309"/>
      <c r="P209" s="306" t="s">
        <v>695</v>
      </c>
    </row>
    <row r="210" spans="1:16" ht="15.75" customHeight="1" x14ac:dyDescent="0.3">
      <c r="A210" s="735"/>
      <c r="B210" s="736"/>
      <c r="C210" s="736"/>
      <c r="D210" s="736"/>
      <c r="E210" s="313"/>
      <c r="F210" s="737"/>
      <c r="G210" s="737"/>
      <c r="H210" s="737"/>
      <c r="I210" s="737"/>
      <c r="J210" s="737"/>
      <c r="K210" s="738" t="s">
        <v>754</v>
      </c>
      <c r="L210" s="738"/>
      <c r="M210" s="738"/>
      <c r="N210" s="738"/>
      <c r="O210" s="309"/>
      <c r="P210" s="306" t="s">
        <v>695</v>
      </c>
    </row>
    <row r="211" spans="1:16" ht="15.75" customHeight="1" x14ac:dyDescent="0.3">
      <c r="A211" s="735"/>
      <c r="B211" s="736"/>
      <c r="C211" s="736"/>
      <c r="D211" s="736"/>
      <c r="E211" s="313"/>
      <c r="F211" s="737"/>
      <c r="G211" s="737"/>
      <c r="H211" s="737"/>
      <c r="I211" s="737"/>
      <c r="J211" s="737"/>
      <c r="K211" s="738" t="s">
        <v>754</v>
      </c>
      <c r="L211" s="738"/>
      <c r="M211" s="738"/>
      <c r="N211" s="738"/>
      <c r="O211" s="309"/>
      <c r="P211" s="306" t="s">
        <v>695</v>
      </c>
    </row>
    <row r="212" spans="1:16" ht="15.75" customHeight="1" x14ac:dyDescent="0.3">
      <c r="A212" s="735"/>
      <c r="B212" s="736"/>
      <c r="C212" s="736"/>
      <c r="D212" s="736"/>
      <c r="E212" s="313"/>
      <c r="F212" s="737"/>
      <c r="G212" s="737"/>
      <c r="H212" s="737"/>
      <c r="I212" s="737"/>
      <c r="J212" s="737"/>
      <c r="K212" s="738" t="s">
        <v>754</v>
      </c>
      <c r="L212" s="738"/>
      <c r="M212" s="738"/>
      <c r="N212" s="738"/>
      <c r="O212" s="309"/>
      <c r="P212" s="306" t="s">
        <v>695</v>
      </c>
    </row>
    <row r="213" spans="1:16" ht="15.75" customHeight="1" x14ac:dyDescent="0.3">
      <c r="A213" s="735"/>
      <c r="B213" s="736"/>
      <c r="C213" s="736"/>
      <c r="D213" s="736"/>
      <c r="E213" s="313"/>
      <c r="F213" s="737"/>
      <c r="G213" s="737"/>
      <c r="H213" s="737"/>
      <c r="I213" s="737"/>
      <c r="J213" s="737"/>
      <c r="K213" s="738" t="s">
        <v>754</v>
      </c>
      <c r="L213" s="738"/>
      <c r="M213" s="738"/>
      <c r="N213" s="738"/>
      <c r="O213" s="309"/>
      <c r="P213" s="306" t="s">
        <v>695</v>
      </c>
    </row>
    <row r="214" spans="1:16" ht="15.75" customHeight="1" x14ac:dyDescent="0.3">
      <c r="A214" s="735"/>
      <c r="B214" s="736"/>
      <c r="C214" s="736"/>
      <c r="D214" s="736"/>
      <c r="E214" s="313"/>
      <c r="F214" s="737"/>
      <c r="G214" s="737"/>
      <c r="H214" s="737"/>
      <c r="I214" s="737"/>
      <c r="J214" s="737"/>
      <c r="K214" s="738" t="s">
        <v>754</v>
      </c>
      <c r="L214" s="738"/>
      <c r="M214" s="738"/>
      <c r="N214" s="738"/>
      <c r="O214" s="309"/>
      <c r="P214" s="306" t="s">
        <v>695</v>
      </c>
    </row>
    <row r="215" spans="1:16" ht="15.75" customHeight="1" x14ac:dyDescent="0.3">
      <c r="A215" s="735"/>
      <c r="B215" s="736"/>
      <c r="C215" s="736"/>
      <c r="D215" s="736"/>
      <c r="E215" s="313"/>
      <c r="F215" s="737"/>
      <c r="G215" s="737"/>
      <c r="H215" s="737"/>
      <c r="I215" s="737"/>
      <c r="J215" s="737"/>
      <c r="K215" s="738" t="s">
        <v>754</v>
      </c>
      <c r="L215" s="738"/>
      <c r="M215" s="738"/>
      <c r="N215" s="738"/>
      <c r="O215" s="309"/>
      <c r="P215" s="306" t="s">
        <v>695</v>
      </c>
    </row>
    <row r="216" spans="1:16" ht="15.75" customHeight="1" x14ac:dyDescent="0.3">
      <c r="A216" s="735"/>
      <c r="B216" s="736"/>
      <c r="C216" s="736"/>
      <c r="D216" s="736"/>
      <c r="E216" s="313"/>
      <c r="F216" s="737"/>
      <c r="G216" s="737"/>
      <c r="H216" s="737"/>
      <c r="I216" s="737"/>
      <c r="J216" s="737"/>
      <c r="K216" s="738" t="s">
        <v>754</v>
      </c>
      <c r="L216" s="738"/>
      <c r="M216" s="738"/>
      <c r="N216" s="738"/>
      <c r="O216" s="309"/>
      <c r="P216" s="306" t="s">
        <v>695</v>
      </c>
    </row>
    <row r="217" spans="1:16" ht="15.75" customHeight="1" x14ac:dyDescent="0.3">
      <c r="A217" s="735"/>
      <c r="B217" s="736"/>
      <c r="C217" s="736"/>
      <c r="D217" s="736"/>
      <c r="E217" s="313"/>
      <c r="F217" s="737"/>
      <c r="G217" s="737"/>
      <c r="H217" s="737"/>
      <c r="I217" s="737"/>
      <c r="J217" s="737"/>
      <c r="K217" s="738" t="s">
        <v>754</v>
      </c>
      <c r="L217" s="738"/>
      <c r="M217" s="738"/>
      <c r="N217" s="738"/>
      <c r="O217" s="309"/>
      <c r="P217" s="306" t="s">
        <v>695</v>
      </c>
    </row>
    <row r="218" spans="1:16" ht="15.75" customHeight="1" x14ac:dyDescent="0.3">
      <c r="A218" s="735"/>
      <c r="B218" s="736"/>
      <c r="C218" s="736"/>
      <c r="D218" s="736"/>
      <c r="E218" s="313"/>
      <c r="F218" s="737"/>
      <c r="G218" s="737"/>
      <c r="H218" s="737"/>
      <c r="I218" s="737"/>
      <c r="J218" s="737"/>
      <c r="K218" s="738" t="s">
        <v>754</v>
      </c>
      <c r="L218" s="738"/>
      <c r="M218" s="738"/>
      <c r="N218" s="738"/>
      <c r="O218" s="309"/>
      <c r="P218" s="306" t="s">
        <v>695</v>
      </c>
    </row>
    <row r="219" spans="1:16" ht="15.75" customHeight="1" x14ac:dyDescent="0.3">
      <c r="A219" s="735"/>
      <c r="B219" s="736"/>
      <c r="C219" s="736"/>
      <c r="D219" s="736"/>
      <c r="E219" s="313"/>
      <c r="F219" s="737"/>
      <c r="G219" s="737"/>
      <c r="H219" s="737"/>
      <c r="I219" s="737"/>
      <c r="J219" s="737"/>
      <c r="K219" s="738" t="s">
        <v>754</v>
      </c>
      <c r="L219" s="738"/>
      <c r="M219" s="738"/>
      <c r="N219" s="738"/>
      <c r="O219" s="309"/>
      <c r="P219" s="306" t="s">
        <v>695</v>
      </c>
    </row>
    <row r="220" spans="1:16" ht="15.75" customHeight="1" x14ac:dyDescent="0.3">
      <c r="A220" s="735"/>
      <c r="B220" s="736"/>
      <c r="C220" s="736"/>
      <c r="D220" s="736"/>
      <c r="E220" s="313"/>
      <c r="F220" s="737"/>
      <c r="G220" s="737"/>
      <c r="H220" s="737"/>
      <c r="I220" s="737"/>
      <c r="J220" s="737"/>
      <c r="K220" s="738" t="s">
        <v>754</v>
      </c>
      <c r="L220" s="738"/>
      <c r="M220" s="738"/>
      <c r="N220" s="738"/>
      <c r="O220" s="309"/>
      <c r="P220" s="306" t="s">
        <v>695</v>
      </c>
    </row>
    <row r="221" spans="1:16" ht="15.75" customHeight="1" x14ac:dyDescent="0.3">
      <c r="A221" s="735"/>
      <c r="B221" s="736"/>
      <c r="C221" s="736"/>
      <c r="D221" s="736"/>
      <c r="E221" s="313"/>
      <c r="F221" s="737"/>
      <c r="G221" s="737"/>
      <c r="H221" s="737"/>
      <c r="I221" s="737"/>
      <c r="J221" s="737"/>
      <c r="K221" s="738" t="s">
        <v>754</v>
      </c>
      <c r="L221" s="738"/>
      <c r="M221" s="738"/>
      <c r="N221" s="738"/>
      <c r="O221" s="309"/>
      <c r="P221" s="306" t="s">
        <v>695</v>
      </c>
    </row>
    <row r="222" spans="1:16" ht="15.75" customHeight="1" x14ac:dyDescent="0.3">
      <c r="A222" s="735"/>
      <c r="B222" s="736"/>
      <c r="C222" s="736"/>
      <c r="D222" s="736"/>
      <c r="E222" s="313"/>
      <c r="F222" s="737"/>
      <c r="G222" s="737"/>
      <c r="H222" s="737"/>
      <c r="I222" s="737"/>
      <c r="J222" s="737"/>
      <c r="K222" s="738" t="s">
        <v>754</v>
      </c>
      <c r="L222" s="738"/>
      <c r="M222" s="738"/>
      <c r="N222" s="738"/>
      <c r="O222" s="309"/>
      <c r="P222" s="306" t="s">
        <v>695</v>
      </c>
    </row>
    <row r="223" spans="1:16" ht="15.75" customHeight="1" x14ac:dyDescent="0.3">
      <c r="A223" s="735"/>
      <c r="B223" s="736"/>
      <c r="C223" s="736"/>
      <c r="D223" s="736"/>
      <c r="E223" s="313"/>
      <c r="F223" s="737"/>
      <c r="G223" s="737"/>
      <c r="H223" s="737"/>
      <c r="I223" s="737"/>
      <c r="J223" s="737"/>
      <c r="K223" s="738" t="s">
        <v>754</v>
      </c>
      <c r="L223" s="738"/>
      <c r="M223" s="738"/>
      <c r="N223" s="738"/>
      <c r="O223" s="309"/>
      <c r="P223" s="306" t="s">
        <v>695</v>
      </c>
    </row>
    <row r="224" spans="1:16" ht="15.75" customHeight="1" x14ac:dyDescent="0.3">
      <c r="A224" s="735"/>
      <c r="B224" s="736"/>
      <c r="C224" s="736"/>
      <c r="D224" s="736"/>
      <c r="E224" s="313"/>
      <c r="F224" s="737"/>
      <c r="G224" s="737"/>
      <c r="H224" s="737"/>
      <c r="I224" s="737"/>
      <c r="J224" s="737"/>
      <c r="K224" s="738" t="s">
        <v>754</v>
      </c>
      <c r="L224" s="738"/>
      <c r="M224" s="738"/>
      <c r="N224" s="738"/>
      <c r="O224" s="309"/>
      <c r="P224" s="306" t="s">
        <v>695</v>
      </c>
    </row>
    <row r="225" spans="1:16" ht="15.75" customHeight="1" x14ac:dyDescent="0.3">
      <c r="A225" s="735"/>
      <c r="B225" s="736"/>
      <c r="C225" s="736"/>
      <c r="D225" s="736"/>
      <c r="E225" s="313"/>
      <c r="F225" s="737"/>
      <c r="G225" s="737"/>
      <c r="H225" s="737"/>
      <c r="I225" s="737"/>
      <c r="J225" s="737"/>
      <c r="K225" s="738" t="s">
        <v>754</v>
      </c>
      <c r="L225" s="738"/>
      <c r="M225" s="738"/>
      <c r="N225" s="738"/>
      <c r="O225" s="309"/>
      <c r="P225" s="306" t="s">
        <v>695</v>
      </c>
    </row>
    <row r="226" spans="1:16" ht="15.75" customHeight="1" x14ac:dyDescent="0.3">
      <c r="A226" s="735"/>
      <c r="B226" s="736"/>
      <c r="C226" s="736"/>
      <c r="D226" s="736"/>
      <c r="E226" s="313"/>
      <c r="F226" s="737"/>
      <c r="G226" s="737"/>
      <c r="H226" s="737"/>
      <c r="I226" s="737"/>
      <c r="J226" s="737"/>
      <c r="K226" s="738" t="s">
        <v>754</v>
      </c>
      <c r="L226" s="738"/>
      <c r="M226" s="738"/>
      <c r="N226" s="738"/>
      <c r="O226" s="309"/>
      <c r="P226" s="306" t="s">
        <v>695</v>
      </c>
    </row>
    <row r="227" spans="1:16" ht="15.75" customHeight="1" x14ac:dyDescent="0.3">
      <c r="A227" s="735"/>
      <c r="B227" s="736"/>
      <c r="C227" s="736"/>
      <c r="D227" s="736"/>
      <c r="E227" s="313"/>
      <c r="F227" s="737"/>
      <c r="G227" s="737"/>
      <c r="H227" s="737"/>
      <c r="I227" s="737"/>
      <c r="J227" s="737"/>
      <c r="K227" s="738" t="s">
        <v>754</v>
      </c>
      <c r="L227" s="738"/>
      <c r="M227" s="738"/>
      <c r="N227" s="738"/>
      <c r="O227" s="309"/>
      <c r="P227" s="306" t="s">
        <v>695</v>
      </c>
    </row>
    <row r="228" spans="1:16" ht="15.75" customHeight="1" x14ac:dyDescent="0.3">
      <c r="A228" s="735"/>
      <c r="B228" s="736"/>
      <c r="C228" s="736"/>
      <c r="D228" s="736"/>
      <c r="E228" s="313"/>
      <c r="F228" s="737"/>
      <c r="G228" s="737"/>
      <c r="H228" s="737"/>
      <c r="I228" s="737"/>
      <c r="J228" s="737"/>
      <c r="K228" s="738" t="s">
        <v>754</v>
      </c>
      <c r="L228" s="738"/>
      <c r="M228" s="738"/>
      <c r="N228" s="738"/>
      <c r="O228" s="309"/>
      <c r="P228" s="306" t="s">
        <v>695</v>
      </c>
    </row>
    <row r="229" spans="1:16" ht="15.75" customHeight="1" x14ac:dyDescent="0.3">
      <c r="A229" s="735"/>
      <c r="B229" s="736"/>
      <c r="C229" s="736"/>
      <c r="D229" s="736"/>
      <c r="E229" s="313"/>
      <c r="F229" s="737"/>
      <c r="G229" s="737"/>
      <c r="H229" s="737"/>
      <c r="I229" s="737"/>
      <c r="J229" s="737"/>
      <c r="K229" s="738" t="s">
        <v>754</v>
      </c>
      <c r="L229" s="738"/>
      <c r="M229" s="738"/>
      <c r="N229" s="738"/>
      <c r="O229" s="309"/>
      <c r="P229" s="306" t="s">
        <v>695</v>
      </c>
    </row>
    <row r="230" spans="1:16" ht="15.75" customHeight="1" x14ac:dyDescent="0.3">
      <c r="A230" s="735"/>
      <c r="B230" s="736"/>
      <c r="C230" s="736"/>
      <c r="D230" s="736"/>
      <c r="E230" s="313"/>
      <c r="F230" s="737"/>
      <c r="G230" s="737"/>
      <c r="H230" s="737"/>
      <c r="I230" s="737"/>
      <c r="J230" s="737"/>
      <c r="K230" s="738" t="s">
        <v>754</v>
      </c>
      <c r="L230" s="738"/>
      <c r="M230" s="738"/>
      <c r="N230" s="738"/>
      <c r="O230" s="309"/>
      <c r="P230" s="306" t="s">
        <v>695</v>
      </c>
    </row>
    <row r="231" spans="1:16" ht="15.75" customHeight="1" x14ac:dyDescent="0.3">
      <c r="A231" s="735"/>
      <c r="B231" s="736"/>
      <c r="C231" s="736"/>
      <c r="D231" s="736"/>
      <c r="E231" s="313"/>
      <c r="F231" s="737"/>
      <c r="G231" s="737"/>
      <c r="H231" s="737"/>
      <c r="I231" s="737"/>
      <c r="J231" s="737"/>
      <c r="K231" s="738" t="s">
        <v>754</v>
      </c>
      <c r="L231" s="738"/>
      <c r="M231" s="738"/>
      <c r="N231" s="738"/>
      <c r="O231" s="309"/>
      <c r="P231" s="306" t="s">
        <v>695</v>
      </c>
    </row>
    <row r="232" spans="1:16" ht="15.75" customHeight="1" x14ac:dyDescent="0.3">
      <c r="A232" s="735"/>
      <c r="B232" s="736"/>
      <c r="C232" s="736"/>
      <c r="D232" s="736"/>
      <c r="E232" s="313"/>
      <c r="F232" s="737"/>
      <c r="G232" s="737"/>
      <c r="H232" s="737"/>
      <c r="I232" s="737"/>
      <c r="J232" s="737"/>
      <c r="K232" s="738" t="s">
        <v>754</v>
      </c>
      <c r="L232" s="738"/>
      <c r="M232" s="738"/>
      <c r="N232" s="738"/>
      <c r="O232" s="309"/>
      <c r="P232" s="306" t="s">
        <v>695</v>
      </c>
    </row>
    <row r="233" spans="1:16" ht="15.75" customHeight="1" x14ac:dyDescent="0.3">
      <c r="A233" s="735"/>
      <c r="B233" s="736"/>
      <c r="C233" s="736"/>
      <c r="D233" s="736"/>
      <c r="E233" s="313"/>
      <c r="F233" s="737"/>
      <c r="G233" s="737"/>
      <c r="H233" s="737"/>
      <c r="I233" s="737"/>
      <c r="J233" s="737"/>
      <c r="K233" s="738" t="s">
        <v>754</v>
      </c>
      <c r="L233" s="738"/>
      <c r="M233" s="738"/>
      <c r="N233" s="738"/>
      <c r="O233" s="309"/>
      <c r="P233" s="306" t="s">
        <v>695</v>
      </c>
    </row>
    <row r="234" spans="1:16" ht="15.75" customHeight="1" x14ac:dyDescent="0.3">
      <c r="A234" s="735"/>
      <c r="B234" s="736"/>
      <c r="C234" s="736"/>
      <c r="D234" s="736"/>
      <c r="E234" s="313"/>
      <c r="F234" s="737"/>
      <c r="G234" s="737"/>
      <c r="H234" s="737"/>
      <c r="I234" s="737"/>
      <c r="J234" s="737"/>
      <c r="K234" s="738" t="s">
        <v>754</v>
      </c>
      <c r="L234" s="738"/>
      <c r="M234" s="738"/>
      <c r="N234" s="738"/>
      <c r="O234" s="309"/>
      <c r="P234" s="306" t="s">
        <v>695</v>
      </c>
    </row>
    <row r="235" spans="1:16" ht="15.75" customHeight="1" x14ac:dyDescent="0.3">
      <c r="A235" s="735"/>
      <c r="B235" s="736"/>
      <c r="C235" s="736"/>
      <c r="D235" s="736"/>
      <c r="E235" s="313"/>
      <c r="F235" s="737"/>
      <c r="G235" s="737"/>
      <c r="H235" s="737"/>
      <c r="I235" s="737"/>
      <c r="J235" s="737"/>
      <c r="K235" s="738" t="s">
        <v>754</v>
      </c>
      <c r="L235" s="738"/>
      <c r="M235" s="738"/>
      <c r="N235" s="738"/>
      <c r="O235" s="309"/>
      <c r="P235" s="306" t="s">
        <v>695</v>
      </c>
    </row>
    <row r="236" spans="1:16" ht="15.75" customHeight="1" x14ac:dyDescent="0.3">
      <c r="A236" s="735"/>
      <c r="B236" s="736"/>
      <c r="C236" s="736"/>
      <c r="D236" s="736"/>
      <c r="E236" s="313"/>
      <c r="F236" s="737"/>
      <c r="G236" s="737"/>
      <c r="H236" s="737"/>
      <c r="I236" s="737"/>
      <c r="J236" s="737"/>
      <c r="K236" s="738" t="s">
        <v>754</v>
      </c>
      <c r="L236" s="738"/>
      <c r="M236" s="738"/>
      <c r="N236" s="738"/>
      <c r="O236" s="309"/>
      <c r="P236" s="306" t="s">
        <v>695</v>
      </c>
    </row>
    <row r="237" spans="1:16" ht="15.75" customHeight="1" x14ac:dyDescent="0.3">
      <c r="A237" s="735"/>
      <c r="B237" s="736"/>
      <c r="C237" s="736"/>
      <c r="D237" s="736"/>
      <c r="E237" s="313"/>
      <c r="F237" s="737"/>
      <c r="G237" s="737"/>
      <c r="H237" s="737"/>
      <c r="I237" s="737"/>
      <c r="J237" s="737"/>
      <c r="K237" s="738" t="s">
        <v>754</v>
      </c>
      <c r="L237" s="738"/>
      <c r="M237" s="738"/>
      <c r="N237" s="738"/>
      <c r="O237" s="309"/>
      <c r="P237" s="306" t="s">
        <v>695</v>
      </c>
    </row>
    <row r="238" spans="1:16" ht="15.75" customHeight="1" x14ac:dyDescent="0.3">
      <c r="A238" s="735"/>
      <c r="B238" s="736"/>
      <c r="C238" s="736"/>
      <c r="D238" s="736"/>
      <c r="E238" s="313"/>
      <c r="F238" s="737"/>
      <c r="G238" s="737"/>
      <c r="H238" s="737"/>
      <c r="I238" s="737"/>
      <c r="J238" s="737"/>
      <c r="K238" s="738" t="s">
        <v>754</v>
      </c>
      <c r="L238" s="738"/>
      <c r="M238" s="738"/>
      <c r="N238" s="738"/>
      <c r="O238" s="309"/>
      <c r="P238" s="306" t="s">
        <v>695</v>
      </c>
    </row>
    <row r="239" spans="1:16" ht="15.75" customHeight="1" x14ac:dyDescent="0.3">
      <c r="A239" s="735"/>
      <c r="B239" s="736"/>
      <c r="C239" s="736"/>
      <c r="D239" s="736"/>
      <c r="E239" s="313"/>
      <c r="F239" s="737"/>
      <c r="G239" s="737"/>
      <c r="H239" s="737"/>
      <c r="I239" s="737"/>
      <c r="J239" s="737"/>
      <c r="K239" s="738" t="s">
        <v>754</v>
      </c>
      <c r="L239" s="738"/>
      <c r="M239" s="738"/>
      <c r="N239" s="738"/>
      <c r="O239" s="309"/>
      <c r="P239" s="306" t="s">
        <v>695</v>
      </c>
    </row>
    <row r="240" spans="1:16" ht="15.75" customHeight="1" x14ac:dyDescent="0.3">
      <c r="A240" s="735"/>
      <c r="B240" s="736"/>
      <c r="C240" s="736"/>
      <c r="D240" s="736"/>
      <c r="E240" s="313"/>
      <c r="F240" s="737"/>
      <c r="G240" s="737"/>
      <c r="H240" s="737"/>
      <c r="I240" s="737"/>
      <c r="J240" s="737"/>
      <c r="K240" s="738" t="s">
        <v>754</v>
      </c>
      <c r="L240" s="738"/>
      <c r="M240" s="738"/>
      <c r="N240" s="738"/>
      <c r="O240" s="309"/>
      <c r="P240" s="306" t="s">
        <v>695</v>
      </c>
    </row>
    <row r="241" spans="1:16" ht="15.75" customHeight="1" x14ac:dyDescent="0.3">
      <c r="A241" s="735"/>
      <c r="B241" s="736"/>
      <c r="C241" s="736"/>
      <c r="D241" s="736"/>
      <c r="E241" s="313"/>
      <c r="F241" s="737"/>
      <c r="G241" s="737"/>
      <c r="H241" s="737"/>
      <c r="I241" s="737"/>
      <c r="J241" s="737"/>
      <c r="K241" s="738" t="s">
        <v>754</v>
      </c>
      <c r="L241" s="738"/>
      <c r="M241" s="738"/>
      <c r="N241" s="738"/>
      <c r="O241" s="309"/>
      <c r="P241" s="306" t="s">
        <v>695</v>
      </c>
    </row>
    <row r="242" spans="1:16" ht="15.75" customHeight="1" x14ac:dyDescent="0.3">
      <c r="A242" s="735"/>
      <c r="B242" s="736"/>
      <c r="C242" s="736"/>
      <c r="D242" s="736"/>
      <c r="E242" s="313"/>
      <c r="F242" s="737"/>
      <c r="G242" s="737"/>
      <c r="H242" s="737"/>
      <c r="I242" s="737"/>
      <c r="J242" s="737"/>
      <c r="K242" s="738" t="s">
        <v>754</v>
      </c>
      <c r="L242" s="738"/>
      <c r="M242" s="738"/>
      <c r="N242" s="738"/>
      <c r="O242" s="309"/>
      <c r="P242" s="306" t="s">
        <v>695</v>
      </c>
    </row>
    <row r="243" spans="1:16" ht="15.75" customHeight="1" x14ac:dyDescent="0.3">
      <c r="A243" s="735"/>
      <c r="B243" s="736"/>
      <c r="C243" s="736"/>
      <c r="D243" s="736"/>
      <c r="E243" s="313"/>
      <c r="F243" s="737"/>
      <c r="G243" s="737"/>
      <c r="H243" s="737"/>
      <c r="I243" s="737"/>
      <c r="J243" s="737"/>
      <c r="K243" s="738" t="s">
        <v>754</v>
      </c>
      <c r="L243" s="738"/>
      <c r="M243" s="738"/>
      <c r="N243" s="738"/>
      <c r="O243" s="309"/>
      <c r="P243" s="306" t="s">
        <v>695</v>
      </c>
    </row>
    <row r="244" spans="1:16" ht="15.75" customHeight="1" x14ac:dyDescent="0.3">
      <c r="A244" s="735"/>
      <c r="B244" s="736"/>
      <c r="C244" s="736"/>
      <c r="D244" s="736"/>
      <c r="E244" s="313"/>
      <c r="F244" s="737"/>
      <c r="G244" s="737"/>
      <c r="H244" s="737"/>
      <c r="I244" s="737"/>
      <c r="J244" s="737"/>
      <c r="K244" s="738" t="s">
        <v>754</v>
      </c>
      <c r="L244" s="738"/>
      <c r="M244" s="738"/>
      <c r="N244" s="738"/>
      <c r="O244" s="309"/>
      <c r="P244" s="306" t="s">
        <v>695</v>
      </c>
    </row>
    <row r="245" spans="1:16" ht="15.75" customHeight="1" x14ac:dyDescent="0.3">
      <c r="A245" s="735"/>
      <c r="B245" s="736"/>
      <c r="C245" s="736"/>
      <c r="D245" s="736"/>
      <c r="E245" s="313"/>
      <c r="F245" s="737"/>
      <c r="G245" s="737"/>
      <c r="H245" s="737"/>
      <c r="I245" s="737"/>
      <c r="J245" s="737"/>
      <c r="K245" s="738" t="s">
        <v>754</v>
      </c>
      <c r="L245" s="738"/>
      <c r="M245" s="738"/>
      <c r="N245" s="738"/>
      <c r="O245" s="309"/>
      <c r="P245" s="306" t="s">
        <v>695</v>
      </c>
    </row>
    <row r="246" spans="1:16" ht="15.75" customHeight="1" x14ac:dyDescent="0.3">
      <c r="A246" s="735"/>
      <c r="B246" s="736"/>
      <c r="C246" s="736"/>
      <c r="D246" s="736"/>
      <c r="E246" s="313"/>
      <c r="F246" s="737"/>
      <c r="G246" s="737"/>
      <c r="H246" s="737"/>
      <c r="I246" s="737"/>
      <c r="J246" s="737"/>
      <c r="K246" s="738" t="s">
        <v>754</v>
      </c>
      <c r="L246" s="738"/>
      <c r="M246" s="738"/>
      <c r="N246" s="738"/>
      <c r="O246" s="309"/>
      <c r="P246" s="306" t="s">
        <v>695</v>
      </c>
    </row>
    <row r="247" spans="1:16" ht="15.75" customHeight="1" x14ac:dyDescent="0.3">
      <c r="A247" s="735"/>
      <c r="B247" s="736"/>
      <c r="C247" s="736"/>
      <c r="D247" s="736"/>
      <c r="E247" s="313"/>
      <c r="F247" s="737"/>
      <c r="G247" s="737"/>
      <c r="H247" s="737"/>
      <c r="I247" s="737"/>
      <c r="J247" s="737"/>
      <c r="K247" s="738" t="s">
        <v>754</v>
      </c>
      <c r="L247" s="738"/>
      <c r="M247" s="738"/>
      <c r="N247" s="738"/>
      <c r="O247" s="309"/>
      <c r="P247" s="306" t="s">
        <v>695</v>
      </c>
    </row>
    <row r="248" spans="1:16" ht="15.75" customHeight="1" x14ac:dyDescent="0.3">
      <c r="A248" s="735"/>
      <c r="B248" s="736"/>
      <c r="C248" s="736"/>
      <c r="D248" s="736"/>
      <c r="E248" s="313"/>
      <c r="F248" s="737"/>
      <c r="G248" s="737"/>
      <c r="H248" s="737"/>
      <c r="I248" s="737"/>
      <c r="J248" s="737"/>
      <c r="K248" s="738" t="s">
        <v>754</v>
      </c>
      <c r="L248" s="738"/>
      <c r="M248" s="738"/>
      <c r="N248" s="738"/>
      <c r="O248" s="309"/>
      <c r="P248" s="306" t="s">
        <v>695</v>
      </c>
    </row>
    <row r="249" spans="1:16" ht="15.75" customHeight="1" x14ac:dyDescent="0.3">
      <c r="A249" s="735"/>
      <c r="B249" s="736"/>
      <c r="C249" s="736"/>
      <c r="D249" s="736"/>
      <c r="E249" s="313"/>
      <c r="F249" s="737"/>
      <c r="G249" s="737"/>
      <c r="H249" s="737"/>
      <c r="I249" s="737"/>
      <c r="J249" s="737"/>
      <c r="K249" s="738" t="s">
        <v>754</v>
      </c>
      <c r="L249" s="738"/>
      <c r="M249" s="738"/>
      <c r="N249" s="738"/>
      <c r="O249" s="309"/>
      <c r="P249" s="306" t="s">
        <v>695</v>
      </c>
    </row>
    <row r="250" spans="1:16" ht="15.75" customHeight="1" x14ac:dyDescent="0.3">
      <c r="A250" s="735"/>
      <c r="B250" s="736"/>
      <c r="C250" s="736"/>
      <c r="D250" s="736"/>
      <c r="E250" s="313"/>
      <c r="F250" s="737"/>
      <c r="G250" s="737"/>
      <c r="H250" s="737"/>
      <c r="I250" s="737"/>
      <c r="J250" s="737"/>
      <c r="K250" s="738" t="s">
        <v>754</v>
      </c>
      <c r="L250" s="738"/>
      <c r="M250" s="738"/>
      <c r="N250" s="738"/>
      <c r="O250" s="309"/>
      <c r="P250" s="306" t="s">
        <v>695</v>
      </c>
    </row>
    <row r="251" spans="1:16" ht="15.75" customHeight="1" x14ac:dyDescent="0.3">
      <c r="A251" s="735"/>
      <c r="B251" s="736"/>
      <c r="C251" s="736"/>
      <c r="D251" s="736"/>
      <c r="E251" s="313"/>
      <c r="F251" s="737"/>
      <c r="G251" s="737"/>
      <c r="H251" s="737"/>
      <c r="I251" s="737"/>
      <c r="J251" s="737"/>
      <c r="K251" s="738" t="s">
        <v>754</v>
      </c>
      <c r="L251" s="738"/>
      <c r="M251" s="738"/>
      <c r="N251" s="738"/>
      <c r="O251" s="309"/>
      <c r="P251" s="306" t="s">
        <v>695</v>
      </c>
    </row>
    <row r="252" spans="1:16" ht="15.75" customHeight="1" x14ac:dyDescent="0.3">
      <c r="A252" s="735"/>
      <c r="B252" s="736"/>
      <c r="C252" s="736"/>
      <c r="D252" s="736"/>
      <c r="E252" s="313"/>
      <c r="F252" s="737"/>
      <c r="G252" s="737"/>
      <c r="H252" s="737"/>
      <c r="I252" s="737"/>
      <c r="J252" s="737"/>
      <c r="K252" s="738" t="s">
        <v>754</v>
      </c>
      <c r="L252" s="738"/>
      <c r="M252" s="738"/>
      <c r="N252" s="738"/>
      <c r="O252" s="309"/>
      <c r="P252" s="306" t="s">
        <v>695</v>
      </c>
    </row>
  </sheetData>
  <mergeCells count="752">
    <mergeCell ref="A1:P2"/>
    <mergeCell ref="A3:D3"/>
    <mergeCell ref="F3:J3"/>
    <mergeCell ref="K3:N3"/>
    <mergeCell ref="O3:P3"/>
    <mergeCell ref="A4:D4"/>
    <mergeCell ref="F4:J4"/>
    <mergeCell ref="K4:N4"/>
    <mergeCell ref="A5:D5"/>
    <mergeCell ref="F5:J5"/>
    <mergeCell ref="K5:N5"/>
    <mergeCell ref="A6:D6"/>
    <mergeCell ref="F6:J6"/>
    <mergeCell ref="K6:N6"/>
    <mergeCell ref="A7:D7"/>
    <mergeCell ref="F7:J7"/>
    <mergeCell ref="K7:N7"/>
    <mergeCell ref="A8:D8"/>
    <mergeCell ref="F8:J8"/>
    <mergeCell ref="K8:N8"/>
    <mergeCell ref="A9:D9"/>
    <mergeCell ref="F9:J9"/>
    <mergeCell ref="K9:N9"/>
    <mergeCell ref="A10:D10"/>
    <mergeCell ref="F10:J10"/>
    <mergeCell ref="K10:N10"/>
    <mergeCell ref="A11:D11"/>
    <mergeCell ref="F11:J11"/>
    <mergeCell ref="K11:N11"/>
    <mergeCell ref="A12:D12"/>
    <mergeCell ref="F12:J12"/>
    <mergeCell ref="K12:N12"/>
    <mergeCell ref="A13:D13"/>
    <mergeCell ref="F13:J13"/>
    <mergeCell ref="K13:N13"/>
    <mergeCell ref="A14:D14"/>
    <mergeCell ref="F14:J14"/>
    <mergeCell ref="K14:N14"/>
    <mergeCell ref="A15:D15"/>
    <mergeCell ref="F15:J15"/>
    <mergeCell ref="K15:N15"/>
    <mergeCell ref="A16:D16"/>
    <mergeCell ref="F16:J16"/>
    <mergeCell ref="K16:N16"/>
    <mergeCell ref="A17:D17"/>
    <mergeCell ref="F17:J17"/>
    <mergeCell ref="K17:N17"/>
    <mergeCell ref="A18:D18"/>
    <mergeCell ref="F18:J18"/>
    <mergeCell ref="K18:N18"/>
    <mergeCell ref="A19:D19"/>
    <mergeCell ref="F19:J19"/>
    <mergeCell ref="K19:N19"/>
    <mergeCell ref="A20:D20"/>
    <mergeCell ref="F20:J20"/>
    <mergeCell ref="K20:N20"/>
    <mergeCell ref="A21:D21"/>
    <mergeCell ref="F21:J21"/>
    <mergeCell ref="K21:N21"/>
    <mergeCell ref="A22:D22"/>
    <mergeCell ref="F22:J22"/>
    <mergeCell ref="K22:N22"/>
    <mergeCell ref="A23:D23"/>
    <mergeCell ref="F23:J23"/>
    <mergeCell ref="K23:N23"/>
    <mergeCell ref="A24:D24"/>
    <mergeCell ref="F24:J24"/>
    <mergeCell ref="K24:N24"/>
    <mergeCell ref="A25:D25"/>
    <mergeCell ref="F25:J25"/>
    <mergeCell ref="K25:N25"/>
    <mergeCell ref="A26:D26"/>
    <mergeCell ref="F26:J26"/>
    <mergeCell ref="K26:N26"/>
    <mergeCell ref="A27:D27"/>
    <mergeCell ref="F27:J27"/>
    <mergeCell ref="K27:N27"/>
    <mergeCell ref="A28:D28"/>
    <mergeCell ref="F28:J28"/>
    <mergeCell ref="K28:N28"/>
    <mergeCell ref="A29:D29"/>
    <mergeCell ref="F29:J29"/>
    <mergeCell ref="K29:N29"/>
    <mergeCell ref="A30:D30"/>
    <mergeCell ref="F30:J30"/>
    <mergeCell ref="K30:N30"/>
    <mergeCell ref="A31:D31"/>
    <mergeCell ref="F31:J31"/>
    <mergeCell ref="K31:N31"/>
    <mergeCell ref="A32:D32"/>
    <mergeCell ref="F32:J32"/>
    <mergeCell ref="K32:N32"/>
    <mergeCell ref="A33:D33"/>
    <mergeCell ref="F33:J33"/>
    <mergeCell ref="K33:N33"/>
    <mergeCell ref="A34:D34"/>
    <mergeCell ref="F34:J34"/>
    <mergeCell ref="K34:N34"/>
    <mergeCell ref="A35:D35"/>
    <mergeCell ref="F35:J35"/>
    <mergeCell ref="K35:N35"/>
    <mergeCell ref="A36:D36"/>
    <mergeCell ref="F36:J36"/>
    <mergeCell ref="K36:N36"/>
    <mergeCell ref="A37:D37"/>
    <mergeCell ref="F37:J37"/>
    <mergeCell ref="K37:N37"/>
    <mergeCell ref="A38:D38"/>
    <mergeCell ref="F38:J38"/>
    <mergeCell ref="K38:N38"/>
    <mergeCell ref="A39:D39"/>
    <mergeCell ref="F39:J39"/>
    <mergeCell ref="K39:N39"/>
    <mergeCell ref="A40:D40"/>
    <mergeCell ref="F40:J40"/>
    <mergeCell ref="K40:N40"/>
    <mergeCell ref="A41:D41"/>
    <mergeCell ref="F41:J41"/>
    <mergeCell ref="K41:N41"/>
    <mergeCell ref="A42:D42"/>
    <mergeCell ref="F42:J42"/>
    <mergeCell ref="K42:N42"/>
    <mergeCell ref="A43:D43"/>
    <mergeCell ref="F43:J43"/>
    <mergeCell ref="K43:N43"/>
    <mergeCell ref="A44:D44"/>
    <mergeCell ref="F44:J44"/>
    <mergeCell ref="K44:N44"/>
    <mergeCell ref="A45:D45"/>
    <mergeCell ref="F45:J45"/>
    <mergeCell ref="K45:N45"/>
    <mergeCell ref="A46:D46"/>
    <mergeCell ref="F46:J46"/>
    <mergeCell ref="K46:N46"/>
    <mergeCell ref="A47:D47"/>
    <mergeCell ref="F47:J47"/>
    <mergeCell ref="K47:N47"/>
    <mergeCell ref="A48:D48"/>
    <mergeCell ref="F48:J48"/>
    <mergeCell ref="K48:N48"/>
    <mergeCell ref="A49:D49"/>
    <mergeCell ref="F49:J49"/>
    <mergeCell ref="K49:N49"/>
    <mergeCell ref="A50:D50"/>
    <mergeCell ref="F50:J50"/>
    <mergeCell ref="K50:N50"/>
    <mergeCell ref="A51:D51"/>
    <mergeCell ref="F51:J51"/>
    <mergeCell ref="K51:N51"/>
    <mergeCell ref="A52:D52"/>
    <mergeCell ref="F52:J52"/>
    <mergeCell ref="K52:N52"/>
    <mergeCell ref="A53:D53"/>
    <mergeCell ref="F53:J53"/>
    <mergeCell ref="K53:N53"/>
    <mergeCell ref="A54:D54"/>
    <mergeCell ref="F54:J54"/>
    <mergeCell ref="K54:N54"/>
    <mergeCell ref="A55:D55"/>
    <mergeCell ref="F55:J55"/>
    <mergeCell ref="K55:N55"/>
    <mergeCell ref="A56:D56"/>
    <mergeCell ref="F56:J56"/>
    <mergeCell ref="K56:N56"/>
    <mergeCell ref="A57:D57"/>
    <mergeCell ref="F57:J57"/>
    <mergeCell ref="K57:N57"/>
    <mergeCell ref="A58:D58"/>
    <mergeCell ref="F58:J58"/>
    <mergeCell ref="K58:N58"/>
    <mergeCell ref="A59:D59"/>
    <mergeCell ref="F59:J59"/>
    <mergeCell ref="K59:N59"/>
    <mergeCell ref="A60:D60"/>
    <mergeCell ref="F60:J60"/>
    <mergeCell ref="K60:N60"/>
    <mergeCell ref="A61:D61"/>
    <mergeCell ref="F61:J61"/>
    <mergeCell ref="K61:N61"/>
    <mergeCell ref="A62:D62"/>
    <mergeCell ref="F62:J62"/>
    <mergeCell ref="K62:N62"/>
    <mergeCell ref="A63:D63"/>
    <mergeCell ref="F63:J63"/>
    <mergeCell ref="K63:N63"/>
    <mergeCell ref="A64:D64"/>
    <mergeCell ref="F64:J64"/>
    <mergeCell ref="K64:N64"/>
    <mergeCell ref="A65:D65"/>
    <mergeCell ref="F65:J65"/>
    <mergeCell ref="K65:N65"/>
    <mergeCell ref="A66:D66"/>
    <mergeCell ref="F66:J66"/>
    <mergeCell ref="K66:N66"/>
    <mergeCell ref="A67:D67"/>
    <mergeCell ref="F67:J67"/>
    <mergeCell ref="K67:N67"/>
    <mergeCell ref="A68:D68"/>
    <mergeCell ref="F68:J68"/>
    <mergeCell ref="K68:N68"/>
    <mergeCell ref="A69:D69"/>
    <mergeCell ref="F69:J69"/>
    <mergeCell ref="K69:N69"/>
    <mergeCell ref="A70:D70"/>
    <mergeCell ref="F70:J70"/>
    <mergeCell ref="K70:N70"/>
    <mergeCell ref="A71:D71"/>
    <mergeCell ref="F71:J71"/>
    <mergeCell ref="K71:N71"/>
    <mergeCell ref="A72:D72"/>
    <mergeCell ref="F72:J72"/>
    <mergeCell ref="K72:N72"/>
    <mergeCell ref="A73:D73"/>
    <mergeCell ref="F73:J73"/>
    <mergeCell ref="K73:N73"/>
    <mergeCell ref="A74:D74"/>
    <mergeCell ref="F74:J74"/>
    <mergeCell ref="K74:N74"/>
    <mergeCell ref="A75:D75"/>
    <mergeCell ref="F75:J75"/>
    <mergeCell ref="K75:N75"/>
    <mergeCell ref="A76:D76"/>
    <mergeCell ref="F76:J76"/>
    <mergeCell ref="K76:N76"/>
    <mergeCell ref="A77:D77"/>
    <mergeCell ref="F77:J77"/>
    <mergeCell ref="K77:N77"/>
    <mergeCell ref="A78:D78"/>
    <mergeCell ref="F78:J78"/>
    <mergeCell ref="K78:N78"/>
    <mergeCell ref="A79:D79"/>
    <mergeCell ref="F79:J79"/>
    <mergeCell ref="K79:N79"/>
    <mergeCell ref="A80:D80"/>
    <mergeCell ref="F80:J80"/>
    <mergeCell ref="K80:N80"/>
    <mergeCell ref="A81:D81"/>
    <mergeCell ref="F81:J81"/>
    <mergeCell ref="K81:N81"/>
    <mergeCell ref="A82:D82"/>
    <mergeCell ref="F82:J82"/>
    <mergeCell ref="K82:N82"/>
    <mergeCell ref="A83:D83"/>
    <mergeCell ref="F83:J83"/>
    <mergeCell ref="K83:N83"/>
    <mergeCell ref="A84:D84"/>
    <mergeCell ref="F84:J84"/>
    <mergeCell ref="K84:N84"/>
    <mergeCell ref="A85:D85"/>
    <mergeCell ref="F85:J85"/>
    <mergeCell ref="K85:N85"/>
    <mergeCell ref="A86:D86"/>
    <mergeCell ref="F86:J86"/>
    <mergeCell ref="K86:N86"/>
    <mergeCell ref="A87:D87"/>
    <mergeCell ref="F87:J87"/>
    <mergeCell ref="K87:N87"/>
    <mergeCell ref="A88:D88"/>
    <mergeCell ref="F88:J88"/>
    <mergeCell ref="K88:N88"/>
    <mergeCell ref="A89:D89"/>
    <mergeCell ref="F89:J89"/>
    <mergeCell ref="K89:N89"/>
    <mergeCell ref="A90:D90"/>
    <mergeCell ref="F90:J90"/>
    <mergeCell ref="K90:N90"/>
    <mergeCell ref="A91:D91"/>
    <mergeCell ref="F91:J91"/>
    <mergeCell ref="K91:N91"/>
    <mergeCell ref="A92:D92"/>
    <mergeCell ref="F92:J92"/>
    <mergeCell ref="K92:N92"/>
    <mergeCell ref="A93:D93"/>
    <mergeCell ref="F93:J93"/>
    <mergeCell ref="K93:N93"/>
    <mergeCell ref="A94:D94"/>
    <mergeCell ref="F94:J94"/>
    <mergeCell ref="K94:N94"/>
    <mergeCell ref="A95:D95"/>
    <mergeCell ref="F95:J95"/>
    <mergeCell ref="K95:N95"/>
    <mergeCell ref="A96:D96"/>
    <mergeCell ref="F96:J96"/>
    <mergeCell ref="K96:N96"/>
    <mergeCell ref="A97:D97"/>
    <mergeCell ref="F97:J97"/>
    <mergeCell ref="K97:N97"/>
    <mergeCell ref="A98:D98"/>
    <mergeCell ref="F98:J98"/>
    <mergeCell ref="K98:N98"/>
    <mergeCell ref="A99:D99"/>
    <mergeCell ref="F99:J99"/>
    <mergeCell ref="K99:N99"/>
    <mergeCell ref="A100:D100"/>
    <mergeCell ref="F100:J100"/>
    <mergeCell ref="K100:N100"/>
    <mergeCell ref="A101:D101"/>
    <mergeCell ref="F101:J101"/>
    <mergeCell ref="K101:N101"/>
    <mergeCell ref="A102:D102"/>
    <mergeCell ref="F102:J102"/>
    <mergeCell ref="K102:N102"/>
    <mergeCell ref="A103:D103"/>
    <mergeCell ref="F103:J103"/>
    <mergeCell ref="K103:N103"/>
    <mergeCell ref="A104:D104"/>
    <mergeCell ref="F104:J104"/>
    <mergeCell ref="K104:N104"/>
    <mergeCell ref="A105:D105"/>
    <mergeCell ref="F105:J105"/>
    <mergeCell ref="K105:N105"/>
    <mergeCell ref="A106:D106"/>
    <mergeCell ref="F106:J106"/>
    <mergeCell ref="K106:N106"/>
    <mergeCell ref="A107:D107"/>
    <mergeCell ref="F107:J107"/>
    <mergeCell ref="K107:N107"/>
    <mergeCell ref="A108:D108"/>
    <mergeCell ref="F108:J108"/>
    <mergeCell ref="K108:N108"/>
    <mergeCell ref="A109:D109"/>
    <mergeCell ref="F109:J109"/>
    <mergeCell ref="K109:N109"/>
    <mergeCell ref="A110:D110"/>
    <mergeCell ref="F110:J110"/>
    <mergeCell ref="K110:N110"/>
    <mergeCell ref="A111:D111"/>
    <mergeCell ref="F111:J111"/>
    <mergeCell ref="K111:N111"/>
    <mergeCell ref="A112:D112"/>
    <mergeCell ref="F112:J112"/>
    <mergeCell ref="K112:N112"/>
    <mergeCell ref="A113:D113"/>
    <mergeCell ref="F113:J113"/>
    <mergeCell ref="K113:N113"/>
    <mergeCell ref="A114:D114"/>
    <mergeCell ref="F114:J114"/>
    <mergeCell ref="K114:N114"/>
    <mergeCell ref="A115:D115"/>
    <mergeCell ref="F115:J115"/>
    <mergeCell ref="K115:N115"/>
    <mergeCell ref="A116:D116"/>
    <mergeCell ref="F116:J116"/>
    <mergeCell ref="K116:N116"/>
    <mergeCell ref="A117:D117"/>
    <mergeCell ref="F117:J117"/>
    <mergeCell ref="K117:N117"/>
    <mergeCell ref="A118:D118"/>
    <mergeCell ref="F118:J118"/>
    <mergeCell ref="K118:N118"/>
    <mergeCell ref="A119:D119"/>
    <mergeCell ref="F119:J119"/>
    <mergeCell ref="K119:N119"/>
    <mergeCell ref="A120:D120"/>
    <mergeCell ref="F120:J120"/>
    <mergeCell ref="K120:N120"/>
    <mergeCell ref="A121:D121"/>
    <mergeCell ref="F121:J121"/>
    <mergeCell ref="K121:N121"/>
    <mergeCell ref="A122:D122"/>
    <mergeCell ref="F122:J122"/>
    <mergeCell ref="K122:N122"/>
    <mergeCell ref="A123:D123"/>
    <mergeCell ref="F123:J123"/>
    <mergeCell ref="K123:N123"/>
    <mergeCell ref="A124:D124"/>
    <mergeCell ref="F124:J124"/>
    <mergeCell ref="K124:N124"/>
    <mergeCell ref="A125:D125"/>
    <mergeCell ref="F125:J125"/>
    <mergeCell ref="K125:N125"/>
    <mergeCell ref="A126:D126"/>
    <mergeCell ref="F126:J126"/>
    <mergeCell ref="K126:N126"/>
    <mergeCell ref="A127:D127"/>
    <mergeCell ref="F127:J127"/>
    <mergeCell ref="K127:N127"/>
    <mergeCell ref="A128:D128"/>
    <mergeCell ref="F128:J128"/>
    <mergeCell ref="K128:N128"/>
    <mergeCell ref="A129:D129"/>
    <mergeCell ref="F129:J129"/>
    <mergeCell ref="K129:N129"/>
    <mergeCell ref="A130:D130"/>
    <mergeCell ref="F130:J130"/>
    <mergeCell ref="K130:N130"/>
    <mergeCell ref="A131:D131"/>
    <mergeCell ref="F131:J131"/>
    <mergeCell ref="K131:N131"/>
    <mergeCell ref="A132:D132"/>
    <mergeCell ref="F132:J132"/>
    <mergeCell ref="K132:N132"/>
    <mergeCell ref="A133:D133"/>
    <mergeCell ref="F133:J133"/>
    <mergeCell ref="K133:N133"/>
    <mergeCell ref="A134:D134"/>
    <mergeCell ref="F134:J134"/>
    <mergeCell ref="K134:N134"/>
    <mergeCell ref="A135:D135"/>
    <mergeCell ref="F135:J135"/>
    <mergeCell ref="K135:N135"/>
    <mergeCell ref="A136:D136"/>
    <mergeCell ref="F136:J136"/>
    <mergeCell ref="K136:N136"/>
    <mergeCell ref="A137:D137"/>
    <mergeCell ref="F137:J137"/>
    <mergeCell ref="K137:N137"/>
    <mergeCell ref="A138:D138"/>
    <mergeCell ref="F138:J138"/>
    <mergeCell ref="K138:N138"/>
    <mergeCell ref="A139:D139"/>
    <mergeCell ref="F139:J139"/>
    <mergeCell ref="K139:N139"/>
    <mergeCell ref="A140:D140"/>
    <mergeCell ref="F140:J140"/>
    <mergeCell ref="K140:N140"/>
    <mergeCell ref="A141:D141"/>
    <mergeCell ref="F141:J141"/>
    <mergeCell ref="K141:N141"/>
    <mergeCell ref="A142:D142"/>
    <mergeCell ref="F142:J142"/>
    <mergeCell ref="K142:N142"/>
    <mergeCell ref="A143:D143"/>
    <mergeCell ref="F143:J143"/>
    <mergeCell ref="K143:N143"/>
    <mergeCell ref="A144:D144"/>
    <mergeCell ref="F144:J144"/>
    <mergeCell ref="K144:N144"/>
    <mergeCell ref="A145:D145"/>
    <mergeCell ref="F145:J145"/>
    <mergeCell ref="K145:N145"/>
    <mergeCell ref="A146:D146"/>
    <mergeCell ref="F146:J146"/>
    <mergeCell ref="K146:N146"/>
    <mergeCell ref="A147:D147"/>
    <mergeCell ref="F147:J147"/>
    <mergeCell ref="K147:N147"/>
    <mergeCell ref="A148:D148"/>
    <mergeCell ref="F148:J148"/>
    <mergeCell ref="K148:N148"/>
    <mergeCell ref="A149:D149"/>
    <mergeCell ref="F149:J149"/>
    <mergeCell ref="K149:N149"/>
    <mergeCell ref="A150:D150"/>
    <mergeCell ref="F150:J150"/>
    <mergeCell ref="K150:N150"/>
    <mergeCell ref="A151:D151"/>
    <mergeCell ref="F151:J151"/>
    <mergeCell ref="K151:N151"/>
    <mergeCell ref="A152:D152"/>
    <mergeCell ref="F152:J152"/>
    <mergeCell ref="K152:N152"/>
    <mergeCell ref="A153:D153"/>
    <mergeCell ref="F153:J153"/>
    <mergeCell ref="K153:N153"/>
    <mergeCell ref="A154:D154"/>
    <mergeCell ref="F154:J154"/>
    <mergeCell ref="K154:N154"/>
    <mergeCell ref="A155:D155"/>
    <mergeCell ref="F155:J155"/>
    <mergeCell ref="K155:N155"/>
    <mergeCell ref="A156:D156"/>
    <mergeCell ref="F156:J156"/>
    <mergeCell ref="K156:N156"/>
    <mergeCell ref="A157:D157"/>
    <mergeCell ref="F157:J157"/>
    <mergeCell ref="K157:N157"/>
    <mergeCell ref="A158:D158"/>
    <mergeCell ref="F158:J158"/>
    <mergeCell ref="K158:N158"/>
    <mergeCell ref="A159:D159"/>
    <mergeCell ref="F159:J159"/>
    <mergeCell ref="K159:N159"/>
    <mergeCell ref="A160:D160"/>
    <mergeCell ref="F160:J160"/>
    <mergeCell ref="K160:N160"/>
    <mergeCell ref="A161:D161"/>
    <mergeCell ref="F161:J161"/>
    <mergeCell ref="K161:N161"/>
    <mergeCell ref="A162:D162"/>
    <mergeCell ref="F162:J162"/>
    <mergeCell ref="K162:N162"/>
    <mergeCell ref="A163:D163"/>
    <mergeCell ref="F163:J163"/>
    <mergeCell ref="K163:N163"/>
    <mergeCell ref="A164:D164"/>
    <mergeCell ref="F164:J164"/>
    <mergeCell ref="K164:N164"/>
    <mergeCell ref="A165:D165"/>
    <mergeCell ref="F165:J165"/>
    <mergeCell ref="K165:N165"/>
    <mergeCell ref="A166:D166"/>
    <mergeCell ref="F166:J166"/>
    <mergeCell ref="K166:N166"/>
    <mergeCell ref="A167:D167"/>
    <mergeCell ref="F167:J167"/>
    <mergeCell ref="K167:N167"/>
    <mergeCell ref="A168:D168"/>
    <mergeCell ref="F168:J168"/>
    <mergeCell ref="K168:N168"/>
    <mergeCell ref="A169:D169"/>
    <mergeCell ref="F169:J169"/>
    <mergeCell ref="K169:N169"/>
    <mergeCell ref="A170:D170"/>
    <mergeCell ref="F170:J170"/>
    <mergeCell ref="K170:N170"/>
    <mergeCell ref="A171:D171"/>
    <mergeCell ref="F171:J171"/>
    <mergeCell ref="K171:N171"/>
    <mergeCell ref="A172:D172"/>
    <mergeCell ref="F172:J172"/>
    <mergeCell ref="K172:N172"/>
    <mergeCell ref="A173:D173"/>
    <mergeCell ref="F173:J173"/>
    <mergeCell ref="K173:N173"/>
    <mergeCell ref="A174:D174"/>
    <mergeCell ref="F174:J174"/>
    <mergeCell ref="K174:N174"/>
    <mergeCell ref="A175:D175"/>
    <mergeCell ref="F175:J175"/>
    <mergeCell ref="K175:N175"/>
    <mergeCell ref="A176:D176"/>
    <mergeCell ref="F176:J176"/>
    <mergeCell ref="K176:N176"/>
    <mergeCell ref="A177:D177"/>
    <mergeCell ref="F177:J177"/>
    <mergeCell ref="K177:N177"/>
    <mergeCell ref="A178:D178"/>
    <mergeCell ref="F178:J178"/>
    <mergeCell ref="K178:N178"/>
    <mergeCell ref="A179:D179"/>
    <mergeCell ref="F179:J179"/>
    <mergeCell ref="K179:N179"/>
    <mergeCell ref="A180:D180"/>
    <mergeCell ref="F180:J180"/>
    <mergeCell ref="K180:N180"/>
    <mergeCell ref="A181:D181"/>
    <mergeCell ref="F181:J181"/>
    <mergeCell ref="K181:N181"/>
    <mergeCell ref="A182:D182"/>
    <mergeCell ref="F182:J182"/>
    <mergeCell ref="K182:N182"/>
    <mergeCell ref="A183:D183"/>
    <mergeCell ref="F183:J183"/>
    <mergeCell ref="K183:N183"/>
    <mergeCell ref="A184:D184"/>
    <mergeCell ref="F184:J184"/>
    <mergeCell ref="K184:N184"/>
    <mergeCell ref="A185:D185"/>
    <mergeCell ref="F185:J185"/>
    <mergeCell ref="K185:N185"/>
    <mergeCell ref="A186:D186"/>
    <mergeCell ref="F186:J186"/>
    <mergeCell ref="K186:N186"/>
    <mergeCell ref="A187:D187"/>
    <mergeCell ref="F187:J187"/>
    <mergeCell ref="K187:N187"/>
    <mergeCell ref="A188:D188"/>
    <mergeCell ref="F188:J188"/>
    <mergeCell ref="K188:N188"/>
    <mergeCell ref="A189:D189"/>
    <mergeCell ref="F189:J189"/>
    <mergeCell ref="K189:N189"/>
    <mergeCell ref="A190:D190"/>
    <mergeCell ref="F190:J190"/>
    <mergeCell ref="K190:N190"/>
    <mergeCell ref="A191:D191"/>
    <mergeCell ref="F191:J191"/>
    <mergeCell ref="K191:N191"/>
    <mergeCell ref="A192:D192"/>
    <mergeCell ref="F192:J192"/>
    <mergeCell ref="K192:N192"/>
    <mergeCell ref="A193:D193"/>
    <mergeCell ref="F193:J193"/>
    <mergeCell ref="K193:N193"/>
    <mergeCell ref="A194:D194"/>
    <mergeCell ref="F194:J194"/>
    <mergeCell ref="K194:N194"/>
    <mergeCell ref="A195:D195"/>
    <mergeCell ref="F195:J195"/>
    <mergeCell ref="K195:N195"/>
    <mergeCell ref="A196:D196"/>
    <mergeCell ref="F196:J196"/>
    <mergeCell ref="K196:N196"/>
    <mergeCell ref="A197:D197"/>
    <mergeCell ref="F197:J197"/>
    <mergeCell ref="K197:N197"/>
    <mergeCell ref="A198:D198"/>
    <mergeCell ref="F198:J198"/>
    <mergeCell ref="K198:N198"/>
    <mergeCell ref="A199:D199"/>
    <mergeCell ref="F199:J199"/>
    <mergeCell ref="K199:N199"/>
    <mergeCell ref="A200:D200"/>
    <mergeCell ref="F200:J200"/>
    <mergeCell ref="K200:N200"/>
    <mergeCell ref="A201:D201"/>
    <mergeCell ref="F201:J201"/>
    <mergeCell ref="K201:N201"/>
    <mergeCell ref="A202:D202"/>
    <mergeCell ref="F202:J202"/>
    <mergeCell ref="K202:N202"/>
    <mergeCell ref="A203:D203"/>
    <mergeCell ref="F203:J203"/>
    <mergeCell ref="K203:N203"/>
    <mergeCell ref="A204:D204"/>
    <mergeCell ref="F204:J204"/>
    <mergeCell ref="K204:N204"/>
    <mergeCell ref="A205:D205"/>
    <mergeCell ref="F205:J205"/>
    <mergeCell ref="K205:N205"/>
    <mergeCell ref="A206:D206"/>
    <mergeCell ref="F206:J206"/>
    <mergeCell ref="K206:N206"/>
    <mergeCell ref="A207:D207"/>
    <mergeCell ref="F207:J207"/>
    <mergeCell ref="K207:N207"/>
    <mergeCell ref="A208:D208"/>
    <mergeCell ref="F208:J208"/>
    <mergeCell ref="K208:N208"/>
    <mergeCell ref="A209:D209"/>
    <mergeCell ref="F209:J209"/>
    <mergeCell ref="K209:N209"/>
    <mergeCell ref="A210:D210"/>
    <mergeCell ref="F210:J210"/>
    <mergeCell ref="K210:N210"/>
    <mergeCell ref="A211:D211"/>
    <mergeCell ref="F211:J211"/>
    <mergeCell ref="K211:N211"/>
    <mergeCell ref="A212:D212"/>
    <mergeCell ref="F212:J212"/>
    <mergeCell ref="K212:N212"/>
    <mergeCell ref="A213:D213"/>
    <mergeCell ref="F213:J213"/>
    <mergeCell ref="K213:N213"/>
    <mergeCell ref="A214:D214"/>
    <mergeCell ref="F214:J214"/>
    <mergeCell ref="K214:N214"/>
    <mergeCell ref="A215:D215"/>
    <mergeCell ref="F215:J215"/>
    <mergeCell ref="K215:N215"/>
    <mergeCell ref="A216:D216"/>
    <mergeCell ref="F216:J216"/>
    <mergeCell ref="K216:N216"/>
    <mergeCell ref="A217:D217"/>
    <mergeCell ref="F217:J217"/>
    <mergeCell ref="K217:N217"/>
    <mergeCell ref="A218:D218"/>
    <mergeCell ref="F218:J218"/>
    <mergeCell ref="K218:N218"/>
    <mergeCell ref="A219:D219"/>
    <mergeCell ref="F219:J219"/>
    <mergeCell ref="K219:N219"/>
    <mergeCell ref="A220:D220"/>
    <mergeCell ref="F220:J220"/>
    <mergeCell ref="K220:N220"/>
    <mergeCell ref="A221:D221"/>
    <mergeCell ref="F221:J221"/>
    <mergeCell ref="K221:N221"/>
    <mergeCell ref="A222:D222"/>
    <mergeCell ref="F222:J222"/>
    <mergeCell ref="K222:N222"/>
    <mergeCell ref="A223:D223"/>
    <mergeCell ref="F223:J223"/>
    <mergeCell ref="K223:N223"/>
    <mergeCell ref="A224:D224"/>
    <mergeCell ref="F224:J224"/>
    <mergeCell ref="K224:N224"/>
    <mergeCell ref="A225:D225"/>
    <mergeCell ref="F225:J225"/>
    <mergeCell ref="K225:N225"/>
    <mergeCell ref="A226:D226"/>
    <mergeCell ref="F226:J226"/>
    <mergeCell ref="K226:N226"/>
    <mergeCell ref="A227:D227"/>
    <mergeCell ref="F227:J227"/>
    <mergeCell ref="K227:N227"/>
    <mergeCell ref="A228:D228"/>
    <mergeCell ref="F228:J228"/>
    <mergeCell ref="K228:N228"/>
    <mergeCell ref="A229:D229"/>
    <mergeCell ref="F229:J229"/>
    <mergeCell ref="K229:N229"/>
    <mergeCell ref="A230:D230"/>
    <mergeCell ref="F230:J230"/>
    <mergeCell ref="K230:N230"/>
    <mergeCell ref="A231:D231"/>
    <mergeCell ref="F231:J231"/>
    <mergeCell ref="K231:N231"/>
    <mergeCell ref="A232:D232"/>
    <mergeCell ref="F232:J232"/>
    <mergeCell ref="K232:N232"/>
    <mergeCell ref="A233:D233"/>
    <mergeCell ref="F233:J233"/>
    <mergeCell ref="K233:N233"/>
    <mergeCell ref="A234:D234"/>
    <mergeCell ref="F234:J234"/>
    <mergeCell ref="K234:N234"/>
    <mergeCell ref="A235:D235"/>
    <mergeCell ref="F235:J235"/>
    <mergeCell ref="K235:N235"/>
    <mergeCell ref="A236:D236"/>
    <mergeCell ref="F236:J236"/>
    <mergeCell ref="K236:N236"/>
    <mergeCell ref="A237:D237"/>
    <mergeCell ref="F237:J237"/>
    <mergeCell ref="K237:N237"/>
    <mergeCell ref="A238:D238"/>
    <mergeCell ref="F238:J238"/>
    <mergeCell ref="K238:N238"/>
    <mergeCell ref="A239:D239"/>
    <mergeCell ref="F239:J239"/>
    <mergeCell ref="K239:N239"/>
    <mergeCell ref="A240:D240"/>
    <mergeCell ref="F240:J240"/>
    <mergeCell ref="K240:N240"/>
    <mergeCell ref="A241:D241"/>
    <mergeCell ref="F241:J241"/>
    <mergeCell ref="K241:N241"/>
    <mergeCell ref="A242:D242"/>
    <mergeCell ref="F242:J242"/>
    <mergeCell ref="K242:N242"/>
    <mergeCell ref="A243:D243"/>
    <mergeCell ref="F243:J243"/>
    <mergeCell ref="K243:N243"/>
    <mergeCell ref="A244:D244"/>
    <mergeCell ref="F244:J244"/>
    <mergeCell ref="K244:N244"/>
    <mergeCell ref="A245:D245"/>
    <mergeCell ref="F245:J245"/>
    <mergeCell ref="K245:N245"/>
    <mergeCell ref="A246:D246"/>
    <mergeCell ref="F246:J246"/>
    <mergeCell ref="K246:N246"/>
    <mergeCell ref="A247:D247"/>
    <mergeCell ref="F247:J247"/>
    <mergeCell ref="K247:N247"/>
    <mergeCell ref="A248:D248"/>
    <mergeCell ref="F248:J248"/>
    <mergeCell ref="K248:N248"/>
    <mergeCell ref="A252:D252"/>
    <mergeCell ref="F252:J252"/>
    <mergeCell ref="K252:N252"/>
    <mergeCell ref="A249:D249"/>
    <mergeCell ref="F249:J249"/>
    <mergeCell ref="K249:N249"/>
    <mergeCell ref="A250:D250"/>
    <mergeCell ref="F250:J250"/>
    <mergeCell ref="K250:N250"/>
    <mergeCell ref="A251:D251"/>
    <mergeCell ref="F251:J251"/>
    <mergeCell ref="K251:N251"/>
  </mergeCells>
  <conditionalFormatting sqref="O1:O2 O4:O1048576">
    <cfRule type="cellIs" dxfId="17" priority="2" operator="notEqual">
      <formula>$O2&lt;&gt;""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4"/>
  <sheetViews>
    <sheetView showGridLines="0" zoomScaleNormal="100" workbookViewId="0">
      <selection activeCell="B9" sqref="B9"/>
    </sheetView>
  </sheetViews>
  <sheetFormatPr defaultColWidth="8.6640625" defaultRowHeight="14.4" x14ac:dyDescent="0.3"/>
  <cols>
    <col min="1" max="1" width="25" customWidth="1"/>
    <col min="2" max="2" width="70" customWidth="1"/>
  </cols>
  <sheetData>
    <row r="1" spans="1:2" ht="19.5" customHeight="1" x14ac:dyDescent="0.4">
      <c r="A1" s="314" t="s">
        <v>906</v>
      </c>
    </row>
    <row r="3" spans="1:2" ht="14.25" customHeight="1" x14ac:dyDescent="0.3">
      <c r="A3" s="315" t="s">
        <v>907</v>
      </c>
      <c r="B3" s="316">
        <v>11000</v>
      </c>
    </row>
    <row r="4" spans="1:2" ht="26.25" customHeight="1" x14ac:dyDescent="0.3">
      <c r="A4" s="315" t="s">
        <v>908</v>
      </c>
      <c r="B4" s="317" t="s">
        <v>909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256"/>
  <sheetViews>
    <sheetView showGridLines="0" topLeftCell="A227" zoomScaleNormal="100" workbookViewId="0">
      <selection activeCell="K223" sqref="K223"/>
    </sheetView>
  </sheetViews>
  <sheetFormatPr defaultColWidth="8.6640625" defaultRowHeight="14.4" x14ac:dyDescent="0.3"/>
  <cols>
    <col min="1" max="1" width="13" style="437" customWidth="1"/>
    <col min="2" max="2" width="13.88671875" customWidth="1"/>
    <col min="3" max="3" width="24.109375" customWidth="1"/>
    <col min="4" max="4" width="11.109375" customWidth="1"/>
    <col min="5" max="5" width="12" customWidth="1"/>
    <col min="6" max="6" width="11.109375" customWidth="1"/>
    <col min="7" max="7" width="10.33203125" customWidth="1"/>
    <col min="8" max="8" width="30.5546875" customWidth="1"/>
    <col min="9" max="9" width="13.88671875" customWidth="1"/>
  </cols>
  <sheetData>
    <row r="1" spans="1:9" ht="22.2" customHeight="1" thickBot="1" x14ac:dyDescent="0.35">
      <c r="A1" s="466" t="s">
        <v>247</v>
      </c>
      <c r="B1" s="467" t="s">
        <v>910</v>
      </c>
      <c r="C1" s="467" t="s">
        <v>50</v>
      </c>
      <c r="D1" s="467" t="s">
        <v>911</v>
      </c>
      <c r="E1" s="467" t="s">
        <v>912</v>
      </c>
      <c r="F1" s="467" t="s">
        <v>913</v>
      </c>
      <c r="G1" s="467" t="s">
        <v>914</v>
      </c>
      <c r="H1" s="467" t="s">
        <v>915</v>
      </c>
      <c r="I1" s="468" t="s">
        <v>1177</v>
      </c>
    </row>
    <row r="2" spans="1:9" ht="15" customHeight="1" x14ac:dyDescent="0.3">
      <c r="A2" s="470">
        <v>46027</v>
      </c>
      <c r="B2" s="462" t="s">
        <v>916</v>
      </c>
      <c r="C2" s="462" t="s">
        <v>213</v>
      </c>
      <c r="D2" s="463">
        <f>'SEMANA JANEIRO'!$H$5</f>
        <v>667</v>
      </c>
      <c r="E2" s="463">
        <f>'SEMANA JANEIRO'!$I$5</f>
        <v>8004</v>
      </c>
      <c r="F2" s="463">
        <f>'SEMANA JANEIRO'!$D$5</f>
        <v>665</v>
      </c>
      <c r="G2" s="464">
        <f>'SEMANA JANEIRO'!$G$5</f>
        <v>7</v>
      </c>
      <c r="H2" s="462" t="s">
        <v>917</v>
      </c>
      <c r="I2" s="465">
        <v>600</v>
      </c>
    </row>
    <row r="3" spans="1:9" ht="15" customHeight="1" x14ac:dyDescent="0.3">
      <c r="A3" s="471">
        <v>46027</v>
      </c>
      <c r="B3" s="454" t="s">
        <v>916</v>
      </c>
      <c r="C3" s="454" t="s">
        <v>215</v>
      </c>
      <c r="D3" s="455">
        <f>'SEMANA JANEIRO'!$H$6</f>
        <v>29</v>
      </c>
      <c r="E3" s="455">
        <f>'SEMANA JANEIRO'!$I$6</f>
        <v>348</v>
      </c>
      <c r="F3" s="455">
        <f>'SEMANA JANEIRO'!$D$6</f>
        <v>665</v>
      </c>
      <c r="G3" s="456">
        <f>'SEMANA JANEIRO'!$G$6</f>
        <v>7</v>
      </c>
      <c r="H3" s="454" t="s">
        <v>918</v>
      </c>
      <c r="I3" s="457">
        <v>600</v>
      </c>
    </row>
    <row r="4" spans="1:9" ht="15" customHeight="1" x14ac:dyDescent="0.3">
      <c r="A4" s="472">
        <v>46028</v>
      </c>
      <c r="B4" s="458" t="s">
        <v>916</v>
      </c>
      <c r="C4" s="458" t="s">
        <v>215</v>
      </c>
      <c r="D4" s="459">
        <f>'SEMANA JANEIRO'!$H$13</f>
        <v>156</v>
      </c>
      <c r="E4" s="459">
        <f>'SEMANA JANEIRO'!$I$13</f>
        <v>1872</v>
      </c>
      <c r="F4" s="459">
        <f>'SEMANA JANEIRO'!$D$13</f>
        <v>636</v>
      </c>
      <c r="G4" s="460">
        <f>'SEMANA JANEIRO'!$G$13</f>
        <v>7</v>
      </c>
      <c r="H4" s="458" t="s">
        <v>919</v>
      </c>
      <c r="I4" s="461">
        <v>600</v>
      </c>
    </row>
    <row r="5" spans="1:9" ht="15" customHeight="1" x14ac:dyDescent="0.3">
      <c r="A5" s="471">
        <v>46029</v>
      </c>
      <c r="B5" s="454" t="s">
        <v>916</v>
      </c>
      <c r="C5" s="454" t="s">
        <v>60</v>
      </c>
      <c r="D5" s="455">
        <f>'SEMANA JANEIRO'!$H$20</f>
        <v>494</v>
      </c>
      <c r="E5" s="455">
        <f>'SEMANA JANEIRO'!$I$20</f>
        <v>5928</v>
      </c>
      <c r="F5" s="455">
        <f>'SEMANA JANEIRO'!$D$20</f>
        <v>480</v>
      </c>
      <c r="G5" s="456">
        <f>'SEMANA JANEIRO'!$G$20</f>
        <v>6</v>
      </c>
      <c r="H5" s="454" t="s">
        <v>920</v>
      </c>
      <c r="I5" s="457">
        <v>600</v>
      </c>
    </row>
    <row r="6" spans="1:9" ht="15" customHeight="1" x14ac:dyDescent="0.3">
      <c r="A6" s="472">
        <v>46029</v>
      </c>
      <c r="B6" s="458" t="s">
        <v>916</v>
      </c>
      <c r="C6" s="458" t="s">
        <v>54</v>
      </c>
      <c r="D6" s="459">
        <f>'SEMANA JANEIRO'!$H$21</f>
        <v>509</v>
      </c>
      <c r="E6" s="459">
        <f>'SEMANA JANEIRO'!$I$21</f>
        <v>6108</v>
      </c>
      <c r="F6" s="459">
        <f>'SEMANA JANEIRO'!$D$21</f>
        <v>1348</v>
      </c>
      <c r="G6" s="460">
        <f>'SEMANA JANEIRO'!$G$21</f>
        <v>15</v>
      </c>
      <c r="H6" s="458" t="s">
        <v>921</v>
      </c>
      <c r="I6" s="461">
        <v>600</v>
      </c>
    </row>
    <row r="7" spans="1:9" ht="15" customHeight="1" x14ac:dyDescent="0.3">
      <c r="A7" s="471">
        <v>46030</v>
      </c>
      <c r="B7" s="454" t="s">
        <v>916</v>
      </c>
      <c r="C7" s="454" t="s">
        <v>54</v>
      </c>
      <c r="D7" s="455">
        <f>'SEMANA JANEIRO'!$H$28</f>
        <v>821</v>
      </c>
      <c r="E7" s="455">
        <f>'SEMANA JANEIRO'!$I$28</f>
        <v>9852</v>
      </c>
      <c r="F7" s="455">
        <f>'SEMANA JANEIRO'!$D$28</f>
        <v>839</v>
      </c>
      <c r="G7" s="456">
        <f>'SEMANA JANEIRO'!$G$28</f>
        <v>9</v>
      </c>
      <c r="H7" s="454" t="s">
        <v>922</v>
      </c>
      <c r="I7" s="457">
        <v>600</v>
      </c>
    </row>
    <row r="8" spans="1:9" ht="15" customHeight="1" x14ac:dyDescent="0.3">
      <c r="A8" s="472">
        <v>46031</v>
      </c>
      <c r="B8" s="458" t="s">
        <v>916</v>
      </c>
      <c r="C8" s="458" t="s">
        <v>54</v>
      </c>
      <c r="D8" s="459">
        <f>'SEMANA JANEIRO'!$H$36</f>
        <v>13</v>
      </c>
      <c r="E8" s="459">
        <f>'SEMANA JANEIRO'!$I$36</f>
        <v>156</v>
      </c>
      <c r="F8" s="459">
        <f>'SEMANA JANEIRO'!$D$36</f>
        <v>18</v>
      </c>
      <c r="G8" s="460">
        <f>'SEMANA JANEIRO'!$G$36</f>
        <v>1</v>
      </c>
      <c r="H8" s="458" t="s">
        <v>923</v>
      </c>
      <c r="I8" s="461">
        <v>600</v>
      </c>
    </row>
    <row r="9" spans="1:9" ht="15" customHeight="1" x14ac:dyDescent="0.3">
      <c r="A9" s="471">
        <v>46031</v>
      </c>
      <c r="B9" s="454" t="s">
        <v>916</v>
      </c>
      <c r="C9" s="454" t="s">
        <v>56</v>
      </c>
      <c r="D9" s="455">
        <f>'SEMANA JANEIRO'!$H$37</f>
        <v>1057</v>
      </c>
      <c r="E9" s="455">
        <f>'SEMANA JANEIRO'!$I$37</f>
        <v>6342</v>
      </c>
      <c r="F9" s="455">
        <f>'SEMANA JANEIRO'!$D$37</f>
        <v>2660</v>
      </c>
      <c r="G9" s="456">
        <f>'SEMANA JANEIRO'!$G$37</f>
        <v>14</v>
      </c>
      <c r="H9" s="454" t="s">
        <v>924</v>
      </c>
      <c r="I9" s="457">
        <v>600</v>
      </c>
    </row>
    <row r="10" spans="1:9" ht="15" customHeight="1" x14ac:dyDescent="0.3">
      <c r="A10" s="472">
        <v>46034</v>
      </c>
      <c r="B10" s="458" t="s">
        <v>916</v>
      </c>
      <c r="C10" s="458" t="s">
        <v>56</v>
      </c>
      <c r="D10" s="459">
        <f>'SEMANA JANEIRO'!$H$45</f>
        <v>1072</v>
      </c>
      <c r="E10" s="459">
        <f>'SEMANA JANEIRO'!$I$45</f>
        <v>6432</v>
      </c>
      <c r="F10" s="459">
        <f>'SEMANA JANEIRO'!$D$45</f>
        <v>1603</v>
      </c>
      <c r="G10" s="460">
        <f>'SEMANA JANEIRO'!$G$45</f>
        <v>9</v>
      </c>
      <c r="H10" s="458" t="s">
        <v>925</v>
      </c>
      <c r="I10" s="461">
        <v>600</v>
      </c>
    </row>
    <row r="11" spans="1:9" ht="15" customHeight="1" x14ac:dyDescent="0.3">
      <c r="A11" s="471">
        <v>46035</v>
      </c>
      <c r="B11" s="454" t="s">
        <v>916</v>
      </c>
      <c r="C11" s="454" t="s">
        <v>56</v>
      </c>
      <c r="D11" s="455">
        <f>'SEMANA JANEIRO'!$H$53</f>
        <v>562</v>
      </c>
      <c r="E11" s="455">
        <f>'SEMANA JANEIRO'!$I$53</f>
        <v>3372</v>
      </c>
      <c r="F11" s="455">
        <f>'SEMANA JANEIRO'!$D$53</f>
        <v>531</v>
      </c>
      <c r="G11" s="456">
        <f>'SEMANA JANEIRO'!$G$53</f>
        <v>3</v>
      </c>
      <c r="H11" s="454" t="s">
        <v>926</v>
      </c>
      <c r="I11" s="457">
        <v>600</v>
      </c>
    </row>
    <row r="12" spans="1:9" ht="15" customHeight="1" x14ac:dyDescent="0.3">
      <c r="A12" s="472">
        <v>46035</v>
      </c>
      <c r="B12" s="458" t="s">
        <v>916</v>
      </c>
      <c r="C12" s="458" t="s">
        <v>56</v>
      </c>
      <c r="D12" s="459">
        <f>'SEMANA JANEIRO'!$H$55</f>
        <v>240</v>
      </c>
      <c r="E12" s="459">
        <f>'SEMANA JANEIRO'!$I$55</f>
        <v>2880</v>
      </c>
      <c r="F12" s="459">
        <f>'SEMANA JANEIRO'!$D$55</f>
        <v>1140</v>
      </c>
      <c r="G12" s="460" t="str">
        <f>'SEMANA JANEIRO'!$G$55</f>
        <v/>
      </c>
      <c r="H12" s="458" t="s">
        <v>927</v>
      </c>
      <c r="I12" s="461" t="s">
        <v>221</v>
      </c>
    </row>
    <row r="13" spans="1:9" ht="15" customHeight="1" x14ac:dyDescent="0.3">
      <c r="A13" s="471">
        <v>46036</v>
      </c>
      <c r="B13" s="454" t="s">
        <v>916</v>
      </c>
      <c r="C13" s="454" t="s">
        <v>56</v>
      </c>
      <c r="D13" s="455">
        <f>'SEMANA JANEIRO'!$H$61</f>
        <v>900</v>
      </c>
      <c r="E13" s="455">
        <f>'SEMANA JANEIRO'!$I$61</f>
        <v>10800</v>
      </c>
      <c r="F13" s="455">
        <f>'SEMANA JANEIRO'!$D$61</f>
        <v>900</v>
      </c>
      <c r="G13" s="456" t="str">
        <f>'SEMANA JANEIRO'!$G$61</f>
        <v/>
      </c>
      <c r="H13" s="454" t="s">
        <v>928</v>
      </c>
      <c r="I13" s="457" t="s">
        <v>221</v>
      </c>
    </row>
    <row r="14" spans="1:9" ht="15" customHeight="1" x14ac:dyDescent="0.3">
      <c r="A14" s="472">
        <v>46037</v>
      </c>
      <c r="B14" s="458" t="s">
        <v>916</v>
      </c>
      <c r="C14" s="458" t="s">
        <v>160</v>
      </c>
      <c r="D14" s="459">
        <f>'SEMANA JANEIRO'!$H$69</f>
        <v>190</v>
      </c>
      <c r="E14" s="459">
        <f>'SEMANA JANEIRO'!$I$69</f>
        <v>2280</v>
      </c>
      <c r="F14" s="459">
        <f>'SEMANA JANEIRO'!$D$69</f>
        <v>190</v>
      </c>
      <c r="G14" s="460">
        <f>'SEMANA JANEIRO'!$G$69</f>
        <v>2</v>
      </c>
      <c r="H14" s="458" t="s">
        <v>929</v>
      </c>
      <c r="I14" s="461">
        <v>600</v>
      </c>
    </row>
    <row r="15" spans="1:9" ht="15" customHeight="1" x14ac:dyDescent="0.3">
      <c r="A15" s="471">
        <v>46037</v>
      </c>
      <c r="B15" s="454" t="s">
        <v>916</v>
      </c>
      <c r="C15" s="454" t="s">
        <v>66</v>
      </c>
      <c r="D15" s="455">
        <f>'SEMANA JANEIRO'!$H$70</f>
        <v>216</v>
      </c>
      <c r="E15" s="455">
        <f>'SEMANA JANEIRO'!$I$70</f>
        <v>2592</v>
      </c>
      <c r="F15" s="455">
        <f>'SEMANA JANEIRO'!$D$70</f>
        <v>768</v>
      </c>
      <c r="G15" s="456">
        <f>'SEMANA JANEIRO'!$G$70</f>
        <v>9</v>
      </c>
      <c r="H15" s="454" t="s">
        <v>930</v>
      </c>
      <c r="I15" s="457">
        <v>600</v>
      </c>
    </row>
    <row r="16" spans="1:9" ht="15" customHeight="1" x14ac:dyDescent="0.3">
      <c r="A16" s="472">
        <v>46038</v>
      </c>
      <c r="B16" s="458" t="s">
        <v>916</v>
      </c>
      <c r="C16" s="458" t="s">
        <v>66</v>
      </c>
      <c r="D16" s="459">
        <f>'SEMANA JANEIRO'!$H$78</f>
        <v>552</v>
      </c>
      <c r="E16" s="459">
        <f>'SEMANA JANEIRO'!$I$78</f>
        <v>6624</v>
      </c>
      <c r="F16" s="459">
        <f>'SEMANA JANEIRO'!$D$78</f>
        <v>552</v>
      </c>
      <c r="G16" s="460">
        <f>'SEMANA JANEIRO'!$G$78</f>
        <v>6</v>
      </c>
      <c r="H16" s="458" t="s">
        <v>931</v>
      </c>
      <c r="I16" s="461">
        <v>600</v>
      </c>
    </row>
    <row r="17" spans="1:9" ht="15" customHeight="1" x14ac:dyDescent="0.3">
      <c r="A17" s="471">
        <v>46038</v>
      </c>
      <c r="B17" s="454" t="s">
        <v>916</v>
      </c>
      <c r="C17" s="454" t="s">
        <v>56</v>
      </c>
      <c r="D17" s="455">
        <f>'SEMANA JANEIRO'!$H$79</f>
        <v>559</v>
      </c>
      <c r="E17" s="455">
        <f>'SEMANA JANEIRO'!$I$79</f>
        <v>3354</v>
      </c>
      <c r="F17" s="455">
        <f>'SEMANA JANEIRO'!$D$79</f>
        <v>950</v>
      </c>
      <c r="G17" s="456">
        <f>'SEMANA JANEIRO'!$G$79</f>
        <v>5</v>
      </c>
      <c r="H17" s="454" t="s">
        <v>932</v>
      </c>
      <c r="I17" s="457">
        <v>600</v>
      </c>
    </row>
    <row r="18" spans="1:9" ht="15" customHeight="1" x14ac:dyDescent="0.3">
      <c r="A18" s="472">
        <v>46041</v>
      </c>
      <c r="B18" s="458" t="s">
        <v>916</v>
      </c>
      <c r="C18" s="458" t="s">
        <v>56</v>
      </c>
      <c r="D18" s="459">
        <f>'SEMANA JANEIRO'!$H$86</f>
        <v>400</v>
      </c>
      <c r="E18" s="459">
        <f>'SEMANA JANEIRO'!$I$86</f>
        <v>2400</v>
      </c>
      <c r="F18" s="459">
        <f>'SEMANA JANEIRO'!$D$86</f>
        <v>391</v>
      </c>
      <c r="G18" s="460">
        <f>'SEMANA JANEIRO'!$G$86</f>
        <v>3</v>
      </c>
      <c r="H18" s="458" t="s">
        <v>933</v>
      </c>
      <c r="I18" s="461">
        <v>600</v>
      </c>
    </row>
    <row r="19" spans="1:9" ht="15" customHeight="1" x14ac:dyDescent="0.3">
      <c r="A19" s="471">
        <v>46041</v>
      </c>
      <c r="B19" s="454" t="s">
        <v>916</v>
      </c>
      <c r="C19" s="454" t="s">
        <v>222</v>
      </c>
      <c r="D19" s="455">
        <f>'SEMANA JANEIRO'!$H$87</f>
        <v>308</v>
      </c>
      <c r="E19" s="455">
        <f>'SEMANA JANEIRO'!$I$87</f>
        <v>3696</v>
      </c>
      <c r="F19" s="455">
        <f>'SEMANA JANEIRO'!$D$87</f>
        <v>308</v>
      </c>
      <c r="G19" s="456">
        <f>'SEMANA JANEIRO'!$G$87</f>
        <v>4</v>
      </c>
      <c r="H19" s="454" t="s">
        <v>934</v>
      </c>
      <c r="I19" s="457">
        <v>600</v>
      </c>
    </row>
    <row r="20" spans="1:9" ht="15" customHeight="1" x14ac:dyDescent="0.3">
      <c r="A20" s="472">
        <v>46041</v>
      </c>
      <c r="B20" s="458" t="s">
        <v>916</v>
      </c>
      <c r="C20" s="458" t="s">
        <v>101</v>
      </c>
      <c r="D20" s="459">
        <f>'SEMANA JANEIRO'!$H$88</f>
        <v>379</v>
      </c>
      <c r="E20" s="459">
        <f>'SEMANA JANEIRO'!$I$88</f>
        <v>4548</v>
      </c>
      <c r="F20" s="459">
        <f>'SEMANA JANEIRO'!$D$88</f>
        <v>461</v>
      </c>
      <c r="G20" s="460">
        <f>'SEMANA JANEIRO'!$G$88</f>
        <v>5</v>
      </c>
      <c r="H20" s="458" t="s">
        <v>935</v>
      </c>
      <c r="I20" s="461">
        <v>600</v>
      </c>
    </row>
    <row r="21" spans="1:9" ht="15" customHeight="1" x14ac:dyDescent="0.3">
      <c r="A21" s="471">
        <v>46042</v>
      </c>
      <c r="B21" s="454" t="s">
        <v>916</v>
      </c>
      <c r="C21" s="454" t="s">
        <v>101</v>
      </c>
      <c r="D21" s="455">
        <f>'SEMANA JANEIRO'!$H$96</f>
        <v>82</v>
      </c>
      <c r="E21" s="455">
        <f>'SEMANA JANEIRO'!$I$96</f>
        <v>984</v>
      </c>
      <c r="F21" s="455">
        <f>'SEMANA JANEIRO'!$D$96</f>
        <v>82</v>
      </c>
      <c r="G21" s="456">
        <f>'SEMANA JANEIRO'!$G$96</f>
        <v>1</v>
      </c>
      <c r="H21" s="454" t="s">
        <v>936</v>
      </c>
      <c r="I21" s="457">
        <v>600</v>
      </c>
    </row>
    <row r="22" spans="1:9" ht="15" customHeight="1" x14ac:dyDescent="0.3">
      <c r="A22" s="472">
        <v>46042</v>
      </c>
      <c r="B22" s="458" t="s">
        <v>916</v>
      </c>
      <c r="C22" s="458" t="s">
        <v>164</v>
      </c>
      <c r="D22" s="459">
        <f>'SEMANA JANEIRO'!$H$97</f>
        <v>250</v>
      </c>
      <c r="E22" s="459">
        <f>'SEMANA JANEIRO'!$I$97</f>
        <v>3000</v>
      </c>
      <c r="F22" s="459">
        <f>'SEMANA JANEIRO'!$D$97</f>
        <v>250</v>
      </c>
      <c r="G22" s="460">
        <f>'SEMANA JANEIRO'!$G$97</f>
        <v>2</v>
      </c>
      <c r="H22" s="458" t="s">
        <v>937</v>
      </c>
      <c r="I22" s="461">
        <v>400</v>
      </c>
    </row>
    <row r="23" spans="1:9" ht="15" customHeight="1" x14ac:dyDescent="0.3">
      <c r="A23" s="471">
        <v>46042</v>
      </c>
      <c r="B23" s="454" t="s">
        <v>916</v>
      </c>
      <c r="C23" s="454" t="s">
        <v>223</v>
      </c>
      <c r="D23" s="455">
        <f>'SEMANA JANEIRO'!$H$98</f>
        <v>201</v>
      </c>
      <c r="E23" s="455">
        <f>'SEMANA JANEIRO'!$I$98</f>
        <v>2412</v>
      </c>
      <c r="F23" s="455">
        <f>'SEMANA JANEIRO'!$D$98</f>
        <v>200</v>
      </c>
      <c r="G23" s="456">
        <f>'SEMANA JANEIRO'!$G$98</f>
        <v>2</v>
      </c>
      <c r="H23" s="454" t="s">
        <v>938</v>
      </c>
      <c r="I23" s="457">
        <v>400</v>
      </c>
    </row>
    <row r="24" spans="1:9" ht="15" customHeight="1" x14ac:dyDescent="0.3">
      <c r="A24" s="472">
        <v>46043</v>
      </c>
      <c r="B24" s="458" t="s">
        <v>916</v>
      </c>
      <c r="C24" s="458" t="s">
        <v>224</v>
      </c>
      <c r="D24" s="459">
        <f>'SEMANA JANEIRO'!$H$106</f>
        <v>660</v>
      </c>
      <c r="E24" s="459">
        <f>'SEMANA JANEIRO'!$I$106</f>
        <v>3960</v>
      </c>
      <c r="F24" s="459">
        <f>'SEMANA JANEIRO'!$D$106</f>
        <v>660</v>
      </c>
      <c r="G24" s="460">
        <f>'SEMANA JANEIRO'!$G$106</f>
        <v>2</v>
      </c>
      <c r="H24" s="458" t="s">
        <v>939</v>
      </c>
      <c r="I24" s="461">
        <v>200</v>
      </c>
    </row>
    <row r="25" spans="1:9" ht="15" customHeight="1" x14ac:dyDescent="0.3">
      <c r="A25" s="471">
        <v>46043</v>
      </c>
      <c r="B25" s="454" t="s">
        <v>916</v>
      </c>
      <c r="C25" s="454" t="s">
        <v>225</v>
      </c>
      <c r="D25" s="455">
        <f>'SEMANA JANEIRO'!$H$107</f>
        <v>1020</v>
      </c>
      <c r="E25" s="455">
        <f>'SEMANA JANEIRO'!$I$107</f>
        <v>6120</v>
      </c>
      <c r="F25" s="455">
        <f>'SEMANA JANEIRO'!$D$107</f>
        <v>1320</v>
      </c>
      <c r="G25" s="456">
        <f>'SEMANA JANEIRO'!$G$107</f>
        <v>4</v>
      </c>
      <c r="H25" s="454" t="s">
        <v>940</v>
      </c>
      <c r="I25" s="457">
        <v>200</v>
      </c>
    </row>
    <row r="26" spans="1:9" ht="15" customHeight="1" x14ac:dyDescent="0.3">
      <c r="A26" s="472">
        <v>46044</v>
      </c>
      <c r="B26" s="458" t="s">
        <v>916</v>
      </c>
      <c r="C26" s="458" t="s">
        <v>225</v>
      </c>
      <c r="D26" s="459">
        <f>'SEMANA JANEIRO'!$H$114</f>
        <v>382</v>
      </c>
      <c r="E26" s="459">
        <f>'SEMANA JANEIRO'!$I$114</f>
        <v>2292</v>
      </c>
      <c r="F26" s="459">
        <f>'SEMANA JANEIRO'!$D$114</f>
        <v>300</v>
      </c>
      <c r="G26" s="460">
        <f>'SEMANA JANEIRO'!$G$114</f>
        <v>1</v>
      </c>
      <c r="H26" s="458" t="s">
        <v>941</v>
      </c>
      <c r="I26" s="461">
        <v>200</v>
      </c>
    </row>
    <row r="27" spans="1:9" ht="15" customHeight="1" x14ac:dyDescent="0.3">
      <c r="A27" s="471">
        <v>46044</v>
      </c>
      <c r="B27" s="454" t="s">
        <v>916</v>
      </c>
      <c r="C27" s="454" t="s">
        <v>226</v>
      </c>
      <c r="D27" s="455">
        <f>'SEMANA JANEIRO'!$H$115</f>
        <v>853</v>
      </c>
      <c r="E27" s="455">
        <f>'SEMANA JANEIRO'!$I$115</f>
        <v>5118</v>
      </c>
      <c r="F27" s="455">
        <f>'SEMANA JANEIRO'!$D$115</f>
        <v>990</v>
      </c>
      <c r="G27" s="456">
        <f>'SEMANA JANEIRO'!$G$115</f>
        <v>3</v>
      </c>
      <c r="H27" s="454" t="s">
        <v>942</v>
      </c>
      <c r="I27" s="457">
        <v>200</v>
      </c>
    </row>
    <row r="28" spans="1:9" ht="15" customHeight="1" x14ac:dyDescent="0.3">
      <c r="A28" s="472">
        <v>46044</v>
      </c>
      <c r="B28" s="458" t="s">
        <v>916</v>
      </c>
      <c r="C28" s="458" t="s">
        <v>227</v>
      </c>
      <c r="D28" s="459">
        <f>'SEMANA JANEIRO'!$H$116</f>
        <v>813</v>
      </c>
      <c r="E28" s="459">
        <f>'SEMANA JANEIRO'!$I$116</f>
        <v>4878</v>
      </c>
      <c r="F28" s="459">
        <f>'SEMANA JANEIRO'!$D$116</f>
        <v>990</v>
      </c>
      <c r="G28" s="460">
        <f>'SEMANA JANEIRO'!$G$116</f>
        <v>3</v>
      </c>
      <c r="H28" s="458" t="s">
        <v>943</v>
      </c>
      <c r="I28" s="461">
        <v>200</v>
      </c>
    </row>
    <row r="29" spans="1:9" ht="15" customHeight="1" x14ac:dyDescent="0.3">
      <c r="A29" s="471">
        <v>46045</v>
      </c>
      <c r="B29" s="454" t="s">
        <v>916</v>
      </c>
      <c r="C29" s="454" t="s">
        <v>227</v>
      </c>
      <c r="D29" s="455">
        <f>'SEMANA JANEIRO'!$H$124</f>
        <v>184</v>
      </c>
      <c r="E29" s="455">
        <f>'SEMANA JANEIRO'!$I$124</f>
        <v>1104</v>
      </c>
      <c r="F29" s="455">
        <f>'SEMANA JANEIRO'!$D$124</f>
        <v>177</v>
      </c>
      <c r="G29" s="456">
        <f>'SEMANA JANEIRO'!$G$124</f>
        <v>1</v>
      </c>
      <c r="H29" s="454" t="s">
        <v>944</v>
      </c>
      <c r="I29" s="457">
        <v>200</v>
      </c>
    </row>
    <row r="30" spans="1:9" ht="15" customHeight="1" x14ac:dyDescent="0.3">
      <c r="A30" s="472">
        <v>46045</v>
      </c>
      <c r="B30" s="458" t="s">
        <v>916</v>
      </c>
      <c r="C30" s="458" t="s">
        <v>228</v>
      </c>
      <c r="D30" s="459">
        <f>'SEMANA JANEIRO'!$H$125</f>
        <v>197</v>
      </c>
      <c r="E30" s="459">
        <f>'SEMANA JANEIRO'!$I$125</f>
        <v>1182</v>
      </c>
      <c r="F30" s="459">
        <f>'SEMANA JANEIRO'!$D$125</f>
        <v>330</v>
      </c>
      <c r="G30" s="460">
        <f>'SEMANA JANEIRO'!$G$125</f>
        <v>1</v>
      </c>
      <c r="H30" s="458" t="s">
        <v>945</v>
      </c>
      <c r="I30" s="461">
        <v>200</v>
      </c>
    </row>
    <row r="31" spans="1:9" ht="15" customHeight="1" x14ac:dyDescent="0.3">
      <c r="A31" s="471">
        <v>46045</v>
      </c>
      <c r="B31" s="454" t="s">
        <v>916</v>
      </c>
      <c r="C31" s="454" t="s">
        <v>122</v>
      </c>
      <c r="D31" s="455">
        <f>'SEMANA JANEIRO'!$H$126</f>
        <v>123</v>
      </c>
      <c r="E31" s="455">
        <f>'SEMANA JANEIRO'!$I$126</f>
        <v>1476</v>
      </c>
      <c r="F31" s="455">
        <f>'SEMANA JANEIRO'!$D$126</f>
        <v>120</v>
      </c>
      <c r="G31" s="456">
        <f>'SEMANA JANEIRO'!$G$126</f>
        <v>1</v>
      </c>
      <c r="H31" s="454" t="s">
        <v>946</v>
      </c>
      <c r="I31" s="457">
        <v>70</v>
      </c>
    </row>
    <row r="32" spans="1:9" ht="15" customHeight="1" x14ac:dyDescent="0.3">
      <c r="A32" s="472">
        <v>46045</v>
      </c>
      <c r="B32" s="458" t="s">
        <v>916</v>
      </c>
      <c r="C32" s="458" t="s">
        <v>124</v>
      </c>
      <c r="D32" s="459">
        <f>'SEMANA JANEIRO'!$H$127</f>
        <v>121</v>
      </c>
      <c r="E32" s="459">
        <f>'SEMANA JANEIRO'!$I$127</f>
        <v>1452</v>
      </c>
      <c r="F32" s="459">
        <f>'SEMANA JANEIRO'!$D$127</f>
        <v>120</v>
      </c>
      <c r="G32" s="460">
        <f>'SEMANA JANEIRO'!$G$127</f>
        <v>1</v>
      </c>
      <c r="H32" s="458" t="s">
        <v>947</v>
      </c>
      <c r="I32" s="461">
        <v>70</v>
      </c>
    </row>
    <row r="33" spans="1:9" ht="15" customHeight="1" x14ac:dyDescent="0.3">
      <c r="A33" s="471">
        <v>46045</v>
      </c>
      <c r="B33" s="454" t="s">
        <v>916</v>
      </c>
      <c r="C33" s="454" t="s">
        <v>126</v>
      </c>
      <c r="D33" s="455">
        <f>'SEMANA JANEIRO'!$H$128</f>
        <v>121</v>
      </c>
      <c r="E33" s="455">
        <f>'SEMANA JANEIRO'!$I$128</f>
        <v>1452</v>
      </c>
      <c r="F33" s="455">
        <f>'SEMANA JANEIRO'!$D$128</f>
        <v>120</v>
      </c>
      <c r="G33" s="456">
        <f>'SEMANA JANEIRO'!$G$128</f>
        <v>1</v>
      </c>
      <c r="H33" s="454" t="s">
        <v>948</v>
      </c>
      <c r="I33" s="457">
        <v>70</v>
      </c>
    </row>
    <row r="34" spans="1:9" ht="15" customHeight="1" x14ac:dyDescent="0.3">
      <c r="A34" s="472">
        <v>46045</v>
      </c>
      <c r="B34" s="458" t="s">
        <v>916</v>
      </c>
      <c r="C34" s="458" t="s">
        <v>130</v>
      </c>
      <c r="D34" s="459">
        <f>'SEMANA JANEIRO'!$H$129</f>
        <v>122</v>
      </c>
      <c r="E34" s="459">
        <f>'SEMANA JANEIRO'!$I$129</f>
        <v>1464</v>
      </c>
      <c r="F34" s="459">
        <f>'SEMANA JANEIRO'!$D$129</f>
        <v>120</v>
      </c>
      <c r="G34" s="460">
        <f>'SEMANA JANEIRO'!$G$129</f>
        <v>1</v>
      </c>
      <c r="H34" s="458" t="s">
        <v>949</v>
      </c>
      <c r="I34" s="461">
        <v>70</v>
      </c>
    </row>
    <row r="35" spans="1:9" ht="15" customHeight="1" x14ac:dyDescent="0.3">
      <c r="A35" s="471">
        <v>46048</v>
      </c>
      <c r="B35" s="454" t="s">
        <v>916</v>
      </c>
      <c r="C35" s="454" t="s">
        <v>54</v>
      </c>
      <c r="D35" s="455">
        <f>'SEMANA JANEIRO'!$H$137</f>
        <v>722</v>
      </c>
      <c r="E35" s="455">
        <f>'SEMANA JANEIRO'!$I$137</f>
        <v>8664</v>
      </c>
      <c r="F35" s="455">
        <f>'SEMANA JANEIRO'!$D$137</f>
        <v>720</v>
      </c>
      <c r="G35" s="456">
        <f>'SEMANA JANEIRO'!$G$137</f>
        <v>3</v>
      </c>
      <c r="H35" s="454" t="s">
        <v>950</v>
      </c>
      <c r="I35" s="457">
        <v>180</v>
      </c>
    </row>
    <row r="36" spans="1:9" ht="15" customHeight="1" x14ac:dyDescent="0.3">
      <c r="A36" s="472">
        <v>46048</v>
      </c>
      <c r="B36" s="458" t="s">
        <v>916</v>
      </c>
      <c r="C36" s="458" t="s">
        <v>230</v>
      </c>
      <c r="D36" s="459">
        <f>'SEMANA JANEIRO'!$H$138</f>
        <v>176.25</v>
      </c>
      <c r="E36" s="459">
        <f>'SEMANA JANEIRO'!$I$138</f>
        <v>2115</v>
      </c>
      <c r="F36" s="459">
        <f>'SEMANA JANEIRO'!$D$138</f>
        <v>233</v>
      </c>
      <c r="G36" s="460" t="str">
        <f>'SEMANA JANEIRO'!$G$138</f>
        <v/>
      </c>
      <c r="H36" s="458" t="s">
        <v>951</v>
      </c>
      <c r="I36" s="461">
        <v>210</v>
      </c>
    </row>
    <row r="37" spans="1:9" ht="15" customHeight="1" x14ac:dyDescent="0.3">
      <c r="A37" s="471">
        <v>46048</v>
      </c>
      <c r="B37" s="454" t="s">
        <v>916</v>
      </c>
      <c r="C37" s="454" t="s">
        <v>54</v>
      </c>
      <c r="D37" s="455">
        <f>'SEMANA JANEIRO'!$H$139</f>
        <v>346</v>
      </c>
      <c r="E37" s="455">
        <f>'SEMANA JANEIRO'!$I$139</f>
        <v>4152</v>
      </c>
      <c r="F37" s="455">
        <f>'SEMANA JANEIRO'!$D$139</f>
        <v>1000</v>
      </c>
      <c r="G37" s="456">
        <f>'SEMANA JANEIRO'!$G$139</f>
        <v>8</v>
      </c>
      <c r="H37" s="454" t="s">
        <v>952</v>
      </c>
      <c r="I37" s="457">
        <v>400</v>
      </c>
    </row>
    <row r="38" spans="1:9" ht="15" customHeight="1" x14ac:dyDescent="0.3">
      <c r="A38" s="472">
        <v>46049</v>
      </c>
      <c r="B38" s="458" t="s">
        <v>916</v>
      </c>
      <c r="C38" s="458" t="s">
        <v>54</v>
      </c>
      <c r="D38" s="459">
        <f>'SEMANA JANEIRO'!$H$146</f>
        <v>654</v>
      </c>
      <c r="E38" s="459">
        <f>'SEMANA JANEIRO'!$I$146</f>
        <v>7848</v>
      </c>
      <c r="F38" s="459">
        <f>'SEMANA JANEIRO'!$D$146</f>
        <v>654</v>
      </c>
      <c r="G38" s="460">
        <f>'SEMANA JANEIRO'!$G$146</f>
        <v>6</v>
      </c>
      <c r="H38" s="458" t="s">
        <v>953</v>
      </c>
      <c r="I38" s="461">
        <v>400</v>
      </c>
    </row>
    <row r="39" spans="1:9" ht="15" customHeight="1" x14ac:dyDescent="0.3">
      <c r="A39" s="471">
        <v>46051</v>
      </c>
      <c r="B39" s="454" t="s">
        <v>916</v>
      </c>
      <c r="C39" s="454" t="s">
        <v>232</v>
      </c>
      <c r="D39" s="455">
        <f>'SEMANA JANEIRO'!$H$165</f>
        <v>101</v>
      </c>
      <c r="E39" s="455">
        <f>'SEMANA JANEIRO'!$I$165</f>
        <v>1212</v>
      </c>
      <c r="F39" s="455">
        <f>'SEMANA JANEIRO'!$D$165</f>
        <v>100</v>
      </c>
      <c r="G39" s="456">
        <f>'SEMANA JANEIRO'!$G$165</f>
        <v>1</v>
      </c>
      <c r="H39" s="454" t="s">
        <v>954</v>
      </c>
      <c r="I39" s="457">
        <v>400</v>
      </c>
    </row>
    <row r="40" spans="1:9" ht="15" customHeight="1" x14ac:dyDescent="0.3">
      <c r="A40" s="472">
        <v>46051</v>
      </c>
      <c r="B40" s="458" t="s">
        <v>916</v>
      </c>
      <c r="C40" s="458" t="s">
        <v>60</v>
      </c>
      <c r="D40" s="459">
        <f>'SEMANA JANEIRO'!$H$166</f>
        <v>665</v>
      </c>
      <c r="E40" s="459">
        <f>'SEMANA JANEIRO'!$I$166</f>
        <v>7980</v>
      </c>
      <c r="F40" s="459">
        <f>'SEMANA JANEIRO'!$D$166</f>
        <v>665</v>
      </c>
      <c r="G40" s="460">
        <f>'SEMANA JANEIRO'!$G$166</f>
        <v>7</v>
      </c>
      <c r="H40" s="458" t="s">
        <v>955</v>
      </c>
      <c r="I40" s="461">
        <v>600</v>
      </c>
    </row>
    <row r="41" spans="1:9" ht="15" customHeight="1" x14ac:dyDescent="0.3">
      <c r="A41" s="471">
        <v>46051</v>
      </c>
      <c r="B41" s="454" t="s">
        <v>916</v>
      </c>
      <c r="C41" s="454" t="s">
        <v>60</v>
      </c>
      <c r="D41" s="455">
        <f>'SEMANA JANEIRO'!$H$167</f>
        <v>256</v>
      </c>
      <c r="E41" s="455">
        <f>'SEMANA JANEIRO'!$I$167</f>
        <v>3072</v>
      </c>
      <c r="F41" s="455">
        <f>'SEMANA JANEIRO'!$D$167</f>
        <v>665</v>
      </c>
      <c r="G41" s="456">
        <f>'SEMANA JANEIRO'!$G$167</f>
        <v>7</v>
      </c>
      <c r="H41" s="454" t="s">
        <v>956</v>
      </c>
      <c r="I41" s="457">
        <v>600</v>
      </c>
    </row>
    <row r="42" spans="1:9" ht="15" customHeight="1" x14ac:dyDescent="0.3">
      <c r="A42" s="472">
        <v>46052</v>
      </c>
      <c r="B42" s="458" t="s">
        <v>916</v>
      </c>
      <c r="C42" s="458" t="s">
        <v>60</v>
      </c>
      <c r="D42" s="459">
        <f>'SEMANA JANEIRO'!$H$173</f>
        <v>424</v>
      </c>
      <c r="E42" s="459">
        <f>'SEMANA JANEIRO'!$I$173</f>
        <v>5088</v>
      </c>
      <c r="F42" s="459">
        <f>'SEMANA JANEIRO'!$D$173</f>
        <v>409</v>
      </c>
      <c r="G42" s="460">
        <f>'SEMANA JANEIRO'!$G$173</f>
        <v>5</v>
      </c>
      <c r="H42" s="458" t="s">
        <v>957</v>
      </c>
      <c r="I42" s="461">
        <v>600</v>
      </c>
    </row>
    <row r="43" spans="1:9" ht="15" customHeight="1" x14ac:dyDescent="0.3">
      <c r="A43" s="471">
        <v>46052</v>
      </c>
      <c r="B43" s="454" t="s">
        <v>916</v>
      </c>
      <c r="C43" s="454" t="s">
        <v>66</v>
      </c>
      <c r="D43" s="455">
        <f>'SEMANA JANEIRO'!$H$174</f>
        <v>330</v>
      </c>
      <c r="E43" s="455">
        <f>'SEMANA JANEIRO'!$I$174</f>
        <v>3960</v>
      </c>
      <c r="F43" s="455">
        <f>'SEMANA JANEIRO'!$D$174</f>
        <v>768</v>
      </c>
      <c r="G43" s="456">
        <f>'SEMANA JANEIRO'!$G$174</f>
        <v>9</v>
      </c>
      <c r="H43" s="454" t="s">
        <v>958</v>
      </c>
      <c r="I43" s="457">
        <v>600</v>
      </c>
    </row>
    <row r="44" spans="1:9" ht="15" customHeight="1" x14ac:dyDescent="0.3">
      <c r="A44"/>
    </row>
    <row r="45" spans="1:9" ht="15" customHeight="1" x14ac:dyDescent="0.3">
      <c r="A45"/>
    </row>
    <row r="46" spans="1:9" ht="15" customHeight="1" x14ac:dyDescent="0.3">
      <c r="A46" s="472">
        <v>46055</v>
      </c>
      <c r="B46" s="458" t="s">
        <v>959</v>
      </c>
      <c r="C46" s="458" t="s">
        <v>66</v>
      </c>
      <c r="D46" s="459">
        <f>'SEMANA FEVEREIRO'!$H$5</f>
        <v>438</v>
      </c>
      <c r="E46" s="459">
        <f>'SEMANA FEVEREIRO'!$I$5</f>
        <v>5256</v>
      </c>
      <c r="F46" s="459">
        <f>'SEMANA FEVEREIRO'!$D$5</f>
        <v>438</v>
      </c>
      <c r="G46" s="460">
        <f>'SEMANA FEVEREIRO'!$G$5</f>
        <v>5</v>
      </c>
      <c r="H46" s="458" t="s">
        <v>960</v>
      </c>
      <c r="I46" s="461">
        <v>600</v>
      </c>
    </row>
    <row r="47" spans="1:9" ht="15" customHeight="1" x14ac:dyDescent="0.3">
      <c r="A47" s="471">
        <v>46055</v>
      </c>
      <c r="B47" s="454" t="s">
        <v>959</v>
      </c>
      <c r="C47" s="454" t="s">
        <v>54</v>
      </c>
      <c r="D47" s="455">
        <f>'SEMANA FEVEREIRO'!$H$6</f>
        <v>506</v>
      </c>
      <c r="E47" s="455">
        <f>'SEMANA FEVEREIRO'!$I$6</f>
        <v>6072</v>
      </c>
      <c r="F47" s="455">
        <f>'SEMANA FEVEREIRO'!$D$6</f>
        <v>1330</v>
      </c>
      <c r="G47" s="456">
        <f>'SEMANA FEVEREIRO'!$G$6</f>
        <v>14</v>
      </c>
      <c r="H47" s="454" t="s">
        <v>961</v>
      </c>
      <c r="I47" s="457">
        <v>600</v>
      </c>
    </row>
    <row r="48" spans="1:9" ht="15" customHeight="1" x14ac:dyDescent="0.3">
      <c r="A48" s="472">
        <v>46056</v>
      </c>
      <c r="B48" s="458" t="s">
        <v>959</v>
      </c>
      <c r="C48" s="458" t="s">
        <v>54</v>
      </c>
      <c r="D48" s="459">
        <f>'SEMANA FEVEREIRO'!$H$13</f>
        <v>702</v>
      </c>
      <c r="E48" s="459">
        <f>'SEMANA FEVEREIRO'!$I$13</f>
        <v>8424</v>
      </c>
      <c r="F48" s="459">
        <f>'SEMANA FEVEREIRO'!$D$13</f>
        <v>824</v>
      </c>
      <c r="G48" s="460">
        <f>'SEMANA FEVEREIRO'!$G$13</f>
        <v>9</v>
      </c>
      <c r="H48" s="458" t="s">
        <v>962</v>
      </c>
      <c r="I48" s="461">
        <v>600</v>
      </c>
    </row>
    <row r="49" spans="1:9" ht="15" customHeight="1" x14ac:dyDescent="0.3">
      <c r="A49" s="471">
        <v>46057</v>
      </c>
      <c r="B49" s="454" t="s">
        <v>959</v>
      </c>
      <c r="C49" s="454" t="s">
        <v>54</v>
      </c>
      <c r="D49" s="455">
        <f>'SEMANA FEVEREIRO'!$H$21</f>
        <v>139</v>
      </c>
      <c r="E49" s="455">
        <f>'SEMANA FEVEREIRO'!$I$21</f>
        <v>1668</v>
      </c>
      <c r="F49" s="455">
        <f>'SEMANA FEVEREIRO'!$D$21</f>
        <v>122</v>
      </c>
      <c r="G49" s="456">
        <f>'SEMANA FEVEREIRO'!$G$21</f>
        <v>2</v>
      </c>
      <c r="H49" s="454" t="s">
        <v>963</v>
      </c>
      <c r="I49" s="457">
        <v>600</v>
      </c>
    </row>
    <row r="50" spans="1:9" ht="15" customHeight="1" x14ac:dyDescent="0.3">
      <c r="A50" s="472">
        <v>46057</v>
      </c>
      <c r="B50" s="458" t="s">
        <v>959</v>
      </c>
      <c r="C50" s="458" t="s">
        <v>56</v>
      </c>
      <c r="D50" s="459">
        <f>'SEMANA FEVEREIRO'!$H$22</f>
        <v>1055</v>
      </c>
      <c r="E50" s="459">
        <f>'SEMANA FEVEREIRO'!$I$22</f>
        <v>6330</v>
      </c>
      <c r="F50" s="459">
        <f>'SEMANA FEVEREIRO'!$D$22</f>
        <v>1330</v>
      </c>
      <c r="G50" s="460">
        <f>'SEMANA FEVEREIRO'!$G$22</f>
        <v>7</v>
      </c>
      <c r="H50" s="458" t="s">
        <v>964</v>
      </c>
      <c r="I50" s="461">
        <v>600</v>
      </c>
    </row>
    <row r="51" spans="1:9" ht="15" customHeight="1" x14ac:dyDescent="0.3">
      <c r="A51" s="471">
        <v>46058</v>
      </c>
      <c r="B51" s="454" t="s">
        <v>959</v>
      </c>
      <c r="C51" s="454" t="s">
        <v>56</v>
      </c>
      <c r="D51" s="455">
        <f>'SEMANA FEVEREIRO'!$H$29</f>
        <v>357</v>
      </c>
      <c r="E51" s="455">
        <f>'SEMANA FEVEREIRO'!$I$29</f>
        <v>2142</v>
      </c>
      <c r="F51" s="455">
        <f>'SEMANA FEVEREIRO'!$D$29</f>
        <v>275</v>
      </c>
      <c r="G51" s="456">
        <f>'SEMANA FEVEREIRO'!$G$29</f>
        <v>2</v>
      </c>
      <c r="H51" s="454" t="s">
        <v>965</v>
      </c>
      <c r="I51" s="457">
        <v>600</v>
      </c>
    </row>
    <row r="52" spans="1:9" ht="15" customHeight="1" x14ac:dyDescent="0.3">
      <c r="A52" s="472">
        <v>46058</v>
      </c>
      <c r="B52" s="458" t="s">
        <v>959</v>
      </c>
      <c r="C52" s="458" t="s">
        <v>160</v>
      </c>
      <c r="D52" s="459">
        <f>'SEMANA FEVEREIRO'!$H$30</f>
        <v>117</v>
      </c>
      <c r="E52" s="459">
        <f>'SEMANA FEVEREIRO'!$I$30</f>
        <v>1404</v>
      </c>
      <c r="F52" s="459">
        <f>'SEMANA FEVEREIRO'!$D$30</f>
        <v>190</v>
      </c>
      <c r="G52" s="460">
        <f>'SEMANA FEVEREIRO'!$G$30</f>
        <v>2</v>
      </c>
      <c r="H52" s="458" t="s">
        <v>966</v>
      </c>
      <c r="I52" s="461">
        <v>600</v>
      </c>
    </row>
    <row r="53" spans="1:9" ht="15" customHeight="1" x14ac:dyDescent="0.3">
      <c r="A53" s="471">
        <v>46058</v>
      </c>
      <c r="B53" s="454" t="s">
        <v>959</v>
      </c>
      <c r="C53" s="454" t="s">
        <v>192</v>
      </c>
      <c r="D53" s="455">
        <f>'SEMANA FEVEREIRO'!$H$31</f>
        <v>101</v>
      </c>
      <c r="E53" s="455">
        <f>'SEMANA FEVEREIRO'!$I$31</f>
        <v>1212</v>
      </c>
      <c r="F53" s="455">
        <f>'SEMANA FEVEREIRO'!$D$31</f>
        <v>100</v>
      </c>
      <c r="G53" s="456">
        <f>'SEMANA FEVEREIRO'!$G$31</f>
        <v>2</v>
      </c>
      <c r="H53" s="454" t="s">
        <v>967</v>
      </c>
      <c r="I53" s="457">
        <v>600</v>
      </c>
    </row>
    <row r="54" spans="1:9" ht="15" customHeight="1" x14ac:dyDescent="0.3">
      <c r="A54" s="472">
        <v>46058</v>
      </c>
      <c r="B54" s="458" t="s">
        <v>959</v>
      </c>
      <c r="C54" s="458" t="s">
        <v>317</v>
      </c>
      <c r="D54" s="459">
        <f>'SEMANA FEVEREIRO'!$H$32</f>
        <v>169</v>
      </c>
      <c r="E54" s="459">
        <f>'SEMANA FEVEREIRO'!$I$32</f>
        <v>2028</v>
      </c>
      <c r="F54" s="459">
        <f>'SEMANA FEVEREIRO'!$D$32</f>
        <v>440</v>
      </c>
      <c r="G54" s="460">
        <f>'SEMANA FEVEREIRO'!$G$32</f>
        <v>5</v>
      </c>
      <c r="H54" s="458" t="s">
        <v>968</v>
      </c>
      <c r="I54" s="461">
        <v>600</v>
      </c>
    </row>
    <row r="55" spans="1:9" ht="15" customHeight="1" x14ac:dyDescent="0.3">
      <c r="A55" s="471">
        <v>46062</v>
      </c>
      <c r="B55" s="454" t="s">
        <v>959</v>
      </c>
      <c r="C55" s="454" t="s">
        <v>317</v>
      </c>
      <c r="D55" s="455">
        <f>'SEMANA FEVEREIRO'!$H$48</f>
        <v>266</v>
      </c>
      <c r="E55" s="455">
        <f>'SEMANA FEVEREIRO'!$I$48</f>
        <v>3192</v>
      </c>
      <c r="F55" s="455">
        <f>'SEMANA FEVEREIRO'!$D$48</f>
        <v>271</v>
      </c>
      <c r="G55" s="456">
        <f>'SEMANA FEVEREIRO'!$G$48</f>
        <v>3</v>
      </c>
      <c r="H55" s="454" t="s">
        <v>969</v>
      </c>
      <c r="I55" s="457">
        <v>600</v>
      </c>
    </row>
    <row r="56" spans="1:9" ht="15" customHeight="1" x14ac:dyDescent="0.3">
      <c r="A56" s="472">
        <v>46062</v>
      </c>
      <c r="B56" s="458" t="s">
        <v>959</v>
      </c>
      <c r="C56" s="458" t="s">
        <v>160</v>
      </c>
      <c r="D56" s="459">
        <f>'SEMANA FEVEREIRO'!$H$49</f>
        <v>76</v>
      </c>
      <c r="E56" s="459">
        <f>'SEMANA FEVEREIRO'!$I$49</f>
        <v>912</v>
      </c>
      <c r="F56" s="459">
        <f>'SEMANA FEVEREIRO'!$D$49</f>
        <v>73</v>
      </c>
      <c r="G56" s="460">
        <f>'SEMANA FEVEREIRO'!$G$49</f>
        <v>1</v>
      </c>
      <c r="H56" s="458" t="s">
        <v>970</v>
      </c>
      <c r="I56" s="461">
        <v>600</v>
      </c>
    </row>
    <row r="57" spans="1:9" ht="15" customHeight="1" x14ac:dyDescent="0.3">
      <c r="A57" s="471">
        <v>46062</v>
      </c>
      <c r="B57" s="454" t="s">
        <v>959</v>
      </c>
      <c r="C57" s="454" t="s">
        <v>54</v>
      </c>
      <c r="D57" s="455">
        <f>'SEMANA FEVEREIRO'!$H$50</f>
        <v>869</v>
      </c>
      <c r="E57" s="455">
        <f>'SEMANA FEVEREIRO'!$I$50</f>
        <v>10428</v>
      </c>
      <c r="F57" s="455">
        <f>'SEMANA FEVEREIRO'!$D$50</f>
        <v>2500</v>
      </c>
      <c r="G57" s="456">
        <f>'SEMANA FEVEREIRO'!$G$50</f>
        <v>20</v>
      </c>
      <c r="H57" s="454" t="s">
        <v>971</v>
      </c>
      <c r="I57" s="457">
        <v>400</v>
      </c>
    </row>
    <row r="58" spans="1:9" ht="15" customHeight="1" x14ac:dyDescent="0.3">
      <c r="A58" s="472">
        <v>46063</v>
      </c>
      <c r="B58" s="458" t="s">
        <v>959</v>
      </c>
      <c r="C58" s="458" t="s">
        <v>54</v>
      </c>
      <c r="D58" s="459">
        <f>'SEMANA FEVEREIRO'!$H$57</f>
        <v>1027</v>
      </c>
      <c r="E58" s="459">
        <f>'SEMANA FEVEREIRO'!$I$57</f>
        <v>12324</v>
      </c>
      <c r="F58" s="459">
        <f>'SEMANA FEVEREIRO'!$D$57</f>
        <v>1631</v>
      </c>
      <c r="G58" s="460">
        <f>'SEMANA FEVEREIRO'!$G$57</f>
        <v>14</v>
      </c>
      <c r="H58" s="458" t="s">
        <v>972</v>
      </c>
      <c r="I58" s="461">
        <v>400</v>
      </c>
    </row>
    <row r="59" spans="1:9" ht="15" customHeight="1" x14ac:dyDescent="0.3">
      <c r="A59" s="471">
        <v>46064</v>
      </c>
      <c r="B59" s="454" t="s">
        <v>959</v>
      </c>
      <c r="C59" s="454" t="s">
        <v>54</v>
      </c>
      <c r="D59" s="455">
        <f>'SEMANA FEVEREIRO'!$H$65</f>
        <v>611</v>
      </c>
      <c r="E59" s="455">
        <f>'SEMANA FEVEREIRO'!$I$65</f>
        <v>7332</v>
      </c>
      <c r="F59" s="455">
        <f>'SEMANA FEVEREIRO'!$D$65</f>
        <v>604</v>
      </c>
      <c r="G59" s="456">
        <f>'SEMANA FEVEREIRO'!$G$65</f>
        <v>5</v>
      </c>
      <c r="H59" s="454" t="s">
        <v>973</v>
      </c>
      <c r="I59" s="457">
        <v>400</v>
      </c>
    </row>
    <row r="60" spans="1:9" ht="15" customHeight="1" x14ac:dyDescent="0.3">
      <c r="A60" s="472">
        <v>46064</v>
      </c>
      <c r="B60" s="458" t="s">
        <v>959</v>
      </c>
      <c r="C60" s="458" t="s">
        <v>58</v>
      </c>
      <c r="D60" s="459">
        <f>'SEMANA FEVEREIRO'!$H$66</f>
        <v>600</v>
      </c>
      <c r="E60" s="459">
        <f>'SEMANA FEVEREIRO'!$I$66</f>
        <v>7200</v>
      </c>
      <c r="F60" s="459">
        <f>'SEMANA FEVEREIRO'!$D$66</f>
        <v>2310</v>
      </c>
      <c r="G60" s="460">
        <f>'SEMANA FEVEREIRO'!$G$66</f>
        <v>19</v>
      </c>
      <c r="H60" s="458" t="s">
        <v>974</v>
      </c>
      <c r="I60" s="461">
        <v>400</v>
      </c>
    </row>
    <row r="61" spans="1:9" ht="15" customHeight="1" x14ac:dyDescent="0.3">
      <c r="A61" s="471">
        <v>46065</v>
      </c>
      <c r="B61" s="454" t="s">
        <v>959</v>
      </c>
      <c r="C61" s="454" t="s">
        <v>58</v>
      </c>
      <c r="D61" s="455">
        <f>'SEMANA FEVEREIRO'!$H$73</f>
        <v>1431</v>
      </c>
      <c r="E61" s="455">
        <f>'SEMANA FEVEREIRO'!$I$73</f>
        <v>17172</v>
      </c>
      <c r="F61" s="455">
        <f>'SEMANA FEVEREIRO'!$D$73</f>
        <v>1710</v>
      </c>
      <c r="G61" s="456">
        <f>'SEMANA FEVEREIRO'!$G$73</f>
        <v>14</v>
      </c>
      <c r="H61" s="454" t="s">
        <v>975</v>
      </c>
      <c r="I61" s="457">
        <v>400</v>
      </c>
    </row>
    <row r="62" spans="1:9" ht="15" customHeight="1" x14ac:dyDescent="0.3">
      <c r="A62" s="472">
        <v>46066</v>
      </c>
      <c r="B62" s="458" t="s">
        <v>959</v>
      </c>
      <c r="C62" s="458" t="s">
        <v>58</v>
      </c>
      <c r="D62" s="459">
        <f>'SEMANA FEVEREIRO'!$H$81</f>
        <v>287</v>
      </c>
      <c r="E62" s="459">
        <f>'SEMANA FEVEREIRO'!$I$81</f>
        <v>3444</v>
      </c>
      <c r="F62" s="459">
        <f>'SEMANA FEVEREIRO'!$D$81</f>
        <v>279</v>
      </c>
      <c r="G62" s="460">
        <f>'SEMANA FEVEREIRO'!$G$81</f>
        <v>3</v>
      </c>
      <c r="H62" s="458" t="s">
        <v>976</v>
      </c>
      <c r="I62" s="461">
        <v>400</v>
      </c>
    </row>
    <row r="63" spans="1:9" ht="15" customHeight="1" x14ac:dyDescent="0.3">
      <c r="A63" s="471">
        <v>46066</v>
      </c>
      <c r="B63" s="454" t="s">
        <v>959</v>
      </c>
      <c r="C63" s="454" t="s">
        <v>223</v>
      </c>
      <c r="D63" s="455">
        <f>'SEMANA FEVEREIRO'!$H$82</f>
        <v>202</v>
      </c>
      <c r="E63" s="455">
        <f>'SEMANA FEVEREIRO'!$I$82</f>
        <v>2424</v>
      </c>
      <c r="F63" s="455">
        <f>'SEMANA FEVEREIRO'!$D$82</f>
        <v>200</v>
      </c>
      <c r="G63" s="456">
        <f>'SEMANA FEVEREIRO'!$G$82</f>
        <v>2</v>
      </c>
      <c r="H63" s="454" t="s">
        <v>977</v>
      </c>
      <c r="I63" s="457">
        <v>400</v>
      </c>
    </row>
    <row r="64" spans="1:9" ht="15" customHeight="1" x14ac:dyDescent="0.3">
      <c r="A64" s="472">
        <v>46066</v>
      </c>
      <c r="B64" s="458" t="s">
        <v>959</v>
      </c>
      <c r="C64" s="458" t="s">
        <v>323</v>
      </c>
      <c r="D64" s="459">
        <f>'SEMANA FEVEREIRO'!$H$83</f>
        <v>252</v>
      </c>
      <c r="E64" s="459">
        <f>'SEMANA FEVEREIRO'!$I$83</f>
        <v>3024</v>
      </c>
      <c r="F64" s="459">
        <f>'SEMANA FEVEREIRO'!$D$83</f>
        <v>250</v>
      </c>
      <c r="G64" s="460">
        <f>'SEMANA FEVEREIRO'!$G$83</f>
        <v>2</v>
      </c>
      <c r="H64" s="458" t="s">
        <v>978</v>
      </c>
      <c r="I64" s="461">
        <v>400</v>
      </c>
    </row>
    <row r="65" spans="1:9" ht="15" customHeight="1" x14ac:dyDescent="0.3">
      <c r="A65" s="471">
        <v>46066</v>
      </c>
      <c r="B65" s="454" t="s">
        <v>959</v>
      </c>
      <c r="C65" s="454" t="s">
        <v>164</v>
      </c>
      <c r="D65" s="455">
        <f>'SEMANA FEVEREIRO'!$H$84</f>
        <v>61</v>
      </c>
      <c r="E65" s="455">
        <f>'SEMANA FEVEREIRO'!$I$84</f>
        <v>732</v>
      </c>
      <c r="F65" s="455">
        <f>'SEMANA FEVEREIRO'!$D$84</f>
        <v>250</v>
      </c>
      <c r="G65" s="456">
        <f>'SEMANA FEVEREIRO'!$G$84</f>
        <v>2</v>
      </c>
      <c r="H65" s="454" t="s">
        <v>979</v>
      </c>
      <c r="I65" s="457">
        <v>400</v>
      </c>
    </row>
    <row r="66" spans="1:9" ht="15" customHeight="1" x14ac:dyDescent="0.3">
      <c r="A66" s="472">
        <v>46071</v>
      </c>
      <c r="B66" s="458" t="s">
        <v>959</v>
      </c>
      <c r="C66" s="458" t="s">
        <v>164</v>
      </c>
      <c r="D66" s="459">
        <f>'SEMANA FEVEREIRO'!$H$93</f>
        <v>192</v>
      </c>
      <c r="E66" s="459">
        <f>'SEMANA FEVEREIRO'!$I$93</f>
        <v>2304</v>
      </c>
      <c r="F66" s="459">
        <f>'SEMANA FEVEREIRO'!$D$93</f>
        <v>189</v>
      </c>
      <c r="G66" s="460">
        <f>'SEMANA FEVEREIRO'!$G$93</f>
        <v>2</v>
      </c>
      <c r="H66" s="458" t="s">
        <v>980</v>
      </c>
      <c r="I66" s="461">
        <v>400</v>
      </c>
    </row>
    <row r="67" spans="1:9" ht="15" customHeight="1" x14ac:dyDescent="0.3">
      <c r="A67" s="471">
        <v>46071</v>
      </c>
      <c r="B67" s="454" t="s">
        <v>959</v>
      </c>
      <c r="C67" s="454" t="s">
        <v>270</v>
      </c>
      <c r="D67" s="455">
        <f>'SEMANA FEVEREIRO'!$H$94</f>
        <v>229</v>
      </c>
      <c r="E67" s="455">
        <f>'SEMANA FEVEREIRO'!$I$94</f>
        <v>2748</v>
      </c>
      <c r="F67" s="455">
        <f>'SEMANA FEVEREIRO'!$D$94</f>
        <v>125</v>
      </c>
      <c r="G67" s="456">
        <f>'SEMANA FEVEREIRO'!$G$94</f>
        <v>1</v>
      </c>
      <c r="H67" s="454" t="s">
        <v>981</v>
      </c>
      <c r="I67" s="457">
        <v>400</v>
      </c>
    </row>
    <row r="68" spans="1:9" ht="15" customHeight="1" x14ac:dyDescent="0.3">
      <c r="A68" s="472">
        <v>46071</v>
      </c>
      <c r="B68" s="458" t="s">
        <v>959</v>
      </c>
      <c r="C68" s="458" t="s">
        <v>101</v>
      </c>
      <c r="D68" s="459">
        <f>'SEMANA FEVEREIRO'!$H$95</f>
        <v>18</v>
      </c>
      <c r="E68" s="459">
        <f>'SEMANA FEVEREIRO'!$I$95</f>
        <v>216</v>
      </c>
      <c r="F68" s="459">
        <f>'SEMANA FEVEREIRO'!$D$95</f>
        <v>125</v>
      </c>
      <c r="G68" s="460">
        <f>'SEMANA FEVEREIRO'!$G$95</f>
        <v>1</v>
      </c>
      <c r="H68" s="458" t="s">
        <v>982</v>
      </c>
      <c r="I68" s="461">
        <v>400</v>
      </c>
    </row>
    <row r="69" spans="1:9" ht="15" customHeight="1" x14ac:dyDescent="0.3">
      <c r="A69" s="471">
        <v>46072</v>
      </c>
      <c r="B69" s="454" t="s">
        <v>959</v>
      </c>
      <c r="C69" s="454" t="s">
        <v>101</v>
      </c>
      <c r="D69" s="455">
        <f>'SEMANA FEVEREIRO'!$H$103</f>
        <v>109</v>
      </c>
      <c r="E69" s="455">
        <f>'SEMANA FEVEREIRO'!$I$103</f>
        <v>1308</v>
      </c>
      <c r="F69" s="455">
        <f>'SEMANA FEVEREIRO'!$D$103</f>
        <v>107</v>
      </c>
      <c r="G69" s="456">
        <f>'SEMANA FEVEREIRO'!$G$103</f>
        <v>1</v>
      </c>
      <c r="H69" s="454" t="s">
        <v>983</v>
      </c>
      <c r="I69" s="457">
        <v>400</v>
      </c>
    </row>
    <row r="70" spans="1:9" ht="15" customHeight="1" x14ac:dyDescent="0.3">
      <c r="A70" s="472">
        <v>46072</v>
      </c>
      <c r="B70" s="458" t="s">
        <v>959</v>
      </c>
      <c r="C70" s="458" t="s">
        <v>274</v>
      </c>
      <c r="D70" s="459">
        <f>'SEMANA FEVEREIRO'!$H$104</f>
        <v>378</v>
      </c>
      <c r="E70" s="459">
        <f>'SEMANA FEVEREIRO'!$I$104</f>
        <v>4536</v>
      </c>
      <c r="F70" s="459">
        <f>'SEMANA FEVEREIRO'!$D$104</f>
        <v>375</v>
      </c>
      <c r="G70" s="460">
        <f>'SEMANA FEVEREIRO'!$G$104</f>
        <v>3</v>
      </c>
      <c r="H70" s="458" t="s">
        <v>984</v>
      </c>
      <c r="I70" s="461">
        <v>400</v>
      </c>
    </row>
    <row r="71" spans="1:9" ht="15" customHeight="1" x14ac:dyDescent="0.3">
      <c r="A71" s="471">
        <v>46072</v>
      </c>
      <c r="B71" s="454" t="s">
        <v>959</v>
      </c>
      <c r="C71" s="454" t="s">
        <v>288</v>
      </c>
      <c r="D71" s="455">
        <f>'SEMANA FEVEREIRO'!$H$105</f>
        <v>240</v>
      </c>
      <c r="E71" s="455">
        <f>'SEMANA FEVEREIRO'!$I$105</f>
        <v>2880</v>
      </c>
      <c r="F71" s="455">
        <f>'SEMANA FEVEREIRO'!$D$105</f>
        <v>240</v>
      </c>
      <c r="G71" s="456">
        <f>'SEMANA FEVEREIRO'!$G$105</f>
        <v>1</v>
      </c>
      <c r="H71" s="454" t="s">
        <v>985</v>
      </c>
      <c r="I71" s="457">
        <v>180</v>
      </c>
    </row>
    <row r="72" spans="1:9" ht="15" customHeight="1" x14ac:dyDescent="0.3">
      <c r="A72" s="472">
        <v>46072</v>
      </c>
      <c r="B72" s="458" t="s">
        <v>959</v>
      </c>
      <c r="C72" s="458" t="s">
        <v>54</v>
      </c>
      <c r="D72" s="459">
        <f>'SEMANA FEVEREIRO'!$H$106</f>
        <v>256</v>
      </c>
      <c r="E72" s="459">
        <f>'SEMANA FEVEREIRO'!$I$106</f>
        <v>3072</v>
      </c>
      <c r="F72" s="459">
        <f>'SEMANA FEVEREIRO'!$D$106</f>
        <v>480</v>
      </c>
      <c r="G72" s="460">
        <f>'SEMANA FEVEREIRO'!$G$106</f>
        <v>2</v>
      </c>
      <c r="H72" s="458" t="s">
        <v>986</v>
      </c>
      <c r="I72" s="461">
        <v>180</v>
      </c>
    </row>
    <row r="73" spans="1:9" ht="15" customHeight="1" x14ac:dyDescent="0.3">
      <c r="A73" s="471">
        <v>46073</v>
      </c>
      <c r="B73" s="454" t="s">
        <v>959</v>
      </c>
      <c r="C73" s="454" t="s">
        <v>54</v>
      </c>
      <c r="D73" s="455">
        <f>'SEMANA FEVEREIRO'!$H$113</f>
        <v>226</v>
      </c>
      <c r="E73" s="455">
        <f>'SEMANA FEVEREIRO'!$I$113</f>
        <v>2712</v>
      </c>
      <c r="F73" s="455">
        <f>'SEMANA FEVEREIRO'!$D$113</f>
        <v>224</v>
      </c>
      <c r="G73" s="456">
        <f>'SEMANA FEVEREIRO'!$G$113</f>
        <v>1</v>
      </c>
      <c r="H73" s="454" t="s">
        <v>987</v>
      </c>
      <c r="I73" s="457">
        <v>180</v>
      </c>
    </row>
    <row r="74" spans="1:9" ht="15" customHeight="1" x14ac:dyDescent="0.3">
      <c r="A74" s="472">
        <v>46073</v>
      </c>
      <c r="B74" s="458" t="s">
        <v>959</v>
      </c>
      <c r="C74" s="458" t="s">
        <v>327</v>
      </c>
      <c r="D74" s="459">
        <f>'SEMANA FEVEREIRO'!$H$114</f>
        <v>721</v>
      </c>
      <c r="E74" s="459">
        <f>'SEMANA FEVEREIRO'!$I$114</f>
        <v>8652</v>
      </c>
      <c r="F74" s="459">
        <f>'SEMANA FEVEREIRO'!$D$114</f>
        <v>720</v>
      </c>
      <c r="G74" s="460">
        <f>'SEMANA FEVEREIRO'!$G$114</f>
        <v>3</v>
      </c>
      <c r="H74" s="458" t="s">
        <v>988</v>
      </c>
      <c r="I74" s="461">
        <v>100</v>
      </c>
    </row>
    <row r="75" spans="1:9" ht="15" customHeight="1" x14ac:dyDescent="0.3">
      <c r="A75" s="471">
        <v>46073</v>
      </c>
      <c r="B75" s="454" t="s">
        <v>959</v>
      </c>
      <c r="C75" s="454" t="s">
        <v>328</v>
      </c>
      <c r="D75" s="455">
        <f>'SEMANA FEVEREIRO'!$H$115</f>
        <v>150</v>
      </c>
      <c r="E75" s="455">
        <f>'SEMANA FEVEREIRO'!$I$115</f>
        <v>1800</v>
      </c>
      <c r="F75" s="455">
        <f>'SEMANA FEVEREIRO'!$D$115</f>
        <v>720</v>
      </c>
      <c r="G75" s="456">
        <f>'SEMANA FEVEREIRO'!$G$115</f>
        <v>3</v>
      </c>
      <c r="H75" s="454" t="s">
        <v>989</v>
      </c>
      <c r="I75" s="457">
        <v>100</v>
      </c>
    </row>
    <row r="76" spans="1:9" ht="15" customHeight="1" x14ac:dyDescent="0.3">
      <c r="A76" s="472">
        <v>46076</v>
      </c>
      <c r="B76" s="458" t="s">
        <v>959</v>
      </c>
      <c r="C76" s="458" t="s">
        <v>328</v>
      </c>
      <c r="D76" s="459">
        <f>'SEMANA FEVEREIRO'!$H$122</f>
        <v>332</v>
      </c>
      <c r="E76" s="459">
        <f>'SEMANA FEVEREIRO'!$I$122</f>
        <v>3984</v>
      </c>
      <c r="F76" s="459">
        <f>'SEMANA FEVEREIRO'!$D$122</f>
        <v>570</v>
      </c>
      <c r="G76" s="460">
        <f>'SEMANA FEVEREIRO'!$G$122</f>
        <v>3</v>
      </c>
      <c r="H76" s="458" t="s">
        <v>990</v>
      </c>
      <c r="I76" s="461">
        <v>100</v>
      </c>
    </row>
    <row r="77" spans="1:9" ht="15" customHeight="1" x14ac:dyDescent="0.3">
      <c r="A77" s="471">
        <v>46076</v>
      </c>
      <c r="B77" s="454" t="s">
        <v>959</v>
      </c>
      <c r="C77" s="454" t="s">
        <v>329</v>
      </c>
      <c r="D77" s="455">
        <f>'SEMANA FEVEREIRO'!$H$123</f>
        <v>502</v>
      </c>
      <c r="E77" s="455">
        <f>'SEMANA FEVEREIRO'!$I$123</f>
        <v>6024</v>
      </c>
      <c r="F77" s="455">
        <f>'SEMANA FEVEREIRO'!$D$123</f>
        <v>502</v>
      </c>
      <c r="G77" s="456">
        <f>'SEMANA FEVEREIRO'!$G$123</f>
        <v>3</v>
      </c>
      <c r="H77" s="454" t="s">
        <v>991</v>
      </c>
      <c r="I77" s="457">
        <v>100</v>
      </c>
    </row>
    <row r="78" spans="1:9" ht="15" customHeight="1" x14ac:dyDescent="0.3">
      <c r="A78" s="472">
        <v>46076</v>
      </c>
      <c r="B78" s="458" t="s">
        <v>959</v>
      </c>
      <c r="C78" s="458" t="s">
        <v>330</v>
      </c>
      <c r="D78" s="459">
        <f>'SEMANA FEVEREIRO'!$H$124</f>
        <v>490</v>
      </c>
      <c r="E78" s="459">
        <f>'SEMANA FEVEREIRO'!$I$124</f>
        <v>5880</v>
      </c>
      <c r="F78" s="459">
        <f>'SEMANA FEVEREIRO'!$D$124</f>
        <v>580</v>
      </c>
      <c r="G78" s="460">
        <f>'SEMANA FEVEREIRO'!$G$124</f>
        <v>3</v>
      </c>
      <c r="H78" s="458" t="s">
        <v>992</v>
      </c>
      <c r="I78" s="461">
        <v>100</v>
      </c>
    </row>
    <row r="79" spans="1:9" ht="15" customHeight="1" x14ac:dyDescent="0.3">
      <c r="A79" s="471">
        <v>46077</v>
      </c>
      <c r="B79" s="454" t="s">
        <v>959</v>
      </c>
      <c r="C79" s="454" t="s">
        <v>330</v>
      </c>
      <c r="D79" s="455">
        <f>'SEMANA FEVEREIRO'!$H$130</f>
        <v>97</v>
      </c>
      <c r="E79" s="455">
        <f>'SEMANA FEVEREIRO'!$I$130</f>
        <v>1164</v>
      </c>
      <c r="F79" s="455">
        <f>'SEMANA FEVEREIRO'!$D$130</f>
        <v>90</v>
      </c>
      <c r="G79" s="456">
        <f>'SEMANA FEVEREIRO'!$G$130</f>
        <v>1</v>
      </c>
      <c r="H79" s="454" t="s">
        <v>993</v>
      </c>
      <c r="I79" s="457">
        <v>100</v>
      </c>
    </row>
    <row r="80" spans="1:9" ht="15" customHeight="1" x14ac:dyDescent="0.3">
      <c r="A80" s="472">
        <v>46077</v>
      </c>
      <c r="B80" s="458" t="s">
        <v>959</v>
      </c>
      <c r="C80" s="458" t="s">
        <v>331</v>
      </c>
      <c r="D80" s="459">
        <f>'SEMANA FEVEREIRO'!$H$131</f>
        <v>505</v>
      </c>
      <c r="E80" s="459">
        <f>'SEMANA FEVEREIRO'!$I$131</f>
        <v>6060</v>
      </c>
      <c r="F80" s="459">
        <f>'SEMANA FEVEREIRO'!$D$131</f>
        <v>500</v>
      </c>
      <c r="G80" s="460">
        <f>'SEMANA FEVEREIRO'!$G$131</f>
        <v>3</v>
      </c>
      <c r="H80" s="458" t="s">
        <v>994</v>
      </c>
      <c r="I80" s="461">
        <v>100</v>
      </c>
    </row>
    <row r="81" spans="1:9" ht="15" customHeight="1" x14ac:dyDescent="0.3">
      <c r="A81" s="471">
        <v>46077</v>
      </c>
      <c r="B81" s="454" t="s">
        <v>959</v>
      </c>
      <c r="C81" s="454" t="s">
        <v>332</v>
      </c>
      <c r="D81" s="455">
        <f>'SEMANA FEVEREIRO'!$H$132</f>
        <v>459</v>
      </c>
      <c r="E81" s="455">
        <f>'SEMANA FEVEREIRO'!$I$132</f>
        <v>5508</v>
      </c>
      <c r="F81" s="455">
        <f>'SEMANA FEVEREIRO'!$D$132</f>
        <v>500</v>
      </c>
      <c r="G81" s="456">
        <f>'SEMANA FEVEREIRO'!$G$132</f>
        <v>3</v>
      </c>
      <c r="H81" s="454" t="s">
        <v>995</v>
      </c>
      <c r="I81" s="457">
        <v>100</v>
      </c>
    </row>
    <row r="82" spans="1:9" ht="15" customHeight="1" x14ac:dyDescent="0.3">
      <c r="A82" s="472">
        <v>46078</v>
      </c>
      <c r="B82" s="458" t="s">
        <v>959</v>
      </c>
      <c r="C82" s="458" t="s">
        <v>332</v>
      </c>
      <c r="D82" s="459">
        <f>'SEMANA FEVEREIRO'!$H$139</f>
        <v>36</v>
      </c>
      <c r="E82" s="459">
        <f>'SEMANA FEVEREIRO'!$I$139</f>
        <v>432</v>
      </c>
      <c r="F82" s="459">
        <f>'SEMANA FEVEREIRO'!$D$139</f>
        <v>36</v>
      </c>
      <c r="G82" s="460">
        <f>'SEMANA FEVEREIRO'!$G$139</f>
        <v>1</v>
      </c>
      <c r="H82" s="458" t="s">
        <v>996</v>
      </c>
      <c r="I82" s="461">
        <v>100</v>
      </c>
    </row>
    <row r="83" spans="1:9" ht="15" customHeight="1" x14ac:dyDescent="0.3">
      <c r="A83" s="471">
        <v>46078</v>
      </c>
      <c r="B83" s="454" t="s">
        <v>959</v>
      </c>
      <c r="C83" s="454" t="s">
        <v>334</v>
      </c>
      <c r="D83" s="455">
        <f>'SEMANA FEVEREIRO'!$H$140</f>
        <v>238</v>
      </c>
      <c r="E83" s="455">
        <f>'SEMANA FEVEREIRO'!$I$140</f>
        <v>2856</v>
      </c>
      <c r="F83" s="455">
        <f>'SEMANA FEVEREIRO'!$D$140</f>
        <v>240</v>
      </c>
      <c r="G83" s="456">
        <f>'SEMANA FEVEREIRO'!$G$140</f>
        <v>1</v>
      </c>
      <c r="H83" s="454" t="s">
        <v>997</v>
      </c>
      <c r="I83" s="457">
        <v>70</v>
      </c>
    </row>
    <row r="84" spans="1:9" ht="15" customHeight="1" x14ac:dyDescent="0.3">
      <c r="A84" s="472">
        <v>46078</v>
      </c>
      <c r="B84" s="458" t="s">
        <v>959</v>
      </c>
      <c r="C84" s="458" t="s">
        <v>335</v>
      </c>
      <c r="D84" s="459">
        <f>'SEMANA FEVEREIRO'!$H$141</f>
        <v>122</v>
      </c>
      <c r="E84" s="459">
        <f>'SEMANA FEVEREIRO'!$I$141</f>
        <v>1464</v>
      </c>
      <c r="F84" s="459">
        <f>'SEMANA FEVEREIRO'!$D$141</f>
        <v>120</v>
      </c>
      <c r="G84" s="460">
        <f>'SEMANA FEVEREIRO'!$G$141</f>
        <v>1</v>
      </c>
      <c r="H84" s="458" t="s">
        <v>998</v>
      </c>
      <c r="I84" s="461">
        <v>70</v>
      </c>
    </row>
    <row r="85" spans="1:9" ht="15" customHeight="1" x14ac:dyDescent="0.3">
      <c r="A85" s="471">
        <v>46078</v>
      </c>
      <c r="B85" s="454" t="s">
        <v>959</v>
      </c>
      <c r="C85" s="454" t="s">
        <v>336</v>
      </c>
      <c r="D85" s="455">
        <f>'SEMANA FEVEREIRO'!$H$142</f>
        <v>122</v>
      </c>
      <c r="E85" s="455">
        <f>'SEMANA FEVEREIRO'!$I$142</f>
        <v>1464</v>
      </c>
      <c r="F85" s="455">
        <f>'SEMANA FEVEREIRO'!$D$142</f>
        <v>120</v>
      </c>
      <c r="G85" s="456">
        <f>'SEMANA FEVEREIRO'!$G$142</f>
        <v>1</v>
      </c>
      <c r="H85" s="454" t="s">
        <v>999</v>
      </c>
      <c r="I85" s="457">
        <v>70</v>
      </c>
    </row>
    <row r="86" spans="1:9" ht="15" customHeight="1" x14ac:dyDescent="0.3">
      <c r="A86" s="472">
        <v>46078</v>
      </c>
      <c r="B86" s="458" t="s">
        <v>959</v>
      </c>
      <c r="C86" s="458" t="s">
        <v>337</v>
      </c>
      <c r="D86" s="459">
        <f>'SEMANA FEVEREIRO'!$H$143</f>
        <v>122</v>
      </c>
      <c r="E86" s="459">
        <f>'SEMANA FEVEREIRO'!$I$143</f>
        <v>1464</v>
      </c>
      <c r="F86" s="459">
        <f>'SEMANA FEVEREIRO'!$D$143</f>
        <v>120</v>
      </c>
      <c r="G86" s="460">
        <f>'SEMANA FEVEREIRO'!$G$143</f>
        <v>1</v>
      </c>
      <c r="H86" s="458" t="s">
        <v>1000</v>
      </c>
      <c r="I86" s="461">
        <v>70</v>
      </c>
    </row>
    <row r="87" spans="1:9" ht="15" customHeight="1" x14ac:dyDescent="0.3">
      <c r="A87" s="471">
        <v>46078</v>
      </c>
      <c r="B87" s="454" t="s">
        <v>959</v>
      </c>
      <c r="C87" s="454" t="s">
        <v>338</v>
      </c>
      <c r="D87" s="455">
        <f>'SEMANA FEVEREIRO'!$H$144</f>
        <v>121</v>
      </c>
      <c r="E87" s="455">
        <f>'SEMANA FEVEREIRO'!$I$144</f>
        <v>1452</v>
      </c>
      <c r="F87" s="455">
        <f>'SEMANA FEVEREIRO'!$D$144</f>
        <v>120</v>
      </c>
      <c r="G87" s="456">
        <f>'SEMANA FEVEREIRO'!$G$144</f>
        <v>1</v>
      </c>
      <c r="H87" s="454" t="s">
        <v>1001</v>
      </c>
      <c r="I87" s="457">
        <v>70</v>
      </c>
    </row>
    <row r="88" spans="1:9" ht="15" customHeight="1" x14ac:dyDescent="0.3">
      <c r="A88" s="472">
        <v>46079</v>
      </c>
      <c r="B88" s="458" t="s">
        <v>959</v>
      </c>
      <c r="C88" s="458" t="s">
        <v>143</v>
      </c>
      <c r="D88" s="459">
        <f>'SEMANA FEVEREIRO'!$H$151</f>
        <v>1430</v>
      </c>
      <c r="E88" s="459">
        <f>'SEMANA FEVEREIRO'!$I$151</f>
        <v>8580</v>
      </c>
      <c r="F88" s="459">
        <f>'SEMANA FEVEREIRO'!$D$151</f>
        <v>1420</v>
      </c>
      <c r="G88" s="460">
        <f>'SEMANA FEVEREIRO'!$G$151</f>
        <v>5</v>
      </c>
      <c r="H88" s="458" t="s">
        <v>1002</v>
      </c>
      <c r="I88" s="461">
        <v>200</v>
      </c>
    </row>
    <row r="89" spans="1:9" ht="15" customHeight="1" x14ac:dyDescent="0.3">
      <c r="A89" s="471">
        <v>46079</v>
      </c>
      <c r="B89" s="454" t="s">
        <v>959</v>
      </c>
      <c r="C89" s="454" t="s">
        <v>340</v>
      </c>
      <c r="D89" s="455">
        <f>'SEMANA FEVEREIRO'!$H$152</f>
        <v>701</v>
      </c>
      <c r="E89" s="455">
        <f>'SEMANA FEVEREIRO'!$I$152</f>
        <v>4206</v>
      </c>
      <c r="F89" s="455">
        <f>'SEMANA FEVEREIRO'!$D$152</f>
        <v>660</v>
      </c>
      <c r="G89" s="456">
        <f>'SEMANA FEVEREIRO'!$G$152</f>
        <v>2</v>
      </c>
      <c r="H89" s="454" t="s">
        <v>1003</v>
      </c>
      <c r="I89" s="457">
        <v>200</v>
      </c>
    </row>
    <row r="90" spans="1:9" ht="15" customHeight="1" x14ac:dyDescent="0.3">
      <c r="A90" s="472">
        <v>46080</v>
      </c>
      <c r="B90" s="458" t="s">
        <v>959</v>
      </c>
      <c r="C90" s="458" t="s">
        <v>192</v>
      </c>
      <c r="D90" s="459">
        <f>'SEMANA FEVEREIRO'!$H$160</f>
        <v>91</v>
      </c>
      <c r="E90" s="459">
        <f>'SEMANA FEVEREIRO'!$I$160</f>
        <v>1092</v>
      </c>
      <c r="F90" s="459">
        <f>'SEMANA FEVEREIRO'!$D$160</f>
        <v>90</v>
      </c>
      <c r="G90" s="460">
        <f>'SEMANA FEVEREIRO'!$G$160</f>
        <v>1</v>
      </c>
      <c r="H90" s="458" t="s">
        <v>1004</v>
      </c>
      <c r="I90" s="461">
        <v>600</v>
      </c>
    </row>
    <row r="91" spans="1:9" ht="15" customHeight="1" x14ac:dyDescent="0.3">
      <c r="A91" s="471">
        <v>46080</v>
      </c>
      <c r="B91" s="454" t="s">
        <v>959</v>
      </c>
      <c r="C91" s="454" t="s">
        <v>54</v>
      </c>
      <c r="D91" s="455">
        <f>'SEMANA FEVEREIRO'!$H$161</f>
        <v>545</v>
      </c>
      <c r="E91" s="455">
        <f>'SEMANA FEVEREIRO'!$I$161</f>
        <v>6540</v>
      </c>
      <c r="F91" s="455">
        <f>'SEMANA FEVEREIRO'!$D$161</f>
        <v>1330</v>
      </c>
      <c r="G91" s="456">
        <f>'SEMANA FEVEREIRO'!$G$161</f>
        <v>14</v>
      </c>
      <c r="H91" s="454" t="s">
        <v>1005</v>
      </c>
      <c r="I91" s="457">
        <v>600</v>
      </c>
    </row>
    <row r="92" spans="1:9" ht="15" customHeight="1" x14ac:dyDescent="0.3">
      <c r="A92"/>
    </row>
    <row r="93" spans="1:9" ht="15" customHeight="1" x14ac:dyDescent="0.3">
      <c r="A93"/>
    </row>
    <row r="94" spans="1:9" ht="15" customHeight="1" x14ac:dyDescent="0.3">
      <c r="A94" s="472">
        <v>46083</v>
      </c>
      <c r="B94" s="458" t="s">
        <v>1006</v>
      </c>
      <c r="C94" s="458" t="s">
        <v>54</v>
      </c>
      <c r="D94" s="459">
        <f>'SEMANA MARÇO'!$H$4</f>
        <v>802</v>
      </c>
      <c r="E94" s="459">
        <f>'SEMANA MARÇO'!$I$4</f>
        <v>9624</v>
      </c>
      <c r="F94" s="459">
        <f>'SEMANA MARÇO'!$D$4</f>
        <v>-1</v>
      </c>
      <c r="G94" s="460">
        <f>'SEMANA MARÇO'!$G$4</f>
        <v>-1</v>
      </c>
      <c r="H94" s="458" t="s">
        <v>1007</v>
      </c>
      <c r="I94" s="461">
        <v>600</v>
      </c>
    </row>
    <row r="95" spans="1:9" ht="15" customHeight="1" x14ac:dyDescent="0.3">
      <c r="A95" s="471">
        <v>46083</v>
      </c>
      <c r="B95" s="454" t="s">
        <v>1006</v>
      </c>
      <c r="C95" s="454" t="s">
        <v>68</v>
      </c>
      <c r="D95" s="455">
        <f>'SEMANA MARÇO'!$H$5</f>
        <v>197</v>
      </c>
      <c r="E95" s="455">
        <f>'SEMANA MARÇO'!$I$5</f>
        <v>2364</v>
      </c>
      <c r="F95" s="455">
        <f>'SEMANA MARÇO'!$D$5</f>
        <v>1330</v>
      </c>
      <c r="G95" s="456">
        <f>'SEMANA MARÇO'!$G$5</f>
        <v>14</v>
      </c>
      <c r="H95" s="454" t="s">
        <v>1008</v>
      </c>
      <c r="I95" s="457">
        <v>600</v>
      </c>
    </row>
    <row r="96" spans="1:9" ht="15" customHeight="1" x14ac:dyDescent="0.3">
      <c r="A96" s="472">
        <v>46084</v>
      </c>
      <c r="B96" s="458" t="s">
        <v>1006</v>
      </c>
      <c r="C96" s="458" t="s">
        <v>68</v>
      </c>
      <c r="D96" s="459">
        <f>'SEMANA MARÇO'!$H$13</f>
        <v>1133</v>
      </c>
      <c r="E96" s="459">
        <f>'SEMANA MARÇO'!$I$13</f>
        <v>13596</v>
      </c>
      <c r="F96" s="459">
        <f>'SEMANA MARÇO'!$D$13</f>
        <v>0</v>
      </c>
      <c r="G96" s="460">
        <f>'SEMANA MARÇO'!$G$13</f>
        <v>0</v>
      </c>
      <c r="H96" s="458" t="s">
        <v>1009</v>
      </c>
      <c r="I96" s="461">
        <v>600</v>
      </c>
    </row>
    <row r="97" spans="1:9" ht="15" customHeight="1" x14ac:dyDescent="0.3">
      <c r="A97" s="471">
        <v>46084</v>
      </c>
      <c r="B97" s="454" t="s">
        <v>1006</v>
      </c>
      <c r="C97" s="454" t="s">
        <v>60</v>
      </c>
      <c r="D97" s="455">
        <f>'SEMANA MARÇO'!$H$14</f>
        <v>196</v>
      </c>
      <c r="E97" s="455">
        <f>'SEMANA MARÇO'!$I$14</f>
        <v>2352</v>
      </c>
      <c r="F97" s="455">
        <f>'SEMANA MARÇO'!$D$14</f>
        <v>665</v>
      </c>
      <c r="G97" s="456">
        <f>'SEMANA MARÇO'!$G$14</f>
        <v>7</v>
      </c>
      <c r="H97" s="454" t="s">
        <v>1010</v>
      </c>
      <c r="I97" s="457">
        <v>600</v>
      </c>
    </row>
    <row r="98" spans="1:9" ht="15" customHeight="1" x14ac:dyDescent="0.3">
      <c r="A98" s="472">
        <v>46085</v>
      </c>
      <c r="B98" s="458" t="s">
        <v>1006</v>
      </c>
      <c r="C98" s="458" t="s">
        <v>60</v>
      </c>
      <c r="D98" s="459">
        <f>'SEMANA MARÇO'!$H$22</f>
        <v>469</v>
      </c>
      <c r="E98" s="459">
        <f>'SEMANA MARÇO'!$I$22</f>
        <v>5628</v>
      </c>
      <c r="F98" s="459">
        <f>'SEMANA MARÇO'!$D$22</f>
        <v>0</v>
      </c>
      <c r="G98" s="460">
        <f>'SEMANA MARÇO'!$G$22</f>
        <v>0</v>
      </c>
      <c r="H98" s="458" t="s">
        <v>1011</v>
      </c>
      <c r="I98" s="461">
        <v>600</v>
      </c>
    </row>
    <row r="99" spans="1:9" ht="15" customHeight="1" x14ac:dyDescent="0.3">
      <c r="A99" s="471">
        <v>46085</v>
      </c>
      <c r="B99" s="454" t="s">
        <v>1006</v>
      </c>
      <c r="C99" s="454" t="s">
        <v>160</v>
      </c>
      <c r="D99" s="455">
        <f>'SEMANA MARÇO'!$H$23</f>
        <v>288</v>
      </c>
      <c r="E99" s="455">
        <f>'SEMANA MARÇO'!$I$23</f>
        <v>3456</v>
      </c>
      <c r="F99" s="455">
        <f>'SEMANA MARÇO'!$D$23</f>
        <v>285</v>
      </c>
      <c r="G99" s="456">
        <f>'SEMANA MARÇO'!$G$23</f>
        <v>3</v>
      </c>
      <c r="H99" s="454" t="s">
        <v>1012</v>
      </c>
      <c r="I99" s="457">
        <v>600</v>
      </c>
    </row>
    <row r="100" spans="1:9" ht="15" customHeight="1" x14ac:dyDescent="0.3">
      <c r="A100" s="472">
        <v>46085</v>
      </c>
      <c r="B100" s="458" t="s">
        <v>1006</v>
      </c>
      <c r="C100" s="458" t="s">
        <v>438</v>
      </c>
      <c r="D100" s="459">
        <f>'SEMANA MARÇO'!$H$24</f>
        <v>199</v>
      </c>
      <c r="E100" s="459">
        <f>'SEMANA MARÇO'!$I$24</f>
        <v>2388</v>
      </c>
      <c r="F100" s="459">
        <f>'SEMANA MARÇO'!$D$24</f>
        <v>240</v>
      </c>
      <c r="G100" s="460">
        <f>'SEMANA MARÇO'!$G$24</f>
        <v>3</v>
      </c>
      <c r="H100" s="458" t="s">
        <v>1013</v>
      </c>
      <c r="I100" s="461">
        <v>600</v>
      </c>
    </row>
    <row r="101" spans="1:9" ht="15" customHeight="1" x14ac:dyDescent="0.3">
      <c r="A101" s="471">
        <v>46086</v>
      </c>
      <c r="B101" s="454" t="s">
        <v>1006</v>
      </c>
      <c r="C101" s="454" t="s">
        <v>438</v>
      </c>
      <c r="D101" s="455">
        <f>'SEMANA MARÇO'!$H$31</f>
        <v>42</v>
      </c>
      <c r="E101" s="455">
        <f>'SEMANA MARÇO'!$I$31</f>
        <v>504</v>
      </c>
      <c r="F101" s="455">
        <f>'SEMANA MARÇO'!$D$31</f>
        <v>285</v>
      </c>
      <c r="G101" s="456">
        <f>'SEMANA MARÇO'!$G$31</f>
        <v>3</v>
      </c>
      <c r="H101" s="454" t="s">
        <v>1014</v>
      </c>
      <c r="I101" s="457">
        <v>600</v>
      </c>
    </row>
    <row r="102" spans="1:9" ht="15" customHeight="1" x14ac:dyDescent="0.3">
      <c r="A102" s="472">
        <v>46086</v>
      </c>
      <c r="B102" s="458" t="s">
        <v>1006</v>
      </c>
      <c r="C102" s="458" t="s">
        <v>439</v>
      </c>
      <c r="D102" s="459">
        <f>'SEMANA MARÇO'!$H$32</f>
        <v>307</v>
      </c>
      <c r="E102" s="459">
        <f>'SEMANA MARÇO'!$I$32</f>
        <v>3684</v>
      </c>
      <c r="F102" s="459">
        <f>'SEMANA MARÇO'!$D$32</f>
        <v>308</v>
      </c>
      <c r="G102" s="460">
        <f>'SEMANA MARÇO'!$G$32</f>
        <v>4</v>
      </c>
      <c r="H102" s="458" t="s">
        <v>1015</v>
      </c>
      <c r="I102" s="461">
        <v>600</v>
      </c>
    </row>
    <row r="103" spans="1:9" ht="15" customHeight="1" x14ac:dyDescent="0.3">
      <c r="A103" s="471">
        <v>46086</v>
      </c>
      <c r="B103" s="454" t="s">
        <v>1006</v>
      </c>
      <c r="C103" s="454" t="s">
        <v>440</v>
      </c>
      <c r="D103" s="455">
        <f>'SEMANA MARÇO'!$H$33</f>
        <v>242</v>
      </c>
      <c r="E103" s="455">
        <f>'SEMANA MARÇO'!$I$33</f>
        <v>2904</v>
      </c>
      <c r="F103" s="455">
        <f>'SEMANA MARÇO'!$D$33</f>
        <v>240</v>
      </c>
      <c r="G103" s="456">
        <f>'SEMANA MARÇO'!$G$33</f>
        <v>1</v>
      </c>
      <c r="H103" s="454" t="s">
        <v>1016</v>
      </c>
      <c r="I103" s="457">
        <v>180</v>
      </c>
    </row>
    <row r="104" spans="1:9" ht="15" customHeight="1" x14ac:dyDescent="0.3">
      <c r="A104" s="472">
        <v>46086</v>
      </c>
      <c r="B104" s="458" t="s">
        <v>1006</v>
      </c>
      <c r="C104" s="458" t="s">
        <v>54</v>
      </c>
      <c r="D104" s="459">
        <f>'SEMANA MARÇO'!$H$34</f>
        <v>276</v>
      </c>
      <c r="E104" s="459">
        <f>'SEMANA MARÇO'!$I$34</f>
        <v>3312</v>
      </c>
      <c r="F104" s="459">
        <f>'SEMANA MARÇO'!$D$34</f>
        <v>240</v>
      </c>
      <c r="G104" s="460">
        <f>'SEMANA MARÇO'!$G$34</f>
        <v>1</v>
      </c>
      <c r="H104" s="458" t="s">
        <v>1017</v>
      </c>
      <c r="I104" s="461">
        <v>180</v>
      </c>
    </row>
    <row r="105" spans="1:9" ht="15" customHeight="1" x14ac:dyDescent="0.3">
      <c r="A105" s="471">
        <v>46086</v>
      </c>
      <c r="B105" s="454" t="s">
        <v>1006</v>
      </c>
      <c r="C105" s="454" t="s">
        <v>441</v>
      </c>
      <c r="D105" s="455">
        <f>'SEMANA MARÇO'!$H$35</f>
        <v>242</v>
      </c>
      <c r="E105" s="455">
        <f>'SEMANA MARÇO'!$I$35</f>
        <v>2904</v>
      </c>
      <c r="F105" s="455">
        <f>'SEMANA MARÇO'!$D$35</f>
        <v>240</v>
      </c>
      <c r="G105" s="456">
        <f>'SEMANA MARÇO'!$G$35</f>
        <v>1</v>
      </c>
      <c r="H105" s="454" t="s">
        <v>1018</v>
      </c>
      <c r="I105" s="457">
        <v>180</v>
      </c>
    </row>
    <row r="106" spans="1:9" ht="15" customHeight="1" x14ac:dyDescent="0.3">
      <c r="A106" s="472">
        <v>46087</v>
      </c>
      <c r="B106" s="458" t="s">
        <v>1006</v>
      </c>
      <c r="C106" s="458" t="s">
        <v>442</v>
      </c>
      <c r="D106" s="459">
        <f>'SEMANA MARÇO'!$H$40</f>
        <v>241</v>
      </c>
      <c r="E106" s="459">
        <f>'SEMANA MARÇO'!$I$40</f>
        <v>2892</v>
      </c>
      <c r="F106" s="459">
        <f>'SEMANA MARÇO'!$D$40</f>
        <v>240</v>
      </c>
      <c r="G106" s="460" t="str">
        <f>'SEMANA MARÇO'!$G$40</f>
        <v/>
      </c>
      <c r="H106" s="458" t="s">
        <v>1019</v>
      </c>
      <c r="I106" s="461">
        <v>120</v>
      </c>
    </row>
    <row r="107" spans="1:9" ht="15" customHeight="1" x14ac:dyDescent="0.3">
      <c r="A107" s="471">
        <v>46087</v>
      </c>
      <c r="B107" s="454" t="s">
        <v>1006</v>
      </c>
      <c r="C107" s="454" t="s">
        <v>443</v>
      </c>
      <c r="D107" s="455">
        <f>'SEMANA MARÇO'!$H$41</f>
        <v>242</v>
      </c>
      <c r="E107" s="455">
        <f>'SEMANA MARÇO'!$I$41</f>
        <v>2904</v>
      </c>
      <c r="F107" s="455">
        <f>'SEMANA MARÇO'!$D$41</f>
        <v>240</v>
      </c>
      <c r="G107" s="456" t="str">
        <f>'SEMANA MARÇO'!$G$41</f>
        <v/>
      </c>
      <c r="H107" s="454" t="s">
        <v>1020</v>
      </c>
      <c r="I107" s="457">
        <v>120</v>
      </c>
    </row>
    <row r="108" spans="1:9" ht="15" customHeight="1" x14ac:dyDescent="0.3">
      <c r="A108" s="472">
        <v>46087</v>
      </c>
      <c r="B108" s="458" t="s">
        <v>1006</v>
      </c>
      <c r="C108" s="458" t="s">
        <v>439</v>
      </c>
      <c r="D108" s="459">
        <f>'SEMANA MARÇO'!$H$42</f>
        <v>192</v>
      </c>
      <c r="E108" s="459">
        <f>'SEMANA MARÇO'!$I$42</f>
        <v>2304</v>
      </c>
      <c r="F108" s="459">
        <f>'SEMANA MARÇO'!$D$42</f>
        <v>193</v>
      </c>
      <c r="G108" s="460">
        <f>'SEMANA MARÇO'!$G$42</f>
        <v>2</v>
      </c>
      <c r="H108" s="458" t="s">
        <v>1021</v>
      </c>
      <c r="I108" s="461">
        <v>400</v>
      </c>
    </row>
    <row r="109" spans="1:9" ht="15" customHeight="1" x14ac:dyDescent="0.3">
      <c r="A109" s="471">
        <v>46087</v>
      </c>
      <c r="B109" s="454" t="s">
        <v>1006</v>
      </c>
      <c r="C109" s="454" t="s">
        <v>62</v>
      </c>
      <c r="D109" s="455">
        <f>'SEMANA MARÇO'!$H$43</f>
        <v>270</v>
      </c>
      <c r="E109" s="455">
        <f>'SEMANA MARÇO'!$I$43</f>
        <v>3240</v>
      </c>
      <c r="F109" s="455">
        <f>'SEMANA MARÇO'!$D$43</f>
        <v>2060</v>
      </c>
      <c r="G109" s="456">
        <f>'SEMANA MARÇO'!$G$43</f>
        <v>17</v>
      </c>
      <c r="H109" s="454" t="s">
        <v>1022</v>
      </c>
      <c r="I109" s="457">
        <v>400</v>
      </c>
    </row>
    <row r="110" spans="1:9" ht="15" customHeight="1" x14ac:dyDescent="0.3">
      <c r="A110" s="472">
        <v>46090</v>
      </c>
      <c r="B110" s="458" t="s">
        <v>1006</v>
      </c>
      <c r="C110" s="458" t="s">
        <v>62</v>
      </c>
      <c r="D110" s="459">
        <f>'SEMANA MARÇO'!$H$49</f>
        <v>1278</v>
      </c>
      <c r="E110" s="459">
        <f>'SEMANA MARÇO'!$I$49</f>
        <v>15336</v>
      </c>
      <c r="F110" s="459">
        <f>'SEMANA MARÇO'!$D$49</f>
        <v>2060</v>
      </c>
      <c r="G110" s="460">
        <f>'SEMANA MARÇO'!$G$49</f>
        <v>17</v>
      </c>
      <c r="H110" s="458" t="s">
        <v>1023</v>
      </c>
      <c r="I110" s="461">
        <v>400</v>
      </c>
    </row>
    <row r="111" spans="1:9" ht="15" customHeight="1" x14ac:dyDescent="0.3">
      <c r="A111" s="471">
        <v>46091</v>
      </c>
      <c r="B111" s="454" t="s">
        <v>1006</v>
      </c>
      <c r="C111" s="454" t="s">
        <v>62</v>
      </c>
      <c r="D111" s="455">
        <f>'SEMANA MARÇO'!$H$58</f>
        <v>526</v>
      </c>
      <c r="E111" s="455">
        <f>'SEMANA MARÇO'!$I$58</f>
        <v>6312</v>
      </c>
      <c r="F111" s="455">
        <f>'SEMANA MARÇO'!$D$58</f>
        <v>526</v>
      </c>
      <c r="G111" s="456">
        <f>'SEMANA MARÇO'!$G$58</f>
        <v>5</v>
      </c>
      <c r="H111" s="454" t="s">
        <v>1024</v>
      </c>
      <c r="I111" s="457">
        <v>400</v>
      </c>
    </row>
    <row r="112" spans="1:9" ht="15" customHeight="1" x14ac:dyDescent="0.3">
      <c r="A112" s="472">
        <v>46091</v>
      </c>
      <c r="B112" s="458" t="s">
        <v>1006</v>
      </c>
      <c r="C112" s="458" t="s">
        <v>446</v>
      </c>
      <c r="D112" s="459">
        <f>'SEMANA MARÇO'!$H$59</f>
        <v>251</v>
      </c>
      <c r="E112" s="459">
        <f>'SEMANA MARÇO'!$I$59</f>
        <v>3012</v>
      </c>
      <c r="F112" s="459">
        <f>'SEMANA MARÇO'!$D$59</f>
        <v>251</v>
      </c>
      <c r="G112" s="460">
        <f>'SEMANA MARÇO'!$G$59</f>
        <v>3</v>
      </c>
      <c r="H112" s="458" t="s">
        <v>1025</v>
      </c>
      <c r="I112" s="461">
        <v>400</v>
      </c>
    </row>
    <row r="113" spans="1:9" ht="15" customHeight="1" x14ac:dyDescent="0.3">
      <c r="A113" s="471">
        <v>46091</v>
      </c>
      <c r="B113" s="454" t="s">
        <v>1006</v>
      </c>
      <c r="C113" s="454" t="s">
        <v>447</v>
      </c>
      <c r="D113" s="455">
        <f>'SEMANA MARÇO'!$H$60</f>
        <v>252</v>
      </c>
      <c r="E113" s="455">
        <f>'SEMANA MARÇO'!$I$60</f>
        <v>3024</v>
      </c>
      <c r="F113" s="455">
        <f>'SEMANA MARÇO'!$D$60</f>
        <v>252</v>
      </c>
      <c r="G113" s="456">
        <f>'SEMANA MARÇO'!$G$60</f>
        <v>3</v>
      </c>
      <c r="H113" s="454" t="s">
        <v>1026</v>
      </c>
      <c r="I113" s="457">
        <v>400</v>
      </c>
    </row>
    <row r="114" spans="1:9" ht="15" customHeight="1" x14ac:dyDescent="0.3">
      <c r="A114" s="472">
        <v>46091</v>
      </c>
      <c r="B114" s="458" t="s">
        <v>1006</v>
      </c>
      <c r="C114" s="458" t="s">
        <v>64</v>
      </c>
      <c r="D114" s="459">
        <f>'SEMANA MARÇO'!$H$61</f>
        <v>69</v>
      </c>
      <c r="E114" s="459">
        <f>'SEMANA MARÇO'!$I$61</f>
        <v>828</v>
      </c>
      <c r="F114" s="459">
        <f>'SEMANA MARÇO'!$D$61</f>
        <v>1575</v>
      </c>
      <c r="G114" s="460">
        <f>'SEMANA MARÇO'!$G$61</f>
        <v>13</v>
      </c>
      <c r="H114" s="458" t="s">
        <v>1027</v>
      </c>
      <c r="I114" s="461">
        <v>400</v>
      </c>
    </row>
    <row r="115" spans="1:9" ht="15" customHeight="1" x14ac:dyDescent="0.3">
      <c r="A115" s="471">
        <v>46092</v>
      </c>
      <c r="B115" s="454" t="s">
        <v>1006</v>
      </c>
      <c r="C115" s="454" t="s">
        <v>64</v>
      </c>
      <c r="D115" s="455">
        <f>'SEMANA MARÇO'!$H$67</f>
        <v>1144</v>
      </c>
      <c r="E115" s="455">
        <f>'SEMANA MARÇO'!$I$67</f>
        <v>13728</v>
      </c>
      <c r="F115" s="455">
        <f>'SEMANA MARÇO'!$D$67</f>
        <v>252</v>
      </c>
      <c r="G115" s="456">
        <f>'SEMANA MARÇO'!$G$67</f>
        <v>3</v>
      </c>
      <c r="H115" s="454" t="s">
        <v>1028</v>
      </c>
      <c r="I115" s="457">
        <v>400</v>
      </c>
    </row>
    <row r="116" spans="1:9" ht="15" customHeight="1" x14ac:dyDescent="0.3">
      <c r="A116" s="472">
        <v>46093</v>
      </c>
      <c r="B116" s="458" t="s">
        <v>1006</v>
      </c>
      <c r="C116" s="458" t="s">
        <v>64</v>
      </c>
      <c r="D116" s="459">
        <f>'SEMANA MARÇO'!$H$76</f>
        <v>362</v>
      </c>
      <c r="E116" s="459">
        <f>'SEMANA MARÇO'!$I$76</f>
        <v>4344</v>
      </c>
      <c r="F116" s="459">
        <f>'SEMANA MARÇO'!$D$76</f>
        <v>252</v>
      </c>
      <c r="G116" s="460">
        <f>'SEMANA MARÇO'!$G$76</f>
        <v>3</v>
      </c>
      <c r="H116" s="458" t="s">
        <v>1029</v>
      </c>
      <c r="I116" s="461">
        <v>400</v>
      </c>
    </row>
    <row r="117" spans="1:9" ht="15" customHeight="1" x14ac:dyDescent="0.3">
      <c r="A117" s="471">
        <v>46093</v>
      </c>
      <c r="B117" s="454" t="s">
        <v>1006</v>
      </c>
      <c r="C117" s="454" t="s">
        <v>54</v>
      </c>
      <c r="D117" s="455">
        <f>'SEMANA MARÇO'!$H$77</f>
        <v>463</v>
      </c>
      <c r="E117" s="455">
        <f>'SEMANA MARÇO'!$I$77</f>
        <v>5556</v>
      </c>
      <c r="F117" s="455">
        <f>'SEMANA MARÇO'!$D$77</f>
        <v>3500</v>
      </c>
      <c r="G117" s="456">
        <f>'SEMANA MARÇO'!$G$77</f>
        <v>28</v>
      </c>
      <c r="H117" s="454" t="s">
        <v>1030</v>
      </c>
      <c r="I117" s="457">
        <v>400</v>
      </c>
    </row>
    <row r="118" spans="1:9" ht="15" customHeight="1" x14ac:dyDescent="0.3">
      <c r="A118" s="472">
        <v>46094</v>
      </c>
      <c r="B118" s="458" t="s">
        <v>1006</v>
      </c>
      <c r="C118" s="458" t="s">
        <v>54</v>
      </c>
      <c r="D118" s="459">
        <f>'SEMANA MARÇO'!$H$85</f>
        <v>1121</v>
      </c>
      <c r="E118" s="459">
        <f>'SEMANA MARÇO'!$I$85</f>
        <v>13452</v>
      </c>
      <c r="F118" s="459">
        <f>'SEMANA MARÇO'!$D$85</f>
        <v>3500</v>
      </c>
      <c r="G118" s="460">
        <f>'SEMANA MARÇO'!$G$85</f>
        <v>28</v>
      </c>
      <c r="H118" s="458" t="s">
        <v>1031</v>
      </c>
      <c r="I118" s="461">
        <v>400</v>
      </c>
    </row>
    <row r="119" spans="1:9" ht="15" customHeight="1" x14ac:dyDescent="0.3">
      <c r="A119" s="471">
        <v>46097</v>
      </c>
      <c r="B119" s="454" t="s">
        <v>1006</v>
      </c>
      <c r="C119" s="454" t="s">
        <v>54</v>
      </c>
      <c r="D119" s="455">
        <f>'SEMANA MARÇO'!$H$94</f>
        <v>1206</v>
      </c>
      <c r="E119" s="455">
        <f>'SEMANA MARÇO'!$I$94</f>
        <v>14472</v>
      </c>
      <c r="F119" s="455">
        <f>'SEMANA MARÇO'!$D$94</f>
        <v>0</v>
      </c>
      <c r="G119" s="456">
        <f>'SEMANA MARÇO'!$G$94</f>
        <v>0</v>
      </c>
      <c r="H119" s="454" t="s">
        <v>1032</v>
      </c>
      <c r="I119" s="457">
        <v>400</v>
      </c>
    </row>
    <row r="120" spans="1:9" ht="15" customHeight="1" x14ac:dyDescent="0.3">
      <c r="A120" s="472">
        <v>46097</v>
      </c>
      <c r="B120" s="458" t="s">
        <v>1006</v>
      </c>
      <c r="C120" s="458" t="s">
        <v>58</v>
      </c>
      <c r="D120" s="459">
        <f>'SEMANA MARÇO'!$H$95</f>
        <v>171</v>
      </c>
      <c r="E120" s="459">
        <f>'SEMANA MARÇO'!$I$95</f>
        <v>2052</v>
      </c>
      <c r="F120" s="459">
        <f>'SEMANA MARÇO'!$D$95</f>
        <v>2310</v>
      </c>
      <c r="G120" s="460">
        <f>'SEMANA MARÇO'!$G$95</f>
        <v>19</v>
      </c>
      <c r="H120" s="458" t="s">
        <v>1033</v>
      </c>
      <c r="I120" s="461">
        <v>400</v>
      </c>
    </row>
    <row r="121" spans="1:9" ht="15" customHeight="1" x14ac:dyDescent="0.3">
      <c r="A121" s="471">
        <v>46098</v>
      </c>
      <c r="B121" s="454" t="s">
        <v>1006</v>
      </c>
      <c r="C121" s="454" t="s">
        <v>58</v>
      </c>
      <c r="D121" s="455">
        <f>'SEMANA MARÇO'!$H$103</f>
        <v>1482</v>
      </c>
      <c r="E121" s="455">
        <f>'SEMANA MARÇO'!$I$103</f>
        <v>17784</v>
      </c>
      <c r="F121" s="455">
        <f>'SEMANA MARÇO'!$D$103</f>
        <v>0</v>
      </c>
      <c r="G121" s="456">
        <f>'SEMANA MARÇO'!$G$103</f>
        <v>0</v>
      </c>
      <c r="H121" s="454" t="s">
        <v>1034</v>
      </c>
      <c r="I121" s="457">
        <v>400</v>
      </c>
    </row>
    <row r="122" spans="1:9" ht="15" customHeight="1" x14ac:dyDescent="0.3">
      <c r="A122" s="472">
        <v>46099</v>
      </c>
      <c r="B122" s="458" t="s">
        <v>1006</v>
      </c>
      <c r="C122" s="458" t="s">
        <v>58</v>
      </c>
      <c r="D122" s="459">
        <f>'SEMANA MARÇO'!$H$112</f>
        <v>657</v>
      </c>
      <c r="E122" s="459">
        <f>'SEMANA MARÇO'!$I$112</f>
        <v>7884</v>
      </c>
      <c r="F122" s="459">
        <f>'SEMANA MARÇO'!$D$112</f>
        <v>0</v>
      </c>
      <c r="G122" s="460">
        <f>'SEMANA MARÇO'!$G$112</f>
        <v>0</v>
      </c>
      <c r="H122" s="458" t="s">
        <v>1035</v>
      </c>
      <c r="I122" s="461">
        <v>400</v>
      </c>
    </row>
    <row r="123" spans="1:9" ht="15" customHeight="1" x14ac:dyDescent="0.3">
      <c r="A123" s="471">
        <v>46099</v>
      </c>
      <c r="B123" s="454" t="s">
        <v>1006</v>
      </c>
      <c r="C123" s="454" t="s">
        <v>72</v>
      </c>
      <c r="D123" s="455">
        <f>'SEMANA MARÇO'!$H$113</f>
        <v>644</v>
      </c>
      <c r="E123" s="455">
        <f>'SEMANA MARÇO'!$I$113</f>
        <v>7728</v>
      </c>
      <c r="F123" s="455">
        <f>'SEMANA MARÇO'!$D$113</f>
        <v>750</v>
      </c>
      <c r="G123" s="456">
        <f>'SEMANA MARÇO'!$G$113</f>
        <v>6</v>
      </c>
      <c r="H123" s="454" t="s">
        <v>1036</v>
      </c>
      <c r="I123" s="457">
        <v>400</v>
      </c>
    </row>
    <row r="124" spans="1:9" ht="15" customHeight="1" x14ac:dyDescent="0.3">
      <c r="A124" s="472">
        <v>46100</v>
      </c>
      <c r="B124" s="458" t="s">
        <v>1006</v>
      </c>
      <c r="C124" s="458" t="s">
        <v>72</v>
      </c>
      <c r="D124" s="459">
        <f>'SEMANA MARÇO'!$H$121</f>
        <v>106</v>
      </c>
      <c r="E124" s="459">
        <f>'SEMANA MARÇO'!$I$121</f>
        <v>1272</v>
      </c>
      <c r="F124" s="459">
        <f>'SEMANA MARÇO'!$D$121</f>
        <v>750</v>
      </c>
      <c r="G124" s="460">
        <f>'SEMANA MARÇO'!$G$121</f>
        <v>6</v>
      </c>
      <c r="H124" s="458" t="s">
        <v>1037</v>
      </c>
      <c r="I124" s="461">
        <v>400</v>
      </c>
    </row>
    <row r="125" spans="1:9" ht="15" customHeight="1" x14ac:dyDescent="0.3">
      <c r="A125" s="471">
        <v>46100</v>
      </c>
      <c r="B125" s="454" t="s">
        <v>1006</v>
      </c>
      <c r="C125" s="454" t="s">
        <v>168</v>
      </c>
      <c r="D125" s="455">
        <f>'SEMANA MARÇO'!$H$122</f>
        <v>202</v>
      </c>
      <c r="E125" s="455">
        <f>'SEMANA MARÇO'!$I$122</f>
        <v>2424</v>
      </c>
      <c r="F125" s="455">
        <f>'SEMANA MARÇO'!$D$122</f>
        <v>200</v>
      </c>
      <c r="G125" s="456">
        <f>'SEMANA MARÇO'!$G$122</f>
        <v>2</v>
      </c>
      <c r="H125" s="454" t="s">
        <v>1038</v>
      </c>
      <c r="I125" s="457">
        <v>400</v>
      </c>
    </row>
    <row r="126" spans="1:9" ht="15" customHeight="1" x14ac:dyDescent="0.3">
      <c r="A126" s="472">
        <v>46100</v>
      </c>
      <c r="B126" s="458" t="s">
        <v>1006</v>
      </c>
      <c r="C126" s="458" t="s">
        <v>449</v>
      </c>
      <c r="D126" s="459">
        <f>'SEMANA MARÇO'!$H$123</f>
        <v>994</v>
      </c>
      <c r="E126" s="459">
        <f>'SEMANA MARÇO'!$I$123</f>
        <v>5964</v>
      </c>
      <c r="F126" s="459">
        <f>'SEMANA MARÇO'!$D$123</f>
        <v>990</v>
      </c>
      <c r="G126" s="460">
        <f>'SEMANA MARÇO'!$G$123</f>
        <v>3</v>
      </c>
      <c r="H126" s="458" t="s">
        <v>1039</v>
      </c>
      <c r="I126" s="461">
        <v>200</v>
      </c>
    </row>
    <row r="127" spans="1:9" ht="15" customHeight="1" x14ac:dyDescent="0.3">
      <c r="A127" s="471">
        <v>46100</v>
      </c>
      <c r="B127" s="454" t="s">
        <v>1006</v>
      </c>
      <c r="C127" s="454" t="s">
        <v>70</v>
      </c>
      <c r="D127" s="455">
        <f>'SEMANA MARÇO'!$H$124</f>
        <v>74</v>
      </c>
      <c r="E127" s="455">
        <f>'SEMANA MARÇO'!$I$124</f>
        <v>888</v>
      </c>
      <c r="F127" s="455">
        <f>'SEMANA MARÇO'!$D$124</f>
        <v>1140</v>
      </c>
      <c r="G127" s="456">
        <f>'SEMANA MARÇO'!$G$124</f>
        <v>12</v>
      </c>
      <c r="H127" s="454" t="s">
        <v>1040</v>
      </c>
      <c r="I127" s="457">
        <v>600</v>
      </c>
    </row>
    <row r="128" spans="1:9" ht="15" customHeight="1" x14ac:dyDescent="0.3">
      <c r="A128" s="472">
        <v>46101</v>
      </c>
      <c r="B128" s="458" t="s">
        <v>1006</v>
      </c>
      <c r="C128" s="458" t="s">
        <v>70</v>
      </c>
      <c r="D128" s="459">
        <f>'SEMANA MARÇO'!$H$130</f>
        <v>431</v>
      </c>
      <c r="E128" s="459">
        <f>'SEMANA MARÇO'!$I$130</f>
        <v>5172</v>
      </c>
      <c r="F128" s="459">
        <f>'SEMANA MARÇO'!$D$130</f>
        <v>1140</v>
      </c>
      <c r="G128" s="460">
        <f>'SEMANA MARÇO'!$G$130</f>
        <v>12</v>
      </c>
      <c r="H128" s="458" t="s">
        <v>1041</v>
      </c>
      <c r="I128" s="461">
        <v>600</v>
      </c>
    </row>
    <row r="129" spans="1:9" ht="15" customHeight="1" x14ac:dyDescent="0.3">
      <c r="A129" s="471">
        <v>46104</v>
      </c>
      <c r="B129" s="454" t="s">
        <v>1006</v>
      </c>
      <c r="C129" s="454" t="s">
        <v>70</v>
      </c>
      <c r="D129" s="455">
        <f>'SEMANA MARÇO'!$H$139</f>
        <v>635</v>
      </c>
      <c r="E129" s="455">
        <f>'SEMANA MARÇO'!$I$139</f>
        <v>7620</v>
      </c>
      <c r="F129" s="455">
        <f>'SEMANA MARÇO'!$D$139</f>
        <v>1140</v>
      </c>
      <c r="G129" s="456">
        <f>'SEMANA MARÇO'!$G$139</f>
        <v>12</v>
      </c>
      <c r="H129" s="454" t="s">
        <v>1042</v>
      </c>
      <c r="I129" s="457">
        <v>600</v>
      </c>
    </row>
    <row r="130" spans="1:9" ht="15" customHeight="1" x14ac:dyDescent="0.3">
      <c r="A130" s="472">
        <v>46104</v>
      </c>
      <c r="B130" s="458" t="s">
        <v>1006</v>
      </c>
      <c r="C130" s="458" t="s">
        <v>60</v>
      </c>
      <c r="D130" s="459">
        <f>'SEMANA MARÇO'!$H$140</f>
        <v>86</v>
      </c>
      <c r="E130" s="459">
        <f>'SEMANA MARÇO'!$I$140</f>
        <v>1032</v>
      </c>
      <c r="F130" s="459">
        <f>'SEMANA MARÇO'!$D$140</f>
        <v>665</v>
      </c>
      <c r="G130" s="460">
        <f>'SEMANA MARÇO'!$G$140</f>
        <v>7</v>
      </c>
      <c r="H130" s="458" t="s">
        <v>1043</v>
      </c>
      <c r="I130" s="461">
        <v>600</v>
      </c>
    </row>
    <row r="131" spans="1:9" ht="15" customHeight="1" x14ac:dyDescent="0.3">
      <c r="A131"/>
    </row>
    <row r="132" spans="1:9" ht="15" customHeight="1" x14ac:dyDescent="0.3">
      <c r="A132"/>
    </row>
    <row r="133" spans="1:9" ht="14.25" customHeight="1" x14ac:dyDescent="0.3">
      <c r="A133" s="471">
        <v>46113</v>
      </c>
      <c r="B133" s="454" t="s">
        <v>1044</v>
      </c>
      <c r="C133" s="454" t="s">
        <v>452</v>
      </c>
      <c r="D133" s="455">
        <f>'SEMANA ABRIL'!$H$4</f>
        <v>71</v>
      </c>
      <c r="E133" s="455">
        <f>'SEMANA ABRIL'!$I$4</f>
        <v>852</v>
      </c>
      <c r="F133" s="455">
        <f>'SEMANA ABRIL'!$D$4</f>
        <v>78</v>
      </c>
      <c r="G133" s="456">
        <f>'SEMANA ABRIL'!$G$4</f>
        <v>1</v>
      </c>
      <c r="H133" s="454" t="s">
        <v>1045</v>
      </c>
      <c r="I133" s="457">
        <v>70</v>
      </c>
    </row>
    <row r="134" spans="1:9" ht="14.25" customHeight="1" x14ac:dyDescent="0.3">
      <c r="A134" s="472">
        <v>46113</v>
      </c>
      <c r="B134" s="458" t="s">
        <v>1044</v>
      </c>
      <c r="C134" s="458" t="s">
        <v>516</v>
      </c>
      <c r="D134" s="459">
        <f>'SEMANA ABRIL'!$H$5</f>
        <v>122</v>
      </c>
      <c r="E134" s="459">
        <f>'SEMANA ABRIL'!$I$5</f>
        <v>1464</v>
      </c>
      <c r="F134" s="459">
        <f>'SEMANA ABRIL'!$D$5</f>
        <v>120</v>
      </c>
      <c r="G134" s="460">
        <f>'SEMANA ABRIL'!$G$5</f>
        <v>1</v>
      </c>
      <c r="H134" s="458" t="s">
        <v>1046</v>
      </c>
      <c r="I134" s="461">
        <v>70</v>
      </c>
    </row>
    <row r="135" spans="1:9" ht="14.25" customHeight="1" x14ac:dyDescent="0.3">
      <c r="A135" s="471">
        <v>46113</v>
      </c>
      <c r="B135" s="454" t="s">
        <v>1044</v>
      </c>
      <c r="C135" s="454" t="s">
        <v>517</v>
      </c>
      <c r="D135" s="455">
        <f>'SEMANA ABRIL'!$H$6</f>
        <v>241</v>
      </c>
      <c r="E135" s="455">
        <f>'SEMANA ABRIL'!$I$6</f>
        <v>2892</v>
      </c>
      <c r="F135" s="455">
        <f>'SEMANA ABRIL'!$D$6</f>
        <v>240</v>
      </c>
      <c r="G135" s="456">
        <f>'SEMANA ABRIL'!$G$6</f>
        <v>1</v>
      </c>
      <c r="H135" s="454" t="s">
        <v>1047</v>
      </c>
      <c r="I135" s="457">
        <v>70</v>
      </c>
    </row>
    <row r="136" spans="1:9" ht="14.25" customHeight="1" x14ac:dyDescent="0.3">
      <c r="A136" s="472">
        <v>46113</v>
      </c>
      <c r="B136" s="458" t="s">
        <v>1044</v>
      </c>
      <c r="C136" s="458" t="s">
        <v>518</v>
      </c>
      <c r="D136" s="459">
        <f>'SEMANA ABRIL'!$H$7</f>
        <v>240</v>
      </c>
      <c r="E136" s="459">
        <f>'SEMANA ABRIL'!$I$7</f>
        <v>2880</v>
      </c>
      <c r="F136" s="459">
        <f>'SEMANA ABRIL'!$D$7</f>
        <v>240</v>
      </c>
      <c r="G136" s="460">
        <f>'SEMANA ABRIL'!$G$7</f>
        <v>1</v>
      </c>
      <c r="H136" s="458" t="s">
        <v>1048</v>
      </c>
      <c r="I136" s="461">
        <v>70</v>
      </c>
    </row>
    <row r="137" spans="1:9" ht="14.25" customHeight="1" x14ac:dyDescent="0.3">
      <c r="A137" s="471">
        <v>46113</v>
      </c>
      <c r="B137" s="454" t="s">
        <v>1044</v>
      </c>
      <c r="C137" s="454" t="s">
        <v>338</v>
      </c>
      <c r="D137" s="455">
        <f>'SEMANA ABRIL'!$H$8</f>
        <v>227</v>
      </c>
      <c r="E137" s="455">
        <f>'SEMANA ABRIL'!$I$8</f>
        <v>2724</v>
      </c>
      <c r="F137" s="455">
        <f>'SEMANA ABRIL'!$D$8</f>
        <v>240</v>
      </c>
      <c r="G137" s="456">
        <f>'SEMANA ABRIL'!$G$8</f>
        <v>1</v>
      </c>
      <c r="H137" s="454" t="s">
        <v>1049</v>
      </c>
      <c r="I137" s="457">
        <v>70</v>
      </c>
    </row>
    <row r="138" spans="1:9" ht="14.25" customHeight="1" x14ac:dyDescent="0.3">
      <c r="A138" s="472">
        <v>46113</v>
      </c>
      <c r="B138" s="458" t="s">
        <v>1044</v>
      </c>
      <c r="C138" s="458" t="s">
        <v>519</v>
      </c>
      <c r="D138" s="459">
        <f>'SEMANA ABRIL'!$H$9</f>
        <v>219</v>
      </c>
      <c r="E138" s="459">
        <f>'SEMANA ABRIL'!$I$9</f>
        <v>2628</v>
      </c>
      <c r="F138" s="459">
        <f>'SEMANA ABRIL'!$D$9</f>
        <v>240</v>
      </c>
      <c r="G138" s="460">
        <f>'SEMANA ABRIL'!$G$9</f>
        <v>1</v>
      </c>
      <c r="H138" s="458" t="s">
        <v>1050</v>
      </c>
      <c r="I138" s="461">
        <v>70</v>
      </c>
    </row>
    <row r="139" spans="1:9" ht="14.25" customHeight="1" x14ac:dyDescent="0.3">
      <c r="A139" s="471">
        <v>46113</v>
      </c>
      <c r="B139" s="454" t="s">
        <v>1044</v>
      </c>
      <c r="C139" s="454" t="s">
        <v>520</v>
      </c>
      <c r="D139" s="455">
        <f>'SEMANA ABRIL'!$H$10</f>
        <v>36</v>
      </c>
      <c r="E139" s="455">
        <f>'SEMANA ABRIL'!$I$10</f>
        <v>432</v>
      </c>
      <c r="F139" s="455">
        <f>'SEMANA ABRIL'!$D$10</f>
        <v>80</v>
      </c>
      <c r="G139" s="456">
        <f>'SEMANA ABRIL'!$G$10</f>
        <v>1</v>
      </c>
      <c r="H139" s="454" t="s">
        <v>1051</v>
      </c>
      <c r="I139" s="457">
        <v>70</v>
      </c>
    </row>
    <row r="140" spans="1:9" ht="14.25" customHeight="1" x14ac:dyDescent="0.3">
      <c r="A140" s="472">
        <v>46114</v>
      </c>
      <c r="B140" s="458" t="s">
        <v>1044</v>
      </c>
      <c r="C140" s="458" t="s">
        <v>521</v>
      </c>
      <c r="D140" s="459">
        <f>'SEMANA ABRIL'!$H$17</f>
        <v>1650</v>
      </c>
      <c r="E140" s="459">
        <f>'SEMANA ABRIL'!$I$17</f>
        <v>9900</v>
      </c>
      <c r="F140" s="459">
        <f>'SEMANA ABRIL'!$D$17</f>
        <v>1650</v>
      </c>
      <c r="G140" s="460">
        <f>'SEMANA ABRIL'!$G$17</f>
        <v>5</v>
      </c>
      <c r="H140" s="458" t="s">
        <v>1052</v>
      </c>
      <c r="I140" s="461">
        <v>200</v>
      </c>
    </row>
    <row r="141" spans="1:9" ht="14.25" customHeight="1" x14ac:dyDescent="0.3">
      <c r="A141" s="471">
        <v>46114</v>
      </c>
      <c r="B141" s="454" t="s">
        <v>1044</v>
      </c>
      <c r="C141" s="454" t="s">
        <v>522</v>
      </c>
      <c r="D141" s="455">
        <f>'SEMANA ABRIL'!$H$18</f>
        <v>450</v>
      </c>
      <c r="E141" s="455">
        <f>'SEMANA ABRIL'!$I$18</f>
        <v>2700</v>
      </c>
      <c r="F141" s="455">
        <f>'SEMANA ABRIL'!$D$18</f>
        <v>660</v>
      </c>
      <c r="G141" s="456">
        <f>'SEMANA ABRIL'!$G$18</f>
        <v>2</v>
      </c>
      <c r="H141" s="454" t="s">
        <v>1053</v>
      </c>
      <c r="I141" s="457">
        <v>200</v>
      </c>
    </row>
    <row r="142" spans="1:9" ht="14.25" customHeight="1" x14ac:dyDescent="0.3">
      <c r="A142" s="472">
        <v>46115</v>
      </c>
      <c r="B142" s="458" t="s">
        <v>1044</v>
      </c>
      <c r="C142" s="458" t="s">
        <v>523</v>
      </c>
      <c r="D142" s="459">
        <f>'SEMANA ABRIL'!$H$26</f>
        <v>0</v>
      </c>
      <c r="E142" s="459" t="str">
        <f>'SEMANA ABRIL'!$I$26</f>
        <v/>
      </c>
      <c r="F142" s="459">
        <f>'SEMANA ABRIL'!$D$26</f>
        <v>0</v>
      </c>
      <c r="G142" s="460" t="str">
        <f>'SEMANA ABRIL'!$G$26</f>
        <v/>
      </c>
      <c r="H142" s="458" t="s">
        <v>1054</v>
      </c>
      <c r="I142" s="461"/>
    </row>
    <row r="143" spans="1:9" ht="14.25" customHeight="1" x14ac:dyDescent="0.3">
      <c r="A143" s="471">
        <v>46118</v>
      </c>
      <c r="B143" s="454" t="s">
        <v>1044</v>
      </c>
      <c r="C143" s="454" t="s">
        <v>522</v>
      </c>
      <c r="D143" s="455">
        <f>'SEMANA ABRIL'!$H$33</f>
        <v>210</v>
      </c>
      <c r="E143" s="455">
        <f>'SEMANA ABRIL'!$I$33</f>
        <v>1260</v>
      </c>
      <c r="F143" s="455">
        <f>'SEMANA ABRIL'!$D$33</f>
        <v>210</v>
      </c>
      <c r="G143" s="456">
        <f>'SEMANA ABRIL'!$G$33</f>
        <v>1</v>
      </c>
      <c r="H143" s="454" t="s">
        <v>1055</v>
      </c>
      <c r="I143" s="457">
        <v>200</v>
      </c>
    </row>
    <row r="144" spans="1:9" ht="14.25" customHeight="1" x14ac:dyDescent="0.3">
      <c r="A144" s="472">
        <v>46118</v>
      </c>
      <c r="B144" s="458" t="s">
        <v>1044</v>
      </c>
      <c r="C144" s="458" t="s">
        <v>524</v>
      </c>
      <c r="D144" s="459">
        <f>'SEMANA ABRIL'!$H$34</f>
        <v>279</v>
      </c>
      <c r="E144" s="459">
        <f>'SEMANA ABRIL'!$I$34</f>
        <v>1674</v>
      </c>
      <c r="F144" s="459">
        <f>'SEMANA ABRIL'!$D$34</f>
        <v>330</v>
      </c>
      <c r="G144" s="460">
        <f>'SEMANA ABRIL'!$G$34</f>
        <v>1</v>
      </c>
      <c r="H144" s="458" t="s">
        <v>1056</v>
      </c>
      <c r="I144" s="461">
        <v>200</v>
      </c>
    </row>
    <row r="145" spans="1:9" ht="14.25" customHeight="1" x14ac:dyDescent="0.3">
      <c r="A145" s="471">
        <v>46118</v>
      </c>
      <c r="B145" s="454" t="s">
        <v>1044</v>
      </c>
      <c r="C145" s="454" t="s">
        <v>525</v>
      </c>
      <c r="D145" s="455">
        <f>'SEMANA ABRIL'!$H$35</f>
        <v>314</v>
      </c>
      <c r="E145" s="455">
        <f>'SEMANA ABRIL'!$I$35</f>
        <v>1884</v>
      </c>
      <c r="F145" s="455">
        <f>'SEMANA ABRIL'!$D$35</f>
        <v>330</v>
      </c>
      <c r="G145" s="456">
        <f>'SEMANA ABRIL'!$G$35</f>
        <v>1</v>
      </c>
      <c r="H145" s="454" t="s">
        <v>1057</v>
      </c>
      <c r="I145" s="457">
        <v>200</v>
      </c>
    </row>
    <row r="146" spans="1:9" ht="14.25" customHeight="1" x14ac:dyDescent="0.3">
      <c r="A146" s="472">
        <v>46118</v>
      </c>
      <c r="B146" s="458" t="s">
        <v>1044</v>
      </c>
      <c r="C146" s="458" t="s">
        <v>526</v>
      </c>
      <c r="D146" s="459">
        <f>'SEMANA ABRIL'!$H$36</f>
        <v>329</v>
      </c>
      <c r="E146" s="459">
        <f>'SEMANA ABRIL'!$I$36</f>
        <v>1974</v>
      </c>
      <c r="F146" s="459">
        <f>'SEMANA ABRIL'!$D$36</f>
        <v>330</v>
      </c>
      <c r="G146" s="460">
        <f>'SEMANA ABRIL'!$G$36</f>
        <v>1</v>
      </c>
      <c r="H146" s="458" t="s">
        <v>1058</v>
      </c>
      <c r="I146" s="461">
        <v>200</v>
      </c>
    </row>
    <row r="147" spans="1:9" ht="14.25" customHeight="1" x14ac:dyDescent="0.3">
      <c r="A147" s="471">
        <v>46118</v>
      </c>
      <c r="B147" s="454" t="s">
        <v>1044</v>
      </c>
      <c r="C147" s="454" t="s">
        <v>527</v>
      </c>
      <c r="D147" s="455">
        <f>'SEMANA ABRIL'!$H$37</f>
        <v>321</v>
      </c>
      <c r="E147" s="455">
        <f>'SEMANA ABRIL'!$I$37</f>
        <v>1926</v>
      </c>
      <c r="F147" s="455">
        <f>'SEMANA ABRIL'!$D$37</f>
        <v>330</v>
      </c>
      <c r="G147" s="456">
        <f>'SEMANA ABRIL'!$G$37</f>
        <v>1</v>
      </c>
      <c r="H147" s="454" t="s">
        <v>1059</v>
      </c>
      <c r="I147" s="457">
        <v>200</v>
      </c>
    </row>
    <row r="148" spans="1:9" ht="14.25" customHeight="1" x14ac:dyDescent="0.3">
      <c r="A148" s="472">
        <v>46118</v>
      </c>
      <c r="B148" s="458" t="s">
        <v>1044</v>
      </c>
      <c r="C148" s="458" t="s">
        <v>528</v>
      </c>
      <c r="D148" s="459">
        <f>'SEMANA ABRIL'!$H$38</f>
        <v>318</v>
      </c>
      <c r="E148" s="459">
        <f>'SEMANA ABRIL'!$I$38</f>
        <v>1908</v>
      </c>
      <c r="F148" s="459">
        <f>'SEMANA ABRIL'!$D$38</f>
        <v>330</v>
      </c>
      <c r="G148" s="460">
        <f>'SEMANA ABRIL'!$G$38</f>
        <v>1</v>
      </c>
      <c r="H148" s="458" t="s">
        <v>1060</v>
      </c>
      <c r="I148" s="461">
        <v>200</v>
      </c>
    </row>
    <row r="149" spans="1:9" ht="14.25" customHeight="1" x14ac:dyDescent="0.3">
      <c r="A149" s="471">
        <v>46118</v>
      </c>
      <c r="B149" s="454" t="s">
        <v>1044</v>
      </c>
      <c r="C149" s="454" t="s">
        <v>529</v>
      </c>
      <c r="D149" s="455">
        <f>'SEMANA ABRIL'!$H$39</f>
        <v>296</v>
      </c>
      <c r="E149" s="455">
        <f>'SEMANA ABRIL'!$I$39</f>
        <v>1776</v>
      </c>
      <c r="F149" s="455">
        <f>'SEMANA ABRIL'!$D$39</f>
        <v>330</v>
      </c>
      <c r="G149" s="456">
        <f>'SEMANA ABRIL'!$G$39</f>
        <v>1</v>
      </c>
      <c r="H149" s="454" t="s">
        <v>1061</v>
      </c>
      <c r="I149" s="457">
        <v>200</v>
      </c>
    </row>
    <row r="150" spans="1:9" ht="14.25" customHeight="1" x14ac:dyDescent="0.3">
      <c r="A150" s="472">
        <v>46118</v>
      </c>
      <c r="B150" s="458" t="s">
        <v>1044</v>
      </c>
      <c r="C150" s="458" t="s">
        <v>530</v>
      </c>
      <c r="D150" s="459">
        <f>'SEMANA ABRIL'!$H$40</f>
        <v>63</v>
      </c>
      <c r="E150" s="459">
        <f>'SEMANA ABRIL'!$I$40</f>
        <v>378</v>
      </c>
      <c r="F150" s="459">
        <f>'SEMANA ABRIL'!$D$40</f>
        <v>330</v>
      </c>
      <c r="G150" s="460">
        <f>'SEMANA ABRIL'!$G$40</f>
        <v>1</v>
      </c>
      <c r="H150" s="458" t="s">
        <v>1062</v>
      </c>
      <c r="I150" s="461">
        <v>200</v>
      </c>
    </row>
    <row r="151" spans="1:9" ht="14.25" customHeight="1" x14ac:dyDescent="0.3">
      <c r="A151" s="471">
        <v>46119</v>
      </c>
      <c r="B151" s="454" t="s">
        <v>1044</v>
      </c>
      <c r="C151" s="454" t="s">
        <v>530</v>
      </c>
      <c r="D151" s="455">
        <f>'SEMANA ABRIL'!$H$45</f>
        <v>267</v>
      </c>
      <c r="E151" s="455">
        <f>'SEMANA ABRIL'!$I$45</f>
        <v>1602</v>
      </c>
      <c r="F151" s="455">
        <f>'SEMANA ABRIL'!$D$45</f>
        <v>267</v>
      </c>
      <c r="G151" s="456">
        <f>'SEMANA ABRIL'!$G$45</f>
        <v>1</v>
      </c>
      <c r="H151" s="454" t="s">
        <v>1063</v>
      </c>
      <c r="I151" s="457">
        <v>200</v>
      </c>
    </row>
    <row r="152" spans="1:9" ht="14.25" customHeight="1" x14ac:dyDescent="0.3">
      <c r="A152" s="472">
        <v>46119</v>
      </c>
      <c r="B152" s="458" t="s">
        <v>1044</v>
      </c>
      <c r="C152" s="458" t="s">
        <v>531</v>
      </c>
      <c r="D152" s="459">
        <f>'SEMANA ABRIL'!$H$46</f>
        <v>315</v>
      </c>
      <c r="E152" s="459">
        <f>'SEMANA ABRIL'!$I$46</f>
        <v>1890</v>
      </c>
      <c r="F152" s="459">
        <f>'SEMANA ABRIL'!$D$46</f>
        <v>330</v>
      </c>
      <c r="G152" s="460">
        <f>'SEMANA ABRIL'!$G$46</f>
        <v>1</v>
      </c>
      <c r="H152" s="458" t="s">
        <v>1064</v>
      </c>
      <c r="I152" s="461">
        <v>200</v>
      </c>
    </row>
    <row r="153" spans="1:9" ht="14.25" customHeight="1" x14ac:dyDescent="0.3">
      <c r="A153" s="471">
        <v>46119</v>
      </c>
      <c r="B153" s="454" t="s">
        <v>1044</v>
      </c>
      <c r="C153" s="454" t="s">
        <v>532</v>
      </c>
      <c r="D153" s="455">
        <f>'SEMANA ABRIL'!$H$47</f>
        <v>329</v>
      </c>
      <c r="E153" s="455">
        <f>'SEMANA ABRIL'!$I$47</f>
        <v>1974</v>
      </c>
      <c r="F153" s="455">
        <f>'SEMANA ABRIL'!$D$47</f>
        <v>330</v>
      </c>
      <c r="G153" s="456">
        <f>'SEMANA ABRIL'!$G$47</f>
        <v>1</v>
      </c>
      <c r="H153" s="454" t="s">
        <v>1065</v>
      </c>
      <c r="I153" s="457">
        <v>200</v>
      </c>
    </row>
    <row r="154" spans="1:9" ht="14.25" customHeight="1" x14ac:dyDescent="0.3">
      <c r="A154" s="472">
        <v>46119</v>
      </c>
      <c r="B154" s="458" t="s">
        <v>1044</v>
      </c>
      <c r="C154" s="458" t="s">
        <v>533</v>
      </c>
      <c r="D154" s="459">
        <f>'SEMANA ABRIL'!$H$48</f>
        <v>330</v>
      </c>
      <c r="E154" s="459">
        <f>'SEMANA ABRIL'!$I$48</f>
        <v>1980</v>
      </c>
      <c r="F154" s="459">
        <f>'SEMANA ABRIL'!$D$48</f>
        <v>330</v>
      </c>
      <c r="G154" s="460">
        <f>'SEMANA ABRIL'!$G$48</f>
        <v>1</v>
      </c>
      <c r="H154" s="458" t="s">
        <v>1066</v>
      </c>
      <c r="I154" s="461">
        <v>200</v>
      </c>
    </row>
    <row r="155" spans="1:9" ht="14.25" customHeight="1" x14ac:dyDescent="0.3">
      <c r="A155" s="471">
        <v>46119</v>
      </c>
      <c r="B155" s="454" t="s">
        <v>1044</v>
      </c>
      <c r="C155" s="454" t="s">
        <v>534</v>
      </c>
      <c r="D155" s="455">
        <f>'SEMANA ABRIL'!$H$49</f>
        <v>106</v>
      </c>
      <c r="E155" s="455">
        <f>'SEMANA ABRIL'!$I$49</f>
        <v>1272</v>
      </c>
      <c r="F155" s="455">
        <f>'SEMANA ABRIL'!$D$49</f>
        <v>106</v>
      </c>
      <c r="G155" s="456">
        <f>'SEMANA ABRIL'!$G$49</f>
        <v>2</v>
      </c>
      <c r="H155" s="454" t="s">
        <v>1067</v>
      </c>
      <c r="I155" s="457">
        <v>600</v>
      </c>
    </row>
    <row r="156" spans="1:9" ht="14.25" customHeight="1" x14ac:dyDescent="0.3">
      <c r="A156" s="472">
        <v>46119</v>
      </c>
      <c r="B156" s="458" t="s">
        <v>1044</v>
      </c>
      <c r="C156" s="458" t="s">
        <v>535</v>
      </c>
      <c r="D156" s="459">
        <f>'SEMANA ABRIL'!$H$50</f>
        <v>194</v>
      </c>
      <c r="E156" s="459">
        <f>'SEMANA ABRIL'!$I$50</f>
        <v>2328</v>
      </c>
      <c r="F156" s="459">
        <f>'SEMANA ABRIL'!$D$50</f>
        <v>2625</v>
      </c>
      <c r="G156" s="460">
        <f>'SEMANA ABRIL'!$G$50</f>
        <v>21</v>
      </c>
      <c r="H156" s="458" t="s">
        <v>1068</v>
      </c>
      <c r="I156" s="461">
        <v>400</v>
      </c>
    </row>
    <row r="157" spans="1:9" ht="14.25" customHeight="1" x14ac:dyDescent="0.3">
      <c r="A157" s="471">
        <v>46120</v>
      </c>
      <c r="B157" s="454" t="s">
        <v>1044</v>
      </c>
      <c r="C157" s="454" t="s">
        <v>535</v>
      </c>
      <c r="D157" s="455">
        <f>'SEMANA ABRIL'!$H$55</f>
        <v>1503</v>
      </c>
      <c r="E157" s="455">
        <f>'SEMANA ABRIL'!$I$55</f>
        <v>18036</v>
      </c>
      <c r="F157" s="455">
        <f>'SEMANA ABRIL'!$D$55</f>
        <v>2431</v>
      </c>
      <c r="G157" s="456">
        <f>'SEMANA ABRIL'!$G$55</f>
        <v>20</v>
      </c>
      <c r="H157" s="454" t="s">
        <v>1069</v>
      </c>
      <c r="I157" s="457">
        <v>400</v>
      </c>
    </row>
    <row r="158" spans="1:9" ht="14.25" customHeight="1" x14ac:dyDescent="0.3">
      <c r="A158" s="472">
        <v>46121</v>
      </c>
      <c r="B158" s="458" t="s">
        <v>1044</v>
      </c>
      <c r="C158" s="458" t="s">
        <v>535</v>
      </c>
      <c r="D158" s="459">
        <f>'SEMANA ABRIL'!$H$63</f>
        <v>1005</v>
      </c>
      <c r="E158" s="459">
        <f>'SEMANA ABRIL'!$I$63</f>
        <v>12060</v>
      </c>
      <c r="F158" s="459">
        <f>'SEMANA ABRIL'!$D$63</f>
        <v>928</v>
      </c>
      <c r="G158" s="460">
        <f>'SEMANA ABRIL'!$G$63</f>
        <v>8</v>
      </c>
      <c r="H158" s="458" t="s">
        <v>1070</v>
      </c>
      <c r="I158" s="461">
        <v>400</v>
      </c>
    </row>
    <row r="159" spans="1:9" ht="14.25" customHeight="1" x14ac:dyDescent="0.3">
      <c r="A159" s="471">
        <v>46122</v>
      </c>
      <c r="B159" s="454" t="s">
        <v>1044</v>
      </c>
      <c r="C159" s="454" t="s">
        <v>536</v>
      </c>
      <c r="D159" s="455">
        <f>'SEMANA ABRIL'!$H$71</f>
        <v>560</v>
      </c>
      <c r="E159" s="455">
        <f>'SEMANA ABRIL'!$I$71</f>
        <v>6720</v>
      </c>
      <c r="F159" s="455">
        <f>'SEMANA ABRIL'!$D$71</f>
        <v>2310</v>
      </c>
      <c r="G159" s="456">
        <f>'SEMANA ABRIL'!$G$71</f>
        <v>21</v>
      </c>
      <c r="H159" s="454" t="s">
        <v>1071</v>
      </c>
      <c r="I159" s="457">
        <v>400</v>
      </c>
    </row>
    <row r="160" spans="1:9" ht="14.25" customHeight="1" x14ac:dyDescent="0.3">
      <c r="A160" s="472">
        <v>46125</v>
      </c>
      <c r="B160" s="458" t="s">
        <v>1044</v>
      </c>
      <c r="C160" s="458" t="s">
        <v>536</v>
      </c>
      <c r="D160" s="459">
        <f>'SEMANA ABRIL'!$H$79</f>
        <v>993</v>
      </c>
      <c r="E160" s="459">
        <f>'SEMANA ABRIL'!$I$79</f>
        <v>11916</v>
      </c>
      <c r="F160" s="459">
        <f>'SEMANA ABRIL'!$D$79</f>
        <v>1750</v>
      </c>
      <c r="G160" s="460">
        <f>'SEMANA ABRIL'!$G$79</f>
        <v>16</v>
      </c>
      <c r="H160" s="458" t="s">
        <v>1072</v>
      </c>
      <c r="I160" s="461">
        <v>400</v>
      </c>
    </row>
    <row r="161" spans="1:9" ht="14.25" customHeight="1" x14ac:dyDescent="0.3">
      <c r="A161" s="471">
        <v>46126</v>
      </c>
      <c r="B161" s="454" t="s">
        <v>1044</v>
      </c>
      <c r="C161" s="454" t="s">
        <v>536</v>
      </c>
      <c r="D161" s="455">
        <f>'SEMANA ABRIL'!$H$87</f>
        <v>427</v>
      </c>
      <c r="E161" s="455">
        <f>'SEMANA ABRIL'!$I$87</f>
        <v>5124</v>
      </c>
      <c r="F161" s="455">
        <f>'SEMANA ABRIL'!$D$87</f>
        <v>757</v>
      </c>
      <c r="G161" s="456">
        <f>'SEMANA ABRIL'!$G$87</f>
        <v>7</v>
      </c>
      <c r="H161" s="454" t="s">
        <v>1073</v>
      </c>
      <c r="I161" s="457">
        <v>400</v>
      </c>
    </row>
    <row r="162" spans="1:9" ht="14.25" customHeight="1" x14ac:dyDescent="0.3">
      <c r="A162" s="472">
        <v>46126</v>
      </c>
      <c r="B162" s="458" t="s">
        <v>1044</v>
      </c>
      <c r="C162" s="458" t="s">
        <v>537</v>
      </c>
      <c r="D162" s="459">
        <f>'SEMANA ABRIL'!$H$88</f>
        <v>853</v>
      </c>
      <c r="E162" s="459">
        <f>'SEMANA ABRIL'!$I$88</f>
        <v>5118</v>
      </c>
      <c r="F162" s="459">
        <f>'SEMANA ABRIL'!$D$88</f>
        <v>1900</v>
      </c>
      <c r="G162" s="460">
        <f>'SEMANA ABRIL'!$G$88</f>
        <v>10</v>
      </c>
      <c r="H162" s="458" t="s">
        <v>1074</v>
      </c>
      <c r="I162" s="461">
        <v>600</v>
      </c>
    </row>
    <row r="163" spans="1:9" ht="14.25" customHeight="1" x14ac:dyDescent="0.3">
      <c r="A163" s="471">
        <v>46127</v>
      </c>
      <c r="B163" s="454" t="s">
        <v>1044</v>
      </c>
      <c r="C163" s="454" t="s">
        <v>537</v>
      </c>
      <c r="D163" s="455">
        <f>'SEMANA ABRIL'!$H$95</f>
        <v>1166</v>
      </c>
      <c r="E163" s="455">
        <f>'SEMANA ABRIL'!$I$95</f>
        <v>6996</v>
      </c>
      <c r="F163" s="455">
        <f>'SEMANA ABRIL'!$D$95</f>
        <v>1047</v>
      </c>
      <c r="G163" s="456">
        <f>'SEMANA ABRIL'!$G$95</f>
        <v>6</v>
      </c>
      <c r="H163" s="454" t="s">
        <v>1075</v>
      </c>
      <c r="I163" s="457">
        <v>600</v>
      </c>
    </row>
    <row r="164" spans="1:9" ht="14.25" customHeight="1" x14ac:dyDescent="0.3">
      <c r="A164" s="472">
        <v>46127</v>
      </c>
      <c r="B164" s="458" t="s">
        <v>1044</v>
      </c>
      <c r="C164" s="458" t="s">
        <v>160</v>
      </c>
      <c r="D164" s="459">
        <f>'SEMANA ABRIL'!$H$96</f>
        <v>306</v>
      </c>
      <c r="E164" s="459">
        <f>'SEMANA ABRIL'!$I$96</f>
        <v>3672</v>
      </c>
      <c r="F164" s="459">
        <f>'SEMANA ABRIL'!$D$96</f>
        <v>380</v>
      </c>
      <c r="G164" s="460">
        <f>'SEMANA ABRIL'!$G$96</f>
        <v>4</v>
      </c>
      <c r="H164" s="458" t="s">
        <v>1076</v>
      </c>
      <c r="I164" s="461">
        <v>600</v>
      </c>
    </row>
    <row r="165" spans="1:9" ht="14.25" customHeight="1" x14ac:dyDescent="0.3">
      <c r="A165" s="471">
        <v>46128</v>
      </c>
      <c r="B165" s="454" t="s">
        <v>1044</v>
      </c>
      <c r="C165" s="454" t="s">
        <v>160</v>
      </c>
      <c r="D165" s="455">
        <f>'SEMANA ABRIL'!$H$103</f>
        <v>74</v>
      </c>
      <c r="E165" s="455">
        <f>'SEMANA ABRIL'!$I$103</f>
        <v>888</v>
      </c>
      <c r="F165" s="455">
        <f>'SEMANA ABRIL'!$D$103</f>
        <v>74</v>
      </c>
      <c r="G165" s="456">
        <f>'SEMANA ABRIL'!$G$103</f>
        <v>1</v>
      </c>
      <c r="H165" s="454" t="s">
        <v>1077</v>
      </c>
      <c r="I165" s="457">
        <v>600</v>
      </c>
    </row>
    <row r="166" spans="1:9" ht="14.25" customHeight="1" x14ac:dyDescent="0.3">
      <c r="A166" s="472">
        <v>46128</v>
      </c>
      <c r="B166" s="458" t="s">
        <v>1044</v>
      </c>
      <c r="C166" s="458" t="s">
        <v>538</v>
      </c>
      <c r="D166" s="459">
        <f>'SEMANA ABRIL'!$H$104</f>
        <v>469</v>
      </c>
      <c r="E166" s="459">
        <f>'SEMANA ABRIL'!$I$104</f>
        <v>5628</v>
      </c>
      <c r="F166" s="459">
        <f>'SEMANA ABRIL'!$D$104</f>
        <v>480</v>
      </c>
      <c r="G166" s="460">
        <f>'SEMANA ABRIL'!$G$104</f>
        <v>2</v>
      </c>
      <c r="H166" s="458" t="s">
        <v>1078</v>
      </c>
      <c r="I166" s="461">
        <v>125</v>
      </c>
    </row>
    <row r="167" spans="1:9" ht="14.25" customHeight="1" x14ac:dyDescent="0.3">
      <c r="A167" s="471">
        <v>46128</v>
      </c>
      <c r="B167" s="454" t="s">
        <v>1044</v>
      </c>
      <c r="C167" s="454" t="s">
        <v>539</v>
      </c>
      <c r="D167" s="455">
        <f>'SEMANA ABRIL'!$H$105</f>
        <v>454</v>
      </c>
      <c r="E167" s="455">
        <f>'SEMANA ABRIL'!$I$105</f>
        <v>5448</v>
      </c>
      <c r="F167" s="455">
        <f>'SEMANA ABRIL'!$D$105</f>
        <v>500</v>
      </c>
      <c r="G167" s="456">
        <f>'SEMANA ABRIL'!$G$105</f>
        <v>3</v>
      </c>
      <c r="H167" s="454" t="s">
        <v>1079</v>
      </c>
      <c r="I167" s="457">
        <v>100</v>
      </c>
    </row>
    <row r="168" spans="1:9" ht="14.25" customHeight="1" x14ac:dyDescent="0.3">
      <c r="A168" s="472">
        <v>46129</v>
      </c>
      <c r="B168" s="458" t="s">
        <v>1044</v>
      </c>
      <c r="C168" s="458" t="s">
        <v>540</v>
      </c>
      <c r="D168" s="459">
        <f>'SEMANA ABRIL'!$H$112</f>
        <v>0</v>
      </c>
      <c r="E168" s="459" t="str">
        <f>'SEMANA ABRIL'!$I$112</f>
        <v/>
      </c>
      <c r="F168" s="459">
        <f>'SEMANA ABRIL'!$D$112</f>
        <v>0</v>
      </c>
      <c r="G168" s="460" t="str">
        <f>'SEMANA ABRIL'!$G$112</f>
        <v/>
      </c>
      <c r="H168" s="458" t="s">
        <v>1080</v>
      </c>
      <c r="I168" s="461"/>
    </row>
    <row r="169" spans="1:9" ht="14.25" customHeight="1" x14ac:dyDescent="0.3">
      <c r="A169" s="471">
        <v>46130</v>
      </c>
      <c r="B169" s="454" t="s">
        <v>1044</v>
      </c>
      <c r="C169" s="454" t="s">
        <v>541</v>
      </c>
      <c r="D169" s="455">
        <f>'SEMANA ABRIL'!$H$119</f>
        <v>51</v>
      </c>
      <c r="E169" s="455">
        <f>'SEMANA ABRIL'!$I$119</f>
        <v>612</v>
      </c>
      <c r="F169" s="455">
        <f>'SEMANA ABRIL'!$D$119</f>
        <v>50</v>
      </c>
      <c r="G169" s="456">
        <f>'SEMANA ABRIL'!$G$119</f>
        <v>1</v>
      </c>
      <c r="H169" s="454" t="s">
        <v>1081</v>
      </c>
      <c r="I169" s="457">
        <v>600</v>
      </c>
    </row>
    <row r="170" spans="1:9" ht="14.25" customHeight="1" x14ac:dyDescent="0.3">
      <c r="A170" s="472">
        <v>46130</v>
      </c>
      <c r="B170" s="458" t="s">
        <v>1044</v>
      </c>
      <c r="C170" s="458" t="s">
        <v>87</v>
      </c>
      <c r="D170" s="459">
        <f>'SEMANA ABRIL'!$H$120</f>
        <v>605</v>
      </c>
      <c r="E170" s="459">
        <f>'SEMANA ABRIL'!$I$120</f>
        <v>7260</v>
      </c>
      <c r="F170" s="459">
        <f>'SEMANA ABRIL'!$D$120</f>
        <v>859</v>
      </c>
      <c r="G170" s="460">
        <f>'SEMANA ABRIL'!$G$120</f>
        <v>10</v>
      </c>
      <c r="H170" s="458" t="s">
        <v>1082</v>
      </c>
      <c r="I170" s="461">
        <v>600</v>
      </c>
    </row>
    <row r="171" spans="1:9" ht="14.25" customHeight="1" x14ac:dyDescent="0.3">
      <c r="A171" s="471">
        <v>46132</v>
      </c>
      <c r="B171" s="454" t="s">
        <v>1044</v>
      </c>
      <c r="C171" s="454" t="s">
        <v>87</v>
      </c>
      <c r="D171" s="455">
        <f>'SEMANA ABRIL'!$H$127</f>
        <v>254</v>
      </c>
      <c r="E171" s="455">
        <f>'SEMANA ABRIL'!$I$127</f>
        <v>3048</v>
      </c>
      <c r="F171" s="455">
        <f>'SEMANA ABRIL'!$D$127</f>
        <v>254</v>
      </c>
      <c r="G171" s="456">
        <f>'SEMANA ABRIL'!$G$127</f>
        <v>3</v>
      </c>
      <c r="H171" s="454" t="s">
        <v>1083</v>
      </c>
      <c r="I171" s="457">
        <v>600</v>
      </c>
    </row>
    <row r="172" spans="1:9" ht="14.25" customHeight="1" x14ac:dyDescent="0.3">
      <c r="A172" s="472">
        <v>46132</v>
      </c>
      <c r="B172" s="458" t="s">
        <v>1044</v>
      </c>
      <c r="C172" s="458" t="s">
        <v>60</v>
      </c>
      <c r="D172" s="459">
        <f>'SEMANA ABRIL'!$H$128</f>
        <v>672</v>
      </c>
      <c r="E172" s="459">
        <f>'SEMANA ABRIL'!$I$128</f>
        <v>8064</v>
      </c>
      <c r="F172" s="459">
        <f>'SEMANA ABRIL'!$D$128</f>
        <v>665</v>
      </c>
      <c r="G172" s="460">
        <f>'SEMANA ABRIL'!$G$128</f>
        <v>7</v>
      </c>
      <c r="H172" s="458" t="s">
        <v>1084</v>
      </c>
      <c r="I172" s="461">
        <v>600</v>
      </c>
    </row>
    <row r="173" spans="1:9" ht="14.25" customHeight="1" x14ac:dyDescent="0.3">
      <c r="A173" s="471">
        <v>46133</v>
      </c>
      <c r="B173" s="454" t="s">
        <v>1044</v>
      </c>
      <c r="C173" s="454" t="s">
        <v>91</v>
      </c>
      <c r="D173" s="455">
        <f>'SEMANA ABRIL'!$H$135</f>
        <v>672</v>
      </c>
      <c r="E173" s="455">
        <f>'SEMANA ABRIL'!$I$135</f>
        <v>8064</v>
      </c>
      <c r="F173" s="455">
        <f>'SEMANA ABRIL'!$D$135</f>
        <v>665</v>
      </c>
      <c r="G173" s="456">
        <f>'SEMANA ABRIL'!$G$135</f>
        <v>7</v>
      </c>
      <c r="H173" s="454" t="s">
        <v>1085</v>
      </c>
      <c r="I173" s="457">
        <v>600</v>
      </c>
    </row>
    <row r="174" spans="1:9" ht="14.25" customHeight="1" x14ac:dyDescent="0.3">
      <c r="A174" s="472">
        <v>46133</v>
      </c>
      <c r="B174" s="458" t="s">
        <v>1044</v>
      </c>
      <c r="C174" s="458" t="s">
        <v>537</v>
      </c>
      <c r="D174" s="459">
        <f>'SEMANA ABRIL'!$H$136</f>
        <v>652</v>
      </c>
      <c r="E174" s="459">
        <f>'SEMANA ABRIL'!$I$136</f>
        <v>3912</v>
      </c>
      <c r="F174" s="459">
        <f>'SEMANA ABRIL'!$D$136</f>
        <v>2470</v>
      </c>
      <c r="G174" s="460">
        <f>'SEMANA ABRIL'!$G$136</f>
        <v>13</v>
      </c>
      <c r="H174" s="458" t="s">
        <v>1086</v>
      </c>
      <c r="I174" s="461">
        <v>600</v>
      </c>
    </row>
    <row r="175" spans="1:9" ht="14.25" customHeight="1" x14ac:dyDescent="0.3">
      <c r="A175" s="471">
        <v>46134</v>
      </c>
      <c r="B175" s="454" t="s">
        <v>1044</v>
      </c>
      <c r="C175" s="454" t="s">
        <v>537</v>
      </c>
      <c r="D175" s="455">
        <f>'SEMANA ABRIL'!$H$143</f>
        <v>1435</v>
      </c>
      <c r="E175" s="455">
        <f>'SEMANA ABRIL'!$I$143</f>
        <v>8610</v>
      </c>
      <c r="F175" s="455">
        <f>'SEMANA ABRIL'!$D$143</f>
        <v>1818</v>
      </c>
      <c r="G175" s="456">
        <f>'SEMANA ABRIL'!$G$143</f>
        <v>10</v>
      </c>
      <c r="H175" s="454" t="s">
        <v>1087</v>
      </c>
      <c r="I175" s="457">
        <v>600</v>
      </c>
    </row>
    <row r="176" spans="1:9" ht="14.25" customHeight="1" x14ac:dyDescent="0.3">
      <c r="A176" s="472">
        <v>46135</v>
      </c>
      <c r="B176" s="458" t="s">
        <v>1044</v>
      </c>
      <c r="C176" s="458" t="s">
        <v>537</v>
      </c>
      <c r="D176" s="459">
        <f>'SEMANA ABRIL'!$H$151</f>
        <v>383</v>
      </c>
      <c r="E176" s="459">
        <f>'SEMANA ABRIL'!$I$151</f>
        <v>2298</v>
      </c>
      <c r="F176" s="459">
        <f>'SEMANA ABRIL'!$D$151</f>
        <v>383</v>
      </c>
      <c r="G176" s="460">
        <f>'SEMANA ABRIL'!$G$151</f>
        <v>3</v>
      </c>
      <c r="H176" s="458" t="s">
        <v>1088</v>
      </c>
      <c r="I176" s="461">
        <v>600</v>
      </c>
    </row>
    <row r="177" spans="1:9" ht="14.25" customHeight="1" x14ac:dyDescent="0.3">
      <c r="A177" s="471">
        <v>46135</v>
      </c>
      <c r="B177" s="454" t="s">
        <v>1044</v>
      </c>
      <c r="C177" s="454" t="s">
        <v>543</v>
      </c>
      <c r="D177" s="455">
        <f>'SEMANA ABRIL'!$H$152</f>
        <v>506</v>
      </c>
      <c r="E177" s="455">
        <f>'SEMANA ABRIL'!$I$152</f>
        <v>6072</v>
      </c>
      <c r="F177" s="455">
        <f>'SEMANA ABRIL'!$D$152</f>
        <v>570</v>
      </c>
      <c r="G177" s="456">
        <f>'SEMANA ABRIL'!$G$152</f>
        <v>6</v>
      </c>
      <c r="H177" s="454" t="s">
        <v>1089</v>
      </c>
      <c r="I177" s="457">
        <v>600</v>
      </c>
    </row>
    <row r="178" spans="1:9" ht="14.25" customHeight="1" x14ac:dyDescent="0.3">
      <c r="A178" s="472">
        <v>46136</v>
      </c>
      <c r="B178" s="458" t="s">
        <v>1044</v>
      </c>
      <c r="C178" s="458" t="s">
        <v>543</v>
      </c>
      <c r="D178" s="459">
        <f>'SEMANA ABRIL'!$H$160</f>
        <v>64</v>
      </c>
      <c r="E178" s="459">
        <f>'SEMANA ABRIL'!$I$160</f>
        <v>768</v>
      </c>
      <c r="F178" s="459">
        <f>'SEMANA ABRIL'!$D$160</f>
        <v>64</v>
      </c>
      <c r="G178" s="460">
        <f>'SEMANA ABRIL'!$G$160</f>
        <v>1</v>
      </c>
      <c r="H178" s="458" t="s">
        <v>1090</v>
      </c>
      <c r="I178" s="461">
        <v>600</v>
      </c>
    </row>
    <row r="179" spans="1:9" ht="14.25" customHeight="1" x14ac:dyDescent="0.3">
      <c r="A179" s="471">
        <v>46136</v>
      </c>
      <c r="B179" s="454" t="s">
        <v>1044</v>
      </c>
      <c r="C179" s="454" t="s">
        <v>330</v>
      </c>
      <c r="D179" s="455">
        <f>'SEMANA ABRIL'!$H$161</f>
        <v>783</v>
      </c>
      <c r="E179" s="455">
        <f>'SEMANA ABRIL'!$I$161</f>
        <v>9396</v>
      </c>
      <c r="F179" s="455">
        <f>'SEMANA ABRIL'!$D$161</f>
        <v>1920</v>
      </c>
      <c r="G179" s="456">
        <f>'SEMANA ABRIL'!$G$161</f>
        <v>8</v>
      </c>
      <c r="H179" s="454" t="s">
        <v>1091</v>
      </c>
      <c r="I179" s="457">
        <v>100</v>
      </c>
    </row>
    <row r="180" spans="1:9" ht="14.25" customHeight="1" x14ac:dyDescent="0.3">
      <c r="A180" s="472">
        <v>46137</v>
      </c>
      <c r="B180" s="458" t="s">
        <v>1044</v>
      </c>
      <c r="C180" s="458" t="s">
        <v>330</v>
      </c>
      <c r="D180" s="459">
        <f>'SEMANA ABRIL'!$H$168</f>
        <v>1141</v>
      </c>
      <c r="E180" s="459">
        <f>'SEMANA ABRIL'!$I$168</f>
        <v>13692</v>
      </c>
      <c r="F180" s="459">
        <f>'SEMANA ABRIL'!$D$168</f>
        <v>1137</v>
      </c>
      <c r="G180" s="460">
        <f>'SEMANA ABRIL'!$G$168</f>
        <v>5</v>
      </c>
      <c r="H180" s="458" t="s">
        <v>1092</v>
      </c>
      <c r="I180" s="461">
        <v>100</v>
      </c>
    </row>
    <row r="181" spans="1:9" ht="14.25" customHeight="1" x14ac:dyDescent="0.3">
      <c r="A181" s="471">
        <v>46139</v>
      </c>
      <c r="B181" s="454" t="s">
        <v>1044</v>
      </c>
      <c r="C181" s="454" t="s">
        <v>329</v>
      </c>
      <c r="D181" s="455">
        <f>'SEMANA ABRIL'!$H$176</f>
        <v>1683</v>
      </c>
      <c r="E181" s="455">
        <f>'SEMANA ABRIL'!$I$176</f>
        <v>20196</v>
      </c>
      <c r="F181" s="455">
        <f>'SEMANA ABRIL'!$D$176</f>
        <v>1670</v>
      </c>
      <c r="G181" s="456">
        <f>'SEMANA ABRIL'!$G$176</f>
        <v>7</v>
      </c>
      <c r="H181" s="454" t="s">
        <v>1093</v>
      </c>
      <c r="I181" s="457">
        <v>180</v>
      </c>
    </row>
    <row r="182" spans="1:9" ht="14.25" customHeight="1" x14ac:dyDescent="0.3">
      <c r="A182" s="472">
        <v>46140</v>
      </c>
      <c r="B182" s="458" t="s">
        <v>1044</v>
      </c>
      <c r="C182" s="458" t="s">
        <v>54</v>
      </c>
      <c r="D182" s="459">
        <f>'SEMANA ABRIL'!$H$185</f>
        <v>481</v>
      </c>
      <c r="E182" s="459">
        <f>'SEMANA ABRIL'!$I$185</f>
        <v>5772</v>
      </c>
      <c r="F182" s="459">
        <f>'SEMANA ABRIL'!$D$185</f>
        <v>480</v>
      </c>
      <c r="G182" s="460">
        <f>'SEMANA ABRIL'!$G$185</f>
        <v>2</v>
      </c>
      <c r="H182" s="458" t="s">
        <v>1094</v>
      </c>
      <c r="I182" s="461">
        <v>180</v>
      </c>
    </row>
    <row r="183" spans="1:9" ht="14.25" customHeight="1" x14ac:dyDescent="0.3">
      <c r="A183" s="471">
        <v>46140</v>
      </c>
      <c r="B183" s="454" t="s">
        <v>1044</v>
      </c>
      <c r="C183" s="454" t="s">
        <v>537</v>
      </c>
      <c r="D183" s="455">
        <f>'SEMANA ABRIL'!$H$186</f>
        <v>911</v>
      </c>
      <c r="E183" s="455">
        <f>'SEMANA ABRIL'!$I$186</f>
        <v>5466</v>
      </c>
      <c r="F183" s="455">
        <f>'SEMANA ABRIL'!$D$186</f>
        <v>3990</v>
      </c>
      <c r="G183" s="456">
        <f>'SEMANA ABRIL'!$G$186</f>
        <v>21</v>
      </c>
      <c r="H183" s="454" t="s">
        <v>1095</v>
      </c>
      <c r="I183" s="457">
        <v>600</v>
      </c>
    </row>
    <row r="184" spans="1:9" ht="14.25" customHeight="1" x14ac:dyDescent="0.3">
      <c r="A184" s="472">
        <v>46141</v>
      </c>
      <c r="B184" s="458" t="s">
        <v>1044</v>
      </c>
      <c r="C184" s="458" t="s">
        <v>537</v>
      </c>
      <c r="D184" s="459">
        <f>'SEMANA ABRIL'!$H$192</f>
        <v>1578</v>
      </c>
      <c r="E184" s="459">
        <f>'SEMANA ABRIL'!$I$192</f>
        <v>9468</v>
      </c>
      <c r="F184" s="459">
        <f>'SEMANA ABRIL'!$D$192</f>
        <v>3079</v>
      </c>
      <c r="G184" s="460">
        <f>'SEMANA ABRIL'!$G$192</f>
        <v>17</v>
      </c>
      <c r="H184" s="458" t="s">
        <v>1096</v>
      </c>
      <c r="I184" s="461">
        <v>600</v>
      </c>
    </row>
    <row r="185" spans="1:9" ht="14.25" customHeight="1" x14ac:dyDescent="0.3">
      <c r="A185" s="471">
        <v>46142</v>
      </c>
      <c r="B185" s="454" t="s">
        <v>1044</v>
      </c>
      <c r="C185" s="454" t="s">
        <v>537</v>
      </c>
      <c r="D185" s="455">
        <f>'SEMANA ABRIL'!$H$200</f>
        <v>1140</v>
      </c>
      <c r="E185" s="455">
        <f>'SEMANA ABRIL'!$I$200</f>
        <v>6840</v>
      </c>
      <c r="F185" s="455">
        <f>'SEMANA ABRIL'!$D$200</f>
        <v>1501</v>
      </c>
      <c r="G185" s="456">
        <f>'SEMANA ABRIL'!$G$200</f>
        <v>8</v>
      </c>
      <c r="H185" s="454" t="s">
        <v>1097</v>
      </c>
      <c r="I185" s="457">
        <v>600</v>
      </c>
    </row>
    <row r="186" spans="1:9" ht="14.25" customHeight="1" x14ac:dyDescent="0.3">
      <c r="A186" s="472">
        <v>46142</v>
      </c>
      <c r="B186" s="458" t="s">
        <v>1044</v>
      </c>
      <c r="C186" s="458" t="s">
        <v>544</v>
      </c>
      <c r="D186" s="459">
        <f>'SEMANA ABRIL'!$H$201</f>
        <v>420</v>
      </c>
      <c r="E186" s="459">
        <f>'SEMANA ABRIL'!$I$201</f>
        <v>5040</v>
      </c>
      <c r="F186" s="459">
        <f>'SEMANA ABRIL'!$D$201</f>
        <v>665</v>
      </c>
      <c r="G186" s="460">
        <f>'SEMANA ABRIL'!$G$201</f>
        <v>7</v>
      </c>
      <c r="H186" s="458" t="s">
        <v>1098</v>
      </c>
      <c r="I186" s="461">
        <v>600</v>
      </c>
    </row>
    <row r="187" spans="1:9" ht="14.25" customHeight="1" x14ac:dyDescent="0.3">
      <c r="A187"/>
    </row>
    <row r="188" spans="1:9" ht="14.25" customHeight="1" x14ac:dyDescent="0.3">
      <c r="A188"/>
    </row>
    <row r="189" spans="1:9" ht="14.25" customHeight="1" x14ac:dyDescent="0.3">
      <c r="A189" s="471">
        <v>46143</v>
      </c>
      <c r="B189" s="454" t="s">
        <v>1099</v>
      </c>
      <c r="C189" s="454" t="s">
        <v>544</v>
      </c>
      <c r="D189" s="455">
        <f>'SEMANA MAIO'!$H$4</f>
        <v>255</v>
      </c>
      <c r="E189" s="455">
        <f>'SEMANA MAIO'!$I$4</f>
        <v>3060</v>
      </c>
      <c r="F189" s="455">
        <f>'SEMANA MAIO'!$D$4</f>
        <v>245</v>
      </c>
      <c r="G189" s="456">
        <f>'SEMANA MAIO'!$G$4</f>
        <v>3</v>
      </c>
      <c r="H189" s="454" t="s">
        <v>1100</v>
      </c>
      <c r="I189" s="457">
        <v>600</v>
      </c>
    </row>
    <row r="190" spans="1:9" ht="14.25" customHeight="1" x14ac:dyDescent="0.3">
      <c r="A190" s="472">
        <v>46143</v>
      </c>
      <c r="B190" s="458" t="s">
        <v>1099</v>
      </c>
      <c r="C190" s="458" t="s">
        <v>537</v>
      </c>
      <c r="D190" s="459">
        <f>'SEMANA MAIO'!$H$5</f>
        <v>361</v>
      </c>
      <c r="E190" s="459">
        <f>'SEMANA MAIO'!$I$5</f>
        <v>2166</v>
      </c>
      <c r="F190" s="459">
        <f>'SEMANA MAIO'!$D$5</f>
        <v>361</v>
      </c>
      <c r="G190" s="460">
        <f>'SEMANA MAIO'!$G$5</f>
        <v>2</v>
      </c>
      <c r="H190" s="458" t="s">
        <v>1101</v>
      </c>
      <c r="I190" s="461">
        <v>600</v>
      </c>
    </row>
    <row r="191" spans="1:9" ht="14.25" customHeight="1" x14ac:dyDescent="0.3">
      <c r="A191" s="471">
        <v>46143</v>
      </c>
      <c r="B191" s="454" t="s">
        <v>1099</v>
      </c>
      <c r="C191" s="454" t="s">
        <v>54</v>
      </c>
      <c r="D191" s="455">
        <f>'SEMANA MAIO'!$H$6</f>
        <v>534</v>
      </c>
      <c r="E191" s="455">
        <f>'SEMANA MAIO'!$I$6</f>
        <v>6408</v>
      </c>
      <c r="F191" s="455">
        <f>'SEMANA MAIO'!$D$6</f>
        <v>875</v>
      </c>
      <c r="G191" s="456">
        <f>'SEMANA MAIO'!$G$6</f>
        <v>7</v>
      </c>
      <c r="H191" s="454" t="s">
        <v>1102</v>
      </c>
      <c r="I191" s="457">
        <v>400</v>
      </c>
    </row>
    <row r="192" spans="1:9" ht="14.25" customHeight="1" x14ac:dyDescent="0.3">
      <c r="A192" s="472">
        <v>46144</v>
      </c>
      <c r="B192" s="458" t="s">
        <v>1099</v>
      </c>
      <c r="C192" s="458" t="s">
        <v>54</v>
      </c>
      <c r="D192" s="459">
        <f>'SEMANA MAIO'!$H$13</f>
        <v>341</v>
      </c>
      <c r="E192" s="459">
        <f>'SEMANA MAIO'!$I$13</f>
        <v>4092</v>
      </c>
      <c r="F192" s="459">
        <f>'SEMANA MAIO'!$D$13</f>
        <v>341</v>
      </c>
      <c r="G192" s="460">
        <f>'SEMANA MAIO'!$G$13</f>
        <v>3</v>
      </c>
      <c r="H192" s="458" t="s">
        <v>1103</v>
      </c>
      <c r="I192" s="461">
        <v>400</v>
      </c>
    </row>
    <row r="193" spans="1:9" ht="14.25" customHeight="1" x14ac:dyDescent="0.3">
      <c r="A193" s="471">
        <v>46144</v>
      </c>
      <c r="B193" s="454" t="s">
        <v>1099</v>
      </c>
      <c r="C193" s="454" t="s">
        <v>178</v>
      </c>
      <c r="D193" s="455">
        <f>'SEMANA MAIO'!$H$14</f>
        <v>686</v>
      </c>
      <c r="E193" s="455">
        <f>'SEMANA MAIO'!$I$14</f>
        <v>8232</v>
      </c>
      <c r="F193" s="455">
        <f>'SEMANA MAIO'!$D$14</f>
        <v>2330</v>
      </c>
      <c r="G193" s="456">
        <f>'SEMANA MAIO'!$G$14</f>
        <v>22</v>
      </c>
      <c r="H193" s="454" t="s">
        <v>1104</v>
      </c>
      <c r="I193" s="457">
        <v>400</v>
      </c>
    </row>
    <row r="194" spans="1:9" ht="14.25" customHeight="1" x14ac:dyDescent="0.3">
      <c r="A194" s="472">
        <v>46146</v>
      </c>
      <c r="B194" s="458" t="s">
        <v>1099</v>
      </c>
      <c r="C194" s="458" t="s">
        <v>178</v>
      </c>
      <c r="D194" s="459">
        <f>'SEMANA MAIO'!$H$21</f>
        <v>1479</v>
      </c>
      <c r="E194" s="459">
        <f>'SEMANA MAIO'!$I$21</f>
        <v>17748</v>
      </c>
      <c r="F194" s="459">
        <f>'SEMANA MAIO'!$D$21</f>
        <v>1644</v>
      </c>
      <c r="G194" s="460">
        <f>'SEMANA MAIO'!$G$21</f>
        <v>15</v>
      </c>
      <c r="H194" s="458" t="s">
        <v>1105</v>
      </c>
      <c r="I194" s="461">
        <v>400</v>
      </c>
    </row>
    <row r="195" spans="1:9" ht="14.25" customHeight="1" x14ac:dyDescent="0.3">
      <c r="A195" s="471">
        <v>46147</v>
      </c>
      <c r="B195" s="454" t="s">
        <v>1099</v>
      </c>
      <c r="C195" s="454" t="s">
        <v>621</v>
      </c>
      <c r="D195" s="455">
        <f>'SEMANA MAIO'!$H$29</f>
        <v>251</v>
      </c>
      <c r="E195" s="455">
        <f>'SEMANA MAIO'!$I$29</f>
        <v>3012</v>
      </c>
      <c r="F195" s="455">
        <f>'SEMANA MAIO'!$D$29</f>
        <v>250</v>
      </c>
      <c r="G195" s="456">
        <f>'SEMANA MAIO'!$G$29</f>
        <v>2</v>
      </c>
      <c r="H195" s="454" t="s">
        <v>1106</v>
      </c>
      <c r="I195" s="457">
        <v>400</v>
      </c>
    </row>
    <row r="196" spans="1:9" ht="14.25" customHeight="1" x14ac:dyDescent="0.3">
      <c r="A196" s="472">
        <v>46147</v>
      </c>
      <c r="B196" s="458" t="s">
        <v>1099</v>
      </c>
      <c r="C196" s="458" t="s">
        <v>446</v>
      </c>
      <c r="D196" s="459">
        <f>'SEMANA MAIO'!$H$30</f>
        <v>50</v>
      </c>
      <c r="E196" s="459">
        <f>'SEMANA MAIO'!$I$30</f>
        <v>600</v>
      </c>
      <c r="F196" s="459">
        <f>'SEMANA MAIO'!$D$30</f>
        <v>250</v>
      </c>
      <c r="G196" s="460">
        <f>'SEMANA MAIO'!$G$30</f>
        <v>2</v>
      </c>
      <c r="H196" s="458" t="s">
        <v>1107</v>
      </c>
      <c r="I196" s="461">
        <v>400</v>
      </c>
    </row>
    <row r="197" spans="1:9" ht="14.25" customHeight="1" x14ac:dyDescent="0.3">
      <c r="A197" s="471">
        <v>46147</v>
      </c>
      <c r="B197" s="454" t="s">
        <v>1099</v>
      </c>
      <c r="C197" s="454" t="s">
        <v>622</v>
      </c>
      <c r="D197" s="455">
        <f>'SEMANA MAIO'!$H$31</f>
        <v>333</v>
      </c>
      <c r="E197" s="455">
        <f>'SEMANA MAIO'!$I$31</f>
        <v>1998</v>
      </c>
      <c r="F197" s="455">
        <f>'SEMANA MAIO'!$D$31</f>
        <v>330</v>
      </c>
      <c r="G197" s="456">
        <f>'SEMANA MAIO'!$G$31</f>
        <v>1</v>
      </c>
      <c r="H197" s="454" t="s">
        <v>1108</v>
      </c>
      <c r="I197" s="457">
        <v>200</v>
      </c>
    </row>
    <row r="198" spans="1:9" ht="14.25" customHeight="1" x14ac:dyDescent="0.3">
      <c r="A198" s="472">
        <v>46147</v>
      </c>
      <c r="B198" s="458" t="s">
        <v>1099</v>
      </c>
      <c r="C198" s="458" t="s">
        <v>623</v>
      </c>
      <c r="D198" s="459">
        <f>'SEMANA MAIO'!$H$32</f>
        <v>331</v>
      </c>
      <c r="E198" s="459">
        <f>'SEMANA MAIO'!$I$32</f>
        <v>1986</v>
      </c>
      <c r="F198" s="459">
        <f>'SEMANA MAIO'!$D$32</f>
        <v>330</v>
      </c>
      <c r="G198" s="460">
        <f>'SEMANA MAIO'!$G$32</f>
        <v>1</v>
      </c>
      <c r="H198" s="458" t="s">
        <v>1109</v>
      </c>
      <c r="I198" s="461">
        <v>200</v>
      </c>
    </row>
    <row r="199" spans="1:9" ht="14.25" customHeight="1" x14ac:dyDescent="0.3">
      <c r="A199" s="471">
        <v>46147</v>
      </c>
      <c r="B199" s="454" t="s">
        <v>1099</v>
      </c>
      <c r="C199" s="454" t="s">
        <v>624</v>
      </c>
      <c r="D199" s="455">
        <f>'SEMANA MAIO'!$H$33</f>
        <v>174</v>
      </c>
      <c r="E199" s="455">
        <f>'SEMANA MAIO'!$I$33</f>
        <v>1044</v>
      </c>
      <c r="F199" s="455">
        <f>'SEMANA MAIO'!$D$33</f>
        <v>330</v>
      </c>
      <c r="G199" s="456">
        <f>'SEMANA MAIO'!$G$33</f>
        <v>1</v>
      </c>
      <c r="H199" s="454" t="s">
        <v>1110</v>
      </c>
      <c r="I199" s="457">
        <v>200</v>
      </c>
    </row>
    <row r="200" spans="1:9" ht="14.25" customHeight="1" x14ac:dyDescent="0.3">
      <c r="A200" s="472">
        <v>46148</v>
      </c>
      <c r="B200" s="458" t="s">
        <v>1099</v>
      </c>
      <c r="C200" s="458" t="s">
        <v>624</v>
      </c>
      <c r="D200" s="459">
        <f>'SEMANA MAIO'!$H$38</f>
        <v>156</v>
      </c>
      <c r="E200" s="459">
        <f>'SEMANA MAIO'!$I$38</f>
        <v>936</v>
      </c>
      <c r="F200" s="459">
        <f>'SEMANA MAIO'!$D$38</f>
        <v>156</v>
      </c>
      <c r="G200" s="460">
        <f>'SEMANA MAIO'!$G$38</f>
        <v>1</v>
      </c>
      <c r="H200" s="458" t="s">
        <v>1111</v>
      </c>
      <c r="I200" s="461">
        <v>200</v>
      </c>
    </row>
    <row r="201" spans="1:9" ht="14.25" customHeight="1" x14ac:dyDescent="0.3">
      <c r="A201" s="471">
        <v>46148</v>
      </c>
      <c r="B201" s="454" t="s">
        <v>1099</v>
      </c>
      <c r="C201" s="454" t="s">
        <v>625</v>
      </c>
      <c r="D201" s="455">
        <f>'SEMANA MAIO'!$H$39</f>
        <v>334</v>
      </c>
      <c r="E201" s="455">
        <f>'SEMANA MAIO'!$I$39</f>
        <v>2004</v>
      </c>
      <c r="F201" s="455">
        <f>'SEMANA MAIO'!$D$39</f>
        <v>330</v>
      </c>
      <c r="G201" s="456">
        <f>'SEMANA MAIO'!$G$39</f>
        <v>1</v>
      </c>
      <c r="H201" s="454" t="s">
        <v>1112</v>
      </c>
      <c r="I201" s="457">
        <v>200</v>
      </c>
    </row>
    <row r="202" spans="1:9" ht="14.25" customHeight="1" x14ac:dyDescent="0.3">
      <c r="A202" s="472">
        <v>46148</v>
      </c>
      <c r="B202" s="458" t="s">
        <v>1099</v>
      </c>
      <c r="C202" s="458" t="s">
        <v>1113</v>
      </c>
      <c r="D202" s="459">
        <f>'SEMANA MAIO'!$H$40</f>
        <v>333</v>
      </c>
      <c r="E202" s="459">
        <f>'SEMANA MAIO'!$I$40</f>
        <v>1998</v>
      </c>
      <c r="F202" s="459">
        <f>'SEMANA MAIO'!$D$40</f>
        <v>330</v>
      </c>
      <c r="G202" s="460">
        <f>'SEMANA MAIO'!$G$40</f>
        <v>1</v>
      </c>
      <c r="H202" s="458" t="s">
        <v>1114</v>
      </c>
      <c r="I202" s="461">
        <v>200</v>
      </c>
    </row>
    <row r="203" spans="1:9" ht="14.25" customHeight="1" x14ac:dyDescent="0.3">
      <c r="A203" s="471">
        <v>46148</v>
      </c>
      <c r="B203" s="454" t="s">
        <v>1099</v>
      </c>
      <c r="C203" s="454" t="s">
        <v>627</v>
      </c>
      <c r="D203" s="455">
        <f>'SEMANA MAIO'!$H$41</f>
        <v>330</v>
      </c>
      <c r="E203" s="455">
        <f>'SEMANA MAIO'!$I$41</f>
        <v>1980</v>
      </c>
      <c r="F203" s="455">
        <f>'SEMANA MAIO'!$D$41</f>
        <v>330</v>
      </c>
      <c r="G203" s="456">
        <f>'SEMANA MAIO'!$G$41</f>
        <v>1</v>
      </c>
      <c r="H203" s="454" t="s">
        <v>1115</v>
      </c>
      <c r="I203" s="457">
        <v>200</v>
      </c>
    </row>
    <row r="204" spans="1:9" ht="14.25" customHeight="1" x14ac:dyDescent="0.3">
      <c r="A204" s="472">
        <v>46148</v>
      </c>
      <c r="B204" s="458" t="s">
        <v>1099</v>
      </c>
      <c r="C204" s="458" t="s">
        <v>628</v>
      </c>
      <c r="D204" s="459">
        <f>'SEMANA MAIO'!$H$42</f>
        <v>332</v>
      </c>
      <c r="E204" s="459">
        <f>'SEMANA MAIO'!$I$42</f>
        <v>1992</v>
      </c>
      <c r="F204" s="459">
        <f>'SEMANA MAIO'!$D$42</f>
        <v>330</v>
      </c>
      <c r="G204" s="460">
        <f>'SEMANA MAIO'!$G$42</f>
        <v>1</v>
      </c>
      <c r="H204" s="458" t="s">
        <v>1116</v>
      </c>
      <c r="I204" s="461">
        <v>200</v>
      </c>
    </row>
    <row r="205" spans="1:9" ht="14.25" customHeight="1" x14ac:dyDescent="0.3">
      <c r="A205" s="471">
        <v>46148</v>
      </c>
      <c r="B205" s="454" t="s">
        <v>1099</v>
      </c>
      <c r="C205" s="454" t="s">
        <v>629</v>
      </c>
      <c r="D205" s="455">
        <f>'SEMANA MAIO'!$H$43</f>
        <v>336</v>
      </c>
      <c r="E205" s="455">
        <f>'SEMANA MAIO'!$I$43</f>
        <v>2016</v>
      </c>
      <c r="F205" s="455">
        <f>'SEMANA MAIO'!$D$43</f>
        <v>330</v>
      </c>
      <c r="G205" s="456">
        <f>'SEMANA MAIO'!$G$43</f>
        <v>1</v>
      </c>
      <c r="H205" s="454" t="s">
        <v>1117</v>
      </c>
      <c r="I205" s="457">
        <v>200</v>
      </c>
    </row>
    <row r="206" spans="1:9" ht="14.25" customHeight="1" x14ac:dyDescent="0.3">
      <c r="A206" s="472">
        <v>46148</v>
      </c>
      <c r="B206" s="458" t="s">
        <v>1099</v>
      </c>
      <c r="C206" s="458" t="s">
        <v>630</v>
      </c>
      <c r="D206" s="459">
        <f>'SEMANA MAIO'!$H$44</f>
        <v>64</v>
      </c>
      <c r="E206" s="459">
        <f>'SEMANA MAIO'!$I$44</f>
        <v>384</v>
      </c>
      <c r="F206" s="459">
        <f>'SEMANA MAIO'!$D$44</f>
        <v>330</v>
      </c>
      <c r="G206" s="460">
        <f>'SEMANA MAIO'!$G$44</f>
        <v>1</v>
      </c>
      <c r="H206" s="458" t="s">
        <v>1118</v>
      </c>
      <c r="I206" s="461">
        <v>200</v>
      </c>
    </row>
    <row r="207" spans="1:9" ht="14.25" customHeight="1" x14ac:dyDescent="0.3">
      <c r="A207" s="471">
        <v>46148</v>
      </c>
      <c r="B207" s="454" t="s">
        <v>1099</v>
      </c>
      <c r="C207" s="454" t="s">
        <v>631</v>
      </c>
      <c r="D207" s="455">
        <f>'SEMANA MAIO'!$H$45</f>
        <v>208</v>
      </c>
      <c r="E207" s="455">
        <f>'SEMANA MAIO'!$I$45</f>
        <v>1248</v>
      </c>
      <c r="F207" s="455">
        <f>'SEMANA MAIO'!$D$45</f>
        <v>330</v>
      </c>
      <c r="G207" s="456">
        <f>'SEMANA MAIO'!$G$45</f>
        <v>1</v>
      </c>
      <c r="H207" s="454" t="s">
        <v>1119</v>
      </c>
      <c r="I207" s="457">
        <v>200</v>
      </c>
    </row>
    <row r="208" spans="1:9" ht="14.25" customHeight="1" x14ac:dyDescent="0.3">
      <c r="A208" s="472">
        <v>46149</v>
      </c>
      <c r="B208" s="458" t="s">
        <v>1099</v>
      </c>
      <c r="C208" s="458" t="s">
        <v>631</v>
      </c>
      <c r="D208" s="459">
        <f>'SEMANA MAIO'!$H$50</f>
        <v>123</v>
      </c>
      <c r="E208" s="459">
        <f>'SEMANA MAIO'!$I$50</f>
        <v>738</v>
      </c>
      <c r="F208" s="459">
        <f>'SEMANA MAIO'!$D$50</f>
        <v>122</v>
      </c>
      <c r="G208" s="460">
        <f>'SEMANA MAIO'!$G$50</f>
        <v>1</v>
      </c>
      <c r="H208" s="458" t="s">
        <v>1120</v>
      </c>
      <c r="I208" s="461">
        <v>200</v>
      </c>
    </row>
    <row r="209" spans="1:9" ht="14.25" customHeight="1" x14ac:dyDescent="0.3">
      <c r="A209" s="471">
        <v>46149</v>
      </c>
      <c r="B209" s="454" t="s">
        <v>1099</v>
      </c>
      <c r="C209" s="454" t="s">
        <v>630</v>
      </c>
      <c r="D209" s="455">
        <f>'SEMANA MAIO'!$H$51</f>
        <v>269</v>
      </c>
      <c r="E209" s="455">
        <f>'SEMANA MAIO'!$I$51</f>
        <v>1614</v>
      </c>
      <c r="F209" s="455">
        <f>'SEMANA MAIO'!$D$51</f>
        <v>266</v>
      </c>
      <c r="G209" s="456">
        <f>'SEMANA MAIO'!$G$51</f>
        <v>1</v>
      </c>
      <c r="H209" s="454" t="s">
        <v>1121</v>
      </c>
      <c r="I209" s="457">
        <v>200</v>
      </c>
    </row>
    <row r="210" spans="1:9" ht="14.25" customHeight="1" x14ac:dyDescent="0.3">
      <c r="A210" s="472">
        <v>46149</v>
      </c>
      <c r="B210" s="458" t="s">
        <v>1099</v>
      </c>
      <c r="C210" s="458" t="s">
        <v>632</v>
      </c>
      <c r="D210" s="459">
        <f>'SEMANA MAIO'!$H$52</f>
        <v>668</v>
      </c>
      <c r="E210" s="459">
        <f>'SEMANA MAIO'!$I$52</f>
        <v>4008</v>
      </c>
      <c r="F210" s="459">
        <f>'SEMANA MAIO'!$D$52</f>
        <v>660</v>
      </c>
      <c r="G210" s="460">
        <f>'SEMANA MAIO'!$G$52</f>
        <v>2</v>
      </c>
      <c r="H210" s="458" t="s">
        <v>1122</v>
      </c>
      <c r="I210" s="461">
        <v>200</v>
      </c>
    </row>
    <row r="211" spans="1:9" ht="14.25" customHeight="1" x14ac:dyDescent="0.3">
      <c r="A211" s="471">
        <v>46149</v>
      </c>
      <c r="B211" s="454" t="s">
        <v>1099</v>
      </c>
      <c r="C211" s="454" t="s">
        <v>446</v>
      </c>
      <c r="D211" s="455">
        <f>'SEMANA MAIO'!$H$53</f>
        <v>200</v>
      </c>
      <c r="E211" s="455">
        <f>'SEMANA MAIO'!$I$53</f>
        <v>2400</v>
      </c>
      <c r="F211" s="455">
        <f>'SEMANA MAIO'!$D$53</f>
        <v>200</v>
      </c>
      <c r="G211" s="456">
        <f>'SEMANA MAIO'!$G$53</f>
        <v>2</v>
      </c>
      <c r="H211" s="454" t="s">
        <v>1123</v>
      </c>
      <c r="I211" s="457">
        <v>400</v>
      </c>
    </row>
    <row r="212" spans="1:9" ht="14.25" customHeight="1" x14ac:dyDescent="0.3">
      <c r="A212" s="472">
        <v>46149</v>
      </c>
      <c r="B212" s="458" t="s">
        <v>1099</v>
      </c>
      <c r="C212" s="458" t="s">
        <v>447</v>
      </c>
      <c r="D212" s="459">
        <f>'SEMANA MAIO'!$H$54</f>
        <v>252</v>
      </c>
      <c r="E212" s="459">
        <f>'SEMANA MAIO'!$I$54</f>
        <v>3024</v>
      </c>
      <c r="F212" s="459">
        <f>'SEMANA MAIO'!$D$54</f>
        <v>250</v>
      </c>
      <c r="G212" s="460">
        <f>'SEMANA MAIO'!$G$54</f>
        <v>2</v>
      </c>
      <c r="H212" s="458" t="s">
        <v>1124</v>
      </c>
      <c r="I212" s="461">
        <v>400</v>
      </c>
    </row>
    <row r="213" spans="1:9" ht="14.25" customHeight="1" x14ac:dyDescent="0.3">
      <c r="A213" s="471">
        <v>46149</v>
      </c>
      <c r="B213" s="454" t="s">
        <v>1099</v>
      </c>
      <c r="C213" s="454" t="s">
        <v>54</v>
      </c>
      <c r="D213" s="455">
        <f>'SEMANA MAIO'!$H$55</f>
        <v>105</v>
      </c>
      <c r="E213" s="455">
        <f>'SEMANA MAIO'!$I$55</f>
        <v>1260</v>
      </c>
      <c r="F213" s="455">
        <f>'SEMANA MAIO'!$D$55</f>
        <v>665</v>
      </c>
      <c r="G213" s="456">
        <f>'SEMANA MAIO'!$G$55</f>
        <v>7</v>
      </c>
      <c r="H213" s="454" t="s">
        <v>1125</v>
      </c>
      <c r="I213" s="457">
        <v>600</v>
      </c>
    </row>
    <row r="214" spans="1:9" ht="14.25" customHeight="1" x14ac:dyDescent="0.3">
      <c r="A214" s="472">
        <v>46150</v>
      </c>
      <c r="B214" s="458" t="s">
        <v>1099</v>
      </c>
      <c r="C214" s="458" t="s">
        <v>54</v>
      </c>
      <c r="D214" s="459">
        <f>'SEMANA MAIO'!$H$60</f>
        <v>531</v>
      </c>
      <c r="E214" s="459">
        <f>'SEMANA MAIO'!$I$60</f>
        <v>6372</v>
      </c>
      <c r="F214" s="459">
        <f>'SEMANA MAIO'!$D$60</f>
        <v>560</v>
      </c>
      <c r="G214" s="460">
        <f>'SEMANA MAIO'!$G$60</f>
        <v>6</v>
      </c>
      <c r="H214" s="458" t="s">
        <v>1126</v>
      </c>
      <c r="I214" s="461">
        <v>600</v>
      </c>
    </row>
    <row r="215" spans="1:9" ht="14.25" customHeight="1" x14ac:dyDescent="0.3">
      <c r="A215" s="471">
        <v>46151</v>
      </c>
      <c r="B215" s="454" t="s">
        <v>1099</v>
      </c>
      <c r="C215" s="454" t="s">
        <v>54</v>
      </c>
      <c r="D215" s="455">
        <f>'SEMANA MAIO'!$H$68</f>
        <v>37</v>
      </c>
      <c r="E215" s="455">
        <f>'SEMANA MAIO'!$I$68</f>
        <v>444</v>
      </c>
      <c r="F215" s="455">
        <f>'SEMANA MAIO'!$D$68</f>
        <v>29</v>
      </c>
      <c r="G215" s="456">
        <f>'SEMANA MAIO'!$G$68</f>
        <v>1</v>
      </c>
      <c r="H215" s="454" t="s">
        <v>1127</v>
      </c>
      <c r="I215" s="457">
        <v>600</v>
      </c>
    </row>
    <row r="216" spans="1:9" ht="14.25" customHeight="1" x14ac:dyDescent="0.3">
      <c r="A216" s="472">
        <v>46151</v>
      </c>
      <c r="B216" s="458" t="s">
        <v>1099</v>
      </c>
      <c r="C216" s="458" t="s">
        <v>544</v>
      </c>
      <c r="D216" s="459">
        <f>'SEMANA MAIO'!$H$69</f>
        <v>641</v>
      </c>
      <c r="E216" s="459">
        <f>'SEMANA MAIO'!$I$69</f>
        <v>7692</v>
      </c>
      <c r="F216" s="459">
        <f>'SEMANA MAIO'!$D$69</f>
        <v>650</v>
      </c>
      <c r="G216" s="460">
        <f>'SEMANA MAIO'!$G$69</f>
        <v>7</v>
      </c>
      <c r="H216" s="458" t="s">
        <v>1128</v>
      </c>
      <c r="I216" s="461">
        <v>600</v>
      </c>
    </row>
    <row r="217" spans="1:9" ht="14.25" customHeight="1" x14ac:dyDescent="0.3">
      <c r="A217" s="471">
        <v>46153</v>
      </c>
      <c r="B217" s="454" t="s">
        <v>1099</v>
      </c>
      <c r="C217" s="454" t="s">
        <v>192</v>
      </c>
      <c r="D217" s="455">
        <f>'SEMANA MAIO'!$H$76</f>
        <v>202</v>
      </c>
      <c r="E217" s="455">
        <f>'SEMANA MAIO'!$I$76</f>
        <v>2424</v>
      </c>
      <c r="F217" s="455">
        <f>'SEMANA MAIO'!$D$76</f>
        <v>200</v>
      </c>
      <c r="G217" s="456">
        <f>'SEMANA MAIO'!$G$76</f>
        <v>3</v>
      </c>
      <c r="H217" s="454" t="s">
        <v>1129</v>
      </c>
      <c r="I217" s="457">
        <v>600</v>
      </c>
    </row>
    <row r="218" spans="1:9" ht="14.25" customHeight="1" x14ac:dyDescent="0.3">
      <c r="A218" s="472">
        <v>46153</v>
      </c>
      <c r="B218" s="458" t="s">
        <v>1099</v>
      </c>
      <c r="C218" s="458" t="s">
        <v>598</v>
      </c>
      <c r="D218" s="459">
        <f>'SEMANA MAIO'!$H$77</f>
        <v>81</v>
      </c>
      <c r="E218" s="459">
        <f>'SEMANA MAIO'!$I$77</f>
        <v>972</v>
      </c>
      <c r="F218" s="459">
        <f>'SEMANA MAIO'!$D$77</f>
        <v>285</v>
      </c>
      <c r="G218" s="460">
        <f>'SEMANA MAIO'!$G$77</f>
        <v>3</v>
      </c>
      <c r="H218" s="458" t="s">
        <v>1130</v>
      </c>
      <c r="I218" s="461">
        <v>600</v>
      </c>
    </row>
    <row r="219" spans="1:9" ht="14.25" customHeight="1" x14ac:dyDescent="0.3">
      <c r="A219" s="471">
        <v>46154</v>
      </c>
      <c r="B219" s="454" t="s">
        <v>1099</v>
      </c>
      <c r="C219" s="454" t="s">
        <v>598</v>
      </c>
      <c r="D219" s="455">
        <f>'SEMANA MAIO'!$H$85</f>
        <v>205</v>
      </c>
      <c r="E219" s="455">
        <f>'SEMANA MAIO'!$I$85</f>
        <v>2460</v>
      </c>
      <c r="F219" s="455">
        <f>'SEMANA MAIO'!$D$85</f>
        <v>204</v>
      </c>
      <c r="G219" s="456">
        <f>'SEMANA MAIO'!$G$85</f>
        <v>3</v>
      </c>
      <c r="H219" s="454" t="s">
        <v>1131</v>
      </c>
      <c r="I219" s="457">
        <v>600</v>
      </c>
    </row>
    <row r="220" spans="1:9" ht="14.25" customHeight="1" x14ac:dyDescent="0.3">
      <c r="A220" s="472">
        <v>46154</v>
      </c>
      <c r="B220" s="458" t="s">
        <v>1099</v>
      </c>
      <c r="C220" s="458" t="s">
        <v>543</v>
      </c>
      <c r="D220" s="459">
        <f>'SEMANA MAIO'!$H$86</f>
        <v>700</v>
      </c>
      <c r="E220" s="459">
        <f>'SEMANA MAIO'!$I$86</f>
        <v>8400</v>
      </c>
      <c r="F220" s="459">
        <f>'SEMANA MAIO'!$D$86</f>
        <v>1045</v>
      </c>
      <c r="G220" s="460">
        <f>'SEMANA MAIO'!$G$86</f>
        <v>11</v>
      </c>
      <c r="H220" s="458" t="s">
        <v>1132</v>
      </c>
      <c r="I220" s="461">
        <v>600</v>
      </c>
    </row>
    <row r="221" spans="1:9" ht="14.25" customHeight="1" x14ac:dyDescent="0.3">
      <c r="A221" s="471">
        <v>46155</v>
      </c>
      <c r="B221" s="454" t="s">
        <v>1099</v>
      </c>
      <c r="C221" s="454" t="s">
        <v>543</v>
      </c>
      <c r="D221" s="455">
        <f>'SEMANA MAIO'!$H$93</f>
        <v>345</v>
      </c>
      <c r="E221" s="455">
        <f>'SEMANA MAIO'!$I$93</f>
        <v>4140</v>
      </c>
      <c r="F221" s="455">
        <f>'SEMANA MAIO'!$D$93</f>
        <v>345</v>
      </c>
      <c r="G221" s="456">
        <f>'SEMANA MAIO'!$G$93</f>
        <v>4</v>
      </c>
      <c r="H221" s="454" t="s">
        <v>1133</v>
      </c>
      <c r="I221" s="457">
        <v>600</v>
      </c>
    </row>
    <row r="222" spans="1:9" ht="14.25" customHeight="1" x14ac:dyDescent="0.3">
      <c r="A222" s="472">
        <v>46155</v>
      </c>
      <c r="B222" s="458" t="s">
        <v>1099</v>
      </c>
      <c r="C222" s="458" t="s">
        <v>537</v>
      </c>
      <c r="D222" s="459">
        <f>'SEMANA MAIO'!$H$94</f>
        <v>1127</v>
      </c>
      <c r="E222" s="459">
        <f>'SEMANA MAIO'!$I$94</f>
        <v>6762</v>
      </c>
      <c r="F222" s="459">
        <f>'SEMANA MAIO'!$D$94</f>
        <v>1900</v>
      </c>
      <c r="G222" s="460">
        <f>'SEMANA MAIO'!$G$94</f>
        <v>10</v>
      </c>
      <c r="H222" s="458" t="s">
        <v>1134</v>
      </c>
      <c r="I222" s="461">
        <v>600</v>
      </c>
    </row>
    <row r="223" spans="1:9" ht="14.25" customHeight="1" x14ac:dyDescent="0.3">
      <c r="A223" s="471">
        <v>46156</v>
      </c>
      <c r="B223" s="454" t="s">
        <v>1099</v>
      </c>
      <c r="C223" s="454" t="s">
        <v>537</v>
      </c>
      <c r="D223" s="455">
        <f>'SEMANA MAIO'!$H$101</f>
        <v>773</v>
      </c>
      <c r="E223" s="455">
        <f>'SEMANA MAIO'!$I$101</f>
        <v>4638</v>
      </c>
      <c r="F223" s="455">
        <f>'SEMANA MAIO'!$D$101</f>
        <v>773</v>
      </c>
      <c r="G223" s="456">
        <f>'SEMANA MAIO'!$G$101</f>
        <v>5</v>
      </c>
      <c r="H223" s="454" t="s">
        <v>1135</v>
      </c>
      <c r="I223" s="457">
        <v>600</v>
      </c>
    </row>
    <row r="224" spans="1:9" ht="14.25" customHeight="1" x14ac:dyDescent="0.3">
      <c r="A224" s="472">
        <v>46156</v>
      </c>
      <c r="B224" s="458" t="s">
        <v>1099</v>
      </c>
      <c r="C224" s="458" t="s">
        <v>54</v>
      </c>
      <c r="D224" s="459">
        <f>'SEMANA MAIO'!$H$102</f>
        <v>269</v>
      </c>
      <c r="E224" s="459">
        <f>'SEMANA MAIO'!$I$102</f>
        <v>3228</v>
      </c>
      <c r="F224" s="459">
        <f>'SEMANA MAIO'!$D$102</f>
        <v>1140</v>
      </c>
      <c r="G224" s="460">
        <f>'SEMANA MAIO'!$G$102</f>
        <v>12</v>
      </c>
      <c r="H224" s="458" t="s">
        <v>1136</v>
      </c>
      <c r="I224" s="461">
        <v>600</v>
      </c>
    </row>
    <row r="225" spans="1:9" ht="14.25" customHeight="1" x14ac:dyDescent="0.3">
      <c r="A225" s="471">
        <v>46157</v>
      </c>
      <c r="B225" s="454" t="s">
        <v>1099</v>
      </c>
      <c r="C225" s="454" t="s">
        <v>54</v>
      </c>
      <c r="D225" s="455">
        <f>'SEMANA MAIO'!$H$109</f>
        <v>449</v>
      </c>
      <c r="E225" s="455">
        <f>'SEMANA MAIO'!$I$109</f>
        <v>5388</v>
      </c>
      <c r="F225" s="455">
        <f>'SEMANA MAIO'!$D$109</f>
        <v>871</v>
      </c>
      <c r="G225" s="456">
        <f>'SEMANA MAIO'!$G$109</f>
        <v>10</v>
      </c>
      <c r="H225" s="454" t="s">
        <v>1137</v>
      </c>
      <c r="I225" s="457">
        <v>600</v>
      </c>
    </row>
    <row r="226" spans="1:9" ht="14.25" customHeight="1" x14ac:dyDescent="0.3">
      <c r="A226" s="472">
        <v>46157</v>
      </c>
      <c r="B226" s="458" t="s">
        <v>1099</v>
      </c>
      <c r="C226" s="458" t="s">
        <v>60</v>
      </c>
      <c r="D226" s="459">
        <f>'SEMANA MAIO'!$H$110</f>
        <v>39</v>
      </c>
      <c r="E226" s="459">
        <f>'SEMANA MAIO'!$I$110</f>
        <v>468</v>
      </c>
      <c r="F226" s="459">
        <f>'SEMANA MAIO'!$D$110</f>
        <v>665</v>
      </c>
      <c r="G226" s="460">
        <f>'SEMANA MAIO'!$G$110</f>
        <v>7</v>
      </c>
      <c r="H226" s="458" t="s">
        <v>1138</v>
      </c>
      <c r="I226" s="461">
        <v>600</v>
      </c>
    </row>
    <row r="227" spans="1:9" ht="14.25" customHeight="1" x14ac:dyDescent="0.3">
      <c r="A227" s="471">
        <v>46158</v>
      </c>
      <c r="B227" s="454" t="s">
        <v>1099</v>
      </c>
      <c r="C227" s="454" t="s">
        <v>60</v>
      </c>
      <c r="D227" s="455">
        <f>'SEMANA MAIO'!$H$117</f>
        <v>633</v>
      </c>
      <c r="E227" s="455">
        <f>'SEMANA MAIO'!$I$117</f>
        <v>7596</v>
      </c>
      <c r="F227" s="455">
        <f>'SEMANA MAIO'!$D$117</f>
        <v>626</v>
      </c>
      <c r="G227" s="456">
        <f>'SEMANA MAIO'!$G$117</f>
        <v>7</v>
      </c>
      <c r="H227" s="454" t="s">
        <v>1139</v>
      </c>
      <c r="I227" s="457">
        <v>600</v>
      </c>
    </row>
    <row r="228" spans="1:9" ht="14.25" customHeight="1" x14ac:dyDescent="0.3">
      <c r="A228" s="472">
        <v>46160</v>
      </c>
      <c r="B228" s="458" t="s">
        <v>1099</v>
      </c>
      <c r="C228" s="458" t="s">
        <v>635</v>
      </c>
      <c r="D228" s="459">
        <f>'SEMANA MAIO'!$H$124</f>
        <v>241</v>
      </c>
      <c r="E228" s="459">
        <f>'SEMANA MAIO'!$I$124</f>
        <v>2892</v>
      </c>
      <c r="F228" s="459">
        <f>'SEMANA MAIO'!$D$124</f>
        <v>240</v>
      </c>
      <c r="G228" s="460">
        <f>'SEMANA MAIO'!$G$124</f>
        <v>1</v>
      </c>
      <c r="H228" s="458" t="s">
        <v>1140</v>
      </c>
      <c r="I228" s="461">
        <v>70</v>
      </c>
    </row>
    <row r="229" spans="1:9" ht="14.25" customHeight="1" x14ac:dyDescent="0.3">
      <c r="A229" s="471">
        <v>46160</v>
      </c>
      <c r="B229" s="454" t="s">
        <v>1099</v>
      </c>
      <c r="C229" s="454" t="s">
        <v>636</v>
      </c>
      <c r="D229" s="455">
        <f>'SEMANA MAIO'!$H$125</f>
        <v>243</v>
      </c>
      <c r="E229" s="455">
        <f>'SEMANA MAIO'!$I$125</f>
        <v>2916</v>
      </c>
      <c r="F229" s="455">
        <f>'SEMANA MAIO'!$D$125</f>
        <v>240</v>
      </c>
      <c r="G229" s="456">
        <f>'SEMANA MAIO'!$G$125</f>
        <v>1</v>
      </c>
      <c r="H229" s="454" t="s">
        <v>1141</v>
      </c>
      <c r="I229" s="457">
        <v>70</v>
      </c>
    </row>
    <row r="230" spans="1:9" ht="14.25" customHeight="1" x14ac:dyDescent="0.3">
      <c r="A230" s="472">
        <v>46160</v>
      </c>
      <c r="B230" s="458" t="s">
        <v>1099</v>
      </c>
      <c r="C230" s="458" t="s">
        <v>637</v>
      </c>
      <c r="D230" s="459">
        <f>'SEMANA MAIO'!$H$126</f>
        <v>242</v>
      </c>
      <c r="E230" s="459">
        <f>'SEMANA MAIO'!$I$126</f>
        <v>2904</v>
      </c>
      <c r="F230" s="459">
        <f>'SEMANA MAIO'!$D$126</f>
        <v>240</v>
      </c>
      <c r="G230" s="460">
        <f>'SEMANA MAIO'!$G$126</f>
        <v>1</v>
      </c>
      <c r="H230" s="458" t="s">
        <v>1142</v>
      </c>
      <c r="I230" s="461">
        <v>70</v>
      </c>
    </row>
    <row r="231" spans="1:9" ht="14.25" customHeight="1" x14ac:dyDescent="0.3">
      <c r="A231" s="471">
        <v>46160</v>
      </c>
      <c r="B231" s="454" t="s">
        <v>1099</v>
      </c>
      <c r="C231" s="454" t="s">
        <v>638</v>
      </c>
      <c r="D231" s="455">
        <f>'SEMANA MAIO'!$H$127</f>
        <v>239</v>
      </c>
      <c r="E231" s="455">
        <f>'SEMANA MAIO'!$I$127</f>
        <v>2868</v>
      </c>
      <c r="F231" s="455">
        <f>'SEMANA MAIO'!$D$127</f>
        <v>250</v>
      </c>
      <c r="G231" s="456">
        <f>'SEMANA MAIO'!$G$127</f>
        <v>2</v>
      </c>
      <c r="H231" s="454" t="s">
        <v>1143</v>
      </c>
      <c r="I231" s="457">
        <v>100</v>
      </c>
    </row>
    <row r="232" spans="1:9" ht="14.25" customHeight="1" x14ac:dyDescent="0.3">
      <c r="A232" s="472">
        <v>46161</v>
      </c>
      <c r="B232" s="458" t="s">
        <v>1099</v>
      </c>
      <c r="C232" s="458" t="s">
        <v>639</v>
      </c>
      <c r="D232" s="459">
        <f>'SEMANA MAIO'!$H$134</f>
        <v>240</v>
      </c>
      <c r="E232" s="459">
        <f>'SEMANA MAIO'!$I$134</f>
        <v>2880</v>
      </c>
      <c r="F232" s="459">
        <f>'SEMANA MAIO'!$D$134</f>
        <v>240</v>
      </c>
      <c r="G232" s="460">
        <f>'SEMANA MAIO'!$G$134</f>
        <v>1</v>
      </c>
      <c r="H232" s="458" t="s">
        <v>1144</v>
      </c>
      <c r="I232" s="461">
        <v>180</v>
      </c>
    </row>
    <row r="233" spans="1:9" ht="14.25" customHeight="1" x14ac:dyDescent="0.3">
      <c r="A233" s="471">
        <v>46161</v>
      </c>
      <c r="B233" s="454" t="s">
        <v>1099</v>
      </c>
      <c r="C233" s="454" t="s">
        <v>54</v>
      </c>
      <c r="D233" s="455">
        <f>'SEMANA MAIO'!$H$135</f>
        <v>551</v>
      </c>
      <c r="E233" s="455">
        <f>'SEMANA MAIO'!$I$135</f>
        <v>6612</v>
      </c>
      <c r="F233" s="455">
        <f>'SEMANA MAIO'!$D$135</f>
        <v>500</v>
      </c>
      <c r="G233" s="456">
        <f>'SEMANA MAIO'!$G$135</f>
        <v>3</v>
      </c>
      <c r="H233" s="454" t="s">
        <v>1145</v>
      </c>
      <c r="I233" s="457">
        <v>180</v>
      </c>
    </row>
    <row r="234" spans="1:9" ht="14.25" customHeight="1" x14ac:dyDescent="0.3">
      <c r="A234" s="472">
        <v>46161</v>
      </c>
      <c r="B234" s="458" t="s">
        <v>1099</v>
      </c>
      <c r="C234" s="458" t="s">
        <v>54</v>
      </c>
      <c r="D234" s="459">
        <f>'SEMANA MAIO'!$H$136</f>
        <v>464</v>
      </c>
      <c r="E234" s="459">
        <f>'SEMANA MAIO'!$I$136</f>
        <v>5568</v>
      </c>
      <c r="F234" s="459">
        <f>'SEMANA MAIO'!$D$136</f>
        <v>875</v>
      </c>
      <c r="G234" s="460">
        <f>'SEMANA MAIO'!$G$136</f>
        <v>7</v>
      </c>
      <c r="H234" s="458" t="s">
        <v>1146</v>
      </c>
      <c r="I234" s="461">
        <v>400</v>
      </c>
    </row>
    <row r="235" spans="1:9" ht="14.25" customHeight="1" x14ac:dyDescent="0.3">
      <c r="A235" s="471">
        <v>46162</v>
      </c>
      <c r="B235" s="454" t="s">
        <v>1099</v>
      </c>
      <c r="C235" s="454" t="s">
        <v>640</v>
      </c>
      <c r="D235" s="455">
        <f>'SEMANA MAIO'!$H$143</f>
        <v>251</v>
      </c>
      <c r="E235" s="455">
        <f>'SEMANA MAIO'!$I$143</f>
        <v>3012</v>
      </c>
      <c r="F235" s="455">
        <f>'SEMANA MAIO'!$D$143</f>
        <v>250</v>
      </c>
      <c r="G235" s="456">
        <f>'SEMANA MAIO'!$G$143</f>
        <v>2</v>
      </c>
      <c r="H235" s="454" t="s">
        <v>1147</v>
      </c>
      <c r="I235" s="457">
        <v>400</v>
      </c>
    </row>
    <row r="236" spans="1:9" ht="14.25" customHeight="1" x14ac:dyDescent="0.3">
      <c r="A236" s="472">
        <v>46163</v>
      </c>
      <c r="B236" s="458" t="s">
        <v>1099</v>
      </c>
      <c r="C236" s="458" t="s">
        <v>642</v>
      </c>
      <c r="D236" s="459">
        <f>'SEMANA MAIO'!$H$151</f>
        <v>1534</v>
      </c>
      <c r="E236" s="459">
        <f>'SEMANA MAIO'!$I$151</f>
        <v>18408</v>
      </c>
      <c r="F236" s="459">
        <f>'SEMANA MAIO'!$D$151</f>
        <v>2060</v>
      </c>
      <c r="G236" s="460">
        <f>'SEMANA MAIO'!$G$151</f>
        <v>17</v>
      </c>
      <c r="H236" s="458" t="s">
        <v>1350</v>
      </c>
      <c r="I236" s="461">
        <v>400</v>
      </c>
    </row>
    <row r="237" spans="1:9" ht="14.25" customHeight="1" x14ac:dyDescent="0.3">
      <c r="A237" s="471">
        <v>46164</v>
      </c>
      <c r="B237" s="454" t="s">
        <v>1099</v>
      </c>
      <c r="C237" s="454" t="s">
        <v>642</v>
      </c>
      <c r="D237" s="455">
        <f>'SEMANA MAIO'!$H$158</f>
        <v>527</v>
      </c>
      <c r="E237" s="455">
        <f>'SEMANA MAIO'!$I$158</f>
        <v>6324</v>
      </c>
      <c r="F237" s="455">
        <f>'SEMANA MAIO'!$D$158</f>
        <v>526</v>
      </c>
      <c r="G237" s="456">
        <f>'SEMANA MAIO'!$G$158</f>
        <v>5</v>
      </c>
      <c r="H237" s="454" t="s">
        <v>1351</v>
      </c>
      <c r="I237" s="457">
        <v>400</v>
      </c>
    </row>
    <row r="238" spans="1:9" ht="14.25" customHeight="1" x14ac:dyDescent="0.3">
      <c r="A238" s="472">
        <v>46165</v>
      </c>
      <c r="B238" s="458" t="s">
        <v>1099</v>
      </c>
      <c r="C238" s="458" t="s">
        <v>616</v>
      </c>
      <c r="D238" s="459">
        <f>'SEMANA MAIO'!$H$167</f>
        <v>875</v>
      </c>
      <c r="E238" s="459">
        <f>'SEMANA MAIO'!$I$167</f>
        <v>10500</v>
      </c>
      <c r="F238" s="459">
        <f>'SEMANA MAIO'!$D$167</f>
        <v>1650</v>
      </c>
      <c r="G238" s="460">
        <f>'SEMANA MAIO'!$G$167</f>
        <v>14</v>
      </c>
      <c r="H238" s="458" t="s">
        <v>1352</v>
      </c>
      <c r="I238" s="461">
        <v>400</v>
      </c>
    </row>
    <row r="239" spans="1:9" ht="14.25" customHeight="1" x14ac:dyDescent="0.3">
      <c r="A239" s="471">
        <v>46167</v>
      </c>
      <c r="B239" s="454" t="s">
        <v>1099</v>
      </c>
      <c r="C239" s="454" t="s">
        <v>616</v>
      </c>
      <c r="D239" s="455">
        <f>'SEMANA MAIO'!$H$175</f>
        <v>775</v>
      </c>
      <c r="E239" s="455">
        <f>'SEMANA MAIO'!$I$175</f>
        <v>9300</v>
      </c>
      <c r="F239" s="455">
        <f>'SEMANA MAIO'!$D$175</f>
        <v>775</v>
      </c>
      <c r="G239" s="456">
        <f>'SEMANA MAIO'!$G$175</f>
        <v>7</v>
      </c>
      <c r="H239" s="454" t="s">
        <v>1353</v>
      </c>
      <c r="I239" s="457">
        <v>400</v>
      </c>
    </row>
    <row r="240" spans="1:9" ht="14.25" customHeight="1" x14ac:dyDescent="0.3">
      <c r="A240" s="472">
        <v>46167</v>
      </c>
      <c r="B240" s="458" t="s">
        <v>1099</v>
      </c>
      <c r="C240" s="458" t="s">
        <v>643</v>
      </c>
      <c r="D240" s="459">
        <f>'SEMANA MAIO'!$H$177</f>
        <v>72</v>
      </c>
      <c r="E240" s="459">
        <f>'SEMANA MAIO'!$I$177</f>
        <v>864</v>
      </c>
      <c r="F240" s="459">
        <f>'SEMANA MAIO'!$D$177</f>
        <v>125</v>
      </c>
      <c r="G240" s="460">
        <f>'SEMANA MAIO'!$G$177</f>
        <v>1</v>
      </c>
      <c r="H240" s="458" t="s">
        <v>1148</v>
      </c>
      <c r="I240" s="461">
        <v>600</v>
      </c>
    </row>
    <row r="241" spans="1:9" ht="14.25" customHeight="1" x14ac:dyDescent="0.3">
      <c r="A241" s="471">
        <v>46168</v>
      </c>
      <c r="B241" s="454" t="s">
        <v>1099</v>
      </c>
      <c r="C241" s="454" t="s">
        <v>643</v>
      </c>
      <c r="D241" s="455">
        <f>'SEMANA MAIO'!$H$183</f>
        <v>53</v>
      </c>
      <c r="E241" s="455">
        <f>'SEMANA MAIO'!$I$183</f>
        <v>636</v>
      </c>
      <c r="F241" s="455">
        <f>'SEMANA MAIO'!$D$183</f>
        <v>53</v>
      </c>
      <c r="G241" s="456">
        <f>'SEMANA MAIO'!$G$183</f>
        <v>1</v>
      </c>
      <c r="H241" s="454" t="s">
        <v>1354</v>
      </c>
      <c r="I241" s="457">
        <v>600</v>
      </c>
    </row>
    <row r="242" spans="1:9" ht="14.25" customHeight="1" x14ac:dyDescent="0.3">
      <c r="A242" s="472">
        <v>46168</v>
      </c>
      <c r="B242" s="458" t="s">
        <v>1099</v>
      </c>
      <c r="C242" s="458" t="s">
        <v>643</v>
      </c>
      <c r="D242" s="459">
        <f>'SEMANA MAIO'!$H$184</f>
        <v>380</v>
      </c>
      <c r="E242" s="459">
        <f>'SEMANA MAIO'!$I$184</f>
        <v>4560</v>
      </c>
      <c r="F242" s="459">
        <f>'SEMANA MAIO'!$D$184</f>
        <v>380</v>
      </c>
      <c r="G242" s="460">
        <f>'SEMANA MAIO'!$G$184</f>
        <v>4</v>
      </c>
      <c r="H242" s="458" t="s">
        <v>1149</v>
      </c>
      <c r="I242" s="461">
        <v>600</v>
      </c>
    </row>
    <row r="243" spans="1:9" ht="14.25" customHeight="1" x14ac:dyDescent="0.3">
      <c r="A243" s="471">
        <v>46168</v>
      </c>
      <c r="B243" s="454" t="s">
        <v>1099</v>
      </c>
      <c r="C243" s="454" t="s">
        <v>438</v>
      </c>
      <c r="D243" s="455">
        <f>'SEMANA MAIO'!$H$185</f>
        <v>322</v>
      </c>
      <c r="E243" s="455">
        <f>'SEMANA MAIO'!$I$185</f>
        <v>3864</v>
      </c>
      <c r="F243" s="455">
        <f>'SEMANA MAIO'!$D$185</f>
        <v>285</v>
      </c>
      <c r="G243" s="456">
        <f>'SEMANA MAIO'!$G$185</f>
        <v>3</v>
      </c>
      <c r="H243" s="454" t="s">
        <v>1355</v>
      </c>
      <c r="I243" s="457">
        <v>600</v>
      </c>
    </row>
    <row r="244" spans="1:9" ht="14.25" customHeight="1" x14ac:dyDescent="0.3">
      <c r="A244" s="472">
        <v>46172</v>
      </c>
      <c r="B244" s="458" t="s">
        <v>1099</v>
      </c>
      <c r="C244" s="458" t="s">
        <v>192</v>
      </c>
      <c r="D244" s="459">
        <f>'SEMANA MAIO'!$H$219</f>
        <v>201</v>
      </c>
      <c r="E244" s="459">
        <f>'SEMANA MAIO'!$I$219</f>
        <v>2412</v>
      </c>
      <c r="F244" s="459">
        <f>'SEMANA MAIO'!$D$219</f>
        <v>200</v>
      </c>
      <c r="G244" s="460">
        <f>'SEMANA MAIO'!$G$219</f>
        <v>3</v>
      </c>
      <c r="H244" s="458" t="s">
        <v>1356</v>
      </c>
      <c r="I244" s="461">
        <v>600</v>
      </c>
    </row>
    <row r="245" spans="1:9" ht="14.25" customHeight="1" x14ac:dyDescent="0.3">
      <c r="A245"/>
    </row>
    <row r="246" spans="1:9" ht="14.25" customHeight="1" x14ac:dyDescent="0.3">
      <c r="A246"/>
    </row>
    <row r="247" spans="1:9" x14ac:dyDescent="0.3">
      <c r="A247" s="508">
        <v>46174</v>
      </c>
      <c r="B247" s="510" t="s">
        <v>1158</v>
      </c>
      <c r="C247" s="510" t="s">
        <v>537</v>
      </c>
      <c r="D247" s="511">
        <f>'SEMANA JUNHO'!$H$4</f>
        <v>1463</v>
      </c>
      <c r="E247" s="511">
        <f>'SEMANA JUNHO'!$I$4</f>
        <v>8778</v>
      </c>
      <c r="F247" s="511">
        <f>'SEMANA JUNHO'!$D$4</f>
        <v>3990</v>
      </c>
      <c r="G247" s="512">
        <f>'SEMANA JUNHO'!$G$4</f>
        <v>21</v>
      </c>
      <c r="H247" s="510" t="s">
        <v>1391</v>
      </c>
      <c r="I247" s="514">
        <v>600</v>
      </c>
    </row>
    <row r="248" spans="1:9" x14ac:dyDescent="0.3">
      <c r="A248" s="515">
        <v>46175</v>
      </c>
      <c r="B248" s="509" t="s">
        <v>1158</v>
      </c>
      <c r="C248" s="509" t="s">
        <v>537</v>
      </c>
      <c r="D248" s="516">
        <f>'SEMANA JUNHO'!$H$12</f>
        <v>1416</v>
      </c>
      <c r="E248" s="516">
        <f>'SEMANA JUNHO'!$I$12</f>
        <v>8496</v>
      </c>
      <c r="F248" s="516">
        <f>'SEMANA JUNHO'!$D$12</f>
        <v>2527</v>
      </c>
      <c r="G248" s="517">
        <f>'SEMANA JUNHO'!$G$12</f>
        <v>14</v>
      </c>
      <c r="H248" s="509" t="s">
        <v>1392</v>
      </c>
      <c r="I248" s="513">
        <v>600</v>
      </c>
    </row>
    <row r="249" spans="1:9" x14ac:dyDescent="0.3">
      <c r="A249" s="508">
        <v>46176</v>
      </c>
      <c r="B249" s="510" t="s">
        <v>1158</v>
      </c>
      <c r="C249" s="510" t="s">
        <v>537</v>
      </c>
      <c r="D249" s="511">
        <f>'SEMANA JUNHO'!$H$20</f>
        <v>1111</v>
      </c>
      <c r="E249" s="511">
        <f>'SEMANA JUNHO'!$I$20</f>
        <v>6666</v>
      </c>
      <c r="F249" s="511">
        <f>'SEMANA JUNHO'!$D$20</f>
        <v>1111</v>
      </c>
      <c r="G249" s="512">
        <f>'SEMANA JUNHO'!$G$20</f>
        <v>6</v>
      </c>
      <c r="H249" s="510" t="s">
        <v>1393</v>
      </c>
      <c r="I249" s="514">
        <v>600</v>
      </c>
    </row>
    <row r="250" spans="1:9" x14ac:dyDescent="0.3">
      <c r="A250"/>
    </row>
    <row r="251" spans="1:9" x14ac:dyDescent="0.3">
      <c r="A251"/>
    </row>
    <row r="252" spans="1:9" x14ac:dyDescent="0.3">
      <c r="A252"/>
    </row>
    <row r="253" spans="1:9" x14ac:dyDescent="0.3">
      <c r="A253"/>
    </row>
    <row r="254" spans="1:9" x14ac:dyDescent="0.3">
      <c r="A254"/>
    </row>
    <row r="255" spans="1:9" x14ac:dyDescent="0.3">
      <c r="A255"/>
    </row>
    <row r="256" spans="1:9" x14ac:dyDescent="0.3">
      <c r="A256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2F3A4A"/>
  </sheetPr>
  <dimension ref="A1:J32"/>
  <sheetViews>
    <sheetView showGridLines="0" zoomScaleNormal="100" workbookViewId="0">
      <selection activeCell="J24" sqref="J24"/>
    </sheetView>
  </sheetViews>
  <sheetFormatPr defaultColWidth="8.6640625" defaultRowHeight="14.4" x14ac:dyDescent="0.3"/>
  <cols>
    <col min="1" max="1" width="14.88671875" customWidth="1"/>
    <col min="2" max="2" width="16" customWidth="1"/>
    <col min="3" max="8" width="14" customWidth="1"/>
    <col min="9" max="9" width="16" customWidth="1"/>
    <col min="10" max="10" width="18" customWidth="1"/>
  </cols>
  <sheetData>
    <row r="1" spans="1:10" ht="19.5" customHeight="1" x14ac:dyDescent="0.3">
      <c r="A1" s="748" t="s">
        <v>1150</v>
      </c>
      <c r="B1" s="748"/>
      <c r="C1" s="748"/>
      <c r="D1" s="748"/>
      <c r="E1" s="748"/>
      <c r="F1" s="748"/>
      <c r="G1" s="748"/>
      <c r="H1" s="748"/>
      <c r="I1" s="748"/>
      <c r="J1" s="748"/>
    </row>
    <row r="2" spans="1:10" ht="14.25" customHeight="1" x14ac:dyDescent="0.3">
      <c r="A2" s="318" t="s">
        <v>1151</v>
      </c>
      <c r="B2" s="319">
        <f>CONFIG!$B$3</f>
        <v>11000</v>
      </c>
      <c r="F2" t="str">
        <f>CONCATENATE("Total de gás no ano: ",TEXT(SUM(J4:J15),"#,##0.00")," KG")</f>
        <v>Total de gás no ano: 105135,000 KG</v>
      </c>
    </row>
    <row r="3" spans="1:10" ht="14.25" customHeight="1" x14ac:dyDescent="0.3">
      <c r="A3" s="320" t="s">
        <v>910</v>
      </c>
      <c r="B3" s="320" t="s">
        <v>1152</v>
      </c>
      <c r="C3" s="320" t="s">
        <v>1153</v>
      </c>
      <c r="D3" s="320" t="s">
        <v>251</v>
      </c>
      <c r="E3" s="320" t="s">
        <v>238</v>
      </c>
      <c r="F3" s="320" t="s">
        <v>1154</v>
      </c>
      <c r="G3" s="320" t="s">
        <v>237</v>
      </c>
      <c r="H3" s="320" t="s">
        <v>1155</v>
      </c>
      <c r="I3" s="320" t="s">
        <v>1156</v>
      </c>
      <c r="J3" s="320" t="s">
        <v>1157</v>
      </c>
    </row>
    <row r="4" spans="1:10" ht="14.25" customHeight="1" x14ac:dyDescent="0.3">
      <c r="A4" s="321" t="s">
        <v>916</v>
      </c>
      <c r="B4" s="322">
        <f>IFERROR('GRAFICO JANEIRO'!B4,0)</f>
        <v>150363</v>
      </c>
      <c r="C4" s="322">
        <f>IFERROR('GRAFICO JANEIRO'!D4,0)</f>
        <v>242000</v>
      </c>
      <c r="D4" s="322">
        <f t="shared" ref="D4:D15" si="0">IF(B4=0,"",B4-C4)</f>
        <v>-91637</v>
      </c>
      <c r="E4" s="323">
        <f t="shared" ref="E4:E15" si="1">IFERROR(IF(B4=0,"",B4/C4),"")</f>
        <v>0.62133471074380164</v>
      </c>
      <c r="F4" s="324">
        <f ca="1">IFERROR('GRAFICO JANEIRO'!F4,0)</f>
        <v>7160.1428571428569</v>
      </c>
      <c r="G4" s="322">
        <f>IFERROR('GRAFICO JANEIRO'!H4,0)</f>
        <v>14931</v>
      </c>
      <c r="H4" s="322">
        <f>COUNTIF('GRAFICO JANEIRO'!$C$9:$C$40,"&gt;0")</f>
        <v>17</v>
      </c>
      <c r="I4" s="325" t="str">
        <f t="shared" ref="I4:I15" si="2">IF(B4=0,"Sem dados",IF(E4&gt;=1,"Meta batida","Abaixo da meta"))</f>
        <v>Abaixo da meta</v>
      </c>
      <c r="J4" s="326">
        <f>IFERROR(SUMIFS(GÁS!$O:$O,GÁS!$A:$A,"&gt;="&amp;DATE(2026,1,1),GÁS!$A:$A,"&lt;"&amp;DATE(2026,2,1)),0)</f>
        <v>17099</v>
      </c>
    </row>
    <row r="5" spans="1:10" ht="14.25" customHeight="1" x14ac:dyDescent="0.3">
      <c r="A5" s="327" t="s">
        <v>959</v>
      </c>
      <c r="B5" s="328">
        <f>IFERROR('GRAFICO FEVEREIRO'!B4,0)</f>
        <v>191118</v>
      </c>
      <c r="C5" s="328">
        <f>IFERROR('GRAFICO FEVEREIRO'!D4,0)</f>
        <v>220000</v>
      </c>
      <c r="D5" s="328">
        <f t="shared" si="0"/>
        <v>-28882</v>
      </c>
      <c r="E5" s="329">
        <f t="shared" si="1"/>
        <v>0.86871818181818183</v>
      </c>
      <c r="F5" s="330">
        <f ca="1">IFERROR('GRAFICO FEVEREIRO'!F4,0)</f>
        <v>9555.9</v>
      </c>
      <c r="G5" s="328">
        <f>IFERROR('GRAFICO FEVEREIRO'!H4,0)</f>
        <v>17172</v>
      </c>
      <c r="H5" s="328">
        <f>COUNTIF('GRAFICO FEVEREIRO'!$C$9:$C$40,"&gt;0")</f>
        <v>17</v>
      </c>
      <c r="I5" s="331" t="str">
        <f t="shared" si="2"/>
        <v>Abaixo da meta</v>
      </c>
      <c r="J5" s="332">
        <f>IFERROR(SUMIFS(GÁS!$O:$O,GÁS!$A:$A,"&gt;="&amp;DATE(2026,2,1),GÁS!$A:$A,"&lt;"&amp;DATE(2026,3,1)),0)</f>
        <v>15153</v>
      </c>
    </row>
    <row r="6" spans="1:10" ht="14.25" customHeight="1" x14ac:dyDescent="0.3">
      <c r="A6" s="321" t="s">
        <v>1006</v>
      </c>
      <c r="B6" s="322">
        <f>IFERROR('GRAFICO MARÇO'!B4,0)</f>
        <v>280764</v>
      </c>
      <c r="C6" s="322">
        <f>IFERROR('GRAFICO MARÇO'!D4,0)</f>
        <v>242000</v>
      </c>
      <c r="D6" s="322">
        <f t="shared" si="0"/>
        <v>38764</v>
      </c>
      <c r="E6" s="323">
        <f t="shared" si="1"/>
        <v>1.1601818181818182</v>
      </c>
      <c r="F6" s="324">
        <f ca="1">IFERROR('GRAFICO MARÇO'!F4,0)</f>
        <v>12762</v>
      </c>
      <c r="G6" s="322">
        <f>IFERROR('GRAFICO MARÇO'!H4,0)</f>
        <v>17856</v>
      </c>
      <c r="H6" s="322">
        <f>COUNTIF('GRAFICO MARÇO'!$C$9:$C$40,"&gt;0")</f>
        <v>22</v>
      </c>
      <c r="I6" s="325" t="str">
        <f t="shared" si="2"/>
        <v>Meta batida</v>
      </c>
      <c r="J6" s="326">
        <f>IFERROR(SUMIFS(GÁS!$O:$O,GÁS!$A:$A,"&gt;="&amp;DATE(2026,3,1),GÁS!$A:$A,"&lt;"&amp;DATE(2026,4,1)),0)</f>
        <v>21091</v>
      </c>
    </row>
    <row r="7" spans="1:10" ht="14.25" customHeight="1" x14ac:dyDescent="0.3">
      <c r="A7" s="327" t="s">
        <v>1044</v>
      </c>
      <c r="B7" s="328">
        <f>IFERROR('GRAFICO ABRIL'!C4,0)</f>
        <v>256212</v>
      </c>
      <c r="C7" s="328">
        <f>IFERROR('GRAFICO ABRIL'!E4,0)</f>
        <v>253000</v>
      </c>
      <c r="D7" s="328">
        <f t="shared" si="0"/>
        <v>3212</v>
      </c>
      <c r="E7" s="329">
        <f t="shared" si="1"/>
        <v>1.012695652173913</v>
      </c>
      <c r="F7" s="330">
        <f ca="1">IFERROR('GRAFICO ABRIL'!G4,0)</f>
        <v>11139.652173913044</v>
      </c>
      <c r="G7" s="328">
        <f>IFERROR('GRAFICO ABRIL'!I4,0)</f>
        <v>20196</v>
      </c>
      <c r="H7" s="328">
        <f>COUNTIF('GRAFICO ABRIL'!$D$9:$D$40,"&gt;0")</f>
        <v>23</v>
      </c>
      <c r="I7" s="331" t="str">
        <f t="shared" si="2"/>
        <v>Meta batida</v>
      </c>
      <c r="J7" s="332">
        <f>IFERROR(SUMIFS(GÁS!$O:$O,GÁS!$A:$A,"&gt;="&amp;DATE(2026,4,1),GÁS!$A:$A,"&lt;"&amp;DATE(2026,5,1)),0)</f>
        <v>20961</v>
      </c>
    </row>
    <row r="8" spans="1:10" ht="14.25" customHeight="1" x14ac:dyDescent="0.3">
      <c r="A8" s="321" t="s">
        <v>1099</v>
      </c>
      <c r="B8" s="322">
        <f>IFERROR('GRAFICO MAIO'!B4,0)</f>
        <v>274140</v>
      </c>
      <c r="C8" s="322">
        <f>IFERROR('GRAFICO MAIO'!D4,0)</f>
        <v>286000</v>
      </c>
      <c r="D8" s="322">
        <f t="shared" si="0"/>
        <v>-11860</v>
      </c>
      <c r="E8" s="323">
        <f t="shared" si="1"/>
        <v>0.95853146853146853</v>
      </c>
      <c r="F8" s="324">
        <f ca="1">IFERROR('GRAFICO MAIO'!F4,0)</f>
        <v>10500.24</v>
      </c>
      <c r="G8" s="322">
        <f>IFERROR('GRAFICO MAIO'!H4,0)</f>
        <v>18852</v>
      </c>
      <c r="H8" s="322">
        <f>COUNTIF('GRAFICO MAIO'!$C$9:$C$40,"&gt;0")</f>
        <v>26</v>
      </c>
      <c r="I8" s="325" t="str">
        <f t="shared" si="2"/>
        <v>Abaixo da meta</v>
      </c>
      <c r="J8" s="326">
        <f>IFERROR(SUMIFS(GÁS!$O:$O,GÁS!$A:$A,"&gt;="&amp;DATE(2026,5,1),GÁS!$A:$A,"&lt;"&amp;DATE(2026,6,1)),0)</f>
        <v>24551</v>
      </c>
    </row>
    <row r="9" spans="1:10" ht="14.25" customHeight="1" x14ac:dyDescent="0.3">
      <c r="A9" s="327" t="s">
        <v>1158</v>
      </c>
      <c r="B9" s="328">
        <f>IFERROR('GRAFICO JUNHO'!B4,0)</f>
        <v>39048</v>
      </c>
      <c r="C9" s="328">
        <f>IFERROR('GRAFICO JUNHO'!D4,0)</f>
        <v>264000</v>
      </c>
      <c r="D9" s="328">
        <f t="shared" si="0"/>
        <v>-224952</v>
      </c>
      <c r="E9" s="329">
        <f t="shared" si="1"/>
        <v>0.14790909090909091</v>
      </c>
      <c r="F9" s="330">
        <f ca="1">IFERROR('GRAFICO JUNHO'!F4,0)</f>
        <v>5578.2857142857147</v>
      </c>
      <c r="G9" s="328">
        <f>IFERROR('GRAFICO JUNHO'!H4,0)</f>
        <v>11148</v>
      </c>
      <c r="H9" s="328">
        <f>COUNTIF('GRAFICO JUNHO'!$C$9:$C$40,"&gt;0")</f>
        <v>4</v>
      </c>
      <c r="I9" s="331" t="str">
        <f t="shared" si="2"/>
        <v>Abaixo da meta</v>
      </c>
      <c r="J9" s="332">
        <f>IFERROR(SUMIFS(GÁS!$O:$O,GÁS!$A:$A,"&gt;="&amp;DATE(2026,6,1),GÁS!$A:$A,"&lt;"&amp;DATE(2026,7,1)),0)</f>
        <v>6280</v>
      </c>
    </row>
    <row r="10" spans="1:10" ht="14.25" customHeight="1" x14ac:dyDescent="0.3">
      <c r="A10" s="321" t="s">
        <v>1159</v>
      </c>
      <c r="B10" s="322">
        <f>IFERROR('GRAFICO JULHO'!B4,0)</f>
        <v>0</v>
      </c>
      <c r="C10" s="322">
        <f>IFERROR('GRAFICO JULHO'!D4,0)</f>
        <v>297000</v>
      </c>
      <c r="D10" s="322" t="str">
        <f t="shared" si="0"/>
        <v/>
      </c>
      <c r="E10" s="323" t="str">
        <f t="shared" si="1"/>
        <v/>
      </c>
      <c r="F10" s="324">
        <f ca="1">IFERROR('GRAFICO JULHO'!F4,0)</f>
        <v>0</v>
      </c>
      <c r="G10" s="322">
        <f>IFERROR('GRAFICO JULHO'!H4,0)</f>
        <v>0</v>
      </c>
      <c r="H10" s="322">
        <f>COUNTIF('GRAFICO JULHO'!$C$9:$C$40,"&gt;0")</f>
        <v>0</v>
      </c>
      <c r="I10" s="325" t="str">
        <f t="shared" si="2"/>
        <v>Sem dados</v>
      </c>
      <c r="J10" s="326">
        <f>IFERROR(SUMIFS(GÁS!$O:$O,GÁS!$A:$A,"&gt;="&amp;DATE(2026,7,1),GÁS!$A:$A,"&lt;"&amp;DATE(2026,8,1)),0)</f>
        <v>0</v>
      </c>
    </row>
    <row r="11" spans="1:10" ht="14.25" customHeight="1" x14ac:dyDescent="0.3">
      <c r="A11" s="327" t="s">
        <v>1160</v>
      </c>
      <c r="B11" s="328">
        <f>IFERROR('GRAFICO AGOSTO'!B4,0)</f>
        <v>0</v>
      </c>
      <c r="C11" s="328">
        <f>IFERROR('GRAFICO AGOSTO'!D4,0)</f>
        <v>286000</v>
      </c>
      <c r="D11" s="328" t="str">
        <f t="shared" si="0"/>
        <v/>
      </c>
      <c r="E11" s="329" t="str">
        <f t="shared" si="1"/>
        <v/>
      </c>
      <c r="F11" s="330">
        <f ca="1">IFERROR('GRAFICO AGOSTO'!F4,0)</f>
        <v>0</v>
      </c>
      <c r="G11" s="328">
        <f>IFERROR('GRAFICO AGOSTO'!H4,0)</f>
        <v>0</v>
      </c>
      <c r="H11" s="328">
        <f>COUNTIF('GRAFICO AGOSTO'!$C$9:$C$40,"&gt;0")</f>
        <v>0</v>
      </c>
      <c r="I11" s="331" t="str">
        <f t="shared" si="2"/>
        <v>Sem dados</v>
      </c>
      <c r="J11" s="332">
        <f>IFERROR(SUMIFS(GÁS!$O:$O,GÁS!$A:$A,"&gt;="&amp;DATE(2026,8,1),GÁS!$A:$A,"&lt;"&amp;DATE(2026,9,1)),0)</f>
        <v>0</v>
      </c>
    </row>
    <row r="12" spans="1:10" ht="14.25" customHeight="1" x14ac:dyDescent="0.3">
      <c r="A12" s="321" t="s">
        <v>1161</v>
      </c>
      <c r="B12" s="322">
        <f>IFERROR('GRAFICO SETEMBRO'!B4,0)</f>
        <v>0</v>
      </c>
      <c r="C12" s="322">
        <f>IFERROR('GRAFICO SETEMBRO'!D4,0)</f>
        <v>275000</v>
      </c>
      <c r="D12" s="322" t="str">
        <f t="shared" si="0"/>
        <v/>
      </c>
      <c r="E12" s="323" t="str">
        <f t="shared" si="1"/>
        <v/>
      </c>
      <c r="F12" s="324">
        <f ca="1">IFERROR('GRAFICO SETEMBRO'!F4,0)</f>
        <v>0</v>
      </c>
      <c r="G12" s="322">
        <f>IFERROR('GRAFICO SETEMBRO'!H4,0)</f>
        <v>0</v>
      </c>
      <c r="H12" s="322">
        <f>COUNTIF('GRAFICO SETEMBRO'!$C$9:$C$40,"&gt;0")</f>
        <v>0</v>
      </c>
      <c r="I12" s="325" t="str">
        <f t="shared" si="2"/>
        <v>Sem dados</v>
      </c>
      <c r="J12" s="326">
        <f>IFERROR(SUMIFS(GÁS!$O:$O,GÁS!$A:$A,"&gt;="&amp;DATE(2026,9,1),GÁS!$A:$A,"&lt;"&amp;DATE(2026,10,1)),0)</f>
        <v>0</v>
      </c>
    </row>
    <row r="13" spans="1:10" ht="14.25" customHeight="1" x14ac:dyDescent="0.3">
      <c r="A13" s="327" t="s">
        <v>1162</v>
      </c>
      <c r="B13" s="328">
        <f>IFERROR('GRAFICO OUTUBRO'!B4,0)</f>
        <v>0</v>
      </c>
      <c r="C13" s="328">
        <f>IFERROR('GRAFICO OUTUBRO'!D4,0)</f>
        <v>286000</v>
      </c>
      <c r="D13" s="328" t="str">
        <f t="shared" si="0"/>
        <v/>
      </c>
      <c r="E13" s="329" t="str">
        <f t="shared" si="1"/>
        <v/>
      </c>
      <c r="F13" s="330">
        <f ca="1">IFERROR('GRAFICO OUTUBRO'!F4,0)</f>
        <v>0</v>
      </c>
      <c r="G13" s="328">
        <f>IFERROR('GRAFICO OUTUBRO'!H4,0)</f>
        <v>0</v>
      </c>
      <c r="H13" s="328">
        <f>COUNTIF('GRAFICO OUTUBRO'!$C$9:$C$40,"&gt;0")</f>
        <v>0</v>
      </c>
      <c r="I13" s="331" t="str">
        <f t="shared" si="2"/>
        <v>Sem dados</v>
      </c>
      <c r="J13" s="332">
        <f>IFERROR(SUMIFS(GÁS!$O:$O,GÁS!$A:$A,"&gt;="&amp;DATE(2026,10,1),GÁS!$A:$A,"&lt;"&amp;DATE(2026,11,1)),0)</f>
        <v>0</v>
      </c>
    </row>
    <row r="14" spans="1:10" ht="14.25" customHeight="1" x14ac:dyDescent="0.3">
      <c r="A14" s="321" t="s">
        <v>1163</v>
      </c>
      <c r="B14" s="322">
        <f>IFERROR('GRAFICO NOVEMBRO'!B4,0)</f>
        <v>0</v>
      </c>
      <c r="C14" s="322">
        <f>IFERROR('GRAFICO NOVEMBRO'!D4,0)</f>
        <v>253000</v>
      </c>
      <c r="D14" s="322" t="str">
        <f t="shared" si="0"/>
        <v/>
      </c>
      <c r="E14" s="323" t="str">
        <f t="shared" si="1"/>
        <v/>
      </c>
      <c r="F14" s="324">
        <f ca="1">IFERROR('GRAFICO NOVEMBRO'!F4,0)</f>
        <v>0</v>
      </c>
      <c r="G14" s="322">
        <f>IFERROR('GRAFICO NOVEMBRO'!H4,0)</f>
        <v>0</v>
      </c>
      <c r="H14" s="322">
        <f>COUNTIF('GRAFICO NOVEMBRO'!$C$9:$C$40,"&gt;0")</f>
        <v>0</v>
      </c>
      <c r="I14" s="325" t="str">
        <f t="shared" si="2"/>
        <v>Sem dados</v>
      </c>
      <c r="J14" s="326">
        <f>IFERROR(SUMIFS(GÁS!$O:$O,GÁS!$A:$A,"&gt;="&amp;DATE(2026,11,1),GÁS!$A:$A,"&lt;"&amp;DATE(2026,12,1)),0)</f>
        <v>0</v>
      </c>
    </row>
    <row r="15" spans="1:10" ht="14.25" customHeight="1" x14ac:dyDescent="0.3">
      <c r="A15" s="327" t="s">
        <v>1164</v>
      </c>
      <c r="B15" s="328">
        <f>IFERROR('GRAFICO DEZEMBRO'!B4,0)</f>
        <v>0</v>
      </c>
      <c r="C15" s="328">
        <f>IFERROR('GRAFICO DEZEMBRO'!D4,0)</f>
        <v>286000</v>
      </c>
      <c r="D15" s="328" t="str">
        <f t="shared" si="0"/>
        <v/>
      </c>
      <c r="E15" s="329" t="str">
        <f t="shared" si="1"/>
        <v/>
      </c>
      <c r="F15" s="330">
        <f ca="1">IFERROR('GRAFICO DEZEMBRO'!F4,0)</f>
        <v>0</v>
      </c>
      <c r="G15" s="328">
        <f>IFERROR('GRAFICO DEZEMBRO'!H4,0)</f>
        <v>0</v>
      </c>
      <c r="H15" s="328">
        <f>COUNTIF('GRAFICO DEZEMBRO'!$C$9:$C$40,"&gt;0")</f>
        <v>0</v>
      </c>
      <c r="I15" s="331" t="str">
        <f t="shared" si="2"/>
        <v>Sem dados</v>
      </c>
      <c r="J15" s="332">
        <f>IFERROR(SUMIFS(GÁS!$O:$O,GÁS!$A:$A,"&gt;="&amp;DATE(2026,12,1),GÁS!$A:$A,"&lt;"&amp;DATE(2027,1,1)),0)</f>
        <v>0</v>
      </c>
    </row>
    <row r="20" spans="1:2" ht="14.25" customHeight="1" x14ac:dyDescent="0.3">
      <c r="A20" s="436" t="s">
        <v>910</v>
      </c>
      <c r="B20" s="436" t="s">
        <v>1157</v>
      </c>
    </row>
    <row r="21" spans="1:2" ht="14.25" customHeight="1" x14ac:dyDescent="0.3">
      <c r="A21" s="434" t="s">
        <v>1165</v>
      </c>
      <c r="B21" s="435">
        <f t="shared" ref="B21:B32" si="3">J4</f>
        <v>17099</v>
      </c>
    </row>
    <row r="22" spans="1:2" ht="14.25" customHeight="1" x14ac:dyDescent="0.3">
      <c r="A22" s="90" t="s">
        <v>1166</v>
      </c>
      <c r="B22" s="432">
        <f t="shared" si="3"/>
        <v>15153</v>
      </c>
    </row>
    <row r="23" spans="1:2" ht="14.25" customHeight="1" x14ac:dyDescent="0.3">
      <c r="A23" s="434" t="s">
        <v>1167</v>
      </c>
      <c r="B23" s="435">
        <f t="shared" si="3"/>
        <v>21091</v>
      </c>
    </row>
    <row r="24" spans="1:2" ht="14.25" customHeight="1" x14ac:dyDescent="0.3">
      <c r="A24" s="90" t="s">
        <v>1168</v>
      </c>
      <c r="B24" s="432">
        <f t="shared" si="3"/>
        <v>20961</v>
      </c>
    </row>
    <row r="25" spans="1:2" ht="14.25" customHeight="1" x14ac:dyDescent="0.3">
      <c r="A25" s="434" t="s">
        <v>1169</v>
      </c>
      <c r="B25" s="435">
        <f t="shared" si="3"/>
        <v>24551</v>
      </c>
    </row>
    <row r="26" spans="1:2" ht="14.25" customHeight="1" x14ac:dyDescent="0.3">
      <c r="A26" s="90" t="s">
        <v>1170</v>
      </c>
      <c r="B26" s="432">
        <f t="shared" si="3"/>
        <v>6280</v>
      </c>
    </row>
    <row r="27" spans="1:2" ht="14.25" customHeight="1" x14ac:dyDescent="0.3">
      <c r="A27" s="434" t="s">
        <v>1171</v>
      </c>
      <c r="B27" s="435">
        <f t="shared" si="3"/>
        <v>0</v>
      </c>
    </row>
    <row r="28" spans="1:2" ht="14.25" customHeight="1" x14ac:dyDescent="0.3">
      <c r="A28" s="90" t="s">
        <v>1172</v>
      </c>
      <c r="B28" s="432">
        <f t="shared" si="3"/>
        <v>0</v>
      </c>
    </row>
    <row r="29" spans="1:2" ht="14.25" customHeight="1" x14ac:dyDescent="0.3">
      <c r="A29" s="434" t="s">
        <v>1173</v>
      </c>
      <c r="B29" s="435">
        <f t="shared" si="3"/>
        <v>0</v>
      </c>
    </row>
    <row r="30" spans="1:2" ht="14.25" customHeight="1" x14ac:dyDescent="0.3">
      <c r="A30" s="90" t="s">
        <v>1174</v>
      </c>
      <c r="B30" s="432">
        <f t="shared" si="3"/>
        <v>0</v>
      </c>
    </row>
    <row r="31" spans="1:2" ht="14.25" customHeight="1" x14ac:dyDescent="0.3">
      <c r="A31" s="434" t="s">
        <v>1175</v>
      </c>
      <c r="B31" s="435">
        <f t="shared" si="3"/>
        <v>0</v>
      </c>
    </row>
    <row r="32" spans="1:2" ht="14.25" customHeight="1" x14ac:dyDescent="0.3">
      <c r="A32" s="74" t="s">
        <v>1176</v>
      </c>
      <c r="B32" s="433">
        <f t="shared" si="3"/>
        <v>0</v>
      </c>
    </row>
  </sheetData>
  <mergeCells count="1">
    <mergeCell ref="A1:J1"/>
  </mergeCells>
  <conditionalFormatting sqref="E4:E15">
    <cfRule type="cellIs" dxfId="16" priority="2" operator="greaterThanOrEqual">
      <formula>1</formula>
    </cfRule>
    <cfRule type="cellIs" dxfId="15" priority="3" operator="lessThan">
      <formula>0.7</formula>
    </cfRule>
    <cfRule type="cellIs" dxfId="14" priority="4" operator="between">
      <formula>0.7</formula>
      <formula>0.99</formula>
    </cfRule>
    <cfRule type="cellIs" dxfId="13" priority="5" operator="greaterThanOr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17"/>
  <sheetViews>
    <sheetView showGridLines="0" zoomScaleNormal="100" workbookViewId="0">
      <selection activeCell="C15" sqref="C15"/>
    </sheetView>
  </sheetViews>
  <sheetFormatPr defaultColWidth="8.6640625" defaultRowHeight="14.4" x14ac:dyDescent="0.3"/>
  <cols>
    <col min="1" max="1" width="29.44140625" customWidth="1"/>
    <col min="2" max="2" width="11.33203125" customWidth="1"/>
    <col min="3" max="3" width="21.109375" customWidth="1"/>
    <col min="4" max="4" width="10" customWidth="1"/>
    <col min="5" max="5" width="12.109375" customWidth="1"/>
  </cols>
  <sheetData>
    <row r="1" spans="1:5" ht="15" customHeight="1" x14ac:dyDescent="0.3">
      <c r="A1" s="333" t="s">
        <v>50</v>
      </c>
      <c r="B1" s="333" t="s">
        <v>1177</v>
      </c>
      <c r="C1" s="333" t="s">
        <v>1178</v>
      </c>
      <c r="D1" s="333" t="s">
        <v>1179</v>
      </c>
      <c r="E1" s="333" t="s">
        <v>1180</v>
      </c>
    </row>
    <row r="2" spans="1:5" ht="15" customHeight="1" x14ac:dyDescent="0.3">
      <c r="A2" s="205" t="s">
        <v>333</v>
      </c>
      <c r="B2" s="205" t="s">
        <v>1181</v>
      </c>
      <c r="C2" s="205">
        <v>240</v>
      </c>
      <c r="D2" s="205">
        <v>12</v>
      </c>
      <c r="E2" s="205" t="s">
        <v>1182</v>
      </c>
    </row>
    <row r="3" spans="1:5" ht="15" customHeight="1" x14ac:dyDescent="0.3">
      <c r="A3" s="334" t="s">
        <v>1183</v>
      </c>
      <c r="B3" s="334" t="s">
        <v>1181</v>
      </c>
      <c r="C3" s="334">
        <v>240</v>
      </c>
      <c r="D3" s="334">
        <v>12</v>
      </c>
      <c r="E3" s="334" t="s">
        <v>1182</v>
      </c>
    </row>
    <row r="4" spans="1:5" ht="15" customHeight="1" x14ac:dyDescent="0.3">
      <c r="A4" s="205" t="s">
        <v>1183</v>
      </c>
      <c r="B4" s="205" t="s">
        <v>1184</v>
      </c>
      <c r="C4" s="205">
        <v>240</v>
      </c>
      <c r="D4" s="205">
        <v>12</v>
      </c>
      <c r="E4" s="205" t="s">
        <v>1182</v>
      </c>
    </row>
    <row r="5" spans="1:5" ht="15" customHeight="1" x14ac:dyDescent="0.3">
      <c r="A5" s="334" t="s">
        <v>729</v>
      </c>
      <c r="B5" s="334" t="s">
        <v>1184</v>
      </c>
      <c r="C5" s="334">
        <v>240</v>
      </c>
      <c r="D5" s="334">
        <v>12</v>
      </c>
      <c r="E5" s="334" t="s">
        <v>1182</v>
      </c>
    </row>
    <row r="6" spans="1:5" ht="15" customHeight="1" x14ac:dyDescent="0.3">
      <c r="A6" s="205" t="s">
        <v>1183</v>
      </c>
      <c r="B6" s="205" t="s">
        <v>1185</v>
      </c>
      <c r="C6" s="205">
        <v>240</v>
      </c>
      <c r="D6" s="205">
        <v>12</v>
      </c>
      <c r="E6" s="205" t="s">
        <v>1182</v>
      </c>
    </row>
    <row r="7" spans="1:5" ht="15" customHeight="1" x14ac:dyDescent="0.3">
      <c r="A7" s="334" t="s">
        <v>1186</v>
      </c>
      <c r="B7" s="334" t="s">
        <v>1185</v>
      </c>
      <c r="C7" s="334">
        <v>240</v>
      </c>
      <c r="D7" s="334">
        <v>12</v>
      </c>
      <c r="E7" s="334" t="s">
        <v>1182</v>
      </c>
    </row>
    <row r="8" spans="1:5" ht="15" customHeight="1" x14ac:dyDescent="0.3">
      <c r="A8" s="205" t="s">
        <v>1183</v>
      </c>
      <c r="B8" s="205" t="s">
        <v>1187</v>
      </c>
      <c r="C8" s="205">
        <v>240</v>
      </c>
      <c r="D8" s="205">
        <v>12</v>
      </c>
      <c r="E8" s="205" t="s">
        <v>1182</v>
      </c>
    </row>
    <row r="9" spans="1:5" ht="15" customHeight="1" x14ac:dyDescent="0.3">
      <c r="A9" s="334" t="s">
        <v>339</v>
      </c>
      <c r="B9" s="334" t="s">
        <v>1188</v>
      </c>
      <c r="C9" s="334">
        <v>330</v>
      </c>
      <c r="D9" s="334">
        <v>6</v>
      </c>
      <c r="E9" s="334" t="s">
        <v>1189</v>
      </c>
    </row>
    <row r="10" spans="1:5" ht="15" customHeight="1" x14ac:dyDescent="0.3">
      <c r="A10" s="205" t="s">
        <v>1183</v>
      </c>
      <c r="B10" s="205" t="s">
        <v>1188</v>
      </c>
      <c r="C10" s="205">
        <v>330</v>
      </c>
      <c r="D10" s="205">
        <v>6</v>
      </c>
      <c r="E10" s="205" t="s">
        <v>1189</v>
      </c>
    </row>
    <row r="11" spans="1:5" ht="15" customHeight="1" x14ac:dyDescent="0.3">
      <c r="A11" s="334" t="s">
        <v>1190</v>
      </c>
      <c r="B11" s="334" t="s">
        <v>1188</v>
      </c>
      <c r="C11" s="334">
        <v>330</v>
      </c>
      <c r="D11" s="334">
        <v>6</v>
      </c>
      <c r="E11" s="334" t="s">
        <v>1189</v>
      </c>
    </row>
    <row r="12" spans="1:5" ht="15" customHeight="1" x14ac:dyDescent="0.3">
      <c r="A12" s="205" t="s">
        <v>1183</v>
      </c>
      <c r="B12" s="205" t="s">
        <v>30</v>
      </c>
      <c r="C12" s="205">
        <v>125</v>
      </c>
      <c r="D12" s="205">
        <v>12</v>
      </c>
      <c r="E12" s="205" t="s">
        <v>1182</v>
      </c>
    </row>
    <row r="13" spans="1:5" ht="15" customHeight="1" x14ac:dyDescent="0.3">
      <c r="A13" s="334" t="s">
        <v>178</v>
      </c>
      <c r="B13" s="334" t="s">
        <v>30</v>
      </c>
      <c r="C13" s="334">
        <v>110</v>
      </c>
      <c r="D13" s="334">
        <v>12</v>
      </c>
      <c r="E13" s="334" t="s">
        <v>1182</v>
      </c>
    </row>
    <row r="14" spans="1:5" ht="15" customHeight="1" x14ac:dyDescent="0.3">
      <c r="A14" s="335" t="s">
        <v>1191</v>
      </c>
      <c r="B14" s="335" t="s">
        <v>1192</v>
      </c>
      <c r="C14" s="335">
        <v>95</v>
      </c>
      <c r="D14" s="335">
        <v>12</v>
      </c>
      <c r="E14" s="335" t="s">
        <v>1182</v>
      </c>
    </row>
    <row r="15" spans="1:5" ht="15" customHeight="1" x14ac:dyDescent="0.3">
      <c r="A15" s="334" t="s">
        <v>1183</v>
      </c>
      <c r="B15" s="334" t="s">
        <v>34</v>
      </c>
      <c r="C15" s="334">
        <v>95</v>
      </c>
      <c r="D15" s="334">
        <v>12</v>
      </c>
      <c r="E15" s="334" t="s">
        <v>1182</v>
      </c>
    </row>
    <row r="16" spans="1:5" ht="15" customHeight="1" x14ac:dyDescent="0.3">
      <c r="A16" s="335" t="s">
        <v>70</v>
      </c>
      <c r="B16" s="335" t="s">
        <v>34</v>
      </c>
      <c r="C16" s="335">
        <v>95</v>
      </c>
      <c r="D16" s="335">
        <v>12</v>
      </c>
      <c r="E16" s="335" t="s">
        <v>1182</v>
      </c>
    </row>
    <row r="17" spans="1:5" ht="15" customHeight="1" x14ac:dyDescent="0.3">
      <c r="A17" s="334" t="s">
        <v>537</v>
      </c>
      <c r="B17" s="334" t="s">
        <v>34</v>
      </c>
      <c r="C17" s="334">
        <v>190</v>
      </c>
      <c r="D17" s="334">
        <v>6</v>
      </c>
      <c r="E17" s="334" t="s">
        <v>1189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9"/>
  <sheetViews>
    <sheetView zoomScaleNormal="100" workbookViewId="0"/>
  </sheetViews>
  <sheetFormatPr defaultColWidth="8.6640625" defaultRowHeight="14.4" x14ac:dyDescent="0.3"/>
  <cols>
    <col min="5" max="5" width="23.6640625" bestFit="1" customWidth="1"/>
    <col min="6" max="6" width="16" bestFit="1" customWidth="1"/>
  </cols>
  <sheetData>
    <row r="1" spans="1:6" ht="15" customHeight="1" x14ac:dyDescent="0.3">
      <c r="A1" t="s">
        <v>1193</v>
      </c>
      <c r="B1" t="s">
        <v>333</v>
      </c>
      <c r="C1" t="s">
        <v>326</v>
      </c>
      <c r="D1" t="s">
        <v>742</v>
      </c>
      <c r="E1" s="506" t="s">
        <v>1389</v>
      </c>
      <c r="F1" s="506" t="s">
        <v>1390</v>
      </c>
    </row>
    <row r="2" spans="1:6" ht="15" customHeight="1" x14ac:dyDescent="0.3">
      <c r="A2" s="72">
        <v>70</v>
      </c>
      <c r="B2" s="72">
        <v>70</v>
      </c>
      <c r="C2" s="72">
        <v>100</v>
      </c>
      <c r="D2" s="72">
        <v>600</v>
      </c>
      <c r="E2" s="507" t="s">
        <v>1346</v>
      </c>
      <c r="F2" s="507" t="s">
        <v>192</v>
      </c>
    </row>
    <row r="3" spans="1:6" ht="15" customHeight="1" x14ac:dyDescent="0.3">
      <c r="A3" s="72">
        <v>100</v>
      </c>
      <c r="C3" s="72">
        <v>125</v>
      </c>
      <c r="E3" s="507" t="s">
        <v>68</v>
      </c>
      <c r="F3" s="507" t="s">
        <v>537</v>
      </c>
    </row>
    <row r="4" spans="1:6" ht="15" customHeight="1" x14ac:dyDescent="0.3">
      <c r="A4" s="72">
        <v>125</v>
      </c>
      <c r="E4" s="507" t="s">
        <v>70</v>
      </c>
      <c r="F4" s="507" t="s">
        <v>543</v>
      </c>
    </row>
    <row r="5" spans="1:6" ht="15" customHeight="1" x14ac:dyDescent="0.3">
      <c r="A5" s="72">
        <v>180</v>
      </c>
    </row>
    <row r="6" spans="1:6" ht="15" customHeight="1" x14ac:dyDescent="0.3">
      <c r="A6" s="72">
        <v>200</v>
      </c>
    </row>
    <row r="7" spans="1:6" ht="15" customHeight="1" x14ac:dyDescent="0.3">
      <c r="A7" s="72">
        <v>400</v>
      </c>
    </row>
    <row r="8" spans="1:6" ht="15" customHeight="1" x14ac:dyDescent="0.3">
      <c r="A8" s="72">
        <v>500</v>
      </c>
    </row>
    <row r="9" spans="1:6" ht="15" customHeight="1" x14ac:dyDescent="0.3">
      <c r="A9" s="72">
        <v>600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13"/>
  <sheetViews>
    <sheetView zoomScaleNormal="100" workbookViewId="0"/>
  </sheetViews>
  <sheetFormatPr defaultColWidth="8.6640625" defaultRowHeight="14.4" x14ac:dyDescent="0.3"/>
  <cols>
    <col min="1" max="5" width="25" customWidth="1"/>
  </cols>
  <sheetData>
    <row r="1" spans="1:5" ht="21" customHeight="1" x14ac:dyDescent="0.4">
      <c r="A1" s="749" t="s">
        <v>1194</v>
      </c>
      <c r="B1" s="749"/>
      <c r="C1" s="749"/>
      <c r="D1" s="749"/>
      <c r="E1" s="749"/>
    </row>
    <row r="3" spans="1:5" ht="15" customHeight="1" x14ac:dyDescent="0.3">
      <c r="A3" s="336" t="s">
        <v>1195</v>
      </c>
      <c r="B3" s="337" t="s">
        <v>1196</v>
      </c>
    </row>
    <row r="4" spans="1:5" ht="15" customHeight="1" x14ac:dyDescent="0.3">
      <c r="A4" s="338" t="s">
        <v>1197</v>
      </c>
      <c r="B4" s="339" t="str">
        <f>IF(RESUMO_MENSAL!B2&gt;0,"OK","ATENÇÃO")</f>
        <v>OK</v>
      </c>
    </row>
    <row r="5" spans="1:5" ht="15" customHeight="1" x14ac:dyDescent="0.3">
      <c r="A5" s="340" t="s">
        <v>1198</v>
      </c>
      <c r="B5" s="341">
        <f>SUM(RESUMO_MENSAL!B2:B13)</f>
        <v>1202645</v>
      </c>
    </row>
    <row r="6" spans="1:5" ht="15" customHeight="1" x14ac:dyDescent="0.3">
      <c r="A6" s="342" t="s">
        <v>1199</v>
      </c>
      <c r="B6" s="343">
        <v>100000</v>
      </c>
    </row>
    <row r="7" spans="1:5" ht="15" customHeight="1" x14ac:dyDescent="0.3">
      <c r="A7" s="344" t="s">
        <v>1200</v>
      </c>
      <c r="B7" s="345">
        <f>B5/B6</f>
        <v>12.026450000000001</v>
      </c>
    </row>
    <row r="8" spans="1:5" ht="15" customHeight="1" x14ac:dyDescent="0.3">
      <c r="A8" s="133"/>
      <c r="B8" s="133"/>
    </row>
    <row r="9" spans="1:5" ht="15" customHeight="1" x14ac:dyDescent="0.3">
      <c r="A9" s="133"/>
      <c r="B9" s="133"/>
    </row>
    <row r="10" spans="1:5" ht="15" customHeight="1" x14ac:dyDescent="0.3">
      <c r="A10" s="133"/>
      <c r="B10" s="133"/>
    </row>
    <row r="12" spans="1:5" ht="14.25" customHeight="1" x14ac:dyDescent="0.3">
      <c r="A12" s="346" t="s">
        <v>1201</v>
      </c>
      <c r="B12" s="347">
        <f>SUM(RESUMO_MENSAL!J4:J15)</f>
        <v>105135</v>
      </c>
    </row>
    <row r="13" spans="1:5" ht="14.25" customHeight="1" x14ac:dyDescent="0.3">
      <c r="A13" s="346" t="s">
        <v>1202</v>
      </c>
      <c r="B13" s="347" t="str">
        <f>IFERROR(INDEX(RESUMO_MENSAL!A4:A15,MATCH(MAX(RESUMO_MENSAL!J4:J15),RESUMO_MENSAL!J4:J15,0)),"-")</f>
        <v>MAIO</v>
      </c>
    </row>
  </sheetData>
  <mergeCells count="1">
    <mergeCell ref="A1:E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FB6D-AE51-49B3-8A50-B311CDF14690}">
  <sheetPr>
    <tabColor rgb="FF1A2B3C"/>
  </sheetPr>
  <dimension ref="A1:O48"/>
  <sheetViews>
    <sheetView showGridLines="0" topLeftCell="A14" zoomScaleNormal="100" workbookViewId="0">
      <selection activeCell="B36" sqref="B36"/>
    </sheetView>
  </sheetViews>
  <sheetFormatPr defaultColWidth="8.6640625" defaultRowHeight="14.4" x14ac:dyDescent="0.3"/>
  <cols>
    <col min="1" max="1" width="8.5546875" style="348" bestFit="1" customWidth="1"/>
    <col min="2" max="2" width="12.33203125" style="348" bestFit="1" customWidth="1"/>
    <col min="3" max="3" width="7.44140625" style="348" bestFit="1" customWidth="1"/>
    <col min="4" max="4" width="13.33203125" style="348" customWidth="1"/>
    <col min="5" max="5" width="9.88671875" style="348" customWidth="1"/>
    <col min="6" max="6" width="9" style="348" customWidth="1"/>
    <col min="7" max="8" width="9.88671875" style="348" customWidth="1"/>
    <col min="9" max="9" width="8.109375" style="348" customWidth="1"/>
    <col min="10" max="10" width="3.6640625" style="348" customWidth="1"/>
    <col min="11" max="14" width="11.6640625" style="348" customWidth="1"/>
    <col min="15" max="15" width="3.6640625" style="348" customWidth="1"/>
    <col min="16" max="16384" width="8.6640625" style="348"/>
  </cols>
  <sheetData>
    <row r="1" spans="1:15" ht="10.199999999999999" customHeight="1" x14ac:dyDescent="0.3">
      <c r="A1" s="753"/>
      <c r="B1" s="753"/>
      <c r="C1" s="754" t="s">
        <v>1203</v>
      </c>
      <c r="D1" s="754"/>
      <c r="E1" s="754"/>
      <c r="F1" s="754"/>
      <c r="G1" s="754"/>
      <c r="H1" s="754"/>
      <c r="I1" s="754"/>
      <c r="J1" s="754"/>
      <c r="K1" s="754"/>
      <c r="L1" s="754"/>
      <c r="M1" s="750" t="s">
        <v>1204</v>
      </c>
      <c r="N1" s="751"/>
      <c r="O1" s="751"/>
    </row>
    <row r="2" spans="1:15" ht="33.75" customHeight="1" x14ac:dyDescent="0.3">
      <c r="A2" s="753"/>
      <c r="B2" s="753"/>
      <c r="C2" s="754"/>
      <c r="D2" s="754"/>
      <c r="E2" s="754"/>
      <c r="F2" s="754"/>
      <c r="G2" s="754"/>
      <c r="H2" s="754"/>
      <c r="I2" s="754"/>
      <c r="J2" s="754"/>
      <c r="K2" s="754"/>
      <c r="L2" s="754"/>
      <c r="M2" s="751"/>
      <c r="N2" s="751"/>
      <c r="O2" s="751"/>
    </row>
    <row r="3" spans="1:15" ht="10.199999999999999" customHeight="1" x14ac:dyDescent="0.3">
      <c r="A3" s="753"/>
      <c r="B3" s="753"/>
      <c r="C3" s="754"/>
      <c r="D3" s="754"/>
      <c r="E3" s="754"/>
      <c r="F3" s="754"/>
      <c r="G3" s="754"/>
      <c r="H3" s="754"/>
      <c r="I3" s="754"/>
      <c r="J3" s="754"/>
      <c r="K3" s="754"/>
      <c r="L3" s="754"/>
      <c r="M3" s="751"/>
      <c r="N3" s="751"/>
      <c r="O3" s="751"/>
    </row>
    <row r="4" spans="1:15" ht="10.199999999999999" customHeight="1" x14ac:dyDescent="0.3">
      <c r="A4" s="422"/>
      <c r="B4" s="422"/>
      <c r="C4" s="422"/>
      <c r="D4" s="422"/>
      <c r="E4" s="422"/>
      <c r="F4" s="422"/>
      <c r="G4" s="422"/>
      <c r="H4" s="422"/>
      <c r="I4" s="422"/>
      <c r="J4" s="422"/>
      <c r="K4" s="422"/>
      <c r="L4" s="422"/>
      <c r="M4" s="422"/>
      <c r="N4" s="422"/>
      <c r="O4" s="422"/>
    </row>
    <row r="5" spans="1:15" ht="16.2" customHeight="1" x14ac:dyDescent="0.3">
      <c r="A5" s="400"/>
      <c r="B5" s="752" t="s">
        <v>1205</v>
      </c>
      <c r="C5" s="752"/>
      <c r="D5" s="752" t="s">
        <v>1206</v>
      </c>
      <c r="E5" s="752"/>
      <c r="F5" s="752" t="s">
        <v>47</v>
      </c>
      <c r="G5" s="752"/>
      <c r="H5" s="752" t="s">
        <v>48</v>
      </c>
      <c r="I5" s="752"/>
      <c r="J5" s="400"/>
      <c r="K5" s="752" t="s">
        <v>1207</v>
      </c>
      <c r="L5" s="752"/>
      <c r="M5" s="752" t="s">
        <v>1208</v>
      </c>
      <c r="N5" s="752"/>
      <c r="O5" s="400"/>
    </row>
    <row r="6" spans="1:15" ht="28.35" customHeight="1" x14ac:dyDescent="0.3">
      <c r="A6" s="400"/>
      <c r="B6" s="760">
        <f>SUM(RESUMO_MENSAL!B4:B15)</f>
        <v>1191645</v>
      </c>
      <c r="C6" s="760"/>
      <c r="D6" s="760">
        <f>SUMIF(RESUMO_MENSAL!B4:B15,"&gt;0",RESUMO_MENSAL!C4:C15)</f>
        <v>1507000</v>
      </c>
      <c r="E6" s="760"/>
      <c r="F6" s="761">
        <f>IFERROR(B6/D6,0)</f>
        <v>0.79073988055739886</v>
      </c>
      <c r="G6" s="761"/>
      <c r="H6" s="755" t="str">
        <f>IFERROR(INDEX(RESUMO_MENSAL!A4:A15,MATCH(MAX(RESUMO_MENSAL!B4:B15),RESUMO_MENSAL!B4:B15,0)),"-")</f>
        <v>MARÇO</v>
      </c>
      <c r="I6" s="755"/>
      <c r="J6" s="400"/>
      <c r="K6" s="760">
        <f>MAX(RESUMO_MENSAL!G4:G15)</f>
        <v>20196</v>
      </c>
      <c r="L6" s="760"/>
      <c r="M6" s="755" t="str">
        <f>IF(B6=0,"SEM DADOS",IF(F6&gt;=1,"✔ ACIMA DA META","✘ ABAIXO"))</f>
        <v>✘ ABAIXO</v>
      </c>
      <c r="N6" s="755"/>
      <c r="O6" s="400"/>
    </row>
    <row r="7" spans="1:15" ht="10.199999999999999" customHeight="1" x14ac:dyDescent="0.3">
      <c r="A7" s="400"/>
      <c r="B7" s="400"/>
      <c r="C7" s="400"/>
      <c r="D7" s="400"/>
      <c r="E7" s="400"/>
      <c r="F7" s="400"/>
      <c r="G7" s="400"/>
      <c r="H7" s="400"/>
      <c r="I7" s="400"/>
      <c r="J7" s="400"/>
      <c r="K7" s="400"/>
      <c r="L7" s="400"/>
      <c r="M7" s="400"/>
      <c r="N7" s="400"/>
      <c r="O7" s="400"/>
    </row>
    <row r="8" spans="1:15" ht="19.649999999999999" customHeight="1" x14ac:dyDescent="0.3">
      <c r="A8" s="756" t="s">
        <v>1209</v>
      </c>
      <c r="B8" s="756"/>
      <c r="C8" s="756"/>
      <c r="D8" s="756"/>
      <c r="E8" s="756"/>
      <c r="F8" s="756"/>
      <c r="G8" s="756"/>
      <c r="H8" s="756"/>
      <c r="I8" s="756"/>
      <c r="J8" s="400"/>
      <c r="K8" s="756" t="s">
        <v>1210</v>
      </c>
      <c r="L8" s="756"/>
      <c r="M8" s="756"/>
      <c r="N8" s="756"/>
      <c r="O8" s="756"/>
    </row>
    <row r="9" spans="1:15" ht="16.2" customHeight="1" x14ac:dyDescent="0.3">
      <c r="A9" s="421" t="s">
        <v>1211</v>
      </c>
      <c r="B9" s="421" t="s">
        <v>1212</v>
      </c>
      <c r="C9" s="421" t="s">
        <v>1213</v>
      </c>
      <c r="D9" s="421" t="s">
        <v>1214</v>
      </c>
      <c r="E9" s="421" t="s">
        <v>1215</v>
      </c>
      <c r="F9" s="421" t="s">
        <v>1216</v>
      </c>
      <c r="G9" s="421" t="s">
        <v>1217</v>
      </c>
      <c r="H9" s="421" t="s">
        <v>1218</v>
      </c>
      <c r="I9" s="421" t="s">
        <v>1219</v>
      </c>
      <c r="J9" s="400"/>
      <c r="K9" s="400"/>
      <c r="L9" s="400"/>
      <c r="M9" s="400"/>
      <c r="N9" s="400"/>
      <c r="O9" s="400"/>
    </row>
    <row r="10" spans="1:15" ht="14.85" customHeight="1" x14ac:dyDescent="0.3">
      <c r="A10" s="406" t="str">
        <f>RESUMO_MENSAL!A4</f>
        <v>JANEIRO</v>
      </c>
      <c r="B10" s="416">
        <f>RESUMO_MENSAL!B4</f>
        <v>150363</v>
      </c>
      <c r="C10" s="416">
        <f>RESUMO_MENSAL!C4</f>
        <v>242000</v>
      </c>
      <c r="D10" s="416">
        <f>RESUMO_MENSAL!D4</f>
        <v>-91637</v>
      </c>
      <c r="E10" s="404">
        <f>RESUMO_MENSAL!E4</f>
        <v>0.62133471074380164</v>
      </c>
      <c r="F10" s="406" t="str">
        <f>IF(RESUMO_MENSAL!B4=0,"—",IF(RESUMO_MENSAL!E4&gt;=1,"✔ ACIMA","✘ ABAIXO"))</f>
        <v>✘ ABAIXO</v>
      </c>
      <c r="G10" s="417">
        <f ca="1">RESUMO_MENSAL!F4</f>
        <v>7160.1428571428569</v>
      </c>
      <c r="H10" s="416">
        <f>RESUMO_MENSAL!G4</f>
        <v>14931</v>
      </c>
      <c r="I10" s="415">
        <f>RESUMO_MENSAL!H4</f>
        <v>17</v>
      </c>
      <c r="J10" s="400"/>
      <c r="K10" s="400"/>
      <c r="L10" s="400"/>
      <c r="M10" s="400"/>
      <c r="N10" s="400"/>
      <c r="O10" s="400"/>
    </row>
    <row r="11" spans="1:15" ht="14.85" customHeight="1" x14ac:dyDescent="0.3">
      <c r="A11" s="403" t="str">
        <f>RESUMO_MENSAL!A5</f>
        <v>FEVEREIRO</v>
      </c>
      <c r="B11" s="419">
        <f>RESUMO_MENSAL!B5</f>
        <v>191118</v>
      </c>
      <c r="C11" s="419">
        <f>RESUMO_MENSAL!C5</f>
        <v>220000</v>
      </c>
      <c r="D11" s="419">
        <f>RESUMO_MENSAL!D5</f>
        <v>-28882</v>
      </c>
      <c r="E11" s="401">
        <f>RESUMO_MENSAL!E5</f>
        <v>0.86871818181818183</v>
      </c>
      <c r="F11" s="403" t="str">
        <f>IF(RESUMO_MENSAL!B5=0,"—",IF(RESUMO_MENSAL!E5&gt;=1,"✔ ACIMA","✘ ABAIXO"))</f>
        <v>✘ ABAIXO</v>
      </c>
      <c r="G11" s="420">
        <f ca="1">RESUMO_MENSAL!F5</f>
        <v>9555.9</v>
      </c>
      <c r="H11" s="419">
        <f>RESUMO_MENSAL!G5</f>
        <v>17172</v>
      </c>
      <c r="I11" s="418">
        <f>RESUMO_MENSAL!H5</f>
        <v>17</v>
      </c>
      <c r="J11" s="400"/>
      <c r="K11" s="400"/>
      <c r="L11" s="400"/>
      <c r="M11" s="400"/>
      <c r="N11" s="400"/>
      <c r="O11" s="400"/>
    </row>
    <row r="12" spans="1:15" ht="14.85" customHeight="1" x14ac:dyDescent="0.3">
      <c r="A12" s="406" t="str">
        <f>RESUMO_MENSAL!A6</f>
        <v>MARÇO</v>
      </c>
      <c r="B12" s="416">
        <f>RESUMO_MENSAL!B6</f>
        <v>280764</v>
      </c>
      <c r="C12" s="416">
        <f>RESUMO_MENSAL!C6</f>
        <v>242000</v>
      </c>
      <c r="D12" s="416">
        <f>RESUMO_MENSAL!D6</f>
        <v>38764</v>
      </c>
      <c r="E12" s="404">
        <f>RESUMO_MENSAL!E6</f>
        <v>1.1601818181818182</v>
      </c>
      <c r="F12" s="406" t="str">
        <f>IF(RESUMO_MENSAL!B6=0,"—",IF(RESUMO_MENSAL!E6&gt;=1,"✔ ACIMA","✘ ABAIXO"))</f>
        <v>✔ ACIMA</v>
      </c>
      <c r="G12" s="417">
        <f ca="1">RESUMO_MENSAL!F6</f>
        <v>12762</v>
      </c>
      <c r="H12" s="416">
        <f>RESUMO_MENSAL!G6</f>
        <v>17856</v>
      </c>
      <c r="I12" s="415">
        <f>RESUMO_MENSAL!H6</f>
        <v>22</v>
      </c>
      <c r="J12" s="400"/>
      <c r="K12" s="400"/>
      <c r="L12" s="400"/>
      <c r="M12" s="400"/>
      <c r="N12" s="400"/>
      <c r="O12" s="400"/>
    </row>
    <row r="13" spans="1:15" ht="14.85" customHeight="1" x14ac:dyDescent="0.3">
      <c r="A13" s="403" t="str">
        <f>RESUMO_MENSAL!A7</f>
        <v>ABRIL</v>
      </c>
      <c r="B13" s="419">
        <f>RESUMO_MENSAL!B7</f>
        <v>256212</v>
      </c>
      <c r="C13" s="419">
        <f>RESUMO_MENSAL!C7</f>
        <v>253000</v>
      </c>
      <c r="D13" s="419">
        <f>RESUMO_MENSAL!D7</f>
        <v>3212</v>
      </c>
      <c r="E13" s="401">
        <f>RESUMO_MENSAL!E7</f>
        <v>1.012695652173913</v>
      </c>
      <c r="F13" s="403" t="str">
        <f>IF(RESUMO_MENSAL!B7=0,"—",IF(RESUMO_MENSAL!E7&gt;=1,"✔ ACIMA","✘ ABAIXO"))</f>
        <v>✔ ACIMA</v>
      </c>
      <c r="G13" s="420">
        <f ca="1">RESUMO_MENSAL!F7</f>
        <v>11139.652173913044</v>
      </c>
      <c r="H13" s="419">
        <f>RESUMO_MENSAL!G7</f>
        <v>20196</v>
      </c>
      <c r="I13" s="418">
        <f>RESUMO_MENSAL!H7</f>
        <v>23</v>
      </c>
      <c r="J13" s="400"/>
      <c r="K13" s="400"/>
      <c r="L13" s="400"/>
      <c r="M13" s="400"/>
      <c r="N13" s="400"/>
      <c r="O13" s="400"/>
    </row>
    <row r="14" spans="1:15" ht="14.85" customHeight="1" x14ac:dyDescent="0.3">
      <c r="A14" s="406" t="str">
        <f>RESUMO_MENSAL!A8</f>
        <v>MAIO</v>
      </c>
      <c r="B14" s="416">
        <f>RESUMO_MENSAL!B8</f>
        <v>274140</v>
      </c>
      <c r="C14" s="416">
        <f>RESUMO_MENSAL!C8</f>
        <v>286000</v>
      </c>
      <c r="D14" s="416">
        <f>RESUMO_MENSAL!D8</f>
        <v>-11860</v>
      </c>
      <c r="E14" s="404">
        <f>RESUMO_MENSAL!E8</f>
        <v>0.95853146853146853</v>
      </c>
      <c r="F14" s="406" t="str">
        <f>IF(RESUMO_MENSAL!B8=0,"—",IF(RESUMO_MENSAL!E8&gt;=1,"✔ ACIMA","✘ ABAIXO"))</f>
        <v>✘ ABAIXO</v>
      </c>
      <c r="G14" s="417">
        <f ca="1">RESUMO_MENSAL!F8</f>
        <v>10500.24</v>
      </c>
      <c r="H14" s="416">
        <f>RESUMO_MENSAL!G8</f>
        <v>18852</v>
      </c>
      <c r="I14" s="415">
        <f>RESUMO_MENSAL!H8</f>
        <v>26</v>
      </c>
      <c r="J14" s="400"/>
      <c r="K14" s="400"/>
      <c r="L14" s="400"/>
      <c r="M14" s="400"/>
      <c r="N14" s="400"/>
      <c r="O14" s="400"/>
    </row>
    <row r="15" spans="1:15" ht="14.85" customHeight="1" x14ac:dyDescent="0.3">
      <c r="A15" s="403" t="str">
        <f>RESUMO_MENSAL!A9</f>
        <v>JUNHO</v>
      </c>
      <c r="B15" s="419">
        <f>RESUMO_MENSAL!B9</f>
        <v>39048</v>
      </c>
      <c r="C15" s="419">
        <f>RESUMO_MENSAL!C9</f>
        <v>264000</v>
      </c>
      <c r="D15" s="419">
        <f>RESUMO_MENSAL!D9</f>
        <v>-224952</v>
      </c>
      <c r="E15" s="401">
        <f>RESUMO_MENSAL!E9</f>
        <v>0.14790909090909091</v>
      </c>
      <c r="F15" s="403" t="str">
        <f>IF(RESUMO_MENSAL!B9=0,"—",IF(RESUMO_MENSAL!E9&gt;=1,"✔ ACIMA","✘ ABAIXO"))</f>
        <v>✘ ABAIXO</v>
      </c>
      <c r="G15" s="420">
        <f ca="1">RESUMO_MENSAL!F9</f>
        <v>5578.2857142857147</v>
      </c>
      <c r="H15" s="419">
        <f>RESUMO_MENSAL!G9</f>
        <v>11148</v>
      </c>
      <c r="I15" s="418">
        <f>RESUMO_MENSAL!H9</f>
        <v>4</v>
      </c>
      <c r="J15" s="400"/>
      <c r="K15" s="400"/>
      <c r="L15" s="400"/>
      <c r="M15" s="400"/>
      <c r="N15" s="400"/>
      <c r="O15" s="400"/>
    </row>
    <row r="16" spans="1:15" ht="14.85" customHeight="1" x14ac:dyDescent="0.3">
      <c r="A16" s="406" t="str">
        <f>RESUMO_MENSAL!A10</f>
        <v>JULHO</v>
      </c>
      <c r="B16" s="416">
        <f>RESUMO_MENSAL!B10</f>
        <v>0</v>
      </c>
      <c r="C16" s="416">
        <f>RESUMO_MENSAL!C10</f>
        <v>297000</v>
      </c>
      <c r="D16" s="416" t="str">
        <f>RESUMO_MENSAL!D10</f>
        <v/>
      </c>
      <c r="E16" s="404" t="str">
        <f>RESUMO_MENSAL!E10</f>
        <v/>
      </c>
      <c r="F16" s="406" t="str">
        <f>IF(RESUMO_MENSAL!B10=0,"—",IF(RESUMO_MENSAL!E10&gt;=1,"✔ ACIMA","✘ ABAIXO"))</f>
        <v>—</v>
      </c>
      <c r="G16" s="417">
        <f ca="1">RESUMO_MENSAL!F10</f>
        <v>0</v>
      </c>
      <c r="H16" s="416">
        <f>RESUMO_MENSAL!G10</f>
        <v>0</v>
      </c>
      <c r="I16" s="415">
        <f>RESUMO_MENSAL!H10</f>
        <v>0</v>
      </c>
      <c r="J16" s="400"/>
      <c r="K16" s="400"/>
      <c r="L16" s="400"/>
      <c r="M16" s="400"/>
      <c r="N16" s="400"/>
      <c r="O16" s="400"/>
    </row>
    <row r="17" spans="1:15" ht="14.85" customHeight="1" x14ac:dyDescent="0.3">
      <c r="A17" s="403" t="str">
        <f>RESUMO_MENSAL!A11</f>
        <v>AGOSTO</v>
      </c>
      <c r="B17" s="419">
        <f>RESUMO_MENSAL!B11</f>
        <v>0</v>
      </c>
      <c r="C17" s="419">
        <f>RESUMO_MENSAL!C11</f>
        <v>286000</v>
      </c>
      <c r="D17" s="419" t="str">
        <f>RESUMO_MENSAL!D11</f>
        <v/>
      </c>
      <c r="E17" s="401" t="str">
        <f>RESUMO_MENSAL!E11</f>
        <v/>
      </c>
      <c r="F17" s="403" t="str">
        <f>IF(RESUMO_MENSAL!B11=0,"—",IF(RESUMO_MENSAL!E11&gt;=1,"✔ ACIMA","✘ ABAIXO"))</f>
        <v>—</v>
      </c>
      <c r="G17" s="420">
        <f ca="1">RESUMO_MENSAL!F11</f>
        <v>0</v>
      </c>
      <c r="H17" s="419">
        <f>RESUMO_MENSAL!G11</f>
        <v>0</v>
      </c>
      <c r="I17" s="418">
        <f>RESUMO_MENSAL!H11</f>
        <v>0</v>
      </c>
      <c r="J17" s="400"/>
      <c r="K17" s="400"/>
      <c r="L17" s="400"/>
      <c r="M17" s="400"/>
      <c r="N17" s="400"/>
      <c r="O17" s="400"/>
    </row>
    <row r="18" spans="1:15" ht="14.85" customHeight="1" x14ac:dyDescent="0.3">
      <c r="A18" s="406" t="str">
        <f>RESUMO_MENSAL!A12</f>
        <v>SETEMBRO</v>
      </c>
      <c r="B18" s="416">
        <f>RESUMO_MENSAL!B12</f>
        <v>0</v>
      </c>
      <c r="C18" s="416">
        <f>RESUMO_MENSAL!C12</f>
        <v>275000</v>
      </c>
      <c r="D18" s="416" t="str">
        <f>RESUMO_MENSAL!D12</f>
        <v/>
      </c>
      <c r="E18" s="404" t="str">
        <f>RESUMO_MENSAL!E12</f>
        <v/>
      </c>
      <c r="F18" s="406" t="str">
        <f>IF(RESUMO_MENSAL!B12=0,"—",IF(RESUMO_MENSAL!E12&gt;=1,"✔ ACIMA","✘ ABAIXO"))</f>
        <v>—</v>
      </c>
      <c r="G18" s="417">
        <f ca="1">RESUMO_MENSAL!F12</f>
        <v>0</v>
      </c>
      <c r="H18" s="416">
        <f>RESUMO_MENSAL!G12</f>
        <v>0</v>
      </c>
      <c r="I18" s="415">
        <f>RESUMO_MENSAL!H12</f>
        <v>0</v>
      </c>
      <c r="J18" s="400"/>
      <c r="K18" s="400"/>
      <c r="L18" s="400"/>
      <c r="M18" s="400"/>
      <c r="N18" s="400"/>
      <c r="O18" s="400"/>
    </row>
    <row r="19" spans="1:15" ht="14.85" customHeight="1" x14ac:dyDescent="0.3">
      <c r="A19" s="403" t="str">
        <f>RESUMO_MENSAL!A13</f>
        <v>OUTUBRO</v>
      </c>
      <c r="B19" s="419">
        <f>RESUMO_MENSAL!B13</f>
        <v>0</v>
      </c>
      <c r="C19" s="419">
        <f>RESUMO_MENSAL!C13</f>
        <v>286000</v>
      </c>
      <c r="D19" s="419" t="str">
        <f>RESUMO_MENSAL!D13</f>
        <v/>
      </c>
      <c r="E19" s="401" t="str">
        <f>RESUMO_MENSAL!E13</f>
        <v/>
      </c>
      <c r="F19" s="403" t="str">
        <f>IF(RESUMO_MENSAL!B13=0,"—",IF(RESUMO_MENSAL!E13&gt;=1,"✔ ACIMA","✘ ABAIXO"))</f>
        <v>—</v>
      </c>
      <c r="G19" s="420">
        <f ca="1">RESUMO_MENSAL!F13</f>
        <v>0</v>
      </c>
      <c r="H19" s="419">
        <f>RESUMO_MENSAL!G13</f>
        <v>0</v>
      </c>
      <c r="I19" s="418">
        <f>RESUMO_MENSAL!H13</f>
        <v>0</v>
      </c>
      <c r="J19" s="400"/>
      <c r="K19" s="400"/>
      <c r="L19" s="400"/>
      <c r="M19" s="400"/>
      <c r="N19" s="400"/>
      <c r="O19" s="400"/>
    </row>
    <row r="20" spans="1:15" ht="14.85" customHeight="1" x14ac:dyDescent="0.3">
      <c r="A20" s="406" t="str">
        <f>RESUMO_MENSAL!A14</f>
        <v>NOVEMBRO</v>
      </c>
      <c r="B20" s="416">
        <f>RESUMO_MENSAL!B14</f>
        <v>0</v>
      </c>
      <c r="C20" s="416">
        <f>RESUMO_MENSAL!C14</f>
        <v>253000</v>
      </c>
      <c r="D20" s="416" t="str">
        <f>RESUMO_MENSAL!D14</f>
        <v/>
      </c>
      <c r="E20" s="404" t="str">
        <f>RESUMO_MENSAL!E14</f>
        <v/>
      </c>
      <c r="F20" s="406" t="str">
        <f>IF(RESUMO_MENSAL!B14=0,"—",IF(RESUMO_MENSAL!E14&gt;=1,"✔ ACIMA","✘ ABAIXO"))</f>
        <v>—</v>
      </c>
      <c r="G20" s="417">
        <f ca="1">RESUMO_MENSAL!F14</f>
        <v>0</v>
      </c>
      <c r="H20" s="416">
        <f>RESUMO_MENSAL!G14</f>
        <v>0</v>
      </c>
      <c r="I20" s="415">
        <f>RESUMO_MENSAL!H14</f>
        <v>0</v>
      </c>
      <c r="J20" s="400"/>
      <c r="K20" s="400"/>
      <c r="L20" s="400"/>
      <c r="M20" s="400"/>
      <c r="N20" s="400"/>
      <c r="O20" s="400"/>
    </row>
    <row r="21" spans="1:15" ht="14.85" customHeight="1" x14ac:dyDescent="0.3">
      <c r="A21" s="413" t="str">
        <f>RESUMO_MENSAL!A15</f>
        <v>DEZEMBRO</v>
      </c>
      <c r="B21" s="411">
        <f>RESUMO_MENSAL!B15</f>
        <v>0</v>
      </c>
      <c r="C21" s="411">
        <f>RESUMO_MENSAL!C15</f>
        <v>286000</v>
      </c>
      <c r="D21" s="411" t="str">
        <f>RESUMO_MENSAL!D15</f>
        <v/>
      </c>
      <c r="E21" s="414" t="str">
        <f>RESUMO_MENSAL!E15</f>
        <v/>
      </c>
      <c r="F21" s="413" t="str">
        <f>IF(RESUMO_MENSAL!B15=0,"—",IF(RESUMO_MENSAL!E15&gt;=1,"✔ ACIMA","✘ ABAIXO"))</f>
        <v>—</v>
      </c>
      <c r="G21" s="412">
        <f ca="1">RESUMO_MENSAL!F15</f>
        <v>0</v>
      </c>
      <c r="H21" s="411">
        <f>RESUMO_MENSAL!G15</f>
        <v>0</v>
      </c>
      <c r="I21" s="410">
        <f>RESUMO_MENSAL!H15</f>
        <v>0</v>
      </c>
      <c r="J21" s="400"/>
      <c r="K21" s="400"/>
      <c r="L21" s="400"/>
      <c r="M21" s="400"/>
      <c r="N21" s="400"/>
      <c r="O21" s="400"/>
    </row>
    <row r="22" spans="1:15" ht="10.199999999999999" customHeight="1" x14ac:dyDescent="0.3">
      <c r="A22" s="758" t="s">
        <v>1300</v>
      </c>
      <c r="B22" s="759"/>
      <c r="C22" s="759"/>
      <c r="D22" s="759"/>
      <c r="E22" s="759"/>
      <c r="F22" s="759"/>
      <c r="G22" s="759"/>
      <c r="H22" s="759"/>
      <c r="I22" s="759"/>
      <c r="J22" s="408"/>
      <c r="K22" s="408"/>
      <c r="L22" s="408"/>
      <c r="M22" s="408"/>
      <c r="N22" s="408"/>
      <c r="O22" s="408"/>
    </row>
    <row r="23" spans="1:15" ht="28.2" customHeight="1" x14ac:dyDescent="0.3">
      <c r="A23" s="409" t="s">
        <v>1299</v>
      </c>
      <c r="B23" s="409" t="s">
        <v>1298</v>
      </c>
      <c r="C23" s="409" t="s">
        <v>1297</v>
      </c>
      <c r="D23" s="409" t="s">
        <v>1296</v>
      </c>
      <c r="E23" s="409" t="s">
        <v>1295</v>
      </c>
      <c r="F23" s="409" t="s">
        <v>1294</v>
      </c>
      <c r="G23" s="409" t="s">
        <v>1293</v>
      </c>
      <c r="H23" s="409" t="s">
        <v>1292</v>
      </c>
      <c r="I23" s="409" t="s">
        <v>1291</v>
      </c>
      <c r="J23" s="408"/>
      <c r="K23" s="408"/>
      <c r="L23" s="408"/>
      <c r="M23" s="408"/>
      <c r="N23" s="408"/>
      <c r="O23" s="408"/>
    </row>
    <row r="24" spans="1:15" ht="7.95" customHeight="1" x14ac:dyDescent="0.3">
      <c r="A24" s="349"/>
      <c r="B24" s="349"/>
      <c r="C24" s="349"/>
      <c r="D24" s="349"/>
      <c r="E24" s="349"/>
      <c r="F24" s="349"/>
      <c r="G24" s="349"/>
      <c r="H24" s="349"/>
      <c r="I24" s="349"/>
      <c r="J24" s="349"/>
      <c r="K24" s="349"/>
      <c r="L24" s="349"/>
      <c r="M24" s="349"/>
      <c r="N24" s="349"/>
      <c r="O24" s="349"/>
    </row>
    <row r="25" spans="1:15" ht="7.95" customHeight="1" x14ac:dyDescent="0.3">
      <c r="A25" s="349"/>
      <c r="B25" s="349"/>
      <c r="C25" s="349"/>
      <c r="D25" s="349"/>
      <c r="E25" s="349"/>
      <c r="F25" s="349"/>
      <c r="G25" s="349"/>
      <c r="H25" s="349"/>
      <c r="I25" s="349"/>
      <c r="J25" s="349"/>
      <c r="K25" s="349"/>
      <c r="L25" s="349"/>
      <c r="M25" s="349"/>
      <c r="N25" s="349"/>
      <c r="O25" s="349"/>
    </row>
    <row r="26" spans="1:15" ht="16.2" customHeight="1" x14ac:dyDescent="0.3">
      <c r="A26" s="568" t="s">
        <v>1290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</row>
    <row r="27" spans="1:15" ht="19.649999999999999" customHeight="1" x14ac:dyDescent="0.3">
      <c r="A27" s="757" t="s">
        <v>1220</v>
      </c>
      <c r="B27" s="757"/>
      <c r="C27" s="757"/>
      <c r="D27" s="757"/>
      <c r="E27" s="757"/>
      <c r="F27" s="757"/>
      <c r="G27" s="757"/>
      <c r="H27" s="757"/>
      <c r="I27" s="757"/>
      <c r="J27" s="757"/>
      <c r="K27" s="757"/>
      <c r="L27" s="757"/>
      <c r="M27" s="757"/>
      <c r="N27" s="757"/>
      <c r="O27" s="757"/>
    </row>
    <row r="28" spans="1:15" ht="16.2" customHeight="1" x14ac:dyDescent="0.3">
      <c r="A28" s="752" t="s">
        <v>1221</v>
      </c>
      <c r="B28" s="752"/>
      <c r="C28" s="752"/>
      <c r="D28" s="752" t="s">
        <v>1222</v>
      </c>
      <c r="E28" s="752"/>
      <c r="F28" s="752"/>
      <c r="G28" s="752" t="s">
        <v>1223</v>
      </c>
      <c r="H28" s="752"/>
      <c r="I28" s="752"/>
      <c r="J28" s="752" t="s">
        <v>1224</v>
      </c>
      <c r="K28" s="752"/>
      <c r="L28" s="752"/>
      <c r="M28" s="752"/>
      <c r="N28" s="752"/>
      <c r="O28" s="752"/>
    </row>
    <row r="29" spans="1:15" ht="27" customHeight="1" x14ac:dyDescent="0.3">
      <c r="A29" s="762">
        <f>SUM(RESUMO_MENSAL!J4:J15)</f>
        <v>105135</v>
      </c>
      <c r="B29" s="762"/>
      <c r="C29" s="762"/>
      <c r="D29" s="763" t="str">
        <f>IFERROR(INDEX(RESUMO_MENSAL!A4:A15,MATCH(MAX(RESUMO_MENSAL!J4:J15),RESUMO_MENSAL!J4:J15,0)),"-")</f>
        <v>MAIO</v>
      </c>
      <c r="E29" s="763"/>
      <c r="F29" s="763"/>
      <c r="G29" s="762">
        <f ca="1">IFERROR(INDEX(RESUMO_MENSAL!J4:J15,MONTH(TODAY())),0)</f>
        <v>6280</v>
      </c>
      <c r="H29" s="762"/>
      <c r="I29" s="762"/>
      <c r="J29" s="764" t="str">
        <f ca="1">IF(A29=0,"Sem lançamentos de gás.",IF(G29=0,"Total: "&amp;TEXT(A29,"#,##0.00")&amp;" KG  •  Maior consumo: "&amp;D29&amp;"  •  Mês atual: SEM LANÇAMENTO","Total: "&amp;TEXT(A29,"#,##0.00")&amp;" KG  •  Maior consumo: "&amp;D29&amp;"  •  Mês atual: "&amp;TEXT(G29,"#,##0.00")&amp;" KG"))</f>
        <v>Total: 105135,000 KG  •  Maior consumo: MAIO  •  Mês atual: 6280,000 KG</v>
      </c>
      <c r="K29" s="764"/>
      <c r="L29" s="764"/>
      <c r="M29" s="764"/>
      <c r="N29" s="764"/>
      <c r="O29" s="764"/>
    </row>
    <row r="30" spans="1:15" ht="10.199999999999999" customHeight="1" x14ac:dyDescent="0.3">
      <c r="A30" s="400"/>
      <c r="B30" s="400"/>
      <c r="C30" s="400"/>
      <c r="D30" s="400"/>
      <c r="E30" s="400"/>
      <c r="F30" s="400"/>
      <c r="G30" s="400"/>
      <c r="H30" s="400"/>
      <c r="I30" s="400"/>
      <c r="J30" s="400"/>
      <c r="K30" s="400"/>
      <c r="L30" s="400"/>
      <c r="M30" s="400"/>
      <c r="N30" s="400"/>
      <c r="O30" s="400"/>
    </row>
    <row r="31" spans="1:15" ht="16.2" customHeight="1" x14ac:dyDescent="0.3">
      <c r="A31" s="407" t="s">
        <v>1211</v>
      </c>
      <c r="B31" s="407" t="s">
        <v>1225</v>
      </c>
      <c r="C31" s="407" t="s">
        <v>1226</v>
      </c>
      <c r="D31" s="451" t="s">
        <v>1303</v>
      </c>
      <c r="E31" s="756" t="s">
        <v>1227</v>
      </c>
      <c r="F31" s="756"/>
      <c r="G31" s="756"/>
      <c r="H31" s="756"/>
      <c r="I31" s="756"/>
      <c r="J31" s="756"/>
      <c r="K31" s="756"/>
      <c r="L31" s="756"/>
      <c r="M31" s="756"/>
      <c r="N31" s="756"/>
      <c r="O31" s="756"/>
    </row>
    <row r="32" spans="1:15" ht="14.25" customHeight="1" x14ac:dyDescent="0.3">
      <c r="A32" s="406" t="str">
        <f>RESUMO_MENSAL!A4</f>
        <v>JANEIRO</v>
      </c>
      <c r="B32" s="405">
        <f>RESUMO_MENSAL!J4</f>
        <v>17099</v>
      </c>
      <c r="C32" s="404">
        <f>IF(A29=0,0,RESUMO_MENSAL!J4/A29)</f>
        <v>0.1626385123888334</v>
      </c>
      <c r="D32" s="502">
        <f t="shared" ref="D32:D40" si="0">IF(B10=0,0,B32/B10*1000)</f>
        <v>113.71813544555509</v>
      </c>
      <c r="E32" s="769" t="str">
        <f>IF(A29=0,"Sem lançamentos de gás registrados no ano.","Total de gás no ano: "&amp;TEXT(A29,"#,##0.0")&amp;" KG. Maior consumo mensal: "&amp;D29&amp;".")</f>
        <v>Total de gás no ano: 105135,00 KG. Maior consumo mensal: MAIO.</v>
      </c>
      <c r="F32" s="769"/>
      <c r="G32" s="769"/>
      <c r="H32" s="769"/>
      <c r="I32" s="769"/>
      <c r="J32" s="769"/>
      <c r="K32" s="769"/>
      <c r="L32" s="769"/>
      <c r="M32" s="769"/>
      <c r="N32" s="769"/>
      <c r="O32" s="769"/>
    </row>
    <row r="33" spans="1:15" ht="14.25" customHeight="1" x14ac:dyDescent="0.3">
      <c r="A33" s="403" t="str">
        <f>RESUMO_MENSAL!A5</f>
        <v>FEVEREIRO</v>
      </c>
      <c r="B33" s="402">
        <f>RESUMO_MENSAL!J5</f>
        <v>15153</v>
      </c>
      <c r="C33" s="401">
        <f>IF(A29=0,0,RESUMO_MENSAL!J5/A29)</f>
        <v>0.14412897702953345</v>
      </c>
      <c r="D33" s="503">
        <f t="shared" si="0"/>
        <v>79.286095501208678</v>
      </c>
      <c r="E33" s="769"/>
      <c r="F33" s="769"/>
      <c r="G33" s="769"/>
      <c r="H33" s="769"/>
      <c r="I33" s="769"/>
      <c r="J33" s="769"/>
      <c r="K33" s="769"/>
      <c r="L33" s="769"/>
      <c r="M33" s="769"/>
      <c r="N33" s="769"/>
      <c r="O33" s="769"/>
    </row>
    <row r="34" spans="1:15" ht="14.25" customHeight="1" x14ac:dyDescent="0.3">
      <c r="A34" s="406" t="str">
        <f>RESUMO_MENSAL!A6</f>
        <v>MARÇO</v>
      </c>
      <c r="B34" s="405">
        <f>RESUMO_MENSAL!J6</f>
        <v>21091</v>
      </c>
      <c r="C34" s="404">
        <f>IF(A29=0,0,RESUMO_MENSAL!J6/A29)</f>
        <v>0.20060874114234081</v>
      </c>
      <c r="D34" s="502">
        <f t="shared" si="0"/>
        <v>75.120029633428786</v>
      </c>
      <c r="E34" s="769"/>
      <c r="F34" s="769"/>
      <c r="G34" s="769"/>
      <c r="H34" s="769"/>
      <c r="I34" s="769"/>
      <c r="J34" s="769"/>
      <c r="K34" s="769"/>
      <c r="L34" s="769"/>
      <c r="M34" s="769"/>
      <c r="N34" s="769"/>
      <c r="O34" s="769"/>
    </row>
    <row r="35" spans="1:15" ht="14.25" customHeight="1" x14ac:dyDescent="0.3">
      <c r="A35" s="403" t="str">
        <f>RESUMO_MENSAL!A7</f>
        <v>ABRIL</v>
      </c>
      <c r="B35" s="402">
        <f>RESUMO_MENSAL!J7</f>
        <v>20961</v>
      </c>
      <c r="C35" s="401">
        <f>IF(A29=0,0,RESUMO_MENSAL!J7/A29)</f>
        <v>0.19937223569696105</v>
      </c>
      <c r="D35" s="503">
        <f t="shared" si="0"/>
        <v>81.811156386117744</v>
      </c>
      <c r="E35" s="769"/>
      <c r="F35" s="769"/>
      <c r="G35" s="769"/>
      <c r="H35" s="769"/>
      <c r="I35" s="769"/>
      <c r="J35" s="769"/>
      <c r="K35" s="769"/>
      <c r="L35" s="769"/>
      <c r="M35" s="769"/>
      <c r="N35" s="769"/>
      <c r="O35" s="769"/>
    </row>
    <row r="36" spans="1:15" ht="14.25" customHeight="1" x14ac:dyDescent="0.3">
      <c r="A36" s="406" t="str">
        <f>RESUMO_MENSAL!A8</f>
        <v>MAIO</v>
      </c>
      <c r="B36" s="405">
        <f>RESUMO_MENSAL!J8</f>
        <v>24551</v>
      </c>
      <c r="C36" s="404">
        <f>IF(A29=0,0,RESUMO_MENSAL!J8/A29)</f>
        <v>0.23351880915014028</v>
      </c>
      <c r="D36" s="502">
        <f t="shared" si="0"/>
        <v>89.556431020646386</v>
      </c>
      <c r="E36" s="769"/>
      <c r="F36" s="769"/>
      <c r="G36" s="769"/>
      <c r="H36" s="769"/>
      <c r="I36" s="769"/>
      <c r="J36" s="769"/>
      <c r="K36" s="769"/>
      <c r="L36" s="769"/>
      <c r="M36" s="769"/>
      <c r="N36" s="769"/>
      <c r="O36" s="769"/>
    </row>
    <row r="37" spans="1:15" ht="14.25" customHeight="1" x14ac:dyDescent="0.3">
      <c r="A37" s="403" t="str">
        <f>RESUMO_MENSAL!A9</f>
        <v>JUNHO</v>
      </c>
      <c r="B37" s="402">
        <f>RESUMO_MENSAL!J9</f>
        <v>6280</v>
      </c>
      <c r="C37" s="401">
        <f>IF(A29=0,0,RESUMO_MENSAL!J9/A29)</f>
        <v>5.9732724592190992E-2</v>
      </c>
      <c r="D37" s="503">
        <f t="shared" si="0"/>
        <v>160.82769924195861</v>
      </c>
      <c r="E37" s="769"/>
      <c r="F37" s="769"/>
      <c r="G37" s="769"/>
      <c r="H37" s="769"/>
      <c r="I37" s="769"/>
      <c r="J37" s="769"/>
      <c r="K37" s="769"/>
      <c r="L37" s="769"/>
      <c r="M37" s="769"/>
      <c r="N37" s="769"/>
      <c r="O37" s="769"/>
    </row>
    <row r="38" spans="1:15" ht="14.25" customHeight="1" x14ac:dyDescent="0.3">
      <c r="A38" s="406" t="str">
        <f>RESUMO_MENSAL!A10</f>
        <v>JULHO</v>
      </c>
      <c r="B38" s="405">
        <f>RESUMO_MENSAL!J10</f>
        <v>0</v>
      </c>
      <c r="C38" s="404">
        <f>IF(A29=0,0,RESUMO_MENSAL!J10/A29)</f>
        <v>0</v>
      </c>
      <c r="D38" s="502">
        <f t="shared" si="0"/>
        <v>0</v>
      </c>
      <c r="E38" s="769"/>
      <c r="F38" s="769"/>
      <c r="G38" s="769"/>
      <c r="H38" s="769"/>
      <c r="I38" s="769"/>
      <c r="J38" s="769"/>
      <c r="K38" s="769"/>
      <c r="L38" s="769"/>
      <c r="M38" s="769"/>
      <c r="N38" s="769"/>
      <c r="O38" s="769"/>
    </row>
    <row r="39" spans="1:15" ht="14.25" customHeight="1" x14ac:dyDescent="0.3">
      <c r="A39" s="403" t="str">
        <f>RESUMO_MENSAL!A11</f>
        <v>AGOSTO</v>
      </c>
      <c r="B39" s="402">
        <f>RESUMO_MENSAL!J11</f>
        <v>0</v>
      </c>
      <c r="C39" s="401">
        <f>IF(A29=0,0,RESUMO_MENSAL!J11/A29)</f>
        <v>0</v>
      </c>
      <c r="D39" s="503">
        <f t="shared" si="0"/>
        <v>0</v>
      </c>
      <c r="E39" s="758" t="s">
        <v>1289</v>
      </c>
      <c r="F39" s="766"/>
      <c r="G39" s="766"/>
      <c r="H39" s="766"/>
      <c r="I39" s="766"/>
      <c r="J39" s="766"/>
      <c r="K39" s="766"/>
      <c r="L39" s="766"/>
      <c r="M39" s="766"/>
      <c r="N39" s="766"/>
      <c r="O39" s="766"/>
    </row>
    <row r="40" spans="1:15" ht="14.25" customHeight="1" x14ac:dyDescent="0.3">
      <c r="A40" s="406" t="str">
        <f>RESUMO_MENSAL!A12</f>
        <v>SETEMBRO</v>
      </c>
      <c r="B40" s="405">
        <f>RESUMO_MENSAL!J12</f>
        <v>0</v>
      </c>
      <c r="C40" s="404">
        <f>IF(A29=0,0,RESUMO_MENSAL!J12/A29)</f>
        <v>0</v>
      </c>
      <c r="D40" s="502">
        <f t="shared" si="0"/>
        <v>0</v>
      </c>
      <c r="E40" s="770" t="s">
        <v>695</v>
      </c>
      <c r="F40" s="766"/>
      <c r="G40" s="771" t="s">
        <v>1288</v>
      </c>
      <c r="H40" s="766"/>
      <c r="I40" s="766"/>
      <c r="J40" s="772" t="s">
        <v>1287</v>
      </c>
      <c r="K40" s="766"/>
      <c r="L40" s="766"/>
      <c r="M40" s="766"/>
      <c r="N40" s="766"/>
      <c r="O40" s="766"/>
    </row>
    <row r="41" spans="1:15" ht="14.25" customHeight="1" x14ac:dyDescent="0.3">
      <c r="A41" s="403" t="str">
        <f>RESUMO_MENSAL!A13</f>
        <v>OUTUBRO</v>
      </c>
      <c r="B41" s="402">
        <f>RESUMO_MENSAL!J13</f>
        <v>0</v>
      </c>
      <c r="C41" s="401">
        <f>IF(A29=0,0,RESUMO_MENSAL!J13/A29)</f>
        <v>0</v>
      </c>
      <c r="D41" s="504" t="s">
        <v>1304</v>
      </c>
      <c r="E41" s="765" t="s">
        <v>1211</v>
      </c>
      <c r="F41" s="766"/>
      <c r="G41" s="767" t="s">
        <v>1286</v>
      </c>
      <c r="H41" s="766"/>
      <c r="I41" s="766"/>
      <c r="J41" s="768" t="s">
        <v>1285</v>
      </c>
      <c r="K41" s="766"/>
      <c r="L41" s="766"/>
      <c r="M41" s="766"/>
      <c r="N41" s="766"/>
      <c r="O41" s="766"/>
    </row>
    <row r="42" spans="1:15" ht="14.25" customHeight="1" x14ac:dyDescent="0.3">
      <c r="A42" s="406" t="str">
        <f>RESUMO_MENSAL!A14</f>
        <v>NOVEMBRO</v>
      </c>
      <c r="B42" s="405">
        <f>RESUMO_MENSAL!J14</f>
        <v>0</v>
      </c>
      <c r="C42" s="404">
        <f>IF(A29=0,0,RESUMO_MENSAL!J14/A29)</f>
        <v>0</v>
      </c>
      <c r="D42" s="502"/>
      <c r="E42" s="770" t="s">
        <v>1284</v>
      </c>
      <c r="F42" s="766"/>
      <c r="G42" s="771" t="s">
        <v>1283</v>
      </c>
      <c r="H42" s="766"/>
      <c r="I42" s="766"/>
      <c r="J42" s="772" t="s">
        <v>1282</v>
      </c>
      <c r="K42" s="766"/>
      <c r="L42" s="766"/>
      <c r="M42" s="766"/>
      <c r="N42" s="766"/>
      <c r="O42" s="766"/>
    </row>
    <row r="43" spans="1:15" ht="14.25" customHeight="1" x14ac:dyDescent="0.3">
      <c r="A43" s="403" t="str">
        <f>RESUMO_MENSAL!A15</f>
        <v>DEZEMBRO</v>
      </c>
      <c r="B43" s="402">
        <f>RESUMO_MENSAL!J15</f>
        <v>0</v>
      </c>
      <c r="C43" s="401">
        <f>IF(A29=0,0,RESUMO_MENSAL!J15/A29)</f>
        <v>0</v>
      </c>
      <c r="D43" s="400"/>
      <c r="E43" s="765" t="s">
        <v>1281</v>
      </c>
      <c r="F43" s="766"/>
      <c r="G43" s="767" t="s">
        <v>1280</v>
      </c>
      <c r="H43" s="766"/>
      <c r="I43" s="766"/>
      <c r="J43" s="768" t="s">
        <v>1279</v>
      </c>
      <c r="K43" s="766"/>
      <c r="L43" s="766"/>
      <c r="M43" s="766"/>
      <c r="N43" s="766"/>
      <c r="O43" s="766"/>
    </row>
    <row r="44" spans="1:15" x14ac:dyDescent="0.3">
      <c r="E44" s="499" t="s">
        <v>1378</v>
      </c>
      <c r="F44" s="489"/>
      <c r="G44" s="778" t="s">
        <v>1370</v>
      </c>
      <c r="H44" s="778"/>
      <c r="I44" s="778"/>
      <c r="J44" s="779" t="s">
        <v>1371</v>
      </c>
      <c r="K44" s="779"/>
      <c r="L44" s="779"/>
      <c r="M44" s="779"/>
      <c r="N44" s="779"/>
      <c r="O44" s="779"/>
    </row>
    <row r="45" spans="1:15" x14ac:dyDescent="0.3">
      <c r="E45" s="500" t="s">
        <v>1378</v>
      </c>
      <c r="F45" s="489"/>
      <c r="G45" s="776" t="s">
        <v>1372</v>
      </c>
      <c r="H45" s="776"/>
      <c r="I45" s="776"/>
      <c r="J45" s="777" t="s">
        <v>1373</v>
      </c>
      <c r="K45" s="777"/>
      <c r="L45" s="777"/>
      <c r="M45" s="777"/>
      <c r="N45" s="777"/>
      <c r="O45" s="777"/>
    </row>
    <row r="46" spans="1:15" x14ac:dyDescent="0.3">
      <c r="E46" s="499" t="s">
        <v>1378</v>
      </c>
      <c r="F46" s="489"/>
      <c r="G46" s="778" t="s">
        <v>1374</v>
      </c>
      <c r="H46" s="778"/>
      <c r="I46" s="778"/>
      <c r="J46" s="779" t="s">
        <v>1375</v>
      </c>
      <c r="K46" s="779"/>
      <c r="L46" s="779"/>
      <c r="M46" s="779"/>
      <c r="N46" s="779"/>
      <c r="O46" s="779"/>
    </row>
    <row r="47" spans="1:15" x14ac:dyDescent="0.3">
      <c r="E47" s="500" t="s">
        <v>1378</v>
      </c>
      <c r="F47" s="489"/>
      <c r="G47" s="776" t="s">
        <v>1376</v>
      </c>
      <c r="H47" s="776"/>
      <c r="I47" s="776"/>
      <c r="J47" s="777" t="s">
        <v>1377</v>
      </c>
      <c r="K47" s="777"/>
      <c r="L47" s="777"/>
      <c r="M47" s="777"/>
      <c r="N47" s="777"/>
      <c r="O47" s="777"/>
    </row>
    <row r="48" spans="1:15" x14ac:dyDescent="0.3">
      <c r="E48" s="501" t="s">
        <v>1379</v>
      </c>
      <c r="F48" s="489"/>
      <c r="G48" s="773" t="s">
        <v>1380</v>
      </c>
      <c r="H48" s="773"/>
      <c r="I48" s="773"/>
      <c r="J48" s="774" t="s">
        <v>1381</v>
      </c>
      <c r="K48" s="774"/>
      <c r="L48" s="774"/>
      <c r="M48" s="774"/>
      <c r="N48" s="774"/>
      <c r="O48" s="775"/>
    </row>
  </sheetData>
  <mergeCells count="53">
    <mergeCell ref="G48:I48"/>
    <mergeCell ref="J48:O48"/>
    <mergeCell ref="G47:I47"/>
    <mergeCell ref="J47:O47"/>
    <mergeCell ref="G44:I44"/>
    <mergeCell ref="J44:O44"/>
    <mergeCell ref="G45:I45"/>
    <mergeCell ref="J45:O45"/>
    <mergeCell ref="G46:I46"/>
    <mergeCell ref="J46:O46"/>
    <mergeCell ref="E43:F43"/>
    <mergeCell ref="G43:I43"/>
    <mergeCell ref="J43:O43"/>
    <mergeCell ref="E42:F42"/>
    <mergeCell ref="G42:I42"/>
    <mergeCell ref="J42:O42"/>
    <mergeCell ref="E41:F41"/>
    <mergeCell ref="G41:I41"/>
    <mergeCell ref="J41:O41"/>
    <mergeCell ref="E32:O38"/>
    <mergeCell ref="E39:O39"/>
    <mergeCell ref="E40:F40"/>
    <mergeCell ref="G40:I40"/>
    <mergeCell ref="J40:O40"/>
    <mergeCell ref="A29:C29"/>
    <mergeCell ref="D29:F29"/>
    <mergeCell ref="G29:I29"/>
    <mergeCell ref="J29:O29"/>
    <mergeCell ref="E31:O31"/>
    <mergeCell ref="M6:N6"/>
    <mergeCell ref="A8:I8"/>
    <mergeCell ref="K8:O8"/>
    <mergeCell ref="A27:O27"/>
    <mergeCell ref="A28:C28"/>
    <mergeCell ref="D28:F28"/>
    <mergeCell ref="G28:I28"/>
    <mergeCell ref="J28:O28"/>
    <mergeCell ref="A22:I22"/>
    <mergeCell ref="A26:O26"/>
    <mergeCell ref="B6:C6"/>
    <mergeCell ref="D6:E6"/>
    <mergeCell ref="F6:G6"/>
    <mergeCell ref="H6:I6"/>
    <mergeCell ref="K6:L6"/>
    <mergeCell ref="M1:O3"/>
    <mergeCell ref="B5:C5"/>
    <mergeCell ref="D5:E5"/>
    <mergeCell ref="F5:G5"/>
    <mergeCell ref="H5:I5"/>
    <mergeCell ref="K5:L5"/>
    <mergeCell ref="M5:N5"/>
    <mergeCell ref="A1:B3"/>
    <mergeCell ref="C1:L3"/>
  </mergeCells>
  <conditionalFormatting sqref="B30:B41">
    <cfRule type="cellIs" dxfId="12" priority="10" operator="equal">
      <formula>MAX($B$30:$B$41)</formula>
    </cfRule>
    <cfRule type="expression" dxfId="11" priority="11">
      <formula>AND($B30&gt;0, $B30=MIN(IF($B$30:$B$41&gt;0,$B$30:$B$41)))</formula>
    </cfRule>
  </conditionalFormatting>
  <conditionalFormatting sqref="C30:C4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{2D95F7F5-CB5E-4505-8890-DD68B13968EF}</x14:id>
        </ext>
      </extLst>
    </cfRule>
  </conditionalFormatting>
  <conditionalFormatting sqref="D10:D21">
    <cfRule type="cellIs" dxfId="10" priority="8" operator="lessThan">
      <formula>0</formula>
    </cfRule>
    <cfRule type="cellIs" dxfId="9" priority="9" operator="greaterThan">
      <formula>0</formula>
    </cfRule>
  </conditionalFormatting>
  <conditionalFormatting sqref="D30:D41">
    <cfRule type="cellIs" dxfId="8" priority="12" operator="greaterThan">
      <formula>90</formula>
    </cfRule>
    <cfRule type="expression" dxfId="7" priority="13">
      <formula>AND($D30&gt;0, $D30&lt;=80)</formula>
    </cfRule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{C40622D3-6361-4EA0-A7F3-4C4024DA41A0}</x14:id>
        </ext>
      </extLst>
    </cfRule>
  </conditionalFormatting>
  <conditionalFormatting sqref="E10:E21">
    <cfRule type="expression" dxfId="6" priority="3">
      <formula>AND(E10&lt;&gt;0,E10&lt;0.7)</formula>
    </cfRule>
    <cfRule type="expression" dxfId="5" priority="4">
      <formula>AND(E10&gt;=0.7,E10&lt;1)</formula>
    </cfRule>
    <cfRule type="expression" dxfId="4" priority="5">
      <formula>E10&gt;=1</formula>
    </cfRule>
  </conditionalFormatting>
  <conditionalFormatting sqref="F10:F21">
    <cfRule type="expression" dxfId="3" priority="6">
      <formula>ISNUMBER(SEARCH("ACIMA",F10))</formula>
    </cfRule>
    <cfRule type="expression" dxfId="2" priority="7">
      <formula>ISNUMBER(SEARCH("ABAIXO",F10))</formula>
    </cfRule>
  </conditionalFormatting>
  <conditionalFormatting sqref="M6:N6">
    <cfRule type="expression" dxfId="1" priority="1">
      <formula>ISNUMBER(SEARCH("ACIMA",M6))</formula>
    </cfRule>
    <cfRule type="expression" dxfId="0" priority="2">
      <formula>ISNUMBER(SEARCH("ABAIXO",M6))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95F7F5-CB5E-4505-8890-DD68B13968EF}">
            <x14:dataBar minLength="0" maxLength="100" negativeBarColorSameAsPositive="1" axisPosition="none">
              <x14:cfvo type="min"/>
              <x14:cfvo type="max"/>
            </x14:dataBar>
          </x14:cfRule>
          <xm:sqref>C30:C41</xm:sqref>
        </x14:conditionalFormatting>
        <x14:conditionalFormatting xmlns:xm="http://schemas.microsoft.com/office/excel/2006/main">
          <x14:cfRule type="dataBar" id="{C40622D3-6361-4EA0-A7F3-4C4024DA41A0}">
            <x14:dataBar minLength="0" maxLength="100" negativeBarColorSameAsPositive="1" axisPosition="none">
              <x14:cfvo type="min"/>
              <x14:cfvo type="max"/>
            </x14:dataBar>
          </x14:cfRule>
          <xm:sqref>D30:D41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48</vt:i4>
      </vt:variant>
      <vt:variant>
        <vt:lpstr>Intervalos Nomeados</vt:lpstr>
      </vt:variant>
      <vt:variant>
        <vt:i4>20</vt:i4>
      </vt:variant>
    </vt:vector>
  </HeadingPairs>
  <TitlesOfParts>
    <vt:vector size="68" baseType="lpstr">
      <vt:lpstr>INSTRUÇÕES </vt:lpstr>
      <vt:lpstr>CAPA </vt:lpstr>
      <vt:lpstr>RANKING </vt:lpstr>
      <vt:lpstr>JANEIRO</vt:lpstr>
      <vt:lpstr>SEMANA JANEIRO</vt:lpstr>
      <vt:lpstr>GRAFICO JANEIRO</vt:lpstr>
      <vt:lpstr>FEVEREIRO</vt:lpstr>
      <vt:lpstr>SEMANA FEVEREIRO</vt:lpstr>
      <vt:lpstr>GRAFICO FEVEREIRO</vt:lpstr>
      <vt:lpstr>MARÇO</vt:lpstr>
      <vt:lpstr>SEMANA MARÇO</vt:lpstr>
      <vt:lpstr>GRAFICO MARÇO</vt:lpstr>
      <vt:lpstr>ABRIL</vt:lpstr>
      <vt:lpstr>SEMANA ABRIL</vt:lpstr>
      <vt:lpstr>GRAFICO ABRIL</vt:lpstr>
      <vt:lpstr>MAIO</vt:lpstr>
      <vt:lpstr>SEMANA MAIO</vt:lpstr>
      <vt:lpstr>GRAFICO MAIO</vt:lpstr>
      <vt:lpstr>JUNHO</vt:lpstr>
      <vt:lpstr>SEMANA JUNHO</vt:lpstr>
      <vt:lpstr>GRAFICO JUNHO</vt:lpstr>
      <vt:lpstr>JULHO</vt:lpstr>
      <vt:lpstr>SEMANA JULHO</vt:lpstr>
      <vt:lpstr>GRAFICO JULHO</vt:lpstr>
      <vt:lpstr>AGOSTO</vt:lpstr>
      <vt:lpstr>SEMANA AGOSTO</vt:lpstr>
      <vt:lpstr>GRAFICO AGOSTO</vt:lpstr>
      <vt:lpstr>SETEMBRO</vt:lpstr>
      <vt:lpstr>SEMANA SETEMBRO</vt:lpstr>
      <vt:lpstr>GRAFICO SETEMBRO</vt:lpstr>
      <vt:lpstr>OUTUBRO</vt:lpstr>
      <vt:lpstr>SEMANA OUTUBRO</vt:lpstr>
      <vt:lpstr>GRAFICO OUTUBRO</vt:lpstr>
      <vt:lpstr>NOVEMBRO</vt:lpstr>
      <vt:lpstr>SEMANA NOVEMBRO</vt:lpstr>
      <vt:lpstr>GRAFICO NOVEMBRO</vt:lpstr>
      <vt:lpstr>DEZEMBRO</vt:lpstr>
      <vt:lpstr>SEMANA DEZEMBRO</vt:lpstr>
      <vt:lpstr>GRAFICO DEZEMBRO</vt:lpstr>
      <vt:lpstr>Sheet</vt:lpstr>
      <vt:lpstr>GÁS</vt:lpstr>
      <vt:lpstr>CONFIG</vt:lpstr>
      <vt:lpstr>BASE_DADOS</vt:lpstr>
      <vt:lpstr>RESUMO_MENSAL</vt:lpstr>
      <vt:lpstr>CONFIG_PALLETS</vt:lpstr>
      <vt:lpstr>CONFIG_LISTAS</vt:lpstr>
      <vt:lpstr>DASHBOARD_EXEC</vt:lpstr>
      <vt:lpstr>DASHBOARD </vt:lpstr>
      <vt:lpstr>'CAPA '!EMB_600</vt:lpstr>
      <vt:lpstr>'DASHBOARD '!EMB_600</vt:lpstr>
      <vt:lpstr>'INSTRUÇÕES '!EMB_600</vt:lpstr>
      <vt:lpstr>'RANKING '!EMB_600</vt:lpstr>
      <vt:lpstr>EMB_600</vt:lpstr>
      <vt:lpstr>'CAPA '!EMB_COCO</vt:lpstr>
      <vt:lpstr>'DASHBOARD '!EMB_COCO</vt:lpstr>
      <vt:lpstr>'INSTRUÇÕES '!EMB_COCO</vt:lpstr>
      <vt:lpstr>'RANKING '!EMB_COCO</vt:lpstr>
      <vt:lpstr>EMB_COCO</vt:lpstr>
      <vt:lpstr>'CAPA '!EMB_CORANTE</vt:lpstr>
      <vt:lpstr>'DASHBOARD '!EMB_CORANTE</vt:lpstr>
      <vt:lpstr>'INSTRUÇÕES '!EMB_CORANTE</vt:lpstr>
      <vt:lpstr>'RANKING '!EMB_CORANTE</vt:lpstr>
      <vt:lpstr>EMB_CORANTE</vt:lpstr>
      <vt:lpstr>'CAPA '!EMB_TODAS</vt:lpstr>
      <vt:lpstr>'DASHBOARD '!EMB_TODAS</vt:lpstr>
      <vt:lpstr>'INSTRUÇÕES '!EMB_TODAS</vt:lpstr>
      <vt:lpstr>'RANKING '!EMB_TODAS</vt:lpstr>
      <vt:lpstr>EMB_TODAS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 - AIDU Smart Choice</cp:lastModifiedBy>
  <cp:revision>6</cp:revision>
  <dcterms:created xsi:type="dcterms:W3CDTF">2026-04-24T14:31:01Z</dcterms:created>
  <dcterms:modified xsi:type="dcterms:W3CDTF">2026-06-08T16:56:30Z</dcterms:modified>
  <dc:language>en-US</dc:language>
</cp:coreProperties>
</file>