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cas Ed\Downloads\"/>
    </mc:Choice>
  </mc:AlternateContent>
  <xr:revisionPtr revIDLastSave="0" documentId="13_ncr:1_{67E87F9E-912B-496E-A1C3-41DA6F4AABC6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INSTRUÇÕES" sheetId="4" r:id="rId1"/>
    <sheet name="RANKING" sheetId="2" r:id="rId2"/>
    <sheet name="LANÇAMENTO" sheetId="1" r:id="rId3"/>
    <sheet name="CONFIG" sheetId="5" r:id="rId4"/>
    <sheet name="DASHBOARD" sheetId="3" r:id="rId5"/>
  </sheets>
  <definedNames>
    <definedName name="_xlnm.Print_Area" localSheetId="3">CONFIG!$A$1:$F$27</definedName>
    <definedName name="_xlnm.Print_Area" localSheetId="4">DASHBOARD!$A$1:$H$20</definedName>
    <definedName name="_xlnm.Print_Area" localSheetId="0">INSTRUÇÕES!$A$1:$B$16</definedName>
    <definedName name="_xlnm.Print_Area" localSheetId="2">LANÇAMENTO!$A$1:$I$225</definedName>
    <definedName name="_xlnm.Print_Area" localSheetId="1">RANKING!$A$1:$F$31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1" l="1"/>
  <c r="I7" i="1"/>
  <c r="D18" i="2" s="1"/>
  <c r="I8" i="1"/>
  <c r="I9" i="1"/>
  <c r="I10" i="1"/>
  <c r="I11" i="1"/>
  <c r="I12" i="1"/>
  <c r="D24" i="2" s="1"/>
  <c r="I13" i="1"/>
  <c r="C11" i="3" s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5" i="1"/>
  <c r="F5" i="5"/>
  <c r="F4" i="5"/>
  <c r="H13" i="3"/>
  <c r="G13" i="3"/>
  <c r="H12" i="3"/>
  <c r="D27" i="2"/>
  <c r="D26" i="2"/>
  <c r="C26" i="2"/>
  <c r="D25" i="2"/>
  <c r="C25" i="2"/>
  <c r="E26" i="2" s="1"/>
  <c r="D19" i="2"/>
  <c r="C19" i="2"/>
  <c r="J6" i="2"/>
  <c r="J5" i="2"/>
  <c r="I5" i="2"/>
  <c r="K5" i="2" s="1"/>
  <c r="F225" i="1"/>
  <c r="I225" i="1" s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5" i="3"/>
  <c r="H13" i="1"/>
  <c r="G15" i="3" s="1"/>
  <c r="G13" i="1"/>
  <c r="H12" i="1"/>
  <c r="G12" i="1"/>
  <c r="D20" i="2"/>
  <c r="H11" i="1"/>
  <c r="G11" i="1"/>
  <c r="H10" i="1"/>
  <c r="G10" i="1"/>
  <c r="J3" i="2"/>
  <c r="H9" i="1"/>
  <c r="C21" i="2" s="1"/>
  <c r="G9" i="1"/>
  <c r="H8" i="1"/>
  <c r="G8" i="1"/>
  <c r="H7" i="1"/>
  <c r="B11" i="3" s="1"/>
  <c r="G7" i="1"/>
  <c r="H11" i="3"/>
  <c r="H6" i="1"/>
  <c r="G6" i="1"/>
  <c r="D16" i="2"/>
  <c r="H5" i="1"/>
  <c r="C17" i="2" s="1"/>
  <c r="G5" i="1"/>
  <c r="C20" i="2" l="1"/>
  <c r="G11" i="3"/>
  <c r="C24" i="2"/>
  <c r="C18" i="2"/>
  <c r="C30" i="2"/>
  <c r="D30" i="2"/>
  <c r="C5" i="3"/>
  <c r="I2" i="2"/>
  <c r="I6" i="2"/>
  <c r="K6" i="2" s="1"/>
  <c r="D17" i="2"/>
  <c r="D21" i="2"/>
  <c r="C22" i="2"/>
  <c r="E22" i="2" s="1"/>
  <c r="J2" i="2"/>
  <c r="D22" i="2"/>
  <c r="C27" i="2"/>
  <c r="E5" i="3"/>
  <c r="G12" i="3"/>
  <c r="I3" i="2"/>
  <c r="K3" i="2" s="1"/>
  <c r="G5" i="3"/>
  <c r="C23" i="2"/>
  <c r="E24" i="2" s="1"/>
  <c r="C28" i="2"/>
  <c r="B10" i="3"/>
  <c r="J4" i="2"/>
  <c r="D23" i="2"/>
  <c r="D28" i="2"/>
  <c r="C10" i="3"/>
  <c r="I4" i="2"/>
  <c r="K4" i="2" s="1"/>
  <c r="G14" i="3"/>
  <c r="C29" i="2"/>
  <c r="G10" i="3"/>
  <c r="H14" i="3"/>
  <c r="D29" i="2"/>
  <c r="H10" i="3"/>
  <c r="I7" i="2"/>
  <c r="K7" i="2" s="1"/>
  <c r="C16" i="2"/>
  <c r="H225" i="1"/>
  <c r="J7" i="2"/>
  <c r="E30" i="2" l="1"/>
  <c r="E28" i="2"/>
  <c r="H13" i="2"/>
  <c r="K2" i="2"/>
  <c r="D11" i="3"/>
  <c r="D10" i="3"/>
  <c r="A5" i="3"/>
  <c r="E20" i="2"/>
  <c r="E19" i="2"/>
  <c r="E18" i="2"/>
  <c r="E17" i="2"/>
  <c r="C5" i="2" l="1"/>
  <c r="D5" i="2" s="1"/>
  <c r="E9" i="2"/>
  <c r="E6" i="2"/>
  <c r="B5" i="2"/>
  <c r="C6" i="2"/>
  <c r="C9" i="2"/>
  <c r="B9" i="2"/>
  <c r="C7" i="2"/>
  <c r="B6" i="2"/>
  <c r="E8" i="2"/>
  <c r="B7" i="2"/>
  <c r="E7" i="2"/>
  <c r="E10" i="2"/>
  <c r="C8" i="2"/>
  <c r="C10" i="2"/>
  <c r="B8" i="2"/>
  <c r="E5" i="2"/>
  <c r="B10" i="2"/>
  <c r="D10" i="2"/>
  <c r="D8" i="2"/>
  <c r="F7" i="2" l="1"/>
  <c r="A7" i="2"/>
  <c r="F9" i="2"/>
  <c r="A9" i="2"/>
  <c r="F6" i="2"/>
  <c r="A6" i="2"/>
  <c r="D7" i="2"/>
  <c r="D6" i="2"/>
  <c r="D9" i="2"/>
  <c r="E11" i="2"/>
  <c r="F10" i="2"/>
  <c r="A10" i="2"/>
  <c r="F8" i="2"/>
  <c r="A8" i="2"/>
  <c r="A5" i="2"/>
  <c r="C11" i="2"/>
  <c r="F5" i="2"/>
</calcChain>
</file>

<file path=xl/sharedStrings.xml><?xml version="1.0" encoding="utf-8"?>
<sst xmlns="http://schemas.openxmlformats.org/spreadsheetml/2006/main" count="203" uniqueCount="105">
  <si>
    <t>PROGRAMAÇÃO DE PRODUÇÃO — BOMBONAS</t>
  </si>
  <si>
    <t>Lançamento de produção • Linha líquida (25L azul / 5L branca) • AIDU 2026</t>
  </si>
  <si>
    <t>DATA</t>
  </si>
  <si>
    <t>GRUPO</t>
  </si>
  <si>
    <t>CLIENTE</t>
  </si>
  <si>
    <t>PRODUTO</t>
  </si>
  <si>
    <t>EMBALAGEM</t>
  </si>
  <si>
    <t>QTDE</t>
  </si>
  <si>
    <t>UNID</t>
  </si>
  <si>
    <t>KG</t>
  </si>
  <si>
    <t>PALLETS</t>
  </si>
  <si>
    <t>MATEUS</t>
  </si>
  <si>
    <t>MATEUS - DAVINÓPOLIS</t>
  </si>
  <si>
    <t>AL 10 CONSERVANTE</t>
  </si>
  <si>
    <t>25L</t>
  </si>
  <si>
    <t>OL 40 DESMOLDANTE</t>
  </si>
  <si>
    <t>PURATOS</t>
  </si>
  <si>
    <t>PURATOS BRASIL LTDA</t>
  </si>
  <si>
    <t>DESMOLDANTE DESTAK</t>
  </si>
  <si>
    <t>5L</t>
  </si>
  <si>
    <t>MATEUS - SÃO LUÍS</t>
  </si>
  <si>
    <t>INDIPAN</t>
  </si>
  <si>
    <t>IN LOCO FOODS</t>
  </si>
  <si>
    <t>UNTA FACIL</t>
  </si>
  <si>
    <t>MATEUS - IMPERATRIZ</t>
  </si>
  <si>
    <t>PÃO DE MILHO</t>
  </si>
  <si>
    <t>TOTAL</t>
  </si>
  <si>
    <t>RANKING DE PRODUÇÃO POR GRUPO</t>
  </si>
  <si>
    <t>AUX</t>
  </si>
  <si>
    <t>Acumulado do ano • KG produzido • Grupos consolidados (todos os estados somados)</t>
  </si>
  <si>
    <t>#</t>
  </si>
  <si>
    <t>KG PRODUZIDO</t>
  </si>
  <si>
    <t>% DO TOTAL</t>
  </si>
  <si>
    <t>POSIÇÃO</t>
  </si>
  <si>
    <t>FELIPE MARANGONI</t>
  </si>
  <si>
    <t>TOTAL GERAL</t>
  </si>
  <si>
    <t>QUEBRA POR CLIENTE  •  detalhe dentro de cada grupo</t>
  </si>
  <si>
    <t>% DO GRUPO</t>
  </si>
  <si>
    <t xml:space="preserve">    » MATEUS - DAVINÓPOLIS</t>
  </si>
  <si>
    <t xml:space="preserve">    » MATEUS - SÃO LUÍS</t>
  </si>
  <si>
    <t xml:space="preserve">    » MATEUS - SANTA ISABEL PARÁ</t>
  </si>
  <si>
    <t xml:space="preserve">    » MATEUS - IMPERATRIZ</t>
  </si>
  <si>
    <t xml:space="preserve">    » INDIPAN</t>
  </si>
  <si>
    <t xml:space="preserve">    » PÃO DE MILHO</t>
  </si>
  <si>
    <t xml:space="preserve">    » FELIPE MARANGONI - PAES NATURALLIS</t>
  </si>
  <si>
    <t xml:space="preserve">    » PURATOS BRASIL LTDA</t>
  </si>
  <si>
    <t xml:space="preserve">    » IN LOCO FOODS</t>
  </si>
  <si>
    <t>DASHBOARD — PRODUÇÃO DE BOMBONAS 2026</t>
  </si>
  <si>
    <t>Resumo executivo • atualiza automático a partir da aba LANÇAMENTO</t>
  </si>
  <si>
    <t>KG TOTAL PRODUZIDO</t>
  </si>
  <si>
    <t>PALLETS TOTAIS</t>
  </si>
  <si>
    <t>KG EM 25L (AZUL)</t>
  </si>
  <si>
    <t>KG EM 5L (BRANCA)</t>
  </si>
  <si>
    <t>PRODUÇÃO POR EMBALAGEM</t>
  </si>
  <si>
    <t>PRODUÇÃO POR PRODUTO</t>
  </si>
  <si>
    <t>% KG</t>
  </si>
  <si>
    <t>ANTIMOFO</t>
  </si>
  <si>
    <t>DOURATTO</t>
  </si>
  <si>
    <t>ONDE LANÇAR</t>
  </si>
  <si>
    <t>Aba LANÇAMENTO. É a única que você mexe.</t>
  </si>
  <si>
    <t>O que preencher</t>
  </si>
  <si>
    <t>DATA • GRUPO • CLIENTE • PRODUTO • EMBALAGEM • QTDE</t>
  </si>
  <si>
    <t>O que é automático</t>
  </si>
  <si>
    <t>UNID • KG • PALLETS (calculam sozinhos)</t>
  </si>
  <si>
    <t>REGRA 25L (azul)</t>
  </si>
  <si>
    <t>Lança em BOMBONAS. 1 bb = 25 kg • 30 bb por pallet • 750 kg/pallet</t>
  </si>
  <si>
    <t>REGRA 5L (branca)</t>
  </si>
  <si>
    <t>Lança em CAIXAS. 1 cx = 2 bb = 10 kg • 60 cx por pallet • 600 kg/pallet</t>
  </si>
  <si>
    <t>RANKING</t>
  </si>
  <si>
    <t>Por GRUPO de cliente (KG). MATEUS soma todos os estados.</t>
  </si>
  <si>
    <t>Quebra</t>
  </si>
  <si>
    <t>Embaixo do ranking, cada grupo abre por cliente/estado.</t>
  </si>
  <si>
    <t>DASHBOARD</t>
  </si>
  <si>
    <t>Total geral, split 25L x 5L e produção por produto. Atualiza só.</t>
  </si>
  <si>
    <t>⚠ NÃO apagar linhas</t>
  </si>
  <si>
    <t>Quebra as fórmulas de soma.</t>
  </si>
  <si>
    <t>⚠ Editar valores</t>
  </si>
  <si>
    <t>Pesos e pallets ficam na aba CONFIG (campos azuis).</t>
  </si>
  <si>
    <t>Produtos/Clientes</t>
  </si>
  <si>
    <t>Cadastrados na CONFIG e aparecem nos menus suspensos.</t>
  </si>
  <si>
    <t>MOTOR DE CÁLCULO  •  NÃO EDITAR (exceto valores de embalagem)</t>
  </si>
  <si>
    <t>UNIDADE</t>
  </si>
  <si>
    <t>KG / UNIDADE</t>
  </si>
  <si>
    <t>UN / PALLET</t>
  </si>
  <si>
    <t>BOMBONA</t>
  </si>
  <si>
    <t>KG / PALLET</t>
  </si>
  <si>
    <t>BB</t>
  </si>
  <si>
    <t>AZUL</t>
  </si>
  <si>
    <t>CX</t>
  </si>
  <si>
    <t>BRANCA</t>
  </si>
  <si>
    <t>Obs.: 5L → 2 bombonas por caixa (5L × 2 = 10 kg/cx).</t>
  </si>
  <si>
    <t>CLIENTES (GRUPO / NOME)</t>
  </si>
  <si>
    <t>GRUPOS</t>
  </si>
  <si>
    <t>MATEUS - SANTA ISABEL PARÁ</t>
  </si>
  <si>
    <t>FELIPE MARANGONI - PAES NATURALLIS</t>
  </si>
  <si>
    <t>PRODUTOS</t>
  </si>
  <si>
    <t>EMBALAGENS</t>
  </si>
  <si>
    <t>EXCEÇÃO DE PALLET POR CLIENTE</t>
  </si>
  <si>
    <t>CX / PALLET</t>
  </si>
  <si>
    <t>OBS</t>
  </si>
  <si>
    <t>19 cx/fileira × 4 de alto</t>
  </si>
  <si>
    <t xml:space="preserve">          COMO USAR  •  Produção de Bombonas</t>
  </si>
  <si>
    <t>REGRAS DE EMBALAGEM</t>
  </si>
  <si>
    <t>ANÁLISES</t>
  </si>
  <si>
    <t>AVISOS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</si>
</sst>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kg&quot;;;\-"/>
    <numFmt numFmtId="165" formatCode="#,##0;;\-"/>
    <numFmt numFmtId="166" formatCode="#,##0&quot; kg&quot;"/>
    <numFmt numFmtId="167" formatCode="0.0%"/>
    <numFmt numFmtId="168" formatCode="m/d/yyyy"/>
  </numFmts>
  <fonts count="22" x14ac:knownFonts="1">
    <font>
      <sz val="11"/>
      <color theme="1"/>
      <name val="Calibri"/>
      <family val="2"/>
      <charset val="1"/>
    </font>
    <font>
      <b/>
      <sz val="17"/>
      <color rgb="FFFFFFFF"/>
      <name val="Arial"/>
      <family val="2"/>
    </font>
    <font>
      <sz val="9"/>
      <color rgb="FFC9D9EA"/>
      <name val="Arial"/>
      <family val="2"/>
    </font>
    <font>
      <b/>
      <sz val="9"/>
      <color rgb="FFFFFFFF"/>
      <name val="Arial"/>
      <family val="2"/>
    </font>
    <font>
      <sz val="9"/>
      <color rgb="FF1F2A37"/>
      <name val="Arial"/>
      <family val="2"/>
    </font>
    <font>
      <b/>
      <sz val="9"/>
      <color rgb="FF1F2A37"/>
      <name val="Arial"/>
      <family val="2"/>
    </font>
    <font>
      <b/>
      <sz val="10"/>
      <color rgb="FFFFFFFF"/>
      <name val="Arial"/>
      <family val="2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2A37"/>
      <name val="Arial"/>
      <family val="2"/>
    </font>
    <font>
      <sz val="10"/>
      <color rgb="FF1F2A37"/>
      <name val="Arial"/>
      <family val="2"/>
    </font>
    <font>
      <b/>
      <sz val="16"/>
      <color rgb="FFFFFFFF"/>
      <name val="Arial"/>
      <family val="2"/>
    </font>
    <font>
      <b/>
      <sz val="20"/>
      <color rgb="FF1F2A37"/>
      <name val="Arial"/>
      <family val="2"/>
    </font>
    <font>
      <b/>
      <sz val="14"/>
      <color rgb="FFFFFFFF"/>
      <name val="Arial"/>
      <family val="2"/>
    </font>
    <font>
      <b/>
      <sz val="10"/>
      <color rgb="FFC7610C"/>
      <name val="Arial"/>
      <family val="2"/>
    </font>
    <font>
      <b/>
      <sz val="10"/>
      <color rgb="FF2563EB"/>
      <name val="Arial"/>
      <family val="2"/>
    </font>
    <font>
      <sz val="10"/>
      <color rgb="FF0000FF"/>
      <name val="Arial"/>
      <family val="2"/>
    </font>
    <font>
      <b/>
      <sz val="10"/>
      <color rgb="FF475569"/>
      <name val="Arial"/>
      <family val="2"/>
    </font>
    <font>
      <sz val="8"/>
      <color rgb="FF5B6B7B"/>
      <name val="Arial"/>
      <family val="2"/>
    </font>
    <font>
      <b/>
      <sz val="9"/>
      <color rgb="FFC7610C"/>
      <name val="Arial"/>
      <family val="2"/>
    </font>
    <font>
      <b/>
      <sz val="9"/>
      <color rgb="FF2563EB"/>
      <name val="Arial"/>
      <family val="2"/>
    </font>
    <font>
      <b/>
      <sz val="9"/>
      <color rgb="FF47556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7314D"/>
        <bgColor rgb="FF1F2A37"/>
      </patternFill>
    </fill>
    <fill>
      <patternFill patternType="solid">
        <fgColor rgb="FFED7D1A"/>
        <bgColor rgb="FFC7610C"/>
      </patternFill>
    </fill>
    <fill>
      <patternFill patternType="solid">
        <fgColor rgb="FF0F2238"/>
        <bgColor rgb="FF1F2A37"/>
      </patternFill>
    </fill>
    <fill>
      <patternFill patternType="solid">
        <fgColor rgb="FFF4F6F9"/>
        <bgColor rgb="FFE9EEF3"/>
      </patternFill>
    </fill>
    <fill>
      <patternFill patternType="solid">
        <fgColor rgb="FFC8A024"/>
        <bgColor rgb="FFED7D1A"/>
      </patternFill>
    </fill>
    <fill>
      <patternFill patternType="solid">
        <fgColor rgb="FF9AA3AB"/>
        <bgColor rgb="FF9999FF"/>
      </patternFill>
    </fill>
    <fill>
      <patternFill patternType="solid">
        <fgColor rgb="FFB0712F"/>
        <bgColor rgb="FFC7610C"/>
      </patternFill>
    </fill>
    <fill>
      <patternFill patternType="solid">
        <fgColor rgb="FF2563EB"/>
        <bgColor rgb="FF0066CC"/>
      </patternFill>
    </fill>
    <fill>
      <patternFill patternType="solid">
        <fgColor rgb="FF475569"/>
        <bgColor rgb="FF5B6B7B"/>
      </patternFill>
    </fill>
    <fill>
      <patternFill patternType="solid">
        <fgColor rgb="FFDBEAFE"/>
        <bgColor rgb="FFE9EEF3"/>
      </patternFill>
    </fill>
    <fill>
      <patternFill patternType="solid">
        <fgColor rgb="FFE9EEF3"/>
        <bgColor rgb="FFF4F6F9"/>
      </patternFill>
    </fill>
    <fill>
      <patternFill patternType="solid">
        <fgColor rgb="FFED7D1A"/>
        <bgColor indexed="64"/>
      </patternFill>
    </fill>
    <fill>
      <patternFill patternType="solid">
        <fgColor rgb="FF17314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ED7D1A"/>
      </bottom>
      <diagonal/>
    </border>
    <border>
      <left style="thin">
        <color rgb="FFC9D4DF"/>
      </left>
      <right style="thin">
        <color rgb="FFC9D4DF"/>
      </right>
      <top style="thin">
        <color rgb="FFC9D4DF"/>
      </top>
      <bottom style="thin">
        <color rgb="FFC9D4DF"/>
      </bottom>
      <diagonal/>
    </border>
    <border>
      <left/>
      <right/>
      <top/>
      <bottom style="medium">
        <color rgb="FFC8A0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4" fontId="4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6" fontId="6" fillId="2" borderId="2" xfId="0" applyNumberFormat="1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166" fontId="9" fillId="0" borderId="2" xfId="0" applyNumberFormat="1" applyFont="1" applyBorder="1" applyAlignment="1">
      <alignment horizontal="center" vertical="center" wrapText="1"/>
    </xf>
    <xf numFmtId="167" fontId="9" fillId="0" borderId="2" xfId="0" applyNumberFormat="1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 vertical="center" wrapText="1"/>
    </xf>
    <xf numFmtId="167" fontId="10" fillId="0" borderId="2" xfId="0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166" fontId="9" fillId="5" borderId="2" xfId="0" applyNumberFormat="1" applyFont="1" applyFill="1" applyBorder="1" applyAlignment="1">
      <alignment horizontal="center" vertical="center" wrapText="1"/>
    </xf>
    <xf numFmtId="3" fontId="9" fillId="5" borderId="2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8" fontId="4" fillId="0" borderId="2" xfId="0" applyNumberFormat="1" applyFont="1" applyBorder="1" applyAlignment="1">
      <alignment horizontal="center" vertical="center" wrapText="1"/>
    </xf>
    <xf numFmtId="0" fontId="3" fillId="13" borderId="0" xfId="0" applyFont="1" applyFill="1" applyAlignment="1">
      <alignment horizontal="left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/>
    </xf>
    <xf numFmtId="0" fontId="4" fillId="0" borderId="0" xfId="0" applyFont="1"/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4" xfId="0" applyBorder="1"/>
    <xf numFmtId="0" fontId="6" fillId="14" borderId="4" xfId="0" applyFont="1" applyFill="1" applyBorder="1" applyAlignment="1">
      <alignment horizontal="left"/>
    </xf>
    <xf numFmtId="0" fontId="0" fillId="14" borderId="4" xfId="0" applyFill="1" applyBorder="1"/>
    <xf numFmtId="0" fontId="14" fillId="0" borderId="4" xfId="0" applyFont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/>
    </xf>
    <xf numFmtId="0" fontId="0" fillId="13" borderId="4" xfId="0" applyFill="1" applyBorder="1"/>
    <xf numFmtId="0" fontId="10" fillId="0" borderId="4" xfId="0" applyFont="1" applyBorder="1" applyAlignment="1">
      <alignment horizontal="left" vertical="center" wrapText="1"/>
    </xf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167" fontId="4" fillId="0" borderId="2" xfId="0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8" fillId="0" borderId="0" xfId="0" applyFont="1"/>
    <xf numFmtId="0" fontId="3" fillId="3" borderId="0" xfId="0" applyFont="1" applyFill="1"/>
    <xf numFmtId="166" fontId="12" fillId="5" borderId="2" xfId="0" applyNumberFormat="1" applyFont="1" applyFill="1" applyBorder="1" applyAlignment="1">
      <alignment horizontal="center" vertical="center" wrapText="1"/>
    </xf>
    <xf numFmtId="3" fontId="12" fillId="5" borderId="2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12F"/>
      <rgbColor rgb="FF800080"/>
      <rgbColor rgb="FF008080"/>
      <rgbColor rgb="FFC9D4DF"/>
      <rgbColor rgb="FF808080"/>
      <rgbColor rgb="FF9999FF"/>
      <rgbColor rgb="FF993366"/>
      <rgbColor rgb="FFF4F6F9"/>
      <rgbColor rgb="FFDBEAFE"/>
      <rgbColor rgb="FF660066"/>
      <rgbColor rgb="FFFF8080"/>
      <rgbColor rgb="FF0066CC"/>
      <rgbColor rgb="FFC9D9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EF3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C8A024"/>
      <rgbColor rgb="FFED7D1A"/>
      <rgbColor rgb="FF5B6B7B"/>
      <rgbColor rgb="FF9AA3AB"/>
      <rgbColor rgb="FF17314D"/>
      <rgbColor rgb="FF339966"/>
      <rgbColor rgb="FF0F2238"/>
      <rgbColor rgb="FF333300"/>
      <rgbColor rgb="FFC7610C"/>
      <rgbColor rgb="FF993366"/>
      <rgbColor rgb="FF475569"/>
      <rgbColor rgb="FF1F2A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205740</xdr:colOff>
      <xdr:row>0</xdr:row>
      <xdr:rowOff>76200</xdr:rowOff>
    </xdr:from>
    <xdr:to>
      <xdr:col>5</xdr:col>
      <xdr:colOff>552240</xdr:colOff>
      <xdr:row>1</xdr:row>
      <xdr:rowOff>129540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xfrm>
          <a:off x="5966460" y="76200"/>
          <a:ext cx="346500" cy="3733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53340</xdr:rowOff>
    </xdr:from>
    <xdr:to>
      <xdr:col>0</xdr:col>
      <xdr:colOff>609600</xdr:colOff>
      <xdr:row>1</xdr:row>
      <xdr:rowOff>144780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xfrm>
          <a:off x="114300" y="53340"/>
          <a:ext cx="495300" cy="472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0</xdr:row>
      <xdr:rowOff>38100</xdr:rowOff>
    </xdr:from>
    <xdr:to>
      <xdr:col>7</xdr:col>
      <xdr:colOff>727500</xdr:colOff>
      <xdr:row>1</xdr:row>
      <xdr:rowOff>121920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339840" y="38100"/>
          <a:ext cx="422700" cy="4343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B9F95E-ED5A-4933-8D8B-A0B52573BABD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03b0b0fa-f34c-4394-814c-348ebd3e84c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6B7B"/>
    <pageSetUpPr fitToPage="1"/>
  </sheetPr>
  <dimension ref="A1:C16"/>
  <sheetViews>
    <sheetView showGridLines="0" zoomScaleNormal="100" workbookViewId="0">
      <selection activeCell="G31" sqref="G31"/>
    </sheetView>
  </sheetViews>
  <sheetFormatPr defaultColWidth="8.6640625" defaultRowHeight="14.4" x14ac:dyDescent="0.3"/>
  <cols>
    <col min="1" max="1" width="29.6640625" customWidth="1"/>
    <col min="2" max="2" width="84.88671875" customWidth="1"/>
  </cols>
  <sheetData>
    <row r="1" spans="1:3" ht="42" customHeight="1" x14ac:dyDescent="0.3">
      <c r="A1" s="66" t="s">
        <v>101</v>
      </c>
      <c r="B1" s="66"/>
    </row>
    <row r="2" spans="1:3" x14ac:dyDescent="0.3">
      <c r="A2" s="56" t="s">
        <v>58</v>
      </c>
      <c r="B2" s="57"/>
    </row>
    <row r="3" spans="1:3" ht="15" customHeight="1" x14ac:dyDescent="0.3">
      <c r="A3" s="58" t="s">
        <v>58</v>
      </c>
      <c r="B3" s="61" t="s">
        <v>59</v>
      </c>
    </row>
    <row r="4" spans="1:3" ht="15" customHeight="1" x14ac:dyDescent="0.3">
      <c r="A4" s="58" t="s">
        <v>60</v>
      </c>
      <c r="B4" s="61" t="s">
        <v>61</v>
      </c>
    </row>
    <row r="5" spans="1:3" ht="15" customHeight="1" x14ac:dyDescent="0.3">
      <c r="A5" s="58" t="s">
        <v>62</v>
      </c>
      <c r="B5" s="61" t="s">
        <v>63</v>
      </c>
      <c r="C5" s="55"/>
    </row>
    <row r="6" spans="1:3" x14ac:dyDescent="0.3">
      <c r="A6" s="56" t="s">
        <v>102</v>
      </c>
      <c r="B6" s="57"/>
    </row>
    <row r="7" spans="1:3" ht="15" customHeight="1" x14ac:dyDescent="0.3">
      <c r="A7" s="58" t="s">
        <v>64</v>
      </c>
      <c r="B7" s="61" t="s">
        <v>65</v>
      </c>
    </row>
    <row r="8" spans="1:3" ht="15" customHeight="1" x14ac:dyDescent="0.3">
      <c r="A8" s="58" t="s">
        <v>66</v>
      </c>
      <c r="B8" s="61" t="s">
        <v>67</v>
      </c>
    </row>
    <row r="9" spans="1:3" x14ac:dyDescent="0.3">
      <c r="A9" s="56" t="s">
        <v>103</v>
      </c>
      <c r="B9" s="57"/>
    </row>
    <row r="10" spans="1:3" ht="15" customHeight="1" x14ac:dyDescent="0.3">
      <c r="A10" s="58" t="s">
        <v>68</v>
      </c>
      <c r="B10" s="61" t="s">
        <v>69</v>
      </c>
    </row>
    <row r="11" spans="1:3" ht="15" customHeight="1" x14ac:dyDescent="0.3">
      <c r="A11" s="58" t="s">
        <v>70</v>
      </c>
      <c r="B11" s="61" t="s">
        <v>71</v>
      </c>
    </row>
    <row r="12" spans="1:3" ht="15" customHeight="1" x14ac:dyDescent="0.3">
      <c r="A12" s="58" t="s">
        <v>72</v>
      </c>
      <c r="B12" s="61" t="s">
        <v>73</v>
      </c>
    </row>
    <row r="13" spans="1:3" x14ac:dyDescent="0.3">
      <c r="A13" s="59" t="s">
        <v>104</v>
      </c>
      <c r="B13" s="60"/>
    </row>
    <row r="14" spans="1:3" ht="15" customHeight="1" x14ac:dyDescent="0.3">
      <c r="A14" s="58" t="s">
        <v>74</v>
      </c>
      <c r="B14" s="61" t="s">
        <v>75</v>
      </c>
    </row>
    <row r="15" spans="1:3" ht="15" customHeight="1" x14ac:dyDescent="0.3">
      <c r="A15" s="58" t="s">
        <v>76</v>
      </c>
      <c r="B15" s="61" t="s">
        <v>77</v>
      </c>
    </row>
    <row r="16" spans="1:3" ht="15" customHeight="1" x14ac:dyDescent="0.3">
      <c r="A16" s="58" t="s">
        <v>78</v>
      </c>
      <c r="B16" s="61" t="s">
        <v>79</v>
      </c>
    </row>
  </sheetData>
  <mergeCells count="1">
    <mergeCell ref="A1:B1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024"/>
    <pageSetUpPr fitToPage="1"/>
  </sheetPr>
  <dimension ref="A1:K30"/>
  <sheetViews>
    <sheetView showGridLines="0" zoomScaleNormal="100" workbookViewId="0">
      <selection activeCell="M3" sqref="M3"/>
    </sheetView>
  </sheetViews>
  <sheetFormatPr defaultColWidth="8.6640625" defaultRowHeight="14.4" x14ac:dyDescent="0.3"/>
  <cols>
    <col min="1" max="1" width="20" customWidth="1"/>
    <col min="2" max="2" width="30" customWidth="1"/>
    <col min="3" max="3" width="15" customWidth="1"/>
    <col min="4" max="4" width="11" customWidth="1"/>
    <col min="5" max="5" width="8" customWidth="1"/>
    <col min="6" max="6" width="9" customWidth="1"/>
    <col min="8" max="11" width="13" hidden="1" customWidth="1"/>
  </cols>
  <sheetData>
    <row r="1" spans="1:11" ht="25.5" customHeight="1" x14ac:dyDescent="0.3">
      <c r="A1" s="69" t="s">
        <v>27</v>
      </c>
      <c r="B1" s="69"/>
      <c r="C1" s="69"/>
      <c r="D1" s="69"/>
      <c r="E1" s="69"/>
      <c r="F1" s="69"/>
      <c r="H1" t="s">
        <v>28</v>
      </c>
    </row>
    <row r="2" spans="1:11" ht="15" customHeight="1" x14ac:dyDescent="0.3">
      <c r="A2" s="70" t="s">
        <v>29</v>
      </c>
      <c r="B2" s="70"/>
      <c r="C2" s="70"/>
      <c r="D2" s="70"/>
      <c r="E2" s="70"/>
      <c r="F2" s="70"/>
      <c r="H2" t="s">
        <v>11</v>
      </c>
      <c r="I2">
        <f>SUMIFS(LANÇAMENTO!$H$5:$H$224,LANÇAMENTO!$B$5:$B$224,$H2)</f>
        <v>3375</v>
      </c>
      <c r="J2">
        <f>SUMIFS(LANÇAMENTO!$I$5:$I$224,LANÇAMENTO!$B$5:$B$224,$H2)</f>
        <v>5</v>
      </c>
      <c r="K2">
        <f t="shared" ref="K2:K7" si="0">$I2+(ROW()/100000)</f>
        <v>3375.0000199999999</v>
      </c>
    </row>
    <row r="3" spans="1:11" x14ac:dyDescent="0.3">
      <c r="H3" t="s">
        <v>21</v>
      </c>
      <c r="I3">
        <f>SUMIFS(LANÇAMENTO!$H$5:$H$224,LANÇAMENTO!$B$5:$B$224,$H3)</f>
        <v>375</v>
      </c>
      <c r="J3">
        <f>SUMIFS(LANÇAMENTO!$I$5:$I$224,LANÇAMENTO!$B$5:$B$224,$H3)</f>
        <v>1</v>
      </c>
      <c r="K3">
        <f t="shared" si="0"/>
        <v>375.00002999999998</v>
      </c>
    </row>
    <row r="4" spans="1:11" ht="19.5" customHeight="1" x14ac:dyDescent="0.3">
      <c r="A4" s="20" t="s">
        <v>30</v>
      </c>
      <c r="B4" s="20" t="s">
        <v>3</v>
      </c>
      <c r="C4" s="20" t="s">
        <v>31</v>
      </c>
      <c r="D4" s="20" t="s">
        <v>32</v>
      </c>
      <c r="E4" s="20" t="s">
        <v>10</v>
      </c>
      <c r="F4" s="20" t="s">
        <v>33</v>
      </c>
      <c r="H4" t="s">
        <v>25</v>
      </c>
      <c r="I4">
        <f>SUMIFS(LANÇAMENTO!$H$5:$H$224,LANÇAMENTO!$B$5:$B$224,$H4)</f>
        <v>500</v>
      </c>
      <c r="J4">
        <f>SUMIFS(LANÇAMENTO!$I$5:$I$224,LANÇAMENTO!$B$5:$B$224,$H4)</f>
        <v>1</v>
      </c>
      <c r="K4">
        <f t="shared" si="0"/>
        <v>500.00004000000001</v>
      </c>
    </row>
    <row r="5" spans="1:11" ht="26.4" x14ac:dyDescent="0.3">
      <c r="A5" s="21">
        <f>IF($C5=0,"",1)</f>
        <v>1</v>
      </c>
      <c r="B5" s="22" t="str">
        <f>INDEX($H$2:$H$7,MATCH(LARGE($K$2:$K$7,1),$K$2:$K$7,0))</f>
        <v>MATEUS</v>
      </c>
      <c r="C5" s="23">
        <f>INDEX($I$2:$I$7,MATCH(LARGE($K$2:$K$7,1),$K$2:$K$7,0))</f>
        <v>3375</v>
      </c>
      <c r="D5" s="24">
        <f t="shared" ref="D5:D10" si="1">IF($H$13=0,0,$C5/$H$13)</f>
        <v>0.54347826086956519</v>
      </c>
      <c r="E5" s="25">
        <f>INDEX($J$2:$J$7,MATCH(LARGE($K$2:$K$7,1),$K$2:$K$7,0))</f>
        <v>5</v>
      </c>
      <c r="F5" s="26" t="str">
        <f>IF($C5=0,"—","🥇 1º lugar")</f>
        <v>🥇 1º lugar</v>
      </c>
      <c r="H5" t="s">
        <v>34</v>
      </c>
      <c r="I5">
        <f>SUMIFS(LANÇAMENTO!$H$5:$H$224,LANÇAMENTO!$B$5:$B$224,$H5)</f>
        <v>0</v>
      </c>
      <c r="J5">
        <f>SUMIFS(LANÇAMENTO!$I$5:$I$224,LANÇAMENTO!$B$5:$B$224,$H5)</f>
        <v>0</v>
      </c>
      <c r="K5">
        <f t="shared" si="0"/>
        <v>5.0000000000000002E-5</v>
      </c>
    </row>
    <row r="6" spans="1:11" ht="26.4" x14ac:dyDescent="0.3">
      <c r="A6" s="27">
        <f>IF($C6=0,"",2)</f>
        <v>2</v>
      </c>
      <c r="B6" s="22" t="str">
        <f>INDEX($H$2:$H$7,MATCH(LARGE($K$2:$K$7,2),$K$2:$K$7,0))</f>
        <v>IN LOCO FOODS</v>
      </c>
      <c r="C6" s="23">
        <f>INDEX($I$2:$I$7,MATCH(LARGE($K$2:$K$7,2),$K$2:$K$7,0))</f>
        <v>1360</v>
      </c>
      <c r="D6" s="24">
        <f t="shared" si="1"/>
        <v>0.21900161030595813</v>
      </c>
      <c r="E6" s="25">
        <f>INDEX($J$2:$J$7,MATCH(LARGE($K$2:$K$7,2),$K$2:$K$7,0))</f>
        <v>2</v>
      </c>
      <c r="F6" s="26" t="str">
        <f>IF($C6=0,"—","🥈 2º lugar")</f>
        <v>🥈 2º lugar</v>
      </c>
      <c r="H6" t="s">
        <v>16</v>
      </c>
      <c r="I6">
        <f>SUMIFS(LANÇAMENTO!$H$5:$H$224,LANÇAMENTO!$B$5:$B$224,$H6)</f>
        <v>600</v>
      </c>
      <c r="J6">
        <f>SUMIFS(LANÇAMENTO!$I$5:$I$224,LANÇAMENTO!$B$5:$B$224,$H6)</f>
        <v>1</v>
      </c>
      <c r="K6">
        <f t="shared" si="0"/>
        <v>600.00005999999996</v>
      </c>
    </row>
    <row r="7" spans="1:11" ht="26.4" x14ac:dyDescent="0.3">
      <c r="A7" s="28">
        <f>IF($C7=0,"",3)</f>
        <v>3</v>
      </c>
      <c r="B7" s="22" t="str">
        <f>INDEX($H$2:$H$7,MATCH(LARGE($K$2:$K$7,3),$K$2:$K$7,0))</f>
        <v>PURATOS</v>
      </c>
      <c r="C7" s="23">
        <f>INDEX($I$2:$I$7,MATCH(LARGE($K$2:$K$7,3),$K$2:$K$7,0))</f>
        <v>600</v>
      </c>
      <c r="D7" s="24">
        <f t="shared" si="1"/>
        <v>9.6618357487922704E-2</v>
      </c>
      <c r="E7" s="25">
        <f>INDEX($J$2:$J$7,MATCH(LARGE($K$2:$K$7,3),$K$2:$K$7,0))</f>
        <v>1</v>
      </c>
      <c r="F7" s="26" t="str">
        <f>IF($C7=0,"—","🥉 3º lugar")</f>
        <v>🥉 3º lugar</v>
      </c>
      <c r="H7" t="s">
        <v>22</v>
      </c>
      <c r="I7">
        <f>SUMIFS(LANÇAMENTO!$H$5:$H$224,LANÇAMENTO!$B$5:$B$224,$H7)</f>
        <v>1360</v>
      </c>
      <c r="J7">
        <f>SUMIFS(LANÇAMENTO!$I$5:$I$224,LANÇAMENTO!$B$5:$B$224,$H7)</f>
        <v>2</v>
      </c>
      <c r="K7">
        <f t="shared" si="0"/>
        <v>1360.0000700000001</v>
      </c>
    </row>
    <row r="8" spans="1:11" x14ac:dyDescent="0.3">
      <c r="A8" s="29">
        <f>IF($C8=0,"",4)</f>
        <v>4</v>
      </c>
      <c r="B8" s="22" t="str">
        <f>INDEX($H$2:$H$7,MATCH(LARGE($K$2:$K$7,4),$K$2:$K$7,0))</f>
        <v>PÃO DE MILHO</v>
      </c>
      <c r="C8" s="30">
        <f>INDEX($I$2:$I$7,MATCH(LARGE($K$2:$K$7,4),$K$2:$K$7,0))</f>
        <v>500</v>
      </c>
      <c r="D8" s="31">
        <f t="shared" si="1"/>
        <v>8.0515297906602251E-2</v>
      </c>
      <c r="E8" s="32">
        <f>INDEX($J$2:$J$7,MATCH(LARGE($K$2:$K$7,4),$K$2:$K$7,0))</f>
        <v>1</v>
      </c>
      <c r="F8" s="29" t="str">
        <f>IF($C8=0,"—","4º lugar")</f>
        <v>4º lugar</v>
      </c>
    </row>
    <row r="9" spans="1:11" x14ac:dyDescent="0.3">
      <c r="A9" s="29">
        <f>IF($C9=0,"",5)</f>
        <v>5</v>
      </c>
      <c r="B9" s="22" t="str">
        <f>INDEX($H$2:$H$7,MATCH(LARGE($K$2:$K$7,5),$K$2:$K$7,0))</f>
        <v>INDIPAN</v>
      </c>
      <c r="C9" s="30">
        <f>INDEX($I$2:$I$7,MATCH(LARGE($K$2:$K$7,5),$K$2:$K$7,0))</f>
        <v>375</v>
      </c>
      <c r="D9" s="31">
        <f t="shared" si="1"/>
        <v>6.0386473429951688E-2</v>
      </c>
      <c r="E9" s="32">
        <f>INDEX($J$2:$J$7,MATCH(LARGE($K$2:$K$7,5),$K$2:$K$7,0))</f>
        <v>1</v>
      </c>
      <c r="F9" s="29" t="str">
        <f>IF($C9=0,"—","5º lugar")</f>
        <v>5º lugar</v>
      </c>
    </row>
    <row r="10" spans="1:11" x14ac:dyDescent="0.3">
      <c r="A10" s="29" t="str">
        <f>IF($C10=0,"",6)</f>
        <v/>
      </c>
      <c r="B10" s="22" t="str">
        <f>INDEX($H$2:$H$7,MATCH(LARGE($K$2:$K$7,6),$K$2:$K$7,0))</f>
        <v>FELIPE MARANGONI</v>
      </c>
      <c r="C10" s="30">
        <f>INDEX($I$2:$I$7,MATCH(LARGE($K$2:$K$7,6),$K$2:$K$7,0))</f>
        <v>0</v>
      </c>
      <c r="D10" s="31">
        <f t="shared" si="1"/>
        <v>0</v>
      </c>
      <c r="E10" s="32">
        <f>INDEX($J$2:$J$7,MATCH(LARGE($K$2:$K$7,6),$K$2:$K$7,0))</f>
        <v>0</v>
      </c>
      <c r="F10" s="29" t="str">
        <f>IF($C10=0,"—","6º lugar")</f>
        <v>—</v>
      </c>
    </row>
    <row r="11" spans="1:11" x14ac:dyDescent="0.3">
      <c r="A11" s="17"/>
      <c r="B11" s="17" t="s">
        <v>35</v>
      </c>
      <c r="C11" s="18">
        <f>SUM(C5:C10)</f>
        <v>6210</v>
      </c>
      <c r="D11" s="17"/>
      <c r="E11" s="19">
        <f>SUM(E5:E10)</f>
        <v>10</v>
      </c>
      <c r="F11" s="17"/>
    </row>
    <row r="13" spans="1:11" x14ac:dyDescent="0.3">
      <c r="H13">
        <f>SUM(I2:I7)</f>
        <v>6210</v>
      </c>
    </row>
    <row r="14" spans="1:11" ht="21.75" customHeight="1" x14ac:dyDescent="0.3">
      <c r="A14" s="71" t="s">
        <v>36</v>
      </c>
      <c r="B14" s="71"/>
      <c r="C14" s="71"/>
      <c r="D14" s="71"/>
      <c r="E14" s="71"/>
      <c r="F14" s="71"/>
    </row>
    <row r="15" spans="1:11" ht="15" customHeight="1" x14ac:dyDescent="0.3">
      <c r="A15" s="3" t="s">
        <v>3</v>
      </c>
      <c r="B15" s="3" t="s">
        <v>4</v>
      </c>
      <c r="C15" s="3" t="s">
        <v>9</v>
      </c>
      <c r="D15" s="3" t="s">
        <v>10</v>
      </c>
      <c r="E15" s="72" t="s">
        <v>37</v>
      </c>
      <c r="F15" s="72"/>
    </row>
    <row r="16" spans="1:11" x14ac:dyDescent="0.3">
      <c r="A16" s="33" t="s">
        <v>11</v>
      </c>
      <c r="B16" s="2"/>
      <c r="C16" s="34">
        <f>SUMIFS(LANÇAMENTO!$H$5:$H$224,LANÇAMENTO!$B$5:$B$224,$A16)</f>
        <v>3375</v>
      </c>
      <c r="D16" s="35">
        <f>SUMIFS(LANÇAMENTO!$I$5:$I$224,LANÇAMENTO!$B$5:$B$224,$A16)</f>
        <v>5</v>
      </c>
      <c r="E16" s="67"/>
      <c r="F16" s="67"/>
    </row>
    <row r="17" spans="1:6" x14ac:dyDescent="0.3">
      <c r="A17" s="7"/>
      <c r="B17" s="8" t="s">
        <v>38</v>
      </c>
      <c r="C17" s="36">
        <f>SUMIFS(LANÇAMENTO!$H$5:$H$224,LANÇAMENTO!$C$5:$C$224,"MATEUS - DAVINÓPOLIS")</f>
        <v>1500</v>
      </c>
      <c r="D17" s="37">
        <f>SUMIFS(LANÇAMENTO!$I$5:$I$224,LANÇAMENTO!$C$5:$C$224,"MATEUS - DAVINÓPOLIS")</f>
        <v>2</v>
      </c>
      <c r="E17" s="68">
        <f>IF($C16=0,0,$C17/$C16)</f>
        <v>0.44444444444444442</v>
      </c>
      <c r="F17" s="68"/>
    </row>
    <row r="18" spans="1:6" x14ac:dyDescent="0.3">
      <c r="A18" s="7"/>
      <c r="B18" s="8" t="s">
        <v>39</v>
      </c>
      <c r="C18" s="36">
        <f>SUMIFS(LANÇAMENTO!$H$5:$H$224,LANÇAMENTO!$C$5:$C$224,"MATEUS - SÃO LUÍS")</f>
        <v>1125</v>
      </c>
      <c r="D18" s="37">
        <f>SUMIFS(LANÇAMENTO!$I$5:$I$224,LANÇAMENTO!$C$5:$C$224,"MATEUS - SÃO LUÍS")</f>
        <v>2</v>
      </c>
      <c r="E18" s="68">
        <f>IF($C16=0,0,$C18/$C16)</f>
        <v>0.33333333333333331</v>
      </c>
      <c r="F18" s="68"/>
    </row>
    <row r="19" spans="1:6" x14ac:dyDescent="0.3">
      <c r="A19" s="7"/>
      <c r="B19" s="8" t="s">
        <v>40</v>
      </c>
      <c r="C19" s="36">
        <f>SUMIFS(LANÇAMENTO!$H$5:$H$224,LANÇAMENTO!$C$5:$C$224,"MATEUS - SANTA ISABEL PARÁ")</f>
        <v>0</v>
      </c>
      <c r="D19" s="37">
        <f>SUMIFS(LANÇAMENTO!$I$5:$I$224,LANÇAMENTO!$C$5:$C$224,"MATEUS - SANTA ISABEL PARÁ")</f>
        <v>0</v>
      </c>
      <c r="E19" s="68">
        <f>IF($C16=0,0,$C19/$C16)</f>
        <v>0</v>
      </c>
      <c r="F19" s="68"/>
    </row>
    <row r="20" spans="1:6" x14ac:dyDescent="0.3">
      <c r="A20" s="7"/>
      <c r="B20" s="8" t="s">
        <v>41</v>
      </c>
      <c r="C20" s="36">
        <f>SUMIFS(LANÇAMENTO!$H$5:$H$224,LANÇAMENTO!$C$5:$C$224,"MATEUS - IMPERATRIZ")</f>
        <v>750</v>
      </c>
      <c r="D20" s="37">
        <f>SUMIFS(LANÇAMENTO!$I$5:$I$224,LANÇAMENTO!$C$5:$C$224,"MATEUS - IMPERATRIZ")</f>
        <v>1</v>
      </c>
      <c r="E20" s="68">
        <f>IF($C16=0,0,$C20/$C16)</f>
        <v>0.22222222222222221</v>
      </c>
      <c r="F20" s="68"/>
    </row>
    <row r="21" spans="1:6" x14ac:dyDescent="0.3">
      <c r="A21" s="33" t="s">
        <v>21</v>
      </c>
      <c r="B21" s="2"/>
      <c r="C21" s="34">
        <f>SUMIFS(LANÇAMENTO!$H$5:$H$224,LANÇAMENTO!$B$5:$B$224,$A21)</f>
        <v>375</v>
      </c>
      <c r="D21" s="35">
        <f>SUMIFS(LANÇAMENTO!$I$5:$I$224,LANÇAMENTO!$B$5:$B$224,$A21)</f>
        <v>1</v>
      </c>
      <c r="E21" s="67"/>
      <c r="F21" s="67"/>
    </row>
    <row r="22" spans="1:6" x14ac:dyDescent="0.3">
      <c r="A22" s="7"/>
      <c r="B22" s="8" t="s">
        <v>42</v>
      </c>
      <c r="C22" s="36">
        <f>SUMIFS(LANÇAMENTO!$H$5:$H$224,LANÇAMENTO!$C$5:$C$224,"INDIPAN")</f>
        <v>375</v>
      </c>
      <c r="D22" s="37">
        <f>SUMIFS(LANÇAMENTO!$I$5:$I$224,LANÇAMENTO!$C$5:$C$224,"INDIPAN")</f>
        <v>1</v>
      </c>
      <c r="E22" s="68">
        <f>IF($C21=0,0,$C22/$C21)</f>
        <v>1</v>
      </c>
      <c r="F22" s="68"/>
    </row>
    <row r="23" spans="1:6" x14ac:dyDescent="0.3">
      <c r="A23" s="33" t="s">
        <v>25</v>
      </c>
      <c r="B23" s="2"/>
      <c r="C23" s="34">
        <f>SUMIFS(LANÇAMENTO!$H$5:$H$224,LANÇAMENTO!$B$5:$B$224,$A23)</f>
        <v>500</v>
      </c>
      <c r="D23" s="35">
        <f>SUMIFS(LANÇAMENTO!$I$5:$I$224,LANÇAMENTO!$B$5:$B$224,$A23)</f>
        <v>1</v>
      </c>
      <c r="E23" s="67"/>
      <c r="F23" s="67"/>
    </row>
    <row r="24" spans="1:6" x14ac:dyDescent="0.3">
      <c r="A24" s="7"/>
      <c r="B24" s="8" t="s">
        <v>43</v>
      </c>
      <c r="C24" s="36">
        <f>SUMIFS(LANÇAMENTO!$H$5:$H$224,LANÇAMENTO!$C$5:$C$224,"PÃO DE MILHO")</f>
        <v>500</v>
      </c>
      <c r="D24" s="37">
        <f>SUMIFS(LANÇAMENTO!$I$5:$I$224,LANÇAMENTO!$C$5:$C$224,"PÃO DE MILHO")</f>
        <v>1</v>
      </c>
      <c r="E24" s="68">
        <f>IF($C23=0,0,$C24/$C23)</f>
        <v>1</v>
      </c>
      <c r="F24" s="68"/>
    </row>
    <row r="25" spans="1:6" x14ac:dyDescent="0.3">
      <c r="A25" s="33" t="s">
        <v>34</v>
      </c>
      <c r="B25" s="2"/>
      <c r="C25" s="34">
        <f>SUMIFS(LANÇAMENTO!$H$5:$H$224,LANÇAMENTO!$B$5:$B$224,$A25)</f>
        <v>0</v>
      </c>
      <c r="D25" s="35">
        <f>SUMIFS(LANÇAMENTO!$I$5:$I$224,LANÇAMENTO!$B$5:$B$224,$A25)</f>
        <v>0</v>
      </c>
      <c r="E25" s="67"/>
      <c r="F25" s="67"/>
    </row>
    <row r="26" spans="1:6" ht="22.8" x14ac:dyDescent="0.3">
      <c r="A26" s="7"/>
      <c r="B26" s="8" t="s">
        <v>44</v>
      </c>
      <c r="C26" s="36">
        <f>SUMIFS(LANÇAMENTO!$H$5:$H$224,LANÇAMENTO!$C$5:$C$224,"FELIPE MARANGONI - PAES NATURALLIS")</f>
        <v>0</v>
      </c>
      <c r="D26" s="37">
        <f>SUMIFS(LANÇAMENTO!$I$5:$I$224,LANÇAMENTO!$C$5:$C$224,"FELIPE MARANGONI - PAES NATURALLIS")</f>
        <v>0</v>
      </c>
      <c r="E26" s="68">
        <f>IF($C25=0,0,$C26/$C25)</f>
        <v>0</v>
      </c>
      <c r="F26" s="68"/>
    </row>
    <row r="27" spans="1:6" x14ac:dyDescent="0.3">
      <c r="A27" s="33" t="s">
        <v>16</v>
      </c>
      <c r="B27" s="2"/>
      <c r="C27" s="34">
        <f>SUMIFS(LANÇAMENTO!$H$5:$H$224,LANÇAMENTO!$B$5:$B$224,$A27)</f>
        <v>600</v>
      </c>
      <c r="D27" s="35">
        <f>SUMIFS(LANÇAMENTO!$I$5:$I$224,LANÇAMENTO!$B$5:$B$224,$A27)</f>
        <v>1</v>
      </c>
      <c r="E27" s="67"/>
      <c r="F27" s="67"/>
    </row>
    <row r="28" spans="1:6" x14ac:dyDescent="0.3">
      <c r="A28" s="7"/>
      <c r="B28" s="8" t="s">
        <v>45</v>
      </c>
      <c r="C28" s="36">
        <f>SUMIFS(LANÇAMENTO!$H$5:$H$224,LANÇAMENTO!$C$5:$C$224,"PURATOS BRASIL LTDA")</f>
        <v>600</v>
      </c>
      <c r="D28" s="37">
        <f>SUMIFS(LANÇAMENTO!$I$5:$I$224,LANÇAMENTO!$C$5:$C$224,"PURATOS BRASIL LTDA")</f>
        <v>1</v>
      </c>
      <c r="E28" s="68">
        <f>IF($C27=0,0,$C28/$C27)</f>
        <v>1</v>
      </c>
      <c r="F28" s="68"/>
    </row>
    <row r="29" spans="1:6" x14ac:dyDescent="0.3">
      <c r="A29" s="33" t="s">
        <v>22</v>
      </c>
      <c r="B29" s="2"/>
      <c r="C29" s="34">
        <f>SUMIFS(LANÇAMENTO!$H$5:$H$224,LANÇAMENTO!$B$5:$B$224,$A29)</f>
        <v>1360</v>
      </c>
      <c r="D29" s="35">
        <f>SUMIFS(LANÇAMENTO!$I$5:$I$224,LANÇAMENTO!$B$5:$B$224,$A29)</f>
        <v>2</v>
      </c>
      <c r="E29" s="67"/>
      <c r="F29" s="67"/>
    </row>
    <row r="30" spans="1:6" x14ac:dyDescent="0.3">
      <c r="A30" s="7"/>
      <c r="B30" s="8" t="s">
        <v>46</v>
      </c>
      <c r="C30" s="36">
        <f>SUMIFS(LANÇAMENTO!$H$5:$H$224,LANÇAMENTO!$C$5:$C$224,"IN LOCO FOODS")</f>
        <v>1360</v>
      </c>
      <c r="D30" s="37">
        <f>SUMIFS(LANÇAMENTO!$I$5:$I$224,LANÇAMENTO!$C$5:$C$224,"IN LOCO FOODS")</f>
        <v>2</v>
      </c>
      <c r="E30" s="68">
        <f>IF($C29=0,0,$C30/$C29)</f>
        <v>1</v>
      </c>
      <c r="F30" s="68"/>
    </row>
  </sheetData>
  <mergeCells count="19">
    <mergeCell ref="A1:F1"/>
    <mergeCell ref="A2:F2"/>
    <mergeCell ref="A14:F14"/>
    <mergeCell ref="E15:F15"/>
    <mergeCell ref="E16:F16"/>
    <mergeCell ref="E17:F17"/>
    <mergeCell ref="E18:F18"/>
    <mergeCell ref="E19:F19"/>
    <mergeCell ref="E20:F20"/>
    <mergeCell ref="E21:F21"/>
    <mergeCell ref="E27:F27"/>
    <mergeCell ref="E28:F28"/>
    <mergeCell ref="E29:F29"/>
    <mergeCell ref="E30:F30"/>
    <mergeCell ref="E22:F22"/>
    <mergeCell ref="E23:F23"/>
    <mergeCell ref="E24:F24"/>
    <mergeCell ref="E25:F25"/>
    <mergeCell ref="E26:F26"/>
  </mergeCells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1A"/>
    <pageSetUpPr fitToPage="1"/>
  </sheetPr>
  <dimension ref="A1:I225"/>
  <sheetViews>
    <sheetView showGridLines="0" tabSelected="1" zoomScale="90" zoomScaleNormal="90" workbookViewId="0">
      <selection activeCell="M14" sqref="M14"/>
    </sheetView>
  </sheetViews>
  <sheetFormatPr defaultColWidth="8.6640625" defaultRowHeight="14.4" x14ac:dyDescent="0.3"/>
  <cols>
    <col min="1" max="1" width="12" customWidth="1"/>
    <col min="2" max="2" width="17" customWidth="1"/>
    <col min="3" max="3" width="26" customWidth="1"/>
    <col min="4" max="4" width="22" customWidth="1"/>
    <col min="5" max="5" width="12" customWidth="1"/>
    <col min="6" max="6" width="9" customWidth="1"/>
    <col min="7" max="7" width="8" customWidth="1"/>
    <col min="8" max="8" width="12" customWidth="1"/>
    <col min="9" max="9" width="10" customWidth="1"/>
  </cols>
  <sheetData>
    <row r="1" spans="1:9" ht="30" customHeight="1" x14ac:dyDescent="0.3">
      <c r="A1" s="62"/>
      <c r="B1" s="62"/>
      <c r="C1" s="63" t="s">
        <v>0</v>
      </c>
      <c r="D1" s="63"/>
      <c r="E1" s="63"/>
      <c r="F1" s="63"/>
      <c r="G1" s="63"/>
      <c r="H1" s="63"/>
      <c r="I1" s="63"/>
    </row>
    <row r="2" spans="1:9" ht="15.75" customHeight="1" x14ac:dyDescent="0.3">
      <c r="A2" s="62"/>
      <c r="B2" s="62"/>
      <c r="C2" s="64" t="s">
        <v>1</v>
      </c>
      <c r="D2" s="64"/>
      <c r="E2" s="64"/>
      <c r="F2" s="64"/>
      <c r="G2" s="64"/>
      <c r="H2" s="64"/>
      <c r="I2" s="64"/>
    </row>
    <row r="3" spans="1:9" ht="6" customHeight="1" x14ac:dyDescent="0.3"/>
    <row r="4" spans="1:9" ht="21.7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  <c r="G4" s="3" t="s">
        <v>8</v>
      </c>
      <c r="H4" s="3" t="s">
        <v>9</v>
      </c>
      <c r="I4" s="3" t="s">
        <v>10</v>
      </c>
    </row>
    <row r="5" spans="1:9" x14ac:dyDescent="0.3">
      <c r="A5" s="6">
        <v>46027</v>
      </c>
      <c r="B5" s="7" t="s">
        <v>11</v>
      </c>
      <c r="C5" s="8" t="s">
        <v>12</v>
      </c>
      <c r="D5" s="8" t="s">
        <v>13</v>
      </c>
      <c r="E5" s="7" t="s">
        <v>14</v>
      </c>
      <c r="F5" s="9">
        <v>30</v>
      </c>
      <c r="G5" s="7" t="str">
        <f>IF($E5="","",VLOOKUP($E5,CONFIG!$A$4:$B$5,2,0))</f>
        <v>BB</v>
      </c>
      <c r="H5" s="10">
        <f>IF(OR($E5="",$F5=""),"",$F5*VLOOKUP($E5,CONFIG!$A$4:$C$5,3,0))</f>
        <v>750</v>
      </c>
      <c r="I5" s="11">
        <f>IF(OR($E5="",$F5=""),"",IF(AND($B5="IN LOCO FOODS",$E5="5L"),ROUNDUP($F5/CONFIG!$C$31,0),ROUNDUP($F5/VLOOKUP($E5,CONFIG!$A$4:$D$5,4,0),0)))</f>
        <v>1</v>
      </c>
    </row>
    <row r="6" spans="1:9" x14ac:dyDescent="0.3">
      <c r="A6" s="12">
        <v>46027</v>
      </c>
      <c r="B6" s="13" t="s">
        <v>11</v>
      </c>
      <c r="C6" s="14" t="s">
        <v>12</v>
      </c>
      <c r="D6" s="14" t="s">
        <v>15</v>
      </c>
      <c r="E6" s="13" t="s">
        <v>14</v>
      </c>
      <c r="F6" s="15">
        <v>30</v>
      </c>
      <c r="G6" s="13" t="str">
        <f>IF($E6="","",VLOOKUP($E6,CONFIG!$A$4:$B$5,2,0))</f>
        <v>BB</v>
      </c>
      <c r="H6" s="16">
        <f>IF(OR($E6="",$F6=""),"",$F6*VLOOKUP($E6,CONFIG!$A$4:$C$5,3,0))</f>
        <v>750</v>
      </c>
      <c r="I6" s="11">
        <f>IF(OR($E6="",$F6=""),"",IF(AND($B6="IN LOCO FOODS",$E6="5L"),ROUNDUP($F6/CONFIG!$C$31,0),ROUNDUP($F6/VLOOKUP($E6,CONFIG!$A$4:$D$5,4,0),0)))</f>
        <v>1</v>
      </c>
    </row>
    <row r="7" spans="1:9" x14ac:dyDescent="0.3">
      <c r="A7" s="6">
        <v>46028</v>
      </c>
      <c r="B7" s="7" t="s">
        <v>11</v>
      </c>
      <c r="C7" s="8" t="s">
        <v>20</v>
      </c>
      <c r="D7" s="8" t="s">
        <v>13</v>
      </c>
      <c r="E7" s="7" t="s">
        <v>14</v>
      </c>
      <c r="F7" s="9">
        <v>45</v>
      </c>
      <c r="G7" s="7" t="str">
        <f>IF($E7="","",VLOOKUP($E7,CONFIG!$A$4:$B$5,2,0))</f>
        <v>BB</v>
      </c>
      <c r="H7" s="10">
        <f>IF(OR($E7="",$F7=""),"",$F7*VLOOKUP($E7,CONFIG!$A$4:$C$5,3,0))</f>
        <v>1125</v>
      </c>
      <c r="I7" s="11">
        <f>IF(OR($E7="",$F7=""),"",IF(AND($B7="IN LOCO FOODS",$E7="5L"),ROUNDUP($F7/CONFIG!$C$31,0),ROUNDUP($F7/VLOOKUP($E7,CONFIG!$A$4:$D$5,4,0),0)))</f>
        <v>2</v>
      </c>
    </row>
    <row r="8" spans="1:9" x14ac:dyDescent="0.3">
      <c r="A8" s="12">
        <v>46029</v>
      </c>
      <c r="B8" s="13" t="s">
        <v>21</v>
      </c>
      <c r="C8" s="14" t="s">
        <v>21</v>
      </c>
      <c r="D8" s="14" t="s">
        <v>15</v>
      </c>
      <c r="E8" s="13" t="s">
        <v>14</v>
      </c>
      <c r="F8" s="15">
        <v>15</v>
      </c>
      <c r="G8" s="13" t="str">
        <f>IF($E8="","",VLOOKUP($E8,CONFIG!$A$4:$B$5,2,0))</f>
        <v>BB</v>
      </c>
      <c r="H8" s="16">
        <f>IF(OR($E8="",$F8=""),"",$F8*VLOOKUP($E8,CONFIG!$A$4:$C$5,3,0))</f>
        <v>375</v>
      </c>
      <c r="I8" s="11">
        <f>IF(OR($E8="",$F8=""),"",IF(AND($B8="IN LOCO FOODS",$E8="5L"),ROUNDUP($F8/CONFIG!$C$31,0),ROUNDUP($F8/VLOOKUP($E8,CONFIG!$A$4:$D$5,4,0),0)))</f>
        <v>1</v>
      </c>
    </row>
    <row r="9" spans="1:9" x14ac:dyDescent="0.3">
      <c r="A9" s="6">
        <v>46030</v>
      </c>
      <c r="B9" s="7" t="s">
        <v>11</v>
      </c>
      <c r="C9" s="8" t="s">
        <v>24</v>
      </c>
      <c r="D9" s="8" t="s">
        <v>15</v>
      </c>
      <c r="E9" s="7" t="s">
        <v>14</v>
      </c>
      <c r="F9" s="9">
        <v>30</v>
      </c>
      <c r="G9" s="7" t="str">
        <f>IF($E9="","",VLOOKUP($E9,CONFIG!$A$4:$B$5,2,0))</f>
        <v>BB</v>
      </c>
      <c r="H9" s="10">
        <f>IF(OR($E9="",$F9=""),"",$F9*VLOOKUP($E9,CONFIG!$A$4:$C$5,3,0))</f>
        <v>750</v>
      </c>
      <c r="I9" s="11">
        <f>IF(OR($E9="",$F9=""),"",IF(AND($B9="IN LOCO FOODS",$E9="5L"),ROUNDUP($F9/CONFIG!$C$31,0),ROUNDUP($F9/VLOOKUP($E9,CONFIG!$A$4:$D$5,4,0),0)))</f>
        <v>1</v>
      </c>
    </row>
    <row r="10" spans="1:9" x14ac:dyDescent="0.3">
      <c r="A10" s="12">
        <v>46030</v>
      </c>
      <c r="B10" s="13" t="s">
        <v>25</v>
      </c>
      <c r="C10" s="14" t="s">
        <v>25</v>
      </c>
      <c r="D10" s="14" t="s">
        <v>13</v>
      </c>
      <c r="E10" s="13" t="s">
        <v>14</v>
      </c>
      <c r="F10" s="15">
        <v>20</v>
      </c>
      <c r="G10" s="13" t="str">
        <f>IF($E10="","",VLOOKUP($E10,CONFIG!$A$4:$B$5,2,0))</f>
        <v>BB</v>
      </c>
      <c r="H10" s="16">
        <f>IF(OR($E10="",$F10=""),"",$F10*VLOOKUP($E10,CONFIG!$A$4:$C$5,3,0))</f>
        <v>500</v>
      </c>
      <c r="I10" s="11">
        <f>IF(OR($E10="",$F10=""),"",IF(AND($B10="IN LOCO FOODS",$E10="5L"),ROUNDUP($F10/CONFIG!$C$31,0),ROUNDUP($F10/VLOOKUP($E10,CONFIG!$A$4:$D$5,4,0),0)))</f>
        <v>1</v>
      </c>
    </row>
    <row r="11" spans="1:9" x14ac:dyDescent="0.3">
      <c r="A11" s="6">
        <v>46028</v>
      </c>
      <c r="B11" s="7" t="s">
        <v>16</v>
      </c>
      <c r="C11" s="8" t="s">
        <v>17</v>
      </c>
      <c r="D11" s="8" t="s">
        <v>18</v>
      </c>
      <c r="E11" s="7" t="s">
        <v>19</v>
      </c>
      <c r="F11" s="9">
        <v>60</v>
      </c>
      <c r="G11" s="7" t="str">
        <f>IF($E11="","",VLOOKUP($E11,CONFIG!$A$4:$B$5,2,0))</f>
        <v>CX</v>
      </c>
      <c r="H11" s="10">
        <f>IF(OR($E11="",$F11=""),"",$F11*VLOOKUP($E11,CONFIG!$A$4:$C$5,3,0))</f>
        <v>600</v>
      </c>
      <c r="I11" s="11">
        <f>IF(OR($E11="",$F11=""),"",IF(AND($B11="IN LOCO FOODS",$E11="5L"),ROUNDUP($F11/CONFIG!$C$31,0),ROUNDUP($F11/VLOOKUP($E11,CONFIG!$A$4:$D$5,4,0),0)))</f>
        <v>1</v>
      </c>
    </row>
    <row r="12" spans="1:9" x14ac:dyDescent="0.3">
      <c r="A12" s="12">
        <v>46029</v>
      </c>
      <c r="B12" s="13" t="s">
        <v>22</v>
      </c>
      <c r="C12" s="14" t="s">
        <v>22</v>
      </c>
      <c r="D12" s="14" t="s">
        <v>23</v>
      </c>
      <c r="E12" s="13" t="s">
        <v>19</v>
      </c>
      <c r="F12" s="15">
        <v>60</v>
      </c>
      <c r="G12" s="13" t="str">
        <f>IF($E12="","",VLOOKUP($E12,CONFIG!$A$4:$B$5,2,0))</f>
        <v>CX</v>
      </c>
      <c r="H12" s="16">
        <f>IF(OR($E12="",$F12=""),"",$F12*VLOOKUP($E12,CONFIG!$A$4:$C$5,3,0))</f>
        <v>600</v>
      </c>
      <c r="I12" s="11">
        <f>IF(OR($E12="",$F12=""),"",IF(AND($B12="IN LOCO FOODS",$E12="5L"),ROUNDUP($F12/CONFIG!$C$31,0),ROUNDUP($F12/VLOOKUP($E12,CONFIG!$A$4:$D$5,4,0),0)))</f>
        <v>1</v>
      </c>
    </row>
    <row r="13" spans="1:9" x14ac:dyDescent="0.3">
      <c r="A13" s="48">
        <v>46177</v>
      </c>
      <c r="B13" s="7" t="s">
        <v>22</v>
      </c>
      <c r="C13" s="8" t="s">
        <v>22</v>
      </c>
      <c r="D13" s="8" t="s">
        <v>57</v>
      </c>
      <c r="E13" s="7" t="s">
        <v>19</v>
      </c>
      <c r="F13" s="9">
        <v>76</v>
      </c>
      <c r="G13" s="7" t="str">
        <f>IF($E13="","",VLOOKUP($E13,CONFIG!$A$4:$B$5,2,0))</f>
        <v>CX</v>
      </c>
      <c r="H13" s="10">
        <f>IF(OR($E13="",$F13=""),"",$F13*VLOOKUP($E13,CONFIG!$A$4:$C$5,3,0))</f>
        <v>760</v>
      </c>
      <c r="I13" s="11">
        <f>IF(OR($E13="",$F13=""),"",IF(AND($B13="IN LOCO FOODS",$E13="5L"),ROUNDUP($F13/CONFIG!$C$31,0),ROUNDUP($F13/VLOOKUP($E13,CONFIG!$A$4:$D$5,4,0),0)))</f>
        <v>1</v>
      </c>
    </row>
    <row r="14" spans="1:9" x14ac:dyDescent="0.3">
      <c r="A14" s="12"/>
      <c r="B14" s="13"/>
      <c r="C14" s="14"/>
      <c r="D14" s="14"/>
      <c r="E14" s="13"/>
      <c r="F14" s="15"/>
      <c r="G14" s="13" t="str">
        <f>IF($E14="","",VLOOKUP($E14,CONFIG!$A$4:$B$5,2,0))</f>
        <v/>
      </c>
      <c r="H14" s="16" t="str">
        <f>IF(OR($E14="",$F14=""),"",$F14*VLOOKUP($E14,CONFIG!$A$4:$C$5,3,0))</f>
        <v/>
      </c>
      <c r="I14" s="11" t="str">
        <f>IF(OR($E14="",$F14=""),"",IF(AND($B14="IN LOCO FOODS",$E14="5L"),ROUNDUP($F14/CONFIG!$C$31,0),ROUNDUP($F14/VLOOKUP($E14,CONFIG!$A$4:$D$5,4,0),0)))</f>
        <v/>
      </c>
    </row>
    <row r="15" spans="1:9" x14ac:dyDescent="0.3">
      <c r="A15" s="6"/>
      <c r="B15" s="7"/>
      <c r="C15" s="8"/>
      <c r="D15" s="8"/>
      <c r="E15" s="7"/>
      <c r="F15" s="9"/>
      <c r="G15" s="7" t="str">
        <f>IF($E15="","",VLOOKUP($E15,CONFIG!$A$4:$B$5,2,0))</f>
        <v/>
      </c>
      <c r="H15" s="10" t="str">
        <f>IF(OR($E15="",$F15=""),"",$F15*VLOOKUP($E15,CONFIG!$A$4:$C$5,3,0))</f>
        <v/>
      </c>
      <c r="I15" s="11" t="str">
        <f>IF(OR($E15="",$F15=""),"",IF(AND($B15="IN LOCO FOODS",$E15="5L"),ROUNDUP($F15/CONFIG!$C$31,0),ROUNDUP($F15/VLOOKUP($E15,CONFIG!$A$4:$D$5,4,0),0)))</f>
        <v/>
      </c>
    </row>
    <row r="16" spans="1:9" x14ac:dyDescent="0.3">
      <c r="A16" s="12"/>
      <c r="B16" s="13"/>
      <c r="C16" s="14"/>
      <c r="D16" s="14"/>
      <c r="E16" s="13"/>
      <c r="F16" s="15"/>
      <c r="G16" s="13" t="str">
        <f>IF($E16="","",VLOOKUP($E16,CONFIG!$A$4:$B$5,2,0))</f>
        <v/>
      </c>
      <c r="H16" s="16" t="str">
        <f>IF(OR($E16="",$F16=""),"",$F16*VLOOKUP($E16,CONFIG!$A$4:$C$5,3,0))</f>
        <v/>
      </c>
      <c r="I16" s="11" t="str">
        <f>IF(OR($E16="",$F16=""),"",IF(AND($B16="IN LOCO FOODS",$E16="5L"),ROUNDUP($F16/CONFIG!$C$31,0),ROUNDUP($F16/VLOOKUP($E16,CONFIG!$A$4:$D$5,4,0),0)))</f>
        <v/>
      </c>
    </row>
    <row r="17" spans="1:9" x14ac:dyDescent="0.3">
      <c r="A17" s="6"/>
      <c r="B17" s="7"/>
      <c r="C17" s="8"/>
      <c r="D17" s="8"/>
      <c r="E17" s="7"/>
      <c r="F17" s="9"/>
      <c r="G17" s="7" t="str">
        <f>IF($E17="","",VLOOKUP($E17,CONFIG!$A$4:$B$5,2,0))</f>
        <v/>
      </c>
      <c r="H17" s="10" t="str">
        <f>IF(OR($E17="",$F17=""),"",$F17*VLOOKUP($E17,CONFIG!$A$4:$C$5,3,0))</f>
        <v/>
      </c>
      <c r="I17" s="11" t="str">
        <f>IF(OR($E17="",$F17=""),"",IF(AND($B17="IN LOCO FOODS",$E17="5L"),ROUNDUP($F17/CONFIG!$C$31,0),ROUNDUP($F17/VLOOKUP($E17,CONFIG!$A$4:$D$5,4,0),0)))</f>
        <v/>
      </c>
    </row>
    <row r="18" spans="1:9" x14ac:dyDescent="0.3">
      <c r="A18" s="12"/>
      <c r="B18" s="13"/>
      <c r="C18" s="14"/>
      <c r="D18" s="14"/>
      <c r="E18" s="13"/>
      <c r="F18" s="15"/>
      <c r="G18" s="13" t="str">
        <f>IF($E18="","",VLOOKUP($E18,CONFIG!$A$4:$B$5,2,0))</f>
        <v/>
      </c>
      <c r="H18" s="16" t="str">
        <f>IF(OR($E18="",$F18=""),"",$F18*VLOOKUP($E18,CONFIG!$A$4:$C$5,3,0))</f>
        <v/>
      </c>
      <c r="I18" s="11" t="str">
        <f>IF(OR($E18="",$F18=""),"",IF(AND($B18="IN LOCO FOODS",$E18="5L"),ROUNDUP($F18/CONFIG!$C$31,0),ROUNDUP($F18/VLOOKUP($E18,CONFIG!$A$4:$D$5,4,0),0)))</f>
        <v/>
      </c>
    </row>
    <row r="19" spans="1:9" x14ac:dyDescent="0.3">
      <c r="A19" s="6"/>
      <c r="B19" s="7"/>
      <c r="C19" s="8"/>
      <c r="D19" s="8"/>
      <c r="E19" s="7"/>
      <c r="F19" s="9"/>
      <c r="G19" s="7" t="str">
        <f>IF($E19="","",VLOOKUP($E19,CONFIG!$A$4:$B$5,2,0))</f>
        <v/>
      </c>
      <c r="H19" s="10" t="str">
        <f>IF(OR($E19="",$F19=""),"",$F19*VLOOKUP($E19,CONFIG!$A$4:$C$5,3,0))</f>
        <v/>
      </c>
      <c r="I19" s="11" t="str">
        <f>IF(OR($E19="",$F19=""),"",IF(AND($B19="IN LOCO FOODS",$E19="5L"),ROUNDUP($F19/CONFIG!$C$31,0),ROUNDUP($F19/VLOOKUP($E19,CONFIG!$A$4:$D$5,4,0),0)))</f>
        <v/>
      </c>
    </row>
    <row r="20" spans="1:9" x14ac:dyDescent="0.3">
      <c r="A20" s="12"/>
      <c r="B20" s="13"/>
      <c r="C20" s="14"/>
      <c r="D20" s="14"/>
      <c r="E20" s="13"/>
      <c r="F20" s="15"/>
      <c r="G20" s="13" t="str">
        <f>IF($E20="","",VLOOKUP($E20,CONFIG!$A$4:$B$5,2,0))</f>
        <v/>
      </c>
      <c r="H20" s="16" t="str">
        <f>IF(OR($E20="",$F20=""),"",$F20*VLOOKUP($E20,CONFIG!$A$4:$C$5,3,0))</f>
        <v/>
      </c>
      <c r="I20" s="11" t="str">
        <f>IF(OR($E20="",$F20=""),"",IF(AND($B20="IN LOCO FOODS",$E20="5L"),ROUNDUP($F20/CONFIG!$C$31,0),ROUNDUP($F20/VLOOKUP($E20,CONFIG!$A$4:$D$5,4,0),0)))</f>
        <v/>
      </c>
    </row>
    <row r="21" spans="1:9" x14ac:dyDescent="0.3">
      <c r="A21" s="6"/>
      <c r="B21" s="7"/>
      <c r="C21" s="8"/>
      <c r="D21" s="8"/>
      <c r="E21" s="7"/>
      <c r="F21" s="9"/>
      <c r="G21" s="7" t="str">
        <f>IF($E21="","",VLOOKUP($E21,CONFIG!$A$4:$B$5,2,0))</f>
        <v/>
      </c>
      <c r="H21" s="10" t="str">
        <f>IF(OR($E21="",$F21=""),"",$F21*VLOOKUP($E21,CONFIG!$A$4:$C$5,3,0))</f>
        <v/>
      </c>
      <c r="I21" s="11" t="str">
        <f>IF(OR($E21="",$F21=""),"",IF(AND($B21="IN LOCO FOODS",$E21="5L"),ROUNDUP($F21/CONFIG!$C$31,0),ROUNDUP($F21/VLOOKUP($E21,CONFIG!$A$4:$D$5,4,0),0)))</f>
        <v/>
      </c>
    </row>
    <row r="22" spans="1:9" x14ac:dyDescent="0.3">
      <c r="A22" s="12"/>
      <c r="B22" s="13"/>
      <c r="C22" s="14"/>
      <c r="D22" s="14"/>
      <c r="E22" s="13"/>
      <c r="F22" s="15"/>
      <c r="G22" s="13" t="str">
        <f>IF($E22="","",VLOOKUP($E22,CONFIG!$A$4:$B$5,2,0))</f>
        <v/>
      </c>
      <c r="H22" s="16" t="str">
        <f>IF(OR($E22="",$F22=""),"",$F22*VLOOKUP($E22,CONFIG!$A$4:$C$5,3,0))</f>
        <v/>
      </c>
      <c r="I22" s="11" t="str">
        <f>IF(OR($E22="",$F22=""),"",IF(AND($B22="IN LOCO FOODS",$E22="5L"),ROUNDUP($F22/CONFIG!$C$31,0),ROUNDUP($F22/VLOOKUP($E22,CONFIG!$A$4:$D$5,4,0),0)))</f>
        <v/>
      </c>
    </row>
    <row r="23" spans="1:9" x14ac:dyDescent="0.3">
      <c r="A23" s="6"/>
      <c r="B23" s="7"/>
      <c r="C23" s="8"/>
      <c r="D23" s="8"/>
      <c r="E23" s="7"/>
      <c r="F23" s="9"/>
      <c r="G23" s="7" t="str">
        <f>IF($E23="","",VLOOKUP($E23,CONFIG!$A$4:$B$5,2,0))</f>
        <v/>
      </c>
      <c r="H23" s="10" t="str">
        <f>IF(OR($E23="",$F23=""),"",$F23*VLOOKUP($E23,CONFIG!$A$4:$C$5,3,0))</f>
        <v/>
      </c>
      <c r="I23" s="11" t="str">
        <f>IF(OR($E23="",$F23=""),"",IF(AND($B23="IN LOCO FOODS",$E23="5L"),ROUNDUP($F23/CONFIG!$C$31,0),ROUNDUP($F23/VLOOKUP($E23,CONFIG!$A$4:$D$5,4,0),0)))</f>
        <v/>
      </c>
    </row>
    <row r="24" spans="1:9" x14ac:dyDescent="0.3">
      <c r="A24" s="12"/>
      <c r="B24" s="13"/>
      <c r="C24" s="14"/>
      <c r="D24" s="14"/>
      <c r="E24" s="13"/>
      <c r="F24" s="15"/>
      <c r="G24" s="13" t="str">
        <f>IF($E24="","",VLOOKUP($E24,CONFIG!$A$4:$B$5,2,0))</f>
        <v/>
      </c>
      <c r="H24" s="16" t="str">
        <f>IF(OR($E24="",$F24=""),"",$F24*VLOOKUP($E24,CONFIG!$A$4:$C$5,3,0))</f>
        <v/>
      </c>
      <c r="I24" s="11" t="str">
        <f>IF(OR($E24="",$F24=""),"",IF(AND($B24="IN LOCO FOODS",$E24="5L"),ROUNDUP($F24/CONFIG!$C$31,0),ROUNDUP($F24/VLOOKUP($E24,CONFIG!$A$4:$D$5,4,0),0)))</f>
        <v/>
      </c>
    </row>
    <row r="25" spans="1:9" x14ac:dyDescent="0.3">
      <c r="A25" s="6"/>
      <c r="B25" s="7"/>
      <c r="C25" s="8"/>
      <c r="D25" s="8"/>
      <c r="E25" s="7"/>
      <c r="F25" s="9"/>
      <c r="G25" s="7" t="str">
        <f>IF($E25="","",VLOOKUP($E25,CONFIG!$A$4:$B$5,2,0))</f>
        <v/>
      </c>
      <c r="H25" s="10" t="str">
        <f>IF(OR($E25="",$F25=""),"",$F25*VLOOKUP($E25,CONFIG!$A$4:$C$5,3,0))</f>
        <v/>
      </c>
      <c r="I25" s="11" t="str">
        <f>IF(OR($E25="",$F25=""),"",IF(AND($B25="IN LOCO FOODS",$E25="5L"),ROUNDUP($F25/CONFIG!$C$31,0),ROUNDUP($F25/VLOOKUP($E25,CONFIG!$A$4:$D$5,4,0),0)))</f>
        <v/>
      </c>
    </row>
    <row r="26" spans="1:9" x14ac:dyDescent="0.3">
      <c r="A26" s="12"/>
      <c r="B26" s="13"/>
      <c r="C26" s="14"/>
      <c r="D26" s="14"/>
      <c r="E26" s="13"/>
      <c r="F26" s="15"/>
      <c r="G26" s="13" t="str">
        <f>IF($E26="","",VLOOKUP($E26,CONFIG!$A$4:$B$5,2,0))</f>
        <v/>
      </c>
      <c r="H26" s="16" t="str">
        <f>IF(OR($E26="",$F26=""),"",$F26*VLOOKUP($E26,CONFIG!$A$4:$C$5,3,0))</f>
        <v/>
      </c>
      <c r="I26" s="11" t="str">
        <f>IF(OR($E26="",$F26=""),"",IF(AND($B26="IN LOCO FOODS",$E26="5L"),ROUNDUP($F26/CONFIG!$C$31,0),ROUNDUP($F26/VLOOKUP($E26,CONFIG!$A$4:$D$5,4,0),0)))</f>
        <v/>
      </c>
    </row>
    <row r="27" spans="1:9" x14ac:dyDescent="0.3">
      <c r="A27" s="6"/>
      <c r="B27" s="7"/>
      <c r="C27" s="8"/>
      <c r="D27" s="8"/>
      <c r="E27" s="7"/>
      <c r="F27" s="9"/>
      <c r="G27" s="7" t="str">
        <f>IF($E27="","",VLOOKUP($E27,CONFIG!$A$4:$B$5,2,0))</f>
        <v/>
      </c>
      <c r="H27" s="10" t="str">
        <f>IF(OR($E27="",$F27=""),"",$F27*VLOOKUP($E27,CONFIG!$A$4:$C$5,3,0))</f>
        <v/>
      </c>
      <c r="I27" s="11" t="str">
        <f>IF(OR($E27="",$F27=""),"",IF(AND($B27="IN LOCO FOODS",$E27="5L"),ROUNDUP($F27/CONFIG!$C$31,0),ROUNDUP($F27/VLOOKUP($E27,CONFIG!$A$4:$D$5,4,0),0)))</f>
        <v/>
      </c>
    </row>
    <row r="28" spans="1:9" x14ac:dyDescent="0.3">
      <c r="A28" s="12"/>
      <c r="B28" s="13"/>
      <c r="C28" s="14"/>
      <c r="D28" s="14"/>
      <c r="E28" s="13"/>
      <c r="F28" s="15"/>
      <c r="G28" s="13" t="str">
        <f>IF($E28="","",VLOOKUP($E28,CONFIG!$A$4:$B$5,2,0))</f>
        <v/>
      </c>
      <c r="H28" s="16" t="str">
        <f>IF(OR($E28="",$F28=""),"",$F28*VLOOKUP($E28,CONFIG!$A$4:$C$5,3,0))</f>
        <v/>
      </c>
      <c r="I28" s="11" t="str">
        <f>IF(OR($E28="",$F28=""),"",IF(AND($B28="IN LOCO FOODS",$E28="5L"),ROUNDUP($F28/CONFIG!$C$31,0),ROUNDUP($F28/VLOOKUP($E28,CONFIG!$A$4:$D$5,4,0),0)))</f>
        <v/>
      </c>
    </row>
    <row r="29" spans="1:9" x14ac:dyDescent="0.3">
      <c r="A29" s="6"/>
      <c r="B29" s="7"/>
      <c r="C29" s="8"/>
      <c r="D29" s="8"/>
      <c r="E29" s="7"/>
      <c r="F29" s="9"/>
      <c r="G29" s="7" t="str">
        <f>IF($E29="","",VLOOKUP($E29,CONFIG!$A$4:$B$5,2,0))</f>
        <v/>
      </c>
      <c r="H29" s="10" t="str">
        <f>IF(OR($E29="",$F29=""),"",$F29*VLOOKUP($E29,CONFIG!$A$4:$C$5,3,0))</f>
        <v/>
      </c>
      <c r="I29" s="11" t="str">
        <f>IF(OR($E29="",$F29=""),"",IF(AND($B29="IN LOCO FOODS",$E29="5L"),ROUNDUP($F29/CONFIG!$C$31,0),ROUNDUP($F29/VLOOKUP($E29,CONFIG!$A$4:$D$5,4,0),0)))</f>
        <v/>
      </c>
    </row>
    <row r="30" spans="1:9" x14ac:dyDescent="0.3">
      <c r="A30" s="12"/>
      <c r="B30" s="13"/>
      <c r="C30" s="14"/>
      <c r="D30" s="14"/>
      <c r="E30" s="13"/>
      <c r="F30" s="15"/>
      <c r="G30" s="13" t="str">
        <f>IF($E30="","",VLOOKUP($E30,CONFIG!$A$4:$B$5,2,0))</f>
        <v/>
      </c>
      <c r="H30" s="16" t="str">
        <f>IF(OR($E30="",$F30=""),"",$F30*VLOOKUP($E30,CONFIG!$A$4:$C$5,3,0))</f>
        <v/>
      </c>
      <c r="I30" s="11" t="str">
        <f>IF(OR($E30="",$F30=""),"",IF(AND($B30="IN LOCO FOODS",$E30="5L"),ROUNDUP($F30/CONFIG!$C$31,0),ROUNDUP($F30/VLOOKUP($E30,CONFIG!$A$4:$D$5,4,0),0)))</f>
        <v/>
      </c>
    </row>
    <row r="31" spans="1:9" x14ac:dyDescent="0.3">
      <c r="A31" s="6"/>
      <c r="B31" s="7"/>
      <c r="C31" s="8"/>
      <c r="D31" s="8"/>
      <c r="E31" s="7"/>
      <c r="F31" s="9"/>
      <c r="G31" s="7" t="str">
        <f>IF($E31="","",VLOOKUP($E31,CONFIG!$A$4:$B$5,2,0))</f>
        <v/>
      </c>
      <c r="H31" s="10" t="str">
        <f>IF(OR($E31="",$F31=""),"",$F31*VLOOKUP($E31,CONFIG!$A$4:$C$5,3,0))</f>
        <v/>
      </c>
      <c r="I31" s="11" t="str">
        <f>IF(OR($E31="",$F31=""),"",IF(AND($B31="IN LOCO FOODS",$E31="5L"),ROUNDUP($F31/CONFIG!$C$31,0),ROUNDUP($F31/VLOOKUP($E31,CONFIG!$A$4:$D$5,4,0),0)))</f>
        <v/>
      </c>
    </row>
    <row r="32" spans="1:9" x14ac:dyDescent="0.3">
      <c r="A32" s="12"/>
      <c r="B32" s="13"/>
      <c r="C32" s="14"/>
      <c r="D32" s="14"/>
      <c r="E32" s="13"/>
      <c r="F32" s="15"/>
      <c r="G32" s="13" t="str">
        <f>IF($E32="","",VLOOKUP($E32,CONFIG!$A$4:$B$5,2,0))</f>
        <v/>
      </c>
      <c r="H32" s="16" t="str">
        <f>IF(OR($E32="",$F32=""),"",$F32*VLOOKUP($E32,CONFIG!$A$4:$C$5,3,0))</f>
        <v/>
      </c>
      <c r="I32" s="11" t="str">
        <f>IF(OR($E32="",$F32=""),"",IF(AND($B32="IN LOCO FOODS",$E32="5L"),ROUNDUP($F32/CONFIG!$C$31,0),ROUNDUP($F32/VLOOKUP($E32,CONFIG!$A$4:$D$5,4,0),0)))</f>
        <v/>
      </c>
    </row>
    <row r="33" spans="1:9" x14ac:dyDescent="0.3">
      <c r="A33" s="6"/>
      <c r="B33" s="7"/>
      <c r="C33" s="8"/>
      <c r="D33" s="8"/>
      <c r="E33" s="7"/>
      <c r="F33" s="9"/>
      <c r="G33" s="7" t="str">
        <f>IF($E33="","",VLOOKUP($E33,CONFIG!$A$4:$B$5,2,0))</f>
        <v/>
      </c>
      <c r="H33" s="10" t="str">
        <f>IF(OR($E33="",$F33=""),"",$F33*VLOOKUP($E33,CONFIG!$A$4:$C$5,3,0))</f>
        <v/>
      </c>
      <c r="I33" s="11" t="str">
        <f>IF(OR($E33="",$F33=""),"",IF(AND($B33="IN LOCO FOODS",$E33="5L"),ROUNDUP($F33/CONFIG!$C$31,0),ROUNDUP($F33/VLOOKUP($E33,CONFIG!$A$4:$D$5,4,0),0)))</f>
        <v/>
      </c>
    </row>
    <row r="34" spans="1:9" x14ac:dyDescent="0.3">
      <c r="A34" s="12"/>
      <c r="B34" s="13"/>
      <c r="C34" s="14"/>
      <c r="D34" s="14"/>
      <c r="E34" s="13"/>
      <c r="F34" s="15"/>
      <c r="G34" s="13" t="str">
        <f>IF($E34="","",VLOOKUP($E34,CONFIG!$A$4:$B$5,2,0))</f>
        <v/>
      </c>
      <c r="H34" s="16" t="str">
        <f>IF(OR($E34="",$F34=""),"",$F34*VLOOKUP($E34,CONFIG!$A$4:$C$5,3,0))</f>
        <v/>
      </c>
      <c r="I34" s="11" t="str">
        <f>IF(OR($E34="",$F34=""),"",IF(AND($B34="IN LOCO FOODS",$E34="5L"),ROUNDUP($F34/CONFIG!$C$31,0),ROUNDUP($F34/VLOOKUP($E34,CONFIG!$A$4:$D$5,4,0),0)))</f>
        <v/>
      </c>
    </row>
    <row r="35" spans="1:9" x14ac:dyDescent="0.3">
      <c r="A35" s="6"/>
      <c r="B35" s="7"/>
      <c r="C35" s="8"/>
      <c r="D35" s="8"/>
      <c r="E35" s="7"/>
      <c r="F35" s="9"/>
      <c r="G35" s="7" t="str">
        <f>IF($E35="","",VLOOKUP($E35,CONFIG!$A$4:$B$5,2,0))</f>
        <v/>
      </c>
      <c r="H35" s="10" t="str">
        <f>IF(OR($E35="",$F35=""),"",$F35*VLOOKUP($E35,CONFIG!$A$4:$C$5,3,0))</f>
        <v/>
      </c>
      <c r="I35" s="11" t="str">
        <f>IF(OR($E35="",$F35=""),"",IF(AND($B35="IN LOCO FOODS",$E35="5L"),ROUNDUP($F35/CONFIG!$C$31,0),ROUNDUP($F35/VLOOKUP($E35,CONFIG!$A$4:$D$5,4,0),0)))</f>
        <v/>
      </c>
    </row>
    <row r="36" spans="1:9" x14ac:dyDescent="0.3">
      <c r="A36" s="12"/>
      <c r="B36" s="13"/>
      <c r="C36" s="14"/>
      <c r="D36" s="14"/>
      <c r="E36" s="13"/>
      <c r="F36" s="15"/>
      <c r="G36" s="13" t="str">
        <f>IF($E36="","",VLOOKUP($E36,CONFIG!$A$4:$B$5,2,0))</f>
        <v/>
      </c>
      <c r="H36" s="16" t="str">
        <f>IF(OR($E36="",$F36=""),"",$F36*VLOOKUP($E36,CONFIG!$A$4:$C$5,3,0))</f>
        <v/>
      </c>
      <c r="I36" s="11" t="str">
        <f>IF(OR($E36="",$F36=""),"",IF(AND($B36="IN LOCO FOODS",$E36="5L"),ROUNDUP($F36/CONFIG!$C$31,0),ROUNDUP($F36/VLOOKUP($E36,CONFIG!$A$4:$D$5,4,0),0)))</f>
        <v/>
      </c>
    </row>
    <row r="37" spans="1:9" x14ac:dyDescent="0.3">
      <c r="A37" s="6"/>
      <c r="B37" s="7"/>
      <c r="C37" s="8"/>
      <c r="D37" s="8"/>
      <c r="E37" s="7"/>
      <c r="F37" s="9"/>
      <c r="G37" s="7" t="str">
        <f>IF($E37="","",VLOOKUP($E37,CONFIG!$A$4:$B$5,2,0))</f>
        <v/>
      </c>
      <c r="H37" s="10" t="str">
        <f>IF(OR($E37="",$F37=""),"",$F37*VLOOKUP($E37,CONFIG!$A$4:$C$5,3,0))</f>
        <v/>
      </c>
      <c r="I37" s="11" t="str">
        <f>IF(OR($E37="",$F37=""),"",IF(AND($B37="IN LOCO FOODS",$E37="5L"),ROUNDUP($F37/CONFIG!$C$31,0),ROUNDUP($F37/VLOOKUP($E37,CONFIG!$A$4:$D$5,4,0),0)))</f>
        <v/>
      </c>
    </row>
    <row r="38" spans="1:9" x14ac:dyDescent="0.3">
      <c r="A38" s="12"/>
      <c r="B38" s="13"/>
      <c r="C38" s="14"/>
      <c r="D38" s="14"/>
      <c r="E38" s="13"/>
      <c r="F38" s="15"/>
      <c r="G38" s="13" t="str">
        <f>IF($E38="","",VLOOKUP($E38,CONFIG!$A$4:$B$5,2,0))</f>
        <v/>
      </c>
      <c r="H38" s="16" t="str">
        <f>IF(OR($E38="",$F38=""),"",$F38*VLOOKUP($E38,CONFIG!$A$4:$C$5,3,0))</f>
        <v/>
      </c>
      <c r="I38" s="11" t="str">
        <f>IF(OR($E38="",$F38=""),"",IF(AND($B38="IN LOCO FOODS",$E38="5L"),ROUNDUP($F38/CONFIG!$C$31,0),ROUNDUP($F38/VLOOKUP($E38,CONFIG!$A$4:$D$5,4,0),0)))</f>
        <v/>
      </c>
    </row>
    <row r="39" spans="1:9" x14ac:dyDescent="0.3">
      <c r="A39" s="6"/>
      <c r="B39" s="7"/>
      <c r="C39" s="8"/>
      <c r="D39" s="8"/>
      <c r="E39" s="7"/>
      <c r="F39" s="9"/>
      <c r="G39" s="7" t="str">
        <f>IF($E39="","",VLOOKUP($E39,CONFIG!$A$4:$B$5,2,0))</f>
        <v/>
      </c>
      <c r="H39" s="10" t="str">
        <f>IF(OR($E39="",$F39=""),"",$F39*VLOOKUP($E39,CONFIG!$A$4:$C$5,3,0))</f>
        <v/>
      </c>
      <c r="I39" s="11" t="str">
        <f>IF(OR($E39="",$F39=""),"",IF(AND($B39="IN LOCO FOODS",$E39="5L"),ROUNDUP($F39/CONFIG!$C$31,0),ROUNDUP($F39/VLOOKUP($E39,CONFIG!$A$4:$D$5,4,0),0)))</f>
        <v/>
      </c>
    </row>
    <row r="40" spans="1:9" x14ac:dyDescent="0.3">
      <c r="A40" s="12"/>
      <c r="B40" s="13"/>
      <c r="C40" s="14"/>
      <c r="D40" s="14"/>
      <c r="E40" s="13"/>
      <c r="F40" s="15"/>
      <c r="G40" s="13" t="str">
        <f>IF($E40="","",VLOOKUP($E40,CONFIG!$A$4:$B$5,2,0))</f>
        <v/>
      </c>
      <c r="H40" s="16" t="str">
        <f>IF(OR($E40="",$F40=""),"",$F40*VLOOKUP($E40,CONFIG!$A$4:$C$5,3,0))</f>
        <v/>
      </c>
      <c r="I40" s="11" t="str">
        <f>IF(OR($E40="",$F40=""),"",IF(AND($B40="IN LOCO FOODS",$E40="5L"),ROUNDUP($F40/CONFIG!$C$31,0),ROUNDUP($F40/VLOOKUP($E40,CONFIG!$A$4:$D$5,4,0),0)))</f>
        <v/>
      </c>
    </row>
    <row r="41" spans="1:9" x14ac:dyDescent="0.3">
      <c r="A41" s="6"/>
      <c r="B41" s="7"/>
      <c r="C41" s="8"/>
      <c r="D41" s="8"/>
      <c r="E41" s="7"/>
      <c r="F41" s="9"/>
      <c r="G41" s="7" t="str">
        <f>IF($E41="","",VLOOKUP($E41,CONFIG!$A$4:$B$5,2,0))</f>
        <v/>
      </c>
      <c r="H41" s="10" t="str">
        <f>IF(OR($E41="",$F41=""),"",$F41*VLOOKUP($E41,CONFIG!$A$4:$C$5,3,0))</f>
        <v/>
      </c>
      <c r="I41" s="11" t="str">
        <f>IF(OR($E41="",$F41=""),"",IF(AND($B41="IN LOCO FOODS",$E41="5L"),ROUNDUP($F41/CONFIG!$C$31,0),ROUNDUP($F41/VLOOKUP($E41,CONFIG!$A$4:$D$5,4,0),0)))</f>
        <v/>
      </c>
    </row>
    <row r="42" spans="1:9" x14ac:dyDescent="0.3">
      <c r="A42" s="12"/>
      <c r="B42" s="13"/>
      <c r="C42" s="14"/>
      <c r="D42" s="14"/>
      <c r="E42" s="13"/>
      <c r="F42" s="15"/>
      <c r="G42" s="13" t="str">
        <f>IF($E42="","",VLOOKUP($E42,CONFIG!$A$4:$B$5,2,0))</f>
        <v/>
      </c>
      <c r="H42" s="16" t="str">
        <f>IF(OR($E42="",$F42=""),"",$F42*VLOOKUP($E42,CONFIG!$A$4:$C$5,3,0))</f>
        <v/>
      </c>
      <c r="I42" s="11" t="str">
        <f>IF(OR($E42="",$F42=""),"",IF(AND($B42="IN LOCO FOODS",$E42="5L"),ROUNDUP($F42/CONFIG!$C$31,0),ROUNDUP($F42/VLOOKUP($E42,CONFIG!$A$4:$D$5,4,0),0)))</f>
        <v/>
      </c>
    </row>
    <row r="43" spans="1:9" x14ac:dyDescent="0.3">
      <c r="A43" s="6"/>
      <c r="B43" s="7"/>
      <c r="C43" s="8"/>
      <c r="D43" s="8"/>
      <c r="E43" s="7"/>
      <c r="F43" s="9"/>
      <c r="G43" s="7" t="str">
        <f>IF($E43="","",VLOOKUP($E43,CONFIG!$A$4:$B$5,2,0))</f>
        <v/>
      </c>
      <c r="H43" s="10" t="str">
        <f>IF(OR($E43="",$F43=""),"",$F43*VLOOKUP($E43,CONFIG!$A$4:$C$5,3,0))</f>
        <v/>
      </c>
      <c r="I43" s="11" t="str">
        <f>IF(OR($E43="",$F43=""),"",IF(AND($B43="IN LOCO FOODS",$E43="5L"),ROUNDUP($F43/CONFIG!$C$31,0),ROUNDUP($F43/VLOOKUP($E43,CONFIG!$A$4:$D$5,4,0),0)))</f>
        <v/>
      </c>
    </row>
    <row r="44" spans="1:9" x14ac:dyDescent="0.3">
      <c r="A44" s="12"/>
      <c r="B44" s="13"/>
      <c r="C44" s="14"/>
      <c r="D44" s="14"/>
      <c r="E44" s="13"/>
      <c r="F44" s="15"/>
      <c r="G44" s="13" t="str">
        <f>IF($E44="","",VLOOKUP($E44,CONFIG!$A$4:$B$5,2,0))</f>
        <v/>
      </c>
      <c r="H44" s="16" t="str">
        <f>IF(OR($E44="",$F44=""),"",$F44*VLOOKUP($E44,CONFIG!$A$4:$C$5,3,0))</f>
        <v/>
      </c>
      <c r="I44" s="11" t="str">
        <f>IF(OR($E44="",$F44=""),"",IF(AND($B44="IN LOCO FOODS",$E44="5L"),ROUNDUP($F44/CONFIG!$C$31,0),ROUNDUP($F44/VLOOKUP($E44,CONFIG!$A$4:$D$5,4,0),0)))</f>
        <v/>
      </c>
    </row>
    <row r="45" spans="1:9" x14ac:dyDescent="0.3">
      <c r="A45" s="6"/>
      <c r="B45" s="7"/>
      <c r="C45" s="8"/>
      <c r="D45" s="8"/>
      <c r="E45" s="7"/>
      <c r="F45" s="9"/>
      <c r="G45" s="7" t="str">
        <f>IF($E45="","",VLOOKUP($E45,CONFIG!$A$4:$B$5,2,0))</f>
        <v/>
      </c>
      <c r="H45" s="10" t="str">
        <f>IF(OR($E45="",$F45=""),"",$F45*VLOOKUP($E45,CONFIG!$A$4:$C$5,3,0))</f>
        <v/>
      </c>
      <c r="I45" s="11" t="str">
        <f>IF(OR($E45="",$F45=""),"",IF(AND($B45="IN LOCO FOODS",$E45="5L"),ROUNDUP($F45/CONFIG!$C$31,0),ROUNDUP($F45/VLOOKUP($E45,CONFIG!$A$4:$D$5,4,0),0)))</f>
        <v/>
      </c>
    </row>
    <row r="46" spans="1:9" x14ac:dyDescent="0.3">
      <c r="A46" s="12"/>
      <c r="B46" s="13"/>
      <c r="C46" s="14"/>
      <c r="D46" s="14"/>
      <c r="E46" s="13"/>
      <c r="F46" s="15"/>
      <c r="G46" s="13" t="str">
        <f>IF($E46="","",VLOOKUP($E46,CONFIG!$A$4:$B$5,2,0))</f>
        <v/>
      </c>
      <c r="H46" s="16" t="str">
        <f>IF(OR($E46="",$F46=""),"",$F46*VLOOKUP($E46,CONFIG!$A$4:$C$5,3,0))</f>
        <v/>
      </c>
      <c r="I46" s="11" t="str">
        <f>IF(OR($E46="",$F46=""),"",IF(AND($B46="IN LOCO FOODS",$E46="5L"),ROUNDUP($F46/CONFIG!$C$31,0),ROUNDUP($F46/VLOOKUP($E46,CONFIG!$A$4:$D$5,4,0),0)))</f>
        <v/>
      </c>
    </row>
    <row r="47" spans="1:9" x14ac:dyDescent="0.3">
      <c r="A47" s="6"/>
      <c r="B47" s="7"/>
      <c r="C47" s="8"/>
      <c r="D47" s="8"/>
      <c r="E47" s="7"/>
      <c r="F47" s="9"/>
      <c r="G47" s="7" t="str">
        <f>IF($E47="","",VLOOKUP($E47,CONFIG!$A$4:$B$5,2,0))</f>
        <v/>
      </c>
      <c r="H47" s="10" t="str">
        <f>IF(OR($E47="",$F47=""),"",$F47*VLOOKUP($E47,CONFIG!$A$4:$C$5,3,0))</f>
        <v/>
      </c>
      <c r="I47" s="11" t="str">
        <f>IF(OR($E47="",$F47=""),"",IF(AND($B47="IN LOCO FOODS",$E47="5L"),ROUNDUP($F47/CONFIG!$C$31,0),ROUNDUP($F47/VLOOKUP($E47,CONFIG!$A$4:$D$5,4,0),0)))</f>
        <v/>
      </c>
    </row>
    <row r="48" spans="1:9" x14ac:dyDescent="0.3">
      <c r="A48" s="12"/>
      <c r="B48" s="13"/>
      <c r="C48" s="14"/>
      <c r="D48" s="14"/>
      <c r="E48" s="13"/>
      <c r="F48" s="15"/>
      <c r="G48" s="13" t="str">
        <f>IF($E48="","",VLOOKUP($E48,CONFIG!$A$4:$B$5,2,0))</f>
        <v/>
      </c>
      <c r="H48" s="16" t="str">
        <f>IF(OR($E48="",$F48=""),"",$F48*VLOOKUP($E48,CONFIG!$A$4:$C$5,3,0))</f>
        <v/>
      </c>
      <c r="I48" s="11" t="str">
        <f>IF(OR($E48="",$F48=""),"",IF(AND($B48="IN LOCO FOODS",$E48="5L"),ROUNDUP($F48/CONFIG!$C$31,0),ROUNDUP($F48/VLOOKUP($E48,CONFIG!$A$4:$D$5,4,0),0)))</f>
        <v/>
      </c>
    </row>
    <row r="49" spans="1:9" x14ac:dyDescent="0.3">
      <c r="A49" s="6"/>
      <c r="B49" s="7"/>
      <c r="C49" s="8"/>
      <c r="D49" s="8"/>
      <c r="E49" s="7"/>
      <c r="F49" s="9"/>
      <c r="G49" s="7" t="str">
        <f>IF($E49="","",VLOOKUP($E49,CONFIG!$A$4:$B$5,2,0))</f>
        <v/>
      </c>
      <c r="H49" s="10" t="str">
        <f>IF(OR($E49="",$F49=""),"",$F49*VLOOKUP($E49,CONFIG!$A$4:$C$5,3,0))</f>
        <v/>
      </c>
      <c r="I49" s="11" t="str">
        <f>IF(OR($E49="",$F49=""),"",IF(AND($B49="IN LOCO FOODS",$E49="5L"),ROUNDUP($F49/CONFIG!$C$31,0),ROUNDUP($F49/VLOOKUP($E49,CONFIG!$A$4:$D$5,4,0),0)))</f>
        <v/>
      </c>
    </row>
    <row r="50" spans="1:9" x14ac:dyDescent="0.3">
      <c r="A50" s="12"/>
      <c r="B50" s="13"/>
      <c r="C50" s="14"/>
      <c r="D50" s="14"/>
      <c r="E50" s="13"/>
      <c r="F50" s="15"/>
      <c r="G50" s="13" t="str">
        <f>IF($E50="","",VLOOKUP($E50,CONFIG!$A$4:$B$5,2,0))</f>
        <v/>
      </c>
      <c r="H50" s="16" t="str">
        <f>IF(OR($E50="",$F50=""),"",$F50*VLOOKUP($E50,CONFIG!$A$4:$C$5,3,0))</f>
        <v/>
      </c>
      <c r="I50" s="11" t="str">
        <f>IF(OR($E50="",$F50=""),"",IF(AND($B50="IN LOCO FOODS",$E50="5L"),ROUNDUP($F50/CONFIG!$C$31,0),ROUNDUP($F50/VLOOKUP($E50,CONFIG!$A$4:$D$5,4,0),0)))</f>
        <v/>
      </c>
    </row>
    <row r="51" spans="1:9" x14ac:dyDescent="0.3">
      <c r="A51" s="6"/>
      <c r="B51" s="7"/>
      <c r="C51" s="8"/>
      <c r="D51" s="8"/>
      <c r="E51" s="7"/>
      <c r="F51" s="9"/>
      <c r="G51" s="7" t="str">
        <f>IF($E51="","",VLOOKUP($E51,CONFIG!$A$4:$B$5,2,0))</f>
        <v/>
      </c>
      <c r="H51" s="10" t="str">
        <f>IF(OR($E51="",$F51=""),"",$F51*VLOOKUP($E51,CONFIG!$A$4:$C$5,3,0))</f>
        <v/>
      </c>
      <c r="I51" s="11" t="str">
        <f>IF(OR($E51="",$F51=""),"",IF(AND($B51="IN LOCO FOODS",$E51="5L"),ROUNDUP($F51/CONFIG!$C$31,0),ROUNDUP($F51/VLOOKUP($E51,CONFIG!$A$4:$D$5,4,0),0)))</f>
        <v/>
      </c>
    </row>
    <row r="52" spans="1:9" x14ac:dyDescent="0.3">
      <c r="A52" s="12"/>
      <c r="B52" s="13"/>
      <c r="C52" s="14"/>
      <c r="D52" s="14"/>
      <c r="E52" s="13"/>
      <c r="F52" s="15"/>
      <c r="G52" s="13" t="str">
        <f>IF($E52="","",VLOOKUP($E52,CONFIG!$A$4:$B$5,2,0))</f>
        <v/>
      </c>
      <c r="H52" s="16" t="str">
        <f>IF(OR($E52="",$F52=""),"",$F52*VLOOKUP($E52,CONFIG!$A$4:$C$5,3,0))</f>
        <v/>
      </c>
      <c r="I52" s="11" t="str">
        <f>IF(OR($E52="",$F52=""),"",IF(AND($B52="IN LOCO FOODS",$E52="5L"),ROUNDUP($F52/CONFIG!$C$31,0),ROUNDUP($F52/VLOOKUP($E52,CONFIG!$A$4:$D$5,4,0),0)))</f>
        <v/>
      </c>
    </row>
    <row r="53" spans="1:9" x14ac:dyDescent="0.3">
      <c r="A53" s="6"/>
      <c r="B53" s="7"/>
      <c r="C53" s="8"/>
      <c r="D53" s="8"/>
      <c r="E53" s="7"/>
      <c r="F53" s="9"/>
      <c r="G53" s="7" t="str">
        <f>IF($E53="","",VLOOKUP($E53,CONFIG!$A$4:$B$5,2,0))</f>
        <v/>
      </c>
      <c r="H53" s="10" t="str">
        <f>IF(OR($E53="",$F53=""),"",$F53*VLOOKUP($E53,CONFIG!$A$4:$C$5,3,0))</f>
        <v/>
      </c>
      <c r="I53" s="11" t="str">
        <f>IF(OR($E53="",$F53=""),"",IF(AND($B53="IN LOCO FOODS",$E53="5L"),ROUNDUP($F53/CONFIG!$C$31,0),ROUNDUP($F53/VLOOKUP($E53,CONFIG!$A$4:$D$5,4,0),0)))</f>
        <v/>
      </c>
    </row>
    <row r="54" spans="1:9" x14ac:dyDescent="0.3">
      <c r="A54" s="12"/>
      <c r="B54" s="13"/>
      <c r="C54" s="14"/>
      <c r="D54" s="14"/>
      <c r="E54" s="13"/>
      <c r="F54" s="15"/>
      <c r="G54" s="13" t="str">
        <f>IF($E54="","",VLOOKUP($E54,CONFIG!$A$4:$B$5,2,0))</f>
        <v/>
      </c>
      <c r="H54" s="16" t="str">
        <f>IF(OR($E54="",$F54=""),"",$F54*VLOOKUP($E54,CONFIG!$A$4:$C$5,3,0))</f>
        <v/>
      </c>
      <c r="I54" s="11" t="str">
        <f>IF(OR($E54="",$F54=""),"",IF(AND($B54="IN LOCO FOODS",$E54="5L"),ROUNDUP($F54/CONFIG!$C$31,0),ROUNDUP($F54/VLOOKUP($E54,CONFIG!$A$4:$D$5,4,0),0)))</f>
        <v/>
      </c>
    </row>
    <row r="55" spans="1:9" x14ac:dyDescent="0.3">
      <c r="A55" s="6"/>
      <c r="B55" s="7"/>
      <c r="C55" s="8"/>
      <c r="D55" s="8"/>
      <c r="E55" s="7"/>
      <c r="F55" s="9"/>
      <c r="G55" s="7" t="str">
        <f>IF($E55="","",VLOOKUP($E55,CONFIG!$A$4:$B$5,2,0))</f>
        <v/>
      </c>
      <c r="H55" s="10" t="str">
        <f>IF(OR($E55="",$F55=""),"",$F55*VLOOKUP($E55,CONFIG!$A$4:$C$5,3,0))</f>
        <v/>
      </c>
      <c r="I55" s="11" t="str">
        <f>IF(OR($E55="",$F55=""),"",IF(AND($B55="IN LOCO FOODS",$E55="5L"),ROUNDUP($F55/CONFIG!$C$31,0),ROUNDUP($F55/VLOOKUP($E55,CONFIG!$A$4:$D$5,4,0),0)))</f>
        <v/>
      </c>
    </row>
    <row r="56" spans="1:9" x14ac:dyDescent="0.3">
      <c r="A56" s="12"/>
      <c r="B56" s="13"/>
      <c r="C56" s="14"/>
      <c r="D56" s="14"/>
      <c r="E56" s="13"/>
      <c r="F56" s="15"/>
      <c r="G56" s="13" t="str">
        <f>IF($E56="","",VLOOKUP($E56,CONFIG!$A$4:$B$5,2,0))</f>
        <v/>
      </c>
      <c r="H56" s="16" t="str">
        <f>IF(OR($E56="",$F56=""),"",$F56*VLOOKUP($E56,CONFIG!$A$4:$C$5,3,0))</f>
        <v/>
      </c>
      <c r="I56" s="11" t="str">
        <f>IF(OR($E56="",$F56=""),"",IF(AND($B56="IN LOCO FOODS",$E56="5L"),ROUNDUP($F56/CONFIG!$C$31,0),ROUNDUP($F56/VLOOKUP($E56,CONFIG!$A$4:$D$5,4,0),0)))</f>
        <v/>
      </c>
    </row>
    <row r="57" spans="1:9" x14ac:dyDescent="0.3">
      <c r="A57" s="6"/>
      <c r="B57" s="7"/>
      <c r="C57" s="8"/>
      <c r="D57" s="8"/>
      <c r="E57" s="7"/>
      <c r="F57" s="9"/>
      <c r="G57" s="7" t="str">
        <f>IF($E57="","",VLOOKUP($E57,CONFIG!$A$4:$B$5,2,0))</f>
        <v/>
      </c>
      <c r="H57" s="10" t="str">
        <f>IF(OR($E57="",$F57=""),"",$F57*VLOOKUP($E57,CONFIG!$A$4:$C$5,3,0))</f>
        <v/>
      </c>
      <c r="I57" s="11" t="str">
        <f>IF(OR($E57="",$F57=""),"",IF(AND($B57="IN LOCO FOODS",$E57="5L"),ROUNDUP($F57/CONFIG!$C$31,0),ROUNDUP($F57/VLOOKUP($E57,CONFIG!$A$4:$D$5,4,0),0)))</f>
        <v/>
      </c>
    </row>
    <row r="58" spans="1:9" x14ac:dyDescent="0.3">
      <c r="A58" s="12"/>
      <c r="B58" s="13"/>
      <c r="C58" s="14"/>
      <c r="D58" s="14"/>
      <c r="E58" s="13"/>
      <c r="F58" s="15"/>
      <c r="G58" s="13" t="str">
        <f>IF($E58="","",VLOOKUP($E58,CONFIG!$A$4:$B$5,2,0))</f>
        <v/>
      </c>
      <c r="H58" s="16" t="str">
        <f>IF(OR($E58="",$F58=""),"",$F58*VLOOKUP($E58,CONFIG!$A$4:$C$5,3,0))</f>
        <v/>
      </c>
      <c r="I58" s="11" t="str">
        <f>IF(OR($E58="",$F58=""),"",IF(AND($B58="IN LOCO FOODS",$E58="5L"),ROUNDUP($F58/CONFIG!$C$31,0),ROUNDUP($F58/VLOOKUP($E58,CONFIG!$A$4:$D$5,4,0),0)))</f>
        <v/>
      </c>
    </row>
    <row r="59" spans="1:9" x14ac:dyDescent="0.3">
      <c r="A59" s="6"/>
      <c r="B59" s="7"/>
      <c r="C59" s="8"/>
      <c r="D59" s="8"/>
      <c r="E59" s="7"/>
      <c r="F59" s="9"/>
      <c r="G59" s="7" t="str">
        <f>IF($E59="","",VLOOKUP($E59,CONFIG!$A$4:$B$5,2,0))</f>
        <v/>
      </c>
      <c r="H59" s="10" t="str">
        <f>IF(OR($E59="",$F59=""),"",$F59*VLOOKUP($E59,CONFIG!$A$4:$C$5,3,0))</f>
        <v/>
      </c>
      <c r="I59" s="11" t="str">
        <f>IF(OR($E59="",$F59=""),"",IF(AND($B59="IN LOCO FOODS",$E59="5L"),ROUNDUP($F59/CONFIG!$C$31,0),ROUNDUP($F59/VLOOKUP($E59,CONFIG!$A$4:$D$5,4,0),0)))</f>
        <v/>
      </c>
    </row>
    <row r="60" spans="1:9" x14ac:dyDescent="0.3">
      <c r="A60" s="12"/>
      <c r="B60" s="13"/>
      <c r="C60" s="14"/>
      <c r="D60" s="14"/>
      <c r="E60" s="13"/>
      <c r="F60" s="15"/>
      <c r="G60" s="13" t="str">
        <f>IF($E60="","",VLOOKUP($E60,CONFIG!$A$4:$B$5,2,0))</f>
        <v/>
      </c>
      <c r="H60" s="16" t="str">
        <f>IF(OR($E60="",$F60=""),"",$F60*VLOOKUP($E60,CONFIG!$A$4:$C$5,3,0))</f>
        <v/>
      </c>
      <c r="I60" s="11" t="str">
        <f>IF(OR($E60="",$F60=""),"",IF(AND($B60="IN LOCO FOODS",$E60="5L"),ROUNDUP($F60/CONFIG!$C$31,0),ROUNDUP($F60/VLOOKUP($E60,CONFIG!$A$4:$D$5,4,0),0)))</f>
        <v/>
      </c>
    </row>
    <row r="61" spans="1:9" x14ac:dyDescent="0.3">
      <c r="A61" s="6"/>
      <c r="B61" s="7"/>
      <c r="C61" s="8"/>
      <c r="D61" s="8"/>
      <c r="E61" s="7"/>
      <c r="F61" s="9"/>
      <c r="G61" s="7" t="str">
        <f>IF($E61="","",VLOOKUP($E61,CONFIG!$A$4:$B$5,2,0))</f>
        <v/>
      </c>
      <c r="H61" s="10" t="str">
        <f>IF(OR($E61="",$F61=""),"",$F61*VLOOKUP($E61,CONFIG!$A$4:$C$5,3,0))</f>
        <v/>
      </c>
      <c r="I61" s="11" t="str">
        <f>IF(OR($E61="",$F61=""),"",IF(AND($B61="IN LOCO FOODS",$E61="5L"),ROUNDUP($F61/CONFIG!$C$31,0),ROUNDUP($F61/VLOOKUP($E61,CONFIG!$A$4:$D$5,4,0),0)))</f>
        <v/>
      </c>
    </row>
    <row r="62" spans="1:9" x14ac:dyDescent="0.3">
      <c r="A62" s="12"/>
      <c r="B62" s="13"/>
      <c r="C62" s="14"/>
      <c r="D62" s="14"/>
      <c r="E62" s="13"/>
      <c r="F62" s="15"/>
      <c r="G62" s="13" t="str">
        <f>IF($E62="","",VLOOKUP($E62,CONFIG!$A$4:$B$5,2,0))</f>
        <v/>
      </c>
      <c r="H62" s="16" t="str">
        <f>IF(OR($E62="",$F62=""),"",$F62*VLOOKUP($E62,CONFIG!$A$4:$C$5,3,0))</f>
        <v/>
      </c>
      <c r="I62" s="11" t="str">
        <f>IF(OR($E62="",$F62=""),"",IF(AND($B62="IN LOCO FOODS",$E62="5L"),ROUNDUP($F62/CONFIG!$C$31,0),ROUNDUP($F62/VLOOKUP($E62,CONFIG!$A$4:$D$5,4,0),0)))</f>
        <v/>
      </c>
    </row>
    <row r="63" spans="1:9" x14ac:dyDescent="0.3">
      <c r="A63" s="6"/>
      <c r="B63" s="7"/>
      <c r="C63" s="8"/>
      <c r="D63" s="8"/>
      <c r="E63" s="7"/>
      <c r="F63" s="9"/>
      <c r="G63" s="7" t="str">
        <f>IF($E63="","",VLOOKUP($E63,CONFIG!$A$4:$B$5,2,0))</f>
        <v/>
      </c>
      <c r="H63" s="10" t="str">
        <f>IF(OR($E63="",$F63=""),"",$F63*VLOOKUP($E63,CONFIG!$A$4:$C$5,3,0))</f>
        <v/>
      </c>
      <c r="I63" s="11" t="str">
        <f>IF(OR($E63="",$F63=""),"",IF(AND($B63="IN LOCO FOODS",$E63="5L"),ROUNDUP($F63/CONFIG!$C$31,0),ROUNDUP($F63/VLOOKUP($E63,CONFIG!$A$4:$D$5,4,0),0)))</f>
        <v/>
      </c>
    </row>
    <row r="64" spans="1:9" x14ac:dyDescent="0.3">
      <c r="A64" s="12"/>
      <c r="B64" s="13"/>
      <c r="C64" s="14"/>
      <c r="D64" s="14"/>
      <c r="E64" s="13"/>
      <c r="F64" s="15"/>
      <c r="G64" s="13" t="str">
        <f>IF($E64="","",VLOOKUP($E64,CONFIG!$A$4:$B$5,2,0))</f>
        <v/>
      </c>
      <c r="H64" s="16" t="str">
        <f>IF(OR($E64="",$F64=""),"",$F64*VLOOKUP($E64,CONFIG!$A$4:$C$5,3,0))</f>
        <v/>
      </c>
      <c r="I64" s="11" t="str">
        <f>IF(OR($E64="",$F64=""),"",IF(AND($B64="IN LOCO FOODS",$E64="5L"),ROUNDUP($F64/CONFIG!$C$31,0),ROUNDUP($F64/VLOOKUP($E64,CONFIG!$A$4:$D$5,4,0),0)))</f>
        <v/>
      </c>
    </row>
    <row r="65" spans="1:9" x14ac:dyDescent="0.3">
      <c r="A65" s="6"/>
      <c r="B65" s="7"/>
      <c r="C65" s="8"/>
      <c r="D65" s="8"/>
      <c r="E65" s="7"/>
      <c r="F65" s="9"/>
      <c r="G65" s="7" t="str">
        <f>IF($E65="","",VLOOKUP($E65,CONFIG!$A$4:$B$5,2,0))</f>
        <v/>
      </c>
      <c r="H65" s="10" t="str">
        <f>IF(OR($E65="",$F65=""),"",$F65*VLOOKUP($E65,CONFIG!$A$4:$C$5,3,0))</f>
        <v/>
      </c>
      <c r="I65" s="11" t="str">
        <f>IF(OR($E65="",$F65=""),"",IF(AND($B65="IN LOCO FOODS",$E65="5L"),ROUNDUP($F65/CONFIG!$C$31,0),ROUNDUP($F65/VLOOKUP($E65,CONFIG!$A$4:$D$5,4,0),0)))</f>
        <v/>
      </c>
    </row>
    <row r="66" spans="1:9" x14ac:dyDescent="0.3">
      <c r="A66" s="12"/>
      <c r="B66" s="13"/>
      <c r="C66" s="14"/>
      <c r="D66" s="14"/>
      <c r="E66" s="13"/>
      <c r="F66" s="15"/>
      <c r="G66" s="13" t="str">
        <f>IF($E66="","",VLOOKUP($E66,CONFIG!$A$4:$B$5,2,0))</f>
        <v/>
      </c>
      <c r="H66" s="16" t="str">
        <f>IF(OR($E66="",$F66=""),"",$F66*VLOOKUP($E66,CONFIG!$A$4:$C$5,3,0))</f>
        <v/>
      </c>
      <c r="I66" s="11" t="str">
        <f>IF(OR($E66="",$F66=""),"",IF(AND($B66="IN LOCO FOODS",$E66="5L"),ROUNDUP($F66/CONFIG!$C$31,0),ROUNDUP($F66/VLOOKUP($E66,CONFIG!$A$4:$D$5,4,0),0)))</f>
        <v/>
      </c>
    </row>
    <row r="67" spans="1:9" x14ac:dyDescent="0.3">
      <c r="A67" s="6"/>
      <c r="B67" s="7"/>
      <c r="C67" s="8"/>
      <c r="D67" s="8"/>
      <c r="E67" s="7"/>
      <c r="F67" s="9"/>
      <c r="G67" s="7" t="str">
        <f>IF($E67="","",VLOOKUP($E67,CONFIG!$A$4:$B$5,2,0))</f>
        <v/>
      </c>
      <c r="H67" s="10" t="str">
        <f>IF(OR($E67="",$F67=""),"",$F67*VLOOKUP($E67,CONFIG!$A$4:$C$5,3,0))</f>
        <v/>
      </c>
      <c r="I67" s="11" t="str">
        <f>IF(OR($E67="",$F67=""),"",IF(AND($B67="IN LOCO FOODS",$E67="5L"),ROUNDUP($F67/CONFIG!$C$31,0),ROUNDUP($F67/VLOOKUP($E67,CONFIG!$A$4:$D$5,4,0),0)))</f>
        <v/>
      </c>
    </row>
    <row r="68" spans="1:9" x14ac:dyDescent="0.3">
      <c r="A68" s="12"/>
      <c r="B68" s="13"/>
      <c r="C68" s="14"/>
      <c r="D68" s="14"/>
      <c r="E68" s="13"/>
      <c r="F68" s="15"/>
      <c r="G68" s="13" t="str">
        <f>IF($E68="","",VLOOKUP($E68,CONFIG!$A$4:$B$5,2,0))</f>
        <v/>
      </c>
      <c r="H68" s="16" t="str">
        <f>IF(OR($E68="",$F68=""),"",$F68*VLOOKUP($E68,CONFIG!$A$4:$C$5,3,0))</f>
        <v/>
      </c>
      <c r="I68" s="11" t="str">
        <f>IF(OR($E68="",$F68=""),"",IF(AND($B68="IN LOCO FOODS",$E68="5L"),ROUNDUP($F68/CONFIG!$C$31,0),ROUNDUP($F68/VLOOKUP($E68,CONFIG!$A$4:$D$5,4,0),0)))</f>
        <v/>
      </c>
    </row>
    <row r="69" spans="1:9" x14ac:dyDescent="0.3">
      <c r="A69" s="6"/>
      <c r="B69" s="7"/>
      <c r="C69" s="8"/>
      <c r="D69" s="8"/>
      <c r="E69" s="7"/>
      <c r="F69" s="9"/>
      <c r="G69" s="7" t="str">
        <f>IF($E69="","",VLOOKUP($E69,CONFIG!$A$4:$B$5,2,0))</f>
        <v/>
      </c>
      <c r="H69" s="10" t="str">
        <f>IF(OR($E69="",$F69=""),"",$F69*VLOOKUP($E69,CONFIG!$A$4:$C$5,3,0))</f>
        <v/>
      </c>
      <c r="I69" s="11" t="str">
        <f>IF(OR($E69="",$F69=""),"",IF(AND($B69="IN LOCO FOODS",$E69="5L"),ROUNDUP($F69/CONFIG!$C$31,0),ROUNDUP($F69/VLOOKUP($E69,CONFIG!$A$4:$D$5,4,0),0)))</f>
        <v/>
      </c>
    </row>
    <row r="70" spans="1:9" x14ac:dyDescent="0.3">
      <c r="A70" s="12"/>
      <c r="B70" s="13"/>
      <c r="C70" s="14"/>
      <c r="D70" s="14"/>
      <c r="E70" s="13"/>
      <c r="F70" s="15"/>
      <c r="G70" s="13" t="str">
        <f>IF($E70="","",VLOOKUP($E70,CONFIG!$A$4:$B$5,2,0))</f>
        <v/>
      </c>
      <c r="H70" s="16" t="str">
        <f>IF(OR($E70="",$F70=""),"",$F70*VLOOKUP($E70,CONFIG!$A$4:$C$5,3,0))</f>
        <v/>
      </c>
      <c r="I70" s="11" t="str">
        <f>IF(OR($E70="",$F70=""),"",IF(AND($B70="IN LOCO FOODS",$E70="5L"),ROUNDUP($F70/CONFIG!$C$31,0),ROUNDUP($F70/VLOOKUP($E70,CONFIG!$A$4:$D$5,4,0),0)))</f>
        <v/>
      </c>
    </row>
    <row r="71" spans="1:9" x14ac:dyDescent="0.3">
      <c r="A71" s="6"/>
      <c r="B71" s="7"/>
      <c r="C71" s="8"/>
      <c r="D71" s="8"/>
      <c r="E71" s="7"/>
      <c r="F71" s="9"/>
      <c r="G71" s="7" t="str">
        <f>IF($E71="","",VLOOKUP($E71,CONFIG!$A$4:$B$5,2,0))</f>
        <v/>
      </c>
      <c r="H71" s="10" t="str">
        <f>IF(OR($E71="",$F71=""),"",$F71*VLOOKUP($E71,CONFIG!$A$4:$C$5,3,0))</f>
        <v/>
      </c>
      <c r="I71" s="11" t="str">
        <f>IF(OR($E71="",$F71=""),"",IF(AND($B71="IN LOCO FOODS",$E71="5L"),ROUNDUP($F71/CONFIG!$C$31,0),ROUNDUP($F71/VLOOKUP($E71,CONFIG!$A$4:$D$5,4,0),0)))</f>
        <v/>
      </c>
    </row>
    <row r="72" spans="1:9" x14ac:dyDescent="0.3">
      <c r="A72" s="12"/>
      <c r="B72" s="13"/>
      <c r="C72" s="14"/>
      <c r="D72" s="14"/>
      <c r="E72" s="13"/>
      <c r="F72" s="15"/>
      <c r="G72" s="13" t="str">
        <f>IF($E72="","",VLOOKUP($E72,CONFIG!$A$4:$B$5,2,0))</f>
        <v/>
      </c>
      <c r="H72" s="16" t="str">
        <f>IF(OR($E72="",$F72=""),"",$F72*VLOOKUP($E72,CONFIG!$A$4:$C$5,3,0))</f>
        <v/>
      </c>
      <c r="I72" s="11" t="str">
        <f>IF(OR($E72="",$F72=""),"",IF(AND($B72="IN LOCO FOODS",$E72="5L"),ROUNDUP($F72/CONFIG!$C$31,0),ROUNDUP($F72/VLOOKUP($E72,CONFIG!$A$4:$D$5,4,0),0)))</f>
        <v/>
      </c>
    </row>
    <row r="73" spans="1:9" x14ac:dyDescent="0.3">
      <c r="A73" s="6"/>
      <c r="B73" s="7"/>
      <c r="C73" s="8"/>
      <c r="D73" s="8"/>
      <c r="E73" s="7"/>
      <c r="F73" s="9"/>
      <c r="G73" s="7" t="str">
        <f>IF($E73="","",VLOOKUP($E73,CONFIG!$A$4:$B$5,2,0))</f>
        <v/>
      </c>
      <c r="H73" s="10" t="str">
        <f>IF(OR($E73="",$F73=""),"",$F73*VLOOKUP($E73,CONFIG!$A$4:$C$5,3,0))</f>
        <v/>
      </c>
      <c r="I73" s="11" t="str">
        <f>IF(OR($E73="",$F73=""),"",IF(AND($B73="IN LOCO FOODS",$E73="5L"),ROUNDUP($F73/CONFIG!$C$31,0),ROUNDUP($F73/VLOOKUP($E73,CONFIG!$A$4:$D$5,4,0),0)))</f>
        <v/>
      </c>
    </row>
    <row r="74" spans="1:9" x14ac:dyDescent="0.3">
      <c r="A74" s="12"/>
      <c r="B74" s="13"/>
      <c r="C74" s="14"/>
      <c r="D74" s="14"/>
      <c r="E74" s="13"/>
      <c r="F74" s="15"/>
      <c r="G74" s="13" t="str">
        <f>IF($E74="","",VLOOKUP($E74,CONFIG!$A$4:$B$5,2,0))</f>
        <v/>
      </c>
      <c r="H74" s="16" t="str">
        <f>IF(OR($E74="",$F74=""),"",$F74*VLOOKUP($E74,CONFIG!$A$4:$C$5,3,0))</f>
        <v/>
      </c>
      <c r="I74" s="11" t="str">
        <f>IF(OR($E74="",$F74=""),"",IF(AND($B74="IN LOCO FOODS",$E74="5L"),ROUNDUP($F74/CONFIG!$C$31,0),ROUNDUP($F74/VLOOKUP($E74,CONFIG!$A$4:$D$5,4,0),0)))</f>
        <v/>
      </c>
    </row>
    <row r="75" spans="1:9" x14ac:dyDescent="0.3">
      <c r="A75" s="6"/>
      <c r="B75" s="7"/>
      <c r="C75" s="8"/>
      <c r="D75" s="8"/>
      <c r="E75" s="7"/>
      <c r="F75" s="9"/>
      <c r="G75" s="7" t="str">
        <f>IF($E75="","",VLOOKUP($E75,CONFIG!$A$4:$B$5,2,0))</f>
        <v/>
      </c>
      <c r="H75" s="10" t="str">
        <f>IF(OR($E75="",$F75=""),"",$F75*VLOOKUP($E75,CONFIG!$A$4:$C$5,3,0))</f>
        <v/>
      </c>
      <c r="I75" s="11" t="str">
        <f>IF(OR($E75="",$F75=""),"",IF(AND($B75="IN LOCO FOODS",$E75="5L"),ROUNDUP($F75/CONFIG!$C$31,0),ROUNDUP($F75/VLOOKUP($E75,CONFIG!$A$4:$D$5,4,0),0)))</f>
        <v/>
      </c>
    </row>
    <row r="76" spans="1:9" x14ac:dyDescent="0.3">
      <c r="A76" s="12"/>
      <c r="B76" s="13"/>
      <c r="C76" s="14"/>
      <c r="D76" s="14"/>
      <c r="E76" s="13"/>
      <c r="F76" s="15"/>
      <c r="G76" s="13" t="str">
        <f>IF($E76="","",VLOOKUP($E76,CONFIG!$A$4:$B$5,2,0))</f>
        <v/>
      </c>
      <c r="H76" s="16" t="str">
        <f>IF(OR($E76="",$F76=""),"",$F76*VLOOKUP($E76,CONFIG!$A$4:$C$5,3,0))</f>
        <v/>
      </c>
      <c r="I76" s="11" t="str">
        <f>IF(OR($E76="",$F76=""),"",IF(AND($B76="IN LOCO FOODS",$E76="5L"),ROUNDUP($F76/CONFIG!$C$31,0),ROUNDUP($F76/VLOOKUP($E76,CONFIG!$A$4:$D$5,4,0),0)))</f>
        <v/>
      </c>
    </row>
    <row r="77" spans="1:9" x14ac:dyDescent="0.3">
      <c r="A77" s="6"/>
      <c r="B77" s="7"/>
      <c r="C77" s="8"/>
      <c r="D77" s="8"/>
      <c r="E77" s="7"/>
      <c r="F77" s="9"/>
      <c r="G77" s="7" t="str">
        <f>IF($E77="","",VLOOKUP($E77,CONFIG!$A$4:$B$5,2,0))</f>
        <v/>
      </c>
      <c r="H77" s="10" t="str">
        <f>IF(OR($E77="",$F77=""),"",$F77*VLOOKUP($E77,CONFIG!$A$4:$C$5,3,0))</f>
        <v/>
      </c>
      <c r="I77" s="11" t="str">
        <f>IF(OR($E77="",$F77=""),"",IF(AND($B77="IN LOCO FOODS",$E77="5L"),ROUNDUP($F77/CONFIG!$C$31,0),ROUNDUP($F77/VLOOKUP($E77,CONFIG!$A$4:$D$5,4,0),0)))</f>
        <v/>
      </c>
    </row>
    <row r="78" spans="1:9" x14ac:dyDescent="0.3">
      <c r="A78" s="12"/>
      <c r="B78" s="13"/>
      <c r="C78" s="14"/>
      <c r="D78" s="14"/>
      <c r="E78" s="13"/>
      <c r="F78" s="15"/>
      <c r="G78" s="13" t="str">
        <f>IF($E78="","",VLOOKUP($E78,CONFIG!$A$4:$B$5,2,0))</f>
        <v/>
      </c>
      <c r="H78" s="16" t="str">
        <f>IF(OR($E78="",$F78=""),"",$F78*VLOOKUP($E78,CONFIG!$A$4:$C$5,3,0))</f>
        <v/>
      </c>
      <c r="I78" s="11" t="str">
        <f>IF(OR($E78="",$F78=""),"",IF(AND($B78="IN LOCO FOODS",$E78="5L"),ROUNDUP($F78/CONFIG!$C$31,0),ROUNDUP($F78/VLOOKUP($E78,CONFIG!$A$4:$D$5,4,0),0)))</f>
        <v/>
      </c>
    </row>
    <row r="79" spans="1:9" x14ac:dyDescent="0.3">
      <c r="A79" s="6"/>
      <c r="B79" s="7"/>
      <c r="C79" s="8"/>
      <c r="D79" s="8"/>
      <c r="E79" s="7"/>
      <c r="F79" s="9"/>
      <c r="G79" s="7" t="str">
        <f>IF($E79="","",VLOOKUP($E79,CONFIG!$A$4:$B$5,2,0))</f>
        <v/>
      </c>
      <c r="H79" s="10" t="str">
        <f>IF(OR($E79="",$F79=""),"",$F79*VLOOKUP($E79,CONFIG!$A$4:$C$5,3,0))</f>
        <v/>
      </c>
      <c r="I79" s="11" t="str">
        <f>IF(OR($E79="",$F79=""),"",IF(AND($B79="IN LOCO FOODS",$E79="5L"),ROUNDUP($F79/CONFIG!$C$31,0),ROUNDUP($F79/VLOOKUP($E79,CONFIG!$A$4:$D$5,4,0),0)))</f>
        <v/>
      </c>
    </row>
    <row r="80" spans="1:9" x14ac:dyDescent="0.3">
      <c r="A80" s="12"/>
      <c r="B80" s="13"/>
      <c r="C80" s="14"/>
      <c r="D80" s="14"/>
      <c r="E80" s="13"/>
      <c r="F80" s="15"/>
      <c r="G80" s="13" t="str">
        <f>IF($E80="","",VLOOKUP($E80,CONFIG!$A$4:$B$5,2,0))</f>
        <v/>
      </c>
      <c r="H80" s="16" t="str">
        <f>IF(OR($E80="",$F80=""),"",$F80*VLOOKUP($E80,CONFIG!$A$4:$C$5,3,0))</f>
        <v/>
      </c>
      <c r="I80" s="11" t="str">
        <f>IF(OR($E80="",$F80=""),"",IF(AND($B80="IN LOCO FOODS",$E80="5L"),ROUNDUP($F80/CONFIG!$C$31,0),ROUNDUP($F80/VLOOKUP($E80,CONFIG!$A$4:$D$5,4,0),0)))</f>
        <v/>
      </c>
    </row>
    <row r="81" spans="1:9" x14ac:dyDescent="0.3">
      <c r="A81" s="6"/>
      <c r="B81" s="7"/>
      <c r="C81" s="8"/>
      <c r="D81" s="8"/>
      <c r="E81" s="7"/>
      <c r="F81" s="9"/>
      <c r="G81" s="7" t="str">
        <f>IF($E81="","",VLOOKUP($E81,CONFIG!$A$4:$B$5,2,0))</f>
        <v/>
      </c>
      <c r="H81" s="10" t="str">
        <f>IF(OR($E81="",$F81=""),"",$F81*VLOOKUP($E81,CONFIG!$A$4:$C$5,3,0))</f>
        <v/>
      </c>
      <c r="I81" s="11" t="str">
        <f>IF(OR($E81="",$F81=""),"",IF(AND($B81="IN LOCO FOODS",$E81="5L"),ROUNDUP($F81/CONFIG!$C$31,0),ROUNDUP($F81/VLOOKUP($E81,CONFIG!$A$4:$D$5,4,0),0)))</f>
        <v/>
      </c>
    </row>
    <row r="82" spans="1:9" x14ac:dyDescent="0.3">
      <c r="A82" s="12"/>
      <c r="B82" s="13"/>
      <c r="C82" s="14"/>
      <c r="D82" s="14"/>
      <c r="E82" s="13"/>
      <c r="F82" s="15"/>
      <c r="G82" s="13" t="str">
        <f>IF($E82="","",VLOOKUP($E82,CONFIG!$A$4:$B$5,2,0))</f>
        <v/>
      </c>
      <c r="H82" s="16" t="str">
        <f>IF(OR($E82="",$F82=""),"",$F82*VLOOKUP($E82,CONFIG!$A$4:$C$5,3,0))</f>
        <v/>
      </c>
      <c r="I82" s="11" t="str">
        <f>IF(OR($E82="",$F82=""),"",IF(AND($B82="IN LOCO FOODS",$E82="5L"),ROUNDUP($F82/CONFIG!$C$31,0),ROUNDUP($F82/VLOOKUP($E82,CONFIG!$A$4:$D$5,4,0),0)))</f>
        <v/>
      </c>
    </row>
    <row r="83" spans="1:9" x14ac:dyDescent="0.3">
      <c r="A83" s="6"/>
      <c r="B83" s="7"/>
      <c r="C83" s="8"/>
      <c r="D83" s="8"/>
      <c r="E83" s="7"/>
      <c r="F83" s="9"/>
      <c r="G83" s="7" t="str">
        <f>IF($E83="","",VLOOKUP($E83,CONFIG!$A$4:$B$5,2,0))</f>
        <v/>
      </c>
      <c r="H83" s="10" t="str">
        <f>IF(OR($E83="",$F83=""),"",$F83*VLOOKUP($E83,CONFIG!$A$4:$C$5,3,0))</f>
        <v/>
      </c>
      <c r="I83" s="11" t="str">
        <f>IF(OR($E83="",$F83=""),"",IF(AND($B83="IN LOCO FOODS",$E83="5L"),ROUNDUP($F83/CONFIG!$C$31,0),ROUNDUP($F83/VLOOKUP($E83,CONFIG!$A$4:$D$5,4,0),0)))</f>
        <v/>
      </c>
    </row>
    <row r="84" spans="1:9" x14ac:dyDescent="0.3">
      <c r="A84" s="12"/>
      <c r="B84" s="13"/>
      <c r="C84" s="14"/>
      <c r="D84" s="14"/>
      <c r="E84" s="13"/>
      <c r="F84" s="15"/>
      <c r="G84" s="13" t="str">
        <f>IF($E84="","",VLOOKUP($E84,CONFIG!$A$4:$B$5,2,0))</f>
        <v/>
      </c>
      <c r="H84" s="16" t="str">
        <f>IF(OR($E84="",$F84=""),"",$F84*VLOOKUP($E84,CONFIG!$A$4:$C$5,3,0))</f>
        <v/>
      </c>
      <c r="I84" s="11" t="str">
        <f>IF(OR($E84="",$F84=""),"",IF(AND($B84="IN LOCO FOODS",$E84="5L"),ROUNDUP($F84/CONFIG!$C$31,0),ROUNDUP($F84/VLOOKUP($E84,CONFIG!$A$4:$D$5,4,0),0)))</f>
        <v/>
      </c>
    </row>
    <row r="85" spans="1:9" x14ac:dyDescent="0.3">
      <c r="A85" s="6"/>
      <c r="B85" s="7"/>
      <c r="C85" s="8"/>
      <c r="D85" s="8"/>
      <c r="E85" s="7"/>
      <c r="F85" s="9"/>
      <c r="G85" s="7" t="str">
        <f>IF($E85="","",VLOOKUP($E85,CONFIG!$A$4:$B$5,2,0))</f>
        <v/>
      </c>
      <c r="H85" s="10" t="str">
        <f>IF(OR($E85="",$F85=""),"",$F85*VLOOKUP($E85,CONFIG!$A$4:$C$5,3,0))</f>
        <v/>
      </c>
      <c r="I85" s="11" t="str">
        <f>IF(OR($E85="",$F85=""),"",IF(AND($B85="IN LOCO FOODS",$E85="5L"),ROUNDUP($F85/CONFIG!$C$31,0),ROUNDUP($F85/VLOOKUP($E85,CONFIG!$A$4:$D$5,4,0),0)))</f>
        <v/>
      </c>
    </row>
    <row r="86" spans="1:9" x14ac:dyDescent="0.3">
      <c r="A86" s="12"/>
      <c r="B86" s="13"/>
      <c r="C86" s="14"/>
      <c r="D86" s="14"/>
      <c r="E86" s="13"/>
      <c r="F86" s="15"/>
      <c r="G86" s="13" t="str">
        <f>IF($E86="","",VLOOKUP($E86,CONFIG!$A$4:$B$5,2,0))</f>
        <v/>
      </c>
      <c r="H86" s="16" t="str">
        <f>IF(OR($E86="",$F86=""),"",$F86*VLOOKUP($E86,CONFIG!$A$4:$C$5,3,0))</f>
        <v/>
      </c>
      <c r="I86" s="11" t="str">
        <f>IF(OR($E86="",$F86=""),"",IF(AND($B86="IN LOCO FOODS",$E86="5L"),ROUNDUP($F86/CONFIG!$C$31,0),ROUNDUP($F86/VLOOKUP($E86,CONFIG!$A$4:$D$5,4,0),0)))</f>
        <v/>
      </c>
    </row>
    <row r="87" spans="1:9" x14ac:dyDescent="0.3">
      <c r="A87" s="6"/>
      <c r="B87" s="7"/>
      <c r="C87" s="8"/>
      <c r="D87" s="8"/>
      <c r="E87" s="7"/>
      <c r="F87" s="9"/>
      <c r="G87" s="7" t="str">
        <f>IF($E87="","",VLOOKUP($E87,CONFIG!$A$4:$B$5,2,0))</f>
        <v/>
      </c>
      <c r="H87" s="10" t="str">
        <f>IF(OR($E87="",$F87=""),"",$F87*VLOOKUP($E87,CONFIG!$A$4:$C$5,3,0))</f>
        <v/>
      </c>
      <c r="I87" s="11" t="str">
        <f>IF(OR($E87="",$F87=""),"",IF(AND($B87="IN LOCO FOODS",$E87="5L"),ROUNDUP($F87/CONFIG!$C$31,0),ROUNDUP($F87/VLOOKUP($E87,CONFIG!$A$4:$D$5,4,0),0)))</f>
        <v/>
      </c>
    </row>
    <row r="88" spans="1:9" x14ac:dyDescent="0.3">
      <c r="A88" s="12"/>
      <c r="B88" s="13"/>
      <c r="C88" s="14"/>
      <c r="D88" s="14"/>
      <c r="E88" s="13"/>
      <c r="F88" s="15"/>
      <c r="G88" s="13" t="str">
        <f>IF($E88="","",VLOOKUP($E88,CONFIG!$A$4:$B$5,2,0))</f>
        <v/>
      </c>
      <c r="H88" s="16" t="str">
        <f>IF(OR($E88="",$F88=""),"",$F88*VLOOKUP($E88,CONFIG!$A$4:$C$5,3,0))</f>
        <v/>
      </c>
      <c r="I88" s="11" t="str">
        <f>IF(OR($E88="",$F88=""),"",IF(AND($B88="IN LOCO FOODS",$E88="5L"),ROUNDUP($F88/CONFIG!$C$31,0),ROUNDUP($F88/VLOOKUP($E88,CONFIG!$A$4:$D$5,4,0),0)))</f>
        <v/>
      </c>
    </row>
    <row r="89" spans="1:9" x14ac:dyDescent="0.3">
      <c r="A89" s="6"/>
      <c r="B89" s="7"/>
      <c r="C89" s="8"/>
      <c r="D89" s="8"/>
      <c r="E89" s="7"/>
      <c r="F89" s="9"/>
      <c r="G89" s="7" t="str">
        <f>IF($E89="","",VLOOKUP($E89,CONFIG!$A$4:$B$5,2,0))</f>
        <v/>
      </c>
      <c r="H89" s="10" t="str">
        <f>IF(OR($E89="",$F89=""),"",$F89*VLOOKUP($E89,CONFIG!$A$4:$C$5,3,0))</f>
        <v/>
      </c>
      <c r="I89" s="11" t="str">
        <f>IF(OR($E89="",$F89=""),"",IF(AND($B89="IN LOCO FOODS",$E89="5L"),ROUNDUP($F89/CONFIG!$C$31,0),ROUNDUP($F89/VLOOKUP($E89,CONFIG!$A$4:$D$5,4,0),0)))</f>
        <v/>
      </c>
    </row>
    <row r="90" spans="1:9" x14ac:dyDescent="0.3">
      <c r="A90" s="12"/>
      <c r="B90" s="13"/>
      <c r="C90" s="14"/>
      <c r="D90" s="14"/>
      <c r="E90" s="13"/>
      <c r="F90" s="15"/>
      <c r="G90" s="13" t="str">
        <f>IF($E90="","",VLOOKUP($E90,CONFIG!$A$4:$B$5,2,0))</f>
        <v/>
      </c>
      <c r="H90" s="16" t="str">
        <f>IF(OR($E90="",$F90=""),"",$F90*VLOOKUP($E90,CONFIG!$A$4:$C$5,3,0))</f>
        <v/>
      </c>
      <c r="I90" s="11" t="str">
        <f>IF(OR($E90="",$F90=""),"",IF(AND($B90="IN LOCO FOODS",$E90="5L"),ROUNDUP($F90/CONFIG!$C$31,0),ROUNDUP($F90/VLOOKUP($E90,CONFIG!$A$4:$D$5,4,0),0)))</f>
        <v/>
      </c>
    </row>
    <row r="91" spans="1:9" x14ac:dyDescent="0.3">
      <c r="A91" s="6"/>
      <c r="B91" s="7"/>
      <c r="C91" s="8"/>
      <c r="D91" s="8"/>
      <c r="E91" s="7"/>
      <c r="F91" s="9"/>
      <c r="G91" s="7" t="str">
        <f>IF($E91="","",VLOOKUP($E91,CONFIG!$A$4:$B$5,2,0))</f>
        <v/>
      </c>
      <c r="H91" s="10" t="str">
        <f>IF(OR($E91="",$F91=""),"",$F91*VLOOKUP($E91,CONFIG!$A$4:$C$5,3,0))</f>
        <v/>
      </c>
      <c r="I91" s="11" t="str">
        <f>IF(OR($E91="",$F91=""),"",IF(AND($B91="IN LOCO FOODS",$E91="5L"),ROUNDUP($F91/CONFIG!$C$31,0),ROUNDUP($F91/VLOOKUP($E91,CONFIG!$A$4:$D$5,4,0),0)))</f>
        <v/>
      </c>
    </row>
    <row r="92" spans="1:9" x14ac:dyDescent="0.3">
      <c r="A92" s="12"/>
      <c r="B92" s="13"/>
      <c r="C92" s="14"/>
      <c r="D92" s="14"/>
      <c r="E92" s="13"/>
      <c r="F92" s="15"/>
      <c r="G92" s="13" t="str">
        <f>IF($E92="","",VLOOKUP($E92,CONFIG!$A$4:$B$5,2,0))</f>
        <v/>
      </c>
      <c r="H92" s="16" t="str">
        <f>IF(OR($E92="",$F92=""),"",$F92*VLOOKUP($E92,CONFIG!$A$4:$C$5,3,0))</f>
        <v/>
      </c>
      <c r="I92" s="11" t="str">
        <f>IF(OR($E92="",$F92=""),"",IF(AND($B92="IN LOCO FOODS",$E92="5L"),ROUNDUP($F92/CONFIG!$C$31,0),ROUNDUP($F92/VLOOKUP($E92,CONFIG!$A$4:$D$5,4,0),0)))</f>
        <v/>
      </c>
    </row>
    <row r="93" spans="1:9" x14ac:dyDescent="0.3">
      <c r="A93" s="6"/>
      <c r="B93" s="7"/>
      <c r="C93" s="8"/>
      <c r="D93" s="8"/>
      <c r="E93" s="7"/>
      <c r="F93" s="9"/>
      <c r="G93" s="7" t="str">
        <f>IF($E93="","",VLOOKUP($E93,CONFIG!$A$4:$B$5,2,0))</f>
        <v/>
      </c>
      <c r="H93" s="10" t="str">
        <f>IF(OR($E93="",$F93=""),"",$F93*VLOOKUP($E93,CONFIG!$A$4:$C$5,3,0))</f>
        <v/>
      </c>
      <c r="I93" s="11" t="str">
        <f>IF(OR($E93="",$F93=""),"",IF(AND($B93="IN LOCO FOODS",$E93="5L"),ROUNDUP($F93/CONFIG!$C$31,0),ROUNDUP($F93/VLOOKUP($E93,CONFIG!$A$4:$D$5,4,0),0)))</f>
        <v/>
      </c>
    </row>
    <row r="94" spans="1:9" x14ac:dyDescent="0.3">
      <c r="A94" s="12"/>
      <c r="B94" s="13"/>
      <c r="C94" s="14"/>
      <c r="D94" s="14"/>
      <c r="E94" s="13"/>
      <c r="F94" s="15"/>
      <c r="G94" s="13" t="str">
        <f>IF($E94="","",VLOOKUP($E94,CONFIG!$A$4:$B$5,2,0))</f>
        <v/>
      </c>
      <c r="H94" s="16" t="str">
        <f>IF(OR($E94="",$F94=""),"",$F94*VLOOKUP($E94,CONFIG!$A$4:$C$5,3,0))</f>
        <v/>
      </c>
      <c r="I94" s="11" t="str">
        <f>IF(OR($E94="",$F94=""),"",IF(AND($B94="IN LOCO FOODS",$E94="5L"),ROUNDUP($F94/CONFIG!$C$31,0),ROUNDUP($F94/VLOOKUP($E94,CONFIG!$A$4:$D$5,4,0),0)))</f>
        <v/>
      </c>
    </row>
    <row r="95" spans="1:9" x14ac:dyDescent="0.3">
      <c r="A95" s="6"/>
      <c r="B95" s="7"/>
      <c r="C95" s="8"/>
      <c r="D95" s="8"/>
      <c r="E95" s="7"/>
      <c r="F95" s="9"/>
      <c r="G95" s="7" t="str">
        <f>IF($E95="","",VLOOKUP($E95,CONFIG!$A$4:$B$5,2,0))</f>
        <v/>
      </c>
      <c r="H95" s="10" t="str">
        <f>IF(OR($E95="",$F95=""),"",$F95*VLOOKUP($E95,CONFIG!$A$4:$C$5,3,0))</f>
        <v/>
      </c>
      <c r="I95" s="11" t="str">
        <f>IF(OR($E95="",$F95=""),"",IF(AND($B95="IN LOCO FOODS",$E95="5L"),ROUNDUP($F95/CONFIG!$C$31,0),ROUNDUP($F95/VLOOKUP($E95,CONFIG!$A$4:$D$5,4,0),0)))</f>
        <v/>
      </c>
    </row>
    <row r="96" spans="1:9" x14ac:dyDescent="0.3">
      <c r="A96" s="12"/>
      <c r="B96" s="13"/>
      <c r="C96" s="14"/>
      <c r="D96" s="14"/>
      <c r="E96" s="13"/>
      <c r="F96" s="15"/>
      <c r="G96" s="13" t="str">
        <f>IF($E96="","",VLOOKUP($E96,CONFIG!$A$4:$B$5,2,0))</f>
        <v/>
      </c>
      <c r="H96" s="16" t="str">
        <f>IF(OR($E96="",$F96=""),"",$F96*VLOOKUP($E96,CONFIG!$A$4:$C$5,3,0))</f>
        <v/>
      </c>
      <c r="I96" s="11" t="str">
        <f>IF(OR($E96="",$F96=""),"",IF(AND($B96="IN LOCO FOODS",$E96="5L"),ROUNDUP($F96/CONFIG!$C$31,0),ROUNDUP($F96/VLOOKUP($E96,CONFIG!$A$4:$D$5,4,0),0)))</f>
        <v/>
      </c>
    </row>
    <row r="97" spans="1:9" x14ac:dyDescent="0.3">
      <c r="A97" s="6"/>
      <c r="B97" s="7"/>
      <c r="C97" s="8"/>
      <c r="D97" s="8"/>
      <c r="E97" s="7"/>
      <c r="F97" s="9"/>
      <c r="G97" s="7" t="str">
        <f>IF($E97="","",VLOOKUP($E97,CONFIG!$A$4:$B$5,2,0))</f>
        <v/>
      </c>
      <c r="H97" s="10" t="str">
        <f>IF(OR($E97="",$F97=""),"",$F97*VLOOKUP($E97,CONFIG!$A$4:$C$5,3,0))</f>
        <v/>
      </c>
      <c r="I97" s="11" t="str">
        <f>IF(OR($E97="",$F97=""),"",IF(AND($B97="IN LOCO FOODS",$E97="5L"),ROUNDUP($F97/CONFIG!$C$31,0),ROUNDUP($F97/VLOOKUP($E97,CONFIG!$A$4:$D$5,4,0),0)))</f>
        <v/>
      </c>
    </row>
    <row r="98" spans="1:9" x14ac:dyDescent="0.3">
      <c r="A98" s="12"/>
      <c r="B98" s="13"/>
      <c r="C98" s="14"/>
      <c r="D98" s="14"/>
      <c r="E98" s="13"/>
      <c r="F98" s="15"/>
      <c r="G98" s="13" t="str">
        <f>IF($E98="","",VLOOKUP($E98,CONFIG!$A$4:$B$5,2,0))</f>
        <v/>
      </c>
      <c r="H98" s="16" t="str">
        <f>IF(OR($E98="",$F98=""),"",$F98*VLOOKUP($E98,CONFIG!$A$4:$C$5,3,0))</f>
        <v/>
      </c>
      <c r="I98" s="11" t="str">
        <f>IF(OR($E98="",$F98=""),"",IF(AND($B98="IN LOCO FOODS",$E98="5L"),ROUNDUP($F98/CONFIG!$C$31,0),ROUNDUP($F98/VLOOKUP($E98,CONFIG!$A$4:$D$5,4,0),0)))</f>
        <v/>
      </c>
    </row>
    <row r="99" spans="1:9" x14ac:dyDescent="0.3">
      <c r="A99" s="6"/>
      <c r="B99" s="7"/>
      <c r="C99" s="8"/>
      <c r="D99" s="8"/>
      <c r="E99" s="7"/>
      <c r="F99" s="9"/>
      <c r="G99" s="7" t="str">
        <f>IF($E99="","",VLOOKUP($E99,CONFIG!$A$4:$B$5,2,0))</f>
        <v/>
      </c>
      <c r="H99" s="10" t="str">
        <f>IF(OR($E99="",$F99=""),"",$F99*VLOOKUP($E99,CONFIG!$A$4:$C$5,3,0))</f>
        <v/>
      </c>
      <c r="I99" s="11" t="str">
        <f>IF(OR($E99="",$F99=""),"",IF(AND($B99="IN LOCO FOODS",$E99="5L"),ROUNDUP($F99/CONFIG!$C$31,0),ROUNDUP($F99/VLOOKUP($E99,CONFIG!$A$4:$D$5,4,0),0)))</f>
        <v/>
      </c>
    </row>
    <row r="100" spans="1:9" x14ac:dyDescent="0.3">
      <c r="A100" s="12"/>
      <c r="B100" s="13"/>
      <c r="C100" s="14"/>
      <c r="D100" s="14"/>
      <c r="E100" s="13"/>
      <c r="F100" s="15"/>
      <c r="G100" s="13" t="str">
        <f>IF($E100="","",VLOOKUP($E100,CONFIG!$A$4:$B$5,2,0))</f>
        <v/>
      </c>
      <c r="H100" s="16" t="str">
        <f>IF(OR($E100="",$F100=""),"",$F100*VLOOKUP($E100,CONFIG!$A$4:$C$5,3,0))</f>
        <v/>
      </c>
      <c r="I100" s="11" t="str">
        <f>IF(OR($E100="",$F100=""),"",IF(AND($B100="IN LOCO FOODS",$E100="5L"),ROUNDUP($F100/CONFIG!$C$31,0),ROUNDUP($F100/VLOOKUP($E100,CONFIG!$A$4:$D$5,4,0),0)))</f>
        <v/>
      </c>
    </row>
    <row r="101" spans="1:9" x14ac:dyDescent="0.3">
      <c r="A101" s="6"/>
      <c r="B101" s="7"/>
      <c r="C101" s="8"/>
      <c r="D101" s="8"/>
      <c r="E101" s="7"/>
      <c r="F101" s="9"/>
      <c r="G101" s="7" t="str">
        <f>IF($E101="","",VLOOKUP($E101,CONFIG!$A$4:$B$5,2,0))</f>
        <v/>
      </c>
      <c r="H101" s="10" t="str">
        <f>IF(OR($E101="",$F101=""),"",$F101*VLOOKUP($E101,CONFIG!$A$4:$C$5,3,0))</f>
        <v/>
      </c>
      <c r="I101" s="11" t="str">
        <f>IF(OR($E101="",$F101=""),"",IF(AND($B101="IN LOCO FOODS",$E101="5L"),ROUNDUP($F101/CONFIG!$C$31,0),ROUNDUP($F101/VLOOKUP($E101,CONFIG!$A$4:$D$5,4,0),0)))</f>
        <v/>
      </c>
    </row>
    <row r="102" spans="1:9" x14ac:dyDescent="0.3">
      <c r="A102" s="12"/>
      <c r="B102" s="13"/>
      <c r="C102" s="14"/>
      <c r="D102" s="14"/>
      <c r="E102" s="13"/>
      <c r="F102" s="15"/>
      <c r="G102" s="13" t="str">
        <f>IF($E102="","",VLOOKUP($E102,CONFIG!$A$4:$B$5,2,0))</f>
        <v/>
      </c>
      <c r="H102" s="16" t="str">
        <f>IF(OR($E102="",$F102=""),"",$F102*VLOOKUP($E102,CONFIG!$A$4:$C$5,3,0))</f>
        <v/>
      </c>
      <c r="I102" s="11" t="str">
        <f>IF(OR($E102="",$F102=""),"",IF(AND($B102="IN LOCO FOODS",$E102="5L"),ROUNDUP($F102/CONFIG!$C$31,0),ROUNDUP($F102/VLOOKUP($E102,CONFIG!$A$4:$D$5,4,0),0)))</f>
        <v/>
      </c>
    </row>
    <row r="103" spans="1:9" x14ac:dyDescent="0.3">
      <c r="A103" s="6"/>
      <c r="B103" s="7"/>
      <c r="C103" s="8"/>
      <c r="D103" s="8"/>
      <c r="E103" s="7"/>
      <c r="F103" s="9"/>
      <c r="G103" s="7" t="str">
        <f>IF($E103="","",VLOOKUP($E103,CONFIG!$A$4:$B$5,2,0))</f>
        <v/>
      </c>
      <c r="H103" s="10" t="str">
        <f>IF(OR($E103="",$F103=""),"",$F103*VLOOKUP($E103,CONFIG!$A$4:$C$5,3,0))</f>
        <v/>
      </c>
      <c r="I103" s="11" t="str">
        <f>IF(OR($E103="",$F103=""),"",IF(AND($B103="IN LOCO FOODS",$E103="5L"),ROUNDUP($F103/CONFIG!$C$31,0),ROUNDUP($F103/VLOOKUP($E103,CONFIG!$A$4:$D$5,4,0),0)))</f>
        <v/>
      </c>
    </row>
    <row r="104" spans="1:9" x14ac:dyDescent="0.3">
      <c r="A104" s="12"/>
      <c r="B104" s="13"/>
      <c r="C104" s="14"/>
      <c r="D104" s="14"/>
      <c r="E104" s="13"/>
      <c r="F104" s="15"/>
      <c r="G104" s="13" t="str">
        <f>IF($E104="","",VLOOKUP($E104,CONFIG!$A$4:$B$5,2,0))</f>
        <v/>
      </c>
      <c r="H104" s="16" t="str">
        <f>IF(OR($E104="",$F104=""),"",$F104*VLOOKUP($E104,CONFIG!$A$4:$C$5,3,0))</f>
        <v/>
      </c>
      <c r="I104" s="11" t="str">
        <f>IF(OR($E104="",$F104=""),"",IF(AND($B104="IN LOCO FOODS",$E104="5L"),ROUNDUP($F104/CONFIG!$C$31,0),ROUNDUP($F104/VLOOKUP($E104,CONFIG!$A$4:$D$5,4,0),0)))</f>
        <v/>
      </c>
    </row>
    <row r="105" spans="1:9" x14ac:dyDescent="0.3">
      <c r="A105" s="6"/>
      <c r="B105" s="7"/>
      <c r="C105" s="8"/>
      <c r="D105" s="8"/>
      <c r="E105" s="7"/>
      <c r="F105" s="9"/>
      <c r="G105" s="7" t="str">
        <f>IF($E105="","",VLOOKUP($E105,CONFIG!$A$4:$B$5,2,0))</f>
        <v/>
      </c>
      <c r="H105" s="10" t="str">
        <f>IF(OR($E105="",$F105=""),"",$F105*VLOOKUP($E105,CONFIG!$A$4:$C$5,3,0))</f>
        <v/>
      </c>
      <c r="I105" s="11" t="str">
        <f>IF(OR($E105="",$F105=""),"",IF(AND($B105="IN LOCO FOODS",$E105="5L"),ROUNDUP($F105/CONFIG!$C$31,0),ROUNDUP($F105/VLOOKUP($E105,CONFIG!$A$4:$D$5,4,0),0)))</f>
        <v/>
      </c>
    </row>
    <row r="106" spans="1:9" x14ac:dyDescent="0.3">
      <c r="A106" s="12"/>
      <c r="B106" s="13"/>
      <c r="C106" s="14"/>
      <c r="D106" s="14"/>
      <c r="E106" s="13"/>
      <c r="F106" s="15"/>
      <c r="G106" s="13" t="str">
        <f>IF($E106="","",VLOOKUP($E106,CONFIG!$A$4:$B$5,2,0))</f>
        <v/>
      </c>
      <c r="H106" s="16" t="str">
        <f>IF(OR($E106="",$F106=""),"",$F106*VLOOKUP($E106,CONFIG!$A$4:$C$5,3,0))</f>
        <v/>
      </c>
      <c r="I106" s="11" t="str">
        <f>IF(OR($E106="",$F106=""),"",IF(AND($B106="IN LOCO FOODS",$E106="5L"),ROUNDUP($F106/CONFIG!$C$31,0),ROUNDUP($F106/VLOOKUP($E106,CONFIG!$A$4:$D$5,4,0),0)))</f>
        <v/>
      </c>
    </row>
    <row r="107" spans="1:9" x14ac:dyDescent="0.3">
      <c r="A107" s="6"/>
      <c r="B107" s="7"/>
      <c r="C107" s="8"/>
      <c r="D107" s="8"/>
      <c r="E107" s="7"/>
      <c r="F107" s="9"/>
      <c r="G107" s="7" t="str">
        <f>IF($E107="","",VLOOKUP($E107,CONFIG!$A$4:$B$5,2,0))</f>
        <v/>
      </c>
      <c r="H107" s="10" t="str">
        <f>IF(OR($E107="",$F107=""),"",$F107*VLOOKUP($E107,CONFIG!$A$4:$C$5,3,0))</f>
        <v/>
      </c>
      <c r="I107" s="11" t="str">
        <f>IF(OR($E107="",$F107=""),"",IF(AND($B107="IN LOCO FOODS",$E107="5L"),ROUNDUP($F107/CONFIG!$C$31,0),ROUNDUP($F107/VLOOKUP($E107,CONFIG!$A$4:$D$5,4,0),0)))</f>
        <v/>
      </c>
    </row>
    <row r="108" spans="1:9" x14ac:dyDescent="0.3">
      <c r="A108" s="12"/>
      <c r="B108" s="13"/>
      <c r="C108" s="14"/>
      <c r="D108" s="14"/>
      <c r="E108" s="13"/>
      <c r="F108" s="15"/>
      <c r="G108" s="13" t="str">
        <f>IF($E108="","",VLOOKUP($E108,CONFIG!$A$4:$B$5,2,0))</f>
        <v/>
      </c>
      <c r="H108" s="16" t="str">
        <f>IF(OR($E108="",$F108=""),"",$F108*VLOOKUP($E108,CONFIG!$A$4:$C$5,3,0))</f>
        <v/>
      </c>
      <c r="I108" s="11" t="str">
        <f>IF(OR($E108="",$F108=""),"",IF(AND($B108="IN LOCO FOODS",$E108="5L"),ROUNDUP($F108/CONFIG!$C$31,0),ROUNDUP($F108/VLOOKUP($E108,CONFIG!$A$4:$D$5,4,0),0)))</f>
        <v/>
      </c>
    </row>
    <row r="109" spans="1:9" x14ac:dyDescent="0.3">
      <c r="A109" s="6"/>
      <c r="B109" s="7"/>
      <c r="C109" s="8"/>
      <c r="D109" s="8"/>
      <c r="E109" s="7"/>
      <c r="F109" s="9"/>
      <c r="G109" s="7" t="str">
        <f>IF($E109="","",VLOOKUP($E109,CONFIG!$A$4:$B$5,2,0))</f>
        <v/>
      </c>
      <c r="H109" s="10" t="str">
        <f>IF(OR($E109="",$F109=""),"",$F109*VLOOKUP($E109,CONFIG!$A$4:$C$5,3,0))</f>
        <v/>
      </c>
      <c r="I109" s="11" t="str">
        <f>IF(OR($E109="",$F109=""),"",IF(AND($B109="IN LOCO FOODS",$E109="5L"),ROUNDUP($F109/CONFIG!$C$31,0),ROUNDUP($F109/VLOOKUP($E109,CONFIG!$A$4:$D$5,4,0),0)))</f>
        <v/>
      </c>
    </row>
    <row r="110" spans="1:9" x14ac:dyDescent="0.3">
      <c r="A110" s="12"/>
      <c r="B110" s="13"/>
      <c r="C110" s="14"/>
      <c r="D110" s="14"/>
      <c r="E110" s="13"/>
      <c r="F110" s="15"/>
      <c r="G110" s="13" t="str">
        <f>IF($E110="","",VLOOKUP($E110,CONFIG!$A$4:$B$5,2,0))</f>
        <v/>
      </c>
      <c r="H110" s="16" t="str">
        <f>IF(OR($E110="",$F110=""),"",$F110*VLOOKUP($E110,CONFIG!$A$4:$C$5,3,0))</f>
        <v/>
      </c>
      <c r="I110" s="11" t="str">
        <f>IF(OR($E110="",$F110=""),"",IF(AND($B110="IN LOCO FOODS",$E110="5L"),ROUNDUP($F110/CONFIG!$C$31,0),ROUNDUP($F110/VLOOKUP($E110,CONFIG!$A$4:$D$5,4,0),0)))</f>
        <v/>
      </c>
    </row>
    <row r="111" spans="1:9" x14ac:dyDescent="0.3">
      <c r="A111" s="6"/>
      <c r="B111" s="7"/>
      <c r="C111" s="8"/>
      <c r="D111" s="8"/>
      <c r="E111" s="7"/>
      <c r="F111" s="9"/>
      <c r="G111" s="7" t="str">
        <f>IF($E111="","",VLOOKUP($E111,CONFIG!$A$4:$B$5,2,0))</f>
        <v/>
      </c>
      <c r="H111" s="10" t="str">
        <f>IF(OR($E111="",$F111=""),"",$F111*VLOOKUP($E111,CONFIG!$A$4:$C$5,3,0))</f>
        <v/>
      </c>
      <c r="I111" s="11" t="str">
        <f>IF(OR($E111="",$F111=""),"",IF(AND($B111="IN LOCO FOODS",$E111="5L"),ROUNDUP($F111/CONFIG!$C$31,0),ROUNDUP($F111/VLOOKUP($E111,CONFIG!$A$4:$D$5,4,0),0)))</f>
        <v/>
      </c>
    </row>
    <row r="112" spans="1:9" x14ac:dyDescent="0.3">
      <c r="A112" s="12"/>
      <c r="B112" s="13"/>
      <c r="C112" s="14"/>
      <c r="D112" s="14"/>
      <c r="E112" s="13"/>
      <c r="F112" s="15"/>
      <c r="G112" s="13" t="str">
        <f>IF($E112="","",VLOOKUP($E112,CONFIG!$A$4:$B$5,2,0))</f>
        <v/>
      </c>
      <c r="H112" s="16" t="str">
        <f>IF(OR($E112="",$F112=""),"",$F112*VLOOKUP($E112,CONFIG!$A$4:$C$5,3,0))</f>
        <v/>
      </c>
      <c r="I112" s="11" t="str">
        <f>IF(OR($E112="",$F112=""),"",IF(AND($B112="IN LOCO FOODS",$E112="5L"),ROUNDUP($F112/CONFIG!$C$31,0),ROUNDUP($F112/VLOOKUP($E112,CONFIG!$A$4:$D$5,4,0),0)))</f>
        <v/>
      </c>
    </row>
    <row r="113" spans="1:9" x14ac:dyDescent="0.3">
      <c r="A113" s="6"/>
      <c r="B113" s="7"/>
      <c r="C113" s="8"/>
      <c r="D113" s="8"/>
      <c r="E113" s="7"/>
      <c r="F113" s="9"/>
      <c r="G113" s="7" t="str">
        <f>IF($E113="","",VLOOKUP($E113,CONFIG!$A$4:$B$5,2,0))</f>
        <v/>
      </c>
      <c r="H113" s="10" t="str">
        <f>IF(OR($E113="",$F113=""),"",$F113*VLOOKUP($E113,CONFIG!$A$4:$C$5,3,0))</f>
        <v/>
      </c>
      <c r="I113" s="11" t="str">
        <f>IF(OR($E113="",$F113=""),"",IF(AND($B113="IN LOCO FOODS",$E113="5L"),ROUNDUP($F113/CONFIG!$C$31,0),ROUNDUP($F113/VLOOKUP($E113,CONFIG!$A$4:$D$5,4,0),0)))</f>
        <v/>
      </c>
    </row>
    <row r="114" spans="1:9" x14ac:dyDescent="0.3">
      <c r="A114" s="12"/>
      <c r="B114" s="13"/>
      <c r="C114" s="14"/>
      <c r="D114" s="14"/>
      <c r="E114" s="13"/>
      <c r="F114" s="15"/>
      <c r="G114" s="13" t="str">
        <f>IF($E114="","",VLOOKUP($E114,CONFIG!$A$4:$B$5,2,0))</f>
        <v/>
      </c>
      <c r="H114" s="16" t="str">
        <f>IF(OR($E114="",$F114=""),"",$F114*VLOOKUP($E114,CONFIG!$A$4:$C$5,3,0))</f>
        <v/>
      </c>
      <c r="I114" s="11" t="str">
        <f>IF(OR($E114="",$F114=""),"",IF(AND($B114="IN LOCO FOODS",$E114="5L"),ROUNDUP($F114/CONFIG!$C$31,0),ROUNDUP($F114/VLOOKUP($E114,CONFIG!$A$4:$D$5,4,0),0)))</f>
        <v/>
      </c>
    </row>
    <row r="115" spans="1:9" x14ac:dyDescent="0.3">
      <c r="A115" s="6"/>
      <c r="B115" s="7"/>
      <c r="C115" s="8"/>
      <c r="D115" s="8"/>
      <c r="E115" s="7"/>
      <c r="F115" s="9"/>
      <c r="G115" s="7" t="str">
        <f>IF($E115="","",VLOOKUP($E115,CONFIG!$A$4:$B$5,2,0))</f>
        <v/>
      </c>
      <c r="H115" s="10" t="str">
        <f>IF(OR($E115="",$F115=""),"",$F115*VLOOKUP($E115,CONFIG!$A$4:$C$5,3,0))</f>
        <v/>
      </c>
      <c r="I115" s="11" t="str">
        <f>IF(OR($E115="",$F115=""),"",IF(AND($B115="IN LOCO FOODS",$E115="5L"),ROUNDUP($F115/CONFIG!$C$31,0),ROUNDUP($F115/VLOOKUP($E115,CONFIG!$A$4:$D$5,4,0),0)))</f>
        <v/>
      </c>
    </row>
    <row r="116" spans="1:9" x14ac:dyDescent="0.3">
      <c r="A116" s="12"/>
      <c r="B116" s="13"/>
      <c r="C116" s="14"/>
      <c r="D116" s="14"/>
      <c r="E116" s="13"/>
      <c r="F116" s="15"/>
      <c r="G116" s="13" t="str">
        <f>IF($E116="","",VLOOKUP($E116,CONFIG!$A$4:$B$5,2,0))</f>
        <v/>
      </c>
      <c r="H116" s="16" t="str">
        <f>IF(OR($E116="",$F116=""),"",$F116*VLOOKUP($E116,CONFIG!$A$4:$C$5,3,0))</f>
        <v/>
      </c>
      <c r="I116" s="11" t="str">
        <f>IF(OR($E116="",$F116=""),"",IF(AND($B116="IN LOCO FOODS",$E116="5L"),ROUNDUP($F116/CONFIG!$C$31,0),ROUNDUP($F116/VLOOKUP($E116,CONFIG!$A$4:$D$5,4,0),0)))</f>
        <v/>
      </c>
    </row>
    <row r="117" spans="1:9" x14ac:dyDescent="0.3">
      <c r="A117" s="6"/>
      <c r="B117" s="7"/>
      <c r="C117" s="8"/>
      <c r="D117" s="8"/>
      <c r="E117" s="7"/>
      <c r="F117" s="9"/>
      <c r="G117" s="7" t="str">
        <f>IF($E117="","",VLOOKUP($E117,CONFIG!$A$4:$B$5,2,0))</f>
        <v/>
      </c>
      <c r="H117" s="10" t="str">
        <f>IF(OR($E117="",$F117=""),"",$F117*VLOOKUP($E117,CONFIG!$A$4:$C$5,3,0))</f>
        <v/>
      </c>
      <c r="I117" s="11" t="str">
        <f>IF(OR($E117="",$F117=""),"",IF(AND($B117="IN LOCO FOODS",$E117="5L"),ROUNDUP($F117/CONFIG!$C$31,0),ROUNDUP($F117/VLOOKUP($E117,CONFIG!$A$4:$D$5,4,0),0)))</f>
        <v/>
      </c>
    </row>
    <row r="118" spans="1:9" x14ac:dyDescent="0.3">
      <c r="A118" s="12"/>
      <c r="B118" s="13"/>
      <c r="C118" s="14"/>
      <c r="D118" s="14"/>
      <c r="E118" s="13"/>
      <c r="F118" s="15"/>
      <c r="G118" s="13" t="str">
        <f>IF($E118="","",VLOOKUP($E118,CONFIG!$A$4:$B$5,2,0))</f>
        <v/>
      </c>
      <c r="H118" s="16" t="str">
        <f>IF(OR($E118="",$F118=""),"",$F118*VLOOKUP($E118,CONFIG!$A$4:$C$5,3,0))</f>
        <v/>
      </c>
      <c r="I118" s="11" t="str">
        <f>IF(OR($E118="",$F118=""),"",IF(AND($B118="IN LOCO FOODS",$E118="5L"),ROUNDUP($F118/CONFIG!$C$31,0),ROUNDUP($F118/VLOOKUP($E118,CONFIG!$A$4:$D$5,4,0),0)))</f>
        <v/>
      </c>
    </row>
    <row r="119" spans="1:9" x14ac:dyDescent="0.3">
      <c r="A119" s="6"/>
      <c r="B119" s="7"/>
      <c r="C119" s="8"/>
      <c r="D119" s="8"/>
      <c r="E119" s="7"/>
      <c r="F119" s="9"/>
      <c r="G119" s="7" t="str">
        <f>IF($E119="","",VLOOKUP($E119,CONFIG!$A$4:$B$5,2,0))</f>
        <v/>
      </c>
      <c r="H119" s="10" t="str">
        <f>IF(OR($E119="",$F119=""),"",$F119*VLOOKUP($E119,CONFIG!$A$4:$C$5,3,0))</f>
        <v/>
      </c>
      <c r="I119" s="11" t="str">
        <f>IF(OR($E119="",$F119=""),"",IF(AND($B119="IN LOCO FOODS",$E119="5L"),ROUNDUP($F119/CONFIG!$C$31,0),ROUNDUP($F119/VLOOKUP($E119,CONFIG!$A$4:$D$5,4,0),0)))</f>
        <v/>
      </c>
    </row>
    <row r="120" spans="1:9" x14ac:dyDescent="0.3">
      <c r="A120" s="12"/>
      <c r="B120" s="13"/>
      <c r="C120" s="14"/>
      <c r="D120" s="14"/>
      <c r="E120" s="13"/>
      <c r="F120" s="15"/>
      <c r="G120" s="13" t="str">
        <f>IF($E120="","",VLOOKUP($E120,CONFIG!$A$4:$B$5,2,0))</f>
        <v/>
      </c>
      <c r="H120" s="16" t="str">
        <f>IF(OR($E120="",$F120=""),"",$F120*VLOOKUP($E120,CONFIG!$A$4:$C$5,3,0))</f>
        <v/>
      </c>
      <c r="I120" s="11" t="str">
        <f>IF(OR($E120="",$F120=""),"",IF(AND($B120="IN LOCO FOODS",$E120="5L"),ROUNDUP($F120/CONFIG!$C$31,0),ROUNDUP($F120/VLOOKUP($E120,CONFIG!$A$4:$D$5,4,0),0)))</f>
        <v/>
      </c>
    </row>
    <row r="121" spans="1:9" x14ac:dyDescent="0.3">
      <c r="A121" s="6"/>
      <c r="B121" s="7"/>
      <c r="C121" s="8"/>
      <c r="D121" s="8"/>
      <c r="E121" s="7"/>
      <c r="F121" s="9"/>
      <c r="G121" s="7" t="str">
        <f>IF($E121="","",VLOOKUP($E121,CONFIG!$A$4:$B$5,2,0))</f>
        <v/>
      </c>
      <c r="H121" s="10" t="str">
        <f>IF(OR($E121="",$F121=""),"",$F121*VLOOKUP($E121,CONFIG!$A$4:$C$5,3,0))</f>
        <v/>
      </c>
      <c r="I121" s="11" t="str">
        <f>IF(OR($E121="",$F121=""),"",IF(AND($B121="IN LOCO FOODS",$E121="5L"),ROUNDUP($F121/CONFIG!$C$31,0),ROUNDUP($F121/VLOOKUP($E121,CONFIG!$A$4:$D$5,4,0),0)))</f>
        <v/>
      </c>
    </row>
    <row r="122" spans="1:9" x14ac:dyDescent="0.3">
      <c r="A122" s="12"/>
      <c r="B122" s="13"/>
      <c r="C122" s="14"/>
      <c r="D122" s="14"/>
      <c r="E122" s="13"/>
      <c r="F122" s="15"/>
      <c r="G122" s="13" t="str">
        <f>IF($E122="","",VLOOKUP($E122,CONFIG!$A$4:$B$5,2,0))</f>
        <v/>
      </c>
      <c r="H122" s="16" t="str">
        <f>IF(OR($E122="",$F122=""),"",$F122*VLOOKUP($E122,CONFIG!$A$4:$C$5,3,0))</f>
        <v/>
      </c>
      <c r="I122" s="11" t="str">
        <f>IF(OR($E122="",$F122=""),"",IF(AND($B122="IN LOCO FOODS",$E122="5L"),ROUNDUP($F122/CONFIG!$C$31,0),ROUNDUP($F122/VLOOKUP($E122,CONFIG!$A$4:$D$5,4,0),0)))</f>
        <v/>
      </c>
    </row>
    <row r="123" spans="1:9" x14ac:dyDescent="0.3">
      <c r="A123" s="6"/>
      <c r="B123" s="7"/>
      <c r="C123" s="8"/>
      <c r="D123" s="8"/>
      <c r="E123" s="7"/>
      <c r="F123" s="9"/>
      <c r="G123" s="7" t="str">
        <f>IF($E123="","",VLOOKUP($E123,CONFIG!$A$4:$B$5,2,0))</f>
        <v/>
      </c>
      <c r="H123" s="10" t="str">
        <f>IF(OR($E123="",$F123=""),"",$F123*VLOOKUP($E123,CONFIG!$A$4:$C$5,3,0))</f>
        <v/>
      </c>
      <c r="I123" s="11" t="str">
        <f>IF(OR($E123="",$F123=""),"",IF(AND($B123="IN LOCO FOODS",$E123="5L"),ROUNDUP($F123/CONFIG!$C$31,0),ROUNDUP($F123/VLOOKUP($E123,CONFIG!$A$4:$D$5,4,0),0)))</f>
        <v/>
      </c>
    </row>
    <row r="124" spans="1:9" x14ac:dyDescent="0.3">
      <c r="A124" s="12"/>
      <c r="B124" s="13"/>
      <c r="C124" s="14"/>
      <c r="D124" s="14"/>
      <c r="E124" s="13"/>
      <c r="F124" s="15"/>
      <c r="G124" s="13" t="str">
        <f>IF($E124="","",VLOOKUP($E124,CONFIG!$A$4:$B$5,2,0))</f>
        <v/>
      </c>
      <c r="H124" s="16" t="str">
        <f>IF(OR($E124="",$F124=""),"",$F124*VLOOKUP($E124,CONFIG!$A$4:$C$5,3,0))</f>
        <v/>
      </c>
      <c r="I124" s="11" t="str">
        <f>IF(OR($E124="",$F124=""),"",IF(AND($B124="IN LOCO FOODS",$E124="5L"),ROUNDUP($F124/CONFIG!$C$31,0),ROUNDUP($F124/VLOOKUP($E124,CONFIG!$A$4:$D$5,4,0),0)))</f>
        <v/>
      </c>
    </row>
    <row r="125" spans="1:9" x14ac:dyDescent="0.3">
      <c r="A125" s="6"/>
      <c r="B125" s="7"/>
      <c r="C125" s="8"/>
      <c r="D125" s="8"/>
      <c r="E125" s="7"/>
      <c r="F125" s="9"/>
      <c r="G125" s="7" t="str">
        <f>IF($E125="","",VLOOKUP($E125,CONFIG!$A$4:$B$5,2,0))</f>
        <v/>
      </c>
      <c r="H125" s="10" t="str">
        <f>IF(OR($E125="",$F125=""),"",$F125*VLOOKUP($E125,CONFIG!$A$4:$C$5,3,0))</f>
        <v/>
      </c>
      <c r="I125" s="11" t="str">
        <f>IF(OR($E125="",$F125=""),"",IF(AND($B125="IN LOCO FOODS",$E125="5L"),ROUNDUP($F125/CONFIG!$C$31,0),ROUNDUP($F125/VLOOKUP($E125,CONFIG!$A$4:$D$5,4,0),0)))</f>
        <v/>
      </c>
    </row>
    <row r="126" spans="1:9" x14ac:dyDescent="0.3">
      <c r="A126" s="12"/>
      <c r="B126" s="13"/>
      <c r="C126" s="14"/>
      <c r="D126" s="14"/>
      <c r="E126" s="13"/>
      <c r="F126" s="15"/>
      <c r="G126" s="13" t="str">
        <f>IF($E126="","",VLOOKUP($E126,CONFIG!$A$4:$B$5,2,0))</f>
        <v/>
      </c>
      <c r="H126" s="16" t="str">
        <f>IF(OR($E126="",$F126=""),"",$F126*VLOOKUP($E126,CONFIG!$A$4:$C$5,3,0))</f>
        <v/>
      </c>
      <c r="I126" s="11" t="str">
        <f>IF(OR($E126="",$F126=""),"",IF(AND($B126="IN LOCO FOODS",$E126="5L"),ROUNDUP($F126/CONFIG!$C$31,0),ROUNDUP($F126/VLOOKUP($E126,CONFIG!$A$4:$D$5,4,0),0)))</f>
        <v/>
      </c>
    </row>
    <row r="127" spans="1:9" x14ac:dyDescent="0.3">
      <c r="A127" s="6"/>
      <c r="B127" s="7"/>
      <c r="C127" s="8"/>
      <c r="D127" s="8"/>
      <c r="E127" s="7"/>
      <c r="F127" s="9"/>
      <c r="G127" s="7" t="str">
        <f>IF($E127="","",VLOOKUP($E127,CONFIG!$A$4:$B$5,2,0))</f>
        <v/>
      </c>
      <c r="H127" s="10" t="str">
        <f>IF(OR($E127="",$F127=""),"",$F127*VLOOKUP($E127,CONFIG!$A$4:$C$5,3,0))</f>
        <v/>
      </c>
      <c r="I127" s="11" t="str">
        <f>IF(OR($E127="",$F127=""),"",IF(AND($B127="IN LOCO FOODS",$E127="5L"),ROUNDUP($F127/CONFIG!$C$31,0),ROUNDUP($F127/VLOOKUP($E127,CONFIG!$A$4:$D$5,4,0),0)))</f>
        <v/>
      </c>
    </row>
    <row r="128" spans="1:9" x14ac:dyDescent="0.3">
      <c r="A128" s="12"/>
      <c r="B128" s="13"/>
      <c r="C128" s="14"/>
      <c r="D128" s="14"/>
      <c r="E128" s="13"/>
      <c r="F128" s="15"/>
      <c r="G128" s="13" t="str">
        <f>IF($E128="","",VLOOKUP($E128,CONFIG!$A$4:$B$5,2,0))</f>
        <v/>
      </c>
      <c r="H128" s="16" t="str">
        <f>IF(OR($E128="",$F128=""),"",$F128*VLOOKUP($E128,CONFIG!$A$4:$C$5,3,0))</f>
        <v/>
      </c>
      <c r="I128" s="11" t="str">
        <f>IF(OR($E128="",$F128=""),"",IF(AND($B128="IN LOCO FOODS",$E128="5L"),ROUNDUP($F128/CONFIG!$C$31,0),ROUNDUP($F128/VLOOKUP($E128,CONFIG!$A$4:$D$5,4,0),0)))</f>
        <v/>
      </c>
    </row>
    <row r="129" spans="1:9" x14ac:dyDescent="0.3">
      <c r="A129" s="6"/>
      <c r="B129" s="7"/>
      <c r="C129" s="8"/>
      <c r="D129" s="8"/>
      <c r="E129" s="7"/>
      <c r="F129" s="9"/>
      <c r="G129" s="7" t="str">
        <f>IF($E129="","",VLOOKUP($E129,CONFIG!$A$4:$B$5,2,0))</f>
        <v/>
      </c>
      <c r="H129" s="10" t="str">
        <f>IF(OR($E129="",$F129=""),"",$F129*VLOOKUP($E129,CONFIG!$A$4:$C$5,3,0))</f>
        <v/>
      </c>
      <c r="I129" s="11" t="str">
        <f>IF(OR($E129="",$F129=""),"",IF(AND($B129="IN LOCO FOODS",$E129="5L"),ROUNDUP($F129/CONFIG!$C$31,0),ROUNDUP($F129/VLOOKUP($E129,CONFIG!$A$4:$D$5,4,0),0)))</f>
        <v/>
      </c>
    </row>
    <row r="130" spans="1:9" x14ac:dyDescent="0.3">
      <c r="A130" s="12"/>
      <c r="B130" s="13"/>
      <c r="C130" s="14"/>
      <c r="D130" s="14"/>
      <c r="E130" s="13"/>
      <c r="F130" s="15"/>
      <c r="G130" s="13" t="str">
        <f>IF($E130="","",VLOOKUP($E130,CONFIG!$A$4:$B$5,2,0))</f>
        <v/>
      </c>
      <c r="H130" s="16" t="str">
        <f>IF(OR($E130="",$F130=""),"",$F130*VLOOKUP($E130,CONFIG!$A$4:$C$5,3,0))</f>
        <v/>
      </c>
      <c r="I130" s="11" t="str">
        <f>IF(OR($E130="",$F130=""),"",IF(AND($B130="IN LOCO FOODS",$E130="5L"),ROUNDUP($F130/CONFIG!$C$31,0),ROUNDUP($F130/VLOOKUP($E130,CONFIG!$A$4:$D$5,4,0),0)))</f>
        <v/>
      </c>
    </row>
    <row r="131" spans="1:9" x14ac:dyDescent="0.3">
      <c r="A131" s="6"/>
      <c r="B131" s="7"/>
      <c r="C131" s="8"/>
      <c r="D131" s="8"/>
      <c r="E131" s="7"/>
      <c r="F131" s="9"/>
      <c r="G131" s="7" t="str">
        <f>IF($E131="","",VLOOKUP($E131,CONFIG!$A$4:$B$5,2,0))</f>
        <v/>
      </c>
      <c r="H131" s="10" t="str">
        <f>IF(OR($E131="",$F131=""),"",$F131*VLOOKUP($E131,CONFIG!$A$4:$C$5,3,0))</f>
        <v/>
      </c>
      <c r="I131" s="11" t="str">
        <f>IF(OR($E131="",$F131=""),"",IF(AND($B131="IN LOCO FOODS",$E131="5L"),ROUNDUP($F131/CONFIG!$C$31,0),ROUNDUP($F131/VLOOKUP($E131,CONFIG!$A$4:$D$5,4,0),0)))</f>
        <v/>
      </c>
    </row>
    <row r="132" spans="1:9" x14ac:dyDescent="0.3">
      <c r="A132" s="12"/>
      <c r="B132" s="13"/>
      <c r="C132" s="14"/>
      <c r="D132" s="14"/>
      <c r="E132" s="13"/>
      <c r="F132" s="15"/>
      <c r="G132" s="13" t="str">
        <f>IF($E132="","",VLOOKUP($E132,CONFIG!$A$4:$B$5,2,0))</f>
        <v/>
      </c>
      <c r="H132" s="16" t="str">
        <f>IF(OR($E132="",$F132=""),"",$F132*VLOOKUP($E132,CONFIG!$A$4:$C$5,3,0))</f>
        <v/>
      </c>
      <c r="I132" s="11" t="str">
        <f>IF(OR($E132="",$F132=""),"",IF(AND($B132="IN LOCO FOODS",$E132="5L"),ROUNDUP($F132/CONFIG!$C$31,0),ROUNDUP($F132/VLOOKUP($E132,CONFIG!$A$4:$D$5,4,0),0)))</f>
        <v/>
      </c>
    </row>
    <row r="133" spans="1:9" x14ac:dyDescent="0.3">
      <c r="A133" s="6"/>
      <c r="B133" s="7"/>
      <c r="C133" s="8"/>
      <c r="D133" s="8"/>
      <c r="E133" s="7"/>
      <c r="F133" s="9"/>
      <c r="G133" s="7" t="str">
        <f>IF($E133="","",VLOOKUP($E133,CONFIG!$A$4:$B$5,2,0))</f>
        <v/>
      </c>
      <c r="H133" s="10" t="str">
        <f>IF(OR($E133="",$F133=""),"",$F133*VLOOKUP($E133,CONFIG!$A$4:$C$5,3,0))</f>
        <v/>
      </c>
      <c r="I133" s="11" t="str">
        <f>IF(OR($E133="",$F133=""),"",IF(AND($B133="IN LOCO FOODS",$E133="5L"),ROUNDUP($F133/CONFIG!$C$31,0),ROUNDUP($F133/VLOOKUP($E133,CONFIG!$A$4:$D$5,4,0),0)))</f>
        <v/>
      </c>
    </row>
    <row r="134" spans="1:9" x14ac:dyDescent="0.3">
      <c r="A134" s="12"/>
      <c r="B134" s="13"/>
      <c r="C134" s="14"/>
      <c r="D134" s="14"/>
      <c r="E134" s="13"/>
      <c r="F134" s="15"/>
      <c r="G134" s="13" t="str">
        <f>IF($E134="","",VLOOKUP($E134,CONFIG!$A$4:$B$5,2,0))</f>
        <v/>
      </c>
      <c r="H134" s="16" t="str">
        <f>IF(OR($E134="",$F134=""),"",$F134*VLOOKUP($E134,CONFIG!$A$4:$C$5,3,0))</f>
        <v/>
      </c>
      <c r="I134" s="11" t="str">
        <f>IF(OR($E134="",$F134=""),"",IF(AND($B134="IN LOCO FOODS",$E134="5L"),ROUNDUP($F134/CONFIG!$C$31,0),ROUNDUP($F134/VLOOKUP($E134,CONFIG!$A$4:$D$5,4,0),0)))</f>
        <v/>
      </c>
    </row>
    <row r="135" spans="1:9" x14ac:dyDescent="0.3">
      <c r="A135" s="6"/>
      <c r="B135" s="7"/>
      <c r="C135" s="8"/>
      <c r="D135" s="8"/>
      <c r="E135" s="7"/>
      <c r="F135" s="9"/>
      <c r="G135" s="7" t="str">
        <f>IF($E135="","",VLOOKUP($E135,CONFIG!$A$4:$B$5,2,0))</f>
        <v/>
      </c>
      <c r="H135" s="10" t="str">
        <f>IF(OR($E135="",$F135=""),"",$F135*VLOOKUP($E135,CONFIG!$A$4:$C$5,3,0))</f>
        <v/>
      </c>
      <c r="I135" s="11" t="str">
        <f>IF(OR($E135="",$F135=""),"",IF(AND($B135="IN LOCO FOODS",$E135="5L"),ROUNDUP($F135/CONFIG!$C$31,0),ROUNDUP($F135/VLOOKUP($E135,CONFIG!$A$4:$D$5,4,0),0)))</f>
        <v/>
      </c>
    </row>
    <row r="136" spans="1:9" x14ac:dyDescent="0.3">
      <c r="A136" s="12"/>
      <c r="B136" s="13"/>
      <c r="C136" s="14"/>
      <c r="D136" s="14"/>
      <c r="E136" s="13"/>
      <c r="F136" s="15"/>
      <c r="G136" s="13" t="str">
        <f>IF($E136="","",VLOOKUP($E136,CONFIG!$A$4:$B$5,2,0))</f>
        <v/>
      </c>
      <c r="H136" s="16" t="str">
        <f>IF(OR($E136="",$F136=""),"",$F136*VLOOKUP($E136,CONFIG!$A$4:$C$5,3,0))</f>
        <v/>
      </c>
      <c r="I136" s="11" t="str">
        <f>IF(OR($E136="",$F136=""),"",IF(AND($B136="IN LOCO FOODS",$E136="5L"),ROUNDUP($F136/CONFIG!$C$31,0),ROUNDUP($F136/VLOOKUP($E136,CONFIG!$A$4:$D$5,4,0),0)))</f>
        <v/>
      </c>
    </row>
    <row r="137" spans="1:9" x14ac:dyDescent="0.3">
      <c r="A137" s="6"/>
      <c r="B137" s="7"/>
      <c r="C137" s="8"/>
      <c r="D137" s="8"/>
      <c r="E137" s="7"/>
      <c r="F137" s="9"/>
      <c r="G137" s="7" t="str">
        <f>IF($E137="","",VLOOKUP($E137,CONFIG!$A$4:$B$5,2,0))</f>
        <v/>
      </c>
      <c r="H137" s="10" t="str">
        <f>IF(OR($E137="",$F137=""),"",$F137*VLOOKUP($E137,CONFIG!$A$4:$C$5,3,0))</f>
        <v/>
      </c>
      <c r="I137" s="11" t="str">
        <f>IF(OR($E137="",$F137=""),"",IF(AND($B137="IN LOCO FOODS",$E137="5L"),ROUNDUP($F137/CONFIG!$C$31,0),ROUNDUP($F137/VLOOKUP($E137,CONFIG!$A$4:$D$5,4,0),0)))</f>
        <v/>
      </c>
    </row>
    <row r="138" spans="1:9" x14ac:dyDescent="0.3">
      <c r="A138" s="12"/>
      <c r="B138" s="13"/>
      <c r="C138" s="14"/>
      <c r="D138" s="14"/>
      <c r="E138" s="13"/>
      <c r="F138" s="15"/>
      <c r="G138" s="13" t="str">
        <f>IF($E138="","",VLOOKUP($E138,CONFIG!$A$4:$B$5,2,0))</f>
        <v/>
      </c>
      <c r="H138" s="16" t="str">
        <f>IF(OR($E138="",$F138=""),"",$F138*VLOOKUP($E138,CONFIG!$A$4:$C$5,3,0))</f>
        <v/>
      </c>
      <c r="I138" s="11" t="str">
        <f>IF(OR($E138="",$F138=""),"",IF(AND($B138="IN LOCO FOODS",$E138="5L"),ROUNDUP($F138/CONFIG!$C$31,0),ROUNDUP($F138/VLOOKUP($E138,CONFIG!$A$4:$D$5,4,0),0)))</f>
        <v/>
      </c>
    </row>
    <row r="139" spans="1:9" x14ac:dyDescent="0.3">
      <c r="A139" s="6"/>
      <c r="B139" s="7"/>
      <c r="C139" s="8"/>
      <c r="D139" s="8"/>
      <c r="E139" s="7"/>
      <c r="F139" s="9"/>
      <c r="G139" s="7" t="str">
        <f>IF($E139="","",VLOOKUP($E139,CONFIG!$A$4:$B$5,2,0))</f>
        <v/>
      </c>
      <c r="H139" s="10" t="str">
        <f>IF(OR($E139="",$F139=""),"",$F139*VLOOKUP($E139,CONFIG!$A$4:$C$5,3,0))</f>
        <v/>
      </c>
      <c r="I139" s="11" t="str">
        <f>IF(OR($E139="",$F139=""),"",IF(AND($B139="IN LOCO FOODS",$E139="5L"),ROUNDUP($F139/CONFIG!$C$31,0),ROUNDUP($F139/VLOOKUP($E139,CONFIG!$A$4:$D$5,4,0),0)))</f>
        <v/>
      </c>
    </row>
    <row r="140" spans="1:9" x14ac:dyDescent="0.3">
      <c r="A140" s="12"/>
      <c r="B140" s="13"/>
      <c r="C140" s="14"/>
      <c r="D140" s="14"/>
      <c r="E140" s="13"/>
      <c r="F140" s="15"/>
      <c r="G140" s="13" t="str">
        <f>IF($E140="","",VLOOKUP($E140,CONFIG!$A$4:$B$5,2,0))</f>
        <v/>
      </c>
      <c r="H140" s="16" t="str">
        <f>IF(OR($E140="",$F140=""),"",$F140*VLOOKUP($E140,CONFIG!$A$4:$C$5,3,0))</f>
        <v/>
      </c>
      <c r="I140" s="11" t="str">
        <f>IF(OR($E140="",$F140=""),"",IF(AND($B140="IN LOCO FOODS",$E140="5L"),ROUNDUP($F140/CONFIG!$C$31,0),ROUNDUP($F140/VLOOKUP($E140,CONFIG!$A$4:$D$5,4,0),0)))</f>
        <v/>
      </c>
    </row>
    <row r="141" spans="1:9" x14ac:dyDescent="0.3">
      <c r="A141" s="6"/>
      <c r="B141" s="7"/>
      <c r="C141" s="8"/>
      <c r="D141" s="8"/>
      <c r="E141" s="7"/>
      <c r="F141" s="9"/>
      <c r="G141" s="7" t="str">
        <f>IF($E141="","",VLOOKUP($E141,CONFIG!$A$4:$B$5,2,0))</f>
        <v/>
      </c>
      <c r="H141" s="10" t="str">
        <f>IF(OR($E141="",$F141=""),"",$F141*VLOOKUP($E141,CONFIG!$A$4:$C$5,3,0))</f>
        <v/>
      </c>
      <c r="I141" s="11" t="str">
        <f>IF(OR($E141="",$F141=""),"",IF(AND($B141="IN LOCO FOODS",$E141="5L"),ROUNDUP($F141/CONFIG!$C$31,0),ROUNDUP($F141/VLOOKUP($E141,CONFIG!$A$4:$D$5,4,0),0)))</f>
        <v/>
      </c>
    </row>
    <row r="142" spans="1:9" x14ac:dyDescent="0.3">
      <c r="A142" s="12"/>
      <c r="B142" s="13"/>
      <c r="C142" s="14"/>
      <c r="D142" s="14"/>
      <c r="E142" s="13"/>
      <c r="F142" s="15"/>
      <c r="G142" s="13" t="str">
        <f>IF($E142="","",VLOOKUP($E142,CONFIG!$A$4:$B$5,2,0))</f>
        <v/>
      </c>
      <c r="H142" s="16" t="str">
        <f>IF(OR($E142="",$F142=""),"",$F142*VLOOKUP($E142,CONFIG!$A$4:$C$5,3,0))</f>
        <v/>
      </c>
      <c r="I142" s="11" t="str">
        <f>IF(OR($E142="",$F142=""),"",IF(AND($B142="IN LOCO FOODS",$E142="5L"),ROUNDUP($F142/CONFIG!$C$31,0),ROUNDUP($F142/VLOOKUP($E142,CONFIG!$A$4:$D$5,4,0),0)))</f>
        <v/>
      </c>
    </row>
    <row r="143" spans="1:9" x14ac:dyDescent="0.3">
      <c r="A143" s="6"/>
      <c r="B143" s="7"/>
      <c r="C143" s="8"/>
      <c r="D143" s="8"/>
      <c r="E143" s="7"/>
      <c r="F143" s="9"/>
      <c r="G143" s="7" t="str">
        <f>IF($E143="","",VLOOKUP($E143,CONFIG!$A$4:$B$5,2,0))</f>
        <v/>
      </c>
      <c r="H143" s="10" t="str">
        <f>IF(OR($E143="",$F143=""),"",$F143*VLOOKUP($E143,CONFIG!$A$4:$C$5,3,0))</f>
        <v/>
      </c>
      <c r="I143" s="11" t="str">
        <f>IF(OR($E143="",$F143=""),"",IF(AND($B143="IN LOCO FOODS",$E143="5L"),ROUNDUP($F143/CONFIG!$C$31,0),ROUNDUP($F143/VLOOKUP($E143,CONFIG!$A$4:$D$5,4,0),0)))</f>
        <v/>
      </c>
    </row>
    <row r="144" spans="1:9" x14ac:dyDescent="0.3">
      <c r="A144" s="12"/>
      <c r="B144" s="13"/>
      <c r="C144" s="14"/>
      <c r="D144" s="14"/>
      <c r="E144" s="13"/>
      <c r="F144" s="15"/>
      <c r="G144" s="13" t="str">
        <f>IF($E144="","",VLOOKUP($E144,CONFIG!$A$4:$B$5,2,0))</f>
        <v/>
      </c>
      <c r="H144" s="16" t="str">
        <f>IF(OR($E144="",$F144=""),"",$F144*VLOOKUP($E144,CONFIG!$A$4:$C$5,3,0))</f>
        <v/>
      </c>
      <c r="I144" s="11" t="str">
        <f>IF(OR($E144="",$F144=""),"",IF(AND($B144="IN LOCO FOODS",$E144="5L"),ROUNDUP($F144/CONFIG!$C$31,0),ROUNDUP($F144/VLOOKUP($E144,CONFIG!$A$4:$D$5,4,0),0)))</f>
        <v/>
      </c>
    </row>
    <row r="145" spans="1:9" x14ac:dyDescent="0.3">
      <c r="A145" s="6"/>
      <c r="B145" s="7"/>
      <c r="C145" s="8"/>
      <c r="D145" s="8"/>
      <c r="E145" s="7"/>
      <c r="F145" s="9"/>
      <c r="G145" s="7" t="str">
        <f>IF($E145="","",VLOOKUP($E145,CONFIG!$A$4:$B$5,2,0))</f>
        <v/>
      </c>
      <c r="H145" s="10" t="str">
        <f>IF(OR($E145="",$F145=""),"",$F145*VLOOKUP($E145,CONFIG!$A$4:$C$5,3,0))</f>
        <v/>
      </c>
      <c r="I145" s="11" t="str">
        <f>IF(OR($E145="",$F145=""),"",IF(AND($B145="IN LOCO FOODS",$E145="5L"),ROUNDUP($F145/CONFIG!$C$31,0),ROUNDUP($F145/VLOOKUP($E145,CONFIG!$A$4:$D$5,4,0),0)))</f>
        <v/>
      </c>
    </row>
    <row r="146" spans="1:9" x14ac:dyDescent="0.3">
      <c r="A146" s="12"/>
      <c r="B146" s="13"/>
      <c r="C146" s="14"/>
      <c r="D146" s="14"/>
      <c r="E146" s="13"/>
      <c r="F146" s="15"/>
      <c r="G146" s="13" t="str">
        <f>IF($E146="","",VLOOKUP($E146,CONFIG!$A$4:$B$5,2,0))</f>
        <v/>
      </c>
      <c r="H146" s="16" t="str">
        <f>IF(OR($E146="",$F146=""),"",$F146*VLOOKUP($E146,CONFIG!$A$4:$C$5,3,0))</f>
        <v/>
      </c>
      <c r="I146" s="11" t="str">
        <f>IF(OR($E146="",$F146=""),"",IF(AND($B146="IN LOCO FOODS",$E146="5L"),ROUNDUP($F146/CONFIG!$C$31,0),ROUNDUP($F146/VLOOKUP($E146,CONFIG!$A$4:$D$5,4,0),0)))</f>
        <v/>
      </c>
    </row>
    <row r="147" spans="1:9" x14ac:dyDescent="0.3">
      <c r="A147" s="6"/>
      <c r="B147" s="7"/>
      <c r="C147" s="8"/>
      <c r="D147" s="8"/>
      <c r="E147" s="7"/>
      <c r="F147" s="9"/>
      <c r="G147" s="7" t="str">
        <f>IF($E147="","",VLOOKUP($E147,CONFIG!$A$4:$B$5,2,0))</f>
        <v/>
      </c>
      <c r="H147" s="10" t="str">
        <f>IF(OR($E147="",$F147=""),"",$F147*VLOOKUP($E147,CONFIG!$A$4:$C$5,3,0))</f>
        <v/>
      </c>
      <c r="I147" s="11" t="str">
        <f>IF(OR($E147="",$F147=""),"",IF(AND($B147="IN LOCO FOODS",$E147="5L"),ROUNDUP($F147/CONFIG!$C$31,0),ROUNDUP($F147/VLOOKUP($E147,CONFIG!$A$4:$D$5,4,0),0)))</f>
        <v/>
      </c>
    </row>
    <row r="148" spans="1:9" x14ac:dyDescent="0.3">
      <c r="A148" s="12"/>
      <c r="B148" s="13"/>
      <c r="C148" s="14"/>
      <c r="D148" s="14"/>
      <c r="E148" s="13"/>
      <c r="F148" s="15"/>
      <c r="G148" s="13" t="str">
        <f>IF($E148="","",VLOOKUP($E148,CONFIG!$A$4:$B$5,2,0))</f>
        <v/>
      </c>
      <c r="H148" s="16" t="str">
        <f>IF(OR($E148="",$F148=""),"",$F148*VLOOKUP($E148,CONFIG!$A$4:$C$5,3,0))</f>
        <v/>
      </c>
      <c r="I148" s="11" t="str">
        <f>IF(OR($E148="",$F148=""),"",IF(AND($B148="IN LOCO FOODS",$E148="5L"),ROUNDUP($F148/CONFIG!$C$31,0),ROUNDUP($F148/VLOOKUP($E148,CONFIG!$A$4:$D$5,4,0),0)))</f>
        <v/>
      </c>
    </row>
    <row r="149" spans="1:9" x14ac:dyDescent="0.3">
      <c r="A149" s="6"/>
      <c r="B149" s="7"/>
      <c r="C149" s="8"/>
      <c r="D149" s="8"/>
      <c r="E149" s="7"/>
      <c r="F149" s="9"/>
      <c r="G149" s="7" t="str">
        <f>IF($E149="","",VLOOKUP($E149,CONFIG!$A$4:$B$5,2,0))</f>
        <v/>
      </c>
      <c r="H149" s="10" t="str">
        <f>IF(OR($E149="",$F149=""),"",$F149*VLOOKUP($E149,CONFIG!$A$4:$C$5,3,0))</f>
        <v/>
      </c>
      <c r="I149" s="11" t="str">
        <f>IF(OR($E149="",$F149=""),"",IF(AND($B149="IN LOCO FOODS",$E149="5L"),ROUNDUP($F149/CONFIG!$C$31,0),ROUNDUP($F149/VLOOKUP($E149,CONFIG!$A$4:$D$5,4,0),0)))</f>
        <v/>
      </c>
    </row>
    <row r="150" spans="1:9" x14ac:dyDescent="0.3">
      <c r="A150" s="12"/>
      <c r="B150" s="13"/>
      <c r="C150" s="14"/>
      <c r="D150" s="14"/>
      <c r="E150" s="13"/>
      <c r="F150" s="15"/>
      <c r="G150" s="13" t="str">
        <f>IF($E150="","",VLOOKUP($E150,CONFIG!$A$4:$B$5,2,0))</f>
        <v/>
      </c>
      <c r="H150" s="16" t="str">
        <f>IF(OR($E150="",$F150=""),"",$F150*VLOOKUP($E150,CONFIG!$A$4:$C$5,3,0))</f>
        <v/>
      </c>
      <c r="I150" s="11" t="str">
        <f>IF(OR($E150="",$F150=""),"",IF(AND($B150="IN LOCO FOODS",$E150="5L"),ROUNDUP($F150/CONFIG!$C$31,0),ROUNDUP($F150/VLOOKUP($E150,CONFIG!$A$4:$D$5,4,0),0)))</f>
        <v/>
      </c>
    </row>
    <row r="151" spans="1:9" x14ac:dyDescent="0.3">
      <c r="A151" s="6"/>
      <c r="B151" s="7"/>
      <c r="C151" s="8"/>
      <c r="D151" s="8"/>
      <c r="E151" s="7"/>
      <c r="F151" s="9"/>
      <c r="G151" s="7" t="str">
        <f>IF($E151="","",VLOOKUP($E151,CONFIG!$A$4:$B$5,2,0))</f>
        <v/>
      </c>
      <c r="H151" s="10" t="str">
        <f>IF(OR($E151="",$F151=""),"",$F151*VLOOKUP($E151,CONFIG!$A$4:$C$5,3,0))</f>
        <v/>
      </c>
      <c r="I151" s="11" t="str">
        <f>IF(OR($E151="",$F151=""),"",IF(AND($B151="IN LOCO FOODS",$E151="5L"),ROUNDUP($F151/CONFIG!$C$31,0),ROUNDUP($F151/VLOOKUP($E151,CONFIG!$A$4:$D$5,4,0),0)))</f>
        <v/>
      </c>
    </row>
    <row r="152" spans="1:9" x14ac:dyDescent="0.3">
      <c r="A152" s="12"/>
      <c r="B152" s="13"/>
      <c r="C152" s="14"/>
      <c r="D152" s="14"/>
      <c r="E152" s="13"/>
      <c r="F152" s="15"/>
      <c r="G152" s="13" t="str">
        <f>IF($E152="","",VLOOKUP($E152,CONFIG!$A$4:$B$5,2,0))</f>
        <v/>
      </c>
      <c r="H152" s="16" t="str">
        <f>IF(OR($E152="",$F152=""),"",$F152*VLOOKUP($E152,CONFIG!$A$4:$C$5,3,0))</f>
        <v/>
      </c>
      <c r="I152" s="11" t="str">
        <f>IF(OR($E152="",$F152=""),"",IF(AND($B152="IN LOCO FOODS",$E152="5L"),ROUNDUP($F152/CONFIG!$C$31,0),ROUNDUP($F152/VLOOKUP($E152,CONFIG!$A$4:$D$5,4,0),0)))</f>
        <v/>
      </c>
    </row>
    <row r="153" spans="1:9" x14ac:dyDescent="0.3">
      <c r="A153" s="6"/>
      <c r="B153" s="7"/>
      <c r="C153" s="8"/>
      <c r="D153" s="8"/>
      <c r="E153" s="7"/>
      <c r="F153" s="9"/>
      <c r="G153" s="7" t="str">
        <f>IF($E153="","",VLOOKUP($E153,CONFIG!$A$4:$B$5,2,0))</f>
        <v/>
      </c>
      <c r="H153" s="10" t="str">
        <f>IF(OR($E153="",$F153=""),"",$F153*VLOOKUP($E153,CONFIG!$A$4:$C$5,3,0))</f>
        <v/>
      </c>
      <c r="I153" s="11" t="str">
        <f>IF(OR($E153="",$F153=""),"",IF(AND($B153="IN LOCO FOODS",$E153="5L"),ROUNDUP($F153/CONFIG!$C$31,0),ROUNDUP($F153/VLOOKUP($E153,CONFIG!$A$4:$D$5,4,0),0)))</f>
        <v/>
      </c>
    </row>
    <row r="154" spans="1:9" x14ac:dyDescent="0.3">
      <c r="A154" s="12"/>
      <c r="B154" s="13"/>
      <c r="C154" s="14"/>
      <c r="D154" s="14"/>
      <c r="E154" s="13"/>
      <c r="F154" s="15"/>
      <c r="G154" s="13" t="str">
        <f>IF($E154="","",VLOOKUP($E154,CONFIG!$A$4:$B$5,2,0))</f>
        <v/>
      </c>
      <c r="H154" s="16" t="str">
        <f>IF(OR($E154="",$F154=""),"",$F154*VLOOKUP($E154,CONFIG!$A$4:$C$5,3,0))</f>
        <v/>
      </c>
      <c r="I154" s="11" t="str">
        <f>IF(OR($E154="",$F154=""),"",IF(AND($B154="IN LOCO FOODS",$E154="5L"),ROUNDUP($F154/CONFIG!$C$31,0),ROUNDUP($F154/VLOOKUP($E154,CONFIG!$A$4:$D$5,4,0),0)))</f>
        <v/>
      </c>
    </row>
    <row r="155" spans="1:9" x14ac:dyDescent="0.3">
      <c r="A155" s="6"/>
      <c r="B155" s="7"/>
      <c r="C155" s="8"/>
      <c r="D155" s="8"/>
      <c r="E155" s="7"/>
      <c r="F155" s="9"/>
      <c r="G155" s="7" t="str">
        <f>IF($E155="","",VLOOKUP($E155,CONFIG!$A$4:$B$5,2,0))</f>
        <v/>
      </c>
      <c r="H155" s="10" t="str">
        <f>IF(OR($E155="",$F155=""),"",$F155*VLOOKUP($E155,CONFIG!$A$4:$C$5,3,0))</f>
        <v/>
      </c>
      <c r="I155" s="11" t="str">
        <f>IF(OR($E155="",$F155=""),"",IF(AND($B155="IN LOCO FOODS",$E155="5L"),ROUNDUP($F155/CONFIG!$C$31,0),ROUNDUP($F155/VLOOKUP($E155,CONFIG!$A$4:$D$5,4,0),0)))</f>
        <v/>
      </c>
    </row>
    <row r="156" spans="1:9" x14ac:dyDescent="0.3">
      <c r="A156" s="12"/>
      <c r="B156" s="13"/>
      <c r="C156" s="14"/>
      <c r="D156" s="14"/>
      <c r="E156" s="13"/>
      <c r="F156" s="15"/>
      <c r="G156" s="13" t="str">
        <f>IF($E156="","",VLOOKUP($E156,CONFIG!$A$4:$B$5,2,0))</f>
        <v/>
      </c>
      <c r="H156" s="16" t="str">
        <f>IF(OR($E156="",$F156=""),"",$F156*VLOOKUP($E156,CONFIG!$A$4:$C$5,3,0))</f>
        <v/>
      </c>
      <c r="I156" s="11" t="str">
        <f>IF(OR($E156="",$F156=""),"",IF(AND($B156="IN LOCO FOODS",$E156="5L"),ROUNDUP($F156/CONFIG!$C$31,0),ROUNDUP($F156/VLOOKUP($E156,CONFIG!$A$4:$D$5,4,0),0)))</f>
        <v/>
      </c>
    </row>
    <row r="157" spans="1:9" x14ac:dyDescent="0.3">
      <c r="A157" s="6"/>
      <c r="B157" s="7"/>
      <c r="C157" s="8"/>
      <c r="D157" s="8"/>
      <c r="E157" s="7"/>
      <c r="F157" s="9"/>
      <c r="G157" s="7" t="str">
        <f>IF($E157="","",VLOOKUP($E157,CONFIG!$A$4:$B$5,2,0))</f>
        <v/>
      </c>
      <c r="H157" s="10" t="str">
        <f>IF(OR($E157="",$F157=""),"",$F157*VLOOKUP($E157,CONFIG!$A$4:$C$5,3,0))</f>
        <v/>
      </c>
      <c r="I157" s="11" t="str">
        <f>IF(OR($E157="",$F157=""),"",IF(AND($B157="IN LOCO FOODS",$E157="5L"),ROUNDUP($F157/CONFIG!$C$31,0),ROUNDUP($F157/VLOOKUP($E157,CONFIG!$A$4:$D$5,4,0),0)))</f>
        <v/>
      </c>
    </row>
    <row r="158" spans="1:9" x14ac:dyDescent="0.3">
      <c r="A158" s="12"/>
      <c r="B158" s="13"/>
      <c r="C158" s="14"/>
      <c r="D158" s="14"/>
      <c r="E158" s="13"/>
      <c r="F158" s="15"/>
      <c r="G158" s="13" t="str">
        <f>IF($E158="","",VLOOKUP($E158,CONFIG!$A$4:$B$5,2,0))</f>
        <v/>
      </c>
      <c r="H158" s="16" t="str">
        <f>IF(OR($E158="",$F158=""),"",$F158*VLOOKUP($E158,CONFIG!$A$4:$C$5,3,0))</f>
        <v/>
      </c>
      <c r="I158" s="11" t="str">
        <f>IF(OR($E158="",$F158=""),"",IF(AND($B158="IN LOCO FOODS",$E158="5L"),ROUNDUP($F158/CONFIG!$C$31,0),ROUNDUP($F158/VLOOKUP($E158,CONFIG!$A$4:$D$5,4,0),0)))</f>
        <v/>
      </c>
    </row>
    <row r="159" spans="1:9" x14ac:dyDescent="0.3">
      <c r="A159" s="6"/>
      <c r="B159" s="7"/>
      <c r="C159" s="8"/>
      <c r="D159" s="8"/>
      <c r="E159" s="7"/>
      <c r="F159" s="9"/>
      <c r="G159" s="7" t="str">
        <f>IF($E159="","",VLOOKUP($E159,CONFIG!$A$4:$B$5,2,0))</f>
        <v/>
      </c>
      <c r="H159" s="10" t="str">
        <f>IF(OR($E159="",$F159=""),"",$F159*VLOOKUP($E159,CONFIG!$A$4:$C$5,3,0))</f>
        <v/>
      </c>
      <c r="I159" s="11" t="str">
        <f>IF(OR($E159="",$F159=""),"",IF(AND($B159="IN LOCO FOODS",$E159="5L"),ROUNDUP($F159/CONFIG!$C$31,0),ROUNDUP($F159/VLOOKUP($E159,CONFIG!$A$4:$D$5,4,0),0)))</f>
        <v/>
      </c>
    </row>
    <row r="160" spans="1:9" x14ac:dyDescent="0.3">
      <c r="A160" s="12"/>
      <c r="B160" s="13"/>
      <c r="C160" s="14"/>
      <c r="D160" s="14"/>
      <c r="E160" s="13"/>
      <c r="F160" s="15"/>
      <c r="G160" s="13" t="str">
        <f>IF($E160="","",VLOOKUP($E160,CONFIG!$A$4:$B$5,2,0))</f>
        <v/>
      </c>
      <c r="H160" s="16" t="str">
        <f>IF(OR($E160="",$F160=""),"",$F160*VLOOKUP($E160,CONFIG!$A$4:$C$5,3,0))</f>
        <v/>
      </c>
      <c r="I160" s="11" t="str">
        <f>IF(OR($E160="",$F160=""),"",IF(AND($B160="IN LOCO FOODS",$E160="5L"),ROUNDUP($F160/CONFIG!$C$31,0),ROUNDUP($F160/VLOOKUP($E160,CONFIG!$A$4:$D$5,4,0),0)))</f>
        <v/>
      </c>
    </row>
    <row r="161" spans="1:9" x14ac:dyDescent="0.3">
      <c r="A161" s="6"/>
      <c r="B161" s="7"/>
      <c r="C161" s="8"/>
      <c r="D161" s="8"/>
      <c r="E161" s="7"/>
      <c r="F161" s="9"/>
      <c r="G161" s="7" t="str">
        <f>IF($E161="","",VLOOKUP($E161,CONFIG!$A$4:$B$5,2,0))</f>
        <v/>
      </c>
      <c r="H161" s="10" t="str">
        <f>IF(OR($E161="",$F161=""),"",$F161*VLOOKUP($E161,CONFIG!$A$4:$C$5,3,0))</f>
        <v/>
      </c>
      <c r="I161" s="11" t="str">
        <f>IF(OR($E161="",$F161=""),"",IF(AND($B161="IN LOCO FOODS",$E161="5L"),ROUNDUP($F161/CONFIG!$C$31,0),ROUNDUP($F161/VLOOKUP($E161,CONFIG!$A$4:$D$5,4,0),0)))</f>
        <v/>
      </c>
    </row>
    <row r="162" spans="1:9" x14ac:dyDescent="0.3">
      <c r="A162" s="12"/>
      <c r="B162" s="13"/>
      <c r="C162" s="14"/>
      <c r="D162" s="14"/>
      <c r="E162" s="13"/>
      <c r="F162" s="15"/>
      <c r="G162" s="13" t="str">
        <f>IF($E162="","",VLOOKUP($E162,CONFIG!$A$4:$B$5,2,0))</f>
        <v/>
      </c>
      <c r="H162" s="16" t="str">
        <f>IF(OR($E162="",$F162=""),"",$F162*VLOOKUP($E162,CONFIG!$A$4:$C$5,3,0))</f>
        <v/>
      </c>
      <c r="I162" s="11" t="str">
        <f>IF(OR($E162="",$F162=""),"",IF(AND($B162="IN LOCO FOODS",$E162="5L"),ROUNDUP($F162/CONFIG!$C$31,0),ROUNDUP($F162/VLOOKUP($E162,CONFIG!$A$4:$D$5,4,0),0)))</f>
        <v/>
      </c>
    </row>
    <row r="163" spans="1:9" x14ac:dyDescent="0.3">
      <c r="A163" s="6"/>
      <c r="B163" s="7"/>
      <c r="C163" s="8"/>
      <c r="D163" s="8"/>
      <c r="E163" s="7"/>
      <c r="F163" s="9"/>
      <c r="G163" s="7" t="str">
        <f>IF($E163="","",VLOOKUP($E163,CONFIG!$A$4:$B$5,2,0))</f>
        <v/>
      </c>
      <c r="H163" s="10" t="str">
        <f>IF(OR($E163="",$F163=""),"",$F163*VLOOKUP($E163,CONFIG!$A$4:$C$5,3,0))</f>
        <v/>
      </c>
      <c r="I163" s="11" t="str">
        <f>IF(OR($E163="",$F163=""),"",IF(AND($B163="IN LOCO FOODS",$E163="5L"),ROUNDUP($F163/CONFIG!$C$31,0),ROUNDUP($F163/VLOOKUP($E163,CONFIG!$A$4:$D$5,4,0),0)))</f>
        <v/>
      </c>
    </row>
    <row r="164" spans="1:9" x14ac:dyDescent="0.3">
      <c r="A164" s="12"/>
      <c r="B164" s="13"/>
      <c r="C164" s="14"/>
      <c r="D164" s="14"/>
      <c r="E164" s="13"/>
      <c r="F164" s="15"/>
      <c r="G164" s="13" t="str">
        <f>IF($E164="","",VLOOKUP($E164,CONFIG!$A$4:$B$5,2,0))</f>
        <v/>
      </c>
      <c r="H164" s="16" t="str">
        <f>IF(OR($E164="",$F164=""),"",$F164*VLOOKUP($E164,CONFIG!$A$4:$C$5,3,0))</f>
        <v/>
      </c>
      <c r="I164" s="11" t="str">
        <f>IF(OR($E164="",$F164=""),"",IF(AND($B164="IN LOCO FOODS",$E164="5L"),ROUNDUP($F164/CONFIG!$C$31,0),ROUNDUP($F164/VLOOKUP($E164,CONFIG!$A$4:$D$5,4,0),0)))</f>
        <v/>
      </c>
    </row>
    <row r="165" spans="1:9" x14ac:dyDescent="0.3">
      <c r="A165" s="6"/>
      <c r="B165" s="7"/>
      <c r="C165" s="8"/>
      <c r="D165" s="8"/>
      <c r="E165" s="7"/>
      <c r="F165" s="9"/>
      <c r="G165" s="7" t="str">
        <f>IF($E165="","",VLOOKUP($E165,CONFIG!$A$4:$B$5,2,0))</f>
        <v/>
      </c>
      <c r="H165" s="10" t="str">
        <f>IF(OR($E165="",$F165=""),"",$F165*VLOOKUP($E165,CONFIG!$A$4:$C$5,3,0))</f>
        <v/>
      </c>
      <c r="I165" s="11" t="str">
        <f>IF(OR($E165="",$F165=""),"",IF(AND($B165="IN LOCO FOODS",$E165="5L"),ROUNDUP($F165/CONFIG!$C$31,0),ROUNDUP($F165/VLOOKUP($E165,CONFIG!$A$4:$D$5,4,0),0)))</f>
        <v/>
      </c>
    </row>
    <row r="166" spans="1:9" x14ac:dyDescent="0.3">
      <c r="A166" s="12"/>
      <c r="B166" s="13"/>
      <c r="C166" s="14"/>
      <c r="D166" s="14"/>
      <c r="E166" s="13"/>
      <c r="F166" s="15"/>
      <c r="G166" s="13" t="str">
        <f>IF($E166="","",VLOOKUP($E166,CONFIG!$A$4:$B$5,2,0))</f>
        <v/>
      </c>
      <c r="H166" s="16" t="str">
        <f>IF(OR($E166="",$F166=""),"",$F166*VLOOKUP($E166,CONFIG!$A$4:$C$5,3,0))</f>
        <v/>
      </c>
      <c r="I166" s="11" t="str">
        <f>IF(OR($E166="",$F166=""),"",IF(AND($B166="IN LOCO FOODS",$E166="5L"),ROUNDUP($F166/CONFIG!$C$31,0),ROUNDUP($F166/VLOOKUP($E166,CONFIG!$A$4:$D$5,4,0),0)))</f>
        <v/>
      </c>
    </row>
    <row r="167" spans="1:9" x14ac:dyDescent="0.3">
      <c r="A167" s="6"/>
      <c r="B167" s="7"/>
      <c r="C167" s="8"/>
      <c r="D167" s="8"/>
      <c r="E167" s="7"/>
      <c r="F167" s="9"/>
      <c r="G167" s="7" t="str">
        <f>IF($E167="","",VLOOKUP($E167,CONFIG!$A$4:$B$5,2,0))</f>
        <v/>
      </c>
      <c r="H167" s="10" t="str">
        <f>IF(OR($E167="",$F167=""),"",$F167*VLOOKUP($E167,CONFIG!$A$4:$C$5,3,0))</f>
        <v/>
      </c>
      <c r="I167" s="11" t="str">
        <f>IF(OR($E167="",$F167=""),"",IF(AND($B167="IN LOCO FOODS",$E167="5L"),ROUNDUP($F167/CONFIG!$C$31,0),ROUNDUP($F167/VLOOKUP($E167,CONFIG!$A$4:$D$5,4,0),0)))</f>
        <v/>
      </c>
    </row>
    <row r="168" spans="1:9" x14ac:dyDescent="0.3">
      <c r="A168" s="12"/>
      <c r="B168" s="13"/>
      <c r="C168" s="14"/>
      <c r="D168" s="14"/>
      <c r="E168" s="13"/>
      <c r="F168" s="15"/>
      <c r="G168" s="13" t="str">
        <f>IF($E168="","",VLOOKUP($E168,CONFIG!$A$4:$B$5,2,0))</f>
        <v/>
      </c>
      <c r="H168" s="16" t="str">
        <f>IF(OR($E168="",$F168=""),"",$F168*VLOOKUP($E168,CONFIG!$A$4:$C$5,3,0))</f>
        <v/>
      </c>
      <c r="I168" s="11" t="str">
        <f>IF(OR($E168="",$F168=""),"",IF(AND($B168="IN LOCO FOODS",$E168="5L"),ROUNDUP($F168/CONFIG!$C$31,0),ROUNDUP($F168/VLOOKUP($E168,CONFIG!$A$4:$D$5,4,0),0)))</f>
        <v/>
      </c>
    </row>
    <row r="169" spans="1:9" x14ac:dyDescent="0.3">
      <c r="A169" s="6"/>
      <c r="B169" s="7"/>
      <c r="C169" s="8"/>
      <c r="D169" s="8"/>
      <c r="E169" s="7"/>
      <c r="F169" s="9"/>
      <c r="G169" s="7" t="str">
        <f>IF($E169="","",VLOOKUP($E169,CONFIG!$A$4:$B$5,2,0))</f>
        <v/>
      </c>
      <c r="H169" s="10" t="str">
        <f>IF(OR($E169="",$F169=""),"",$F169*VLOOKUP($E169,CONFIG!$A$4:$C$5,3,0))</f>
        <v/>
      </c>
      <c r="I169" s="11" t="str">
        <f>IF(OR($E169="",$F169=""),"",IF(AND($B169="IN LOCO FOODS",$E169="5L"),ROUNDUP($F169/CONFIG!$C$31,0),ROUNDUP($F169/VLOOKUP($E169,CONFIG!$A$4:$D$5,4,0),0)))</f>
        <v/>
      </c>
    </row>
    <row r="170" spans="1:9" x14ac:dyDescent="0.3">
      <c r="A170" s="12"/>
      <c r="B170" s="13"/>
      <c r="C170" s="14"/>
      <c r="D170" s="14"/>
      <c r="E170" s="13"/>
      <c r="F170" s="15"/>
      <c r="G170" s="13" t="str">
        <f>IF($E170="","",VLOOKUP($E170,CONFIG!$A$4:$B$5,2,0))</f>
        <v/>
      </c>
      <c r="H170" s="16" t="str">
        <f>IF(OR($E170="",$F170=""),"",$F170*VLOOKUP($E170,CONFIG!$A$4:$C$5,3,0))</f>
        <v/>
      </c>
      <c r="I170" s="11" t="str">
        <f>IF(OR($E170="",$F170=""),"",IF(AND($B170="IN LOCO FOODS",$E170="5L"),ROUNDUP($F170/CONFIG!$C$31,0),ROUNDUP($F170/VLOOKUP($E170,CONFIG!$A$4:$D$5,4,0),0)))</f>
        <v/>
      </c>
    </row>
    <row r="171" spans="1:9" x14ac:dyDescent="0.3">
      <c r="A171" s="6"/>
      <c r="B171" s="7"/>
      <c r="C171" s="8"/>
      <c r="D171" s="8"/>
      <c r="E171" s="7"/>
      <c r="F171" s="9"/>
      <c r="G171" s="7" t="str">
        <f>IF($E171="","",VLOOKUP($E171,CONFIG!$A$4:$B$5,2,0))</f>
        <v/>
      </c>
      <c r="H171" s="10" t="str">
        <f>IF(OR($E171="",$F171=""),"",$F171*VLOOKUP($E171,CONFIG!$A$4:$C$5,3,0))</f>
        <v/>
      </c>
      <c r="I171" s="11" t="str">
        <f>IF(OR($E171="",$F171=""),"",IF(AND($B171="IN LOCO FOODS",$E171="5L"),ROUNDUP($F171/CONFIG!$C$31,0),ROUNDUP($F171/VLOOKUP($E171,CONFIG!$A$4:$D$5,4,0),0)))</f>
        <v/>
      </c>
    </row>
    <row r="172" spans="1:9" x14ac:dyDescent="0.3">
      <c r="A172" s="12"/>
      <c r="B172" s="13"/>
      <c r="C172" s="14"/>
      <c r="D172" s="14"/>
      <c r="E172" s="13"/>
      <c r="F172" s="15"/>
      <c r="G172" s="13" t="str">
        <f>IF($E172="","",VLOOKUP($E172,CONFIG!$A$4:$B$5,2,0))</f>
        <v/>
      </c>
      <c r="H172" s="16" t="str">
        <f>IF(OR($E172="",$F172=""),"",$F172*VLOOKUP($E172,CONFIG!$A$4:$C$5,3,0))</f>
        <v/>
      </c>
      <c r="I172" s="11" t="str">
        <f>IF(OR($E172="",$F172=""),"",IF(AND($B172="IN LOCO FOODS",$E172="5L"),ROUNDUP($F172/CONFIG!$C$31,0),ROUNDUP($F172/VLOOKUP($E172,CONFIG!$A$4:$D$5,4,0),0)))</f>
        <v/>
      </c>
    </row>
    <row r="173" spans="1:9" x14ac:dyDescent="0.3">
      <c r="A173" s="6"/>
      <c r="B173" s="7"/>
      <c r="C173" s="8"/>
      <c r="D173" s="8"/>
      <c r="E173" s="7"/>
      <c r="F173" s="9"/>
      <c r="G173" s="7" t="str">
        <f>IF($E173="","",VLOOKUP($E173,CONFIG!$A$4:$B$5,2,0))</f>
        <v/>
      </c>
      <c r="H173" s="10" t="str">
        <f>IF(OR($E173="",$F173=""),"",$F173*VLOOKUP($E173,CONFIG!$A$4:$C$5,3,0))</f>
        <v/>
      </c>
      <c r="I173" s="11" t="str">
        <f>IF(OR($E173="",$F173=""),"",IF(AND($B173="IN LOCO FOODS",$E173="5L"),ROUNDUP($F173/CONFIG!$C$31,0),ROUNDUP($F173/VLOOKUP($E173,CONFIG!$A$4:$D$5,4,0),0)))</f>
        <v/>
      </c>
    </row>
    <row r="174" spans="1:9" x14ac:dyDescent="0.3">
      <c r="A174" s="12"/>
      <c r="B174" s="13"/>
      <c r="C174" s="14"/>
      <c r="D174" s="14"/>
      <c r="E174" s="13"/>
      <c r="F174" s="15"/>
      <c r="G174" s="13" t="str">
        <f>IF($E174="","",VLOOKUP($E174,CONFIG!$A$4:$B$5,2,0))</f>
        <v/>
      </c>
      <c r="H174" s="16" t="str">
        <f>IF(OR($E174="",$F174=""),"",$F174*VLOOKUP($E174,CONFIG!$A$4:$C$5,3,0))</f>
        <v/>
      </c>
      <c r="I174" s="11" t="str">
        <f>IF(OR($E174="",$F174=""),"",IF(AND($B174="IN LOCO FOODS",$E174="5L"),ROUNDUP($F174/CONFIG!$C$31,0),ROUNDUP($F174/VLOOKUP($E174,CONFIG!$A$4:$D$5,4,0),0)))</f>
        <v/>
      </c>
    </row>
    <row r="175" spans="1:9" x14ac:dyDescent="0.3">
      <c r="A175" s="6"/>
      <c r="B175" s="7"/>
      <c r="C175" s="8"/>
      <c r="D175" s="8"/>
      <c r="E175" s="7"/>
      <c r="F175" s="9"/>
      <c r="G175" s="7" t="str">
        <f>IF($E175="","",VLOOKUP($E175,CONFIG!$A$4:$B$5,2,0))</f>
        <v/>
      </c>
      <c r="H175" s="10" t="str">
        <f>IF(OR($E175="",$F175=""),"",$F175*VLOOKUP($E175,CONFIG!$A$4:$C$5,3,0))</f>
        <v/>
      </c>
      <c r="I175" s="11" t="str">
        <f>IF(OR($E175="",$F175=""),"",IF(AND($B175="IN LOCO FOODS",$E175="5L"),ROUNDUP($F175/CONFIG!$C$31,0),ROUNDUP($F175/VLOOKUP($E175,CONFIG!$A$4:$D$5,4,0),0)))</f>
        <v/>
      </c>
    </row>
    <row r="176" spans="1:9" x14ac:dyDescent="0.3">
      <c r="A176" s="12"/>
      <c r="B176" s="13"/>
      <c r="C176" s="14"/>
      <c r="D176" s="14"/>
      <c r="E176" s="13"/>
      <c r="F176" s="15"/>
      <c r="G176" s="13" t="str">
        <f>IF($E176="","",VLOOKUP($E176,CONFIG!$A$4:$B$5,2,0))</f>
        <v/>
      </c>
      <c r="H176" s="16" t="str">
        <f>IF(OR($E176="",$F176=""),"",$F176*VLOOKUP($E176,CONFIG!$A$4:$C$5,3,0))</f>
        <v/>
      </c>
      <c r="I176" s="11" t="str">
        <f>IF(OR($E176="",$F176=""),"",IF(AND($B176="IN LOCO FOODS",$E176="5L"),ROUNDUP($F176/CONFIG!$C$31,0),ROUNDUP($F176/VLOOKUP($E176,CONFIG!$A$4:$D$5,4,0),0)))</f>
        <v/>
      </c>
    </row>
    <row r="177" spans="1:9" x14ac:dyDescent="0.3">
      <c r="A177" s="6"/>
      <c r="B177" s="7"/>
      <c r="C177" s="8"/>
      <c r="D177" s="8"/>
      <c r="E177" s="7"/>
      <c r="F177" s="9"/>
      <c r="G177" s="7" t="str">
        <f>IF($E177="","",VLOOKUP($E177,CONFIG!$A$4:$B$5,2,0))</f>
        <v/>
      </c>
      <c r="H177" s="10" t="str">
        <f>IF(OR($E177="",$F177=""),"",$F177*VLOOKUP($E177,CONFIG!$A$4:$C$5,3,0))</f>
        <v/>
      </c>
      <c r="I177" s="11" t="str">
        <f>IF(OR($E177="",$F177=""),"",IF(AND($B177="IN LOCO FOODS",$E177="5L"),ROUNDUP($F177/CONFIG!$C$31,0),ROUNDUP($F177/VLOOKUP($E177,CONFIG!$A$4:$D$5,4,0),0)))</f>
        <v/>
      </c>
    </row>
    <row r="178" spans="1:9" x14ac:dyDescent="0.3">
      <c r="A178" s="12"/>
      <c r="B178" s="13"/>
      <c r="C178" s="14"/>
      <c r="D178" s="14"/>
      <c r="E178" s="13"/>
      <c r="F178" s="15"/>
      <c r="G178" s="13" t="str">
        <f>IF($E178="","",VLOOKUP($E178,CONFIG!$A$4:$B$5,2,0))</f>
        <v/>
      </c>
      <c r="H178" s="16" t="str">
        <f>IF(OR($E178="",$F178=""),"",$F178*VLOOKUP($E178,CONFIG!$A$4:$C$5,3,0))</f>
        <v/>
      </c>
      <c r="I178" s="11" t="str">
        <f>IF(OR($E178="",$F178=""),"",IF(AND($B178="IN LOCO FOODS",$E178="5L"),ROUNDUP($F178/CONFIG!$C$31,0),ROUNDUP($F178/VLOOKUP($E178,CONFIG!$A$4:$D$5,4,0),0)))</f>
        <v/>
      </c>
    </row>
    <row r="179" spans="1:9" x14ac:dyDescent="0.3">
      <c r="A179" s="6"/>
      <c r="B179" s="7"/>
      <c r="C179" s="8"/>
      <c r="D179" s="8"/>
      <c r="E179" s="7"/>
      <c r="F179" s="9"/>
      <c r="G179" s="7" t="str">
        <f>IF($E179="","",VLOOKUP($E179,CONFIG!$A$4:$B$5,2,0))</f>
        <v/>
      </c>
      <c r="H179" s="10" t="str">
        <f>IF(OR($E179="",$F179=""),"",$F179*VLOOKUP($E179,CONFIG!$A$4:$C$5,3,0))</f>
        <v/>
      </c>
      <c r="I179" s="11" t="str">
        <f>IF(OR($E179="",$F179=""),"",IF(AND($B179="IN LOCO FOODS",$E179="5L"),ROUNDUP($F179/CONFIG!$C$31,0),ROUNDUP($F179/VLOOKUP($E179,CONFIG!$A$4:$D$5,4,0),0)))</f>
        <v/>
      </c>
    </row>
    <row r="180" spans="1:9" x14ac:dyDescent="0.3">
      <c r="A180" s="12"/>
      <c r="B180" s="13"/>
      <c r="C180" s="14"/>
      <c r="D180" s="14"/>
      <c r="E180" s="13"/>
      <c r="F180" s="15"/>
      <c r="G180" s="13" t="str">
        <f>IF($E180="","",VLOOKUP($E180,CONFIG!$A$4:$B$5,2,0))</f>
        <v/>
      </c>
      <c r="H180" s="16" t="str">
        <f>IF(OR($E180="",$F180=""),"",$F180*VLOOKUP($E180,CONFIG!$A$4:$C$5,3,0))</f>
        <v/>
      </c>
      <c r="I180" s="11" t="str">
        <f>IF(OR($E180="",$F180=""),"",IF(AND($B180="IN LOCO FOODS",$E180="5L"),ROUNDUP($F180/CONFIG!$C$31,0),ROUNDUP($F180/VLOOKUP($E180,CONFIG!$A$4:$D$5,4,0),0)))</f>
        <v/>
      </c>
    </row>
    <row r="181" spans="1:9" x14ac:dyDescent="0.3">
      <c r="A181" s="6"/>
      <c r="B181" s="7"/>
      <c r="C181" s="8"/>
      <c r="D181" s="8"/>
      <c r="E181" s="7"/>
      <c r="F181" s="9"/>
      <c r="G181" s="7" t="str">
        <f>IF($E181="","",VLOOKUP($E181,CONFIG!$A$4:$B$5,2,0))</f>
        <v/>
      </c>
      <c r="H181" s="10" t="str">
        <f>IF(OR($E181="",$F181=""),"",$F181*VLOOKUP($E181,CONFIG!$A$4:$C$5,3,0))</f>
        <v/>
      </c>
      <c r="I181" s="11" t="str">
        <f>IF(OR($E181="",$F181=""),"",IF(AND($B181="IN LOCO FOODS",$E181="5L"),ROUNDUP($F181/CONFIG!$C$31,0),ROUNDUP($F181/VLOOKUP($E181,CONFIG!$A$4:$D$5,4,0),0)))</f>
        <v/>
      </c>
    </row>
    <row r="182" spans="1:9" x14ac:dyDescent="0.3">
      <c r="A182" s="12"/>
      <c r="B182" s="13"/>
      <c r="C182" s="14"/>
      <c r="D182" s="14"/>
      <c r="E182" s="13"/>
      <c r="F182" s="15"/>
      <c r="G182" s="13" t="str">
        <f>IF($E182="","",VLOOKUP($E182,CONFIG!$A$4:$B$5,2,0))</f>
        <v/>
      </c>
      <c r="H182" s="16" t="str">
        <f>IF(OR($E182="",$F182=""),"",$F182*VLOOKUP($E182,CONFIG!$A$4:$C$5,3,0))</f>
        <v/>
      </c>
      <c r="I182" s="11" t="str">
        <f>IF(OR($E182="",$F182=""),"",IF(AND($B182="IN LOCO FOODS",$E182="5L"),ROUNDUP($F182/CONFIG!$C$31,0),ROUNDUP($F182/VLOOKUP($E182,CONFIG!$A$4:$D$5,4,0),0)))</f>
        <v/>
      </c>
    </row>
    <row r="183" spans="1:9" x14ac:dyDescent="0.3">
      <c r="A183" s="6"/>
      <c r="B183" s="7"/>
      <c r="C183" s="8"/>
      <c r="D183" s="8"/>
      <c r="E183" s="7"/>
      <c r="F183" s="9"/>
      <c r="G183" s="7" t="str">
        <f>IF($E183="","",VLOOKUP($E183,CONFIG!$A$4:$B$5,2,0))</f>
        <v/>
      </c>
      <c r="H183" s="10" t="str">
        <f>IF(OR($E183="",$F183=""),"",$F183*VLOOKUP($E183,CONFIG!$A$4:$C$5,3,0))</f>
        <v/>
      </c>
      <c r="I183" s="11" t="str">
        <f>IF(OR($E183="",$F183=""),"",IF(AND($B183="IN LOCO FOODS",$E183="5L"),ROUNDUP($F183/CONFIG!$C$31,0),ROUNDUP($F183/VLOOKUP($E183,CONFIG!$A$4:$D$5,4,0),0)))</f>
        <v/>
      </c>
    </row>
    <row r="184" spans="1:9" x14ac:dyDescent="0.3">
      <c r="A184" s="12"/>
      <c r="B184" s="13"/>
      <c r="C184" s="14"/>
      <c r="D184" s="14"/>
      <c r="E184" s="13"/>
      <c r="F184" s="15"/>
      <c r="G184" s="13" t="str">
        <f>IF($E184="","",VLOOKUP($E184,CONFIG!$A$4:$B$5,2,0))</f>
        <v/>
      </c>
      <c r="H184" s="16" t="str">
        <f>IF(OR($E184="",$F184=""),"",$F184*VLOOKUP($E184,CONFIG!$A$4:$C$5,3,0))</f>
        <v/>
      </c>
      <c r="I184" s="11" t="str">
        <f>IF(OR($E184="",$F184=""),"",IF(AND($B184="IN LOCO FOODS",$E184="5L"),ROUNDUP($F184/CONFIG!$C$31,0),ROUNDUP($F184/VLOOKUP($E184,CONFIG!$A$4:$D$5,4,0),0)))</f>
        <v/>
      </c>
    </row>
    <row r="185" spans="1:9" x14ac:dyDescent="0.3">
      <c r="A185" s="6"/>
      <c r="B185" s="7"/>
      <c r="C185" s="8"/>
      <c r="D185" s="8"/>
      <c r="E185" s="7"/>
      <c r="F185" s="9"/>
      <c r="G185" s="7" t="str">
        <f>IF($E185="","",VLOOKUP($E185,CONFIG!$A$4:$B$5,2,0))</f>
        <v/>
      </c>
      <c r="H185" s="10" t="str">
        <f>IF(OR($E185="",$F185=""),"",$F185*VLOOKUP($E185,CONFIG!$A$4:$C$5,3,0))</f>
        <v/>
      </c>
      <c r="I185" s="11" t="str">
        <f>IF(OR($E185="",$F185=""),"",IF(AND($B185="IN LOCO FOODS",$E185="5L"),ROUNDUP($F185/CONFIG!$C$31,0),ROUNDUP($F185/VLOOKUP($E185,CONFIG!$A$4:$D$5,4,0),0)))</f>
        <v/>
      </c>
    </row>
    <row r="186" spans="1:9" x14ac:dyDescent="0.3">
      <c r="A186" s="12"/>
      <c r="B186" s="13"/>
      <c r="C186" s="14"/>
      <c r="D186" s="14"/>
      <c r="E186" s="13"/>
      <c r="F186" s="15"/>
      <c r="G186" s="13" t="str">
        <f>IF($E186="","",VLOOKUP($E186,CONFIG!$A$4:$B$5,2,0))</f>
        <v/>
      </c>
      <c r="H186" s="16" t="str">
        <f>IF(OR($E186="",$F186=""),"",$F186*VLOOKUP($E186,CONFIG!$A$4:$C$5,3,0))</f>
        <v/>
      </c>
      <c r="I186" s="11" t="str">
        <f>IF(OR($E186="",$F186=""),"",IF(AND($B186="IN LOCO FOODS",$E186="5L"),ROUNDUP($F186/CONFIG!$C$31,0),ROUNDUP($F186/VLOOKUP($E186,CONFIG!$A$4:$D$5,4,0),0)))</f>
        <v/>
      </c>
    </row>
    <row r="187" spans="1:9" x14ac:dyDescent="0.3">
      <c r="A187" s="6"/>
      <c r="B187" s="7"/>
      <c r="C187" s="8"/>
      <c r="D187" s="8"/>
      <c r="E187" s="7"/>
      <c r="F187" s="9"/>
      <c r="G187" s="7" t="str">
        <f>IF($E187="","",VLOOKUP($E187,CONFIG!$A$4:$B$5,2,0))</f>
        <v/>
      </c>
      <c r="H187" s="10" t="str">
        <f>IF(OR($E187="",$F187=""),"",$F187*VLOOKUP($E187,CONFIG!$A$4:$C$5,3,0))</f>
        <v/>
      </c>
      <c r="I187" s="11" t="str">
        <f>IF(OR($E187="",$F187=""),"",IF(AND($B187="IN LOCO FOODS",$E187="5L"),ROUNDUP($F187/CONFIG!$C$31,0),ROUNDUP($F187/VLOOKUP($E187,CONFIG!$A$4:$D$5,4,0),0)))</f>
        <v/>
      </c>
    </row>
    <row r="188" spans="1:9" x14ac:dyDescent="0.3">
      <c r="A188" s="12"/>
      <c r="B188" s="13"/>
      <c r="C188" s="14"/>
      <c r="D188" s="14"/>
      <c r="E188" s="13"/>
      <c r="F188" s="15"/>
      <c r="G188" s="13" t="str">
        <f>IF($E188="","",VLOOKUP($E188,CONFIG!$A$4:$B$5,2,0))</f>
        <v/>
      </c>
      <c r="H188" s="16" t="str">
        <f>IF(OR($E188="",$F188=""),"",$F188*VLOOKUP($E188,CONFIG!$A$4:$C$5,3,0))</f>
        <v/>
      </c>
      <c r="I188" s="11" t="str">
        <f>IF(OR($E188="",$F188=""),"",IF(AND($B188="IN LOCO FOODS",$E188="5L"),ROUNDUP($F188/CONFIG!$C$31,0),ROUNDUP($F188/VLOOKUP($E188,CONFIG!$A$4:$D$5,4,0),0)))</f>
        <v/>
      </c>
    </row>
    <row r="189" spans="1:9" x14ac:dyDescent="0.3">
      <c r="A189" s="6"/>
      <c r="B189" s="7"/>
      <c r="C189" s="8"/>
      <c r="D189" s="8"/>
      <c r="E189" s="7"/>
      <c r="F189" s="9"/>
      <c r="G189" s="7" t="str">
        <f>IF($E189="","",VLOOKUP($E189,CONFIG!$A$4:$B$5,2,0))</f>
        <v/>
      </c>
      <c r="H189" s="10" t="str">
        <f>IF(OR($E189="",$F189=""),"",$F189*VLOOKUP($E189,CONFIG!$A$4:$C$5,3,0))</f>
        <v/>
      </c>
      <c r="I189" s="11" t="str">
        <f>IF(OR($E189="",$F189=""),"",IF(AND($B189="IN LOCO FOODS",$E189="5L"),ROUNDUP($F189/CONFIG!$C$31,0),ROUNDUP($F189/VLOOKUP($E189,CONFIG!$A$4:$D$5,4,0),0)))</f>
        <v/>
      </c>
    </row>
    <row r="190" spans="1:9" x14ac:dyDescent="0.3">
      <c r="A190" s="12"/>
      <c r="B190" s="13"/>
      <c r="C190" s="14"/>
      <c r="D190" s="14"/>
      <c r="E190" s="13"/>
      <c r="F190" s="15"/>
      <c r="G190" s="13" t="str">
        <f>IF($E190="","",VLOOKUP($E190,CONFIG!$A$4:$B$5,2,0))</f>
        <v/>
      </c>
      <c r="H190" s="16" t="str">
        <f>IF(OR($E190="",$F190=""),"",$F190*VLOOKUP($E190,CONFIG!$A$4:$C$5,3,0))</f>
        <v/>
      </c>
      <c r="I190" s="11" t="str">
        <f>IF(OR($E190="",$F190=""),"",IF(AND($B190="IN LOCO FOODS",$E190="5L"),ROUNDUP($F190/CONFIG!$C$31,0),ROUNDUP($F190/VLOOKUP($E190,CONFIG!$A$4:$D$5,4,0),0)))</f>
        <v/>
      </c>
    </row>
    <row r="191" spans="1:9" x14ac:dyDescent="0.3">
      <c r="A191" s="6"/>
      <c r="B191" s="7"/>
      <c r="C191" s="8"/>
      <c r="D191" s="8"/>
      <c r="E191" s="7"/>
      <c r="F191" s="9"/>
      <c r="G191" s="7" t="str">
        <f>IF($E191="","",VLOOKUP($E191,CONFIG!$A$4:$B$5,2,0))</f>
        <v/>
      </c>
      <c r="H191" s="10" t="str">
        <f>IF(OR($E191="",$F191=""),"",$F191*VLOOKUP($E191,CONFIG!$A$4:$C$5,3,0))</f>
        <v/>
      </c>
      <c r="I191" s="11" t="str">
        <f>IF(OR($E191="",$F191=""),"",IF(AND($B191="IN LOCO FOODS",$E191="5L"),ROUNDUP($F191/CONFIG!$C$31,0),ROUNDUP($F191/VLOOKUP($E191,CONFIG!$A$4:$D$5,4,0),0)))</f>
        <v/>
      </c>
    </row>
    <row r="192" spans="1:9" x14ac:dyDescent="0.3">
      <c r="A192" s="12"/>
      <c r="B192" s="13"/>
      <c r="C192" s="14"/>
      <c r="D192" s="14"/>
      <c r="E192" s="13"/>
      <c r="F192" s="15"/>
      <c r="G192" s="13" t="str">
        <f>IF($E192="","",VLOOKUP($E192,CONFIG!$A$4:$B$5,2,0))</f>
        <v/>
      </c>
      <c r="H192" s="16" t="str">
        <f>IF(OR($E192="",$F192=""),"",$F192*VLOOKUP($E192,CONFIG!$A$4:$C$5,3,0))</f>
        <v/>
      </c>
      <c r="I192" s="11" t="str">
        <f>IF(OR($E192="",$F192=""),"",IF(AND($B192="IN LOCO FOODS",$E192="5L"),ROUNDUP($F192/CONFIG!$C$31,0),ROUNDUP($F192/VLOOKUP($E192,CONFIG!$A$4:$D$5,4,0),0)))</f>
        <v/>
      </c>
    </row>
    <row r="193" spans="1:9" x14ac:dyDescent="0.3">
      <c r="A193" s="6"/>
      <c r="B193" s="7"/>
      <c r="C193" s="8"/>
      <c r="D193" s="8"/>
      <c r="E193" s="7"/>
      <c r="F193" s="9"/>
      <c r="G193" s="7" t="str">
        <f>IF($E193="","",VLOOKUP($E193,CONFIG!$A$4:$B$5,2,0))</f>
        <v/>
      </c>
      <c r="H193" s="10" t="str">
        <f>IF(OR($E193="",$F193=""),"",$F193*VLOOKUP($E193,CONFIG!$A$4:$C$5,3,0))</f>
        <v/>
      </c>
      <c r="I193" s="11" t="str">
        <f>IF(OR($E193="",$F193=""),"",IF(AND($B193="IN LOCO FOODS",$E193="5L"),ROUNDUP($F193/CONFIG!$C$31,0),ROUNDUP($F193/VLOOKUP($E193,CONFIG!$A$4:$D$5,4,0),0)))</f>
        <v/>
      </c>
    </row>
    <row r="194" spans="1:9" x14ac:dyDescent="0.3">
      <c r="A194" s="12"/>
      <c r="B194" s="13"/>
      <c r="C194" s="14"/>
      <c r="D194" s="14"/>
      <c r="E194" s="13"/>
      <c r="F194" s="15"/>
      <c r="G194" s="13" t="str">
        <f>IF($E194="","",VLOOKUP($E194,CONFIG!$A$4:$B$5,2,0))</f>
        <v/>
      </c>
      <c r="H194" s="16" t="str">
        <f>IF(OR($E194="",$F194=""),"",$F194*VLOOKUP($E194,CONFIG!$A$4:$C$5,3,0))</f>
        <v/>
      </c>
      <c r="I194" s="11" t="str">
        <f>IF(OR($E194="",$F194=""),"",IF(AND($B194="IN LOCO FOODS",$E194="5L"),ROUNDUP($F194/CONFIG!$C$31,0),ROUNDUP($F194/VLOOKUP($E194,CONFIG!$A$4:$D$5,4,0),0)))</f>
        <v/>
      </c>
    </row>
    <row r="195" spans="1:9" x14ac:dyDescent="0.3">
      <c r="A195" s="6"/>
      <c r="B195" s="7"/>
      <c r="C195" s="8"/>
      <c r="D195" s="8"/>
      <c r="E195" s="7"/>
      <c r="F195" s="9"/>
      <c r="G195" s="7" t="str">
        <f>IF($E195="","",VLOOKUP($E195,CONFIG!$A$4:$B$5,2,0))</f>
        <v/>
      </c>
      <c r="H195" s="10" t="str">
        <f>IF(OR($E195="",$F195=""),"",$F195*VLOOKUP($E195,CONFIG!$A$4:$C$5,3,0))</f>
        <v/>
      </c>
      <c r="I195" s="11" t="str">
        <f>IF(OR($E195="",$F195=""),"",IF(AND($B195="IN LOCO FOODS",$E195="5L"),ROUNDUP($F195/CONFIG!$C$31,0),ROUNDUP($F195/VLOOKUP($E195,CONFIG!$A$4:$D$5,4,0),0)))</f>
        <v/>
      </c>
    </row>
    <row r="196" spans="1:9" x14ac:dyDescent="0.3">
      <c r="A196" s="12"/>
      <c r="B196" s="13"/>
      <c r="C196" s="14"/>
      <c r="D196" s="14"/>
      <c r="E196" s="13"/>
      <c r="F196" s="15"/>
      <c r="G196" s="13" t="str">
        <f>IF($E196="","",VLOOKUP($E196,CONFIG!$A$4:$B$5,2,0))</f>
        <v/>
      </c>
      <c r="H196" s="16" t="str">
        <f>IF(OR($E196="",$F196=""),"",$F196*VLOOKUP($E196,CONFIG!$A$4:$C$5,3,0))</f>
        <v/>
      </c>
      <c r="I196" s="11" t="str">
        <f>IF(OR($E196="",$F196=""),"",IF(AND($B196="IN LOCO FOODS",$E196="5L"),ROUNDUP($F196/CONFIG!$C$31,0),ROUNDUP($F196/VLOOKUP($E196,CONFIG!$A$4:$D$5,4,0),0)))</f>
        <v/>
      </c>
    </row>
    <row r="197" spans="1:9" x14ac:dyDescent="0.3">
      <c r="A197" s="6"/>
      <c r="B197" s="7"/>
      <c r="C197" s="8"/>
      <c r="D197" s="8"/>
      <c r="E197" s="7"/>
      <c r="F197" s="9"/>
      <c r="G197" s="7" t="str">
        <f>IF($E197="","",VLOOKUP($E197,CONFIG!$A$4:$B$5,2,0))</f>
        <v/>
      </c>
      <c r="H197" s="10" t="str">
        <f>IF(OR($E197="",$F197=""),"",$F197*VLOOKUP($E197,CONFIG!$A$4:$C$5,3,0))</f>
        <v/>
      </c>
      <c r="I197" s="11" t="str">
        <f>IF(OR($E197="",$F197=""),"",IF(AND($B197="IN LOCO FOODS",$E197="5L"),ROUNDUP($F197/CONFIG!$C$31,0),ROUNDUP($F197/VLOOKUP($E197,CONFIG!$A$4:$D$5,4,0),0)))</f>
        <v/>
      </c>
    </row>
    <row r="198" spans="1:9" x14ac:dyDescent="0.3">
      <c r="A198" s="12"/>
      <c r="B198" s="13"/>
      <c r="C198" s="14"/>
      <c r="D198" s="14"/>
      <c r="E198" s="13"/>
      <c r="F198" s="15"/>
      <c r="G198" s="13" t="str">
        <f>IF($E198="","",VLOOKUP($E198,CONFIG!$A$4:$B$5,2,0))</f>
        <v/>
      </c>
      <c r="H198" s="16" t="str">
        <f>IF(OR($E198="",$F198=""),"",$F198*VLOOKUP($E198,CONFIG!$A$4:$C$5,3,0))</f>
        <v/>
      </c>
      <c r="I198" s="11" t="str">
        <f>IF(OR($E198="",$F198=""),"",IF(AND($B198="IN LOCO FOODS",$E198="5L"),ROUNDUP($F198/CONFIG!$C$31,0),ROUNDUP($F198/VLOOKUP($E198,CONFIG!$A$4:$D$5,4,0),0)))</f>
        <v/>
      </c>
    </row>
    <row r="199" spans="1:9" x14ac:dyDescent="0.3">
      <c r="A199" s="6"/>
      <c r="B199" s="7"/>
      <c r="C199" s="8"/>
      <c r="D199" s="8"/>
      <c r="E199" s="7"/>
      <c r="F199" s="9"/>
      <c r="G199" s="7" t="str">
        <f>IF($E199="","",VLOOKUP($E199,CONFIG!$A$4:$B$5,2,0))</f>
        <v/>
      </c>
      <c r="H199" s="10" t="str">
        <f>IF(OR($E199="",$F199=""),"",$F199*VLOOKUP($E199,CONFIG!$A$4:$C$5,3,0))</f>
        <v/>
      </c>
      <c r="I199" s="11" t="str">
        <f>IF(OR($E199="",$F199=""),"",IF(AND($B199="IN LOCO FOODS",$E199="5L"),ROUNDUP($F199/CONFIG!$C$31,0),ROUNDUP($F199/VLOOKUP($E199,CONFIG!$A$4:$D$5,4,0),0)))</f>
        <v/>
      </c>
    </row>
    <row r="200" spans="1:9" x14ac:dyDescent="0.3">
      <c r="A200" s="12"/>
      <c r="B200" s="13"/>
      <c r="C200" s="14"/>
      <c r="D200" s="14"/>
      <c r="E200" s="13"/>
      <c r="F200" s="15"/>
      <c r="G200" s="13" t="str">
        <f>IF($E200="","",VLOOKUP($E200,CONFIG!$A$4:$B$5,2,0))</f>
        <v/>
      </c>
      <c r="H200" s="16" t="str">
        <f>IF(OR($E200="",$F200=""),"",$F200*VLOOKUP($E200,CONFIG!$A$4:$C$5,3,0))</f>
        <v/>
      </c>
      <c r="I200" s="11" t="str">
        <f>IF(OR($E200="",$F200=""),"",IF(AND($B200="IN LOCO FOODS",$E200="5L"),ROUNDUP($F200/CONFIG!$C$31,0),ROUNDUP($F200/VLOOKUP($E200,CONFIG!$A$4:$D$5,4,0),0)))</f>
        <v/>
      </c>
    </row>
    <row r="201" spans="1:9" x14ac:dyDescent="0.3">
      <c r="A201" s="6"/>
      <c r="B201" s="7"/>
      <c r="C201" s="8"/>
      <c r="D201" s="8"/>
      <c r="E201" s="7"/>
      <c r="F201" s="9"/>
      <c r="G201" s="7" t="str">
        <f>IF($E201="","",VLOOKUP($E201,CONFIG!$A$4:$B$5,2,0))</f>
        <v/>
      </c>
      <c r="H201" s="10" t="str">
        <f>IF(OR($E201="",$F201=""),"",$F201*VLOOKUP($E201,CONFIG!$A$4:$C$5,3,0))</f>
        <v/>
      </c>
      <c r="I201" s="11" t="str">
        <f>IF(OR($E201="",$F201=""),"",IF(AND($B201="IN LOCO FOODS",$E201="5L"),ROUNDUP($F201/CONFIG!$C$31,0),ROUNDUP($F201/VLOOKUP($E201,CONFIG!$A$4:$D$5,4,0),0)))</f>
        <v/>
      </c>
    </row>
    <row r="202" spans="1:9" x14ac:dyDescent="0.3">
      <c r="A202" s="12"/>
      <c r="B202" s="13"/>
      <c r="C202" s="14"/>
      <c r="D202" s="14"/>
      <c r="E202" s="13"/>
      <c r="F202" s="15"/>
      <c r="G202" s="13" t="str">
        <f>IF($E202="","",VLOOKUP($E202,CONFIG!$A$4:$B$5,2,0))</f>
        <v/>
      </c>
      <c r="H202" s="16" t="str">
        <f>IF(OR($E202="",$F202=""),"",$F202*VLOOKUP($E202,CONFIG!$A$4:$C$5,3,0))</f>
        <v/>
      </c>
      <c r="I202" s="11" t="str">
        <f>IF(OR($E202="",$F202=""),"",IF(AND($B202="IN LOCO FOODS",$E202="5L"),ROUNDUP($F202/CONFIG!$C$31,0),ROUNDUP($F202/VLOOKUP($E202,CONFIG!$A$4:$D$5,4,0),0)))</f>
        <v/>
      </c>
    </row>
    <row r="203" spans="1:9" x14ac:dyDescent="0.3">
      <c r="A203" s="6"/>
      <c r="B203" s="7"/>
      <c r="C203" s="8"/>
      <c r="D203" s="8"/>
      <c r="E203" s="7"/>
      <c r="F203" s="9"/>
      <c r="G203" s="7" t="str">
        <f>IF($E203="","",VLOOKUP($E203,CONFIG!$A$4:$B$5,2,0))</f>
        <v/>
      </c>
      <c r="H203" s="10" t="str">
        <f>IF(OR($E203="",$F203=""),"",$F203*VLOOKUP($E203,CONFIG!$A$4:$C$5,3,0))</f>
        <v/>
      </c>
      <c r="I203" s="11" t="str">
        <f>IF(OR($E203="",$F203=""),"",IF(AND($B203="IN LOCO FOODS",$E203="5L"),ROUNDUP($F203/CONFIG!$C$31,0),ROUNDUP($F203/VLOOKUP($E203,CONFIG!$A$4:$D$5,4,0),0)))</f>
        <v/>
      </c>
    </row>
    <row r="204" spans="1:9" x14ac:dyDescent="0.3">
      <c r="A204" s="12"/>
      <c r="B204" s="13"/>
      <c r="C204" s="14"/>
      <c r="D204" s="14"/>
      <c r="E204" s="13"/>
      <c r="F204" s="15"/>
      <c r="G204" s="13" t="str">
        <f>IF($E204="","",VLOOKUP($E204,CONFIG!$A$4:$B$5,2,0))</f>
        <v/>
      </c>
      <c r="H204" s="16" t="str">
        <f>IF(OR($E204="",$F204=""),"",$F204*VLOOKUP($E204,CONFIG!$A$4:$C$5,3,0))</f>
        <v/>
      </c>
      <c r="I204" s="11" t="str">
        <f>IF(OR($E204="",$F204=""),"",IF(AND($B204="IN LOCO FOODS",$E204="5L"),ROUNDUP($F204/CONFIG!$C$31,0),ROUNDUP($F204/VLOOKUP($E204,CONFIG!$A$4:$D$5,4,0),0)))</f>
        <v/>
      </c>
    </row>
    <row r="205" spans="1:9" x14ac:dyDescent="0.3">
      <c r="A205" s="6"/>
      <c r="B205" s="7"/>
      <c r="C205" s="8"/>
      <c r="D205" s="8"/>
      <c r="E205" s="7"/>
      <c r="F205" s="9"/>
      <c r="G205" s="7" t="str">
        <f>IF($E205="","",VLOOKUP($E205,CONFIG!$A$4:$B$5,2,0))</f>
        <v/>
      </c>
      <c r="H205" s="10" t="str">
        <f>IF(OR($E205="",$F205=""),"",$F205*VLOOKUP($E205,CONFIG!$A$4:$C$5,3,0))</f>
        <v/>
      </c>
      <c r="I205" s="11" t="str">
        <f>IF(OR($E205="",$F205=""),"",IF(AND($B205="IN LOCO FOODS",$E205="5L"),ROUNDUP($F205/CONFIG!$C$31,0),ROUNDUP($F205/VLOOKUP($E205,CONFIG!$A$4:$D$5,4,0),0)))</f>
        <v/>
      </c>
    </row>
    <row r="206" spans="1:9" x14ac:dyDescent="0.3">
      <c r="A206" s="12"/>
      <c r="B206" s="13"/>
      <c r="C206" s="14"/>
      <c r="D206" s="14"/>
      <c r="E206" s="13"/>
      <c r="F206" s="15"/>
      <c r="G206" s="13" t="str">
        <f>IF($E206="","",VLOOKUP($E206,CONFIG!$A$4:$B$5,2,0))</f>
        <v/>
      </c>
      <c r="H206" s="16" t="str">
        <f>IF(OR($E206="",$F206=""),"",$F206*VLOOKUP($E206,CONFIG!$A$4:$C$5,3,0))</f>
        <v/>
      </c>
      <c r="I206" s="11" t="str">
        <f>IF(OR($E206="",$F206=""),"",IF(AND($B206="IN LOCO FOODS",$E206="5L"),ROUNDUP($F206/CONFIG!$C$31,0),ROUNDUP($F206/VLOOKUP($E206,CONFIG!$A$4:$D$5,4,0),0)))</f>
        <v/>
      </c>
    </row>
    <row r="207" spans="1:9" x14ac:dyDescent="0.3">
      <c r="A207" s="6"/>
      <c r="B207" s="7"/>
      <c r="C207" s="8"/>
      <c r="D207" s="8"/>
      <c r="E207" s="7"/>
      <c r="F207" s="9"/>
      <c r="G207" s="7" t="str">
        <f>IF($E207="","",VLOOKUP($E207,CONFIG!$A$4:$B$5,2,0))</f>
        <v/>
      </c>
      <c r="H207" s="10" t="str">
        <f>IF(OR($E207="",$F207=""),"",$F207*VLOOKUP($E207,CONFIG!$A$4:$C$5,3,0))</f>
        <v/>
      </c>
      <c r="I207" s="11" t="str">
        <f>IF(OR($E207="",$F207=""),"",IF(AND($B207="IN LOCO FOODS",$E207="5L"),ROUNDUP($F207/CONFIG!$C$31,0),ROUNDUP($F207/VLOOKUP($E207,CONFIG!$A$4:$D$5,4,0),0)))</f>
        <v/>
      </c>
    </row>
    <row r="208" spans="1:9" x14ac:dyDescent="0.3">
      <c r="A208" s="12"/>
      <c r="B208" s="13"/>
      <c r="C208" s="14"/>
      <c r="D208" s="14"/>
      <c r="E208" s="13"/>
      <c r="F208" s="15"/>
      <c r="G208" s="13" t="str">
        <f>IF($E208="","",VLOOKUP($E208,CONFIG!$A$4:$B$5,2,0))</f>
        <v/>
      </c>
      <c r="H208" s="16" t="str">
        <f>IF(OR($E208="",$F208=""),"",$F208*VLOOKUP($E208,CONFIG!$A$4:$C$5,3,0))</f>
        <v/>
      </c>
      <c r="I208" s="11" t="str">
        <f>IF(OR($E208="",$F208=""),"",IF(AND($B208="IN LOCO FOODS",$E208="5L"),ROUNDUP($F208/CONFIG!$C$31,0),ROUNDUP($F208/VLOOKUP($E208,CONFIG!$A$4:$D$5,4,0),0)))</f>
        <v/>
      </c>
    </row>
    <row r="209" spans="1:9" x14ac:dyDescent="0.3">
      <c r="A209" s="6"/>
      <c r="B209" s="7"/>
      <c r="C209" s="8"/>
      <c r="D209" s="8"/>
      <c r="E209" s="7"/>
      <c r="F209" s="9"/>
      <c r="G209" s="7" t="str">
        <f>IF($E209="","",VLOOKUP($E209,CONFIG!$A$4:$B$5,2,0))</f>
        <v/>
      </c>
      <c r="H209" s="10" t="str">
        <f>IF(OR($E209="",$F209=""),"",$F209*VLOOKUP($E209,CONFIG!$A$4:$C$5,3,0))</f>
        <v/>
      </c>
      <c r="I209" s="11" t="str">
        <f>IF(OR($E209="",$F209=""),"",IF(AND($B209="IN LOCO FOODS",$E209="5L"),ROUNDUP($F209/CONFIG!$C$31,0),ROUNDUP($F209/VLOOKUP($E209,CONFIG!$A$4:$D$5,4,0),0)))</f>
        <v/>
      </c>
    </row>
    <row r="210" spans="1:9" x14ac:dyDescent="0.3">
      <c r="A210" s="12"/>
      <c r="B210" s="13"/>
      <c r="C210" s="14"/>
      <c r="D210" s="14"/>
      <c r="E210" s="13"/>
      <c r="F210" s="15"/>
      <c r="G210" s="13" t="str">
        <f>IF($E210="","",VLOOKUP($E210,CONFIG!$A$4:$B$5,2,0))</f>
        <v/>
      </c>
      <c r="H210" s="16" t="str">
        <f>IF(OR($E210="",$F210=""),"",$F210*VLOOKUP($E210,CONFIG!$A$4:$C$5,3,0))</f>
        <v/>
      </c>
      <c r="I210" s="11" t="str">
        <f>IF(OR($E210="",$F210=""),"",IF(AND($B210="IN LOCO FOODS",$E210="5L"),ROUNDUP($F210/CONFIG!$C$31,0),ROUNDUP($F210/VLOOKUP($E210,CONFIG!$A$4:$D$5,4,0),0)))</f>
        <v/>
      </c>
    </row>
    <row r="211" spans="1:9" x14ac:dyDescent="0.3">
      <c r="A211" s="6"/>
      <c r="B211" s="7"/>
      <c r="C211" s="8"/>
      <c r="D211" s="8"/>
      <c r="E211" s="7"/>
      <c r="F211" s="9"/>
      <c r="G211" s="7" t="str">
        <f>IF($E211="","",VLOOKUP($E211,CONFIG!$A$4:$B$5,2,0))</f>
        <v/>
      </c>
      <c r="H211" s="10" t="str">
        <f>IF(OR($E211="",$F211=""),"",$F211*VLOOKUP($E211,CONFIG!$A$4:$C$5,3,0))</f>
        <v/>
      </c>
      <c r="I211" s="11" t="str">
        <f>IF(OR($E211="",$F211=""),"",IF(AND($B211="IN LOCO FOODS",$E211="5L"),ROUNDUP($F211/CONFIG!$C$31,0),ROUNDUP($F211/VLOOKUP($E211,CONFIG!$A$4:$D$5,4,0),0)))</f>
        <v/>
      </c>
    </row>
    <row r="212" spans="1:9" x14ac:dyDescent="0.3">
      <c r="A212" s="12"/>
      <c r="B212" s="13"/>
      <c r="C212" s="14"/>
      <c r="D212" s="14"/>
      <c r="E212" s="13"/>
      <c r="F212" s="15"/>
      <c r="G212" s="13" t="str">
        <f>IF($E212="","",VLOOKUP($E212,CONFIG!$A$4:$B$5,2,0))</f>
        <v/>
      </c>
      <c r="H212" s="16" t="str">
        <f>IF(OR($E212="",$F212=""),"",$F212*VLOOKUP($E212,CONFIG!$A$4:$C$5,3,0))</f>
        <v/>
      </c>
      <c r="I212" s="11" t="str">
        <f>IF(OR($E212="",$F212=""),"",IF(AND($B212="IN LOCO FOODS",$E212="5L"),ROUNDUP($F212/CONFIG!$C$31,0),ROUNDUP($F212/VLOOKUP($E212,CONFIG!$A$4:$D$5,4,0),0)))</f>
        <v/>
      </c>
    </row>
    <row r="213" spans="1:9" x14ac:dyDescent="0.3">
      <c r="A213" s="6"/>
      <c r="B213" s="7"/>
      <c r="C213" s="8"/>
      <c r="D213" s="8"/>
      <c r="E213" s="7"/>
      <c r="F213" s="9"/>
      <c r="G213" s="7" t="str">
        <f>IF($E213="","",VLOOKUP($E213,CONFIG!$A$4:$B$5,2,0))</f>
        <v/>
      </c>
      <c r="H213" s="10" t="str">
        <f>IF(OR($E213="",$F213=""),"",$F213*VLOOKUP($E213,CONFIG!$A$4:$C$5,3,0))</f>
        <v/>
      </c>
      <c r="I213" s="11" t="str">
        <f>IF(OR($E213="",$F213=""),"",IF(AND($B213="IN LOCO FOODS",$E213="5L"),ROUNDUP($F213/CONFIG!$C$31,0),ROUNDUP($F213/VLOOKUP($E213,CONFIG!$A$4:$D$5,4,0),0)))</f>
        <v/>
      </c>
    </row>
    <row r="214" spans="1:9" x14ac:dyDescent="0.3">
      <c r="A214" s="12"/>
      <c r="B214" s="13"/>
      <c r="C214" s="14"/>
      <c r="D214" s="14"/>
      <c r="E214" s="13"/>
      <c r="F214" s="15"/>
      <c r="G214" s="13" t="str">
        <f>IF($E214="","",VLOOKUP($E214,CONFIG!$A$4:$B$5,2,0))</f>
        <v/>
      </c>
      <c r="H214" s="16" t="str">
        <f>IF(OR($E214="",$F214=""),"",$F214*VLOOKUP($E214,CONFIG!$A$4:$C$5,3,0))</f>
        <v/>
      </c>
      <c r="I214" s="11" t="str">
        <f>IF(OR($E214="",$F214=""),"",IF(AND($B214="IN LOCO FOODS",$E214="5L"),ROUNDUP($F214/CONFIG!$C$31,0),ROUNDUP($F214/VLOOKUP($E214,CONFIG!$A$4:$D$5,4,0),0)))</f>
        <v/>
      </c>
    </row>
    <row r="215" spans="1:9" x14ac:dyDescent="0.3">
      <c r="A215" s="6"/>
      <c r="B215" s="7"/>
      <c r="C215" s="8"/>
      <c r="D215" s="8"/>
      <c r="E215" s="7"/>
      <c r="F215" s="9"/>
      <c r="G215" s="7" t="str">
        <f>IF($E215="","",VLOOKUP($E215,CONFIG!$A$4:$B$5,2,0))</f>
        <v/>
      </c>
      <c r="H215" s="10" t="str">
        <f>IF(OR($E215="",$F215=""),"",$F215*VLOOKUP($E215,CONFIG!$A$4:$C$5,3,0))</f>
        <v/>
      </c>
      <c r="I215" s="11" t="str">
        <f>IF(OR($E215="",$F215=""),"",IF(AND($B215="IN LOCO FOODS",$E215="5L"),ROUNDUP($F215/CONFIG!$C$31,0),ROUNDUP($F215/VLOOKUP($E215,CONFIG!$A$4:$D$5,4,0),0)))</f>
        <v/>
      </c>
    </row>
    <row r="216" spans="1:9" x14ac:dyDescent="0.3">
      <c r="A216" s="12"/>
      <c r="B216" s="13"/>
      <c r="C216" s="14"/>
      <c r="D216" s="14"/>
      <c r="E216" s="13"/>
      <c r="F216" s="15"/>
      <c r="G216" s="13" t="str">
        <f>IF($E216="","",VLOOKUP($E216,CONFIG!$A$4:$B$5,2,0))</f>
        <v/>
      </c>
      <c r="H216" s="16" t="str">
        <f>IF(OR($E216="",$F216=""),"",$F216*VLOOKUP($E216,CONFIG!$A$4:$C$5,3,0))</f>
        <v/>
      </c>
      <c r="I216" s="11" t="str">
        <f>IF(OR($E216="",$F216=""),"",IF(AND($B216="IN LOCO FOODS",$E216="5L"),ROUNDUP($F216/CONFIG!$C$31,0),ROUNDUP($F216/VLOOKUP($E216,CONFIG!$A$4:$D$5,4,0),0)))</f>
        <v/>
      </c>
    </row>
    <row r="217" spans="1:9" x14ac:dyDescent="0.3">
      <c r="A217" s="6"/>
      <c r="B217" s="7"/>
      <c r="C217" s="8"/>
      <c r="D217" s="8"/>
      <c r="E217" s="7"/>
      <c r="F217" s="9"/>
      <c r="G217" s="7" t="str">
        <f>IF($E217="","",VLOOKUP($E217,CONFIG!$A$4:$B$5,2,0))</f>
        <v/>
      </c>
      <c r="H217" s="10" t="str">
        <f>IF(OR($E217="",$F217=""),"",$F217*VLOOKUP($E217,CONFIG!$A$4:$C$5,3,0))</f>
        <v/>
      </c>
      <c r="I217" s="11" t="str">
        <f>IF(OR($E217="",$F217=""),"",IF(AND($B217="IN LOCO FOODS",$E217="5L"),ROUNDUP($F217/CONFIG!$C$31,0),ROUNDUP($F217/VLOOKUP($E217,CONFIG!$A$4:$D$5,4,0),0)))</f>
        <v/>
      </c>
    </row>
    <row r="218" spans="1:9" x14ac:dyDescent="0.3">
      <c r="A218" s="12"/>
      <c r="B218" s="13"/>
      <c r="C218" s="14"/>
      <c r="D218" s="14"/>
      <c r="E218" s="13"/>
      <c r="F218" s="15"/>
      <c r="G218" s="13" t="str">
        <f>IF($E218="","",VLOOKUP($E218,CONFIG!$A$4:$B$5,2,0))</f>
        <v/>
      </c>
      <c r="H218" s="16" t="str">
        <f>IF(OR($E218="",$F218=""),"",$F218*VLOOKUP($E218,CONFIG!$A$4:$C$5,3,0))</f>
        <v/>
      </c>
      <c r="I218" s="11" t="str">
        <f>IF(OR($E218="",$F218=""),"",IF(AND($B218="IN LOCO FOODS",$E218="5L"),ROUNDUP($F218/CONFIG!$C$31,0),ROUNDUP($F218/VLOOKUP($E218,CONFIG!$A$4:$D$5,4,0),0)))</f>
        <v/>
      </c>
    </row>
    <row r="219" spans="1:9" x14ac:dyDescent="0.3">
      <c r="A219" s="6"/>
      <c r="B219" s="7"/>
      <c r="C219" s="8"/>
      <c r="D219" s="8"/>
      <c r="E219" s="7"/>
      <c r="F219" s="9"/>
      <c r="G219" s="7" t="str">
        <f>IF($E219="","",VLOOKUP($E219,CONFIG!$A$4:$B$5,2,0))</f>
        <v/>
      </c>
      <c r="H219" s="10" t="str">
        <f>IF(OR($E219="",$F219=""),"",$F219*VLOOKUP($E219,CONFIG!$A$4:$C$5,3,0))</f>
        <v/>
      </c>
      <c r="I219" s="11" t="str">
        <f>IF(OR($E219="",$F219=""),"",IF(AND($B219="IN LOCO FOODS",$E219="5L"),ROUNDUP($F219/CONFIG!$C$31,0),ROUNDUP($F219/VLOOKUP($E219,CONFIG!$A$4:$D$5,4,0),0)))</f>
        <v/>
      </c>
    </row>
    <row r="220" spans="1:9" x14ac:dyDescent="0.3">
      <c r="A220" s="12"/>
      <c r="B220" s="13"/>
      <c r="C220" s="14"/>
      <c r="D220" s="14"/>
      <c r="E220" s="13"/>
      <c r="F220" s="15"/>
      <c r="G220" s="13" t="str">
        <f>IF($E220="","",VLOOKUP($E220,CONFIG!$A$4:$B$5,2,0))</f>
        <v/>
      </c>
      <c r="H220" s="16" t="str">
        <f>IF(OR($E220="",$F220=""),"",$F220*VLOOKUP($E220,CONFIG!$A$4:$C$5,3,0))</f>
        <v/>
      </c>
      <c r="I220" s="11" t="str">
        <f>IF(OR($E220="",$F220=""),"",IF(AND($B220="IN LOCO FOODS",$E220="5L"),ROUNDUP($F220/CONFIG!$C$31,0),ROUNDUP($F220/VLOOKUP($E220,CONFIG!$A$4:$D$5,4,0),0)))</f>
        <v/>
      </c>
    </row>
    <row r="221" spans="1:9" x14ac:dyDescent="0.3">
      <c r="A221" s="6"/>
      <c r="B221" s="7"/>
      <c r="C221" s="8"/>
      <c r="D221" s="8"/>
      <c r="E221" s="7"/>
      <c r="F221" s="9"/>
      <c r="G221" s="7" t="str">
        <f>IF($E221="","",VLOOKUP($E221,CONFIG!$A$4:$B$5,2,0))</f>
        <v/>
      </c>
      <c r="H221" s="10" t="str">
        <f>IF(OR($E221="",$F221=""),"",$F221*VLOOKUP($E221,CONFIG!$A$4:$C$5,3,0))</f>
        <v/>
      </c>
      <c r="I221" s="11" t="str">
        <f>IF(OR($E221="",$F221=""),"",IF(AND($B221="IN LOCO FOODS",$E221="5L"),ROUNDUP($F221/CONFIG!$C$31,0),ROUNDUP($F221/VLOOKUP($E221,CONFIG!$A$4:$D$5,4,0),0)))</f>
        <v/>
      </c>
    </row>
    <row r="222" spans="1:9" x14ac:dyDescent="0.3">
      <c r="A222" s="12"/>
      <c r="B222" s="13"/>
      <c r="C222" s="14"/>
      <c r="D222" s="14"/>
      <c r="E222" s="13"/>
      <c r="F222" s="15"/>
      <c r="G222" s="13" t="str">
        <f>IF($E222="","",VLOOKUP($E222,CONFIG!$A$4:$B$5,2,0))</f>
        <v/>
      </c>
      <c r="H222" s="16" t="str">
        <f>IF(OR($E222="",$F222=""),"",$F222*VLOOKUP($E222,CONFIG!$A$4:$C$5,3,0))</f>
        <v/>
      </c>
      <c r="I222" s="11" t="str">
        <f>IF(OR($E222="",$F222=""),"",IF(AND($B222="IN LOCO FOODS",$E222="5L"),ROUNDUP($F222/CONFIG!$C$31,0),ROUNDUP($F222/VLOOKUP($E222,CONFIG!$A$4:$D$5,4,0),0)))</f>
        <v/>
      </c>
    </row>
    <row r="223" spans="1:9" x14ac:dyDescent="0.3">
      <c r="A223" s="6"/>
      <c r="B223" s="7"/>
      <c r="C223" s="8"/>
      <c r="D223" s="8"/>
      <c r="E223" s="7"/>
      <c r="F223" s="9"/>
      <c r="G223" s="7" t="str">
        <f>IF($E223="","",VLOOKUP($E223,CONFIG!$A$4:$B$5,2,0))</f>
        <v/>
      </c>
      <c r="H223" s="10" t="str">
        <f>IF(OR($E223="",$F223=""),"",$F223*VLOOKUP($E223,CONFIG!$A$4:$C$5,3,0))</f>
        <v/>
      </c>
      <c r="I223" s="11" t="str">
        <f>IF(OR($E223="",$F223=""),"",IF(AND($B223="IN LOCO FOODS",$E223="5L"),ROUNDUP($F223/CONFIG!$C$31,0),ROUNDUP($F223/VLOOKUP($E223,CONFIG!$A$4:$D$5,4,0),0)))</f>
        <v/>
      </c>
    </row>
    <row r="224" spans="1:9" x14ac:dyDescent="0.3">
      <c r="A224" s="12"/>
      <c r="B224" s="13"/>
      <c r="C224" s="14"/>
      <c r="D224" s="14"/>
      <c r="E224" s="13"/>
      <c r="F224" s="15"/>
      <c r="G224" s="13" t="str">
        <f>IF($E224="","",VLOOKUP($E224,CONFIG!$A$4:$B$5,2,0))</f>
        <v/>
      </c>
      <c r="H224" s="16" t="str">
        <f>IF(OR($E224="",$F224=""),"",$F224*VLOOKUP($E224,CONFIG!$A$4:$C$5,3,0))</f>
        <v/>
      </c>
      <c r="I224" s="11" t="str">
        <f>IF(OR($E224="",$F224=""),"",IF(AND($B224="IN LOCO FOODS",$E224="5L"),ROUNDUP($F224/CONFIG!$C$31,0),ROUNDUP($F224/VLOOKUP($E224,CONFIG!$A$4:$D$5,4,0),0)))</f>
        <v/>
      </c>
    </row>
    <row r="225" spans="1:9" ht="21.75" customHeight="1" x14ac:dyDescent="0.3">
      <c r="A225" s="65" t="s">
        <v>26</v>
      </c>
      <c r="B225" s="65"/>
      <c r="C225" s="65"/>
      <c r="D225" s="65"/>
      <c r="E225" s="65"/>
      <c r="F225" s="17">
        <f>SUM(F5:F224)</f>
        <v>366</v>
      </c>
      <c r="G225" s="17"/>
      <c r="H225" s="18">
        <f>SUM(H5:H224)</f>
        <v>6210</v>
      </c>
      <c r="I225" s="11" t="str">
        <f>IF(OR($E225="",$F225=""),"",IF(AND($B225="IN LOCO FOODS",$E225="5L"),ROUNDUP($F225/CONFIG!$C$31,0),ROUNDUP($F225/VLOOKUP($E225,CONFIG!$A$4:$D$5,4,0),0)))</f>
        <v/>
      </c>
    </row>
  </sheetData>
  <mergeCells count="4">
    <mergeCell ref="A1:B2"/>
    <mergeCell ref="C1:I1"/>
    <mergeCell ref="C2:I2"/>
    <mergeCell ref="A225:E225"/>
  </mergeCells>
  <pageMargins left="0.3" right="0.3" top="0.4" bottom="0.4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CONFIG!$D$10:$D$15</xm:f>
          </x14:formula1>
          <x14:formula2>
            <xm:f>0</xm:f>
          </x14:formula2>
          <xm:sqref>B5:B224</xm:sqref>
        </x14:dataValidation>
        <x14:dataValidation type="list" allowBlank="1" xr:uid="{00000000-0002-0000-0000-000001000000}">
          <x14:formula1>
            <xm:f>CONFIG!$B$10:$B$18</xm:f>
          </x14:formula1>
          <x14:formula2>
            <xm:f>0</xm:f>
          </x14:formula2>
          <xm:sqref>C5:C224</xm:sqref>
        </x14:dataValidation>
        <x14:dataValidation type="list" allowBlank="1" xr:uid="{00000000-0002-0000-0000-000002000000}">
          <x14:formula1>
            <xm:f>CONFIG!$A$22:$A$27</xm:f>
          </x14:formula1>
          <x14:formula2>
            <xm:f>0</xm:f>
          </x14:formula2>
          <xm:sqref>D5:D224</xm:sqref>
        </x14:dataValidation>
        <x14:dataValidation type="list" allowBlank="1" xr:uid="{00000000-0002-0000-0000-000003000000}">
          <x14:formula1>
            <xm:f>CONFIG!$D$22:$D$23</xm:f>
          </x14:formula1>
          <x14:formula2>
            <xm:f>0</xm:f>
          </x14:formula2>
          <xm:sqref>E5:E224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14D"/>
    <pageSetUpPr fitToPage="1"/>
  </sheetPr>
  <dimension ref="A1:F31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34" customWidth="1"/>
    <col min="2" max="2" width="14" customWidth="1"/>
    <col min="3" max="3" width="13" customWidth="1"/>
    <col min="4" max="4" width="18" customWidth="1"/>
    <col min="5" max="5" width="12" customWidth="1"/>
    <col min="6" max="6" width="13" customWidth="1"/>
  </cols>
  <sheetData>
    <row r="1" spans="1:6" ht="15" customHeight="1" x14ac:dyDescent="0.3">
      <c r="A1" s="73" t="s">
        <v>80</v>
      </c>
      <c r="B1" s="73"/>
      <c r="C1" s="73"/>
      <c r="D1" s="73"/>
      <c r="E1" s="73"/>
      <c r="F1" s="73"/>
    </row>
    <row r="3" spans="1:6" x14ac:dyDescent="0.3">
      <c r="A3" s="1" t="s">
        <v>6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</row>
    <row r="4" spans="1:6" x14ac:dyDescent="0.3">
      <c r="A4" s="40" t="s">
        <v>14</v>
      </c>
      <c r="B4" s="41" t="s">
        <v>86</v>
      </c>
      <c r="C4" s="42">
        <v>25</v>
      </c>
      <c r="D4" s="42">
        <v>30</v>
      </c>
      <c r="E4" s="41" t="s">
        <v>87</v>
      </c>
      <c r="F4" s="41">
        <f>C4*D4</f>
        <v>750</v>
      </c>
    </row>
    <row r="5" spans="1:6" x14ac:dyDescent="0.3">
      <c r="A5" s="43" t="s">
        <v>19</v>
      </c>
      <c r="B5" s="41" t="s">
        <v>88</v>
      </c>
      <c r="C5" s="42">
        <v>10</v>
      </c>
      <c r="D5" s="42">
        <v>60</v>
      </c>
      <c r="E5" s="41" t="s">
        <v>89</v>
      </c>
      <c r="F5" s="41">
        <f>C5*D5</f>
        <v>600</v>
      </c>
    </row>
    <row r="6" spans="1:6" x14ac:dyDescent="0.3">
      <c r="A6" s="74" t="s">
        <v>90</v>
      </c>
      <c r="B6" s="74"/>
      <c r="C6" s="74"/>
      <c r="D6" s="74"/>
      <c r="E6" s="74"/>
      <c r="F6" s="74"/>
    </row>
    <row r="8" spans="1:6" x14ac:dyDescent="0.3">
      <c r="A8" s="75" t="s">
        <v>91</v>
      </c>
      <c r="B8" s="75"/>
    </row>
    <row r="9" spans="1:6" x14ac:dyDescent="0.3">
      <c r="A9" s="1" t="s">
        <v>3</v>
      </c>
      <c r="B9" s="1" t="s">
        <v>4</v>
      </c>
      <c r="D9" s="1" t="s">
        <v>92</v>
      </c>
    </row>
    <row r="10" spans="1:6" ht="22.8" x14ac:dyDescent="0.3">
      <c r="A10" s="45" t="s">
        <v>11</v>
      </c>
      <c r="B10" s="8" t="s">
        <v>12</v>
      </c>
      <c r="D10" s="8" t="s">
        <v>11</v>
      </c>
    </row>
    <row r="11" spans="1:6" ht="22.8" x14ac:dyDescent="0.3">
      <c r="A11" s="45" t="s">
        <v>11</v>
      </c>
      <c r="B11" s="8" t="s">
        <v>20</v>
      </c>
      <c r="D11" s="8" t="s">
        <v>21</v>
      </c>
    </row>
    <row r="12" spans="1:6" ht="34.200000000000003" x14ac:dyDescent="0.3">
      <c r="A12" s="45" t="s">
        <v>11</v>
      </c>
      <c r="B12" s="8" t="s">
        <v>93</v>
      </c>
      <c r="D12" s="8" t="s">
        <v>25</v>
      </c>
    </row>
    <row r="13" spans="1:6" ht="22.8" x14ac:dyDescent="0.3">
      <c r="A13" s="45" t="s">
        <v>11</v>
      </c>
      <c r="B13" s="8" t="s">
        <v>24</v>
      </c>
      <c r="D13" s="8" t="s">
        <v>34</v>
      </c>
    </row>
    <row r="14" spans="1:6" x14ac:dyDescent="0.3">
      <c r="A14" s="45" t="s">
        <v>21</v>
      </c>
      <c r="B14" s="8" t="s">
        <v>21</v>
      </c>
      <c r="D14" s="8" t="s">
        <v>16</v>
      </c>
    </row>
    <row r="15" spans="1:6" x14ac:dyDescent="0.3">
      <c r="A15" s="45" t="s">
        <v>25</v>
      </c>
      <c r="B15" s="8" t="s">
        <v>25</v>
      </c>
      <c r="D15" s="8" t="s">
        <v>22</v>
      </c>
    </row>
    <row r="16" spans="1:6" ht="45.6" x14ac:dyDescent="0.3">
      <c r="A16" s="45" t="s">
        <v>34</v>
      </c>
      <c r="B16" s="8" t="s">
        <v>94</v>
      </c>
    </row>
    <row r="17" spans="1:4" ht="22.8" x14ac:dyDescent="0.3">
      <c r="A17" s="45" t="s">
        <v>16</v>
      </c>
      <c r="B17" s="8" t="s">
        <v>17</v>
      </c>
    </row>
    <row r="18" spans="1:4" x14ac:dyDescent="0.3">
      <c r="A18" s="45" t="s">
        <v>22</v>
      </c>
      <c r="B18" s="8" t="s">
        <v>22</v>
      </c>
    </row>
    <row r="20" spans="1:4" x14ac:dyDescent="0.3">
      <c r="A20" s="75" t="s">
        <v>95</v>
      </c>
      <c r="B20" s="75"/>
    </row>
    <row r="21" spans="1:4" x14ac:dyDescent="0.3">
      <c r="A21" s="1" t="s">
        <v>5</v>
      </c>
      <c r="B21" s="1" t="s">
        <v>6</v>
      </c>
      <c r="D21" s="1" t="s">
        <v>96</v>
      </c>
    </row>
    <row r="22" spans="1:4" x14ac:dyDescent="0.3">
      <c r="A22" s="8" t="s">
        <v>13</v>
      </c>
      <c r="B22" s="46" t="s">
        <v>14</v>
      </c>
      <c r="D22" s="9" t="s">
        <v>14</v>
      </c>
    </row>
    <row r="23" spans="1:4" x14ac:dyDescent="0.3">
      <c r="A23" s="8" t="s">
        <v>15</v>
      </c>
      <c r="B23" s="46" t="s">
        <v>14</v>
      </c>
      <c r="D23" s="9" t="s">
        <v>19</v>
      </c>
    </row>
    <row r="24" spans="1:4" x14ac:dyDescent="0.3">
      <c r="A24" s="8" t="s">
        <v>18</v>
      </c>
      <c r="B24" s="47" t="s">
        <v>19</v>
      </c>
    </row>
    <row r="25" spans="1:4" x14ac:dyDescent="0.3">
      <c r="A25" s="8" t="s">
        <v>56</v>
      </c>
      <c r="B25" s="47" t="s">
        <v>19</v>
      </c>
    </row>
    <row r="26" spans="1:4" x14ac:dyDescent="0.3">
      <c r="A26" s="8" t="s">
        <v>23</v>
      </c>
      <c r="B26" s="47" t="s">
        <v>19</v>
      </c>
    </row>
    <row r="27" spans="1:4" x14ac:dyDescent="0.3">
      <c r="A27" s="8" t="s">
        <v>57</v>
      </c>
      <c r="B27" s="47" t="s">
        <v>19</v>
      </c>
    </row>
    <row r="29" spans="1:4" x14ac:dyDescent="0.3">
      <c r="A29" s="49" t="s">
        <v>97</v>
      </c>
    </row>
    <row r="30" spans="1:4" x14ac:dyDescent="0.3">
      <c r="A30" s="50" t="s">
        <v>4</v>
      </c>
      <c r="B30" s="50" t="s">
        <v>6</v>
      </c>
      <c r="C30" s="51" t="s">
        <v>98</v>
      </c>
      <c r="D30" s="51" t="s">
        <v>99</v>
      </c>
    </row>
    <row r="31" spans="1:4" x14ac:dyDescent="0.3">
      <c r="A31" s="52" t="s">
        <v>22</v>
      </c>
      <c r="B31" s="53" t="s">
        <v>19</v>
      </c>
      <c r="C31" s="54">
        <v>76</v>
      </c>
      <c r="D31" s="44" t="s">
        <v>100</v>
      </c>
    </row>
  </sheetData>
  <mergeCells count="4">
    <mergeCell ref="A1:F1"/>
    <mergeCell ref="A6:F6"/>
    <mergeCell ref="A8:B8"/>
    <mergeCell ref="A20:B20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  <pageSetUpPr fitToPage="1"/>
  </sheetPr>
  <dimension ref="A1:H15"/>
  <sheetViews>
    <sheetView showGridLines="0" zoomScaleNormal="100" workbookViewId="0">
      <selection activeCell="I2" sqref="I2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1" customWidth="1"/>
    <col min="4" max="4" width="9" customWidth="1"/>
    <col min="5" max="5" width="4" customWidth="1"/>
    <col min="6" max="6" width="24" customWidth="1"/>
    <col min="7" max="7" width="12" customWidth="1"/>
    <col min="8" max="8" width="11" customWidth="1"/>
  </cols>
  <sheetData>
    <row r="1" spans="1:8" ht="27.75" customHeight="1" x14ac:dyDescent="0.3">
      <c r="A1" s="78" t="s">
        <v>47</v>
      </c>
      <c r="B1" s="78"/>
      <c r="C1" s="78"/>
      <c r="D1" s="78"/>
      <c r="E1" s="78"/>
      <c r="F1" s="78"/>
      <c r="G1" s="78"/>
      <c r="H1" s="78"/>
    </row>
    <row r="2" spans="1:8" ht="15" customHeight="1" x14ac:dyDescent="0.3">
      <c r="A2" s="70" t="s">
        <v>48</v>
      </c>
      <c r="B2" s="70"/>
      <c r="C2" s="70"/>
      <c r="D2" s="70"/>
      <c r="E2" s="70"/>
      <c r="F2" s="70"/>
      <c r="G2" s="70"/>
      <c r="H2" s="70"/>
    </row>
    <row r="4" spans="1:8" ht="15" customHeight="1" x14ac:dyDescent="0.3">
      <c r="A4" s="79" t="s">
        <v>49</v>
      </c>
      <c r="B4" s="79"/>
      <c r="C4" s="80" t="s">
        <v>50</v>
      </c>
      <c r="D4" s="80"/>
      <c r="E4" s="81" t="s">
        <v>51</v>
      </c>
      <c r="F4" s="81"/>
      <c r="G4" s="82" t="s">
        <v>52</v>
      </c>
      <c r="H4" s="82"/>
    </row>
    <row r="5" spans="1:8" x14ac:dyDescent="0.3">
      <c r="A5" s="76">
        <f>LANÇAMENTO!$H$225</f>
        <v>6210</v>
      </c>
      <c r="B5" s="76"/>
      <c r="C5" s="77" t="str">
        <f>LANÇAMENTO!$I$225</f>
        <v/>
      </c>
      <c r="D5" s="77"/>
      <c r="E5" s="76">
        <f>SUMIFS(LANÇAMENTO!$H$5:$H$224,LANÇAMENTO!$E$5:$E$224,"25L")</f>
        <v>4250</v>
      </c>
      <c r="F5" s="76"/>
      <c r="G5" s="76">
        <f>SUMIFS(LANÇAMENTO!$H$5:$H$224,LANÇAMENTO!$E$5:$E$224,"5L")</f>
        <v>1960</v>
      </c>
      <c r="H5" s="76"/>
    </row>
    <row r="6" spans="1:8" x14ac:dyDescent="0.3">
      <c r="A6" s="76"/>
      <c r="B6" s="76"/>
      <c r="C6" s="77"/>
      <c r="D6" s="77"/>
      <c r="E6" s="76"/>
      <c r="F6" s="76"/>
      <c r="G6" s="76"/>
      <c r="H6" s="76"/>
    </row>
    <row r="8" spans="1:8" ht="15" customHeight="1" x14ac:dyDescent="0.3">
      <c r="A8" s="73" t="s">
        <v>53</v>
      </c>
      <c r="B8" s="73"/>
      <c r="C8" s="73"/>
      <c r="D8" s="73"/>
      <c r="F8" s="73" t="s">
        <v>54</v>
      </c>
      <c r="G8" s="73"/>
      <c r="H8" s="73"/>
    </row>
    <row r="9" spans="1:8" x14ac:dyDescent="0.3">
      <c r="A9" s="38" t="s">
        <v>6</v>
      </c>
      <c r="B9" s="38" t="s">
        <v>9</v>
      </c>
      <c r="C9" s="38" t="s">
        <v>10</v>
      </c>
      <c r="D9" s="38" t="s">
        <v>55</v>
      </c>
      <c r="F9" s="38" t="s">
        <v>5</v>
      </c>
      <c r="G9" s="38" t="s">
        <v>9</v>
      </c>
      <c r="H9" s="38" t="s">
        <v>10</v>
      </c>
    </row>
    <row r="10" spans="1:8" x14ac:dyDescent="0.3">
      <c r="A10" s="39" t="s">
        <v>14</v>
      </c>
      <c r="B10" s="30">
        <f>SUMIFS(LANÇAMENTO!$H$5:$H$224,LANÇAMENTO!$E$5:$E$224,"25L")</f>
        <v>4250</v>
      </c>
      <c r="C10" s="32">
        <f>SUMIFS(LANÇAMENTO!$I$5:$I$224,LANÇAMENTO!$E$5:$E$224,"25L")</f>
        <v>7</v>
      </c>
      <c r="D10" s="31">
        <f>IF(LANÇAMENTO!$H$225=0,0,B10/LANÇAMENTO!$H$225)</f>
        <v>0.6843800322061192</v>
      </c>
      <c r="F10" s="8" t="s">
        <v>13</v>
      </c>
      <c r="G10" s="36">
        <f>SUMIFS(LANÇAMENTO!$H$5:$H$224,LANÇAMENTO!$D$5:$D$224,"AL 10 CONSERVANTE")</f>
        <v>2375</v>
      </c>
      <c r="H10" s="37">
        <f>SUMIFS(LANÇAMENTO!$I$5:$I$224,LANÇAMENTO!$D$5:$D$224,"AL 10 CONSERVANTE")</f>
        <v>4</v>
      </c>
    </row>
    <row r="11" spans="1:8" x14ac:dyDescent="0.3">
      <c r="A11" s="39" t="s">
        <v>19</v>
      </c>
      <c r="B11" s="30">
        <f>SUMIFS(LANÇAMENTO!$H$5:$H$224,LANÇAMENTO!$E$5:$E$224,"5L")</f>
        <v>1960</v>
      </c>
      <c r="C11" s="32">
        <f>SUMIFS(LANÇAMENTO!$I$5:$I$224,LANÇAMENTO!$E$5:$E$224,"5L")</f>
        <v>3</v>
      </c>
      <c r="D11" s="31">
        <f>IF(LANÇAMENTO!$H$225=0,0,B11/LANÇAMENTO!$H$225)</f>
        <v>0.31561996779388085</v>
      </c>
      <c r="F11" s="8" t="s">
        <v>15</v>
      </c>
      <c r="G11" s="36">
        <f>SUMIFS(LANÇAMENTO!$H$5:$H$224,LANÇAMENTO!$D$5:$D$224,"OL 40 DESMOLDANTE")</f>
        <v>1875</v>
      </c>
      <c r="H11" s="37">
        <f>SUMIFS(LANÇAMENTO!$I$5:$I$224,LANÇAMENTO!$D$5:$D$224,"OL 40 DESMOLDANTE")</f>
        <v>3</v>
      </c>
    </row>
    <row r="12" spans="1:8" x14ac:dyDescent="0.3">
      <c r="F12" s="8" t="s">
        <v>18</v>
      </c>
      <c r="G12" s="36">
        <f>SUMIFS(LANÇAMENTO!$H$5:$H$224,LANÇAMENTO!$D$5:$D$224,"DESMOLDANTE DESTAK")</f>
        <v>600</v>
      </c>
      <c r="H12" s="37">
        <f>SUMIFS(LANÇAMENTO!$I$5:$I$224,LANÇAMENTO!$D$5:$D$224,"DESMOLDANTE DESTAK")</f>
        <v>1</v>
      </c>
    </row>
    <row r="13" spans="1:8" x14ac:dyDescent="0.3">
      <c r="F13" s="8" t="s">
        <v>56</v>
      </c>
      <c r="G13" s="36">
        <f>SUMIFS(LANÇAMENTO!$H$5:$H$224,LANÇAMENTO!$D$5:$D$224,"ANTIMOFO")</f>
        <v>0</v>
      </c>
      <c r="H13" s="37">
        <f>SUMIFS(LANÇAMENTO!$I$5:$I$224,LANÇAMENTO!$D$5:$D$224,"ANTIMOFO")</f>
        <v>0</v>
      </c>
    </row>
    <row r="14" spans="1:8" x14ac:dyDescent="0.3">
      <c r="F14" s="8" t="s">
        <v>23</v>
      </c>
      <c r="G14" s="36">
        <f>SUMIFS(LANÇAMENTO!$H$5:$H$224,LANÇAMENTO!$D$5:$D$224,"UNTA FACIL")</f>
        <v>600</v>
      </c>
      <c r="H14" s="37">
        <f>SUMIFS(LANÇAMENTO!$I$5:$I$224,LANÇAMENTO!$D$5:$D$224,"UNTA FACIL")</f>
        <v>1</v>
      </c>
    </row>
    <row r="15" spans="1:8" x14ac:dyDescent="0.3">
      <c r="F15" s="8" t="s">
        <v>57</v>
      </c>
      <c r="G15" s="36">
        <f>SUMIFS(LANÇAMENTO!$H$5:$H$224,LANÇAMENTO!$D$5:$D$224,"DOURATTO")</f>
        <v>760</v>
      </c>
      <c r="H15" s="37">
        <f>SUMIFS(LANÇAMENTO!$I$5:$I$224,LANÇAMENTO!$D$5:$D$224,"DOURATTO")</f>
        <v>1</v>
      </c>
    </row>
  </sheetData>
  <mergeCells count="12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8:D8"/>
    <mergeCell ref="F8:H8"/>
  </mergeCells>
  <pageMargins left="0.3" right="0.3" top="0.4" bottom="0.4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</vt:i4>
      </vt:variant>
    </vt:vector>
  </HeadingPairs>
  <TitlesOfParts>
    <vt:vector size="10" baseType="lpstr">
      <vt:lpstr>INSTRUÇÕES</vt:lpstr>
      <vt:lpstr>RANKING</vt:lpstr>
      <vt:lpstr>LANÇAMENTO</vt:lpstr>
      <vt:lpstr>CONFIG</vt:lpstr>
      <vt:lpstr>DASHBOARD</vt:lpstr>
      <vt:lpstr>CONFIG!Area_de_impressao</vt:lpstr>
      <vt:lpstr>DASHBOARD!Area_de_impressao</vt:lpstr>
      <vt:lpstr>INSTRUÇÕES!Area_de_impressao</vt:lpstr>
      <vt:lpstr>LANÇAMENTO!Area_de_impressao</vt:lpstr>
      <vt:lpstr>RANKING!Area_de_impressao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 - AIDU Smart Choice</cp:lastModifiedBy>
  <cp:revision>0</cp:revision>
  <dcterms:created xsi:type="dcterms:W3CDTF">2026-06-04T17:09:04Z</dcterms:created>
  <dcterms:modified xsi:type="dcterms:W3CDTF">2026-06-04T17:39:21Z</dcterms:modified>
  <dc:language>en-US</dc:language>
</cp:coreProperties>
</file>