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6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7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8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9.xml" ContentType="application/vnd.openxmlformats-officedocument.drawing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0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drawings/drawing11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12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ables/table1.xml" ContentType="application/vnd.openxmlformats-officedocument.spreadsheetml.table+xml"/>
  <Override PartName="/xl/worksheets/sheet45.xml" ContentType="application/vnd.openxmlformats-officedocument.spreadsheetml.worksheet+xml"/>
  <Override PartName="/xl/drawings/drawing13.xml" ContentType="application/vnd.openxmlformats-officedocument.drawing+xml"/>
  <Override PartName="/xl/worksheets/sheet46.xml" ContentType="application/vnd.openxmlformats-officedocument.spreadsheetml.worksheet+xml"/>
  <Override PartName="/xl/drawings/drawing1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4" activeTab="0" autoFilterDateGrouping="1"/>
  </bookViews>
  <sheets>
    <sheet xmlns:r="http://schemas.openxmlformats.org/officeDocument/2006/relationships" name="GOOGLE_SHEETS_FINAL" sheetId="1" state="visible" r:id="rId1"/>
    <sheet xmlns:r="http://schemas.openxmlformats.org/officeDocument/2006/relationships" name="APPS_SCRIPT" sheetId="2" state="visible" r:id="rId2"/>
    <sheet xmlns:r="http://schemas.openxmlformats.org/officeDocument/2006/relationships" name="INSTRUCOES" sheetId="3" state="visible" r:id="rId3"/>
    <sheet xmlns:r="http://schemas.openxmlformats.org/officeDocument/2006/relationships" name="CAPA" sheetId="4" state="visible" r:id="rId4"/>
    <sheet xmlns:r="http://schemas.openxmlformats.org/officeDocument/2006/relationships" name="JANEIRO" sheetId="5" state="visible" r:id="rId5"/>
    <sheet xmlns:r="http://schemas.openxmlformats.org/officeDocument/2006/relationships" name="SEMANA JANEIRO" sheetId="6" state="visible" r:id="rId6"/>
    <sheet xmlns:r="http://schemas.openxmlformats.org/officeDocument/2006/relationships" name="GRAFICO JANEIRO" sheetId="7" state="visible" r:id="rId7"/>
    <sheet xmlns:r="http://schemas.openxmlformats.org/officeDocument/2006/relationships" name="FEVEREIRO" sheetId="8" state="visible" r:id="rId8"/>
    <sheet xmlns:r="http://schemas.openxmlformats.org/officeDocument/2006/relationships" name="SEMANA FEVEREIRO" sheetId="9" state="visible" r:id="rId9"/>
    <sheet xmlns:r="http://schemas.openxmlformats.org/officeDocument/2006/relationships" name="GRAFICO FEVEREIRO" sheetId="10" state="visible" r:id="rId10"/>
    <sheet xmlns:r="http://schemas.openxmlformats.org/officeDocument/2006/relationships" name="MARÇO" sheetId="11" state="visible" r:id="rId11"/>
    <sheet xmlns:r="http://schemas.openxmlformats.org/officeDocument/2006/relationships" name="SEMANA MARÇO" sheetId="12" state="visible" r:id="rId12"/>
    <sheet xmlns:r="http://schemas.openxmlformats.org/officeDocument/2006/relationships" name="GRAFICO MARÇO" sheetId="13" state="visible" r:id="rId13"/>
    <sheet xmlns:r="http://schemas.openxmlformats.org/officeDocument/2006/relationships" name="ABRIL" sheetId="14" state="visible" r:id="rId14"/>
    <sheet xmlns:r="http://schemas.openxmlformats.org/officeDocument/2006/relationships" name="SEMANA ABRIL" sheetId="15" state="visible" r:id="rId15"/>
    <sheet xmlns:r="http://schemas.openxmlformats.org/officeDocument/2006/relationships" name="GRAFICO ABRIL" sheetId="16" state="visible" r:id="rId16"/>
    <sheet xmlns:r="http://schemas.openxmlformats.org/officeDocument/2006/relationships" name="MAIO" sheetId="17" state="visible" r:id="rId17"/>
    <sheet xmlns:r="http://schemas.openxmlformats.org/officeDocument/2006/relationships" name="SEMANA MAIO" sheetId="18" state="visible" r:id="rId18"/>
    <sheet xmlns:r="http://schemas.openxmlformats.org/officeDocument/2006/relationships" name="GRAFICO MAIO" sheetId="19" state="visible" r:id="rId19"/>
    <sheet xmlns:r="http://schemas.openxmlformats.org/officeDocument/2006/relationships" name="JUNHO" sheetId="20" state="visible" r:id="rId20"/>
    <sheet xmlns:r="http://schemas.openxmlformats.org/officeDocument/2006/relationships" name="SEMANA JUNHO" sheetId="21" state="visible" r:id="rId21"/>
    <sheet xmlns:r="http://schemas.openxmlformats.org/officeDocument/2006/relationships" name="GRAFICO JUNHO" sheetId="22" state="visible" r:id="rId22"/>
    <sheet xmlns:r="http://schemas.openxmlformats.org/officeDocument/2006/relationships" name="JULHO" sheetId="23" state="visible" r:id="rId23"/>
    <sheet xmlns:r="http://schemas.openxmlformats.org/officeDocument/2006/relationships" name="SEMANA JULHO" sheetId="24" state="visible" r:id="rId24"/>
    <sheet xmlns:r="http://schemas.openxmlformats.org/officeDocument/2006/relationships" name="GRAFICO JULHO" sheetId="25" state="visible" r:id="rId25"/>
    <sheet xmlns:r="http://schemas.openxmlformats.org/officeDocument/2006/relationships" name="AGOSTO" sheetId="26" state="visible" r:id="rId26"/>
    <sheet xmlns:r="http://schemas.openxmlformats.org/officeDocument/2006/relationships" name="SEMANA AGOSTO" sheetId="27" state="visible" r:id="rId27"/>
    <sheet xmlns:r="http://schemas.openxmlformats.org/officeDocument/2006/relationships" name="GRAFICO AGOSTO" sheetId="28" state="visible" r:id="rId28"/>
    <sheet xmlns:r="http://schemas.openxmlformats.org/officeDocument/2006/relationships" name="SETEMBRO" sheetId="29" state="visible" r:id="rId29"/>
    <sheet xmlns:r="http://schemas.openxmlformats.org/officeDocument/2006/relationships" name="SEMANA SETEMBRO" sheetId="30" state="visible" r:id="rId30"/>
    <sheet xmlns:r="http://schemas.openxmlformats.org/officeDocument/2006/relationships" name="GRAFICO SETEMBRO" sheetId="31" state="visible" r:id="rId31"/>
    <sheet xmlns:r="http://schemas.openxmlformats.org/officeDocument/2006/relationships" name="OUTUBRO" sheetId="32" state="visible" r:id="rId32"/>
    <sheet xmlns:r="http://schemas.openxmlformats.org/officeDocument/2006/relationships" name="SEMANA OUTUBRO" sheetId="33" state="visible" r:id="rId33"/>
    <sheet xmlns:r="http://schemas.openxmlformats.org/officeDocument/2006/relationships" name="GRAFICO OUTUBRO" sheetId="34" state="visible" r:id="rId34"/>
    <sheet xmlns:r="http://schemas.openxmlformats.org/officeDocument/2006/relationships" name="NOVEMBRO" sheetId="35" state="visible" r:id="rId35"/>
    <sheet xmlns:r="http://schemas.openxmlformats.org/officeDocument/2006/relationships" name="SEMANA NOVEMBRO" sheetId="36" state="visible" r:id="rId36"/>
    <sheet xmlns:r="http://schemas.openxmlformats.org/officeDocument/2006/relationships" name="GRAFICO NOVEMBRO" sheetId="37" state="visible" r:id="rId37"/>
    <sheet xmlns:r="http://schemas.openxmlformats.org/officeDocument/2006/relationships" name="DEZEMBRO" sheetId="38" state="visible" r:id="rId38"/>
    <sheet xmlns:r="http://schemas.openxmlformats.org/officeDocument/2006/relationships" name="SEMANA DEZEMBRO" sheetId="39" state="visible" r:id="rId39"/>
    <sheet xmlns:r="http://schemas.openxmlformats.org/officeDocument/2006/relationships" name="GRAFICO DEZEMBRO" sheetId="40" state="visible" r:id="rId40"/>
    <sheet xmlns:r="http://schemas.openxmlformats.org/officeDocument/2006/relationships" name="Sheet" sheetId="41" state="hidden" r:id="rId41"/>
    <sheet xmlns:r="http://schemas.openxmlformats.org/officeDocument/2006/relationships" name="GÁS" sheetId="42" state="visible" r:id="rId42"/>
    <sheet xmlns:r="http://schemas.openxmlformats.org/officeDocument/2006/relationships" name="CONFIG" sheetId="43" state="visible" r:id="rId43"/>
    <sheet xmlns:r="http://schemas.openxmlformats.org/officeDocument/2006/relationships" name="BASE_DADOS" sheetId="44" state="visible" r:id="rId44"/>
    <sheet xmlns:r="http://schemas.openxmlformats.org/officeDocument/2006/relationships" name="RESUMO_MENSAL" sheetId="45" state="visible" r:id="rId45"/>
    <sheet xmlns:r="http://schemas.openxmlformats.org/officeDocument/2006/relationships" name="DASHBOARD" sheetId="46" state="visible" r:id="rId46"/>
    <sheet xmlns:r="http://schemas.openxmlformats.org/officeDocument/2006/relationships" name="CONFIG_PALLETS" sheetId="47" state="visible" r:id="rId47"/>
    <sheet xmlns:r="http://schemas.openxmlformats.org/officeDocument/2006/relationships" name="CONFIG_LISTAS" sheetId="48" state="hidden" r:id="rId48"/>
    <sheet xmlns:r="http://schemas.openxmlformats.org/officeDocument/2006/relationships" name="INSTRUÇÕES" sheetId="49" state="visible" r:id="rId49"/>
    <sheet xmlns:r="http://schemas.openxmlformats.org/officeDocument/2006/relationships" name="DASHBOARD_EXEC" sheetId="50" state="hidden" r:id="rId50"/>
    <sheet xmlns:r="http://schemas.openxmlformats.org/officeDocument/2006/relationships" name="CHECK_FINAL" sheetId="51" state="visible" r:id="rId51"/>
  </sheets>
  <definedNames>
    <definedName name="EMB_600">CONFIG_LISTAS!$D$2</definedName>
    <definedName name="EMB_COCO">CONFIG_LISTAS!$C$2:$C$3</definedName>
    <definedName name="EMB_CORANTE">CONFIG_LISTAS!$B$2</definedName>
    <definedName name="EMB_TODAS">CONFIG_LISTAS!$A$2:$A$9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/d/yyyy"/>
    <numFmt numFmtId="165" formatCode="[$-F800]dddd&quot;, &quot;mmmm\ dd&quot;, &quot;yyyy"/>
    <numFmt numFmtId="166" formatCode="0&quot; ml&quot;"/>
    <numFmt numFmtId="167" formatCode="0.0&quot; h&quot;"/>
    <numFmt numFmtId="168" formatCode="0.0%"/>
    <numFmt numFmtId="169" formatCode="_-&quot;R$ &quot;* #,##0.00_-;&quot;-R$ &quot;* #,##0.00_-;_-&quot;R$ &quot;* \-??_-;_-@_-"/>
    <numFmt numFmtId="170" formatCode="&quot;R$ &quot;#,##0.00"/>
    <numFmt numFmtId="171" formatCode="#,##0.0"/>
    <numFmt numFmtId="172" formatCode="[$-416]dddd\,\ dd\ &quot;de&quot;\ mmmm\ &quot;de&quot;\ yyyy"/>
    <numFmt numFmtId="173" formatCode="dd/mm/yyyy"/>
  </numFmts>
  <fonts count="76">
    <font>
      <name val="Calibri"/>
      <charset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rgb="FFFFFFFF"/>
      <sz val="18"/>
    </font>
    <font>
      <name val="Calibri"/>
      <charset val="1"/>
      <family val="2"/>
      <i val="1"/>
      <color rgb="FF6B728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2F3A4A"/>
      <sz val="16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2F3A4A"/>
      <sz val="11"/>
    </font>
    <font>
      <name val="Calibri"/>
      <charset val="1"/>
      <family val="2"/>
      <color rgb="FF333333"/>
      <sz val="11"/>
    </font>
    <font>
      <name val="Arial"/>
      <charset val="1"/>
      <family val="2"/>
      <color theme="1"/>
      <sz val="14"/>
    </font>
    <font>
      <name val="Arial"/>
      <charset val="1"/>
      <family val="2"/>
      <color theme="1"/>
      <sz val="12"/>
    </font>
    <font>
      <name val="Arial"/>
      <charset val="1"/>
      <family val="2"/>
      <color theme="1"/>
      <sz val="11"/>
    </font>
    <font>
      <name val="Calibri"/>
      <charset val="1"/>
      <family val="2"/>
      <color rgb="FF2B2B2B"/>
      <sz val="11"/>
    </font>
    <font>
      <name val="Arial"/>
      <charset val="1"/>
      <family val="2"/>
      <b val="1"/>
      <color theme="1"/>
      <sz val="22"/>
    </font>
    <font>
      <name val="Cambria"/>
      <charset val="1"/>
      <family val="1"/>
      <b val="1"/>
      <color rgb="FFFFFFFF"/>
      <sz val="12"/>
    </font>
    <font>
      <name val="Cambria"/>
      <charset val="1"/>
      <family val="1"/>
      <i val="1"/>
      <color rgb="FF475569"/>
      <sz val="9"/>
    </font>
    <font>
      <name val="Cambria"/>
      <charset val="1"/>
      <family val="1"/>
      <i val="1"/>
      <color rgb="FF666666"/>
      <sz val="9"/>
    </font>
    <font>
      <name val="Cambria"/>
      <charset val="1"/>
      <family val="1"/>
      <b val="1"/>
      <color rgb="FFFFFFFF"/>
      <sz val="10"/>
    </font>
    <font>
      <name val="Calibri"/>
      <charset val="1"/>
      <family val="2"/>
      <color rgb="FFFF0000"/>
      <sz val="11"/>
    </font>
    <font>
      <name val="Calibri"/>
      <charset val="1"/>
      <family val="2"/>
      <color theme="1"/>
      <sz val="16"/>
    </font>
    <font>
      <name val="Cambria"/>
      <charset val="1"/>
      <family val="1"/>
      <b val="1"/>
      <color theme="0"/>
      <sz val="11"/>
    </font>
    <font>
      <name val="Calibri"/>
      <charset val="1"/>
      <family val="2"/>
      <b val="1"/>
      <color theme="0"/>
      <sz val="15"/>
    </font>
    <font>
      <name val="Cambria"/>
      <charset val="1"/>
      <family val="1"/>
      <b val="1"/>
      <color rgb="FFFFFFFF"/>
      <sz val="11"/>
    </font>
    <font>
      <name val="Calibri"/>
      <charset val="1"/>
      <family val="2"/>
      <b val="1"/>
      <color theme="0"/>
      <sz val="11"/>
    </font>
    <font>
      <name val="Cambria"/>
      <charset val="1"/>
      <family val="1"/>
      <b val="1"/>
      <sz val="11"/>
    </font>
    <font>
      <name val="Calibri"/>
      <charset val="1"/>
      <family val="2"/>
      <b val="1"/>
      <color rgb="FF006100"/>
      <sz val="11"/>
    </font>
    <font>
      <name val="Calibri"/>
      <charset val="1"/>
      <family val="2"/>
      <b val="1"/>
      <color rgb="FF9C0006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7F7F7F"/>
      <sz val="11"/>
    </font>
    <font>
      <name val="Calibri"/>
      <charset val="1"/>
      <family val="2"/>
      <color rgb="FF2B2B2B"/>
      <sz val="10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rgb="FF2B2B2B"/>
      <sz val="11"/>
    </font>
    <font>
      <name val="Arial"/>
      <charset val="1"/>
      <family val="2"/>
      <b val="1"/>
      <color rgb="FF2B2B2B"/>
      <sz val="16"/>
    </font>
    <font>
      <name val="Arial"/>
      <charset val="1"/>
      <family val="2"/>
      <b val="1"/>
      <color theme="1"/>
      <sz val="16"/>
    </font>
    <font>
      <name val="Calibri"/>
      <charset val="1"/>
      <family val="2"/>
      <b val="1"/>
      <sz val="11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theme="1"/>
      <sz val="12"/>
    </font>
    <font>
      <name val="Arial"/>
      <charset val="1"/>
      <family val="2"/>
      <sz val="12"/>
    </font>
    <font>
      <name val="Calibri"/>
      <charset val="1"/>
      <family val="2"/>
      <color theme="1"/>
      <sz val="20"/>
    </font>
    <font>
      <name val="Calibri"/>
      <charset val="1"/>
      <family val="2"/>
      <color rgb="FF000000"/>
      <sz val="11"/>
    </font>
    <font>
      <name val="Arial"/>
      <charset val="1"/>
      <family val="2"/>
      <color rgb="FF000000"/>
      <sz val="14"/>
    </font>
    <font>
      <name val="Calibri"/>
      <charset val="1"/>
      <family val="2"/>
      <color theme="0"/>
      <sz val="11"/>
    </font>
    <font>
      <name val="Calibri"/>
      <charset val="1"/>
      <family val="2"/>
      <color theme="4"/>
      <sz val="11"/>
    </font>
    <font>
      <name val="Arial"/>
      <charset val="1"/>
      <family val="2"/>
      <b val="1"/>
      <color theme="1"/>
      <sz val="18"/>
    </font>
    <font>
      <name val="Arial"/>
      <charset val="1"/>
      <family val="2"/>
      <b val="1"/>
      <color theme="1"/>
      <sz val="11"/>
    </font>
    <font>
      <name val="Calibri"/>
      <charset val="1"/>
      <family val="2"/>
      <b val="1"/>
      <color theme="0"/>
      <sz val="10"/>
    </font>
    <font>
      <name val="Calibri"/>
      <charset val="1"/>
      <family val="2"/>
      <b val="1"/>
      <color rgb="FF2B2B2B"/>
      <sz val="10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color rgb="FF2F3A4A"/>
      <sz val="11"/>
    </font>
    <font>
      <name val="Calibri"/>
      <charset val="1"/>
      <b val="1"/>
      <color rgb="FFFFFFFF"/>
      <sz val="16"/>
    </font>
    <font>
      <name val="Calibri"/>
      <charset val="1"/>
      <i val="1"/>
      <color rgb="FF6B7280"/>
      <sz val="10"/>
    </font>
    <font>
      <name val="Calibri"/>
      <charset val="1"/>
      <family val="2"/>
      <sz val="11"/>
    </font>
    <font>
      <name val="Calibri"/>
      <charset val="1"/>
      <b val="1"/>
      <color rgb="FFFFFFFF"/>
      <sz val="10"/>
    </font>
    <font>
      <name val="Calibri"/>
      <charset val="1"/>
      <color rgb="FF1F2937"/>
      <sz val="10"/>
    </font>
    <font>
      <name val="Calibri"/>
      <charset val="1"/>
      <b val="1"/>
      <color rgb="FF1F2937"/>
      <sz val="16"/>
    </font>
    <font>
      <name val="Calibri"/>
      <charset val="1"/>
      <color rgb="FF1F2937"/>
      <sz val="9"/>
    </font>
    <font>
      <name val="Cambria"/>
      <charset val="1"/>
      <b val="1"/>
      <color rgb="FFFFFFFF"/>
      <sz val="14"/>
    </font>
    <font>
      <name val="Cambria"/>
      <charset val="1"/>
      <b val="1"/>
      <color rgb="FFFFFFFF"/>
      <sz val="10"/>
    </font>
    <font>
      <name val="Cambria"/>
      <charset val="1"/>
      <b val="1"/>
      <color rgb="FF000000"/>
      <sz val="16"/>
    </font>
    <font>
      <name val="Cambria"/>
      <charset val="1"/>
      <b val="1"/>
      <color rgb="FFFFFFFF"/>
      <sz val="11"/>
    </font>
    <font>
      <name val="Cambria"/>
      <charset val="1"/>
      <color rgb="FF000000"/>
      <sz val="12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theme="0"/>
      <sz val="16"/>
    </font>
    <font>
      <name val="Cambria"/>
      <charset val="1"/>
      <b val="1"/>
      <sz val="11"/>
    </font>
    <font>
      <name val="Cambria"/>
      <charset val="1"/>
      <sz val="11"/>
    </font>
    <font>
      <name val="Calibri"/>
      <b val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6"/>
    </font>
    <font>
      <name val="Calibri"/>
      <b val="1"/>
      <color theme="1"/>
      <sz val="16"/>
    </font>
    <font>
      <b val="1"/>
      <color rgb="00FFFFFF"/>
    </font>
    <font>
      <b val="1"/>
      <color rgb="00FFFFFF"/>
      <sz val="16"/>
    </font>
    <font>
      <b val="1"/>
      <color rgb="00111827"/>
    </font>
    <font>
      <b val="1"/>
      <color rgb="00FFFFFF"/>
      <sz val="14"/>
    </font>
    <font>
      <name val="Consolas"/>
      <sz val="9"/>
    </font>
    <font>
      <b val="1"/>
      <color rgb="00FFFFFF"/>
      <sz val="15"/>
    </font>
  </fonts>
  <fills count="42">
    <fill>
      <patternFill/>
    </fill>
    <fill>
      <patternFill patternType="gray125"/>
    </fill>
    <fill>
      <patternFill patternType="solid">
        <fgColor rgb="FF2F3A4A"/>
        <bgColor rgb="FF2C2C2C"/>
      </patternFill>
    </fill>
    <fill>
      <patternFill patternType="solid">
        <fgColor rgb="FFC96B0A"/>
        <bgColor rgb="FFC55A11"/>
      </patternFill>
    </fill>
    <fill>
      <patternFill patternType="solid">
        <fgColor rgb="FFFFF7E8"/>
        <bgColor rgb="FFFFF7ED"/>
      </patternFill>
    </fill>
    <fill>
      <patternFill patternType="solid">
        <fgColor rgb="FF8C4E03"/>
        <bgColor rgb="FF8C4A0A"/>
      </patternFill>
    </fill>
    <fill>
      <patternFill patternType="solid">
        <fgColor rgb="FFF7F3EE"/>
        <bgColor rgb="FFF2F2F2"/>
      </patternFill>
    </fill>
    <fill>
      <patternFill patternType="solid">
        <fgColor rgb="FF0F766E"/>
        <bgColor rgb="FF1F4E78"/>
      </patternFill>
    </fill>
    <fill>
      <patternFill patternType="solid">
        <fgColor rgb="FF8C4A0A"/>
        <bgColor rgb="FF8C4E03"/>
      </patternFill>
    </fill>
    <fill>
      <patternFill patternType="solid">
        <fgColor rgb="FFFBF7ED"/>
        <bgColor rgb="FFFFF7ED"/>
      </patternFill>
    </fill>
    <fill>
      <patternFill patternType="solid">
        <fgColor rgb="FF92D050"/>
        <bgColor rgb="FFC9B08A"/>
      </patternFill>
    </fill>
    <fill>
      <patternFill patternType="solid">
        <fgColor rgb="FFF5E5BF"/>
        <bgColor rgb="FFFCE4D6"/>
      </patternFill>
    </fill>
    <fill>
      <patternFill patternType="solid">
        <fgColor rgb="FFF8B700"/>
        <bgColor rgb="FFC89F65"/>
      </patternFill>
    </fill>
    <fill>
      <patternFill patternType="solid">
        <fgColor rgb="FFFF0000"/>
        <bgColor rgb="FFD93025"/>
      </patternFill>
    </fill>
    <fill>
      <patternFill patternType="solid">
        <fgColor rgb="FFFFFF00"/>
        <bgColor rgb="FFFFE699"/>
      </patternFill>
    </fill>
    <fill>
      <patternFill patternType="solid">
        <fgColor theme="5" tint="-0.499984740745262"/>
        <bgColor rgb="FF8C4A0A"/>
      </patternFill>
    </fill>
    <fill>
      <patternFill patternType="solid">
        <fgColor rgb="FFF8FAFC"/>
        <bgColor rgb="FFFFFFFF"/>
      </patternFill>
    </fill>
    <fill>
      <patternFill patternType="solid">
        <fgColor theme="5" tint="-0.249977111117893"/>
        <bgColor rgb="FFC65911"/>
      </patternFill>
    </fill>
    <fill>
      <patternFill patternType="solid">
        <fgColor theme="7" tint="0.5995971556749168"/>
        <bgColor rgb="FFF5E5BF"/>
      </patternFill>
    </fill>
    <fill>
      <patternFill patternType="solid">
        <fgColor rgb="FFE2E8F0"/>
        <bgColor rgb="FFE7E6E6"/>
      </patternFill>
    </fill>
    <fill>
      <patternFill patternType="solid">
        <fgColor theme="0"/>
        <bgColor rgb="FFF8FAFC"/>
      </patternFill>
    </fill>
    <fill>
      <patternFill patternType="solid">
        <fgColor theme="7" tint="0.7997985778374584"/>
        <bgColor rgb="FFFFF7E8"/>
      </patternFill>
    </fill>
    <fill>
      <patternFill patternType="solid">
        <fgColor rgb="FFE7E6E6"/>
        <bgColor rgb="FFE2E8F0"/>
      </patternFill>
    </fill>
    <fill>
      <patternFill patternType="darkGray">
        <fgColor theme="8" tint="0.3990905484176153"/>
        <bgColor rgb="FFB5B5B5"/>
      </patternFill>
    </fill>
    <fill>
      <patternFill patternType="solid">
        <fgColor rgb="FFC85A00"/>
        <bgColor rgb="FFC65911"/>
      </patternFill>
    </fill>
    <fill>
      <patternFill patternType="solid">
        <fgColor rgb="FFFFF7ED"/>
        <bgColor rgb="FFFFF7E8"/>
      </patternFill>
    </fill>
    <fill>
      <patternFill patternType="solid">
        <fgColor rgb="FFB5B5B5"/>
        <bgColor rgb="FFA6A6A6"/>
      </patternFill>
    </fill>
    <fill>
      <patternFill patternType="solid">
        <fgColor rgb="FFFFF4EC"/>
        <bgColor rgb="FFFFF7ED"/>
      </patternFill>
    </fill>
    <fill>
      <patternFill patternType="solid">
        <fgColor rgb="FFC65911"/>
        <bgColor rgb="FFC55A11"/>
      </patternFill>
    </fill>
    <fill>
      <patternFill patternType="solid">
        <fgColor rgb="FF1F4E78"/>
        <bgColor rgb="FF2F3A4A"/>
      </patternFill>
    </fill>
    <fill>
      <patternFill patternType="solid">
        <fgColor rgb="FFFCE4D6"/>
        <bgColor rgb="FFF5E5BF"/>
      </patternFill>
    </fill>
    <fill>
      <patternFill patternType="solid">
        <fgColor rgb="FFF2F2F2"/>
        <bgColor rgb="FFF7F3EE"/>
      </patternFill>
    </fill>
    <fill>
      <patternFill patternType="solid">
        <fgColor theme="7" tint="0.5995971556749168"/>
        <bgColor indexed="65"/>
      </patternFill>
    </fill>
    <fill>
      <patternFill patternType="solid">
        <fgColor rgb="FFFBF7ED"/>
      </patternFill>
    </fill>
    <fill>
      <patternFill patternType="solid">
        <fgColor rgb="FFF5E5B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7ED"/>
      </patternFill>
    </fill>
    <fill>
      <patternFill patternType="solid">
        <fgColor rgb="00F97316"/>
      </patternFill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35">
    <border>
      <left/>
      <right/>
      <top/>
      <bottom/>
      <diagonal/>
    </border>
    <border>
      <left style="thin">
        <color rgb="FFC89F65"/>
      </left>
      <right style="thin">
        <color rgb="FFC89F65"/>
      </right>
      <top style="thin">
        <color rgb="FFC89F65"/>
      </top>
      <bottom style="thin">
        <color rgb="FFC89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/>
      <diagonal/>
    </border>
    <border>
      <left style="thin">
        <color auto="1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rgb="FFD8D8D8"/>
      </left>
      <right style="thin">
        <color auto="1"/>
      </right>
      <top style="thin">
        <color auto="1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auto="1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rgb="FFD8D8D8"/>
      </top>
      <bottom style="thin">
        <color auto="1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auto="1"/>
      </bottom>
      <diagonal/>
    </border>
    <border>
      <left style="thin">
        <color rgb="FFD8D8D8"/>
      </left>
      <right style="thin">
        <color auto="1"/>
      </right>
      <top style="thin">
        <color rgb="FFD8D8D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auto="1"/>
      </right>
      <top style="thin">
        <color rgb="FF7F7F7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0D5DD"/>
      </bottom>
      <diagonal/>
    </border>
    <border>
      <left style="thin">
        <color auto="1"/>
      </left>
      <right style="thin">
        <color auto="1"/>
      </right>
      <top style="thin">
        <color rgb="FFD0D5DD"/>
      </top>
      <bottom style="thin">
        <color auto="1"/>
      </bottom>
      <diagonal/>
    </border>
    <border>
      <left style="thin">
        <color auto="1"/>
      </left>
      <right/>
      <top style="thin">
        <color rgb="FFD0D5DD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auto="1"/>
      </right>
      <top/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 style="thin">
        <color rgb="FFC9B08A"/>
      </bottom>
      <diagonal/>
    </border>
    <border>
      <left style="thin">
        <color auto="1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auto="1"/>
      </right>
      <top/>
      <bottom style="thin">
        <color rgb="FFD8D8D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D0D5DD"/>
      </right>
      <top style="thin">
        <color auto="1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auto="1"/>
      </top>
      <bottom style="thin">
        <color rgb="FFD0D5DD"/>
      </bottom>
      <diagonal/>
    </border>
    <border>
      <left style="thin">
        <color rgb="FFD0D5DD"/>
      </left>
      <right style="thin">
        <color auto="1"/>
      </right>
      <top style="thin">
        <color auto="1"/>
      </top>
      <bottom style="thin">
        <color rgb="FFD0D5DD"/>
      </bottom>
      <diagonal/>
    </border>
    <border>
      <left style="medium">
        <color rgb="FF8C4E03"/>
      </left>
      <right style="medium">
        <color rgb="FF8C4E03"/>
      </right>
      <top style="medium">
        <color rgb="FF8C4E03"/>
      </top>
      <bottom style="medium">
        <color rgb="FF8C4E03"/>
      </bottom>
      <diagonal/>
    </border>
    <border>
      <left style="thin">
        <color rgb="FFD9C2B3"/>
      </left>
      <right style="thin">
        <color rgb="FFD9C2B3"/>
      </right>
      <top style="thin">
        <color rgb="FFD9C2B3"/>
      </top>
      <bottom style="thin">
        <color rgb="FFD9C2B3"/>
      </bottom>
      <diagonal/>
    </border>
    <border>
      <left style="thin">
        <color rgb="FFD9B38C"/>
      </left>
      <right style="thin">
        <color rgb="FFD9B38C"/>
      </right>
      <top style="thin">
        <color rgb="FFD9B38C"/>
      </top>
      <bottom style="thin">
        <color rgb="FFD9B38C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C89F65"/>
      </right>
      <top style="thin">
        <color rgb="FFC89F65"/>
      </top>
      <bottom/>
      <diagonal/>
    </border>
    <border>
      <left/>
      <right style="thin">
        <color rgb="FFC89F65"/>
      </right>
      <top style="thin">
        <color rgb="FFC89F65"/>
      </top>
      <bottom style="thin">
        <color rgb="FFC89F65"/>
      </bottom>
      <diagonal/>
    </border>
    <border>
      <left style="thin">
        <color rgb="FFC89F65"/>
      </left>
      <right/>
      <top/>
      <bottom style="thin">
        <color rgb="FFC89F65"/>
      </bottom>
      <diagonal/>
    </border>
    <border>
      <left/>
      <right style="thin">
        <color rgb="FFC89F65"/>
      </right>
      <top/>
      <bottom style="thin">
        <color rgb="FFC89F65"/>
      </bottom>
      <diagonal/>
    </border>
    <border>
      <left/>
      <right/>
      <top style="thin">
        <color rgb="FFC89F65"/>
      </top>
      <bottom style="thin">
        <color rgb="FFC89F65"/>
      </bottom>
      <diagonal/>
    </border>
    <border>
      <left/>
      <right/>
      <top style="thin">
        <color rgb="FFC9B08A"/>
      </top>
      <bottom/>
      <diagonal/>
    </border>
    <border>
      <left/>
      <right style="thin">
        <color rgb="FFC9B08A"/>
      </right>
      <top style="thin">
        <color rgb="FFC9B08A"/>
      </top>
      <bottom/>
      <diagonal/>
    </border>
    <border>
      <left style="thin">
        <color auto="1"/>
      </left>
      <right style="thin">
        <color rgb="FFD8D8D8"/>
      </right>
      <top/>
      <bottom/>
      <diagonal/>
    </border>
    <border>
      <left/>
      <right style="thin">
        <color rgb="FFD8D8D8"/>
      </right>
      <top style="thin">
        <color auto="1"/>
      </top>
      <bottom/>
      <diagonal/>
    </border>
    <border>
      <left/>
      <right style="thin">
        <color rgb="FFD8D8D8"/>
      </right>
      <top style="thin">
        <color auto="1"/>
      </top>
      <bottom style="thin">
        <color rgb="FFD8D8D8"/>
      </bottom>
      <diagonal/>
    </border>
    <border>
      <left/>
      <right/>
      <top style="thin">
        <color auto="1"/>
      </top>
      <bottom style="thin">
        <color rgb="FFD8D8D8"/>
      </bottom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auto="1"/>
      </bottom>
      <diagonal/>
    </border>
    <border>
      <left/>
      <right/>
      <top style="thin">
        <color rgb="FFD8D8D8"/>
      </top>
      <bottom style="thin">
        <color auto="1"/>
      </bottom>
      <diagonal/>
    </border>
    <border>
      <left/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/>
      <top/>
      <bottom style="thin">
        <color rgb="FFD8D8D8"/>
      </bottom>
      <diagonal/>
    </border>
    <border>
      <left/>
      <right/>
      <top style="thin">
        <color rgb="FFD9C2B3"/>
      </top>
      <bottom style="thin">
        <color rgb="FFD9C2B3"/>
      </bottom>
      <diagonal/>
    </border>
    <border>
      <left/>
      <right style="thin">
        <color rgb="FFD9C2B3"/>
      </right>
      <top style="thin">
        <color rgb="FFD9C2B3"/>
      </top>
      <bottom style="thin">
        <color rgb="FFD9C2B3"/>
      </bottom>
      <diagonal/>
    </border>
    <border>
      <left/>
      <right style="thin">
        <color rgb="FFD9B38C"/>
      </right>
      <top style="thin">
        <color rgb="FFD9B38C"/>
      </top>
      <bottom/>
      <diagonal/>
    </border>
    <border>
      <left/>
      <right style="thin">
        <color rgb="FFD9B38C"/>
      </right>
      <top style="thin">
        <color rgb="FFD9B38C"/>
      </top>
      <bottom style="thin">
        <color rgb="FFD9B38C"/>
      </bottom>
      <diagonal/>
    </border>
    <border>
      <left style="thin">
        <color rgb="FFD9B38C"/>
      </left>
      <right/>
      <top/>
      <bottom style="thin">
        <color rgb="FFD9B38C"/>
      </bottom>
      <diagonal/>
    </border>
    <border>
      <left/>
      <right style="thin">
        <color rgb="FFD9B38C"/>
      </right>
      <top/>
      <bottom style="thin">
        <color rgb="FFD9B38C"/>
      </bottom>
      <diagonal/>
    </border>
    <border>
      <left/>
      <right style="medium">
        <color rgb="FFC65911"/>
      </right>
      <top style="medium">
        <color rgb="FFC65911"/>
      </top>
      <bottom/>
      <diagonal/>
    </border>
    <border>
      <left/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medium">
        <color rgb="FFC65911"/>
      </left>
      <right/>
      <top/>
      <bottom style="medium">
        <color rgb="FFC65911"/>
      </bottom>
      <diagonal/>
    </border>
    <border>
      <left/>
      <right style="medium">
        <color rgb="FFC65911"/>
      </right>
      <top/>
      <bottom style="medium">
        <color rgb="FFC65911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 style="medium">
        <color rgb="FF8C4E03"/>
      </top>
      <bottom style="medium">
        <color rgb="FF8C4E03"/>
      </bottom>
      <diagonal/>
    </border>
    <border>
      <left/>
      <right style="medium">
        <color rgb="FF8C4E03"/>
      </right>
      <top style="medium">
        <color rgb="FF8C4E03"/>
      </top>
      <bottom style="medium">
        <color rgb="FF8C4E03"/>
      </bottom>
      <diagonal/>
    </border>
    <border>
      <left/>
      <right/>
      <top style="thin">
        <color rgb="FFC89F65"/>
      </top>
      <bottom/>
      <diagonal/>
    </border>
    <border>
      <left style="thin">
        <color rgb="FFC89F65"/>
      </left>
      <right/>
      <top/>
      <bottom/>
      <diagonal/>
    </border>
    <border>
      <left/>
      <right style="thin">
        <color rgb="FFC89F65"/>
      </right>
      <top/>
      <bottom/>
      <diagonal/>
    </border>
    <border>
      <left/>
      <right/>
      <top style="thin">
        <color rgb="FFD8D8D8"/>
      </top>
      <bottom/>
      <diagonal/>
    </border>
    <border>
      <left/>
      <right style="thin">
        <color rgb="FFC9B08A"/>
      </right>
      <top style="thin">
        <color auto="1"/>
      </top>
      <bottom/>
      <diagonal/>
    </border>
    <border>
      <left/>
      <right/>
      <top style="thin">
        <color rgb="FFD9B38C"/>
      </top>
      <bottom/>
      <diagonal/>
    </border>
    <border>
      <left/>
      <right/>
      <top style="medium">
        <color rgb="FFC65911"/>
      </top>
      <bottom/>
      <diagonal/>
    </border>
    <border>
      <left style="medium">
        <color rgb="FFC65911"/>
      </left>
      <right/>
      <top/>
      <bottom/>
      <diagonal/>
    </border>
    <border>
      <left/>
      <right style="medium">
        <color rgb="FFC65911"/>
      </right>
      <top/>
      <bottom/>
      <diagonal/>
    </border>
    <border>
      <left/>
      <right/>
      <top style="thin">
        <color rgb="FFD9C2B3"/>
      </top>
      <bottom/>
      <diagonal/>
    </border>
    <border>
      <left/>
      <right style="thin">
        <color rgb="FFD9C2B3"/>
      </right>
      <top style="thin">
        <color rgb="FFD9C2B3"/>
      </top>
      <bottom/>
      <diagonal/>
    </border>
    <border>
      <left style="thin">
        <color rgb="FFD9B38C"/>
      </left>
      <right/>
      <top/>
      <bottom/>
      <diagonal/>
    </border>
    <border>
      <left/>
      <right style="thin">
        <color rgb="FFD9B38C"/>
      </right>
      <top/>
      <bottom/>
      <diagonal/>
    </border>
    <border>
      <left/>
      <right/>
      <top style="medium">
        <color rgb="FF8C4E03"/>
      </top>
      <bottom/>
      <diagonal/>
    </border>
    <border>
      <left/>
      <right style="medium">
        <color rgb="FF8C4E03"/>
      </right>
      <top style="medium">
        <color rgb="FF8C4E03"/>
      </top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medium">
        <color rgb="00374151"/>
      </top>
      <bottom style="medium">
        <color rgb="00374151"/>
      </bottom>
    </border>
  </borders>
  <cellStyleXfs count="2">
    <xf numFmtId="0" fontId="0" fillId="0" borderId="0"/>
    <xf numFmtId="0" fontId="1" fillId="0" borderId="0"/>
  </cellStyleXfs>
  <cellXfs count="749">
    <xf numFmtId="0" fontId="0" fillId="0" borderId="0" pivotButton="0" quotePrefix="0" xfId="0"/>
    <xf numFmtId="0" fontId="7" fillId="6" borderId="1" pivotButton="0" quotePrefix="0" xfId="0"/>
    <xf numFmtId="0" fontId="8" fillId="6" borderId="1" pivotButton="0" quotePrefix="0" xfId="0"/>
    <xf numFmtId="0" fontId="8" fillId="6" borderId="1" applyAlignment="1" pivotButton="0" quotePrefix="0" xfId="0">
      <alignment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3" fontId="12" fillId="9" borderId="6" applyAlignment="1" pivotButton="0" quotePrefix="0" xfId="0">
      <alignment horizontal="center" vertical="center"/>
    </xf>
    <xf numFmtId="3" fontId="12" fillId="11" borderId="8" applyAlignment="1" pivotButton="0" quotePrefix="0" xfId="0">
      <alignment horizontal="center" vertical="center"/>
    </xf>
    <xf numFmtId="0" fontId="12" fillId="9" borderId="9" applyAlignment="1" pivotButton="0" quotePrefix="0" xfId="0">
      <alignment horizontal="center" vertical="center"/>
    </xf>
    <xf numFmtId="0" fontId="12" fillId="9" borderId="8" applyAlignment="1" pivotButton="0" quotePrefix="0" xfId="0">
      <alignment horizontal="center" vertical="center"/>
    </xf>
    <xf numFmtId="0" fontId="12" fillId="11" borderId="9" applyAlignment="1" pivotButton="0" quotePrefix="0" xfId="0">
      <alignment horizontal="center" vertical="center"/>
    </xf>
    <xf numFmtId="3" fontId="12" fillId="9" borderId="8" applyAlignment="1" pivotButton="0" quotePrefix="0" xfId="0">
      <alignment horizontal="center" vertical="center"/>
    </xf>
    <xf numFmtId="0" fontId="12" fillId="11" borderId="8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0" fontId="9" fillId="11" borderId="9" applyAlignment="1" pivotButton="0" quotePrefix="0" xfId="0">
      <alignment horizontal="center" vertical="center"/>
    </xf>
    <xf numFmtId="0" fontId="10" fillId="11" borderId="8" applyAlignment="1" pivotButton="0" quotePrefix="0" xfId="0">
      <alignment horizontal="center" vertical="center"/>
    </xf>
    <xf numFmtId="3" fontId="10" fillId="9" borderId="8" applyAlignment="1" pivotButton="0" quotePrefix="0" xfId="0">
      <alignment horizontal="center" vertical="center"/>
    </xf>
    <xf numFmtId="3" fontId="10" fillId="11" borderId="8" applyAlignment="1" pivotButton="0" quotePrefix="0" xfId="0">
      <alignment horizontal="center" vertical="center"/>
    </xf>
    <xf numFmtId="0" fontId="9" fillId="9" borderId="10" applyAlignment="1" pivotButton="0" quotePrefix="0" xfId="0">
      <alignment horizontal="center" vertical="center"/>
    </xf>
    <xf numFmtId="0" fontId="10" fillId="9" borderId="12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6" fillId="0" borderId="0" applyAlignment="1" pivotButton="0" quotePrefix="0" xfId="0">
      <alignment horizontal="left"/>
    </xf>
    <xf numFmtId="0" fontId="17" fillId="17" borderId="13" applyAlignment="1" pivotButton="0" quotePrefix="0" xfId="0">
      <alignment horizontal="left" vertical="center" wrapText="1"/>
    </xf>
    <xf numFmtId="166" fontId="17" fillId="17" borderId="14" applyAlignment="1" pivotButton="0" quotePrefix="0" xfId="0">
      <alignment horizontal="center" vertical="center"/>
    </xf>
    <xf numFmtId="0" fontId="17" fillId="17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7" fillId="17" borderId="16" applyAlignment="1" pivotButton="0" quotePrefix="0" xfId="0">
      <alignment horizontal="center" vertical="center"/>
    </xf>
    <xf numFmtId="0" fontId="0" fillId="0" borderId="15" pivotButton="0" quotePrefix="0" xfId="0"/>
    <xf numFmtId="0" fontId="17" fillId="2" borderId="1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0" fillId="16" borderId="18" applyAlignment="1" pivotButton="0" quotePrefix="0" xfId="0">
      <alignment horizontal="left" vertical="center" wrapText="1"/>
    </xf>
    <xf numFmtId="166" fontId="0" fillId="16" borderId="0" applyAlignment="1" pivotButton="0" quotePrefix="0" xfId="0">
      <alignment horizontal="center"/>
    </xf>
    <xf numFmtId="3" fontId="0" fillId="16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167" fontId="0" fillId="16" borderId="0" applyAlignment="1" pivotButton="0" quotePrefix="0" xfId="0">
      <alignment horizontal="center"/>
    </xf>
    <xf numFmtId="3" fontId="18" fillId="16" borderId="0" applyAlignment="1" pivotButton="0" quotePrefix="0" xfId="0">
      <alignment horizontal="center"/>
    </xf>
    <xf numFmtId="3" fontId="0" fillId="16" borderId="19" applyAlignment="1" pivotButton="0" quotePrefix="0" xfId="0">
      <alignment horizontal="center"/>
    </xf>
    <xf numFmtId="4" fontId="0" fillId="16" borderId="0" applyAlignment="1" pivotButton="0" quotePrefix="0" xfId="0">
      <alignment horizontal="center"/>
    </xf>
    <xf numFmtId="1" fontId="19" fillId="0" borderId="0" applyAlignment="1" pivotButton="0" quotePrefix="0" xfId="0">
      <alignment horizontal="center" vertical="center"/>
    </xf>
    <xf numFmtId="0" fontId="0" fillId="18" borderId="18" applyAlignment="1" pivotButton="0" quotePrefix="0" xfId="0">
      <alignment horizontal="left" vertical="center" wrapText="1"/>
    </xf>
    <xf numFmtId="166" fontId="0" fillId="18" borderId="0" applyAlignment="1" pivotButton="0" quotePrefix="0" xfId="0">
      <alignment horizontal="center"/>
    </xf>
    <xf numFmtId="3" fontId="0" fillId="18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" fontId="0" fillId="18" borderId="0" applyAlignment="1" pivotButton="0" quotePrefix="0" xfId="0">
      <alignment horizontal="center"/>
    </xf>
    <xf numFmtId="3" fontId="18" fillId="18" borderId="0" applyAlignment="1" pivotButton="0" quotePrefix="0" xfId="0">
      <alignment horizontal="center"/>
    </xf>
    <xf numFmtId="3" fontId="0" fillId="18" borderId="19" applyAlignment="1" pivotButton="0" quotePrefix="0" xfId="0">
      <alignment horizontal="center"/>
    </xf>
    <xf numFmtId="4" fontId="0" fillId="19" borderId="0" applyAlignment="1" pivotButton="0" quotePrefix="0" xfId="0">
      <alignment horizontal="center"/>
    </xf>
    <xf numFmtId="3" fontId="18" fillId="19" borderId="0" applyAlignment="1" pivotButton="0" quotePrefix="0" xfId="0">
      <alignment horizontal="center"/>
    </xf>
    <xf numFmtId="0" fontId="18" fillId="0" borderId="0" pivotButton="0" quotePrefix="0" xfId="0"/>
    <xf numFmtId="3" fontId="0" fillId="19" borderId="19" applyAlignment="1" pivotButton="0" quotePrefix="0" xfId="0">
      <alignment horizontal="center"/>
    </xf>
    <xf numFmtId="1" fontId="0" fillId="16" borderId="0" applyAlignment="1" pivotButton="0" quotePrefix="0" xfId="0">
      <alignment horizontal="center"/>
    </xf>
    <xf numFmtId="0" fontId="20" fillId="17" borderId="20" applyAlignment="1" pivotButton="0" quotePrefix="0" xfId="0">
      <alignment horizontal="center" vertical="center"/>
    </xf>
    <xf numFmtId="166" fontId="20" fillId="17" borderId="21" applyAlignment="1" pivotButton="0" quotePrefix="0" xfId="0">
      <alignment horizontal="center"/>
    </xf>
    <xf numFmtId="3" fontId="20" fillId="17" borderId="21" applyAlignment="1" pivotButton="0" quotePrefix="0" xfId="0">
      <alignment horizontal="center" vertical="center"/>
    </xf>
    <xf numFmtId="0" fontId="20" fillId="17" borderId="21" applyAlignment="1" pivotButton="0" quotePrefix="0" xfId="0">
      <alignment horizontal="center"/>
    </xf>
    <xf numFmtId="0" fontId="20" fillId="17" borderId="21" pivotButton="0" quotePrefix="0" xfId="0"/>
    <xf numFmtId="1" fontId="20" fillId="17" borderId="21" applyAlignment="1" pivotButton="0" quotePrefix="0" xfId="0">
      <alignment horizontal="center" vertical="center"/>
    </xf>
    <xf numFmtId="3" fontId="20" fillId="17" borderId="22" applyAlignment="1" pivotButton="0" quotePrefix="0" xfId="0">
      <alignment horizontal="center" vertical="center"/>
    </xf>
    <xf numFmtId="4" fontId="0" fillId="19" borderId="23" applyAlignment="1" pivotButton="0" quotePrefix="0" xfId="0">
      <alignment horizontal="center"/>
    </xf>
    <xf numFmtId="0" fontId="0" fillId="0" borderId="23" pivotButton="0" quotePrefix="0" xfId="0"/>
    <xf numFmtId="3" fontId="18" fillId="19" borderId="23" applyAlignment="1" pivotButton="0" quotePrefix="0" xfId="0">
      <alignment horizontal="center"/>
    </xf>
    <xf numFmtId="3" fontId="0" fillId="19" borderId="24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4" pivotButton="0" quotePrefix="0" xfId="0"/>
    <xf numFmtId="3" fontId="0" fillId="16" borderId="0" applyAlignment="1" pivotButton="0" quotePrefix="0" xfId="0">
      <alignment horizontal="center" vertical="center"/>
    </xf>
    <xf numFmtId="167" fontId="0" fillId="16" borderId="0" applyAlignment="1" pivotButton="0" quotePrefix="0" xfId="0">
      <alignment horizontal="center" vertical="center"/>
    </xf>
    <xf numFmtId="3" fontId="18" fillId="16" borderId="0" applyAlignment="1" pivotButton="0" quotePrefix="0" xfId="0">
      <alignment horizontal="center" vertical="center"/>
    </xf>
    <xf numFmtId="3" fontId="0" fillId="16" borderId="19" applyAlignment="1" pivotButton="0" quotePrefix="0" xfId="0">
      <alignment horizontal="center" vertical="center"/>
    </xf>
    <xf numFmtId="3" fontId="20" fillId="17" borderId="21" applyAlignment="1" pivotButton="0" quotePrefix="0" xfId="0">
      <alignment horizontal="center"/>
    </xf>
    <xf numFmtId="1" fontId="20" fillId="17" borderId="21" applyAlignment="1" pivotButton="0" quotePrefix="0" xfId="0">
      <alignment horizontal="center"/>
    </xf>
    <xf numFmtId="3" fontId="20" fillId="17" borderId="22" applyAlignment="1" pivotButton="0" quotePrefix="0" xfId="0">
      <alignment horizontal="center"/>
    </xf>
    <xf numFmtId="0" fontId="0" fillId="0" borderId="26" applyAlignment="1" pivotButton="0" quotePrefix="0" xfId="0">
      <alignment horizontal="left" vertical="center" wrapText="1"/>
    </xf>
    <xf numFmtId="166" fontId="0" fillId="0" borderId="15" pivotButton="0" quotePrefix="0" xfId="0"/>
    <xf numFmtId="0" fontId="0" fillId="0" borderId="27" pivotButton="0" quotePrefix="0" xfId="0"/>
    <xf numFmtId="0" fontId="0" fillId="0" borderId="18" pivotButton="0" quotePrefix="0" xfId="0"/>
    <xf numFmtId="0" fontId="0" fillId="0" borderId="19" pivotButton="0" quotePrefix="0" xfId="0"/>
    <xf numFmtId="1" fontId="0" fillId="16" borderId="0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 vertical="center" wrapText="1"/>
    </xf>
    <xf numFmtId="3" fontId="18" fillId="0" borderId="23" pivotButton="0" quotePrefix="0" xfId="0"/>
    <xf numFmtId="3" fontId="0" fillId="0" borderId="24" pivotButton="0" quotePrefix="0" xfId="0"/>
    <xf numFmtId="3" fontId="0" fillId="18" borderId="0" applyAlignment="1" pivotButton="0" quotePrefix="0" xfId="0">
      <alignment horizontal="center" vertical="center"/>
    </xf>
    <xf numFmtId="1" fontId="0" fillId="18" borderId="0" applyAlignment="1" pivotButton="0" quotePrefix="0" xfId="0">
      <alignment horizontal="center" vertical="center"/>
    </xf>
    <xf numFmtId="3" fontId="18" fillId="18" borderId="0" applyAlignment="1" pivotButton="0" quotePrefix="0" xfId="0">
      <alignment horizontal="center" vertical="center"/>
    </xf>
    <xf numFmtId="3" fontId="0" fillId="18" borderId="19" applyAlignment="1" pivotButton="0" quotePrefix="0" xfId="0">
      <alignment horizontal="center" vertical="center"/>
    </xf>
    <xf numFmtId="167" fontId="0" fillId="18" borderId="0" applyAlignment="1" pivotButton="0" quotePrefix="0" xfId="0">
      <alignment horizontal="center"/>
    </xf>
    <xf numFmtId="0" fontId="0" fillId="20" borderId="18" applyAlignment="1" pivotButton="0" quotePrefix="0" xfId="0">
      <alignment horizontal="left" vertical="center" wrapText="1"/>
    </xf>
    <xf numFmtId="166" fontId="0" fillId="20" borderId="0" applyAlignment="1" pivotButton="0" quotePrefix="0" xfId="0">
      <alignment horizontal="center"/>
    </xf>
    <xf numFmtId="3" fontId="0" fillId="20" borderId="0" applyAlignment="1" pivotButton="0" quotePrefix="0" xfId="0">
      <alignment horizontal="center"/>
    </xf>
    <xf numFmtId="0" fontId="0" fillId="20" borderId="0" applyAlignment="1" pivotButton="0" quotePrefix="0" xfId="0">
      <alignment horizontal="center"/>
    </xf>
    <xf numFmtId="167" fontId="0" fillId="20" borderId="0" applyAlignment="1" pivotButton="0" quotePrefix="0" xfId="0">
      <alignment horizontal="center"/>
    </xf>
    <xf numFmtId="3" fontId="18" fillId="20" borderId="0" applyAlignment="1" pivotButton="0" quotePrefix="0" xfId="0">
      <alignment horizontal="center"/>
    </xf>
    <xf numFmtId="3" fontId="0" fillId="20" borderId="19" applyAlignment="1" pivotButton="0" quotePrefix="0" xfId="0">
      <alignment horizontal="center"/>
    </xf>
    <xf numFmtId="3" fontId="0" fillId="20" borderId="0" applyAlignment="1" pivotButton="0" quotePrefix="0" xfId="0">
      <alignment horizontal="center" vertical="center"/>
    </xf>
    <xf numFmtId="1" fontId="0" fillId="20" borderId="0" applyAlignment="1" pivotButton="0" quotePrefix="0" xfId="0">
      <alignment horizontal="center" vertical="center"/>
    </xf>
    <xf numFmtId="3" fontId="18" fillId="20" borderId="0" applyAlignment="1" pivotButton="0" quotePrefix="0" xfId="0">
      <alignment horizontal="center" vertical="center"/>
    </xf>
    <xf numFmtId="3" fontId="0" fillId="20" borderId="19" applyAlignment="1" pivotButton="0" quotePrefix="0" xfId="0">
      <alignment horizontal="center" vertical="center"/>
    </xf>
    <xf numFmtId="1" fontId="0" fillId="20" borderId="0" applyAlignment="1" pivotButton="0" quotePrefix="0" xfId="0">
      <alignment horizontal="center"/>
    </xf>
    <xf numFmtId="0" fontId="0" fillId="18" borderId="0" pivotButton="0" quotePrefix="0" xfId="0"/>
    <xf numFmtId="1" fontId="0" fillId="0" borderId="0" pivotButton="0" quotePrefix="0" xfId="0"/>
    <xf numFmtId="166" fontId="0" fillId="18" borderId="0" pivotButton="0" quotePrefix="0" xfId="0"/>
    <xf numFmtId="0" fontId="18" fillId="18" borderId="0" pivotButton="0" quotePrefix="0" xfId="0"/>
    <xf numFmtId="0" fontId="0" fillId="18" borderId="19" pivotButton="0" quotePrefix="0" xfId="0"/>
    <xf numFmtId="0" fontId="17" fillId="17" borderId="17" applyAlignment="1" pivotButton="0" quotePrefix="0" xfId="0">
      <alignment horizontal="left" vertical="center" wrapText="1"/>
    </xf>
    <xf numFmtId="166" fontId="17" fillId="17" borderId="17" applyAlignment="1" pivotButton="0" quotePrefix="0" xfId="0">
      <alignment horizontal="center" vertical="center"/>
    </xf>
    <xf numFmtId="0" fontId="17" fillId="17" borderId="17" applyAlignment="1" pivotButton="0" quotePrefix="0" xfId="0">
      <alignment horizontal="center" vertical="center"/>
    </xf>
    <xf numFmtId="1" fontId="19" fillId="0" borderId="19" applyAlignment="1" pivotButton="0" quotePrefix="0" xfId="0">
      <alignment horizontal="center" vertical="center"/>
    </xf>
    <xf numFmtId="0" fontId="20" fillId="17" borderId="28" applyAlignment="1" pivotButton="0" quotePrefix="0" xfId="0">
      <alignment horizontal="center" vertical="center"/>
    </xf>
    <xf numFmtId="166" fontId="20" fillId="17" borderId="29" applyAlignment="1" pivotButton="0" quotePrefix="0" xfId="0">
      <alignment horizontal="center"/>
    </xf>
    <xf numFmtId="3" fontId="20" fillId="17" borderId="29" applyAlignment="1" pivotButton="0" quotePrefix="0" xfId="0">
      <alignment horizontal="center"/>
    </xf>
    <xf numFmtId="0" fontId="20" fillId="17" borderId="29" applyAlignment="1" pivotButton="0" quotePrefix="0" xfId="0">
      <alignment horizontal="center"/>
    </xf>
    <xf numFmtId="0" fontId="20" fillId="17" borderId="29" pivotButton="0" quotePrefix="0" xfId="0"/>
    <xf numFmtId="1" fontId="20" fillId="17" borderId="29" applyAlignment="1" pivotButton="0" quotePrefix="0" xfId="0">
      <alignment horizontal="center"/>
    </xf>
    <xf numFmtId="3" fontId="20" fillId="17" borderId="3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" fontId="0" fillId="16" borderId="23" applyAlignment="1" pivotButton="0" quotePrefix="0" xfId="0">
      <alignment horizontal="center"/>
    </xf>
    <xf numFmtId="3" fontId="18" fillId="16" borderId="23" applyAlignment="1" pivotButton="0" quotePrefix="0" xfId="0">
      <alignment horizontal="center"/>
    </xf>
    <xf numFmtId="3" fontId="0" fillId="16" borderId="2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18" borderId="19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8" fillId="0" borderId="15" applyAlignment="1" pivotButton="0" quotePrefix="0" xfId="0">
      <alignment horizontal="center"/>
    </xf>
    <xf numFmtId="20" fontId="0" fillId="0" borderId="0" pivotButton="0" quotePrefix="0" xfId="0"/>
    <xf numFmtId="0" fontId="18" fillId="0" borderId="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5" applyAlignment="1" pivotButton="0" quotePrefix="0" xfId="0">
      <alignment horizontal="left" vertical="center" wrapText="1"/>
    </xf>
    <xf numFmtId="166" fontId="0" fillId="0" borderId="23" pivotButton="0" quotePrefix="0" xfId="0"/>
    <xf numFmtId="0" fontId="18" fillId="0" borderId="23" pivotButton="0" quotePrefix="0" xfId="0"/>
    <xf numFmtId="0" fontId="20" fillId="17" borderId="31" applyAlignment="1" pivotButton="0" quotePrefix="0" xfId="0">
      <alignment horizontal="center" vertical="center"/>
    </xf>
    <xf numFmtId="166" fontId="20" fillId="17" borderId="32" applyAlignment="1" pivotButton="0" quotePrefix="0" xfId="0">
      <alignment horizontal="center"/>
    </xf>
    <xf numFmtId="3" fontId="20" fillId="17" borderId="32" applyAlignment="1" pivotButton="0" quotePrefix="0" xfId="0">
      <alignment horizontal="center" vertical="center"/>
    </xf>
    <xf numFmtId="0" fontId="20" fillId="17" borderId="32" applyAlignment="1" pivotButton="0" quotePrefix="0" xfId="0">
      <alignment horizontal="center"/>
    </xf>
    <xf numFmtId="0" fontId="20" fillId="17" borderId="32" pivotButton="0" quotePrefix="0" xfId="0"/>
    <xf numFmtId="1" fontId="20" fillId="17" borderId="32" applyAlignment="1" pivotButton="0" quotePrefix="0" xfId="0">
      <alignment horizontal="center" vertical="center"/>
    </xf>
    <xf numFmtId="3" fontId="20" fillId="17" borderId="33" applyAlignment="1" pivotButton="0" quotePrefix="0" xfId="0">
      <alignment horizontal="center" vertical="center"/>
    </xf>
    <xf numFmtId="0" fontId="22" fillId="15" borderId="34" applyAlignment="1" pivotButton="0" quotePrefix="0" xfId="0">
      <alignment horizontal="center"/>
    </xf>
    <xf numFmtId="0" fontId="20" fillId="15" borderId="34" applyAlignment="1" pivotButton="0" quotePrefix="0" xfId="0">
      <alignment horizontal="center"/>
    </xf>
    <xf numFmtId="0" fontId="22" fillId="15" borderId="13" applyAlignment="1" pivotButton="0" quotePrefix="0" xfId="0">
      <alignment horizontal="center"/>
    </xf>
    <xf numFmtId="0" fontId="23" fillId="15" borderId="2" applyAlignment="1" pivotButton="0" quotePrefix="0" xfId="0">
      <alignment horizontal="left" vertical="center"/>
    </xf>
    <xf numFmtId="3" fontId="24" fillId="21" borderId="35" applyAlignment="1" pivotButton="0" quotePrefix="0" xfId="0">
      <alignment horizontal="center"/>
    </xf>
    <xf numFmtId="168" fontId="24" fillId="21" borderId="36" applyAlignment="1" pivotButton="0" quotePrefix="0" xfId="0">
      <alignment horizontal="center"/>
    </xf>
    <xf numFmtId="0" fontId="25" fillId="21" borderId="37" applyAlignment="1" pivotButton="0" quotePrefix="0" xfId="0">
      <alignment horizontal="left" vertical="center"/>
    </xf>
    <xf numFmtId="3" fontId="24" fillId="21" borderId="38" applyAlignment="1" pivotButton="0" quotePrefix="0" xfId="0">
      <alignment horizontal="left" vertical="center"/>
    </xf>
    <xf numFmtId="0" fontId="26" fillId="21" borderId="39" applyAlignment="1" pivotButton="0" quotePrefix="0" xfId="0">
      <alignment horizontal="left" vertical="center"/>
    </xf>
    <xf numFmtId="0" fontId="27" fillId="21" borderId="40" applyAlignment="1" pivotButton="0" quotePrefix="0" xfId="0">
      <alignment horizontal="left" vertical="center"/>
    </xf>
    <xf numFmtId="0" fontId="28" fillId="21" borderId="41" applyAlignment="1" pivotButton="0" quotePrefix="0" xfId="0">
      <alignment horizontal="left" vertical="center"/>
    </xf>
    <xf numFmtId="0" fontId="27" fillId="21" borderId="42" applyAlignment="1" pivotButton="0" quotePrefix="0" xfId="0">
      <alignment horizontal="left" vertical="center"/>
    </xf>
    <xf numFmtId="0" fontId="22" fillId="15" borderId="43" applyAlignment="1" pivotButton="0" quotePrefix="0" xfId="0">
      <alignment horizontal="center"/>
    </xf>
    <xf numFmtId="0" fontId="22" fillId="15" borderId="44" applyAlignment="1" pivotButton="0" quotePrefix="0" xfId="0">
      <alignment horizontal="center"/>
    </xf>
    <xf numFmtId="0" fontId="22" fillId="15" borderId="45" applyAlignment="1" pivotButton="0" quotePrefix="0" xfId="0">
      <alignment horizontal="center"/>
    </xf>
    <xf numFmtId="1" fontId="29" fillId="21" borderId="15" applyAlignment="1" pivotButton="0" quotePrefix="0" xfId="0">
      <alignment horizontal="center"/>
    </xf>
    <xf numFmtId="3" fontId="29" fillId="21" borderId="15" applyAlignment="1" pivotButton="0" quotePrefix="0" xfId="0">
      <alignment horizontal="center"/>
    </xf>
    <xf numFmtId="3" fontId="29" fillId="21" borderId="27" applyAlignment="1" pivotButton="0" quotePrefix="0" xfId="0">
      <alignment horizontal="center"/>
    </xf>
    <xf numFmtId="0" fontId="27" fillId="14" borderId="2" applyAlignment="1" pivotButton="0" quotePrefix="0" xfId="0">
      <alignment horizontal="center"/>
    </xf>
    <xf numFmtId="1" fontId="29" fillId="0" borderId="0" applyAlignment="1" pivotButton="0" quotePrefix="0" xfId="0">
      <alignment horizontal="center"/>
    </xf>
    <xf numFmtId="3" fontId="29" fillId="0" borderId="0" applyAlignment="1" pivotButton="0" quotePrefix="0" xfId="0">
      <alignment horizontal="center"/>
    </xf>
    <xf numFmtId="3" fontId="29" fillId="0" borderId="19" applyAlignment="1" pivotButton="0" quotePrefix="0" xfId="0">
      <alignment horizontal="center"/>
    </xf>
    <xf numFmtId="1" fontId="29" fillId="21" borderId="0" applyAlignment="1" pivotButton="0" quotePrefix="0" xfId="0">
      <alignment horizontal="center"/>
    </xf>
    <xf numFmtId="3" fontId="29" fillId="21" borderId="0" applyAlignment="1" pivotButton="0" quotePrefix="0" xfId="0">
      <alignment horizontal="center"/>
    </xf>
    <xf numFmtId="3" fontId="29" fillId="21" borderId="19" applyAlignment="1" pivotButton="0" quotePrefix="0" xfId="0">
      <alignment horizontal="center"/>
    </xf>
    <xf numFmtId="1" fontId="29" fillId="21" borderId="0" applyAlignment="1" pivotButton="0" quotePrefix="0" xfId="0">
      <alignment horizontal="center" vertical="center"/>
    </xf>
    <xf numFmtId="3" fontId="29" fillId="21" borderId="0" applyAlignment="1" pivotButton="0" quotePrefix="0" xfId="0">
      <alignment horizontal="center" vertical="center"/>
    </xf>
    <xf numFmtId="3" fontId="29" fillId="21" borderId="19" applyAlignment="1" pivotButton="0" quotePrefix="0" xfId="0">
      <alignment horizontal="center" vertical="center"/>
    </xf>
    <xf numFmtId="1" fontId="29" fillId="0" borderId="23" applyAlignment="1" pivotButton="0" quotePrefix="0" xfId="0">
      <alignment horizontal="center" vertical="center"/>
    </xf>
    <xf numFmtId="3" fontId="29" fillId="0" borderId="23" applyAlignment="1" pivotButton="0" quotePrefix="0" xfId="0">
      <alignment horizontal="center" vertical="center"/>
    </xf>
    <xf numFmtId="3" fontId="29" fillId="0" borderId="24" applyAlignment="1" pivotButton="0" quotePrefix="0" xfId="0">
      <alignment horizontal="center" vertical="center"/>
    </xf>
    <xf numFmtId="0" fontId="4" fillId="8" borderId="46" applyAlignment="1" pivotButton="0" quotePrefix="0" xfId="0">
      <alignment horizontal="center" vertical="center"/>
    </xf>
    <xf numFmtId="0" fontId="4" fillId="8" borderId="48" applyAlignment="1" pivotButton="0" quotePrefix="0" xfId="0">
      <alignment horizontal="center" vertical="center"/>
    </xf>
    <xf numFmtId="0" fontId="12" fillId="9" borderId="9" applyAlignment="1" pivotButton="0" quotePrefix="0" xfId="0">
      <alignment vertical="center"/>
    </xf>
    <xf numFmtId="0" fontId="9" fillId="11" borderId="10" applyAlignment="1" pivotButton="0" quotePrefix="0" xfId="0">
      <alignment horizontal="center" vertical="center"/>
    </xf>
    <xf numFmtId="0" fontId="10" fillId="11" borderId="12" applyAlignment="1" pivotButton="0" quotePrefix="0" xfId="0">
      <alignment horizontal="center" vertical="center"/>
    </xf>
    <xf numFmtId="3" fontId="20" fillId="17" borderId="29" applyAlignment="1" pivotButton="0" quotePrefix="0" xfId="0">
      <alignment horizontal="center" vertical="center"/>
    </xf>
    <xf numFmtId="1" fontId="20" fillId="17" borderId="29" applyAlignment="1" pivotButton="0" quotePrefix="0" xfId="0">
      <alignment horizontal="center" vertical="center"/>
    </xf>
    <xf numFmtId="3" fontId="20" fillId="17" borderId="30" applyAlignment="1" pivotButton="0" quotePrefix="0" xfId="0">
      <alignment horizontal="center" vertical="center"/>
    </xf>
    <xf numFmtId="1" fontId="29" fillId="21" borderId="50" applyAlignment="1" pivotButton="0" quotePrefix="0" xfId="0">
      <alignment horizontal="center"/>
    </xf>
    <xf numFmtId="3" fontId="29" fillId="21" borderId="50" applyAlignment="1" pivotButton="0" quotePrefix="0" xfId="0">
      <alignment horizontal="center"/>
    </xf>
    <xf numFmtId="3" fontId="29" fillId="21" borderId="51" applyAlignment="1" pivotButton="0" quotePrefix="0" xfId="0">
      <alignment horizontal="center"/>
    </xf>
    <xf numFmtId="1" fontId="29" fillId="0" borderId="53" applyAlignment="1" pivotButton="0" quotePrefix="0" xfId="0">
      <alignment horizontal="center"/>
    </xf>
    <xf numFmtId="3" fontId="29" fillId="0" borderId="53" applyAlignment="1" pivotButton="0" quotePrefix="0" xfId="0">
      <alignment horizontal="center"/>
    </xf>
    <xf numFmtId="3" fontId="29" fillId="0" borderId="54" applyAlignment="1" pivotButton="0" quotePrefix="0" xfId="0">
      <alignment horizontal="center"/>
    </xf>
    <xf numFmtId="1" fontId="29" fillId="21" borderId="53" applyAlignment="1" pivotButton="0" quotePrefix="0" xfId="0">
      <alignment horizontal="center"/>
    </xf>
    <xf numFmtId="3" fontId="29" fillId="21" borderId="53" applyAlignment="1" pivotButton="0" quotePrefix="0" xfId="0">
      <alignment horizontal="center"/>
    </xf>
    <xf numFmtId="3" fontId="29" fillId="21" borderId="54" applyAlignment="1" pivotButton="0" quotePrefix="0" xfId="0">
      <alignment horizontal="center"/>
    </xf>
    <xf numFmtId="1" fontId="29" fillId="0" borderId="56" applyAlignment="1" pivotButton="0" quotePrefix="0" xfId="0">
      <alignment horizontal="center"/>
    </xf>
    <xf numFmtId="3" fontId="29" fillId="0" borderId="56" applyAlignment="1" pivotButton="0" quotePrefix="0" xfId="0">
      <alignment horizontal="center"/>
    </xf>
    <xf numFmtId="3" fontId="29" fillId="0" borderId="57" applyAlignment="1" pivotButton="0" quotePrefix="0" xfId="0">
      <alignment horizontal="center"/>
    </xf>
    <xf numFmtId="49" fontId="29" fillId="0" borderId="0" applyAlignment="1" pivotButton="0" quotePrefix="0" xfId="0">
      <alignment horizontal="left" vertical="center"/>
    </xf>
    <xf numFmtId="3" fontId="29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3" fontId="12" fillId="10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3" fontId="0" fillId="10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3" fontId="0" fillId="11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7" fillId="17" borderId="58" applyAlignment="1" pivotButton="0" quotePrefix="0" xfId="0">
      <alignment horizontal="left" vertical="center" wrapText="1"/>
    </xf>
    <xf numFmtId="166" fontId="17" fillId="17" borderId="58" applyAlignment="1" pivotButton="0" quotePrefix="0" xfId="0">
      <alignment horizontal="center" vertical="center"/>
    </xf>
    <xf numFmtId="0" fontId="17" fillId="17" borderId="58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/>
    </xf>
    <xf numFmtId="1" fontId="19" fillId="0" borderId="7" applyAlignment="1" pivotButton="0" quotePrefix="0" xfId="0">
      <alignment horizontal="center" vertical="center"/>
    </xf>
    <xf numFmtId="0" fontId="0" fillId="18" borderId="7" applyAlignment="1" pivotButton="0" quotePrefix="0" xfId="0">
      <alignment horizontal="left" vertical="center" wrapText="1"/>
    </xf>
    <xf numFmtId="166" fontId="0" fillId="18" borderId="7" applyAlignment="1" pivotButton="0" quotePrefix="0" xfId="0">
      <alignment horizontal="center"/>
    </xf>
    <xf numFmtId="3" fontId="0" fillId="18" borderId="7" applyAlignment="1" pivotButton="0" quotePrefix="0" xfId="0">
      <alignment horizontal="center"/>
    </xf>
    <xf numFmtId="0" fontId="0" fillId="18" borderId="7" applyAlignment="1" pivotButton="0" quotePrefix="0" xfId="0">
      <alignment horizontal="center"/>
    </xf>
    <xf numFmtId="0" fontId="0" fillId="0" borderId="7" pivotButton="0" quotePrefix="0" xfId="0"/>
    <xf numFmtId="1" fontId="0" fillId="18" borderId="7" applyAlignment="1" pivotButton="0" quotePrefix="0" xfId="0">
      <alignment horizontal="center"/>
    </xf>
    <xf numFmtId="3" fontId="18" fillId="18" borderId="7" applyAlignment="1" pivotButton="0" quotePrefix="0" xfId="0">
      <alignment horizontal="center"/>
    </xf>
    <xf numFmtId="0" fontId="0" fillId="8" borderId="58" pivotButton="0" quotePrefix="0" xfId="0"/>
    <xf numFmtId="0" fontId="20" fillId="17" borderId="58" applyAlignment="1" pivotButton="0" quotePrefix="0" xfId="0">
      <alignment horizontal="center" vertical="center"/>
    </xf>
    <xf numFmtId="166" fontId="0" fillId="8" borderId="58" pivotButton="0" quotePrefix="0" xfId="0"/>
    <xf numFmtId="3" fontId="20" fillId="17" borderId="58" applyAlignment="1" pivotButton="0" quotePrefix="0" xfId="0">
      <alignment horizontal="center" vertical="center"/>
    </xf>
    <xf numFmtId="1" fontId="20" fillId="17" borderId="58" applyAlignment="1" pivotButton="0" quotePrefix="0" xfId="0">
      <alignment horizontal="center" vertical="center"/>
    </xf>
    <xf numFmtId="0" fontId="22" fillId="15" borderId="2" applyAlignment="1" pivotButton="0" quotePrefix="0" xfId="0">
      <alignment horizontal="center"/>
    </xf>
    <xf numFmtId="0" fontId="0" fillId="0" borderId="2" pivotButton="0" quotePrefix="0" xfId="0"/>
    <xf numFmtId="0" fontId="34" fillId="0" borderId="2" pivotButton="0" quotePrefix="0" xfId="0"/>
    <xf numFmtId="0" fontId="34" fillId="0" borderId="2" applyAlignment="1" pivotButton="0" quotePrefix="0" xfId="0">
      <alignment horizontal="left"/>
    </xf>
    <xf numFmtId="0" fontId="10" fillId="0" borderId="0" pivotButton="0" quotePrefix="0" xfId="0"/>
    <xf numFmtId="0" fontId="35" fillId="8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37" fillId="10" borderId="2" applyAlignment="1" pivotButton="0" quotePrefix="0" xfId="0">
      <alignment horizontal="center" vertical="center"/>
    </xf>
    <xf numFmtId="3" fontId="10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0" fillId="14" borderId="2" applyAlignment="1" pivotButton="0" quotePrefix="0" xfId="0">
      <alignment vertical="center"/>
    </xf>
    <xf numFmtId="3" fontId="10" fillId="11" borderId="2" applyAlignment="1" pivotButton="0" quotePrefix="0" xfId="0">
      <alignment horizontal="center" vertical="center"/>
    </xf>
    <xf numFmtId="0" fontId="10" fillId="14" borderId="2" pivotButton="0" quotePrefix="0" xfId="0"/>
    <xf numFmtId="3" fontId="17" fillId="17" borderId="58" applyAlignment="1" pivotButton="0" quotePrefix="0" xfId="0">
      <alignment horizontal="center" vertical="center"/>
    </xf>
    <xf numFmtId="165" fontId="19" fillId="0" borderId="7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5" fontId="0" fillId="8" borderId="58" pivotButton="0" quotePrefix="0" xfId="0"/>
    <xf numFmtId="0" fontId="22" fillId="15" borderId="44" applyAlignment="1" pivotButton="0" quotePrefix="0" xfId="0">
      <alignment horizontal="center" vertical="center" wrapText="1"/>
    </xf>
    <xf numFmtId="1" fontId="29" fillId="21" borderId="2" applyAlignment="1" pivotButton="0" quotePrefix="0" xfId="0">
      <alignment horizontal="center"/>
    </xf>
    <xf numFmtId="49" fontId="29" fillId="21" borderId="2" applyAlignment="1" pivotButton="0" quotePrefix="0" xfId="0">
      <alignment horizontal="center"/>
    </xf>
    <xf numFmtId="3" fontId="29" fillId="21" borderId="2" applyAlignment="1" pivotButton="0" quotePrefix="0" xfId="0">
      <alignment horizontal="center"/>
    </xf>
    <xf numFmtId="0" fontId="27" fillId="0" borderId="2" pivotButton="0" quotePrefix="0" xfId="0"/>
    <xf numFmtId="1" fontId="29" fillId="21" borderId="2" applyAlignment="1" pivotButton="0" quotePrefix="0" xfId="0">
      <alignment horizontal="center" vertical="center"/>
    </xf>
    <xf numFmtId="49" fontId="29" fillId="21" borderId="2" applyAlignment="1" pivotButton="0" quotePrefix="0" xfId="0">
      <alignment horizontal="center" vertical="center"/>
    </xf>
    <xf numFmtId="3" fontId="29" fillId="21" borderId="2" applyAlignment="1" pivotButton="0" quotePrefix="0" xfId="0">
      <alignment horizontal="center" vertical="center"/>
    </xf>
    <xf numFmtId="0" fontId="27" fillId="0" borderId="2" applyAlignment="1" pivotButton="0" quotePrefix="0" xfId="0">
      <alignment horizontal="left" wrapText="1"/>
    </xf>
    <xf numFmtId="0" fontId="35" fillId="8" borderId="46" applyAlignment="1" pivotButton="0" quotePrefix="0" xfId="0">
      <alignment horizontal="center" vertical="center"/>
    </xf>
    <xf numFmtId="0" fontId="35" fillId="8" borderId="48" applyAlignment="1" pivotButton="0" quotePrefix="0" xfId="0">
      <alignment horizontal="center" vertical="center"/>
    </xf>
    <xf numFmtId="1" fontId="29" fillId="21" borderId="7" applyAlignment="1" pivotButton="0" quotePrefix="0" xfId="0">
      <alignment horizontal="center"/>
    </xf>
    <xf numFmtId="3" fontId="29" fillId="21" borderId="7" applyAlignment="1" pivotButton="0" quotePrefix="0" xfId="0">
      <alignment horizontal="center"/>
    </xf>
    <xf numFmtId="0" fontId="27" fillId="20" borderId="2" applyAlignment="1" pivotButton="0" quotePrefix="0" xfId="0">
      <alignment horizontal="center"/>
    </xf>
    <xf numFmtId="0" fontId="9" fillId="9" borderId="4" applyAlignment="1" pivotButton="0" quotePrefix="0" xfId="0">
      <alignment horizontal="center" vertical="center"/>
    </xf>
    <xf numFmtId="3" fontId="10" fillId="9" borderId="6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/>
    </xf>
    <xf numFmtId="0" fontId="1" fillId="0" borderId="0" pivotButton="0" quotePrefix="0" xfId="0"/>
    <xf numFmtId="0" fontId="1" fillId="18" borderId="7" applyAlignment="1" pivotButton="0" quotePrefix="0" xfId="0">
      <alignment horizontal="left" vertical="center" wrapText="1"/>
    </xf>
    <xf numFmtId="166" fontId="1" fillId="18" borderId="7" applyAlignment="1" pivotButton="0" quotePrefix="0" xfId="0">
      <alignment horizontal="center"/>
    </xf>
    <xf numFmtId="3" fontId="1" fillId="18" borderId="7" applyAlignment="1" pivotButton="0" quotePrefix="0" xfId="0">
      <alignment horizontal="center"/>
    </xf>
    <xf numFmtId="0" fontId="1" fillId="18" borderId="7" applyAlignment="1" pivotButton="0" quotePrefix="0" xfId="0">
      <alignment horizontal="center"/>
    </xf>
    <xf numFmtId="0" fontId="1" fillId="0" borderId="7" pivotButton="0" quotePrefix="0" xfId="0"/>
    <xf numFmtId="1" fontId="1" fillId="18" borderId="7" applyAlignment="1" pivotButton="0" quotePrefix="0" xfId="0">
      <alignment horizontal="center"/>
    </xf>
    <xf numFmtId="0" fontId="1" fillId="8" borderId="58" pivotButton="0" quotePrefix="0" xfId="0"/>
    <xf numFmtId="166" fontId="1" fillId="8" borderId="58" pivotButton="0" quotePrefix="0" xfId="0"/>
    <xf numFmtId="3" fontId="1" fillId="0" borderId="0" pivotButton="0" quotePrefix="0" xfId="0"/>
    <xf numFmtId="1" fontId="1" fillId="0" borderId="0" pivotButton="0" quotePrefix="0" xfId="0"/>
    <xf numFmtId="166" fontId="1" fillId="0" borderId="0" pivotButton="0" quotePrefix="0" xfId="0"/>
    <xf numFmtId="3" fontId="29" fillId="21" borderId="61" applyAlignment="1" pivotButton="0" quotePrefix="0" xfId="0">
      <alignment horizontal="center"/>
    </xf>
    <xf numFmtId="0" fontId="1" fillId="0" borderId="2" pivotButton="0" quotePrefix="0" xfId="0"/>
    <xf numFmtId="0" fontId="27" fillId="14" borderId="2" pivotButton="0" quotePrefix="0" xfId="0"/>
    <xf numFmtId="0" fontId="9" fillId="9" borderId="59" applyAlignment="1" pivotButton="0" quotePrefix="0" xfId="0">
      <alignment horizontal="center" vertical="center"/>
    </xf>
    <xf numFmtId="3" fontId="10" fillId="9" borderId="62" applyAlignment="1" pivotButton="0" quotePrefix="0" xfId="0">
      <alignment horizontal="center" vertical="center"/>
    </xf>
    <xf numFmtId="0" fontId="27" fillId="14" borderId="7" pivotButton="0" quotePrefix="0" xfId="0"/>
    <xf numFmtId="0" fontId="39" fillId="22" borderId="2" applyAlignment="1" pivotButton="0" quotePrefix="0" xfId="0">
      <alignment horizontal="center"/>
    </xf>
    <xf numFmtId="0" fontId="39" fillId="22" borderId="33" applyAlignment="1" pivotButton="0" quotePrefix="0" xfId="0">
      <alignment horizontal="center"/>
    </xf>
    <xf numFmtId="0" fontId="39" fillId="0" borderId="18" pivotButton="0" quotePrefix="0" xfId="0"/>
    <xf numFmtId="0" fontId="39" fillId="0" borderId="63" pivotButton="0" quotePrefix="0" xfId="0"/>
    <xf numFmtId="0" fontId="39" fillId="0" borderId="19" pivotButton="0" quotePrefix="0" xfId="0"/>
    <xf numFmtId="0" fontId="39" fillId="0" borderId="64" applyAlignment="1" pivotButton="0" quotePrefix="0" xfId="0">
      <alignment horizontal="center"/>
    </xf>
    <xf numFmtId="169" fontId="39" fillId="0" borderId="64" applyAlignment="1" pivotButton="0" quotePrefix="0" xfId="0">
      <alignment horizontal="center"/>
    </xf>
    <xf numFmtId="169" fontId="39" fillId="0" borderId="19" applyAlignment="1" pivotButton="0" quotePrefix="0" xfId="0">
      <alignment horizontal="center"/>
    </xf>
    <xf numFmtId="0" fontId="0" fillId="23" borderId="2" applyAlignment="1" pivotButton="0" quotePrefix="0" xfId="0">
      <alignment horizontal="center" vertical="center"/>
    </xf>
    <xf numFmtId="0" fontId="39" fillId="0" borderId="25" pivotButton="0" quotePrefix="0" xfId="0"/>
    <xf numFmtId="0" fontId="40" fillId="0" borderId="65" applyAlignment="1" pivotButton="0" quotePrefix="0" xfId="0">
      <alignment horizontal="center"/>
    </xf>
    <xf numFmtId="0" fontId="39" fillId="0" borderId="65" applyAlignment="1" pivotButton="0" quotePrefix="0" xfId="0">
      <alignment horizontal="center"/>
    </xf>
    <xf numFmtId="0" fontId="39" fillId="0" borderId="2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39" fillId="0" borderId="64" pivotButton="0" quotePrefix="0" xfId="0"/>
    <xf numFmtId="0" fontId="40" fillId="0" borderId="64" applyAlignment="1" pivotButton="0" quotePrefix="0" xfId="0">
      <alignment horizontal="center"/>
    </xf>
    <xf numFmtId="0" fontId="39" fillId="0" borderId="0" pivotButton="0" quotePrefix="0" xfId="0"/>
    <xf numFmtId="170" fontId="39" fillId="0" borderId="64" applyAlignment="1" pivotButton="0" quotePrefix="0" xfId="0">
      <alignment horizontal="center"/>
    </xf>
    <xf numFmtId="0" fontId="39" fillId="0" borderId="2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39" fillId="22" borderId="2" applyAlignment="1" pivotButton="0" quotePrefix="0" xfId="0">
      <alignment horizontal="center" vertical="center"/>
    </xf>
    <xf numFmtId="0" fontId="39" fillId="22" borderId="33" applyAlignment="1" pivotButton="0" quotePrefix="0" xfId="0">
      <alignment horizontal="center" vertical="center"/>
    </xf>
    <xf numFmtId="0" fontId="39" fillId="22" borderId="33" applyAlignment="1" pivotButton="0" quotePrefix="0" xfId="0">
      <alignment horizontal="center" vertical="center" wrapText="1"/>
    </xf>
    <xf numFmtId="169" fontId="39" fillId="0" borderId="0" applyAlignment="1" pivotButton="0" quotePrefix="0" xfId="0">
      <alignment horizontal="center"/>
    </xf>
    <xf numFmtId="0" fontId="39" fillId="22" borderId="33" applyAlignment="1" pivotButton="0" quotePrefix="0" xfId="0">
      <alignment horizontal="center" wrapText="1"/>
    </xf>
    <xf numFmtId="0" fontId="0" fillId="0" borderId="63" pivotButton="0" quotePrefix="0" xfId="0"/>
    <xf numFmtId="0" fontId="0" fillId="0" borderId="26" pivotButton="0" quotePrefix="0" xfId="0"/>
    <xf numFmtId="3" fontId="39" fillId="0" borderId="64" applyAlignment="1" pivotButton="0" quotePrefix="0" xfId="0">
      <alignment horizontal="center"/>
    </xf>
    <xf numFmtId="169" fontId="0" fillId="0" borderId="64" pivotButton="0" quotePrefix="0" xfId="0"/>
    <xf numFmtId="169" fontId="0" fillId="0" borderId="18" pivotButton="0" quotePrefix="0" xfId="0"/>
    <xf numFmtId="0" fontId="0" fillId="0" borderId="65" pivotButton="0" quotePrefix="0" xfId="0"/>
    <xf numFmtId="0" fontId="39" fillId="22" borderId="31" applyAlignment="1" pivotButton="0" quotePrefix="0" xfId="0">
      <alignment horizontal="center"/>
    </xf>
    <xf numFmtId="0" fontId="39" fillId="0" borderId="2" pivotButton="0" quotePrefix="0" xfId="0"/>
    <xf numFmtId="0" fontId="39" fillId="0" borderId="31" pivotButton="0" quotePrefix="0" xfId="0"/>
    <xf numFmtId="0" fontId="39" fillId="0" borderId="2" applyAlignment="1" pivotButton="0" quotePrefix="0" xfId="0">
      <alignment horizontal="center"/>
    </xf>
    <xf numFmtId="169" fontId="39" fillId="0" borderId="2" applyAlignment="1" pivotButton="0" quotePrefix="0" xfId="0">
      <alignment horizontal="center"/>
    </xf>
    <xf numFmtId="169" fontId="39" fillId="0" borderId="31" applyAlignment="1" pivotButton="0" quotePrefix="0" xfId="0">
      <alignment horizontal="center"/>
    </xf>
    <xf numFmtId="0" fontId="40" fillId="0" borderId="2" applyAlignment="1" pivotButton="0" quotePrefix="0" xfId="0">
      <alignment horizontal="center"/>
    </xf>
    <xf numFmtId="0" fontId="39" fillId="0" borderId="31" applyAlignment="1" pivotButton="0" quotePrefix="0" xfId="0">
      <alignment horizontal="center"/>
    </xf>
    <xf numFmtId="0" fontId="42" fillId="0" borderId="0" pivotButton="0" quotePrefix="0" xfId="0"/>
    <xf numFmtId="0" fontId="39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169" fontId="0" fillId="0" borderId="2" pivotButton="0" quotePrefix="0" xfId="0"/>
    <xf numFmtId="0" fontId="39" fillId="22" borderId="32" applyAlignment="1" pivotButton="0" quotePrefix="0" xfId="0">
      <alignment horizontal="center"/>
    </xf>
    <xf numFmtId="0" fontId="43" fillId="0" borderId="0" applyAlignment="1" pivotButton="0" quotePrefix="0" xfId="0">
      <alignment vertical="center"/>
    </xf>
    <xf numFmtId="0" fontId="17" fillId="17" borderId="33" applyAlignment="1" pivotButton="0" quotePrefix="0" xfId="0">
      <alignment horizontal="center" vertical="center"/>
    </xf>
    <xf numFmtId="0" fontId="0" fillId="18" borderId="33" applyAlignment="1" pivotButton="0" quotePrefix="0" xfId="0">
      <alignment horizontal="center" vertical="center"/>
    </xf>
    <xf numFmtId="2" fontId="44" fillId="18" borderId="31" applyAlignment="1" pivotButton="0" quotePrefix="0" xfId="0">
      <alignment horizontal="center" vertical="center"/>
    </xf>
    <xf numFmtId="2" fontId="44" fillId="18" borderId="2" applyAlignment="1" pivotButton="0" quotePrefix="0" xfId="0">
      <alignment horizontal="center" vertical="center"/>
    </xf>
    <xf numFmtId="2" fontId="27" fillId="0" borderId="0" pivotButton="0" quotePrefix="0" xfId="0"/>
    <xf numFmtId="0" fontId="27" fillId="0" borderId="0" pivotButton="0" quotePrefix="0" xfId="0"/>
    <xf numFmtId="2" fontId="36" fillId="20" borderId="31" applyAlignment="1" pivotButton="0" quotePrefix="0" xfId="0">
      <alignment horizontal="center" vertical="center"/>
    </xf>
    <xf numFmtId="4" fontId="36" fillId="20" borderId="31" applyAlignment="1" pivotButton="0" quotePrefix="0" xfId="0">
      <alignment horizontal="center" vertical="center"/>
    </xf>
    <xf numFmtId="0" fontId="0" fillId="20" borderId="33" applyAlignment="1" pivotButton="0" quotePrefix="0" xfId="0">
      <alignment horizontal="center" vertical="center"/>
    </xf>
    <xf numFmtId="0" fontId="21" fillId="15" borderId="2" pivotButton="0" quotePrefix="0" xfId="0"/>
    <xf numFmtId="0" fontId="45" fillId="15" borderId="2" pivotButton="0" quotePrefix="0" xfId="0"/>
    <xf numFmtId="0" fontId="46" fillId="21" borderId="2" pivotButton="0" quotePrefix="0" xfId="0"/>
    <xf numFmtId="0" fontId="46" fillId="21" borderId="2" applyAlignment="1" pivotButton="0" quotePrefix="0" xfId="0">
      <alignment wrapText="1"/>
    </xf>
    <xf numFmtId="0" fontId="4" fillId="15" borderId="43" applyAlignment="1" pivotButton="0" quotePrefix="0" xfId="0">
      <alignment horizontal="center" vertical="center"/>
    </xf>
    <xf numFmtId="0" fontId="4" fillId="15" borderId="44" applyAlignment="1" pivotButton="0" quotePrefix="0" xfId="0">
      <alignment horizontal="center" vertical="center"/>
    </xf>
    <xf numFmtId="0" fontId="4" fillId="15" borderId="45" applyAlignment="1" pivotButton="0" quotePrefix="0" xfId="0">
      <alignment horizontal="center" vertical="center"/>
    </xf>
    <xf numFmtId="0" fontId="29" fillId="21" borderId="67" applyAlignment="1" pivotButton="0" quotePrefix="0" xfId="0">
      <alignment horizontal="left" vertical="center"/>
    </xf>
    <xf numFmtId="0" fontId="29" fillId="21" borderId="67" applyAlignment="1" pivotButton="0" quotePrefix="0" xfId="0">
      <alignment horizontal="center" vertical="center"/>
    </xf>
    <xf numFmtId="3" fontId="29" fillId="21" borderId="67" applyAlignment="1" pivotButton="0" quotePrefix="0" xfId="0">
      <alignment horizontal="center" vertical="center"/>
    </xf>
    <xf numFmtId="0" fontId="29" fillId="21" borderId="68" applyAlignment="1" pivotButton="0" quotePrefix="0" xfId="0">
      <alignment horizontal="center" vertical="center"/>
    </xf>
    <xf numFmtId="0" fontId="29" fillId="21" borderId="44" applyAlignment="1" pivotButton="0" quotePrefix="0" xfId="0">
      <alignment horizontal="left" vertical="center"/>
    </xf>
    <xf numFmtId="0" fontId="29" fillId="21" borderId="44" applyAlignment="1" pivotButton="0" quotePrefix="0" xfId="0">
      <alignment horizontal="center" vertical="center"/>
    </xf>
    <xf numFmtId="3" fontId="29" fillId="21" borderId="44" applyAlignment="1" pivotButton="0" quotePrefix="0" xfId="0">
      <alignment horizontal="center" vertical="center"/>
    </xf>
    <xf numFmtId="0" fontId="29" fillId="21" borderId="45" applyAlignment="1" pivotButton="0" quotePrefix="0" xfId="0">
      <alignment horizontal="center" vertical="center"/>
    </xf>
    <xf numFmtId="0" fontId="7" fillId="4" borderId="1" pivotButton="0" quotePrefix="0" xfId="0"/>
    <xf numFmtId="3" fontId="48" fillId="4" borderId="1" pivotButton="0" quotePrefix="0" xfId="0"/>
    <xf numFmtId="0" fontId="4" fillId="3" borderId="69" applyAlignment="1" pivotButton="0" quotePrefix="0" xfId="0">
      <alignment horizontal="center"/>
    </xf>
    <xf numFmtId="0" fontId="29" fillId="6" borderId="1" applyAlignment="1" pivotButton="0" quotePrefix="0" xfId="0">
      <alignment horizontal="left"/>
    </xf>
    <xf numFmtId="3" fontId="29" fillId="6" borderId="1" applyAlignment="1" pivotButton="0" quotePrefix="0" xfId="0">
      <alignment horizontal="center"/>
    </xf>
    <xf numFmtId="168" fontId="29" fillId="6" borderId="1" applyAlignment="1" pivotButton="0" quotePrefix="0" xfId="0">
      <alignment horizontal="center"/>
    </xf>
    <xf numFmtId="171" fontId="29" fillId="6" borderId="1" applyAlignment="1" pivotButton="0" quotePrefix="0" xfId="0">
      <alignment horizontal="center"/>
    </xf>
    <xf numFmtId="0" fontId="29" fillId="6" borderId="1" applyAlignment="1" pivotButton="0" quotePrefix="0" xfId="0">
      <alignment horizontal="center"/>
    </xf>
    <xf numFmtId="4" fontId="29" fillId="6" borderId="1" applyAlignment="1" pivotButton="0" quotePrefix="0" xfId="0">
      <alignment horizontal="center"/>
    </xf>
    <xf numFmtId="0" fontId="29" fillId="20" borderId="1" applyAlignment="1" pivotButton="0" quotePrefix="0" xfId="0">
      <alignment horizontal="left"/>
    </xf>
    <xf numFmtId="3" fontId="29" fillId="20" borderId="1" applyAlignment="1" pivotButton="0" quotePrefix="0" xfId="0">
      <alignment horizontal="center"/>
    </xf>
    <xf numFmtId="168" fontId="29" fillId="20" borderId="1" applyAlignment="1" pivotButton="0" quotePrefix="0" xfId="0">
      <alignment horizontal="center"/>
    </xf>
    <xf numFmtId="171" fontId="29" fillId="20" borderId="1" applyAlignment="1" pivotButton="0" quotePrefix="0" xfId="0">
      <alignment horizontal="center"/>
    </xf>
    <xf numFmtId="0" fontId="29" fillId="20" borderId="1" applyAlignment="1" pivotButton="0" quotePrefix="0" xfId="0">
      <alignment horizontal="center"/>
    </xf>
    <xf numFmtId="4" fontId="29" fillId="20" borderId="1" applyAlignment="1" pivotButton="0" quotePrefix="0" xfId="0">
      <alignment horizontal="center"/>
    </xf>
    <xf numFmtId="0" fontId="51" fillId="0" borderId="0" pivotButton="0" quotePrefix="0" xfId="0"/>
    <xf numFmtId="0" fontId="52" fillId="24" borderId="71" applyAlignment="1" pivotButton="0" quotePrefix="0" xfId="0">
      <alignment horizontal="center" vertical="center" wrapText="1"/>
    </xf>
    <xf numFmtId="0" fontId="53" fillId="0" borderId="71" applyAlignment="1" pivotButton="0" quotePrefix="0" xfId="0">
      <alignment horizontal="center" vertical="center" wrapText="1"/>
    </xf>
    <xf numFmtId="3" fontId="54" fillId="25" borderId="71" applyAlignment="1" pivotButton="0" quotePrefix="0" xfId="0">
      <alignment horizontal="center" vertical="center" wrapText="1"/>
    </xf>
    <xf numFmtId="0" fontId="54" fillId="25" borderId="71" applyAlignment="1" pivotButton="0" quotePrefix="0" xfId="0">
      <alignment horizontal="center" vertical="center" wrapText="1"/>
    </xf>
    <xf numFmtId="3" fontId="51" fillId="0" borderId="0" pivotButton="0" quotePrefix="0" xfId="0"/>
    <xf numFmtId="168" fontId="51" fillId="0" borderId="0" pivotButton="0" quotePrefix="0" xfId="0"/>
    <xf numFmtId="3" fontId="52" fillId="24" borderId="71" applyAlignment="1" pivotButton="0" quotePrefix="0" xfId="0">
      <alignment horizontal="center" vertical="center" wrapText="1"/>
    </xf>
    <xf numFmtId="168" fontId="52" fillId="24" borderId="71" applyAlignment="1" pivotButton="0" quotePrefix="0" xfId="0">
      <alignment horizontal="center" vertical="center" wrapText="1"/>
    </xf>
    <xf numFmtId="0" fontId="55" fillId="20" borderId="71" applyAlignment="1" pivotButton="0" quotePrefix="0" xfId="0">
      <alignment horizontal="center" vertical="center" wrapText="1"/>
    </xf>
    <xf numFmtId="3" fontId="55" fillId="20" borderId="71" applyAlignment="1" pivotButton="0" quotePrefix="0" xfId="0">
      <alignment horizontal="center" vertical="center" wrapText="1"/>
    </xf>
    <xf numFmtId="168" fontId="55" fillId="20" borderId="71" applyAlignment="1" pivotButton="0" quotePrefix="0" xfId="0">
      <alignment horizontal="center" vertical="center" wrapText="1"/>
    </xf>
    <xf numFmtId="171" fontId="55" fillId="20" borderId="71" applyAlignment="1" pivotButton="0" quotePrefix="0" xfId="0">
      <alignment horizontal="center" vertical="center" wrapText="1"/>
    </xf>
    <xf numFmtId="1" fontId="55" fillId="20" borderId="71" applyAlignment="1" pivotButton="0" quotePrefix="0" xfId="0">
      <alignment horizontal="center" vertical="center" wrapText="1"/>
    </xf>
    <xf numFmtId="0" fontId="55" fillId="27" borderId="71" applyAlignment="1" pivotButton="0" quotePrefix="0" xfId="0">
      <alignment horizontal="center" vertical="center" wrapText="1"/>
    </xf>
    <xf numFmtId="3" fontId="55" fillId="27" borderId="71" applyAlignment="1" pivotButton="0" quotePrefix="0" xfId="0">
      <alignment horizontal="center" vertical="center" wrapText="1"/>
    </xf>
    <xf numFmtId="168" fontId="55" fillId="27" borderId="71" applyAlignment="1" pivotButton="0" quotePrefix="0" xfId="0">
      <alignment horizontal="center" vertical="center" wrapText="1"/>
    </xf>
    <xf numFmtId="171" fontId="55" fillId="27" borderId="71" applyAlignment="1" pivotButton="0" quotePrefix="0" xfId="0">
      <alignment horizontal="center" vertical="center" wrapText="1"/>
    </xf>
    <xf numFmtId="1" fontId="55" fillId="27" borderId="71" applyAlignment="1" pivotButton="0" quotePrefix="0" xfId="0">
      <alignment horizontal="center" vertical="center" wrapText="1"/>
    </xf>
    <xf numFmtId="0" fontId="59" fillId="29" borderId="73" applyAlignment="1" pivotButton="0" quotePrefix="0" xfId="0">
      <alignment horizontal="center" vertical="center"/>
    </xf>
    <xf numFmtId="0" fontId="51" fillId="30" borderId="73" applyAlignment="1" pivotButton="0" quotePrefix="0" xfId="0">
      <alignment horizontal="center" vertical="center"/>
    </xf>
    <xf numFmtId="4" fontId="51" fillId="30" borderId="73" applyAlignment="1" pivotButton="0" quotePrefix="0" xfId="0">
      <alignment horizontal="center" vertical="center"/>
    </xf>
    <xf numFmtId="168" fontId="51" fillId="30" borderId="73" applyAlignment="1" pivotButton="0" quotePrefix="0" xfId="0">
      <alignment horizontal="center" vertical="center"/>
    </xf>
    <xf numFmtId="0" fontId="51" fillId="20" borderId="73" applyAlignment="1" pivotButton="0" quotePrefix="0" xfId="0">
      <alignment horizontal="center" vertical="center"/>
    </xf>
    <xf numFmtId="4" fontId="51" fillId="20" borderId="73" applyAlignment="1" pivotButton="0" quotePrefix="0" xfId="0">
      <alignment horizontal="center" vertical="center"/>
    </xf>
    <xf numFmtId="168" fontId="51" fillId="20" borderId="73" applyAlignment="1" pivotButton="0" quotePrefix="0" xfId="0">
      <alignment horizontal="center" vertical="center"/>
    </xf>
    <xf numFmtId="0" fontId="0" fillId="20" borderId="73" applyAlignment="1" pivotButton="0" quotePrefix="0" xfId="0">
      <alignment horizontal="center" vertical="center"/>
    </xf>
    <xf numFmtId="4" fontId="0" fillId="20" borderId="73" applyAlignment="1" pivotButton="0" quotePrefix="0" xfId="0">
      <alignment horizontal="center" vertical="center"/>
    </xf>
    <xf numFmtId="168" fontId="0" fillId="20" borderId="73" applyAlignment="1" pivotButton="0" quotePrefix="0" xfId="0">
      <alignment horizontal="center" vertical="center"/>
    </xf>
    <xf numFmtId="0" fontId="23" fillId="15" borderId="2" pivotButton="0" quotePrefix="0" xfId="0"/>
    <xf numFmtId="0" fontId="0" fillId="21" borderId="2" pivotButton="0" quotePrefix="0" xfId="0"/>
    <xf numFmtId="0" fontId="0" fillId="20" borderId="2" pivotButton="0" quotePrefix="0" xfId="0"/>
    <xf numFmtId="0" fontId="0" fillId="0" borderId="0" applyAlignment="1" pivotButton="0" quotePrefix="0" xfId="0">
      <alignment wrapText="1"/>
    </xf>
    <xf numFmtId="0" fontId="61" fillId="6" borderId="1" applyAlignment="1" pivotButton="0" quotePrefix="0" xfId="0">
      <alignment horizontal="left" vertical="center"/>
    </xf>
    <xf numFmtId="0" fontId="0" fillId="21" borderId="2" applyAlignment="1" pivotButton="0" quotePrefix="0" xfId="0">
      <alignment wrapText="1"/>
    </xf>
    <xf numFmtId="0" fontId="8" fillId="6" borderId="1" applyAlignment="1" pivotButton="0" quotePrefix="0" xfId="0">
      <alignment horizontal="left" vertical="center"/>
    </xf>
    <xf numFmtId="0" fontId="4" fillId="7" borderId="69" applyAlignment="1" pivotButton="0" quotePrefix="0" xfId="0">
      <alignment horizontal="left" vertical="center"/>
    </xf>
    <xf numFmtId="0" fontId="4" fillId="7" borderId="69" pivotButton="0" quotePrefix="0" xfId="0"/>
    <xf numFmtId="0" fontId="23" fillId="17" borderId="31" applyAlignment="1" pivotButton="0" quotePrefix="0" xfId="0">
      <alignment vertical="center"/>
    </xf>
    <xf numFmtId="0" fontId="23" fillId="17" borderId="33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21" borderId="18" applyAlignment="1" pivotButton="0" quotePrefix="0" xfId="0">
      <alignment vertical="center"/>
    </xf>
    <xf numFmtId="3" fontId="0" fillId="21" borderId="19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21" borderId="25" applyAlignment="1" pivotButton="0" quotePrefix="0" xfId="0">
      <alignment vertical="center"/>
    </xf>
    <xf numFmtId="0" fontId="0" fillId="21" borderId="24" applyAlignment="1" pivotButton="0" quotePrefix="0" xfId="0">
      <alignment vertical="center"/>
    </xf>
    <xf numFmtId="0" fontId="63" fillId="0" borderId="73" pivotButton="0" quotePrefix="0" xfId="0"/>
    <xf numFmtId="4" fontId="64" fillId="0" borderId="73" pivotButton="0" quotePrefix="0" xfId="0"/>
    <xf numFmtId="14" fontId="10" fillId="0" borderId="2" applyAlignment="1" pivotButton="0" quotePrefix="0" xfId="0">
      <alignment horizontal="center" vertical="center"/>
    </xf>
    <xf numFmtId="14" fontId="10" fillId="10" borderId="2" applyAlignment="1" pivotButton="0" quotePrefix="0" xfId="0">
      <alignment horizontal="center" vertical="center"/>
    </xf>
    <xf numFmtId="14" fontId="10" fillId="13" borderId="2" applyAlignment="1" pivotButton="0" quotePrefix="0" xfId="0">
      <alignment horizontal="center" vertical="center"/>
    </xf>
    <xf numFmtId="14" fontId="0" fillId="0" borderId="0" pivotButton="0" quotePrefix="0" xfId="0"/>
    <xf numFmtId="172" fontId="0" fillId="0" borderId="0" applyAlignment="1" pivotButton="0" quotePrefix="0" xfId="0">
      <alignment horizontal="left" vertical="center"/>
    </xf>
    <xf numFmtId="14" fontId="29" fillId="21" borderId="26" applyAlignment="1" pivotButton="0" quotePrefix="0" xfId="0">
      <alignment horizontal="center" vertical="center"/>
    </xf>
    <xf numFmtId="14" fontId="29" fillId="0" borderId="18" applyAlignment="1" pivotButton="0" quotePrefix="0" xfId="0">
      <alignment horizontal="center" vertical="center"/>
    </xf>
    <xf numFmtId="14" fontId="29" fillId="21" borderId="18" applyAlignment="1" pivotButton="0" quotePrefix="0" xfId="0">
      <alignment horizontal="center" vertical="center"/>
    </xf>
    <xf numFmtId="14" fontId="29" fillId="0" borderId="25" applyAlignment="1" pivotButton="0" quotePrefix="0" xfId="0">
      <alignment horizontal="center" vertical="center"/>
    </xf>
    <xf numFmtId="14" fontId="29" fillId="21" borderId="49" applyAlignment="1" pivotButton="0" quotePrefix="0" xfId="0">
      <alignment horizontal="center" vertical="center"/>
    </xf>
    <xf numFmtId="14" fontId="29" fillId="0" borderId="52" applyAlignment="1" pivotButton="0" quotePrefix="0" xfId="0">
      <alignment horizontal="center" vertical="center"/>
    </xf>
    <xf numFmtId="14" fontId="29" fillId="21" borderId="52" applyAlignment="1" pivotButton="0" quotePrefix="0" xfId="0">
      <alignment horizontal="center" vertical="center"/>
    </xf>
    <xf numFmtId="14" fontId="29" fillId="0" borderId="55" applyAlignment="1" pivotButton="0" quotePrefix="0" xfId="0">
      <alignment horizontal="center" vertical="center"/>
    </xf>
    <xf numFmtId="14" fontId="29" fillId="0" borderId="0" applyAlignment="1" pivotButton="0" quotePrefix="0" xfId="0">
      <alignment horizontal="center" vertical="center"/>
    </xf>
    <xf numFmtId="14" fontId="35" fillId="8" borderId="2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/>
    </xf>
    <xf numFmtId="14" fontId="10" fillId="0" borderId="0" pivotButton="0" quotePrefix="0" xfId="0"/>
    <xf numFmtId="14" fontId="29" fillId="21" borderId="2" applyAlignment="1" pivotButton="0" quotePrefix="0" xfId="0">
      <alignment horizontal="center" vertical="center"/>
    </xf>
    <xf numFmtId="14" fontId="29" fillId="21" borderId="7" applyAlignment="1" pivotButton="0" quotePrefix="0" xfId="0">
      <alignment horizontal="center" vertical="center"/>
    </xf>
    <xf numFmtId="172" fontId="1" fillId="0" borderId="0" applyAlignment="1" pivotButton="0" quotePrefix="0" xfId="0">
      <alignment horizontal="left" vertical="center"/>
    </xf>
    <xf numFmtId="14" fontId="29" fillId="21" borderId="66" applyAlignment="1" pivotButton="0" quotePrefix="0" xfId="0">
      <alignment horizontal="center" vertical="center"/>
    </xf>
    <xf numFmtId="14" fontId="29" fillId="21" borderId="43" applyAlignment="1" pivotButton="0" quotePrefix="0" xfId="0">
      <alignment horizontal="center" vertical="center"/>
    </xf>
    <xf numFmtId="0" fontId="65" fillId="0" borderId="0" pivotButton="0" quotePrefix="0" xfId="0"/>
    <xf numFmtId="0" fontId="0" fillId="32" borderId="33" applyAlignment="1" pivotButton="0" quotePrefix="0" xfId="0">
      <alignment horizontal="center" vertical="center"/>
    </xf>
    <xf numFmtId="0" fontId="67" fillId="34" borderId="2" applyAlignment="1" pivotButton="0" quotePrefix="0" xfId="0">
      <alignment horizontal="center" vertical="center"/>
    </xf>
    <xf numFmtId="0" fontId="67" fillId="33" borderId="2" applyAlignment="1" pivotButton="0" quotePrefix="0" xfId="0">
      <alignment horizontal="center" vertical="center"/>
    </xf>
    <xf numFmtId="3" fontId="10" fillId="9" borderId="2" applyAlignment="1" pivotButton="0" quotePrefix="0" xfId="0">
      <alignment horizontal="center" vertical="center"/>
    </xf>
    <xf numFmtId="0" fontId="10" fillId="36" borderId="2" applyAlignment="1" pivotButton="0" quotePrefix="0" xfId="0">
      <alignment horizontal="center" vertical="center"/>
    </xf>
    <xf numFmtId="14" fontId="10" fillId="35" borderId="2" applyAlignment="1" pivotButton="0" quotePrefix="0" xfId="0">
      <alignment horizontal="center" vertical="center"/>
    </xf>
    <xf numFmtId="0" fontId="10" fillId="38" borderId="2" applyAlignment="1" pivotButton="0" quotePrefix="0" xfId="0">
      <alignment horizontal="center" vertical="center"/>
    </xf>
    <xf numFmtId="0" fontId="67" fillId="33" borderId="2" applyAlignment="1" pivotButton="0" quotePrefix="0" xfId="0">
      <alignment horizontal="center" vertical="center"/>
    </xf>
    <xf numFmtId="0" fontId="67" fillId="34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11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35" fillId="8" borderId="47" applyAlignment="1" pivotButton="0" quotePrefix="0" xfId="0">
      <alignment horizontal="center" vertical="center"/>
    </xf>
    <xf numFmtId="0" fontId="0" fillId="0" borderId="94" pivotButton="0" quotePrefix="0" xfId="0"/>
    <xf numFmtId="0" fontId="68" fillId="0" borderId="2" applyAlignment="1" pivotButton="0" quotePrefix="0" xfId="0">
      <alignment horizontal="center" vertical="center"/>
    </xf>
    <xf numFmtId="0" fontId="0" fillId="0" borderId="32" pivotButton="0" quotePrefix="0" xfId="0"/>
    <xf numFmtId="0" fontId="10" fillId="36" borderId="2" applyAlignment="1" pivotButton="0" quotePrefix="0" xfId="0">
      <alignment horizontal="center" vertical="center"/>
    </xf>
    <xf numFmtId="0" fontId="0" fillId="35" borderId="2" pivotButton="0" quotePrefix="0" xfId="0"/>
    <xf numFmtId="0" fontId="68" fillId="34" borderId="2" applyAlignment="1" pivotButton="0" quotePrefix="0" xfId="0">
      <alignment horizontal="center" vertical="center"/>
    </xf>
    <xf numFmtId="0" fontId="69" fillId="0" borderId="2" pivotButton="0" quotePrefix="0" xfId="0"/>
    <xf numFmtId="0" fontId="35" fillId="8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7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24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8" fillId="6" borderId="1" applyAlignment="1" pivotButton="0" quotePrefix="0" xfId="0">
      <alignment wrapText="1"/>
    </xf>
    <xf numFmtId="0" fontId="0" fillId="0" borderId="78" pivotButton="0" quotePrefix="0" xfId="0"/>
    <xf numFmtId="0" fontId="0" fillId="0" borderId="75" pivotButton="0" quotePrefix="0" xfId="0"/>
    <xf numFmtId="0" fontId="3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0" fillId="0" borderId="74" pivotButton="0" quotePrefix="0" xfId="0"/>
    <xf numFmtId="0" fontId="0" fillId="0" borderId="76" pivotButton="0" quotePrefix="0" xfId="0"/>
    <xf numFmtId="0" fontId="0" fillId="0" borderId="77" pivotButton="0" quotePrefix="0" xfId="0"/>
    <xf numFmtId="0" fontId="4" fillId="3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0" fillId="0" borderId="84" pivotButton="0" quotePrefix="0" xfId="0"/>
    <xf numFmtId="0" fontId="0" fillId="0" borderId="83" pivotButton="0" quotePrefix="0" xfId="0"/>
    <xf numFmtId="0" fontId="10" fillId="9" borderId="7" applyAlignment="1" pivotButton="0" quotePrefix="0" xfId="0">
      <alignment horizontal="center" vertical="center"/>
    </xf>
    <xf numFmtId="0" fontId="0" fillId="0" borderId="90" pivotButton="0" quotePrefix="0" xfId="0"/>
    <xf numFmtId="0" fontId="12" fillId="11" borderId="7" applyAlignment="1" pivotButton="0" quotePrefix="0" xfId="0">
      <alignment horizontal="center" vertical="center"/>
    </xf>
    <xf numFmtId="0" fontId="0" fillId="0" borderId="91" pivotButton="0" quotePrefix="0" xfId="0"/>
    <xf numFmtId="0" fontId="12" fillId="9" borderId="7" applyAlignment="1" pivotButton="0" quotePrefix="0" xfId="0">
      <alignment horizontal="center" vertical="center"/>
    </xf>
    <xf numFmtId="0" fontId="10" fillId="11" borderId="7" applyAlignment="1" pivotButton="0" quotePrefix="0" xfId="0">
      <alignment horizontal="center" vertical="center"/>
    </xf>
    <xf numFmtId="0" fontId="13" fillId="11" borderId="7" applyAlignment="1" pivotButton="0" quotePrefix="0" xfId="0">
      <alignment horizontal="center"/>
    </xf>
    <xf numFmtId="0" fontId="0" fillId="0" borderId="89" pivotButton="0" quotePrefix="0" xfId="0"/>
    <xf numFmtId="0" fontId="0" fillId="0" borderId="87" pivotButton="0" quotePrefix="0" xfId="0"/>
    <xf numFmtId="0" fontId="0" fillId="0" borderId="88" pivotButton="0" quotePrefix="0" xfId="0"/>
    <xf numFmtId="0" fontId="12" fillId="11" borderId="9" applyAlignment="1" pivotButton="0" quotePrefix="0" xfId="0">
      <alignment horizontal="center" vertical="center"/>
    </xf>
    <xf numFmtId="0" fontId="0" fillId="0" borderId="81" pivotButton="0" quotePrefix="0" xfId="0"/>
    <xf numFmtId="0" fontId="0" fillId="0" borderId="59" pivotButton="0" quotePrefix="0" xfId="0"/>
    <xf numFmtId="0" fontId="4" fillId="8" borderId="3" applyAlignment="1" pivotButton="0" quotePrefix="0" xfId="0">
      <alignment horizontal="center" vertical="center"/>
    </xf>
    <xf numFmtId="0" fontId="0" fillId="0" borderId="80" pivotButton="0" quotePrefix="0" xfId="0"/>
    <xf numFmtId="0" fontId="13" fillId="9" borderId="7" applyAlignment="1" pivotButton="0" quotePrefix="0" xfId="0">
      <alignment horizontal="center"/>
    </xf>
    <xf numFmtId="0" fontId="0" fillId="0" borderId="85" pivotButton="0" quotePrefix="0" xfId="0"/>
    <xf numFmtId="0" fontId="0" fillId="0" borderId="86" pivotButton="0" quotePrefix="0" xfId="0"/>
    <xf numFmtId="0" fontId="0" fillId="0" borderId="79" pivotButton="0" quotePrefix="0" xfId="0"/>
    <xf numFmtId="0" fontId="12" fillId="9" borderId="9" applyAlignment="1" pivotButton="0" quotePrefix="0" xfId="0">
      <alignment horizontal="center" vertical="center"/>
    </xf>
    <xf numFmtId="0" fontId="0" fillId="0" borderId="82" pivotButton="0" quotePrefix="0" xfId="0"/>
    <xf numFmtId="0" fontId="10" fillId="9" borderId="11" applyAlignment="1" pivotButton="0" quotePrefix="0" xfId="0">
      <alignment horizontal="center" vertical="center"/>
    </xf>
    <xf numFmtId="0" fontId="0" fillId="0" borderId="92" pivotButton="0" quotePrefix="0" xfId="0"/>
    <xf numFmtId="0" fontId="12" fillId="9" borderId="4" applyAlignment="1" pivotButton="0" quotePrefix="0" xfId="0">
      <alignment horizontal="center" vertical="center"/>
    </xf>
    <xf numFmtId="0" fontId="0" fillId="0" borderId="93" pivotButton="0" quotePrefix="0" xfId="0"/>
    <xf numFmtId="0" fontId="10" fillId="9" borderId="5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/>
    </xf>
    <xf numFmtId="0" fontId="0" fillId="0" borderId="33" pivotButton="0" quotePrefix="0" xfId="0"/>
    <xf numFmtId="0" fontId="0" fillId="0" borderId="19" pivotButton="0" quotePrefix="0" xfId="0"/>
    <xf numFmtId="0" fontId="14" fillId="1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left" vertical="center"/>
    </xf>
    <xf numFmtId="0" fontId="21" fillId="15" borderId="2" applyAlignment="1" pivotButton="0" quotePrefix="0" xfId="0">
      <alignment horizontal="left"/>
    </xf>
    <xf numFmtId="0" fontId="4" fillId="8" borderId="47" applyAlignment="1" pivotButton="0" quotePrefix="0" xfId="0">
      <alignment horizontal="center" vertical="center"/>
    </xf>
    <xf numFmtId="0" fontId="10" fillId="11" borderId="11" applyAlignment="1" pivotButton="0" quotePrefix="0" xfId="0">
      <alignment horizontal="center" vertical="center"/>
    </xf>
    <xf numFmtId="1" fontId="19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18" pivotButton="0" quotePrefix="0" xfId="0"/>
    <xf numFmtId="1" fontId="19" fillId="0" borderId="19" applyAlignment="1" pivotButton="0" quotePrefix="0" xfId="0">
      <alignment horizontal="center" vertical="center"/>
    </xf>
    <xf numFmtId="0" fontId="27" fillId="10" borderId="2" applyAlignment="1" pivotButton="0" quotePrefix="0" xfId="0">
      <alignment horizontal="center"/>
    </xf>
    <xf numFmtId="0" fontId="0" fillId="9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0" borderId="64" pivotButton="0" quotePrefix="0" xfId="0"/>
    <xf numFmtId="0" fontId="0" fillId="0" borderId="65" pivotButton="0" quotePrefix="0" xfId="0"/>
    <xf numFmtId="0" fontId="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/>
    </xf>
    <xf numFmtId="0" fontId="32" fillId="10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 vertical="center"/>
    </xf>
    <xf numFmtId="0" fontId="33" fillId="10" borderId="2" applyAlignment="1" pivotButton="0" quotePrefix="0" xfId="0">
      <alignment horizontal="center" vertical="center"/>
    </xf>
    <xf numFmtId="0" fontId="30" fillId="10" borderId="2" applyAlignment="1" pivotButton="0" quotePrefix="0" xfId="0">
      <alignment horizontal="center" vertical="center"/>
    </xf>
    <xf numFmtId="0" fontId="31" fillId="10" borderId="2" applyAlignment="1" pivotButton="0" quotePrefix="0" xfId="0">
      <alignment horizontal="center"/>
    </xf>
    <xf numFmtId="3" fontId="0" fillId="16" borderId="19" applyAlignment="1" pivotButton="0" quotePrefix="0" xfId="0">
      <alignment horizontal="center" vertical="center" wrapText="1"/>
    </xf>
    <xf numFmtId="0" fontId="0" fillId="35" borderId="32" pivotButton="0" quotePrefix="0" xfId="0"/>
    <xf numFmtId="0" fontId="0" fillId="35" borderId="33" pivotButton="0" quotePrefix="0" xfId="0"/>
    <xf numFmtId="0" fontId="36" fillId="10" borderId="2" applyAlignment="1" pivotButton="0" quotePrefix="0" xfId="0">
      <alignment horizontal="center" vertical="center"/>
    </xf>
    <xf numFmtId="0" fontId="33" fillId="35" borderId="2" applyAlignment="1" pivotButton="0" quotePrefix="0" xfId="0">
      <alignment horizontal="center" vertical="center"/>
    </xf>
    <xf numFmtId="0" fontId="10" fillId="38" borderId="2" applyAlignment="1" pivotButton="0" quotePrefix="0" xfId="0">
      <alignment horizontal="center" vertical="center"/>
    </xf>
    <xf numFmtId="0" fontId="0" fillId="35" borderId="64" pivotButton="0" quotePrefix="0" xfId="0"/>
    <xf numFmtId="0" fontId="0" fillId="35" borderId="65" pivotButton="0" quotePrefix="0" xfId="0"/>
    <xf numFmtId="0" fontId="0" fillId="35" borderId="27" pivotButton="0" quotePrefix="0" xfId="0"/>
    <xf numFmtId="0" fontId="0" fillId="35" borderId="18" pivotButton="0" quotePrefix="0" xfId="0"/>
    <xf numFmtId="0" fontId="0" fillId="35" borderId="19" pivotButton="0" quotePrefix="0" xfId="0"/>
    <xf numFmtId="0" fontId="0" fillId="35" borderId="25" pivotButton="0" quotePrefix="0" xfId="0"/>
    <xf numFmtId="0" fontId="0" fillId="35" borderId="24" pivotButton="0" quotePrefix="0" xfId="0"/>
    <xf numFmtId="3" fontId="0" fillId="0" borderId="0" pivotButton="0" quotePrefix="0" xfId="0"/>
    <xf numFmtId="0" fontId="38" fillId="18" borderId="7" applyAlignment="1" pivotButton="0" quotePrefix="0" xfId="0">
      <alignment horizontal="center" vertical="center" wrapText="1"/>
    </xf>
    <xf numFmtId="0" fontId="0" fillId="0" borderId="95" pivotButton="0" quotePrefix="0" xfId="0"/>
    <xf numFmtId="0" fontId="0" fillId="0" borderId="60" pivotButton="0" quotePrefix="0" xfId="0"/>
    <xf numFmtId="0" fontId="10" fillId="9" borderId="60" applyAlignment="1" pivotButton="0" quotePrefix="0" xfId="0">
      <alignment horizontal="center" vertical="center"/>
    </xf>
    <xf numFmtId="0" fontId="0" fillId="0" borderId="96" pivotButton="0" quotePrefix="0" xfId="0"/>
    <xf numFmtId="0" fontId="0" fillId="14" borderId="2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14" borderId="2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0" fillId="14" borderId="63" applyAlignment="1" pivotButton="0" quotePrefix="0" xfId="0">
      <alignment horizontal="left" vertical="center" wrapText="1"/>
    </xf>
    <xf numFmtId="0" fontId="41" fillId="13" borderId="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/>
    </xf>
    <xf numFmtId="0" fontId="41" fillId="13" borderId="0" applyAlignment="1" pivotButton="0" quotePrefix="0" xfId="0">
      <alignment horizontal="center" vertical="center" wrapText="1"/>
    </xf>
    <xf numFmtId="14" fontId="0" fillId="18" borderId="2" applyAlignment="1" pivotButton="0" quotePrefix="0" xfId="0">
      <alignment horizontal="center" vertical="center"/>
    </xf>
    <xf numFmtId="14" fontId="30" fillId="20" borderId="2" applyAlignment="1" pivotButton="0" quotePrefix="0" xfId="0">
      <alignment horizontal="center" vertical="center"/>
    </xf>
    <xf numFmtId="0" fontId="0" fillId="18" borderId="2" applyAlignment="1" pivotButton="0" quotePrefix="0" xfId="0">
      <alignment horizontal="center" vertical="center"/>
    </xf>
    <xf numFmtId="0" fontId="44" fillId="18" borderId="2" applyAlignment="1" pivotButton="0" quotePrefix="0" xfId="0">
      <alignment horizontal="center" vertical="center"/>
    </xf>
    <xf numFmtId="0" fontId="0" fillId="20" borderId="2" applyAlignment="1" pivotButton="0" quotePrefix="0" xfId="0">
      <alignment horizontal="center" vertical="center"/>
    </xf>
    <xf numFmtId="0" fontId="44" fillId="20" borderId="2" applyAlignment="1" pivotButton="0" quotePrefix="0" xfId="0">
      <alignment horizontal="center" vertical="center"/>
    </xf>
    <xf numFmtId="0" fontId="66" fillId="32" borderId="2" applyAlignment="1" pivotButton="0" quotePrefix="0" xfId="0">
      <alignment horizontal="center" vertical="center"/>
    </xf>
    <xf numFmtId="0" fontId="17" fillId="17" borderId="2" applyAlignment="1" pivotButton="0" quotePrefix="0" xfId="0">
      <alignment horizontal="center" vertical="center"/>
    </xf>
    <xf numFmtId="0" fontId="17" fillId="17" borderId="23" applyAlignment="1" pivotButton="0" quotePrefix="0" xfId="0">
      <alignment horizontal="center" vertical="center"/>
    </xf>
    <xf numFmtId="0" fontId="0" fillId="32" borderId="2" applyAlignment="1" pivotButton="0" quotePrefix="0" xfId="0">
      <alignment horizontal="center" vertical="center"/>
    </xf>
    <xf numFmtId="14" fontId="0" fillId="32" borderId="2" applyAlignment="1" pivotButton="0" quotePrefix="0" xfId="0">
      <alignment horizontal="center" vertical="center"/>
    </xf>
    <xf numFmtId="0" fontId="47" fillId="2" borderId="2" applyAlignment="1" pivotButton="0" quotePrefix="0" xfId="0">
      <alignment horizontal="center" vertical="center"/>
    </xf>
    <xf numFmtId="0" fontId="53" fillId="20" borderId="71" applyAlignment="1" pivotButton="0" quotePrefix="0" xfId="0">
      <alignment horizontal="left" vertical="center" wrapText="1"/>
    </xf>
    <xf numFmtId="0" fontId="0" fillId="0" borderId="100" pivotButton="0" quotePrefix="0" xfId="0"/>
    <xf numFmtId="0" fontId="50" fillId="4" borderId="70" applyAlignment="1" pivotButton="0" quotePrefix="0" xfId="0">
      <alignment horizontal="center"/>
    </xf>
    <xf numFmtId="0" fontId="0" fillId="0" borderId="97" pivotButton="0" quotePrefix="0" xfId="0"/>
    <xf numFmtId="0" fontId="0" fillId="0" borderId="98" pivotButton="0" quotePrefix="0" xfId="0"/>
    <xf numFmtId="0" fontId="49" fillId="2" borderId="0" applyAlignment="1" pivotButton="0" quotePrefix="0" xfId="0">
      <alignment horizontal="center"/>
    </xf>
    <xf numFmtId="0" fontId="52" fillId="26" borderId="1" applyAlignment="1" pivotButton="0" quotePrefix="0" xfId="0">
      <alignment horizontal="left" vertical="center"/>
    </xf>
    <xf numFmtId="168" fontId="54" fillId="25" borderId="71" applyAlignment="1" pivotButton="0" quotePrefix="0" xfId="0">
      <alignment horizontal="center" vertical="center" wrapText="1"/>
    </xf>
    <xf numFmtId="0" fontId="0" fillId="0" borderId="99" pivotButton="0" quotePrefix="0" xfId="0"/>
    <xf numFmtId="0" fontId="0" fillId="0" borderId="101" pivotButton="0" quotePrefix="0" xfId="0"/>
    <xf numFmtId="0" fontId="0" fillId="0" borderId="102" pivotButton="0" quotePrefix="0" xfId="0"/>
    <xf numFmtId="0" fontId="54" fillId="25" borderId="71" applyAlignment="1" pivotButton="0" quotePrefix="0" xfId="0">
      <alignment horizontal="center" vertical="center" wrapText="1"/>
    </xf>
    <xf numFmtId="0" fontId="52" fillId="24" borderId="71" applyAlignment="1" pivotButton="0" quotePrefix="0" xfId="0">
      <alignment horizontal="center" vertical="center" wrapText="1"/>
    </xf>
    <xf numFmtId="0" fontId="53" fillId="27" borderId="71" applyAlignment="1" pivotButton="0" quotePrefix="0" xfId="0">
      <alignment horizontal="left" vertical="center" wrapText="1"/>
    </xf>
    <xf numFmtId="3" fontId="54" fillId="25" borderId="71" applyAlignment="1" pivotButton="0" quotePrefix="0" xfId="0">
      <alignment horizontal="center" vertical="center" wrapText="1"/>
    </xf>
    <xf numFmtId="0" fontId="60" fillId="31" borderId="73" applyAlignment="1" pivotButton="0" quotePrefix="0" xfId="0">
      <alignment horizontal="center" vertical="center" wrapText="1"/>
    </xf>
    <xf numFmtId="0" fontId="0" fillId="0" borderId="107" pivotButton="0" quotePrefix="0" xfId="0"/>
    <xf numFmtId="0" fontId="0" fillId="0" borderId="108" pivotButton="0" quotePrefix="0" xfId="0"/>
    <xf numFmtId="0" fontId="0" fillId="0" borderId="111" pivotButton="0" quotePrefix="0" xfId="0"/>
    <xf numFmtId="0" fontId="0" fillId="0" borderId="112" pivotButton="0" quotePrefix="0" xfId="0"/>
    <xf numFmtId="0" fontId="0" fillId="0" borderId="113" pivotButton="0" quotePrefix="0" xfId="0"/>
    <xf numFmtId="0" fontId="0" fillId="0" borderId="114" pivotButton="0" quotePrefix="0" xfId="0"/>
    <xf numFmtId="0" fontId="0" fillId="0" borderId="115" pivotButton="0" quotePrefix="0" xfId="0"/>
    <xf numFmtId="0" fontId="57" fillId="29" borderId="72" applyAlignment="1" pivotButton="0" quotePrefix="0" xfId="0">
      <alignment horizontal="center" vertical="center"/>
    </xf>
    <xf numFmtId="0" fontId="0" fillId="0" borderId="104" pivotButton="0" quotePrefix="0" xfId="0"/>
    <xf numFmtId="49" fontId="58" fillId="30" borderId="72" applyAlignment="1" pivotButton="0" quotePrefix="0" xfId="0">
      <alignment horizontal="center" vertical="center"/>
    </xf>
    <xf numFmtId="0" fontId="0" fillId="0" borderId="103" pivotButton="0" quotePrefix="0" xfId="0"/>
    <xf numFmtId="0" fontId="0" fillId="0" borderId="105" pivotButton="0" quotePrefix="0" xfId="0"/>
    <xf numFmtId="0" fontId="0" fillId="0" borderId="106" pivotButton="0" quotePrefix="0" xfId="0"/>
    <xf numFmtId="0" fontId="56" fillId="28" borderId="0" applyAlignment="1" pivotButton="0" quotePrefix="0" xfId="0">
      <alignment horizontal="center" vertical="center"/>
    </xf>
    <xf numFmtId="4" fontId="58" fillId="30" borderId="72" applyAlignment="1" pivotButton="0" quotePrefix="0" xfId="0">
      <alignment horizontal="center" vertical="center"/>
    </xf>
    <xf numFmtId="0" fontId="59" fillId="29" borderId="73" applyAlignment="1" pivotButton="0" quotePrefix="0" xfId="0">
      <alignment horizontal="center" vertical="center"/>
    </xf>
    <xf numFmtId="0" fontId="0" fillId="0" borderId="109" pivotButton="0" quotePrefix="0" xfId="0"/>
    <xf numFmtId="0" fontId="0" fillId="0" borderId="110" pivotButton="0" quotePrefix="0" xfId="0"/>
    <xf numFmtId="0" fontId="59" fillId="28" borderId="0" applyAlignment="1" pivotButton="0" quotePrefix="0" xfId="0">
      <alignment horizontal="center"/>
    </xf>
    <xf numFmtId="0" fontId="47" fillId="2" borderId="70" applyAlignment="1" pivotButton="0" quotePrefix="0" xfId="0">
      <alignment horizontal="center" vertical="center"/>
    </xf>
    <xf numFmtId="0" fontId="4" fillId="17" borderId="70" applyAlignment="1" pivotButton="0" quotePrefix="0" xfId="0">
      <alignment horizontal="center" vertical="center"/>
    </xf>
    <xf numFmtId="0" fontId="4" fillId="7" borderId="69" applyAlignment="1" pivotButton="0" quotePrefix="0" xfId="0">
      <alignment horizontal="center" vertical="center"/>
    </xf>
    <xf numFmtId="0" fontId="0" fillId="0" borderId="116" pivotButton="0" quotePrefix="0" xfId="0"/>
    <xf numFmtId="0" fontId="0" fillId="0" borderId="117" pivotButton="0" quotePrefix="0" xfId="0"/>
    <xf numFmtId="0" fontId="62" fillId="15" borderId="0" pivotButton="0" quotePrefix="0" xfId="0"/>
    <xf numFmtId="0" fontId="10" fillId="37" borderId="2" applyAlignment="1" pivotButton="0" quotePrefix="0" xfId="0">
      <alignment horizontal="center"/>
    </xf>
    <xf numFmtId="0" fontId="67" fillId="37" borderId="2" applyAlignment="1" pivotButton="0" quotePrefix="0" xfId="0">
      <alignment horizontal="center"/>
    </xf>
    <xf numFmtId="0" fontId="71" fillId="40" borderId="0" applyAlignment="1" pivotButton="0" quotePrefix="0" xfId="0">
      <alignment horizontal="center" vertical="center"/>
    </xf>
    <xf numFmtId="0" fontId="70" fillId="39" borderId="133" applyAlignment="1" pivotButton="0" quotePrefix="0" xfId="0">
      <alignment horizontal="center" vertical="center" wrapText="1"/>
    </xf>
    <xf numFmtId="0" fontId="0" fillId="0" borderId="133" applyAlignment="1" pivotButton="0" quotePrefix="0" xfId="0">
      <alignment horizontal="center"/>
    </xf>
    <xf numFmtId="0" fontId="72" fillId="0" borderId="133" applyAlignment="1" pivotButton="0" quotePrefix="0" xfId="0">
      <alignment vertical="center" wrapText="1"/>
    </xf>
    <xf numFmtId="0" fontId="0" fillId="0" borderId="133" applyAlignment="1" pivotButton="0" quotePrefix="0" xfId="0">
      <alignment vertical="center" wrapText="1"/>
    </xf>
    <xf numFmtId="0" fontId="73" fillId="40" borderId="0" applyAlignment="1" pivotButton="0" quotePrefix="0" xfId="0">
      <alignment horizontal="center"/>
    </xf>
    <xf numFmtId="0" fontId="74" fillId="0" borderId="0" applyAlignment="1" pivotButton="0" quotePrefix="0" xfId="0">
      <alignment vertical="top" wrapText="1"/>
    </xf>
    <xf numFmtId="173" fontId="14" fillId="15" borderId="0" applyAlignment="1" pivotButton="0" quotePrefix="0" xfId="0">
      <alignment horizontal="center" vertical="center"/>
    </xf>
    <xf numFmtId="173" fontId="15" fillId="16" borderId="0" applyAlignment="1" pivotButton="0" quotePrefix="0" xfId="0">
      <alignment horizontal="left" vertical="center"/>
    </xf>
    <xf numFmtId="173" fontId="70" fillId="39" borderId="133" applyAlignment="1" pivotButton="0" quotePrefix="0" xfId="0">
      <alignment horizontal="center" vertical="center" wrapText="1"/>
    </xf>
    <xf numFmtId="166" fontId="70" fillId="39" borderId="133" applyAlignment="1" pivotButton="0" quotePrefix="0" xfId="0">
      <alignment horizontal="center" vertical="center" wrapText="1"/>
    </xf>
    <xf numFmtId="0" fontId="70" fillId="40" borderId="133" applyAlignment="1" pivotButton="0" quotePrefix="0" xfId="0">
      <alignment horizontal="center" vertical="center" wrapText="1"/>
    </xf>
    <xf numFmtId="173" fontId="0" fillId="0" borderId="0" applyAlignment="1" pivotButton="0" quotePrefix="0" xfId="0">
      <alignment horizontal="center"/>
    </xf>
    <xf numFmtId="173" fontId="19" fillId="0" borderId="0" applyAlignment="1" pivotButton="0" quotePrefix="0" xfId="0">
      <alignment horizontal="center" vertical="center"/>
    </xf>
    <xf numFmtId="3" fontId="0" fillId="19" borderId="0" applyAlignment="1" pivotButton="0" quotePrefix="0" xfId="0">
      <alignment horizontal="center"/>
    </xf>
    <xf numFmtId="3" fontId="18" fillId="0" borderId="0" pivotButton="0" quotePrefix="0" xfId="0"/>
    <xf numFmtId="173" fontId="0" fillId="0" borderId="0" pivotButton="0" quotePrefix="0" xfId="0"/>
    <xf numFmtId="173" fontId="72" fillId="41" borderId="134" applyAlignment="1" pivotButton="0" quotePrefix="0" xfId="0">
      <alignment horizontal="center"/>
    </xf>
    <xf numFmtId="0" fontId="72" fillId="41" borderId="134" applyAlignment="1" pivotButton="0" quotePrefix="0" xfId="0">
      <alignment horizontal="center" vertical="center"/>
    </xf>
    <xf numFmtId="166" fontId="72" fillId="41" borderId="134" applyAlignment="1" pivotButton="0" quotePrefix="0" xfId="0">
      <alignment horizontal="center"/>
    </xf>
    <xf numFmtId="3" fontId="72" fillId="41" borderId="134" applyAlignment="1" pivotButton="0" quotePrefix="0" xfId="0">
      <alignment horizontal="center" vertical="center"/>
    </xf>
    <xf numFmtId="0" fontId="72" fillId="41" borderId="134" applyAlignment="1" pivotButton="0" quotePrefix="0" xfId="0">
      <alignment horizontal="center"/>
    </xf>
    <xf numFmtId="3" fontId="72" fillId="41" borderId="134" pivotButton="0" quotePrefix="0" xfId="0"/>
    <xf numFmtId="3" fontId="72" fillId="41" borderId="134" applyAlignment="1" pivotButton="0" quotePrefix="0" xfId="0">
      <alignment horizontal="center"/>
    </xf>
    <xf numFmtId="173" fontId="0" fillId="0" borderId="0" applyAlignment="1" pivotButton="0" quotePrefix="0" xfId="0">
      <alignment horizontal="left" vertical="center"/>
    </xf>
    <xf numFmtId="3" fontId="17" fillId="17" borderId="14" applyAlignment="1" pivotButton="0" quotePrefix="0" xfId="0">
      <alignment horizontal="center" vertical="center"/>
    </xf>
    <xf numFmtId="3" fontId="0" fillId="0" borderId="15" applyAlignment="1" pivotButton="0" quotePrefix="0" xfId="0">
      <alignment horizontal="center"/>
    </xf>
    <xf numFmtId="3" fontId="17" fillId="17" borderId="16" applyAlignment="1" pivotButton="0" quotePrefix="0" xfId="0">
      <alignment horizontal="center" vertical="center"/>
    </xf>
    <xf numFmtId="3" fontId="0" fillId="0" borderId="15" pivotButton="0" quotePrefix="0" xfId="0"/>
    <xf numFmtId="3" fontId="17" fillId="2" borderId="17" applyAlignment="1" pivotButton="0" quotePrefix="0" xfId="0">
      <alignment horizontal="center" vertical="center"/>
    </xf>
    <xf numFmtId="0" fontId="72" fillId="41" borderId="134" applyAlignment="1" pivotButton="0" quotePrefix="0" xfId="0">
      <alignment horizontal="left" vertical="center" wrapText="1"/>
    </xf>
    <xf numFmtId="3" fontId="20" fillId="17" borderId="21" pivotButton="0" quotePrefix="0" xfId="0"/>
    <xf numFmtId="3" fontId="0" fillId="19" borderId="23" applyAlignment="1" pivotButton="0" quotePrefix="0" xfId="0">
      <alignment horizontal="center"/>
    </xf>
    <xf numFmtId="3" fontId="0" fillId="0" borderId="23" pivotButton="0" quotePrefix="0" xfId="0"/>
    <xf numFmtId="3" fontId="0" fillId="0" borderId="27" pivotButton="0" quotePrefix="0" xfId="0"/>
    <xf numFmtId="3" fontId="0" fillId="0" borderId="19" pivotButton="0" quotePrefix="0" xfId="0"/>
    <xf numFmtId="173" fontId="72" fillId="41" borderId="134" pivotButton="0" quotePrefix="0" xfId="0"/>
    <xf numFmtId="3" fontId="0" fillId="18" borderId="0" pivotButton="0" quotePrefix="0" xfId="0"/>
    <xf numFmtId="173" fontId="72" fillId="41" borderId="134" applyAlignment="1" pivotButton="0" quotePrefix="0" xfId="0">
      <alignment horizontal="center" vertical="center"/>
    </xf>
    <xf numFmtId="3" fontId="18" fillId="18" borderId="0" pivotButton="0" quotePrefix="0" xfId="0"/>
    <xf numFmtId="3" fontId="0" fillId="18" borderId="19" pivotButton="0" quotePrefix="0" xfId="0"/>
    <xf numFmtId="3" fontId="17" fillId="17" borderId="17" applyAlignment="1" pivotButton="0" quotePrefix="0" xfId="0">
      <alignment horizontal="center" vertical="center"/>
    </xf>
    <xf numFmtId="173" fontId="19" fillId="0" borderId="19" applyAlignment="1" pivotButton="0" quotePrefix="0" xfId="0">
      <alignment horizontal="center" vertical="center"/>
    </xf>
    <xf numFmtId="173" fontId="0" fillId="0" borderId="19" pivotButton="0" quotePrefix="0" xfId="0"/>
    <xf numFmtId="3" fontId="20" fillId="17" borderId="29" pivotButton="0" quotePrefix="0" xfId="0"/>
    <xf numFmtId="166" fontId="72" fillId="41" borderId="134" pivotButton="0" quotePrefix="0" xfId="0"/>
    <xf numFmtId="0" fontId="72" fillId="41" borderId="134" pivotButton="0" quotePrefix="0" xfId="0"/>
    <xf numFmtId="166" fontId="72" fillId="41" borderId="134" applyAlignment="1" pivotButton="0" quotePrefix="0" xfId="0">
      <alignment horizontal="center" vertical="center"/>
    </xf>
    <xf numFmtId="3" fontId="0" fillId="16" borderId="23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18" fillId="0" borderId="0" applyAlignment="1" pivotButton="0" quotePrefix="0" xfId="0">
      <alignment horizontal="center"/>
    </xf>
    <xf numFmtId="3" fontId="0" fillId="0" borderId="19" applyAlignment="1" pivotButton="0" quotePrefix="0" xfId="0">
      <alignment horizontal="center"/>
    </xf>
    <xf numFmtId="3" fontId="18" fillId="0" borderId="15" applyAlignment="1" pivotButton="0" quotePrefix="0" xfId="0">
      <alignment horizontal="center"/>
    </xf>
    <xf numFmtId="173" fontId="73" fillId="40" borderId="2" applyAlignment="1" pivotButton="0" quotePrefix="0" xfId="0">
      <alignment horizontal="left"/>
    </xf>
    <xf numFmtId="173" fontId="29" fillId="21" borderId="133" applyAlignment="1" pivotButton="0" quotePrefix="0" xfId="0">
      <alignment horizontal="center" vertical="center" wrapText="1"/>
    </xf>
    <xf numFmtId="1" fontId="29" fillId="21" borderId="133" applyAlignment="1" pivotButton="0" quotePrefix="0" xfId="0">
      <alignment horizontal="center" vertical="center" wrapText="1"/>
    </xf>
    <xf numFmtId="3" fontId="29" fillId="21" borderId="133" applyAlignment="1" pivotButton="0" quotePrefix="0" xfId="0">
      <alignment horizontal="center" vertical="center" wrapText="1"/>
    </xf>
    <xf numFmtId="0" fontId="27" fillId="14" borderId="133" applyAlignment="1" pivotButton="0" quotePrefix="0" xfId="0">
      <alignment horizontal="left" vertical="center" wrapText="1"/>
    </xf>
    <xf numFmtId="173" fontId="29" fillId="0" borderId="133" applyAlignment="1" pivotButton="0" quotePrefix="0" xfId="0">
      <alignment horizontal="center" vertical="center" wrapText="1"/>
    </xf>
    <xf numFmtId="1" fontId="29" fillId="0" borderId="133" applyAlignment="1" pivotButton="0" quotePrefix="0" xfId="0">
      <alignment horizontal="center" vertical="center" wrapText="1"/>
    </xf>
    <xf numFmtId="3" fontId="29" fillId="0" borderId="133" applyAlignment="1" pivotButton="0" quotePrefix="0" xfId="0">
      <alignment horizontal="center" vertical="center" wrapText="1"/>
    </xf>
    <xf numFmtId="0" fontId="0" fillId="0" borderId="133" applyAlignment="1" pivotButton="0" quotePrefix="0" xfId="0">
      <alignment horizontal="left" vertical="center" wrapText="1"/>
    </xf>
    <xf numFmtId="49" fontId="29" fillId="0" borderId="133" applyAlignment="1" pivotButton="0" quotePrefix="0" xfId="0">
      <alignment horizontal="center" vertical="center" wrapText="1"/>
    </xf>
    <xf numFmtId="173" fontId="19" fillId="0" borderId="7" applyAlignment="1" pivotButton="0" quotePrefix="0" xfId="0">
      <alignment horizontal="center" vertical="center"/>
    </xf>
    <xf numFmtId="3" fontId="0" fillId="0" borderId="7" pivotButton="0" quotePrefix="0" xfId="0"/>
    <xf numFmtId="3" fontId="0" fillId="0" borderId="58" applyAlignment="1" pivotButton="0" quotePrefix="0" xfId="0">
      <alignment horizontal="center"/>
    </xf>
    <xf numFmtId="0" fontId="34" fillId="0" borderId="133" applyAlignment="1" pivotButton="0" quotePrefix="0" xfId="0">
      <alignment horizontal="left" vertical="center" wrapText="1"/>
    </xf>
    <xf numFmtId="3" fontId="70" fillId="39" borderId="133" applyAlignment="1" pivotButton="0" quotePrefix="0" xfId="0">
      <alignment horizontal="center" vertical="center" wrapText="1"/>
    </xf>
    <xf numFmtId="49" fontId="29" fillId="21" borderId="133" applyAlignment="1" pivotButton="0" quotePrefix="0" xfId="0">
      <alignment horizontal="center" vertical="center" wrapText="1"/>
    </xf>
    <xf numFmtId="3" fontId="29" fillId="21" borderId="133" applyAlignment="1" pivotButton="0" quotePrefix="0" xfId="0">
      <alignment horizontal="left" vertical="center" wrapText="1"/>
    </xf>
    <xf numFmtId="173" fontId="0" fillId="0" borderId="133" applyAlignment="1" pivotButton="0" quotePrefix="0" xfId="0">
      <alignment horizontal="center" vertical="center" wrapText="1"/>
    </xf>
    <xf numFmtId="0" fontId="0" fillId="0" borderId="133" applyAlignment="1" pivotButton="0" quotePrefix="0" xfId="0">
      <alignment horizontal="center" vertical="center" wrapText="1"/>
    </xf>
    <xf numFmtId="3" fontId="0" fillId="0" borderId="133" applyAlignment="1" pivotButton="0" quotePrefix="0" xfId="0">
      <alignment horizontal="center" vertical="center" wrapText="1"/>
    </xf>
    <xf numFmtId="0" fontId="27" fillId="20" borderId="133" applyAlignment="1" pivotButton="0" quotePrefix="0" xfId="0">
      <alignment horizontal="left" vertical="center" wrapText="1"/>
    </xf>
    <xf numFmtId="173" fontId="1" fillId="0" borderId="0" applyAlignment="1" pivotButton="0" quotePrefix="0" xfId="0">
      <alignment horizontal="left" vertical="center"/>
    </xf>
    <xf numFmtId="3" fontId="1" fillId="0" borderId="58" applyAlignment="1" pivotButton="0" quotePrefix="0" xfId="0">
      <alignment horizontal="center"/>
    </xf>
    <xf numFmtId="3" fontId="1" fillId="0" borderId="7" pivotButton="0" quotePrefix="0" xfId="0"/>
    <xf numFmtId="173" fontId="1" fillId="0" borderId="0" pivotButton="0" quotePrefix="0" xfId="0"/>
    <xf numFmtId="0" fontId="1" fillId="0" borderId="133" applyAlignment="1" pivotButton="0" quotePrefix="0" xfId="0">
      <alignment horizontal="left" vertical="center" wrapText="1"/>
    </xf>
    <xf numFmtId="173" fontId="17" fillId="17" borderId="23" applyAlignment="1" pivotButton="0" quotePrefix="0" xfId="0">
      <alignment vertical="center" wrapText="1"/>
    </xf>
    <xf numFmtId="173" fontId="0" fillId="0" borderId="23" pivotButton="0" quotePrefix="0" xfId="0"/>
    <xf numFmtId="173" fontId="0" fillId="18" borderId="2" applyAlignment="1" pivotButton="0" quotePrefix="0" xfId="0">
      <alignment vertical="center" wrapText="1"/>
    </xf>
    <xf numFmtId="0" fontId="0" fillId="18" borderId="33" applyAlignment="1" pivotButton="0" quotePrefix="0" xfId="0">
      <alignment vertical="center" wrapText="1"/>
    </xf>
    <xf numFmtId="0" fontId="44" fillId="18" borderId="2" applyAlignment="1" pivotButton="0" quotePrefix="0" xfId="0">
      <alignment vertical="center" wrapText="1"/>
    </xf>
    <xf numFmtId="0" fontId="0" fillId="18" borderId="2" applyAlignment="1" pivotButton="0" quotePrefix="0" xfId="0">
      <alignment vertical="center" wrapText="1"/>
    </xf>
    <xf numFmtId="2" fontId="44" fillId="18" borderId="31" applyAlignment="1" pivotButton="0" quotePrefix="0" xfId="0">
      <alignment vertical="center" wrapText="1"/>
    </xf>
    <xf numFmtId="2" fontId="44" fillId="18" borderId="2" applyAlignment="1" pivotButton="0" quotePrefix="0" xfId="0">
      <alignment vertical="center" wrapText="1"/>
    </xf>
    <xf numFmtId="173" fontId="0" fillId="18" borderId="2" applyAlignment="1" pivotButton="0" quotePrefix="0" xfId="0">
      <alignment horizontal="center" vertical="center"/>
    </xf>
    <xf numFmtId="173" fontId="0" fillId="32" borderId="2" applyAlignment="1" pivotButton="0" quotePrefix="0" xfId="0">
      <alignment horizontal="center" vertical="center"/>
    </xf>
    <xf numFmtId="173" fontId="30" fillId="20" borderId="2" applyAlignment="1" pivotButton="0" quotePrefix="0" xfId="0">
      <alignment horizontal="center" vertical="center"/>
    </xf>
    <xf numFmtId="173" fontId="4" fillId="15" borderId="43" applyAlignment="1" pivotButton="0" quotePrefix="0" xfId="0">
      <alignment vertical="center" wrapText="1"/>
    </xf>
    <xf numFmtId="0" fontId="4" fillId="15" borderId="44" applyAlignment="1" pivotButton="0" quotePrefix="0" xfId="0">
      <alignment vertical="center" wrapText="1"/>
    </xf>
    <xf numFmtId="0" fontId="4" fillId="15" borderId="45" applyAlignment="1" pivotButton="0" quotePrefix="0" xfId="0">
      <alignment vertical="center" wrapText="1"/>
    </xf>
    <xf numFmtId="173" fontId="29" fillId="21" borderId="66" applyAlignment="1" pivotButton="0" quotePrefix="0" xfId="0">
      <alignment vertical="center" wrapText="1"/>
    </xf>
    <xf numFmtId="0" fontId="29" fillId="21" borderId="67" applyAlignment="1" pivotButton="0" quotePrefix="0" xfId="0">
      <alignment vertical="center" wrapText="1"/>
    </xf>
    <xf numFmtId="3" fontId="29" fillId="21" borderId="67" applyAlignment="1" pivotButton="0" quotePrefix="0" xfId="0">
      <alignment vertical="center" wrapText="1"/>
    </xf>
    <xf numFmtId="0" fontId="29" fillId="21" borderId="68" applyAlignment="1" pivotButton="0" quotePrefix="0" xfId="0">
      <alignment vertical="center" wrapText="1"/>
    </xf>
    <xf numFmtId="173" fontId="29" fillId="21" borderId="66" applyAlignment="1" pivotButton="0" quotePrefix="0" xfId="0">
      <alignment horizontal="center" vertical="center"/>
    </xf>
    <xf numFmtId="173" fontId="29" fillId="21" borderId="43" applyAlignment="1" pivotButton="0" quotePrefix="0" xfId="0">
      <alignment horizontal="center" vertical="center"/>
    </xf>
    <xf numFmtId="0" fontId="47" fillId="2" borderId="2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3" fontId="48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9" fillId="6" borderId="133" applyAlignment="1" pivotButton="0" quotePrefix="0" xfId="0">
      <alignment vertical="center" wrapText="1"/>
    </xf>
    <xf numFmtId="3" fontId="29" fillId="6" borderId="133" applyAlignment="1" pivotButton="0" quotePrefix="0" xfId="0">
      <alignment vertical="center" wrapText="1"/>
    </xf>
    <xf numFmtId="10" fontId="29" fillId="6" borderId="133" applyAlignment="1" pivotButton="0" quotePrefix="0" xfId="0">
      <alignment vertical="center" wrapText="1"/>
    </xf>
    <xf numFmtId="171" fontId="29" fillId="6" borderId="133" applyAlignment="1" pivotButton="0" quotePrefix="0" xfId="0">
      <alignment vertical="center" wrapText="1"/>
    </xf>
    <xf numFmtId="4" fontId="29" fillId="6" borderId="133" applyAlignment="1" pivotButton="0" quotePrefix="0" xfId="0">
      <alignment vertical="center" wrapText="1"/>
    </xf>
    <xf numFmtId="0" fontId="29" fillId="20" borderId="133" applyAlignment="1" pivotButton="0" quotePrefix="0" xfId="0">
      <alignment vertical="center" wrapText="1"/>
    </xf>
    <xf numFmtId="3" fontId="29" fillId="20" borderId="133" applyAlignment="1" pivotButton="0" quotePrefix="0" xfId="0">
      <alignment vertical="center" wrapText="1"/>
    </xf>
    <xf numFmtId="10" fontId="29" fillId="20" borderId="133" applyAlignment="1" pivotButton="0" quotePrefix="0" xfId="0">
      <alignment vertical="center" wrapText="1"/>
    </xf>
    <xf numFmtId="171" fontId="29" fillId="20" borderId="133" applyAlignment="1" pivotButton="0" quotePrefix="0" xfId="0">
      <alignment vertical="center" wrapText="1"/>
    </xf>
    <xf numFmtId="4" fontId="29" fillId="20" borderId="133" applyAlignment="1" pivotButton="0" quotePrefix="0" xfId="0">
      <alignment vertical="center" wrapText="1"/>
    </xf>
    <xf numFmtId="0" fontId="75" fillId="40" borderId="0" applyAlignment="1" pivotButton="0" quotePrefix="0" xfId="0">
      <alignment vertical="center" wrapText="1"/>
    </xf>
    <xf numFmtId="0" fontId="50" fillId="4" borderId="70" applyAlignment="1" pivotButton="0" quotePrefix="0" xfId="0">
      <alignment vertical="center" wrapText="1"/>
    </xf>
    <xf numFmtId="10" fontId="54" fillId="25" borderId="71" applyAlignment="1" pivotButton="0" quotePrefix="0" xfId="0">
      <alignment horizontal="center" vertical="center" wrapText="1"/>
    </xf>
    <xf numFmtId="3" fontId="70" fillId="40" borderId="133" applyAlignment="1" pivotButton="0" quotePrefix="0" xfId="0">
      <alignment horizontal="center" vertical="center" wrapText="1"/>
    </xf>
    <xf numFmtId="168" fontId="70" fillId="40" borderId="133" applyAlignment="1" pivotButton="0" quotePrefix="0" xfId="0">
      <alignment horizontal="center" vertical="center" wrapText="1"/>
    </xf>
    <xf numFmtId="0" fontId="23" fillId="15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21" borderId="2" applyAlignment="1" pivotButton="0" quotePrefix="0" xfId="0">
      <alignment vertical="center" wrapText="1"/>
    </xf>
    <xf numFmtId="0" fontId="62" fillId="15" borderId="0" applyAlignment="1" pivotButton="0" quotePrefix="0" xfId="0">
      <alignment vertical="center" wrapText="1"/>
    </xf>
    <xf numFmtId="0" fontId="23" fillId="17" borderId="31" applyAlignment="1" pivotButton="0" quotePrefix="0" xfId="0">
      <alignment vertical="center" wrapText="1"/>
    </xf>
    <xf numFmtId="0" fontId="23" fillId="17" borderId="33" applyAlignment="1" pivotButton="0" quotePrefix="0" xfId="0">
      <alignment vertical="center" wrapText="1"/>
    </xf>
    <xf numFmtId="0" fontId="0" fillId="0" borderId="26" applyAlignment="1" pivotButton="0" quotePrefix="0" xfId="0">
      <alignment vertical="center" wrapText="1"/>
    </xf>
    <xf numFmtId="0" fontId="0" fillId="0" borderId="27" applyAlignment="1" pivotButton="0" quotePrefix="0" xfId="0">
      <alignment vertical="center" wrapText="1"/>
    </xf>
    <xf numFmtId="0" fontId="73" fillId="40" borderId="0" pivotButton="0" quotePrefix="0" xfId="0"/>
  </cellXfs>
  <cellStyles count="2">
    <cellStyle name="Normal" xfId="0" builtinId="0"/>
    <cellStyle name="Pivot Table Value" xfId="1"/>
  </cellStyles>
  <dxfs count="48">
    <dxf>
      <font>
        <b val="1"/>
        <color rgb="FF666666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C6E0B4"/>
        </patternFill>
      </fill>
    </dxf>
    <dxf>
      <font>
        <color rgb="FF006100"/>
      </font>
      <fill>
        <patternFill>
          <bgColor rgb="FFC6E0B4"/>
        </patternFill>
      </fill>
    </dxf>
    <dxf>
      <font>
        <color rgb="FF9C0006"/>
      </font>
      <fill>
        <patternFill>
          <bgColor rgb="FFF4CCCC"/>
        </patternFill>
      </fill>
    </dxf>
    <dxf>
      <fill>
        <patternFill>
          <bgColor rgb="FFFDECEC"/>
        </patternFill>
      </fill>
    </dxf>
    <dxf>
      <fill>
        <patternFill>
          <bgColor rgb="FFEAF4EA"/>
        </patternFill>
      </fill>
    </dxf>
    <dxf>
      <fill>
        <patternFill>
          <bgColor rgb="FF92D050"/>
        </patternFill>
      </fill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ont>
        <name val="Calibri"/>
        <charset val="1"/>
        <family val="2"/>
        <b val="1"/>
        <color rgb="FF7F7F7F"/>
        <sz val="11"/>
      </font>
    </dxf>
    <dxf>
      <font>
        <name val="Calibri"/>
        <charset val="1"/>
        <family val="2"/>
        <b val="1"/>
        <color rgb="FF9C0006"/>
        <sz val="11"/>
      </font>
    </dxf>
    <dxf>
      <font>
        <name val="Calibri"/>
        <charset val="1"/>
        <family val="2"/>
        <b val="1"/>
        <color rgb="FF006100"/>
        <sz val="11"/>
      </font>
    </dxf>
    <dxf>
      <fill>
        <patternFill patternType="solid">
          <fgColor rgb="00DCFCE7"/>
        </patternFill>
      </fill>
    </dxf>
    <dxf>
      <font>
        <color rgb="00DC2626"/>
      </font>
      <fill>
        <patternFill patternType="solid">
          <fgColor rgb="00FEE2E2"/>
        </patternFill>
      </fill>
    </dxf>
    <dxf>
      <font>
        <color rgb="0016A34A"/>
      </font>
      <fill>
        <patternFill patternType="solid">
          <fgColor rgb="00DCFCE7"/>
        </patternFill>
      </fill>
    </dxf>
    <dxf>
      <font>
        <color rgb="00374151"/>
      </font>
      <fill>
        <patternFill patternType="solid">
          <fgColor rgb="00E5E7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7E6E6"/>
      <rgbColor rgb="FFFBF7ED"/>
      <rgbColor rgb="FFFFFF00"/>
      <rgbColor rgb="FFFDECEC"/>
      <rgbColor rgb="FFD9E1F2"/>
      <rgbColor rgb="FF9C0006"/>
      <rgbColor rgb="FF006100"/>
      <rgbColor rgb="FFFFF7E8"/>
      <rgbColor rgb="FF8C4E03"/>
      <rgbColor rgb="FFC55A11"/>
      <rgbColor rgb="FF0F766E"/>
      <rgbColor rgb="FFB5B5B5"/>
      <rgbColor rgb="FF7F7F7F"/>
      <rgbColor rgb="FF6383CA"/>
      <rgbColor rgb="FF8C4A0A"/>
      <rgbColor rgb="FFFFF2CC"/>
      <rgbColor rgb="FFEAF4EA"/>
      <rgbColor rgb="FFF7F3EE"/>
      <rgbColor rgb="FFF28B82"/>
      <rgbColor rgb="FF3C65AD"/>
      <rgbColor rgb="FFD0D5DD"/>
      <rgbColor rgb="FFFFF7ED"/>
      <rgbColor rgb="FFF2F2F2"/>
      <rgbColor rgb="FFF5E5BF"/>
      <rgbColor rgb="FFD9D9D9"/>
      <rgbColor rgb="FFC85A00"/>
      <rgbColor rgb="FFC65911"/>
      <rgbColor rgb="FFFCE4D6"/>
      <rgbColor rgb="FFF8FAFC"/>
      <rgbColor rgb="FFD8D8D8"/>
      <rgbColor rgb="FFE2E8F0"/>
      <rgbColor rgb="FFC6E0B4"/>
      <rgbColor rgb="FFFFE699"/>
      <rgbColor rgb="FF99CCFF"/>
      <rgbColor rgb="FFD9B38C"/>
      <rgbColor rgb="FFD9C2B3"/>
      <rgbColor rgb="FFF4CCCC"/>
      <rgbColor rgb="FF4472C4"/>
      <rgbColor rgb="FFC9B08A"/>
      <rgbColor rgb="FF92D050"/>
      <rgbColor rgb="FFF8B700"/>
      <rgbColor rgb="FFC89F65"/>
      <rgbColor rgb="FFC96B0A"/>
      <rgbColor rgb="FF696C73"/>
      <rgbColor rgb="FFA6A6A6"/>
      <rgbColor rgb="FF2F3A4A"/>
      <rgbColor rgb="FF53585E"/>
      <rgbColor rgb="FFFFF4EC"/>
      <rgbColor rgb="FF1F2937"/>
      <rgbColor rgb="FF843C0B"/>
      <rgbColor rgb="FFD93025"/>
      <rgbColor rgb="FF1F4E78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JANEIRO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JANEIRO'!$C$8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qua</v>
                  </pt>
                  <pt idx="1">
                    <v>qui</v>
                  </pt>
                  <pt idx="2">
                    <v>sex</v>
                  </pt>
                  <pt idx="3">
                    <v>seg</v>
                  </pt>
                  <pt idx="4">
                    <v>ter</v>
                  </pt>
                  <pt idx="5">
                    <v>qua</v>
                  </pt>
                  <pt idx="6">
                    <v>qui</v>
                  </pt>
                  <pt idx="7">
                    <v>sex</v>
                  </pt>
                  <pt idx="8">
                    <v>seg</v>
                  </pt>
                  <pt idx="9">
                    <v>ter</v>
                  </pt>
                  <pt idx="10">
                    <v>qua</v>
                  </pt>
                  <pt idx="11">
                    <v>qui</v>
                  </pt>
                  <pt idx="12">
                    <v>sex</v>
                  </pt>
                  <pt idx="13">
                    <v>sáb</v>
                  </pt>
                  <pt idx="14">
                    <v>seg</v>
                  </pt>
                  <pt idx="15">
                    <v>ter</v>
                  </pt>
                  <pt idx="16">
                    <v>qua</v>
                  </pt>
                  <pt idx="17">
                    <v>qui</v>
                  </pt>
                  <pt idx="18">
                    <v>sex</v>
                  </pt>
                  <pt idx="19">
                    <v>sáb</v>
                  </pt>
                  <pt idx="20">
                    <v>seg</v>
                  </pt>
                  <pt idx="21">
                    <v>ter</v>
                  </pt>
                  <pt idx="22">
                    <v>qua</v>
                  </pt>
                  <pt idx="23">
                    <v>qui</v>
                  </pt>
                </lvl>
                <lvl>
                  <pt idx="0">
                    <v>1</v>
                  </pt>
                  <pt idx="1">
                    <v>2</v>
                  </pt>
                  <pt idx="3">
                    <v>3</v>
                  </pt>
                  <pt idx="4">
                    <v>4</v>
                  </pt>
                  <pt idx="5">
                    <v>5</v>
                  </pt>
                  <pt idx="6">
                    <v>6</v>
                  </pt>
                  <pt idx="7">
                    <v>7</v>
                  </pt>
                  <pt idx="8">
                    <v>8</v>
                  </pt>
                  <pt idx="9">
                    <v>9</v>
                  </pt>
                  <pt idx="10">
                    <v>10</v>
                  </pt>
                  <pt idx="11">
                    <v>11</v>
                  </pt>
                  <pt idx="12">
                    <v>12</v>
                  </pt>
                  <pt idx="13">
                    <v>13</v>
                  </pt>
                  <pt idx="14">
                    <v>14</v>
                  </pt>
                  <pt idx="15">
                    <v>15</v>
                  </pt>
                  <pt idx="16">
                    <v>16</v>
                  </pt>
                  <pt idx="17">
                    <v>17</v>
                  </pt>
                  <pt idx="18">
                    <v>18</v>
                  </pt>
                  <pt idx="19">
                    <v>19</v>
                  </pt>
                  <pt idx="20">
                    <v>20</v>
                  </pt>
                  <pt idx="21">
                    <v>21</v>
                  </pt>
                  <pt idx="22">
                    <v>22</v>
                  </pt>
                  <pt idx="23">
                    <v>23</v>
                  </pt>
                </lvl>
                <lvl>
                  <pt idx="0">
                    <v>01/04/2026</v>
                  </pt>
                  <pt idx="1">
                    <v>02/04/2026</v>
                  </pt>
                  <pt idx="2">
                    <v>03/04/2026</v>
                  </pt>
                  <pt idx="3">
                    <v>06/04/2026</v>
                  </pt>
                  <pt idx="4">
                    <v>07/04/2026</v>
                  </pt>
                  <pt idx="5">
                    <v>08/04/2026</v>
                  </pt>
                  <pt idx="6">
                    <v>09/04/2026</v>
                  </pt>
                  <pt idx="7">
                    <v>10/04/2026</v>
                  </pt>
                  <pt idx="8">
                    <v>13/04/2026</v>
                  </pt>
                  <pt idx="9">
                    <v>14/04/2026</v>
                  </pt>
                  <pt idx="10">
                    <v>15/04/2026</v>
                  </pt>
                  <pt idx="11">
                    <v>16/04/2026</v>
                  </pt>
                  <pt idx="12">
                    <v>17/04/2026</v>
                  </pt>
                  <pt idx="13">
                    <v>18/04/2026</v>
                  </pt>
                  <pt idx="14">
                    <v>20/04/2026</v>
                  </pt>
                  <pt idx="15">
                    <v>21/04/2026</v>
                  </pt>
                  <pt idx="16">
                    <v>22/04/2026</v>
                  </pt>
                  <pt idx="17">
                    <v>23/04/2026</v>
                  </pt>
                  <pt idx="18">
                    <v>24/04/2026</v>
                  </pt>
                  <pt idx="19">
                    <v>25/04/2026</v>
                  </pt>
                  <pt idx="20">
                    <v>27/04/2026</v>
                  </pt>
                  <pt idx="21">
                    <v>28/04/2026</v>
                  </pt>
                  <pt idx="22">
                    <v>29/04/2026</v>
                  </pt>
                  <pt idx="23">
                    <v>30/04/2026</v>
                  </pt>
                </lvl>
              </multiLvlStrCache>
              <f>'GRAFICO ABRIL'!$A$9:$C$32</f>
            </multiLvlStrRef>
          </cat>
          <val>
            <numRef>
              <f>'GRAFICO JANEIRO'!$C$9:$C$30</f>
              <numCache>
                <formatCode>#,##0</formatCode>
                <ptCount val="22"/>
                <pt idx="0">
                  <v>0</v>
                </pt>
                <pt idx="1">
                  <v>0</v>
                </pt>
                <pt idx="2">
                  <v>8352</v>
                </pt>
                <pt idx="3">
                  <v>1872</v>
                </pt>
                <pt idx="4">
                  <v>12036</v>
                </pt>
                <pt idx="5">
                  <v>9852</v>
                </pt>
                <pt idx="6">
                  <v>12840</v>
                </pt>
                <pt idx="7">
                  <v>12864</v>
                </pt>
                <pt idx="8">
                  <v>9624</v>
                </pt>
                <pt idx="9">
                  <v>10800</v>
                </pt>
                <pt idx="10">
                  <v>4872</v>
                </pt>
                <pt idx="11">
                  <v>13332</v>
                </pt>
                <pt idx="12">
                  <v>13044</v>
                </pt>
                <pt idx="13">
                  <v>6396</v>
                </pt>
                <pt idx="14">
                  <v>0</v>
                </pt>
                <pt idx="15">
                  <v>12288</v>
                </pt>
                <pt idx="16">
                  <v>0</v>
                </pt>
                <pt idx="17">
                  <v>14931</v>
                </pt>
                <pt idx="18">
                  <v>7848</v>
                </pt>
                <pt idx="19">
                  <v>0</v>
                </pt>
                <pt idx="20">
                  <v>12264</v>
                </pt>
                <pt idx="21">
                  <v>9048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82685595"/>
        <axId val="86116642"/>
      </barChart>
      <catAx>
        <axId val="82685595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86116642"/>
        <crosses val="autoZero"/>
        <auto val="1"/>
        <lblAlgn val="ctr"/>
        <lblOffset val="100"/>
        <noMultiLvlLbl val="0"/>
      </catAx>
      <valAx>
        <axId val="8611664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82685595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FEVEREIRO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FEVEREIRO'!$C$8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qua</v>
                  </pt>
                  <pt idx="1">
                    <v>qui</v>
                  </pt>
                  <pt idx="2">
                    <v>sex</v>
                  </pt>
                  <pt idx="3">
                    <v>seg</v>
                  </pt>
                  <pt idx="4">
                    <v>ter</v>
                  </pt>
                  <pt idx="5">
                    <v>qua</v>
                  </pt>
                  <pt idx="6">
                    <v>qui</v>
                  </pt>
                  <pt idx="7">
                    <v>sex</v>
                  </pt>
                  <pt idx="8">
                    <v>seg</v>
                  </pt>
                  <pt idx="9">
                    <v>ter</v>
                  </pt>
                  <pt idx="10">
                    <v>qua</v>
                  </pt>
                  <pt idx="11">
                    <v>qui</v>
                  </pt>
                  <pt idx="12">
                    <v>sex</v>
                  </pt>
                  <pt idx="13">
                    <v>sáb</v>
                  </pt>
                  <pt idx="14">
                    <v>seg</v>
                  </pt>
                  <pt idx="15">
                    <v>ter</v>
                  </pt>
                  <pt idx="16">
                    <v>qua</v>
                  </pt>
                  <pt idx="17">
                    <v>qui</v>
                  </pt>
                  <pt idx="18">
                    <v>sex</v>
                  </pt>
                  <pt idx="19">
                    <v>sáb</v>
                  </pt>
                  <pt idx="20">
                    <v>seg</v>
                  </pt>
                  <pt idx="21">
                    <v>ter</v>
                  </pt>
                  <pt idx="22">
                    <v>qua</v>
                  </pt>
                  <pt idx="23">
                    <v>qui</v>
                  </pt>
                </lvl>
                <lvl>
                  <pt idx="0">
                    <v>1</v>
                  </pt>
                  <pt idx="1">
                    <v>2</v>
                  </pt>
                  <pt idx="3">
                    <v>3</v>
                  </pt>
                  <pt idx="4">
                    <v>4</v>
                  </pt>
                  <pt idx="5">
                    <v>5</v>
                  </pt>
                  <pt idx="6">
                    <v>6</v>
                  </pt>
                  <pt idx="7">
                    <v>7</v>
                  </pt>
                  <pt idx="8">
                    <v>8</v>
                  </pt>
                  <pt idx="9">
                    <v>9</v>
                  </pt>
                  <pt idx="10">
                    <v>10</v>
                  </pt>
                  <pt idx="11">
                    <v>11</v>
                  </pt>
                  <pt idx="12">
                    <v>12</v>
                  </pt>
                  <pt idx="13">
                    <v>13</v>
                  </pt>
                  <pt idx="14">
                    <v>14</v>
                  </pt>
                  <pt idx="15">
                    <v>15</v>
                  </pt>
                  <pt idx="16">
                    <v>16</v>
                  </pt>
                  <pt idx="17">
                    <v>17</v>
                  </pt>
                  <pt idx="18">
                    <v>18</v>
                  </pt>
                  <pt idx="19">
                    <v>19</v>
                  </pt>
                  <pt idx="20">
                    <v>20</v>
                  </pt>
                  <pt idx="21">
                    <v>21</v>
                  </pt>
                  <pt idx="22">
                    <v>22</v>
                  </pt>
                  <pt idx="23">
                    <v>23</v>
                  </pt>
                </lvl>
                <lvl>
                  <pt idx="0">
                    <v>01/04/2026</v>
                  </pt>
                  <pt idx="1">
                    <v>02/04/2026</v>
                  </pt>
                  <pt idx="2">
                    <v>03/04/2026</v>
                  </pt>
                  <pt idx="3">
                    <v>06/04/2026</v>
                  </pt>
                  <pt idx="4">
                    <v>07/04/2026</v>
                  </pt>
                  <pt idx="5">
                    <v>08/04/2026</v>
                  </pt>
                  <pt idx="6">
                    <v>09/04/2026</v>
                  </pt>
                  <pt idx="7">
                    <v>10/04/2026</v>
                  </pt>
                  <pt idx="8">
                    <v>13/04/2026</v>
                  </pt>
                  <pt idx="9">
                    <v>14/04/2026</v>
                  </pt>
                  <pt idx="10">
                    <v>15/04/2026</v>
                  </pt>
                  <pt idx="11">
                    <v>16/04/2026</v>
                  </pt>
                  <pt idx="12">
                    <v>17/04/2026</v>
                  </pt>
                  <pt idx="13">
                    <v>18/04/2026</v>
                  </pt>
                  <pt idx="14">
                    <v>20/04/2026</v>
                  </pt>
                  <pt idx="15">
                    <v>21/04/2026</v>
                  </pt>
                  <pt idx="16">
                    <v>22/04/2026</v>
                  </pt>
                  <pt idx="17">
                    <v>23/04/2026</v>
                  </pt>
                  <pt idx="18">
                    <v>24/04/2026</v>
                  </pt>
                  <pt idx="19">
                    <v>25/04/2026</v>
                  </pt>
                  <pt idx="20">
                    <v>27/04/2026</v>
                  </pt>
                  <pt idx="21">
                    <v>28/04/2026</v>
                  </pt>
                  <pt idx="22">
                    <v>29/04/2026</v>
                  </pt>
                  <pt idx="23">
                    <v>30/04/2026</v>
                  </pt>
                </lvl>
              </multiLvlStrCache>
              <f>'GRAFICO ABRIL'!$A$9:$C$32</f>
            </multiLvlStrRef>
          </cat>
          <val>
            <numRef>
              <f>'GRAFICO FEVEREIRO'!$C$9:$C$28</f>
              <numCache>
                <formatCode>#,##0</formatCode>
                <ptCount val="20"/>
                <pt idx="0">
                  <v>11328</v>
                </pt>
                <pt idx="1">
                  <v>8424</v>
                </pt>
                <pt idx="2">
                  <v>14328</v>
                </pt>
                <pt idx="3">
                  <v>8928</v>
                </pt>
                <pt idx="4">
                  <v>0</v>
                </pt>
                <pt idx="5">
                  <v>14532</v>
                </pt>
                <pt idx="6">
                  <v>12324</v>
                </pt>
                <pt idx="7">
                  <v>14532</v>
                </pt>
                <pt idx="8">
                  <v>17172</v>
                </pt>
                <pt idx="9">
                  <v>9624</v>
                </pt>
                <pt idx="10">
                  <v>0</v>
                </pt>
                <pt idx="11">
                  <v>0</v>
                </pt>
                <pt idx="12">
                  <v>5268</v>
                </pt>
                <pt idx="13">
                  <v>11796</v>
                </pt>
                <pt idx="14">
                  <v>13164</v>
                </pt>
                <pt idx="15">
                  <v>15888</v>
                </pt>
                <pt idx="16">
                  <v>12732</v>
                </pt>
                <pt idx="17">
                  <v>9132</v>
                </pt>
                <pt idx="18">
                  <v>12786</v>
                </pt>
                <pt idx="19">
                  <v>7632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81902036"/>
        <axId val="42017854"/>
      </barChart>
      <catAx>
        <axId val="81902036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42017854"/>
        <crosses val="autoZero"/>
        <auto val="1"/>
        <lblAlgn val="ctr"/>
        <lblOffset val="100"/>
        <noMultiLvlLbl val="0"/>
      </catAx>
      <valAx>
        <axId val="4201785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81902036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MARÇO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MARÇO'!$C$8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qua</v>
                  </pt>
                  <pt idx="1">
                    <v>qui</v>
                  </pt>
                  <pt idx="2">
                    <v>sex</v>
                  </pt>
                  <pt idx="3">
                    <v>seg</v>
                  </pt>
                  <pt idx="4">
                    <v>ter</v>
                  </pt>
                  <pt idx="5">
                    <v>qua</v>
                  </pt>
                  <pt idx="6">
                    <v>qui</v>
                  </pt>
                  <pt idx="7">
                    <v>sex</v>
                  </pt>
                  <pt idx="8">
                    <v>seg</v>
                  </pt>
                  <pt idx="9">
                    <v>ter</v>
                  </pt>
                  <pt idx="10">
                    <v>qua</v>
                  </pt>
                  <pt idx="11">
                    <v>qui</v>
                  </pt>
                  <pt idx="12">
                    <v>sex</v>
                  </pt>
                  <pt idx="13">
                    <v>sáb</v>
                  </pt>
                  <pt idx="14">
                    <v>seg</v>
                  </pt>
                  <pt idx="15">
                    <v>ter</v>
                  </pt>
                  <pt idx="16">
                    <v>qua</v>
                  </pt>
                  <pt idx="17">
                    <v>qui</v>
                  </pt>
                  <pt idx="18">
                    <v>sex</v>
                  </pt>
                  <pt idx="19">
                    <v>sáb</v>
                  </pt>
                  <pt idx="20">
                    <v>seg</v>
                  </pt>
                  <pt idx="21">
                    <v>ter</v>
                  </pt>
                  <pt idx="22">
                    <v>qua</v>
                  </pt>
                  <pt idx="23">
                    <v>qui</v>
                  </pt>
                </lvl>
                <lvl>
                  <pt idx="0">
                    <v>1</v>
                  </pt>
                  <pt idx="1">
                    <v>2</v>
                  </pt>
                  <pt idx="3">
                    <v>3</v>
                  </pt>
                  <pt idx="4">
                    <v>4</v>
                  </pt>
                  <pt idx="5">
                    <v>5</v>
                  </pt>
                  <pt idx="6">
                    <v>6</v>
                  </pt>
                  <pt idx="7">
                    <v>7</v>
                  </pt>
                  <pt idx="8">
                    <v>8</v>
                  </pt>
                  <pt idx="9">
                    <v>9</v>
                  </pt>
                  <pt idx="10">
                    <v>10</v>
                  </pt>
                  <pt idx="11">
                    <v>11</v>
                  </pt>
                  <pt idx="12">
                    <v>12</v>
                  </pt>
                  <pt idx="13">
                    <v>13</v>
                  </pt>
                  <pt idx="14">
                    <v>14</v>
                  </pt>
                  <pt idx="15">
                    <v>15</v>
                  </pt>
                  <pt idx="16">
                    <v>16</v>
                  </pt>
                  <pt idx="17">
                    <v>17</v>
                  </pt>
                  <pt idx="18">
                    <v>18</v>
                  </pt>
                  <pt idx="19">
                    <v>19</v>
                  </pt>
                  <pt idx="20">
                    <v>20</v>
                  </pt>
                  <pt idx="21">
                    <v>21</v>
                  </pt>
                  <pt idx="22">
                    <v>22</v>
                  </pt>
                  <pt idx="23">
                    <v>23</v>
                  </pt>
                </lvl>
                <lvl>
                  <pt idx="0">
                    <v>01/04/2026</v>
                  </pt>
                  <pt idx="1">
                    <v>02/04/2026</v>
                  </pt>
                  <pt idx="2">
                    <v>03/04/2026</v>
                  </pt>
                  <pt idx="3">
                    <v>06/04/2026</v>
                  </pt>
                  <pt idx="4">
                    <v>07/04/2026</v>
                  </pt>
                  <pt idx="5">
                    <v>08/04/2026</v>
                  </pt>
                  <pt idx="6">
                    <v>09/04/2026</v>
                  </pt>
                  <pt idx="7">
                    <v>10/04/2026</v>
                  </pt>
                  <pt idx="8">
                    <v>13/04/2026</v>
                  </pt>
                  <pt idx="9">
                    <v>14/04/2026</v>
                  </pt>
                  <pt idx="10">
                    <v>15/04/2026</v>
                  </pt>
                  <pt idx="11">
                    <v>16/04/2026</v>
                  </pt>
                  <pt idx="12">
                    <v>17/04/2026</v>
                  </pt>
                  <pt idx="13">
                    <v>18/04/2026</v>
                  </pt>
                  <pt idx="14">
                    <v>20/04/2026</v>
                  </pt>
                  <pt idx="15">
                    <v>21/04/2026</v>
                  </pt>
                  <pt idx="16">
                    <v>22/04/2026</v>
                  </pt>
                  <pt idx="17">
                    <v>23/04/2026</v>
                  </pt>
                  <pt idx="18">
                    <v>24/04/2026</v>
                  </pt>
                  <pt idx="19">
                    <v>25/04/2026</v>
                  </pt>
                  <pt idx="20">
                    <v>27/04/2026</v>
                  </pt>
                  <pt idx="21">
                    <v>28/04/2026</v>
                  </pt>
                  <pt idx="22">
                    <v>29/04/2026</v>
                  </pt>
                  <pt idx="23">
                    <v>30/04/2026</v>
                  </pt>
                </lvl>
              </multiLvlStrCache>
              <f>'GRAFICO ABRIL'!$A$9:$C$32</f>
            </multiLvlStrRef>
          </cat>
          <val>
            <numRef>
              <f>'GRAFICO MARÇO'!$C$9:$C$30</f>
              <numCache>
                <formatCode>#,##0</formatCode>
                <ptCount val="22"/>
                <pt idx="0">
                  <v>11988</v>
                </pt>
                <pt idx="1">
                  <v>15948</v>
                </pt>
                <pt idx="2">
                  <v>11472</v>
                </pt>
                <pt idx="3">
                  <v>13308</v>
                </pt>
                <pt idx="4">
                  <v>11340</v>
                </pt>
                <pt idx="5">
                  <v>15336</v>
                </pt>
                <pt idx="6">
                  <v>13176</v>
                </pt>
                <pt idx="7">
                  <v>13728</v>
                </pt>
                <pt idx="8">
                  <v>9900</v>
                </pt>
                <pt idx="9">
                  <v>13452</v>
                </pt>
                <pt idx="10">
                  <v>16524</v>
                </pt>
                <pt idx="11">
                  <v>17784</v>
                </pt>
                <pt idx="12">
                  <v>15612</v>
                </pt>
                <pt idx="13">
                  <v>10548</v>
                </pt>
                <pt idx="14">
                  <v>5172</v>
                </pt>
                <pt idx="15">
                  <v>8652</v>
                </pt>
                <pt idx="16">
                  <v>5592</v>
                </pt>
                <pt idx="17">
                  <v>9060</v>
                </pt>
                <pt idx="18">
                  <v>17856</v>
                </pt>
                <pt idx="19">
                  <v>12420</v>
                </pt>
                <pt idx="20">
                  <v>17604</v>
                </pt>
                <pt idx="21">
                  <v>14292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8124337"/>
        <axId val="37408579"/>
      </barChart>
      <catAx>
        <axId val="8124337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37408579"/>
        <crosses val="autoZero"/>
        <auto val="1"/>
        <lblAlgn val="ctr"/>
        <lblOffset val="100"/>
        <noMultiLvlLbl val="0"/>
      </catAx>
      <valAx>
        <axId val="3740857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8124337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ABRIL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ABRIL'!$D$8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invertIfNegative val="0"/>
          <dPt>
            <idx val="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14"/>
            <invertIfNegative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15"/>
            <invertIfNegative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18"/>
            <invertIfNegative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19"/>
            <invertIfNegative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20"/>
            <invertIfNegative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21"/>
            <invertIfNegative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Pt>
            <idx val="22"/>
            <invertIfNegative val="0"/>
            <bubble3D val="0"/>
            <spPr>
              <a:solidFill xmlns:a="http://schemas.openxmlformats.org/drawingml/2006/main">
                <a:srgbClr val="FF7C80"/>
              </a:solidFill>
              <a:ln xmlns:a="http://schemas.openxmlformats.org/drawingml/2006/main" w="0">
                <a:solidFill>
                  <a:srgbClr val="FFFFFF"/>
                </a:solidFill>
                <a:prstDash val="solid"/>
              </a:ln>
            </spPr>
          </dPt>
          <dLbls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qua</v>
                  </pt>
                  <pt idx="1">
                    <v>qui</v>
                  </pt>
                  <pt idx="2">
                    <v>sex</v>
                  </pt>
                  <pt idx="3">
                    <v>seg</v>
                  </pt>
                  <pt idx="4">
                    <v>ter</v>
                  </pt>
                  <pt idx="5">
                    <v>qua</v>
                  </pt>
                  <pt idx="6">
                    <v>qui</v>
                  </pt>
                  <pt idx="7">
                    <v>sex</v>
                  </pt>
                  <pt idx="8">
                    <v>seg</v>
                  </pt>
                  <pt idx="9">
                    <v>ter</v>
                  </pt>
                  <pt idx="10">
                    <v>qua</v>
                  </pt>
                  <pt idx="11">
                    <v>qui</v>
                  </pt>
                  <pt idx="12">
                    <v>sex</v>
                  </pt>
                  <pt idx="13">
                    <v>sáb</v>
                  </pt>
                  <pt idx="14">
                    <v>seg</v>
                  </pt>
                  <pt idx="15">
                    <v>ter</v>
                  </pt>
                  <pt idx="16">
                    <v>qua</v>
                  </pt>
                  <pt idx="17">
                    <v>qui</v>
                  </pt>
                  <pt idx="18">
                    <v>sex</v>
                  </pt>
                  <pt idx="19">
                    <v>sáb</v>
                  </pt>
                  <pt idx="20">
                    <v>seg</v>
                  </pt>
                  <pt idx="21">
                    <v>ter</v>
                  </pt>
                  <pt idx="22">
                    <v>qua</v>
                  </pt>
                  <pt idx="23">
                    <v>qui</v>
                  </pt>
                </lvl>
                <lvl>
                  <pt idx="0">
                    <v>1</v>
                  </pt>
                  <pt idx="1">
                    <v>2</v>
                  </pt>
                  <pt idx="3">
                    <v>3</v>
                  </pt>
                  <pt idx="4">
                    <v>4</v>
                  </pt>
                  <pt idx="5">
                    <v>5</v>
                  </pt>
                  <pt idx="6">
                    <v>6</v>
                  </pt>
                  <pt idx="7">
                    <v>7</v>
                  </pt>
                  <pt idx="8">
                    <v>8</v>
                  </pt>
                  <pt idx="9">
                    <v>9</v>
                  </pt>
                  <pt idx="10">
                    <v>10</v>
                  </pt>
                  <pt idx="11">
                    <v>11</v>
                  </pt>
                  <pt idx="12">
                    <v>12</v>
                  </pt>
                  <pt idx="13">
                    <v>13</v>
                  </pt>
                  <pt idx="14">
                    <v>14</v>
                  </pt>
                  <pt idx="15">
                    <v>15</v>
                  </pt>
                  <pt idx="16">
                    <v>16</v>
                  </pt>
                  <pt idx="17">
                    <v>17</v>
                  </pt>
                  <pt idx="18">
                    <v>18</v>
                  </pt>
                  <pt idx="19">
                    <v>19</v>
                  </pt>
                  <pt idx="20">
                    <v>20</v>
                  </pt>
                  <pt idx="21">
                    <v>21</v>
                  </pt>
                  <pt idx="22">
                    <v>22</v>
                  </pt>
                  <pt idx="23">
                    <v>23</v>
                  </pt>
                </lvl>
                <lvl>
                  <pt idx="0">
                    <v>01/04/2026</v>
                  </pt>
                  <pt idx="1">
                    <v>02/04/2026</v>
                  </pt>
                  <pt idx="2">
                    <v>03/04/2026</v>
                  </pt>
                  <pt idx="3">
                    <v>06/04/2026</v>
                  </pt>
                  <pt idx="4">
                    <v>07/04/2026</v>
                  </pt>
                  <pt idx="5">
                    <v>08/04/2026</v>
                  </pt>
                  <pt idx="6">
                    <v>09/04/2026</v>
                  </pt>
                  <pt idx="7">
                    <v>10/04/2026</v>
                  </pt>
                  <pt idx="8">
                    <v>13/04/2026</v>
                  </pt>
                  <pt idx="9">
                    <v>14/04/2026</v>
                  </pt>
                  <pt idx="10">
                    <v>15/04/2026</v>
                  </pt>
                  <pt idx="11">
                    <v>16/04/2026</v>
                  </pt>
                  <pt idx="12">
                    <v>17/04/2026</v>
                  </pt>
                  <pt idx="13">
                    <v>18/04/2026</v>
                  </pt>
                  <pt idx="14">
                    <v>20/04/2026</v>
                  </pt>
                  <pt idx="15">
                    <v>21/04/2026</v>
                  </pt>
                  <pt idx="16">
                    <v>22/04/2026</v>
                  </pt>
                  <pt idx="17">
                    <v>23/04/2026</v>
                  </pt>
                  <pt idx="18">
                    <v>24/04/2026</v>
                  </pt>
                  <pt idx="19">
                    <v>25/04/2026</v>
                  </pt>
                  <pt idx="20">
                    <v>27/04/2026</v>
                  </pt>
                  <pt idx="21">
                    <v>28/04/2026</v>
                  </pt>
                  <pt idx="22">
                    <v>29/04/2026</v>
                  </pt>
                  <pt idx="23">
                    <v>30/04/2026</v>
                  </pt>
                </lvl>
              </multiLvlStrCache>
              <f>'GRAFICO ABRIL'!$A$9:$C$32</f>
            </multiLvlStrRef>
          </cat>
          <val>
            <numRef>
              <f>'GRAFICO ABRIL'!$D$9:$D$32</f>
              <numCache>
                <formatCode>#,##0</formatCode>
                <ptCount val="24"/>
                <pt idx="0">
                  <v>13872</v>
                </pt>
                <pt idx="1">
                  <v>12600</v>
                </pt>
                <pt idx="2">
                  <v>0</v>
                </pt>
                <pt idx="3">
                  <v>12780</v>
                </pt>
                <pt idx="4">
                  <v>11046</v>
                </pt>
                <pt idx="5">
                  <v>18036</v>
                </pt>
                <pt idx="6">
                  <v>12060</v>
                </pt>
                <pt idx="7">
                  <v>6720</v>
                </pt>
                <pt idx="8">
                  <v>11916</v>
                </pt>
                <pt idx="9">
                  <v>10242</v>
                </pt>
                <pt idx="10">
                  <v>10668</v>
                </pt>
                <pt idx="11">
                  <v>11964</v>
                </pt>
                <pt idx="12">
                  <v>7872</v>
                </pt>
                <pt idx="13">
                  <v>7872</v>
                </pt>
                <pt idx="14">
                  <v>11112</v>
                </pt>
                <pt idx="15">
                  <v>11976</v>
                </pt>
                <pt idx="16">
                  <v>8610</v>
                </pt>
                <pt idx="17">
                  <v>8370</v>
                </pt>
                <pt idx="18">
                  <v>10164</v>
                </pt>
                <pt idx="19">
                  <v>13692</v>
                </pt>
                <pt idx="20">
                  <v>20196</v>
                </pt>
                <pt idx="21">
                  <v>11238</v>
                </pt>
                <pt idx="22">
                  <v>9468</v>
                </pt>
                <pt idx="23">
                  <v>11880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81873333"/>
        <axId val="24920852"/>
      </barChart>
      <catAx>
        <axId val="81873333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24920852"/>
        <crosses val="autoZero"/>
        <auto val="1"/>
        <lblAlgn val="ctr"/>
        <lblOffset val="100"/>
        <noMultiLvlLbl val="0"/>
      </catAx>
      <valAx>
        <axId val="2492085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81873333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MAIO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MAIO'!$C$8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3</v>
                  </pt>
                  <pt idx="3">
                    <v>4</v>
                  </pt>
                  <pt idx="4">
                    <v>5</v>
                  </pt>
                  <pt idx="5">
                    <v>6</v>
                  </pt>
                  <pt idx="6">
                    <v>7</v>
                  </pt>
                  <pt idx="7">
                    <v>8</v>
                  </pt>
                  <pt idx="8">
                    <v>9</v>
                  </pt>
                  <pt idx="9">
                    <v>10</v>
                  </pt>
                  <pt idx="10">
                    <v>11</v>
                  </pt>
                  <pt idx="11">
                    <v>12</v>
                  </pt>
                  <pt idx="12">
                    <v>13</v>
                  </pt>
                  <pt idx="13">
                    <v>14</v>
                  </pt>
                  <pt idx="14">
                    <v>15</v>
                  </pt>
                  <pt idx="15">
                    <v>16</v>
                  </pt>
                  <pt idx="16">
                    <v>17</v>
                  </pt>
                  <pt idx="17">
                    <v>18</v>
                  </pt>
                  <pt idx="18">
                    <v>19</v>
                  </pt>
                  <pt idx="19">
                    <v>20</v>
                  </pt>
                  <pt idx="20">
                    <v>21</v>
                  </pt>
                  <pt idx="21">
                    <v>22</v>
                  </pt>
                  <pt idx="22">
                    <v>23</v>
                  </pt>
                  <pt idx="23">
                    <v>24</v>
                  </pt>
                  <pt idx="24">
                    <v>25</v>
                  </pt>
                  <pt idx="25">
                    <v>26</v>
                  </pt>
                </lvl>
                <lvl>
                  <pt idx="0">
                    <v>01/05/2026</v>
                  </pt>
                  <pt idx="1">
                    <v>02/05/2026</v>
                  </pt>
                  <pt idx="2">
                    <v>04/05/2026</v>
                  </pt>
                  <pt idx="3">
                    <v>05/05/2026</v>
                  </pt>
                  <pt idx="4">
                    <v>06/05/2026</v>
                  </pt>
                  <pt idx="5">
                    <v>07/05/2026</v>
                  </pt>
                  <pt idx="6">
                    <v>08/05/2026</v>
                  </pt>
                  <pt idx="7">
                    <v>09/05/2026</v>
                  </pt>
                  <pt idx="8">
                    <v>11/05/2026</v>
                  </pt>
                  <pt idx="9">
                    <v>12/05/2026</v>
                  </pt>
                  <pt idx="10">
                    <v>13/05/2026</v>
                  </pt>
                  <pt idx="11">
                    <v>14/05/2026</v>
                  </pt>
                  <pt idx="12">
                    <v>15/05/2026</v>
                  </pt>
                  <pt idx="13">
                    <v>16/05/2026</v>
                  </pt>
                  <pt idx="14">
                    <v>18/05/2026</v>
                  </pt>
                  <pt idx="15">
                    <v>19/05/2026</v>
                  </pt>
                  <pt idx="16">
                    <v>20/05/2026</v>
                  </pt>
                  <pt idx="17">
                    <v>21/05/2026</v>
                  </pt>
                  <pt idx="18">
                    <v>22/05/2026</v>
                  </pt>
                  <pt idx="19">
                    <v>23/05/2026</v>
                  </pt>
                  <pt idx="20">
                    <v>25/05/2026</v>
                  </pt>
                  <pt idx="21">
                    <v>26/05/2026</v>
                  </pt>
                  <pt idx="22">
                    <v>27/05/2026</v>
                  </pt>
                  <pt idx="23">
                    <v>28/05/2026</v>
                  </pt>
                  <pt idx="24">
                    <v>29/05/2026</v>
                  </pt>
                  <pt idx="25">
                    <v>30/05/2026</v>
                  </pt>
                </lvl>
              </multiLvlStrCache>
              <f>'GRAFICO MAIO'!$A$9:$B$34</f>
            </multiLvlStrRef>
          </cat>
          <val>
            <numRef>
              <f>'GRAFICO MAIO'!$C$9:$C$34</f>
              <numCache>
                <formatCode>#,##0</formatCode>
                <ptCount val="26"/>
                <pt idx="0">
                  <v>11634</v>
                </pt>
                <pt idx="1">
                  <v>12324</v>
                </pt>
                <pt idx="2">
                  <v>17748</v>
                </pt>
                <pt idx="3">
                  <v>3012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17678144"/>
        <axId val="90109042"/>
      </barChart>
      <catAx>
        <axId val="17678144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90109042"/>
        <crosses val="autoZero"/>
        <auto val="1"/>
        <lblAlgn val="ctr"/>
        <lblOffset val="100"/>
        <noMultiLvlLbl val="0"/>
      </catAx>
      <valAx>
        <axId val="9010904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17678144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JUNHO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JUNHO'!$C$8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3</v>
                  </pt>
                  <pt idx="3">
                    <v>4</v>
                  </pt>
                  <pt idx="4">
                    <v>5</v>
                  </pt>
                  <pt idx="5">
                    <v>6</v>
                  </pt>
                  <pt idx="6">
                    <v>7</v>
                  </pt>
                  <pt idx="7">
                    <v>8</v>
                  </pt>
                  <pt idx="8">
                    <v>9</v>
                  </pt>
                  <pt idx="9">
                    <v>10</v>
                  </pt>
                  <pt idx="10">
                    <v>11</v>
                  </pt>
                  <pt idx="11">
                    <v>12</v>
                  </pt>
                  <pt idx="12">
                    <v>13</v>
                  </pt>
                  <pt idx="13">
                    <v>14</v>
                  </pt>
                  <pt idx="14">
                    <v>15</v>
                  </pt>
                  <pt idx="15">
                    <v>16</v>
                  </pt>
                  <pt idx="16">
                    <v>17</v>
                  </pt>
                  <pt idx="17">
                    <v>18</v>
                  </pt>
                  <pt idx="18">
                    <v>19</v>
                  </pt>
                  <pt idx="19">
                    <v>20</v>
                  </pt>
                  <pt idx="20">
                    <v>21</v>
                  </pt>
                  <pt idx="21">
                    <v>22</v>
                  </pt>
                  <pt idx="22">
                    <v>23</v>
                  </pt>
                  <pt idx="23">
                    <v>24</v>
                  </pt>
                  <pt idx="24">
                    <v>25</v>
                  </pt>
                  <pt idx="25">
                    <v>26</v>
                  </pt>
                </lvl>
                <lvl>
                  <pt idx="0">
                    <v>01/06/2026</v>
                  </pt>
                  <pt idx="1">
                    <v>02/06/2026</v>
                  </pt>
                  <pt idx="2">
                    <v>03/06/2026</v>
                  </pt>
                  <pt idx="3">
                    <v>04/06/2026</v>
                  </pt>
                  <pt idx="4">
                    <v>05/06/2026</v>
                  </pt>
                  <pt idx="5">
                    <v>06/06/2026</v>
                  </pt>
                  <pt idx="6">
                    <v>08/06/2026</v>
                  </pt>
                  <pt idx="7">
                    <v>09/06/2026</v>
                  </pt>
                  <pt idx="8">
                    <v>10/06/2026</v>
                  </pt>
                  <pt idx="9">
                    <v>11/06/2026</v>
                  </pt>
                  <pt idx="10">
                    <v>12/06/2026</v>
                  </pt>
                  <pt idx="11">
                    <v>13/06/2026</v>
                  </pt>
                  <pt idx="12">
                    <v>15/06/2026</v>
                  </pt>
                  <pt idx="13">
                    <v>16/06/2026</v>
                  </pt>
                  <pt idx="14">
                    <v>17/06/2026</v>
                  </pt>
                  <pt idx="15">
                    <v>18/06/2026</v>
                  </pt>
                  <pt idx="16">
                    <v>19/06/2026</v>
                  </pt>
                  <pt idx="17">
                    <v>20/06/2026</v>
                  </pt>
                  <pt idx="18">
                    <v>22/06/2026</v>
                  </pt>
                  <pt idx="19">
                    <v>23/06/2026</v>
                  </pt>
                  <pt idx="20">
                    <v>24/06/2026</v>
                  </pt>
                  <pt idx="21">
                    <v>25/06/2026</v>
                  </pt>
                  <pt idx="22">
                    <v>26/06/2026</v>
                  </pt>
                  <pt idx="23">
                    <v>27/06/2026</v>
                  </pt>
                  <pt idx="24">
                    <v>29/06/2026</v>
                  </pt>
                  <pt idx="25">
                    <v>30/06/2026</v>
                  </pt>
                </lvl>
              </multiLvlStrCache>
              <f>'GRAFICO JUNHO'!$A$9:$B$34</f>
            </multiLvlStrRef>
          </cat>
          <val>
            <numRef>
              <f>'GRAFICO JUNHO'!$C$9:$C$34</f>
              <numCache>
                <formatCode>#,##0</formatCode>
                <ptCount val="2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14435055"/>
        <axId val="7092388"/>
      </barChart>
      <catAx>
        <axId val="14435055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7092388"/>
        <crosses val="autoZero"/>
        <auto val="1"/>
        <lblAlgn val="ctr"/>
        <lblOffset val="100"/>
        <noMultiLvlLbl val="0"/>
      </catAx>
      <valAx>
        <axId val="709238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14435055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JULHO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JULHO'!$C$8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3</v>
                  </pt>
                  <pt idx="3">
                    <v>4</v>
                  </pt>
                  <pt idx="4">
                    <v>5</v>
                  </pt>
                  <pt idx="5">
                    <v>6</v>
                  </pt>
                  <pt idx="6">
                    <v>7</v>
                  </pt>
                  <pt idx="7">
                    <v>8</v>
                  </pt>
                  <pt idx="8">
                    <v>9</v>
                  </pt>
                  <pt idx="9">
                    <v>10</v>
                  </pt>
                  <pt idx="10">
                    <v>11</v>
                  </pt>
                  <pt idx="11">
                    <v>12</v>
                  </pt>
                  <pt idx="12">
                    <v>13</v>
                  </pt>
                  <pt idx="13">
                    <v>14</v>
                  </pt>
                  <pt idx="14">
                    <v>15</v>
                  </pt>
                  <pt idx="15">
                    <v>16</v>
                  </pt>
                  <pt idx="16">
                    <v>17</v>
                  </pt>
                  <pt idx="17">
                    <v>18</v>
                  </pt>
                  <pt idx="18">
                    <v>19</v>
                  </pt>
                  <pt idx="19">
                    <v>20</v>
                  </pt>
                  <pt idx="20">
                    <v>21</v>
                  </pt>
                  <pt idx="21">
                    <v>22</v>
                  </pt>
                  <pt idx="22">
                    <v>23</v>
                  </pt>
                  <pt idx="23">
                    <v>24</v>
                  </pt>
                  <pt idx="24">
                    <v>25</v>
                  </pt>
                  <pt idx="25">
                    <v>26</v>
                  </pt>
                  <pt idx="26">
                    <v>27</v>
                  </pt>
                </lvl>
                <lvl>
                  <pt idx="0">
                    <v>01/07/2026</v>
                  </pt>
                  <pt idx="1">
                    <v>02/07/2026</v>
                  </pt>
                  <pt idx="2">
                    <v>03/07/2026</v>
                  </pt>
                  <pt idx="3">
                    <v>04/07/2026</v>
                  </pt>
                  <pt idx="4">
                    <v>06/07/2026</v>
                  </pt>
                  <pt idx="5">
                    <v>07/07/2026</v>
                  </pt>
                  <pt idx="6">
                    <v>08/07/2026</v>
                  </pt>
                  <pt idx="7">
                    <v>09/07/2026</v>
                  </pt>
                  <pt idx="8">
                    <v>10/07/2026</v>
                  </pt>
                  <pt idx="9">
                    <v>11/07/2026</v>
                  </pt>
                  <pt idx="10">
                    <v>13/07/2026</v>
                  </pt>
                  <pt idx="11">
                    <v>14/07/2026</v>
                  </pt>
                  <pt idx="12">
                    <v>15/07/2026</v>
                  </pt>
                  <pt idx="13">
                    <v>16/07/2026</v>
                  </pt>
                  <pt idx="14">
                    <v>17/07/2026</v>
                  </pt>
                  <pt idx="15">
                    <v>18/07/2026</v>
                  </pt>
                  <pt idx="16">
                    <v>20/07/2026</v>
                  </pt>
                  <pt idx="17">
                    <v>21/07/2026</v>
                  </pt>
                  <pt idx="18">
                    <v>22/07/2026</v>
                  </pt>
                  <pt idx="19">
                    <v>23/07/2026</v>
                  </pt>
                  <pt idx="20">
                    <v>24/07/2026</v>
                  </pt>
                  <pt idx="21">
                    <v>25/07/2026</v>
                  </pt>
                  <pt idx="22">
                    <v>27/07/2026</v>
                  </pt>
                  <pt idx="23">
                    <v>28/07/2026</v>
                  </pt>
                  <pt idx="24">
                    <v>29/07/2026</v>
                  </pt>
                  <pt idx="25">
                    <v>30/07/2026</v>
                  </pt>
                  <pt idx="26">
                    <v>31/07/2026</v>
                  </pt>
                </lvl>
              </multiLvlStrCache>
              <f>'GRAFICO JULHO'!$A$9:$B$35</f>
            </multiLvlStrRef>
          </cat>
          <val>
            <numRef>
              <f>'GRAFICO JULHO'!$C$9:$C$35</f>
              <numCache>
                <formatCode>#,##0</formatCode>
                <ptCount val="2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70712397"/>
        <axId val="77455417"/>
      </barChart>
      <catAx>
        <axId val="70712397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77455417"/>
        <crosses val="autoZero"/>
        <auto val="1"/>
        <lblAlgn val="ctr"/>
        <lblOffset val="100"/>
        <noMultiLvlLbl val="0"/>
      </catAx>
      <valAx>
        <axId val="7745541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70712397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AGOSTO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AGOSTO'!$C$8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3</v>
                  </pt>
                  <pt idx="3">
                    <v>4</v>
                  </pt>
                  <pt idx="4">
                    <v>5</v>
                  </pt>
                  <pt idx="5">
                    <v>6</v>
                  </pt>
                  <pt idx="6">
                    <v>7</v>
                  </pt>
                  <pt idx="7">
                    <v>8</v>
                  </pt>
                  <pt idx="8">
                    <v>9</v>
                  </pt>
                  <pt idx="9">
                    <v>10</v>
                  </pt>
                  <pt idx="10">
                    <v>11</v>
                  </pt>
                  <pt idx="11">
                    <v>12</v>
                  </pt>
                  <pt idx="12">
                    <v>13</v>
                  </pt>
                  <pt idx="13">
                    <v>14</v>
                  </pt>
                  <pt idx="14">
                    <v>15</v>
                  </pt>
                  <pt idx="15">
                    <v>16</v>
                  </pt>
                  <pt idx="16">
                    <v>17</v>
                  </pt>
                  <pt idx="17">
                    <v>18</v>
                  </pt>
                  <pt idx="18">
                    <v>19</v>
                  </pt>
                  <pt idx="19">
                    <v>20</v>
                  </pt>
                  <pt idx="20">
                    <v>21</v>
                  </pt>
                  <pt idx="21">
                    <v>22</v>
                  </pt>
                  <pt idx="22">
                    <v>23</v>
                  </pt>
                  <pt idx="23">
                    <v>24</v>
                  </pt>
                  <pt idx="24">
                    <v>25</v>
                  </pt>
                  <pt idx="25">
                    <v>26</v>
                  </pt>
                </lvl>
                <lvl>
                  <pt idx="0">
                    <v>01/08/2026</v>
                  </pt>
                  <pt idx="1">
                    <v>03/08/2026</v>
                  </pt>
                  <pt idx="2">
                    <v>04/08/2026</v>
                  </pt>
                  <pt idx="3">
                    <v>05/08/2026</v>
                  </pt>
                  <pt idx="4">
                    <v>06/08/2026</v>
                  </pt>
                  <pt idx="5">
                    <v>07/08/2026</v>
                  </pt>
                  <pt idx="6">
                    <v>08/08/2026</v>
                  </pt>
                  <pt idx="7">
                    <v>10/08/2026</v>
                  </pt>
                  <pt idx="8">
                    <v>11/08/2026</v>
                  </pt>
                  <pt idx="9">
                    <v>12/08/2026</v>
                  </pt>
                  <pt idx="10">
                    <v>13/08/2026</v>
                  </pt>
                  <pt idx="11">
                    <v>14/08/2026</v>
                  </pt>
                  <pt idx="12">
                    <v>15/08/2026</v>
                  </pt>
                  <pt idx="13">
                    <v>17/08/2026</v>
                  </pt>
                  <pt idx="14">
                    <v>18/08/2026</v>
                  </pt>
                  <pt idx="15">
                    <v>19/08/2026</v>
                  </pt>
                  <pt idx="16">
                    <v>20/08/2026</v>
                  </pt>
                  <pt idx="17">
                    <v>21/08/2026</v>
                  </pt>
                  <pt idx="18">
                    <v>22/08/2026</v>
                  </pt>
                  <pt idx="19">
                    <v>24/08/2026</v>
                  </pt>
                  <pt idx="20">
                    <v>25/08/2026</v>
                  </pt>
                  <pt idx="21">
                    <v>26/08/2026</v>
                  </pt>
                  <pt idx="22">
                    <v>27/08/2026</v>
                  </pt>
                  <pt idx="23">
                    <v>28/08/2026</v>
                  </pt>
                  <pt idx="24">
                    <v>29/08/2026</v>
                  </pt>
                  <pt idx="25">
                    <v>31/08/2026</v>
                  </pt>
                </lvl>
              </multiLvlStrCache>
              <f>'GRAFICO AGOSTO'!$A$9:$B$34</f>
            </multiLvlStrRef>
          </cat>
          <val>
            <numRef>
              <f>'GRAFICO AGOSTO'!$C$9:$C$34</f>
              <numCache>
                <formatCode>#,##0</formatCode>
                <ptCount val="2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51946331"/>
        <axId val="13270925"/>
      </barChart>
      <catAx>
        <axId val="51946331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13270925"/>
        <crosses val="autoZero"/>
        <auto val="1"/>
        <lblAlgn val="ctr"/>
        <lblOffset val="100"/>
        <noMultiLvlLbl val="0"/>
      </catAx>
      <valAx>
        <axId val="1327092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51946331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SETEMBRO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SETEMBRO'!$C$8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3</v>
                  </pt>
                  <pt idx="3">
                    <v>4</v>
                  </pt>
                  <pt idx="4">
                    <v>5</v>
                  </pt>
                  <pt idx="6">
                    <v>6</v>
                  </pt>
                  <pt idx="7">
                    <v>7</v>
                  </pt>
                  <pt idx="8">
                    <v>8</v>
                  </pt>
                  <pt idx="9">
                    <v>9</v>
                  </pt>
                  <pt idx="10">
                    <v>10</v>
                  </pt>
                  <pt idx="11">
                    <v>11</v>
                  </pt>
                  <pt idx="12">
                    <v>12</v>
                  </pt>
                  <pt idx="13">
                    <v>13</v>
                  </pt>
                  <pt idx="14">
                    <v>14</v>
                  </pt>
                  <pt idx="15">
                    <v>15</v>
                  </pt>
                  <pt idx="16">
                    <v>16</v>
                  </pt>
                  <pt idx="17">
                    <v>17</v>
                  </pt>
                  <pt idx="18">
                    <v>18</v>
                  </pt>
                  <pt idx="19">
                    <v>19</v>
                  </pt>
                  <pt idx="20">
                    <v>20</v>
                  </pt>
                  <pt idx="21">
                    <v>21</v>
                  </pt>
                  <pt idx="22">
                    <v>22</v>
                  </pt>
                  <pt idx="23">
                    <v>23</v>
                  </pt>
                  <pt idx="24">
                    <v>24</v>
                  </pt>
                  <pt idx="25">
                    <v>25</v>
                  </pt>
                </lvl>
                <lvl>
                  <pt idx="0">
                    <v>01/09/2026</v>
                  </pt>
                  <pt idx="1">
                    <v>02/09/2026</v>
                  </pt>
                  <pt idx="2">
                    <v>03/09/2026</v>
                  </pt>
                  <pt idx="3">
                    <v>04/09/2026</v>
                  </pt>
                  <pt idx="4">
                    <v>05/09/2026</v>
                  </pt>
                  <pt idx="5">
                    <v>07/09/2026</v>
                  </pt>
                  <pt idx="6">
                    <v>08/09/2026</v>
                  </pt>
                  <pt idx="7">
                    <v>09/09/2026</v>
                  </pt>
                  <pt idx="8">
                    <v>10/09/2026</v>
                  </pt>
                  <pt idx="9">
                    <v>11/09/2026</v>
                  </pt>
                  <pt idx="10">
                    <v>12/09/2026</v>
                  </pt>
                  <pt idx="11">
                    <v>14/09/2026</v>
                  </pt>
                  <pt idx="12">
                    <v>15/09/2026</v>
                  </pt>
                  <pt idx="13">
                    <v>16/09/2026</v>
                  </pt>
                  <pt idx="14">
                    <v>17/09/2026</v>
                  </pt>
                  <pt idx="15">
                    <v>18/09/2026</v>
                  </pt>
                  <pt idx="16">
                    <v>19/09/2026</v>
                  </pt>
                  <pt idx="17">
                    <v>21/09/2026</v>
                  </pt>
                  <pt idx="18">
                    <v>22/09/2026</v>
                  </pt>
                  <pt idx="19">
                    <v>23/09/2026</v>
                  </pt>
                  <pt idx="20">
                    <v>24/09/2026</v>
                  </pt>
                  <pt idx="21">
                    <v>25/09/2026</v>
                  </pt>
                  <pt idx="22">
                    <v>26/09/2026</v>
                  </pt>
                  <pt idx="23">
                    <v>28/09/2026</v>
                  </pt>
                  <pt idx="24">
                    <v>29/09/2026</v>
                  </pt>
                  <pt idx="25">
                    <v>30/09/2026</v>
                  </pt>
                </lvl>
              </multiLvlStrCache>
              <f>'GRAFICO SETEMBRO'!$A$9:$B$34</f>
            </multiLvlStrRef>
          </cat>
          <val>
            <numRef>
              <f>'GRAFICO SETEMBRO'!$C$9:$C$34</f>
              <numCache>
                <formatCode>#,##0</formatCode>
                <ptCount val="2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45511457"/>
        <axId val="59841557"/>
      </barChart>
      <catAx>
        <axId val="45511457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59841557"/>
        <crosses val="autoZero"/>
        <auto val="1"/>
        <lblAlgn val="ctr"/>
        <lblOffset val="100"/>
        <noMultiLvlLbl val="0"/>
      </catAx>
      <valAx>
        <axId val="5984155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45511457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OUTUBRO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OUTUBRO'!$C$8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3</v>
                  </pt>
                  <pt idx="3">
                    <v>4</v>
                  </pt>
                  <pt idx="4">
                    <v>5</v>
                  </pt>
                  <pt idx="5">
                    <v>6</v>
                  </pt>
                  <pt idx="6">
                    <v>7</v>
                  </pt>
                  <pt idx="7">
                    <v>8</v>
                  </pt>
                  <pt idx="8">
                    <v>9</v>
                  </pt>
                  <pt idx="10">
                    <v>10</v>
                  </pt>
                  <pt idx="11">
                    <v>11</v>
                  </pt>
                  <pt idx="12">
                    <v>12</v>
                  </pt>
                  <pt idx="13">
                    <v>13</v>
                  </pt>
                  <pt idx="14">
                    <v>14</v>
                  </pt>
                  <pt idx="15">
                    <v>15</v>
                  </pt>
                  <pt idx="16">
                    <v>16</v>
                  </pt>
                  <pt idx="17">
                    <v>17</v>
                  </pt>
                  <pt idx="18">
                    <v>18</v>
                  </pt>
                  <pt idx="19">
                    <v>19</v>
                  </pt>
                  <pt idx="20">
                    <v>20</v>
                  </pt>
                  <pt idx="21">
                    <v>21</v>
                  </pt>
                  <pt idx="22">
                    <v>22</v>
                  </pt>
                  <pt idx="23">
                    <v>23</v>
                  </pt>
                  <pt idx="24">
                    <v>24</v>
                  </pt>
                  <pt idx="25">
                    <v>25</v>
                  </pt>
                  <pt idx="26">
                    <v>26</v>
                  </pt>
                </lvl>
                <lvl>
                  <pt idx="0">
                    <v>01/10/2026</v>
                  </pt>
                  <pt idx="1">
                    <v>02/10/2026</v>
                  </pt>
                  <pt idx="2">
                    <v>03/10/2026</v>
                  </pt>
                  <pt idx="3">
                    <v>05/10/2026</v>
                  </pt>
                  <pt idx="4">
                    <v>06/10/2026</v>
                  </pt>
                  <pt idx="5">
                    <v>07/10/2026</v>
                  </pt>
                  <pt idx="6">
                    <v>08/10/2026</v>
                  </pt>
                  <pt idx="7">
                    <v>09/10/2026</v>
                  </pt>
                  <pt idx="8">
                    <v>10/10/2026</v>
                  </pt>
                  <pt idx="9">
                    <v>12/10/2026</v>
                  </pt>
                  <pt idx="10">
                    <v>13/10/2026</v>
                  </pt>
                  <pt idx="11">
                    <v>14/10/2026</v>
                  </pt>
                  <pt idx="12">
                    <v>15/10/2026</v>
                  </pt>
                  <pt idx="13">
                    <v>16/10/2026</v>
                  </pt>
                  <pt idx="14">
                    <v>17/10/2026</v>
                  </pt>
                  <pt idx="15">
                    <v>19/10/2026</v>
                  </pt>
                  <pt idx="16">
                    <v>20/10/2026</v>
                  </pt>
                  <pt idx="17">
                    <v>21/10/2026</v>
                  </pt>
                  <pt idx="18">
                    <v>22/10/2026</v>
                  </pt>
                  <pt idx="19">
                    <v>23/10/2026</v>
                  </pt>
                  <pt idx="20">
                    <v>24/10/2026</v>
                  </pt>
                  <pt idx="21">
                    <v>26/10/2026</v>
                  </pt>
                  <pt idx="22">
                    <v>27/10/2026</v>
                  </pt>
                  <pt idx="23">
                    <v>28/10/2026</v>
                  </pt>
                  <pt idx="24">
                    <v>29/10/2026</v>
                  </pt>
                  <pt idx="25">
                    <v>30/10/2026</v>
                  </pt>
                  <pt idx="26">
                    <v>31/10/2026</v>
                  </pt>
                </lvl>
              </multiLvlStrCache>
              <f>'GRAFICO OUTUBRO'!$A$9:$B$35</f>
            </multiLvlStrRef>
          </cat>
          <val>
            <numRef>
              <f>'GRAFICO OUTUBRO'!$C$9:$C$35</f>
              <numCache>
                <formatCode>#,##0</formatCode>
                <ptCount val="2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57660381"/>
        <axId val="63461861"/>
      </barChart>
      <catAx>
        <axId val="57660381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63461861"/>
        <crosses val="autoZero"/>
        <auto val="1"/>
        <lblAlgn val="ctr"/>
        <lblOffset val="100"/>
        <noMultiLvlLbl val="0"/>
      </catAx>
      <valAx>
        <axId val="6346186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57660381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NOVEMBRO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NOVEMBRO'!$C$8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1">
                    <v>1</v>
                  </pt>
                  <pt idx="2">
                    <v>2</v>
                  </pt>
                  <pt idx="3">
                    <v>3</v>
                  </pt>
                  <pt idx="4">
                    <v>4</v>
                  </pt>
                  <pt idx="5">
                    <v>5</v>
                  </pt>
                  <pt idx="6">
                    <v>6</v>
                  </pt>
                  <pt idx="7">
                    <v>7</v>
                  </pt>
                  <pt idx="8">
                    <v>8</v>
                  </pt>
                  <pt idx="9">
                    <v>9</v>
                  </pt>
                  <pt idx="10">
                    <v>10</v>
                  </pt>
                  <pt idx="11">
                    <v>11</v>
                  </pt>
                  <pt idx="12">
                    <v>12</v>
                  </pt>
                  <pt idx="13">
                    <v>13</v>
                  </pt>
                  <pt idx="14">
                    <v>14</v>
                  </pt>
                  <pt idx="15">
                    <v>15</v>
                  </pt>
                  <pt idx="17">
                    <v>16</v>
                  </pt>
                  <pt idx="18">
                    <v>17</v>
                  </pt>
                  <pt idx="19">
                    <v>18</v>
                  </pt>
                  <pt idx="20">
                    <v>19</v>
                  </pt>
                  <pt idx="21">
                    <v>20</v>
                  </pt>
                  <pt idx="22">
                    <v>21</v>
                  </pt>
                  <pt idx="23">
                    <v>22</v>
                  </pt>
                  <pt idx="24">
                    <v>23</v>
                  </pt>
                </lvl>
                <lvl>
                  <pt idx="0">
                    <v>02/11/2026</v>
                  </pt>
                  <pt idx="1">
                    <v>03/11/2026</v>
                  </pt>
                  <pt idx="2">
                    <v>04/11/2026</v>
                  </pt>
                  <pt idx="3">
                    <v>05/11/2026</v>
                  </pt>
                  <pt idx="4">
                    <v>06/11/2026</v>
                  </pt>
                  <pt idx="5">
                    <v>07/11/2026</v>
                  </pt>
                  <pt idx="6">
                    <v>09/11/2026</v>
                  </pt>
                  <pt idx="7">
                    <v>10/11/2026</v>
                  </pt>
                  <pt idx="8">
                    <v>11/11/2026</v>
                  </pt>
                  <pt idx="9">
                    <v>12/11/2026</v>
                  </pt>
                  <pt idx="10">
                    <v>13/11/2026</v>
                  </pt>
                  <pt idx="11">
                    <v>14/11/2026</v>
                  </pt>
                  <pt idx="12">
                    <v>16/11/2026</v>
                  </pt>
                  <pt idx="13">
                    <v>17/11/2026</v>
                  </pt>
                  <pt idx="14">
                    <v>18/11/2026</v>
                  </pt>
                  <pt idx="15">
                    <v>19/11/2026</v>
                  </pt>
                  <pt idx="16">
                    <v>20/11/2026</v>
                  </pt>
                  <pt idx="17">
                    <v>21/11/2026</v>
                  </pt>
                  <pt idx="18">
                    <v>23/11/2026</v>
                  </pt>
                  <pt idx="19">
                    <v>24/11/2026</v>
                  </pt>
                  <pt idx="20">
                    <v>25/11/2026</v>
                  </pt>
                  <pt idx="21">
                    <v>26/11/2026</v>
                  </pt>
                  <pt idx="22">
                    <v>27/11/2026</v>
                  </pt>
                  <pt idx="23">
                    <v>28/11/2026</v>
                  </pt>
                  <pt idx="24">
                    <v>30/11/2026</v>
                  </pt>
                </lvl>
              </multiLvlStrCache>
              <f>'GRAFICO NOVEMBRO'!$A$9:$B$33</f>
            </multiLvlStrRef>
          </cat>
          <val>
            <numRef>
              <f>'GRAFICO NOVEMBRO'!$C$9:$C$33</f>
              <numCache>
                <formatCode>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43422431"/>
        <axId val="879838"/>
      </barChart>
      <catAx>
        <axId val="43422431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879838"/>
        <crosses val="autoZero"/>
        <auto val="1"/>
        <lblAlgn val="ctr"/>
        <lblOffset val="100"/>
        <noMultiLvlLbl val="0"/>
      </catAx>
      <valAx>
        <axId val="87983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43422431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diária x meta - DEZEMBRO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'GRAFICO DEZEMBRO'!$C$8</f>
              <strCache>
                <ptCount val="1"/>
                <pt idx="0">
                  <v>Realizado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2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3</v>
                  </pt>
                  <pt idx="3">
                    <v>4</v>
                  </pt>
                  <pt idx="4">
                    <v>5</v>
                  </pt>
                  <pt idx="5">
                    <v>6</v>
                  </pt>
                  <pt idx="6">
                    <v>7</v>
                  </pt>
                  <pt idx="7">
                    <v>8</v>
                  </pt>
                  <pt idx="8">
                    <v>9</v>
                  </pt>
                  <pt idx="9">
                    <v>10</v>
                  </pt>
                  <pt idx="10">
                    <v>11</v>
                  </pt>
                  <pt idx="11">
                    <v>12</v>
                  </pt>
                  <pt idx="12">
                    <v>13</v>
                  </pt>
                  <pt idx="13">
                    <v>14</v>
                  </pt>
                  <pt idx="14">
                    <v>15</v>
                  </pt>
                  <pt idx="15">
                    <v>16</v>
                  </pt>
                  <pt idx="16">
                    <v>17</v>
                  </pt>
                  <pt idx="17">
                    <v>18</v>
                  </pt>
                  <pt idx="18">
                    <v>19</v>
                  </pt>
                  <pt idx="19">
                    <v>20</v>
                  </pt>
                  <pt idx="20">
                    <v>21</v>
                  </pt>
                  <pt idx="22">
                    <v>22</v>
                  </pt>
                  <pt idx="23">
                    <v>23</v>
                  </pt>
                  <pt idx="24">
                    <v>24</v>
                  </pt>
                  <pt idx="25">
                    <v>25</v>
                  </pt>
                  <pt idx="26">
                    <v>26</v>
                  </pt>
                </lvl>
                <lvl>
                  <pt idx="0">
                    <v>01/12/2026</v>
                  </pt>
                  <pt idx="1">
                    <v>02/12/2026</v>
                  </pt>
                  <pt idx="2">
                    <v>03/12/2026</v>
                  </pt>
                  <pt idx="3">
                    <v>04/12/2026</v>
                  </pt>
                  <pt idx="4">
                    <v>05/12/2026</v>
                  </pt>
                  <pt idx="5">
                    <v>07/12/2026</v>
                  </pt>
                  <pt idx="6">
                    <v>08/12/2026</v>
                  </pt>
                  <pt idx="7">
                    <v>09/12/2026</v>
                  </pt>
                  <pt idx="8">
                    <v>10/12/2026</v>
                  </pt>
                  <pt idx="9">
                    <v>11/12/2026</v>
                  </pt>
                  <pt idx="10">
                    <v>12/12/2026</v>
                  </pt>
                  <pt idx="11">
                    <v>14/12/2026</v>
                  </pt>
                  <pt idx="12">
                    <v>15/12/2026</v>
                  </pt>
                  <pt idx="13">
                    <v>16/12/2026</v>
                  </pt>
                  <pt idx="14">
                    <v>17/12/2026</v>
                  </pt>
                  <pt idx="15">
                    <v>18/12/2026</v>
                  </pt>
                  <pt idx="16">
                    <v>19/12/2026</v>
                  </pt>
                  <pt idx="17">
                    <v>21/12/2026</v>
                  </pt>
                  <pt idx="18">
                    <v>22/12/2026</v>
                  </pt>
                  <pt idx="19">
                    <v>23/12/2026</v>
                  </pt>
                  <pt idx="20">
                    <v>24/12/2026</v>
                  </pt>
                  <pt idx="21">
                    <v>25/12/2026</v>
                  </pt>
                  <pt idx="22">
                    <v>26/12/2026</v>
                  </pt>
                  <pt idx="23">
                    <v>28/12/2026</v>
                  </pt>
                  <pt idx="24">
                    <v>29/12/2026</v>
                  </pt>
                  <pt idx="25">
                    <v>30/12/2026</v>
                  </pt>
                  <pt idx="26">
                    <v>31/12/2026</v>
                  </pt>
                </lvl>
              </multiLvlStrCache>
              <f>'GRAFICO DEZEMBRO'!$A$9:$B$35</f>
            </multiLvlStrRef>
          </cat>
          <val>
            <numRef>
              <f>'GRAFICO DEZEMBRO'!$C$9:$C$35</f>
              <numCache>
                <formatCode>#,##0</formatCode>
                <ptCount val="2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69"/>
        <axId val="80659682"/>
        <axId val="53995860"/>
      </barChart>
      <catAx>
        <axId val="80659682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Dias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53995860"/>
        <crosses val="autoZero"/>
        <auto val="1"/>
        <lblAlgn val="ctr"/>
        <lblOffset val="100"/>
        <noMultiLvlLbl val="0"/>
      </catAx>
      <valAx>
        <axId val="5399586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D9D9D9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900" b="1" strike="noStrike">
                    <a:solidFill>
                      <a:srgbClr val="595959"/>
                    </a:solidFill>
                    <a:uFillTx/>
                    <a:latin typeface="Calibri"/>
                    <a:ea typeface="Calibri"/>
                  </a:rPr>
                  <a:t>Latas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Calibri"/>
                <a:ea typeface="Calibri"/>
              </a:defRPr>
            </a:pPr>
            <a:r>
              <a:t/>
            </a:r>
            <a:endParaRPr lang="pt-BR"/>
          </a:p>
        </txPr>
        <crossAx val="80659682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pt-BR"/>
              <a:t>Gás mensal (KG)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RESUMO_MENSAL!$B$20</f>
              <strCache>
                <ptCount val="1"/>
                <pt idx="0">
                  <v>Gás mensal (KG)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RESUMO_MENSAL!$A$21:$A$32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RESUMO_MENSAL!$B$21:$B$32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Produção mensal x meta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04919922135784511"/>
          <y val="0.1074891052804433"/>
          <w val="0.9169874700454677"/>
          <h val="0.7967708463916701"/>
        </manualLayout>
      </layout>
      <barChart>
        <barDir val="col"/>
        <grouping val="clustered"/>
        <varyColors val="0"/>
        <ser>
          <idx val="0"/>
          <order val="0"/>
          <tx>
            <strRef>
              <f>DASHBOARD!$B$10</f>
              <strCache>
                <ptCount val="1"/>
                <pt idx="0">
                  <v>REALIZADO</v>
                </pt>
              </strCache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0">
              <a:solidFill>
                <a:srgbClr val="C55A11"/>
              </a:solidFill>
              <a:prstDash val="solid"/>
            </a:ln>
          </spPr>
          <invertIfNegative val="0"/>
          <dPt>
            <idx val="3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0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DASHBOARD!$A$11:$A$22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DASHBOARD!$B$11:$B$22</f>
              <numCache>
                <formatCode>#,##0</formatCode>
                <ptCount val="12"/>
                <pt idx="0">
                  <v>172263</v>
                </pt>
                <pt idx="1">
                  <v>199590</v>
                </pt>
                <pt idx="2">
                  <v>280764</v>
                </pt>
                <pt idx="3">
                  <v>264354</v>
                </pt>
                <pt idx="4">
                  <v>44718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DASHBOARD!$C$10</f>
              <strCache>
                <ptCount val="1"/>
                <pt idx="0">
                  <v>META</v>
                </pt>
              </strCache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w="0">
              <a:solidFill>
                <a:srgbClr val="A6A6A6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DASHBOARD!$A$11:$A$22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DASHBOARD!$C$11:$C$22</f>
              <numCache>
                <formatCode>#,##0</formatCode>
                <ptCount val="12"/>
                <pt idx="0">
                  <v>220000</v>
                </pt>
                <pt idx="1">
                  <v>200000</v>
                </pt>
                <pt idx="2">
                  <v>220000</v>
                </pt>
                <pt idx="3">
                  <v>230000</v>
                </pt>
                <pt idx="4">
                  <v>260000</v>
                </pt>
                <pt idx="5">
                  <v>260000</v>
                </pt>
                <pt idx="6">
                  <v>270000</v>
                </pt>
                <pt idx="7">
                  <v>260000</v>
                </pt>
                <pt idx="8">
                  <v>250000</v>
                </pt>
                <pt idx="9">
                  <v>260000</v>
                </pt>
                <pt idx="10">
                  <v>230000</v>
                </pt>
                <pt idx="11">
                  <v>260000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axId val="25606214"/>
        <axId val="62514262"/>
      </barChart>
      <catAx>
        <axId val="25606214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62514262"/>
        <crosses val="autoZero"/>
        <auto val="1"/>
        <lblAlgn val="ctr"/>
        <lblOffset val="100"/>
        <noMultiLvlLbl val="0"/>
      </catAx>
      <valAx>
        <axId val="62514262"/>
        <scaling>
          <orientation val="minMax"/>
        </scaling>
        <delete val="1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1000" b="1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Caixas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crossAx val="25606214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pt-BR" sz="1800" b="1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Diferença mensal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1"/>
        <ser>
          <idx val="0"/>
          <order val="0"/>
          <tx>
            <strRef>
              <f>DASHBOARD!$D$10</f>
              <strCache>
                <ptCount val="1"/>
                <pt idx="0">
                  <v>DIFERENÇA</v>
                </pt>
              </strCache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0">
              <a:solidFill>
                <a:srgbClr val="C55A11"/>
              </a:solidFill>
              <a:prstDash val="solid"/>
            </a:ln>
          </spPr>
          <invertIfNegative val="0"/>
          <dPt>
            <idx val="0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invertIfNegative val="1"/>
            <bubble3D val="0"/>
            <spPr>
              <a:gradFill xmlns:a="http://schemas.openxmlformats.org/drawingml/2006/main"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6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7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8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9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/>
                  </a:r>
                  <a:endParaRPr lang="pt-BR"/>
                </a:p>
              </txPr>
              <dLblPos val="outEnd"/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DASHBOARD!$A$11:$A$22</f>
              <strCache>
                <ptCount val="12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DASHBOARD!$D$11:$D$22</f>
              <numCache>
                <formatCode>#,##0</formatCode>
                <ptCount val="12"/>
                <pt idx="0">
                  <v>-47737</v>
                </pt>
                <pt idx="1">
                  <v>-410</v>
                </pt>
                <pt idx="2">
                  <v>60764</v>
                </pt>
                <pt idx="3">
                  <v>34354</v>
                </pt>
                <pt idx="4">
                  <v>-215282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9531386"/>
        <axId val="4415872"/>
      </barChart>
      <catAx>
        <axId val="19531386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1000" b="1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Meses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4415872"/>
        <crosses val="autoZero"/>
        <auto val="1"/>
        <lblAlgn val="ctr"/>
        <lblOffset val="100"/>
        <noMultiLvlLbl val="0"/>
      </catAx>
      <valAx>
        <axId val="4415872"/>
        <scaling>
          <orientation val="minMax"/>
        </scaling>
        <delete val="1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pt-BR" sz="1000" b="1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Caixas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crossAx val="19531386"/>
        <crosses val="autoZero"/>
        <crossBetween val="between"/>
      </valAx>
    </plotArea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ChatGPT</author>
  </authors>
  <commentList>
    <comment ref="C3" authorId="0" shapeId="0">
      <text>
        <t>Tipo de lata / embalagem em mililitros. Ex.: 200 ml, 400 ml, 600 ml.</t>
      </text>
    </comment>
    <comment ref="D3" authorId="0" shapeId="0">
      <text>
        <t>Quantidade de caixas produzidas no item.</t>
      </text>
    </comment>
    <comment ref="H3" authorId="0" shapeId="0">
      <text>
        <t>Consumo de gás do item no dia.</t>
      </text>
    </comment>
    <comment ref="I3" authorId="0" shapeId="0">
      <text>
        <t>Horas utilizadas na produção do item.</t>
      </text>
    </comment>
    <comment ref="L3" authorId="0" shapeId="0">
      <text>
        <t>Produção real convertida para caixas.</t>
      </text>
    </comment>
    <comment ref="N3" authorId="0" shapeId="0">
      <text>
        <t>Total final convertido em latas.</t>
      </text>
    </comment>
    <comment ref="C11" authorId="0" shapeId="0">
      <text>
        <t>Tipo de lata / embalagem em mililitros. Ex.: 200 ml, 400 ml, 600 ml.</t>
      </text>
    </comment>
    <comment ref="D11" authorId="0" shapeId="0">
      <text>
        <t>Quantidade de caixas produzidas no item.</t>
      </text>
    </comment>
    <comment ref="H11" authorId="0" shapeId="0">
      <text>
        <t>Consumo de gás do item no dia.</t>
      </text>
    </comment>
    <comment ref="I11" authorId="0" shapeId="0">
      <text>
        <t>Horas utilizadas na produção do item.</t>
      </text>
    </comment>
    <comment ref="L11" authorId="0" shapeId="0">
      <text>
        <t>Produção real convertida para caixas.</t>
      </text>
    </comment>
    <comment ref="N11" authorId="0" shapeId="0">
      <text>
        <t>Total final convertido em latas.</t>
      </text>
    </comment>
    <comment ref="C18" authorId="0" shapeId="0">
      <text>
        <t>Tipo de lata / embalagem em mililitros. Ex.: 200 ml, 400 ml, 600 ml.</t>
      </text>
    </comment>
    <comment ref="D18" authorId="0" shapeId="0">
      <text>
        <t>Quantidade de caixas produzidas no item.</t>
      </text>
    </comment>
    <comment ref="H18" authorId="0" shapeId="0">
      <text>
        <t>Consumo de gás do item no dia.</t>
      </text>
    </comment>
    <comment ref="I18" authorId="0" shapeId="0">
      <text>
        <t>Horas utilizadas na produção do item.</t>
      </text>
    </comment>
    <comment ref="L18" authorId="0" shapeId="0">
      <text>
        <t>Produção real convertida para caixas.</t>
      </text>
    </comment>
    <comment ref="N18" authorId="0" shapeId="0">
      <text>
        <t>Total final convertido em latas.</t>
      </text>
    </comment>
    <comment ref="C26" authorId="0" shapeId="0">
      <text>
        <t>Tipo de lata / embalagem em mililitros. Ex.: 200 ml, 400 ml, 600 ml.</t>
      </text>
    </comment>
    <comment ref="D26" authorId="0" shapeId="0">
      <text>
        <t>Quantidade de caixas produzidas no item.</t>
      </text>
    </comment>
    <comment ref="H26" authorId="0" shapeId="0">
      <text>
        <t>Consumo de gás do item no dia.</t>
      </text>
    </comment>
    <comment ref="I26" authorId="0" shapeId="0">
      <text>
        <t>Horas utilizadas na produção do item.</t>
      </text>
    </comment>
    <comment ref="L26" authorId="0" shapeId="0">
      <text>
        <t>Produção real convertida para caixas.</t>
      </text>
    </comment>
    <comment ref="N26" authorId="0" shapeId="0">
      <text>
        <t>Total final convertido em latas.</t>
      </text>
    </comment>
    <comment ref="C34" authorId="0" shapeId="0">
      <text>
        <t>Tipo de lata / embalagem em mililitros. Ex.: 200 ml, 400 ml, 600 ml.</t>
      </text>
    </comment>
    <comment ref="D34" authorId="0" shapeId="0">
      <text>
        <t>Quantidade de caixas produzidas no item.</t>
      </text>
    </comment>
    <comment ref="H34" authorId="0" shapeId="0">
      <text>
        <t>Consumo de gás do item no dia.</t>
      </text>
    </comment>
    <comment ref="I34" authorId="0" shapeId="0">
      <text>
        <t>Horas utilizadas na produção do item.</t>
      </text>
    </comment>
    <comment ref="L34" authorId="0" shapeId="0">
      <text>
        <t>Produção real convertida para caixas.</t>
      </text>
    </comment>
    <comment ref="N34" authorId="0" shapeId="0">
      <text>
        <t>Total final convertido em latas.</t>
      </text>
    </comment>
    <comment ref="C43" authorId="0" shapeId="0">
      <text>
        <t>Tipo de lata / embalagem em mililitros. Ex.: 200 ml, 400 ml, 600 ml.</t>
      </text>
    </comment>
    <comment ref="D43" authorId="0" shapeId="0">
      <text>
        <t>Quantidade de caixas produzidas no item.</t>
      </text>
    </comment>
    <comment ref="H43" authorId="0" shapeId="0">
      <text>
        <t>Consumo de gás do item no dia.</t>
      </text>
    </comment>
    <comment ref="I43" authorId="0" shapeId="0">
      <text>
        <t>Horas utilizadas na produção do item.</t>
      </text>
    </comment>
    <comment ref="L43" authorId="0" shapeId="0">
      <text>
        <t>Produção real convertida para caixas.</t>
      </text>
    </comment>
    <comment ref="N43" authorId="0" shapeId="0">
      <text>
        <t>Total final convertido em latas.</t>
      </text>
    </comment>
    <comment ref="C51" authorId="0" shapeId="0">
      <text>
        <t>Tipo de lata / embalagem em mililitros. Ex.: 200 ml, 400 ml, 600 ml.</t>
      </text>
    </comment>
    <comment ref="D51" authorId="0" shapeId="0">
      <text>
        <t>Quantidade de caixas produzidas no item.</t>
      </text>
    </comment>
    <comment ref="H51" authorId="0" shapeId="0">
      <text>
        <t>Consumo de gás do item no dia.</t>
      </text>
    </comment>
    <comment ref="I51" authorId="0" shapeId="0">
      <text>
        <t>Horas utilizadas na produção do item.</t>
      </text>
    </comment>
    <comment ref="L51" authorId="0" shapeId="0">
      <text>
        <t>Produção real convertida para caixas.</t>
      </text>
    </comment>
    <comment ref="N51" authorId="0" shapeId="0">
      <text>
        <t>Total final convertido em latas.</t>
      </text>
    </comment>
    <comment ref="C59" authorId="0" shapeId="0">
      <text>
        <t>Tipo de lata / embalagem em mililitros. Ex.: 200 ml, 400 ml, 600 ml.</t>
      </text>
    </comment>
    <comment ref="D59" authorId="0" shapeId="0">
      <text>
        <t>Quantidade de caixas produzidas no item.</t>
      </text>
    </comment>
    <comment ref="H59" authorId="0" shapeId="0">
      <text>
        <t>Consumo de gás do item no dia.</t>
      </text>
    </comment>
    <comment ref="I59" authorId="0" shapeId="0">
      <text>
        <t>Horas utilizadas na produção do item.</t>
      </text>
    </comment>
    <comment ref="L59" authorId="0" shapeId="0">
      <text>
        <t>Produção real convertida para caixas.</t>
      </text>
    </comment>
    <comment ref="N59" authorId="0" shapeId="0">
      <text>
        <t>Total final convertido em latas.</t>
      </text>
    </comment>
    <comment ref="C67" authorId="0" shapeId="0">
      <text>
        <t>Tipo de lata / embalagem em mililitros. Ex.: 200 ml, 400 ml, 600 ml.</t>
      </text>
    </comment>
    <comment ref="D67" authorId="0" shapeId="0">
      <text>
        <t>Quantidade de caixas produzidas no item.</t>
      </text>
    </comment>
    <comment ref="H67" authorId="0" shapeId="0">
      <text>
        <t>Consumo de gás do item no dia.</t>
      </text>
    </comment>
    <comment ref="I67" authorId="0" shapeId="0">
      <text>
        <t>Horas utilizadas na produção do item.</t>
      </text>
    </comment>
    <comment ref="L67" authorId="0" shapeId="0">
      <text>
        <t>Produção real convertida para caixas.</t>
      </text>
    </comment>
    <comment ref="N67" authorId="0" shapeId="0">
      <text>
        <t>Total final convertido em latas.</t>
      </text>
    </comment>
    <comment ref="C76" authorId="0" shapeId="0">
      <text>
        <t>Tipo de lata / embalagem em mililitros. Ex.: 200 ml, 400 ml, 600 ml.</t>
      </text>
    </comment>
    <comment ref="D76" authorId="0" shapeId="0">
      <text>
        <t>Quantidade de caixas produzidas no item.</t>
      </text>
    </comment>
    <comment ref="H76" authorId="0" shapeId="0">
      <text>
        <t>Consumo de gás do item no dia.</t>
      </text>
    </comment>
    <comment ref="I76" authorId="0" shapeId="0">
      <text>
        <t>Horas utilizadas na produção do item.</t>
      </text>
    </comment>
    <comment ref="L76" authorId="0" shapeId="0">
      <text>
        <t>Produção real convertida para caixas.</t>
      </text>
    </comment>
    <comment ref="N76" authorId="0" shapeId="0">
      <text>
        <t>Total final convertido em latas.</t>
      </text>
    </comment>
    <comment ref="C84" authorId="0" shapeId="0">
      <text>
        <t>Tipo de lata / embalagem em mililitros. Ex.: 200 ml, 400 ml, 600 ml.</t>
      </text>
    </comment>
    <comment ref="D84" authorId="0" shapeId="0">
      <text>
        <t>Quantidade de caixas produzidas no item.</t>
      </text>
    </comment>
    <comment ref="H84" authorId="0" shapeId="0">
      <text>
        <t>Consumo de gás do item no dia.</t>
      </text>
    </comment>
    <comment ref="I84" authorId="0" shapeId="0">
      <text>
        <t>Horas utilizadas na produção do item.</t>
      </text>
    </comment>
    <comment ref="L84" authorId="0" shapeId="0">
      <text>
        <t>Produção real convertida para caixas.</t>
      </text>
    </comment>
    <comment ref="N84" authorId="0" shapeId="0">
      <text>
        <t>Total final convertido em latas.</t>
      </text>
    </comment>
    <comment ref="C94" authorId="0" shapeId="0">
      <text>
        <t>Tipo de lata / embalagem em mililitros. Ex.: 200 ml, 400 ml, 600 ml.</t>
      </text>
    </comment>
    <comment ref="D94" authorId="0" shapeId="0">
      <text>
        <t>Quantidade de caixas produzidas no item.</t>
      </text>
    </comment>
    <comment ref="H94" authorId="0" shapeId="0">
      <text>
        <t>Consumo de gás do item no dia.</t>
      </text>
    </comment>
    <comment ref="I94" authorId="0" shapeId="0">
      <text>
        <t>Horas utilizadas na produção do item.</t>
      </text>
    </comment>
    <comment ref="L94" authorId="0" shapeId="0">
      <text>
        <t>Produção real convertida para caixas.</t>
      </text>
    </comment>
    <comment ref="N94" authorId="0" shapeId="0">
      <text>
        <t>Total final convertido em latas.</t>
      </text>
    </comment>
    <comment ref="C104" authorId="0" shapeId="0">
      <text>
        <t>Tipo de lata / embalagem em mililitros. Ex.: 200 ml, 400 ml, 600 ml.</t>
      </text>
    </comment>
    <comment ref="D104" authorId="0" shapeId="0">
      <text>
        <t>Quantidade de caixas produzidas no item.</t>
      </text>
    </comment>
    <comment ref="H104" authorId="0" shapeId="0">
      <text>
        <t>Consumo de gás do item no dia.</t>
      </text>
    </comment>
    <comment ref="I104" authorId="0" shapeId="0">
      <text>
        <t>Horas utilizadas na produção do item.</t>
      </text>
    </comment>
    <comment ref="L104" authorId="0" shapeId="0">
      <text>
        <t>Produção real convertida para caixas.</t>
      </text>
    </comment>
    <comment ref="N104" authorId="0" shapeId="0">
      <text>
        <t>Total final convertido em latas.</t>
      </text>
    </comment>
    <comment ref="C112" authorId="0" shapeId="0">
      <text>
        <t>Tipo de lata / embalagem em mililitros. Ex.: 200 ml, 400 ml, 600 ml.</t>
      </text>
    </comment>
    <comment ref="D112" authorId="0" shapeId="0">
      <text>
        <t>Quantidade de caixas produzidas no item.</t>
      </text>
    </comment>
    <comment ref="H112" authorId="0" shapeId="0">
      <text>
        <t>Consumo de gás do item no dia.</t>
      </text>
    </comment>
    <comment ref="I112" authorId="0" shapeId="0">
      <text>
        <t>Horas utilizadas na produção do item.</t>
      </text>
    </comment>
    <comment ref="L112" authorId="0" shapeId="0">
      <text>
        <t>Produção real convertida para caixas.</t>
      </text>
    </comment>
    <comment ref="N112" authorId="0" shapeId="0">
      <text>
        <t>Total final convertido em latas.</t>
      </text>
    </comment>
    <comment ref="C122" authorId="0" shapeId="0">
      <text>
        <t>Tipo de lata / embalagem em mililitros. Ex.: 200 ml, 400 ml, 600 ml.</t>
      </text>
    </comment>
    <comment ref="D122" authorId="0" shapeId="0">
      <text>
        <t>Quantidade de caixas produzidas no item.</t>
      </text>
    </comment>
    <comment ref="H122" authorId="0" shapeId="0">
      <text>
        <t>Consumo de gás do item no dia.</t>
      </text>
    </comment>
    <comment ref="I122" authorId="0" shapeId="0">
      <text>
        <t>Horas utilizadas na produção do item.</t>
      </text>
    </comment>
    <comment ref="L122" authorId="0" shapeId="0">
      <text>
        <t>Produção real convertida para caixas.</t>
      </text>
    </comment>
    <comment ref="N122" authorId="0" shapeId="0">
      <text>
        <t>Total final convertido em latas.</t>
      </text>
    </comment>
    <comment ref="C134" authorId="0" shapeId="0">
      <text>
        <t>Tipo de lata / embalagem em mililitros. Ex.: 200 ml, 400 ml, 600 ml.</t>
      </text>
    </comment>
    <comment ref="D134" authorId="0" shapeId="0">
      <text>
        <t>Quantidade de caixas produzidas no item.</t>
      </text>
    </comment>
    <comment ref="H134" authorId="0" shapeId="0">
      <text>
        <t>Consumo de gás do item no dia.</t>
      </text>
    </comment>
    <comment ref="I134" authorId="0" shapeId="0">
      <text>
        <t>Horas utilizadas na produção do item.</t>
      </text>
    </comment>
    <comment ref="L134" authorId="0" shapeId="0">
      <text>
        <t>Produção real convertida para caixas.</t>
      </text>
    </comment>
    <comment ref="N134" authorId="0" shapeId="0">
      <text>
        <t>Total final convertido em latas.</t>
      </text>
    </comment>
    <comment ref="C144" authorId="0" shapeId="0">
      <text>
        <t>Tipo de lata / embalagem em mililitros. Ex.: 200 ml, 400 ml, 600 ml.</t>
      </text>
    </comment>
    <comment ref="D144" authorId="0" shapeId="0">
      <text>
        <t>Quantidade de caixas produzidas no item.</t>
      </text>
    </comment>
    <comment ref="H144" authorId="0" shapeId="0">
      <text>
        <t>Consumo de gás do item no dia.</t>
      </text>
    </comment>
    <comment ref="I144" authorId="0" shapeId="0">
      <text>
        <t>Horas utilizadas na produção do item.</t>
      </text>
    </comment>
    <comment ref="L144" authorId="0" shapeId="0">
      <text>
        <t>Produção real convertida para caixas.</t>
      </text>
    </comment>
    <comment ref="N144" authorId="0" shapeId="0">
      <text>
        <t>Total final convertido em latas.</t>
      </text>
    </comment>
    <comment ref="C152" authorId="0" shapeId="0">
      <text>
        <t>Tipo de lata / embalagem em mililitros. Ex.: 200 ml, 400 ml, 600 ml.</t>
      </text>
    </comment>
    <comment ref="D152" authorId="0" shapeId="0">
      <text>
        <t>Quantidade de caixas produzidas no item.</t>
      </text>
    </comment>
    <comment ref="H152" authorId="0" shapeId="0">
      <text>
        <t>Consumo de gás do item no dia.</t>
      </text>
    </comment>
    <comment ref="I152" authorId="0" shapeId="0">
      <text>
        <t>Horas utilizadas na produção do item.</t>
      </text>
    </comment>
    <comment ref="L152" authorId="0" shapeId="0">
      <text>
        <t>Produção real convertida para caixas.</t>
      </text>
    </comment>
    <comment ref="N152" authorId="0" shapeId="0">
      <text>
        <t>Total final convertido em latas.</t>
      </text>
    </comment>
    <comment ref="C163" authorId="0" shapeId="0">
      <text>
        <t>Tipo de lata / embalagem em mililitros. Ex.: 200 ml, 400 ml, 600 ml.</t>
      </text>
    </comment>
    <comment ref="D163" authorId="0" shapeId="0">
      <text>
        <t>Quantidade de caixas produzidas no item.</t>
      </text>
    </comment>
    <comment ref="H163" authorId="0" shapeId="0">
      <text>
        <t>Consumo de gás do item no dia.</t>
      </text>
    </comment>
    <comment ref="I163" authorId="0" shapeId="0">
      <text>
        <t>Horas utilizadas na produção do item.</t>
      </text>
    </comment>
    <comment ref="L163" authorId="0" shapeId="0">
      <text>
        <t>Produção real convertida para caixas.</t>
      </text>
    </comment>
    <comment ref="N163" authorId="0" shapeId="0">
      <text>
        <t>Total final convertido em latas.</t>
      </text>
    </comment>
    <comment ref="C171" authorId="0" shapeId="0">
      <text>
        <t>Tipo de lata / embalagem em mililitros. Ex.: 200 ml, 400 ml, 600 ml.</t>
      </text>
    </comment>
    <comment ref="D171" authorId="0" shapeId="0">
      <text>
        <t>Quantidade de caixas produzidas no item.</t>
      </text>
    </comment>
    <comment ref="H171" authorId="0" shapeId="0">
      <text>
        <t>Consumo de gás do item no dia.</t>
      </text>
    </comment>
    <comment ref="I171" authorId="0" shapeId="0">
      <text>
        <t>Horas utilizadas na produção do item.</t>
      </text>
    </comment>
    <comment ref="L171" authorId="0" shapeId="0">
      <text>
        <t>Produção real convertida para caixas.</t>
      </text>
    </comment>
    <comment ref="N171" authorId="0" shapeId="0">
      <text>
        <t>Total final convertido em latas.</t>
      </text>
    </comment>
  </commentList>
</comments>
</file>

<file path=xl/comments/comment2.xml><?xml version="1.0" encoding="utf-8"?>
<comments xmlns="http://schemas.openxmlformats.org/spreadsheetml/2006/main">
  <authors>
    <author>ChatGPT</author>
  </authors>
  <commentList>
    <comment ref="C3" authorId="0" shapeId="0">
      <text>
        <t>Tipo de lata / embalagem em mililitros. Ex.: 200 ml, 400 ml, 600 ml.</t>
      </text>
    </comment>
    <comment ref="D3" authorId="0" shapeId="0">
      <text>
        <t>Quantidade de caixas produzidas no item.</t>
      </text>
    </comment>
    <comment ref="H3" authorId="0" shapeId="0">
      <text>
        <t>Consumo de gás do item no dia.</t>
      </text>
    </comment>
    <comment ref="I3" authorId="0" shapeId="0">
      <text>
        <t>Horas utilizadas na produção do item.</t>
      </text>
    </comment>
    <comment ref="L3" authorId="0" shapeId="0">
      <text>
        <t>Produção real convertida para caixas.</t>
      </text>
    </comment>
    <comment ref="N3" authorId="0" shapeId="0">
      <text>
        <t>Total final convertido em latas.</t>
      </text>
    </comment>
    <comment ref="C11" authorId="0" shapeId="0">
      <text>
        <t>Tipo de lata / embalagem em mililitros. Ex.: 200 ml, 400 ml, 600 ml.</t>
      </text>
    </comment>
    <comment ref="D11" authorId="0" shapeId="0">
      <text>
        <t>Quantidade de caixas produzidas no item.</t>
      </text>
    </comment>
    <comment ref="H11" authorId="0" shapeId="0">
      <text>
        <t>Consumo de gás do item no dia.</t>
      </text>
    </comment>
    <comment ref="I11" authorId="0" shapeId="0">
      <text>
        <t>Horas utilizadas na produção do item.</t>
      </text>
    </comment>
    <comment ref="L11" authorId="0" shapeId="0">
      <text>
        <t>Produção real convertida para caixas.</t>
      </text>
    </comment>
    <comment ref="N11" authorId="0" shapeId="0">
      <text>
        <t>Total final convertido em latas.</t>
      </text>
    </comment>
    <comment ref="C19" authorId="0" shapeId="0">
      <text>
        <t>Tipo de lata / embalagem em mililitros. Ex.: 200 ml, 400 ml, 600 ml.</t>
      </text>
    </comment>
    <comment ref="D19" authorId="0" shapeId="0">
      <text>
        <t>Quantidade de caixas produzidas no item.</t>
      </text>
    </comment>
    <comment ref="H19" authorId="0" shapeId="0">
      <text>
        <t>Consumo de gás do item no dia.</t>
      </text>
    </comment>
    <comment ref="I19" authorId="0" shapeId="0">
      <text>
        <t>Horas utilizadas na produção do item.</t>
      </text>
    </comment>
    <comment ref="L19" authorId="0" shapeId="0">
      <text>
        <t>Produção real convertida para caixas.</t>
      </text>
    </comment>
    <comment ref="N19" authorId="0" shapeId="0">
      <text>
        <t>Total final convertido em latas.</t>
      </text>
    </comment>
    <comment ref="C27" authorId="0" shapeId="0">
      <text>
        <t>Tipo de lata / embalagem em mililitros. Ex.: 200 ml, 400 ml, 600 ml.</t>
      </text>
    </comment>
    <comment ref="D27" authorId="0" shapeId="0">
      <text>
        <t>Quantidade de caixas produzidas no item.</t>
      </text>
    </comment>
    <comment ref="H27" authorId="0" shapeId="0">
      <text>
        <t>Consumo de gás do item no dia.</t>
      </text>
    </comment>
    <comment ref="I27" authorId="0" shapeId="0">
      <text>
        <t>Horas utilizadas na produção do item.</t>
      </text>
    </comment>
    <comment ref="L27" authorId="0" shapeId="0">
      <text>
        <t>Produção real convertida para caixas.</t>
      </text>
    </comment>
    <comment ref="N27" authorId="0" shapeId="0">
      <text>
        <t>Total final convertido em latas.</t>
      </text>
    </comment>
    <comment ref="C37" authorId="0" shapeId="0">
      <text>
        <t>Tipo de lata / embalagem em mililitros. Ex.: 200 ml, 400 ml, 600 ml.</t>
      </text>
    </comment>
    <comment ref="D37" authorId="0" shapeId="0">
      <text>
        <t>Quantidade de caixas produzidas no item.</t>
      </text>
    </comment>
    <comment ref="H37" authorId="0" shapeId="0">
      <text>
        <t>Consumo de gás do item no dia.</t>
      </text>
    </comment>
    <comment ref="I37" authorId="0" shapeId="0">
      <text>
        <t>Horas utilizadas na produção do item.</t>
      </text>
    </comment>
    <comment ref="L37" authorId="0" shapeId="0">
      <text>
        <t>Produção real convertida para caixas.</t>
      </text>
    </comment>
    <comment ref="N37" authorId="0" shapeId="0">
      <text>
        <t>Total final convertido em latas.</t>
      </text>
    </comment>
    <comment ref="C46" authorId="0" shapeId="0">
      <text>
        <t>Tipo de lata / embalagem em mililitros. Ex.: 200 ml, 400 ml, 600 ml.</t>
      </text>
    </comment>
    <comment ref="D46" authorId="0" shapeId="0">
      <text>
        <t>Quantidade de caixas produzidas no item.</t>
      </text>
    </comment>
    <comment ref="H46" authorId="0" shapeId="0">
      <text>
        <t>Consumo de gás do item no dia.</t>
      </text>
    </comment>
    <comment ref="I46" authorId="0" shapeId="0">
      <text>
        <t>Horas utilizadas na produção do item.</t>
      </text>
    </comment>
    <comment ref="L46" authorId="0" shapeId="0">
      <text>
        <t>Produção real convertida para caixas.</t>
      </text>
    </comment>
    <comment ref="N46" authorId="0" shapeId="0">
      <text>
        <t>Total final convertido em latas.</t>
      </text>
    </comment>
    <comment ref="C55" authorId="0" shapeId="0">
      <text>
        <t>Tipo de lata / embalagem em mililitros. Ex.: 200 ml, 400 ml, 600 ml.</t>
      </text>
    </comment>
    <comment ref="D55" authorId="0" shapeId="0">
      <text>
        <t>Quantidade de caixas produzidas no item.</t>
      </text>
    </comment>
    <comment ref="H55" authorId="0" shapeId="0">
      <text>
        <t>Consumo de gás do item no dia.</t>
      </text>
    </comment>
    <comment ref="I55" authorId="0" shapeId="0">
      <text>
        <t>Horas utilizadas na produção do item.</t>
      </text>
    </comment>
    <comment ref="L55" authorId="0" shapeId="0">
      <text>
        <t>Produção real convertida para caixas.</t>
      </text>
    </comment>
    <comment ref="N55" authorId="0" shapeId="0">
      <text>
        <t>Total final convertido em latas.</t>
      </text>
    </comment>
    <comment ref="C63" authorId="0" shapeId="0">
      <text>
        <t>Tipo de lata / embalagem em mililitros. Ex.: 200 ml, 400 ml, 600 ml.</t>
      </text>
    </comment>
    <comment ref="D63" authorId="0" shapeId="0">
      <text>
        <t>Quantidade de caixas produzidas no item.</t>
      </text>
    </comment>
    <comment ref="H63" authorId="0" shapeId="0">
      <text>
        <t>Consumo de gás do item no dia.</t>
      </text>
    </comment>
    <comment ref="I63" authorId="0" shapeId="0">
      <text>
        <t>Horas utilizadas na produção do item.</t>
      </text>
    </comment>
    <comment ref="L63" authorId="0" shapeId="0">
      <text>
        <t>Produção real convertida para caixas.</t>
      </text>
    </comment>
    <comment ref="N63" authorId="0" shapeId="0">
      <text>
        <t>Total final convertido em latas.</t>
      </text>
    </comment>
    <comment ref="C71" authorId="0" shapeId="0">
      <text>
        <t>Tipo de lata / embalagem em mililitros. Ex.: 200 ml, 400 ml, 600 ml.</t>
      </text>
    </comment>
    <comment ref="D71" authorId="0" shapeId="0">
      <text>
        <t>Quantidade de caixas produzidas no item.</t>
      </text>
    </comment>
    <comment ref="H71" authorId="0" shapeId="0">
      <text>
        <t>Consumo de gás do item no dia.</t>
      </text>
    </comment>
    <comment ref="I71" authorId="0" shapeId="0">
      <text>
        <t>Horas utilizadas na produção do item.</t>
      </text>
    </comment>
    <comment ref="L71" authorId="0" shapeId="0">
      <text>
        <t>Produção real convertida para caixas.</t>
      </text>
    </comment>
    <comment ref="N71" authorId="0" shapeId="0">
      <text>
        <t>Total final convertido em latas.</t>
      </text>
    </comment>
    <comment ref="C79" authorId="0" shapeId="0">
      <text>
        <t>Tipo de lata / embalagem em mililitros. Ex.: 200 ml, 400 ml, 600 ml.</t>
      </text>
    </comment>
    <comment ref="D79" authorId="0" shapeId="0">
      <text>
        <t>Quantidade de caixas produzidas no item.</t>
      </text>
    </comment>
    <comment ref="H79" authorId="0" shapeId="0">
      <text>
        <t>Consumo de gás do item no dia.</t>
      </text>
    </comment>
    <comment ref="I79" authorId="0" shapeId="0">
      <text>
        <t>Horas utilizadas na produção do item.</t>
      </text>
    </comment>
    <comment ref="L79" authorId="0" shapeId="0">
      <text>
        <t>Produção real convertida para caixas.</t>
      </text>
    </comment>
    <comment ref="N79" authorId="0" shapeId="0">
      <text>
        <t>Total final convertido em latas.</t>
      </text>
    </comment>
    <comment ref="C91" authorId="0" shapeId="0">
      <text>
        <t>Tipo de lata / embalagem em mililitros. Ex.: 200 ml, 400 ml, 600 ml.</t>
      </text>
    </comment>
    <comment ref="D91" authorId="0" shapeId="0">
      <text>
        <t>Quantidade de caixas produzidas no item.</t>
      </text>
    </comment>
    <comment ref="H91" authorId="0" shapeId="0">
      <text>
        <t>Consumo de gás do item no dia.</t>
      </text>
    </comment>
    <comment ref="I91" authorId="0" shapeId="0">
      <text>
        <t>Horas utilizadas na produção do item.</t>
      </text>
    </comment>
    <comment ref="L91" authorId="0" shapeId="0">
      <text>
        <t>Produção real convertida para caixas.</t>
      </text>
    </comment>
    <comment ref="N91" authorId="0" shapeId="0">
      <text>
        <t>Total final convertido em latas.</t>
      </text>
    </comment>
    <comment ref="C101" authorId="0" shapeId="0">
      <text>
        <t>Tipo de lata / embalagem em mililitros. Ex.: 200 ml, 400 ml, 600 ml.</t>
      </text>
    </comment>
    <comment ref="D101" authorId="0" shapeId="0">
      <text>
        <t>Quantidade de caixas produzidas no item.</t>
      </text>
    </comment>
    <comment ref="H101" authorId="0" shapeId="0">
      <text>
        <t>Consumo de gás do item no dia.</t>
      </text>
    </comment>
    <comment ref="I101" authorId="0" shapeId="0">
      <text>
        <t>Horas utilizadas na produção do item.</t>
      </text>
    </comment>
    <comment ref="L101" authorId="0" shapeId="0">
      <text>
        <t>Produção real convertida para caixas.</t>
      </text>
    </comment>
    <comment ref="N101" authorId="0" shapeId="0">
      <text>
        <t>Total final convertido em latas.</t>
      </text>
    </comment>
    <comment ref="C111" authorId="0" shapeId="0">
      <text>
        <t>Tipo de lata / embalagem em mililitros. Ex.: 200 ml, 400 ml, 600 ml.</t>
      </text>
    </comment>
    <comment ref="D111" authorId="0" shapeId="0">
      <text>
        <t>Quantidade de caixas produzidas no item.</t>
      </text>
    </comment>
    <comment ref="H111" authorId="0" shapeId="0">
      <text>
        <t>Consumo de gás do item no dia.</t>
      </text>
    </comment>
    <comment ref="I111" authorId="0" shapeId="0">
      <text>
        <t>Horas utilizadas na produção do item.</t>
      </text>
    </comment>
    <comment ref="L111" authorId="0" shapeId="0">
      <text>
        <t>Produção real convertida para caixas.</t>
      </text>
    </comment>
    <comment ref="N111" authorId="0" shapeId="0">
      <text>
        <t>Total final convertido em latas.</t>
      </text>
    </comment>
    <comment ref="C120" authorId="0" shapeId="0">
      <text>
        <t>Tipo de lata / embalagem em mililitros. Ex.: 200 ml, 400 ml, 600 ml.</t>
      </text>
    </comment>
    <comment ref="D120" authorId="0" shapeId="0">
      <text>
        <t>Quantidade de caixas produzidas no item.</t>
      </text>
    </comment>
    <comment ref="H120" authorId="0" shapeId="0">
      <text>
        <t>Consumo de gás do item no dia.</t>
      </text>
    </comment>
    <comment ref="I120" authorId="0" shapeId="0">
      <text>
        <t>Horas utilizadas na produção do item.</t>
      </text>
    </comment>
    <comment ref="L120" authorId="0" shapeId="0">
      <text>
        <t>Produção real convertida para caixas.</t>
      </text>
    </comment>
    <comment ref="N120" authorId="0" shapeId="0">
      <text>
        <t>Total final convertido em latas.</t>
      </text>
    </comment>
    <comment ref="C128" authorId="0" shapeId="0">
      <text>
        <t>Tipo de lata / embalagem em mililitros. Ex.: 200 ml, 400 ml, 600 ml.</t>
      </text>
    </comment>
    <comment ref="D128" authorId="0" shapeId="0">
      <text>
        <t>Quantidade de caixas produzidas no item.</t>
      </text>
    </comment>
    <comment ref="H128" authorId="0" shapeId="0">
      <text>
        <t>Consumo de gás do item no dia.</t>
      </text>
    </comment>
    <comment ref="I128" authorId="0" shapeId="0">
      <text>
        <t>Horas utilizadas na produção do item.</t>
      </text>
    </comment>
    <comment ref="L128" authorId="0" shapeId="0">
      <text>
        <t>Produção real convertida para caixas.</t>
      </text>
    </comment>
    <comment ref="N128" authorId="0" shapeId="0">
      <text>
        <t>Total final convertido em latas.</t>
      </text>
    </comment>
    <comment ref="C137" authorId="0" shapeId="0">
      <text>
        <t>Tipo de lata / embalagem em mililitros. Ex.: 200 ml, 400 ml, 600 ml.</t>
      </text>
    </comment>
    <comment ref="D137" authorId="0" shapeId="0">
      <text>
        <t>Quantidade de caixas produzidas no item.</t>
      </text>
    </comment>
    <comment ref="H137" authorId="0" shapeId="0">
      <text>
        <t>Consumo de gás do item no dia.</t>
      </text>
    </comment>
    <comment ref="I137" authorId="0" shapeId="0">
      <text>
        <t>Horas utilizadas na produção do item.</t>
      </text>
    </comment>
    <comment ref="L137" authorId="0" shapeId="0">
      <text>
        <t>Produção real convertida para caixas.</t>
      </text>
    </comment>
    <comment ref="N137" authorId="0" shapeId="0">
      <text>
        <t>Total final convertido em latas.</t>
      </text>
    </comment>
    <comment ref="C149" authorId="0" shapeId="0">
      <text>
        <t>Tipo de lata / embalagem em mililitros. Ex.: 200 ml, 400 ml, 600 ml.</t>
      </text>
    </comment>
    <comment ref="D149" authorId="0" shapeId="0">
      <text>
        <t>Quantidade de caixas produzidas no item.</t>
      </text>
    </comment>
    <comment ref="H149" authorId="0" shapeId="0">
      <text>
        <t>Consumo de gás do item no dia.</t>
      </text>
    </comment>
    <comment ref="I149" authorId="0" shapeId="0">
      <text>
        <t>Horas utilizadas na produção do item.</t>
      </text>
    </comment>
    <comment ref="L149" authorId="0" shapeId="0">
      <text>
        <t>Produção real convertida para caixas.</t>
      </text>
    </comment>
    <comment ref="N149" authorId="0" shapeId="0">
      <text>
        <t>Total final convertido em latas.</t>
      </text>
    </comment>
    <comment ref="C158" authorId="0" shapeId="0">
      <text>
        <t>Tipo de lata / embalagem em mililitros. Ex.: 200 ml, 400 ml, 600 ml.</t>
      </text>
    </comment>
    <comment ref="D158" authorId="0" shapeId="0">
      <text>
        <t>Quantidade de caixas produzidas no item.</t>
      </text>
    </comment>
    <comment ref="H158" authorId="0" shapeId="0">
      <text>
        <t>Consumo de gás do item no dia.</t>
      </text>
    </comment>
    <comment ref="I158" authorId="0" shapeId="0">
      <text>
        <t>Horas utilizadas na produção do item.</t>
      </text>
    </comment>
    <comment ref="L158" authorId="0" shapeId="0">
      <text>
        <t>Produção real convertida para caixas.</t>
      </text>
    </comment>
    <comment ref="N158" authorId="0" shapeId="0">
      <text>
        <t>Total final convertido em latas.</t>
      </text>
    </comment>
  </commentList>
</comments>
</file>

<file path=xl/comments/comment3.xml><?xml version="1.0" encoding="utf-8"?>
<comments xmlns="http://schemas.openxmlformats.org/spreadsheetml/2006/main">
  <authors>
    <author>ChatGPT</author>
  </authors>
  <commentList>
    <comment ref="C3" authorId="0" shapeId="0">
      <text>
        <t>Tipo de lata / embalagem em mililitros. Ex.: 200 ml, 400 ml, 600 ml.</t>
      </text>
    </comment>
    <comment ref="D3" authorId="0" shapeId="0">
      <text>
        <t>Quantidade de caixas produzidas no item.</t>
      </text>
    </comment>
    <comment ref="H3" authorId="0" shapeId="0">
      <text>
        <t>Produção real convertida para caixas.</t>
      </text>
    </comment>
    <comment ref="J3" authorId="0" shapeId="0">
      <text>
        <t>Produção real convertida para caixas.</t>
      </text>
    </comment>
    <comment ref="L3" authorId="0" shapeId="0">
      <text>
        <t>Total final convertido em latas.</t>
      </text>
    </comment>
    <comment ref="C11" authorId="0" shapeId="0">
      <text>
        <t>Tipo de lata / embalagem em mililitros. Ex.: 200 ml, 400 ml, 600 ml.</t>
      </text>
    </comment>
    <comment ref="D11" authorId="0" shapeId="0">
      <text>
        <t>Quantidade de caixas produzidas no item.</t>
      </text>
    </comment>
    <comment ref="H11" authorId="0" shapeId="0">
      <text>
        <t>Produção real convertida para caixas.</t>
      </text>
    </comment>
    <comment ref="J11" authorId="0" shapeId="0">
      <text>
        <t>Produção real convertida para caixas.</t>
      </text>
    </comment>
    <comment ref="L11" authorId="0" shapeId="0">
      <text>
        <t>Total final convertido em latas.</t>
      </text>
    </comment>
    <comment ref="C19" authorId="0" shapeId="0">
      <text>
        <t>Tipo de lata / embalagem em mililitros. Ex.: 200 ml, 400 ml, 600 ml.</t>
      </text>
    </comment>
    <comment ref="D19" authorId="0" shapeId="0">
      <text>
        <t>Quantidade de caixas produzidas no item.</t>
      </text>
    </comment>
    <comment ref="H19" authorId="0" shapeId="0">
      <text>
        <t>Produção real convertida para caixas.</t>
      </text>
    </comment>
    <comment ref="J19" authorId="0" shapeId="0">
      <text>
        <t>Produção real convertida para caixas.</t>
      </text>
    </comment>
    <comment ref="L19" authorId="0" shapeId="0">
      <text>
        <t>Total final convertido em latas.</t>
      </text>
    </comment>
    <comment ref="C29" authorId="0" shapeId="0">
      <text>
        <t>Tipo de lata / embalagem em mililitros. Ex.: 200 ml, 400 ml, 600 ml.</t>
      </text>
    </comment>
    <comment ref="D29" authorId="0" shapeId="0">
      <text>
        <t>Quantidade de caixas produzidas no item.</t>
      </text>
    </comment>
    <comment ref="H29" authorId="0" shapeId="0">
      <text>
        <t>Produção real convertida para caixas.</t>
      </text>
    </comment>
    <comment ref="J29" authorId="0" shapeId="0">
      <text>
        <t>Produção real convertida para caixas.</t>
      </text>
    </comment>
    <comment ref="L29" authorId="0" shapeId="0">
      <text>
        <t>Total final convertido em latas.</t>
      </text>
    </comment>
    <comment ref="C41" authorId="0" shapeId="0">
      <text>
        <t>Tipo de lata / embalagem em mililitros. Ex.: 200 ml, 400 ml, 600 ml.</t>
      </text>
    </comment>
    <comment ref="D41" authorId="0" shapeId="0">
      <text>
        <t>Quantidade de caixas produzidas no item.</t>
      </text>
    </comment>
    <comment ref="H41" authorId="0" shapeId="0">
      <text>
        <t>Produção real convertida para caixas.</t>
      </text>
    </comment>
    <comment ref="J41" authorId="0" shapeId="0">
      <text>
        <t>Produção real convertida para caixas.</t>
      </text>
    </comment>
    <comment ref="L41" authorId="0" shapeId="0">
      <text>
        <t>Total final convertido em latas.</t>
      </text>
    </comment>
    <comment ref="C49" authorId="0" shapeId="0">
      <text>
        <t>Tipo de lata / embalagem em mililitros. Ex.: 200 ml, 400 ml, 600 ml.</t>
      </text>
    </comment>
    <comment ref="D49" authorId="0" shapeId="0">
      <text>
        <t>Quantidade de caixas produzidas no item.</t>
      </text>
    </comment>
    <comment ref="H49" authorId="0" shapeId="0">
      <text>
        <t>Produção real convertida para caixas.</t>
      </text>
    </comment>
    <comment ref="J49" authorId="0" shapeId="0">
      <text>
        <t>Produção real convertida para caixas.</t>
      </text>
    </comment>
    <comment ref="L49" authorId="0" shapeId="0">
      <text>
        <t>Total final convertido em latas.</t>
      </text>
    </comment>
    <comment ref="C57" authorId="0" shapeId="0">
      <text>
        <t>Tipo de lata / embalagem em mililitros. Ex.: 200 ml, 400 ml, 600 ml.</t>
      </text>
    </comment>
    <comment ref="D57" authorId="0" shapeId="0">
      <text>
        <t>Quantidade de caixas produzidas no item.</t>
      </text>
    </comment>
    <comment ref="H57" authorId="0" shapeId="0">
      <text>
        <t>Produção real convertida para caixas.</t>
      </text>
    </comment>
    <comment ref="J57" authorId="0" shapeId="0">
      <text>
        <t>Produção real convertida para caixas.</t>
      </text>
    </comment>
    <comment ref="L57" authorId="0" shapeId="0">
      <text>
        <t>Total final convertido em latas.</t>
      </text>
    </comment>
    <comment ref="C67" authorId="0" shapeId="0">
      <text>
        <t>Tipo de lata / embalagem em mililitros. Ex.: 200 ml, 400 ml, 600 ml.</t>
      </text>
    </comment>
    <comment ref="D67" authorId="0" shapeId="0">
      <text>
        <t>Quantidade de caixas produzidas no item.</t>
      </text>
    </comment>
    <comment ref="H67" authorId="0" shapeId="0">
      <text>
        <t>Produção real convertida para caixas.</t>
      </text>
    </comment>
    <comment ref="J67" authorId="0" shapeId="0">
      <text>
        <t>Produção real convertida para caixas.</t>
      </text>
    </comment>
    <comment ref="L67" authorId="0" shapeId="0">
      <text>
        <t>Total final convertido em latas.</t>
      </text>
    </comment>
    <comment ref="C76" authorId="0" shapeId="0">
      <text>
        <t>Tipo de lata / embalagem em mililitros. Ex.: 200 ml, 400 ml, 600 ml.</t>
      </text>
    </comment>
    <comment ref="D76" authorId="0" shapeId="0">
      <text>
        <t>Quantidade de caixas produzidas no item.</t>
      </text>
    </comment>
    <comment ref="H76" authorId="0" shapeId="0">
      <text>
        <t>Produção real convertida para caixas.</t>
      </text>
    </comment>
    <comment ref="J76" authorId="0" shapeId="0">
      <text>
        <t>Produção real convertida para caixas.</t>
      </text>
    </comment>
    <comment ref="L76" authorId="0" shapeId="0">
      <text>
        <t>Total final convertido em latas.</t>
      </text>
    </comment>
    <comment ref="C85" authorId="0" shapeId="0">
      <text>
        <t>Tipo de lata / embalagem em mililitros. Ex.: 200 ml, 400 ml, 600 ml.</t>
      </text>
    </comment>
    <comment ref="D85" authorId="0" shapeId="0">
      <text>
        <t>Quantidade de caixas produzidas no item.</t>
      </text>
    </comment>
    <comment ref="H85" authorId="0" shapeId="0">
      <text>
        <t>Produção real convertida para caixas.</t>
      </text>
    </comment>
    <comment ref="J85" authorId="0" shapeId="0">
      <text>
        <t>Produção real convertida para caixas.</t>
      </text>
    </comment>
    <comment ref="L85" authorId="0" shapeId="0">
      <text>
        <t>Total final convertido em latas.</t>
      </text>
    </comment>
    <comment ref="C93" authorId="0" shapeId="0">
      <text>
        <t>Tipo de lata / embalagem em mililitros. Ex.: 200 ml, 400 ml, 600 ml.</t>
      </text>
    </comment>
    <comment ref="D93" authorId="0" shapeId="0">
      <text>
        <t>Quantidade de caixas produzidas no item.</t>
      </text>
    </comment>
    <comment ref="H93" authorId="0" shapeId="0">
      <text>
        <t>Produção real convertida para caixas.</t>
      </text>
    </comment>
    <comment ref="J93" authorId="0" shapeId="0">
      <text>
        <t>Produção real convertida para caixas.</t>
      </text>
    </comment>
    <comment ref="L93" authorId="0" shapeId="0">
      <text>
        <t>Total final convertido em latas.</t>
      </text>
    </comment>
    <comment ref="C101" authorId="0" shapeId="0">
      <text>
        <t>Tipo de lata / embalagem em mililitros. Ex.: 200 ml, 400 ml, 600 ml.</t>
      </text>
    </comment>
    <comment ref="D101" authorId="0" shapeId="0">
      <text>
        <t>Quantidade de caixas produzidas no item.</t>
      </text>
    </comment>
    <comment ref="H101" authorId="0" shapeId="0">
      <text>
        <t>Produção real convertida para caixas.</t>
      </text>
    </comment>
    <comment ref="J101" authorId="0" shapeId="0">
      <text>
        <t>Produção real convertida para caixas.</t>
      </text>
    </comment>
    <comment ref="L101" authorId="0" shapeId="0">
      <text>
        <t>Total final convertido em latas.</t>
      </text>
    </comment>
    <comment ref="C109" authorId="0" shapeId="0">
      <text>
        <t>Tipo de lata / embalagem em mililitros. Ex.: 200 ml, 400 ml, 600 ml.</t>
      </text>
    </comment>
    <comment ref="D109" authorId="0" shapeId="0">
      <text>
        <t>Quantidade de caixas produzidas no item.</t>
      </text>
    </comment>
    <comment ref="H109" authorId="0" shapeId="0">
      <text>
        <t>Produção real convertida para caixas.</t>
      </text>
    </comment>
    <comment ref="J109" authorId="0" shapeId="0">
      <text>
        <t>Produção real convertida para caixas.</t>
      </text>
    </comment>
    <comment ref="L109" authorId="0" shapeId="0">
      <text>
        <t>Total final convertido em latas.</t>
      </text>
    </comment>
    <comment ref="C118" authorId="0" shapeId="0">
      <text>
        <t>Tipo de lata / embalagem em mililitros. Ex.: 200 ml, 400 ml, 600 ml.</t>
      </text>
    </comment>
    <comment ref="D118" authorId="0" shapeId="0">
      <text>
        <t>Quantidade de caixas produzidas no item.</t>
      </text>
    </comment>
    <comment ref="H118" authorId="0" shapeId="0">
      <text>
        <t>Produção real convertida para caixas.</t>
      </text>
    </comment>
    <comment ref="J118" authorId="0" shapeId="0">
      <text>
        <t>Produção real convertida para caixas.</t>
      </text>
    </comment>
    <comment ref="L118" authorId="0" shapeId="0">
      <text>
        <t>Total final convertido em latas.</t>
      </text>
    </comment>
    <comment ref="C127" authorId="0" shapeId="0">
      <text>
        <t>Tipo de lata / embalagem em mililitros. Ex.: 200 ml, 400 ml, 600 ml.</t>
      </text>
    </comment>
    <comment ref="D127" authorId="0" shapeId="0">
      <text>
        <t>Quantidade de caixas produzidas no item.</t>
      </text>
    </comment>
    <comment ref="H127" authorId="0" shapeId="0">
      <text>
        <t>Produção real convertida para caixas.</t>
      </text>
    </comment>
    <comment ref="J127" authorId="0" shapeId="0">
      <text>
        <t>Produção real convertida para caixas.</t>
      </text>
    </comment>
    <comment ref="L127" authorId="0" shapeId="0">
      <text>
        <t>Total final convertido em latas.</t>
      </text>
    </comment>
    <comment ref="C136" authorId="0" shapeId="0">
      <text>
        <t>Tipo de lata / embalagem em mililitros. Ex.: 200 ml, 400 ml, 600 ml.</t>
      </text>
    </comment>
    <comment ref="D136" authorId="0" shapeId="0">
      <text>
        <t>Quantidade de caixas produzidas no item.</t>
      </text>
    </comment>
    <comment ref="H136" authorId="0" shapeId="0">
      <text>
        <t>Produção real convertida para caixas.</t>
      </text>
    </comment>
    <comment ref="J136" authorId="0" shapeId="0">
      <text>
        <t>Produção real convertida para caixas.</t>
      </text>
    </comment>
    <comment ref="L136" authorId="0" shapeId="0">
      <text>
        <t>Total final convertido em latas.</t>
      </text>
    </comment>
    <comment ref="C144" authorId="0" shapeId="0">
      <text>
        <t>Tipo de lata / embalagem em mililitros. Ex.: 200 ml, 400 ml, 600 ml.</t>
      </text>
    </comment>
    <comment ref="D144" authorId="0" shapeId="0">
      <text>
        <t>Quantidade de caixas produzidas no item.</t>
      </text>
    </comment>
    <comment ref="H144" authorId="0" shapeId="0">
      <text>
        <t>Produção real convertida para caixas.</t>
      </text>
    </comment>
    <comment ref="J144" authorId="0" shapeId="0">
      <text>
        <t>Produção real convertida para caixas.</t>
      </text>
    </comment>
    <comment ref="L144" authorId="0" shapeId="0">
      <text>
        <t>Total final convertido em latas.</t>
      </text>
    </comment>
    <comment ref="C153" authorId="0" shapeId="0">
      <text>
        <t>Tipo de lata / embalagem em mililitros. Ex.: 200 ml, 400 ml, 600 ml.</t>
      </text>
    </comment>
    <comment ref="D153" authorId="0" shapeId="0">
      <text>
        <t>Quantidade de caixas produzidas no item.</t>
      </text>
    </comment>
    <comment ref="H153" authorId="0" shapeId="0">
      <text>
        <t>Produção real convertida para caixas.</t>
      </text>
    </comment>
    <comment ref="J153" authorId="0" shapeId="0">
      <text>
        <t>Produção real convertida para caixas.</t>
      </text>
    </comment>
    <comment ref="L153" authorId="0" shapeId="0">
      <text>
        <t>Total final convertido em latas.</t>
      </text>
    </comment>
    <comment ref="C162" authorId="0" shapeId="0">
      <text>
        <t>Tipo de lata / embalagem em mililitros. Ex.: 200 ml, 400 ml, 600 ml.</t>
      </text>
    </comment>
    <comment ref="D162" authorId="0" shapeId="0">
      <text>
        <t>Quantidade de caixas produzidas no item.</t>
      </text>
    </comment>
    <comment ref="H162" authorId="0" shapeId="0">
      <text>
        <t>Produção real convertida para caixas.</t>
      </text>
    </comment>
    <comment ref="J162" authorId="0" shapeId="0">
      <text>
        <t>Produção real convertida para caixas.</t>
      </text>
    </comment>
    <comment ref="L162" authorId="0" shapeId="0">
      <text>
        <t>Total final convertido em latas.</t>
      </text>
    </comment>
    <comment ref="C170" authorId="0" shapeId="0">
      <text>
        <t>Tipo de lata / embalagem em mililitros. Ex.: 200 ml, 400 ml, 600 ml.</t>
      </text>
    </comment>
    <comment ref="D170" authorId="0" shapeId="0">
      <text>
        <t>Quantidade de caixas produzidas no item.</t>
      </text>
    </comment>
    <comment ref="H170" authorId="0" shapeId="0">
      <text>
        <t>Produção real convertida para caixas.</t>
      </text>
    </comment>
    <comment ref="J170" authorId="0" shapeId="0">
      <text>
        <t>Produção real convertida para caixas.</t>
      </text>
    </comment>
    <comment ref="L170" authorId="0" shapeId="0">
      <text>
        <t>Total final convertido em latas.</t>
      </text>
    </comment>
    <comment ref="C178" authorId="0" shapeId="0">
      <text>
        <t>Tipo de lata / embalagem em mililitros. Ex.: 200 ml, 400 ml, 600 ml.</t>
      </text>
    </comment>
    <comment ref="D178" authorId="0" shapeId="0">
      <text>
        <t>Quantidade de caixas produzidas no item.</t>
      </text>
    </comment>
    <comment ref="H178" authorId="0" shapeId="0">
      <text>
        <t>Produção real convertida para caixas.</t>
      </text>
    </comment>
    <comment ref="J178" authorId="0" shapeId="0">
      <text>
        <t>Produção real convertida para caixas.</t>
      </text>
    </comment>
    <comment ref="L178" authorId="0" shapeId="0">
      <text>
        <t>Total final convertido em latas.</t>
      </text>
    </comment>
    <comment ref="C186" authorId="0" shapeId="0">
      <text>
        <t>Tipo de lata / embalagem em mililitros. Ex.: 200 ml, 400 ml, 600 ml.</t>
      </text>
    </comment>
    <comment ref="D186" authorId="0" shapeId="0">
      <text>
        <t>Quantidade de caixas produzidas no item.</t>
      </text>
    </comment>
    <comment ref="H186" authorId="0" shapeId="0">
      <text>
        <t>Produção real convertida para caixas.</t>
      </text>
    </comment>
    <comment ref="J186" authorId="0" shapeId="0">
      <text>
        <t>Produção real convertida para caixas.</t>
      </text>
    </comment>
    <comment ref="L186" authorId="0" shapeId="0">
      <text>
        <t>Total final convertido em latas.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drawing1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7</col>
      <colOff>264600</colOff>
      <row>8</row>
      <rowOff>0</rowOff>
    </from>
    <to>
      <col>15</col>
      <colOff>331200</colOff>
      <row>22</row>
      <rowOff>119160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 editAs="oneCell">
    <from>
      <col>6</col>
      <colOff>264600</colOff>
      <row>8</row>
      <rowOff>0</rowOff>
    </from>
    <to>
      <col>14</col>
      <colOff>51840</colOff>
      <row>24</row>
      <rowOff>41400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oneCellAnchor>
    <from>
      <col>3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twoCellAnchor editAs="oneCell">
    <from>
      <col>4</col>
      <colOff>635000</colOff>
      <row>33</row>
      <rowOff>203201</rowOff>
    </from>
    <to>
      <col>10</col>
      <colOff>722027</colOff>
      <row>45</row>
      <rowOff>84667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4</col>
      <colOff>584200</colOff>
      <row>45</row>
      <rowOff>110066</rowOff>
    </from>
    <to>
      <col>10</col>
      <colOff>671227</colOff>
      <row>58</row>
      <rowOff>38173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_base_dados3" displayName="tb_base_dados3" ref="A1:H121" headerRowCount="1" totalsRowShown="0">
  <autoFilter ref="A1:H121"/>
  <tableColumns count="8">
    <tableColumn id="1" name="Data"/>
    <tableColumn id="2" name="Mês"/>
    <tableColumn id="3" name="Produto"/>
    <tableColumn id="4" name="Real"/>
    <tableColumn id="5" name="Latas"/>
    <tableColumn id="6" name="Gás"/>
    <tableColumn id="7" name="Horas"/>
    <tableColumn id="8" name="Orige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468" min="1" max="1"/>
    <col width="26" customWidth="1" style="468" min="2" max="2"/>
    <col width="70" customWidth="1" style="468" min="3" max="3"/>
    <col width="26" customWidth="1" style="468" min="4" max="4"/>
    <col width="36" customWidth="1" style="468" min="5" max="5"/>
  </cols>
  <sheetData>
    <row r="1" ht="34" customHeight="1" s="468">
      <c r="A1" s="622" t="inlineStr">
        <is>
          <t>VERSÃO FINAL • GOOGLE SHEETS</t>
        </is>
      </c>
    </row>
    <row r="2">
      <c r="A2" t="inlineStr"/>
      <c r="B2" t="inlineStr"/>
      <c r="C2" t="inlineStr"/>
      <c r="D2" t="inlineStr"/>
      <c r="E2" t="inlineStr"/>
    </row>
    <row r="3">
      <c r="A3" s="623" t="inlineStr">
        <is>
          <t>#</t>
        </is>
      </c>
      <c r="B3" s="623" t="inlineStr">
        <is>
          <t>Item</t>
        </is>
      </c>
      <c r="C3" s="623" t="inlineStr">
        <is>
          <t>Orientação</t>
        </is>
      </c>
      <c r="D3" s="623" t="inlineStr">
        <is>
          <t>Onde mexer</t>
        </is>
      </c>
      <c r="E3" s="623" t="inlineStr">
        <is>
          <t>Observação</t>
        </is>
      </c>
    </row>
    <row r="4">
      <c r="A4" s="624" t="n">
        <v>1</v>
      </c>
      <c r="B4" s="625" t="inlineStr">
        <is>
          <t>Status da versão</t>
        </is>
      </c>
      <c r="C4" s="626" t="inlineStr">
        <is>
          <t>Preparada para abrir no Google Sheets</t>
        </is>
      </c>
      <c r="D4" s="626" t="inlineStr">
        <is>
          <t>Google Sheets / Apps Script</t>
        </is>
      </c>
      <c r="E4" s="626" t="inlineStr">
        <is>
          <t>Arquivo limpo e com aba de automações em Apps Script.</t>
        </is>
      </c>
    </row>
    <row r="5">
      <c r="A5" s="624" t="n">
        <v>2</v>
      </c>
      <c r="B5" s="625" t="inlineStr">
        <is>
          <t>Como usar</t>
        </is>
      </c>
      <c r="C5" s="626" t="inlineStr">
        <is>
          <t>1) Subir no Google Drive → Abrir com Google Planilhas</t>
        </is>
      </c>
      <c r="D5" s="626" t="inlineStr">
        <is>
          <t>Google Sheets / Apps Script</t>
        </is>
      </c>
      <c r="E5" s="626" t="inlineStr">
        <is>
          <t>Depois salve como Google Sheets para liberar edição online.</t>
        </is>
      </c>
    </row>
    <row r="6">
      <c r="A6" s="624" t="n">
        <v>3</v>
      </c>
      <c r="B6" s="625" t="inlineStr">
        <is>
          <t>Automação principal</t>
        </is>
      </c>
      <c r="C6" s="626" t="inlineStr">
        <is>
          <t>Copiar o código da aba APPS_SCRIPT para Extensões → Apps Script</t>
        </is>
      </c>
      <c r="D6" s="626" t="inlineStr">
        <is>
          <t>Google Sheets / Apps Script</t>
        </is>
      </c>
      <c r="E6" s="626" t="inlineStr">
        <is>
          <t>No Sheets, cole o código, salve e recarregue a planilha.</t>
        </is>
      </c>
    </row>
    <row r="7">
      <c r="A7" s="624" t="n">
        <v>4</v>
      </c>
      <c r="B7" s="625" t="inlineStr">
        <is>
          <t>Menu criado</t>
        </is>
      </c>
      <c r="C7" s="626" t="inlineStr">
        <is>
          <t>Produção 2026</t>
        </is>
      </c>
      <c r="D7" s="626" t="inlineStr">
        <is>
          <t>Google Sheets / Apps Script</t>
        </is>
      </c>
      <c r="E7" s="626" t="inlineStr">
        <is>
          <t>Depois de colar o script, aparece menu para Atualizar resumo, Formatar datas e Reaplicar validações.</t>
        </is>
      </c>
    </row>
    <row r="8">
      <c r="A8" s="624" t="n">
        <v>5</v>
      </c>
      <c r="B8" s="625" t="inlineStr">
        <is>
          <t>Datas</t>
        </is>
      </c>
      <c r="C8" s="626" t="inlineStr">
        <is>
          <t>Padrão brasileiro</t>
        </is>
      </c>
      <c r="D8" s="626" t="inlineStr">
        <is>
          <t>Google Sheets / Apps Script</t>
        </is>
      </c>
      <c r="E8" s="626" t="inlineStr">
        <is>
          <t>dd/mm/aaaa nas abas principais.</t>
        </is>
      </c>
    </row>
    <row r="9">
      <c r="A9" s="624" t="n">
        <v>6</v>
      </c>
      <c r="B9" s="625" t="inlineStr">
        <is>
          <t>Preenchimento</t>
        </is>
      </c>
      <c r="C9" s="626" t="inlineStr">
        <is>
          <t>Abas SEMANA</t>
        </is>
      </c>
      <c r="D9" s="626" t="inlineStr">
        <is>
          <t>Google Sheets / Apps Script</t>
        </is>
      </c>
      <c r="E9" s="626" t="inlineStr">
        <is>
          <t>Preencha Produto, Embalagem e Caixas. Pallets, Real CX e Total de latas ficam automáticos.</t>
        </is>
      </c>
    </row>
    <row r="10">
      <c r="A10" s="624" t="n">
        <v>7</v>
      </c>
      <c r="B10" s="625" t="inlineStr">
        <is>
          <t>Dashboard</t>
        </is>
      </c>
      <c r="C10" s="626" t="inlineStr">
        <is>
          <t>Automático</t>
        </is>
      </c>
      <c r="D10" s="626" t="inlineStr">
        <is>
          <t>Google Sheets / Apps Script</t>
        </is>
      </c>
      <c r="E10" s="626" t="inlineStr">
        <is>
          <t>Dashboard, Resumo Mensal e Gráficos puxam dados das abas semanais e de gás.</t>
        </is>
      </c>
    </row>
    <row r="11">
      <c r="A11" s="624" t="n">
        <v>8</v>
      </c>
      <c r="B11" s="625" t="inlineStr">
        <is>
          <t>Cores do resultado</t>
        </is>
      </c>
      <c r="C11" s="626" t="inlineStr">
        <is>
          <t>Verde / Vermelho / Cinza</t>
        </is>
      </c>
      <c r="D11" s="626" t="inlineStr">
        <is>
          <t>Google Sheets / Apps Script</t>
        </is>
      </c>
      <c r="E11" s="626" t="inlineStr">
        <is>
          <t>Verde acima da meta, vermelho abaixo, cinza zerado/sem dado.</t>
        </is>
      </c>
    </row>
    <row r="12">
      <c r="A12" s="624" t="n">
        <v>9</v>
      </c>
      <c r="B12" s="625" t="inlineStr">
        <is>
          <t>Observação importante</t>
        </is>
      </c>
      <c r="C12" s="626" t="inlineStr">
        <is>
          <t>Macros VBA não funcionam no Google Sheets</t>
        </is>
      </c>
      <c r="D12" s="626" t="inlineStr">
        <is>
          <t>Google Sheets / Apps Script</t>
        </is>
      </c>
      <c r="E12" s="626" t="inlineStr">
        <is>
          <t>Por isso deixei a automação em Apps Script na aba APPS_SCRIPT.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style="468" min="1" max="1"/>
  </cols>
  <sheetData>
    <row r="1">
      <c r="A1" s="627" t="inlineStr">
        <is>
          <t>CÓDIGO PARA COLAR NO GOOGLE SHEETS → Extensões &gt; Apps Script</t>
        </is>
      </c>
    </row>
    <row r="3" ht="900" customHeight="1" s="468">
      <c r="A3" s="628" t="inlineStr">
        <is>
          <t xml:space="preserve">/**
 * AUTOMAÇÕES GOOGLE SHEETS • PROGRAMAÇÃO DE PRODUÇÃO 2026
 * Como usar: Extensões &gt; Apps Script &gt; cole este código &gt; Salvar &gt; recarregar a planilha.
 */
const MESES = ['JANEIRO','FEVEREIRO','MARÇO','ABRIL','MAIO','JUNHO','JULHO','AGOSTO','SETEMBRO','OUTUBRO','NOVEMBRO','DEZEMBRO'];
function onOpen() {
  SpreadsheetApp.getUi()
    .createMenu('Produção 2026')
    .addItem('Atualizar resumo e dashboard', 'atualizarTudo')
    .addItem('Formatar datas em PT-BR', 'formatarDatasBR')
    .addItem('Reaplicar validações', 'aplicarValidacoes')
    .addItem('Organizar visual das abas semanais', 'organizarAbasSemana')
    .addToUi();
}
function onEdit(e) {
  if (!e || !e.range) return;
  const sh = e.range.getSheet();
  const nome = sh.getName();
  if (!nome.startsWith('SEMANA ')) return;
  const row = e.range.getRow();
  const col = e.range.getColumn();
  if (row &lt; 4) return;
  // Ao editar Produto, Embalagem ou Caixas, reaplica fórmulas da linha.
  if ([2,3,4,8].includes(col)) {
    aplicarFormulasLinhaSemana_(sh, row);
  }
}
function aplicarFormulasLinhaSemana_(sh, row) {
  const produto = sh.getRange(row, 2).getValue();
  if (!produto &amp;&amp; !sh.getRange(row, 4).getValue()) return;
  sh.getRange(row, 5).setValue('CX');
  sh.getRange(row, 6).setFormula(`=IF($B${row}="","",IF(SUMIFS(CONFIG_PALLETS!$C:$C,CONFIG_PALLETS!$A:$A,TRIM($B${row}),CONFIG_PALLETS!$B:$B,$C${row}&amp;" ml")&gt;0,SUMIFS(CONFIG_PALLETS!$C:$C,CONFIG_PALLETS!$A:$A,TRIM($B${row}),CONFIG_PALLETS!$B:$B,$C${row}&amp;" ml"),IF(SUMIFS(CONFIG_PALLETS!$C:$C,CONFIG_PALLETS!$A:$A,"GERAL",CONFIG_PALLETS!$B:$B,$C${row}&amp;" ml")&gt;0,SUMIFS(CONFIG_PALLETS!$C:$C,CONFIG_PALLETS!$A:$A,"GERAL",CONFIG_PALLETS!$B:$B,$C${row}&amp;" ml"),"")))`);
  sh.getRange(row, 7).setFormula(`=IFERROR(ROUNDUP(D${row}/F${row},0),"")`);
  sh.getRange(row, 9).setFormula(`=IF(H${row}="","",H${row}*IF(SUMIFS(CONFIG_PALLETS!$D:$D,CONFIG_PALLETS!$A:$A,IF(ISNUMBER(SEARCH("ESPUMA",$B${row})),"ESPUMA",IF(OR(ISNUMBER(SEARCH("OLEO DE COCO",$B${row})),ISNUMBER(SEARCH("ÓLEO DE COCO",$B${row})),ISNUMBER(SEARCH("COPRA",$B${row}))),"ÓLEO DE COCO",IF(ISNUMBER(SEARCH("CORANTE",$B${row})),"CORANTE",TRIM($B${row})))),CONFIG_PALLETS!$B:$B,$C${row}&amp;" ml")&gt;0,SUMIFS(CONFIG_PALLETS!$D:$D,CONFIG_PALLETS!$A:$A,IF(ISNUMBER(SEARCH("ESPUMA",$B${row})),"ESPUMA",IF(OR(ISNUMBER(SEARCH("OLEO DE COCO",$B${row})),ISNUMBER(SEARCH("ÓLEO DE COCO",$B${row})),ISNUMBER(SEARCH("COPRA",$B${row}))),"ÓLEO DE COCO",IF(ISNUMBER(SEARCH("CORANTE",$B${row})),"CORANTE",TRIM($B${row})))),CONFIG_PALLETS!$B:$B,$C${row}&amp;" ml"),IF(SUMIFS(CONFIG_PALLETS!$D:$D,CONFIG_PALLETS!$A:$A,"GERAL",CONFIG_PALLETS!$B:$B,$C${row}&amp;" ml")&gt;0,SUMIFS(CONFIG_PALLETS!$D:$D,CONFIG_PALLETS!$A:$A,"GERAL",CONFIG_PALLETS!$B:$B,$C${row}&amp;" ml"),12)))`);
}
function atualizarTudo() {
  formatarDatasBR();
  aplicarValidacoes();
  organizarAbasSemana();
  SpreadsheetApp.flush();
}
function formatarDatasBR() {
  const ss = SpreadsheetApp.getActive();
  ss.getSheets().forEach(sh =&gt; {
    const name = sh.getName();
    if (name.includes('JANEIRO') || name.includes('FEVEREIRO') || name.includes('MARÇO') || name.includes('ABRIL') || name.includes('MAIO') || name.includes('JUNHO') || name.includes('JULHO') || name.includes('AGOSTO') || name.includes('SETEMBRO') || name.includes('OUTUBRO') || name.includes('NOVEMBRO') || name.includes('DEZEMBRO') || name === 'GÁS' || name === 'BASE_DADOS') {
      sh.getRange('A:A').setNumberFormat('dd/mm/yyyy');
    }
  });
}
function aplicarValidacoes() {
  const ss = SpreadsheetApp.getActive();
  const cfg = ss.getSheetByName('CONFIG_LISTAS');
  if (!cfg) return;
  const produtoRule = SpreadsheetApp.newDataValidation().requireValueInRange(cfg.getRange('F2:F'), true).setAllowInvalid(true).build();
  const embRule = SpreadsheetApp.newDataValidation().requireValueInRange(cfg.getRange('A2:A'), true).setAllowInvalid(true).build();
  MESES.forEach(m =&gt; {
    const sh = ss.getSheetByName('SEMANA ' + m);
    if (!sh) return;
    sh.getRange('B4:B220').setDataValidation(produtoRule);
    sh.getRange('C4:C220').setDataValidation(embRule);
  });
}
function organizarAbasSemana() {
  const ss = SpreadsheetApp.getActive();
  MESES.forEach(m =&gt; {
    const sh = ss.getSheetByName('SEMANA ' + m);
    if (!sh) return;
    sh.setFrozenRows(3);
    sh.getRange('A:A').setNumberFormat('dd/mm/yyyy');
    sh.getRange('D:D').setNumberFormat('#,##0');
    sh.getRange('G:I').setNumberFormat('#,##0');
  });
}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4.4"/>
  <cols>
    <col width="80" customWidth="1" style="468" min="1" max="1"/>
  </cols>
  <sheetData>
    <row r="1">
      <c r="A1" s="439" t="inlineStr">
        <is>
          <t>INSTRUÇÕES DE USO DA PLANILHA</t>
        </is>
      </c>
    </row>
    <row r="3">
      <c r="A3" t="inlineStr">
        <is>
          <t>1. PREENCHIMENTO DIÁRIO</t>
        </is>
      </c>
    </row>
    <row r="4">
      <c r="A4" t="inlineStr">
        <is>
          <t>- Preencha apenas:</t>
        </is>
      </c>
    </row>
    <row r="5">
      <c r="A5" t="inlineStr">
        <is>
          <t xml:space="preserve">  • Produto</t>
        </is>
      </c>
    </row>
    <row r="6">
      <c r="A6" t="inlineStr">
        <is>
          <t xml:space="preserve">  • Embalagem</t>
        </is>
      </c>
    </row>
    <row r="7">
      <c r="A7" t="inlineStr">
        <is>
          <t xml:space="preserve">  • Caixas</t>
        </is>
      </c>
    </row>
    <row r="9">
      <c r="A9" t="inlineStr">
        <is>
          <t>- O restante é automático, não precisa mexer:</t>
        </is>
      </c>
    </row>
    <row r="10">
      <c r="A10" t="inlineStr">
        <is>
          <t xml:space="preserve">  • CX/Pallet</t>
        </is>
      </c>
    </row>
    <row r="11">
      <c r="A11" t="inlineStr">
        <is>
          <t xml:space="preserve">  • Pallets (PBR)</t>
        </is>
      </c>
    </row>
    <row r="12">
      <c r="A12" t="inlineStr">
        <is>
          <t xml:space="preserve">  • Real (CX)</t>
        </is>
      </c>
    </row>
    <row r="13">
      <c r="A13" t="inlineStr">
        <is>
          <t xml:space="preserve">  • Total de latas</t>
        </is>
      </c>
    </row>
    <row r="15">
      <c r="A15" t="inlineStr">
        <is>
          <t>2. DIAS SEM PRODUÇÃO</t>
        </is>
      </c>
    </row>
    <row r="16">
      <c r="A16" t="inlineStr">
        <is>
          <t>- Se não teve produção no dia:</t>
        </is>
      </c>
    </row>
    <row r="17">
      <c r="A17" t="inlineStr">
        <is>
          <t xml:space="preserve">  • Coloque 0</t>
        </is>
      </c>
    </row>
    <row r="18">
      <c r="A18" t="inlineStr">
        <is>
          <t xml:space="preserve">  • NÃO apague a linha</t>
        </is>
      </c>
    </row>
    <row r="20">
      <c r="A20" t="inlineStr">
        <is>
          <t>3. SÁBADOS</t>
        </is>
      </c>
    </row>
    <row r="21">
      <c r="A21" t="inlineStr">
        <is>
          <t>- Se trabalhar no sábado:</t>
        </is>
      </c>
    </row>
    <row r="22">
      <c r="A22" t="inlineStr">
        <is>
          <t xml:space="preserve">  • Preencher normal</t>
        </is>
      </c>
    </row>
    <row r="23">
      <c r="A23" t="inlineStr">
        <is>
          <t>- Se NÃO trabalhar:</t>
        </is>
      </c>
    </row>
    <row r="24">
      <c r="A24" t="inlineStr">
        <is>
          <t xml:space="preserve">  • Colocar 0</t>
        </is>
      </c>
    </row>
    <row r="26">
      <c r="A26" t="inlineStr">
        <is>
          <t>4. GÁS (CONSUMO)</t>
        </is>
      </c>
    </row>
    <row r="27">
      <c r="A27" t="inlineStr">
        <is>
          <t>- O gás é somado automaticamente no mês</t>
        </is>
      </c>
    </row>
    <row r="28">
      <c r="A28" t="inlineStr">
        <is>
          <t>- Basta preencher os dias normalmente</t>
        </is>
      </c>
    </row>
    <row r="29">
      <c r="A29" t="inlineStr">
        <is>
          <t>- O dashboard calcula tudo sozinho</t>
        </is>
      </c>
    </row>
    <row r="31">
      <c r="A31" t="inlineStr">
        <is>
          <t>5. DASHBOARD</t>
        </is>
      </c>
    </row>
    <row r="32">
      <c r="A32" t="inlineStr">
        <is>
          <t>- Mostra:</t>
        </is>
      </c>
    </row>
    <row r="33">
      <c r="A33" t="inlineStr">
        <is>
          <t xml:space="preserve">  • Produção do mês</t>
        </is>
      </c>
    </row>
    <row r="34">
      <c r="A34" t="inlineStr">
        <is>
          <t xml:space="preserve">  • Meta x Realizado</t>
        </is>
      </c>
    </row>
    <row r="35">
      <c r="A35" t="inlineStr">
        <is>
          <t xml:space="preserve">  • Consumo de gás</t>
        </is>
      </c>
    </row>
    <row r="37">
      <c r="A37" t="inlineStr">
        <is>
          <t>- Atualiza automático (não precisa mexer)</t>
        </is>
      </c>
    </row>
    <row r="39">
      <c r="A39" t="inlineStr">
        <is>
          <t>6. DATAS</t>
        </is>
      </c>
    </row>
    <row r="40">
      <c r="A40" t="inlineStr">
        <is>
          <t>- Formato padrão:</t>
        </is>
      </c>
    </row>
    <row r="41">
      <c r="A41" t="inlineStr">
        <is>
          <t xml:space="preserve">  • 01/12/2026</t>
        </is>
      </c>
    </row>
    <row r="43">
      <c r="A43" t="inlineStr">
        <is>
          <t>- Nas abas de semana:</t>
        </is>
      </c>
    </row>
    <row r="44">
      <c r="A44" t="inlineStr">
        <is>
          <t xml:space="preserve">  • Mantém dia + data (ex: terça-feira, 03/11/2026)</t>
        </is>
      </c>
    </row>
    <row r="46">
      <c r="A46" t="inlineStr">
        <is>
          <t>7. IMPORTANTE</t>
        </is>
      </c>
    </row>
    <row r="47">
      <c r="A47" t="inlineStr">
        <is>
          <t>- NÃO apagar linhas</t>
        </is>
      </c>
    </row>
    <row r="48">
      <c r="A48" t="inlineStr">
        <is>
          <t>- NÃO mexer nas fórmulas</t>
        </is>
      </c>
    </row>
    <row r="49">
      <c r="A49" t="inlineStr">
        <is>
          <t>- Preencher somente os campos indicados</t>
        </is>
      </c>
    </row>
    <row r="51">
      <c r="A51" t="inlineStr">
        <is>
          <t>Se fizer isso certo, a planilha funciona sozinha 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F3A4A"/>
    <outlinePr summaryBelow="1" summaryRight="1"/>
    <pageSetUpPr/>
  </sheetPr>
  <dimension ref="A1:I21"/>
  <sheetViews>
    <sheetView showGridLines="0" topLeftCell="A14" zoomScaleNormal="100" workbookViewId="0">
      <selection activeCell="A1" sqref="A1"/>
    </sheetView>
  </sheetViews>
  <sheetFormatPr baseColWidth="8" defaultColWidth="8.6640625" defaultRowHeight="14.25" customHeight="1"/>
  <cols>
    <col width="15.88671875" customWidth="1" style="468" min="1" max="1"/>
    <col width="92.33203125" customWidth="1" style="468" min="2" max="2"/>
    <col width="18" customWidth="1" style="468" min="3" max="8"/>
    <col width="2" customWidth="1" style="468" min="9" max="9"/>
  </cols>
  <sheetData>
    <row r="1" ht="21.75" customHeight="1" s="468">
      <c r="A1" s="467" t="inlineStr">
        <is>
          <t>CONTROLE DE PRODUÇÃO 2026</t>
        </is>
      </c>
    </row>
    <row r="2" ht="21.75" customHeight="1" s="468"/>
    <row r="3" ht="21.75" customHeight="1" s="468">
      <c r="A3" s="473" t="inlineStr">
        <is>
          <t>Versão premium • visão executiva • preenchimento operacional simplificado</t>
        </is>
      </c>
    </row>
    <row r="4" ht="21.75" customHeight="1" s="468"/>
    <row r="5" ht="21.75" customHeight="1" s="468">
      <c r="B5" s="478" t="inlineStr">
        <is>
          <t>TOTAL REALIZADO NO ANO</t>
        </is>
      </c>
      <c r="C5" s="472" t="n"/>
      <c r="D5" s="478" t="inlineStr">
        <is>
          <t>META ACUMULADA</t>
        </is>
      </c>
      <c r="E5" s="472" t="n"/>
      <c r="F5" s="478" t="inlineStr">
        <is>
          <t>ATINGIMENTO GERAL</t>
        </is>
      </c>
      <c r="G5" s="472" t="n"/>
      <c r="H5" s="478" t="inlineStr">
        <is>
          <t>MELHOR MÊS</t>
        </is>
      </c>
      <c r="I5" s="472" t="n"/>
    </row>
    <row r="6" ht="21.75" customHeight="1" s="468">
      <c r="B6" s="480">
        <f>DASHBOARD!A6</f>
        <v/>
      </c>
      <c r="C6" s="475" t="n"/>
      <c r="D6" s="480">
        <f>DASHBOARD!C6</f>
        <v/>
      </c>
      <c r="E6" s="475" t="n"/>
      <c r="F6" s="481">
        <f>DASHBOARD!E6</f>
        <v/>
      </c>
      <c r="G6" s="475" t="n"/>
      <c r="H6" s="474">
        <f>DASHBOARD!G6</f>
        <v/>
      </c>
      <c r="I6" s="475" t="n"/>
    </row>
    <row r="7" ht="21.75" customHeight="1" s="468">
      <c r="B7" s="476" t="n"/>
      <c r="C7" s="477" t="n"/>
      <c r="D7" s="476" t="n"/>
      <c r="E7" s="477" t="n"/>
      <c r="F7" s="476" t="n"/>
      <c r="G7" s="477" t="n"/>
      <c r="H7" s="476" t="n"/>
      <c r="I7" s="477" t="n"/>
    </row>
    <row r="8" ht="21.75" customHeight="1" s="468"/>
    <row r="9" ht="21.75" customHeight="1" s="468"/>
    <row r="10" ht="21.75" customHeight="1" s="468">
      <c r="A10" s="479" t="inlineStr">
        <is>
          <t>MAPA RÁPIDO DA PLANILHA</t>
        </is>
      </c>
    </row>
    <row r="11" ht="21.75" customHeight="1" s="468">
      <c r="A11" s="1" t="inlineStr">
        <is>
          <t>1. Abas SEMANA</t>
        </is>
      </c>
      <c r="B11" s="2" t="inlineStr">
        <is>
          <t>Preencher PRODUTO, EMBALAGEM e CAIXAS. As demais colunas fazem a leitura automática.</t>
        </is>
      </c>
    </row>
    <row r="12" ht="21.75" customHeight="1" s="468">
      <c r="A12" s="1" t="inlineStr">
        <is>
          <t>2. Abas GRAFICO</t>
        </is>
      </c>
      <c r="B12" s="2" t="inlineStr">
        <is>
          <t>Acompanhar realizado, meta e desempenho diário/mensal.</t>
        </is>
      </c>
    </row>
    <row r="13" ht="21.75" customHeight="1" s="468">
      <c r="A13" s="1" t="inlineStr">
        <is>
          <t>3. DASHBOARD</t>
        </is>
      </c>
      <c r="B13" s="2" t="inlineStr">
        <is>
          <t>Ver resumo executivo do ano, ranking e comparativos.</t>
        </is>
      </c>
    </row>
    <row r="14" ht="21.75" customHeight="1" s="468">
      <c r="A14" s="1" t="inlineStr">
        <is>
          <t>4. INSTRUÇÕES</t>
        </is>
      </c>
      <c r="B14" s="2" t="inlineStr">
        <is>
          <t>Consultar regras de uso, legenda e lógica dos totais.</t>
        </is>
      </c>
    </row>
    <row r="15" ht="21.75" customHeight="1" s="468"/>
    <row r="16" ht="21.75" customHeight="1" s="468"/>
    <row r="17" ht="21.75" customHeight="1" s="468">
      <c r="A17" s="469" t="inlineStr">
        <is>
          <t>RECOMENDAÇÃO DE USO</t>
        </is>
      </c>
    </row>
    <row r="18" ht="21.75" customHeight="1" s="468">
      <c r="A18" s="470" t="inlineStr">
        <is>
          <t>• Lance os itens do dia apenas na área amarela de preenchimento.</t>
        </is>
      </c>
      <c r="B18" s="471" t="n"/>
      <c r="C18" s="471" t="n"/>
      <c r="D18" s="471" t="n"/>
      <c r="E18" s="471" t="n"/>
      <c r="F18" s="471" t="n"/>
      <c r="G18" s="471" t="n"/>
      <c r="H18" s="472" t="n"/>
    </row>
    <row r="19" ht="21.75" customHeight="1" s="468">
      <c r="A19" s="470" t="inlineStr">
        <is>
          <t>• Use as linhas TOTAL somente para conferência; elas já foram ajustadas para não entrar na seleção manual.</t>
        </is>
      </c>
      <c r="B19" s="471" t="n"/>
      <c r="C19" s="471" t="n"/>
      <c r="D19" s="471" t="n"/>
      <c r="E19" s="471" t="n"/>
      <c r="F19" s="471" t="n"/>
      <c r="G19" s="471" t="n"/>
      <c r="H19" s="472" t="n"/>
    </row>
    <row r="20" ht="21.75" customHeight="1" s="468">
      <c r="A20" s="470" t="inlineStr">
        <is>
          <t>• Evite inserir fórmulas nas abas semanais fora dos campos já estruturados.</t>
        </is>
      </c>
      <c r="B20" s="471" t="n"/>
      <c r="C20" s="471" t="n"/>
      <c r="D20" s="471" t="n"/>
      <c r="E20" s="471" t="n"/>
      <c r="F20" s="471" t="n"/>
      <c r="G20" s="471" t="n"/>
      <c r="H20" s="472" t="n"/>
    </row>
    <row r="21" ht="21.75" customHeight="1" s="468">
      <c r="A21" s="470" t="inlineStr">
        <is>
          <t>• Para impressão ou apresentação, priorize as abas DASHBOARD, RESUMO_MENSAL e GRAFICO do mês.</t>
        </is>
      </c>
      <c r="B21" s="471" t="n"/>
      <c r="C21" s="471" t="n"/>
      <c r="D21" s="471" t="n"/>
      <c r="E21" s="471" t="n"/>
      <c r="F21" s="471" t="n"/>
      <c r="G21" s="471" t="n"/>
      <c r="H21" s="472" t="n"/>
    </row>
    <row r="22" ht="21.75" customHeight="1" s="468"/>
    <row r="23" ht="21.75" customHeight="1" s="468"/>
    <row r="24" ht="21.75" customHeight="1" s="468"/>
    <row r="25" ht="21.75" customHeight="1" s="468"/>
  </sheetData>
  <mergeCells count="16">
    <mergeCell ref="A18:H18"/>
    <mergeCell ref="A3:H3"/>
    <mergeCell ref="A21:H21"/>
    <mergeCell ref="H6:I7"/>
    <mergeCell ref="A20:H20"/>
    <mergeCell ref="B5:C5"/>
    <mergeCell ref="F5:G5"/>
    <mergeCell ref="D5:E5"/>
    <mergeCell ref="A10:H10"/>
    <mergeCell ref="D6:E7"/>
    <mergeCell ref="H5:I5"/>
    <mergeCell ref="B6:C7"/>
    <mergeCell ref="F6:G7"/>
    <mergeCell ref="A19:H19"/>
    <mergeCell ref="A1:H2"/>
    <mergeCell ref="A17:H1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C96B0A"/>
    <outlinePr summaryBelow="1" summaryRight="1"/>
    <pageSetUpPr/>
  </sheetPr>
  <dimension ref="B1:R300"/>
  <sheetViews>
    <sheetView showGridLines="0" zoomScaleNormal="100" workbookViewId="0">
      <selection activeCell="A1" sqref="A1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5" min="14" max="14"/>
    <col width="10.5546875" customWidth="1" style="468" min="15" max="15"/>
  </cols>
  <sheetData>
    <row r="1" ht="21.75" customHeight="1" s="468">
      <c r="B1" s="511" t="inlineStr">
        <is>
          <t>ORDEM DE PRODUÇÃO - JANEIRO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498" t="inlineStr">
        <is>
          <t>OP</t>
        </is>
      </c>
      <c r="C3" s="498" t="inlineStr">
        <is>
          <t xml:space="preserve">LOTE </t>
        </is>
      </c>
      <c r="D3" s="499" t="n"/>
      <c r="E3" s="498" t="inlineStr">
        <is>
          <t>LOTE CLIENTE</t>
        </is>
      </c>
      <c r="F3" s="499" t="n"/>
      <c r="G3" s="498" t="inlineStr">
        <is>
          <t>PRODUTO</t>
        </is>
      </c>
      <c r="H3" s="503" t="n"/>
      <c r="I3" s="503" t="n"/>
      <c r="J3" s="499" t="n"/>
      <c r="K3" s="498" t="inlineStr">
        <is>
          <t>CLIENTE</t>
        </is>
      </c>
      <c r="L3" s="499" t="n"/>
      <c r="M3" s="498" t="inlineStr">
        <is>
          <t>QTDE(Kg)</t>
        </is>
      </c>
      <c r="N3" s="417" t="inlineStr">
        <is>
          <t>FABRICAÇÃO</t>
        </is>
      </c>
    </row>
    <row r="4" ht="18" customHeight="1" s="468">
      <c r="B4" s="508" t="inlineStr">
        <is>
          <t>2026/001</t>
        </is>
      </c>
      <c r="C4" s="482" t="n">
        <v>26010001</v>
      </c>
      <c r="D4" s="484" t="n"/>
      <c r="E4" s="510" t="n"/>
      <c r="F4" s="484" t="n"/>
      <c r="G4" s="482" t="inlineStr">
        <is>
          <t>LISSE 600ML</t>
        </is>
      </c>
      <c r="H4" s="483" t="n"/>
      <c r="I4" s="483" t="n"/>
      <c r="J4" s="484" t="n"/>
      <c r="K4" s="482" t="inlineStr">
        <is>
          <t>ADIMIX</t>
        </is>
      </c>
      <c r="L4" s="505" t="n"/>
      <c r="M4" s="10" t="inlineStr">
        <is>
          <t>7.980 LATAS</t>
        </is>
      </c>
      <c r="N4" s="418" t="n">
        <v>46027</v>
      </c>
    </row>
    <row r="5" ht="18" customHeight="1" s="468">
      <c r="B5" s="497" t="n"/>
      <c r="C5" s="487" t="n">
        <v>26010002</v>
      </c>
      <c r="D5" s="486" t="n"/>
      <c r="E5" s="490" t="n"/>
      <c r="F5" s="486" t="n"/>
      <c r="G5" s="487" t="inlineStr">
        <is>
          <t>LISSE 600ML</t>
        </is>
      </c>
      <c r="H5" s="488" t="n"/>
      <c r="I5" s="488" t="n"/>
      <c r="J5" s="486" t="n"/>
      <c r="K5" s="493" t="n"/>
      <c r="L5" s="494" t="n"/>
      <c r="M5" s="11" t="inlineStr">
        <is>
          <t>7.980 LATAS</t>
        </is>
      </c>
      <c r="N5" s="418" t="n">
        <v>46028</v>
      </c>
    </row>
    <row r="6" ht="17.25" customHeight="1" s="468">
      <c r="B6" s="504" t="inlineStr">
        <is>
          <t>2026/002</t>
        </is>
      </c>
      <c r="C6" s="489" t="n">
        <v>26010003</v>
      </c>
      <c r="D6" s="486" t="n"/>
      <c r="E6" s="485" t="n"/>
      <c r="F6" s="486" t="n"/>
      <c r="G6" s="489" t="inlineStr">
        <is>
          <t>ALL BREAD 600ML</t>
        </is>
      </c>
      <c r="H6" s="488" t="n"/>
      <c r="I6" s="488" t="n"/>
      <c r="J6" s="486" t="n"/>
      <c r="K6" s="489" t="inlineStr">
        <is>
          <t>ALL BREAD</t>
        </is>
      </c>
      <c r="L6" s="486" t="n"/>
      <c r="M6" s="13" t="inlineStr">
        <is>
          <t>9.168 LATAS</t>
        </is>
      </c>
      <c r="N6" s="418" t="n">
        <v>46037</v>
      </c>
    </row>
    <row r="7" ht="18" customHeight="1" s="468">
      <c r="B7" s="495" t="inlineStr">
        <is>
          <t>2026/003</t>
        </is>
      </c>
      <c r="C7" s="487" t="n">
        <v>26010004</v>
      </c>
      <c r="D7" s="486" t="n"/>
      <c r="E7" s="490" t="n"/>
      <c r="F7" s="486" t="n"/>
      <c r="G7" s="487" t="inlineStr">
        <is>
          <t>UNTA FACIL 600ML</t>
        </is>
      </c>
      <c r="H7" s="488" t="n"/>
      <c r="I7" s="488" t="n"/>
      <c r="J7" s="486" t="n"/>
      <c r="K7" s="487" t="inlineStr">
        <is>
          <t>IN LOCO</t>
        </is>
      </c>
      <c r="L7" s="492" t="n"/>
      <c r="M7" s="11" t="inlineStr">
        <is>
          <t>15.960 LATAS</t>
        </is>
      </c>
      <c r="N7" s="418" t="n">
        <v>46029</v>
      </c>
    </row>
    <row r="8" ht="18" customHeight="1" s="468">
      <c r="B8" s="497" t="n"/>
      <c r="C8" s="489" t="n">
        <v>26010005</v>
      </c>
      <c r="D8" s="486" t="n"/>
      <c r="E8" s="485" t="n"/>
      <c r="F8" s="486" t="n"/>
      <c r="G8" s="489" t="inlineStr">
        <is>
          <t>UNTA FACIL ECO 600ML</t>
        </is>
      </c>
      <c r="H8" s="488" t="n"/>
      <c r="I8" s="488" t="n"/>
      <c r="J8" s="486" t="n"/>
      <c r="K8" s="493" t="n"/>
      <c r="L8" s="494" t="n"/>
      <c r="M8" s="15" t="inlineStr">
        <is>
          <t>8.976 LATAS</t>
        </is>
      </c>
      <c r="N8" s="418" t="n">
        <v>46041</v>
      </c>
      <c r="O8" t="inlineStr">
        <is>
          <t>308cxs</t>
        </is>
      </c>
    </row>
    <row r="9" ht="17.25" customHeight="1" s="468">
      <c r="B9" s="495" t="inlineStr">
        <is>
          <t>2026/004</t>
        </is>
      </c>
      <c r="C9" s="487" t="n">
        <v>26010006</v>
      </c>
      <c r="D9" s="486" t="n"/>
      <c r="E9" s="490" t="n"/>
      <c r="F9" s="486" t="n"/>
      <c r="G9" s="487" t="inlineStr">
        <is>
          <t>DESTAK 600ML</t>
        </is>
      </c>
      <c r="H9" s="488" t="n"/>
      <c r="I9" s="488" t="n"/>
      <c r="J9" s="486" t="n"/>
      <c r="K9" s="487" t="inlineStr">
        <is>
          <t>PURATOS</t>
        </is>
      </c>
      <c r="L9" s="486" t="n"/>
      <c r="M9" s="11" t="inlineStr">
        <is>
          <t>22.800 LATAS</t>
        </is>
      </c>
      <c r="N9" s="418" t="n">
        <v>46031</v>
      </c>
    </row>
    <row r="10" ht="17.25" customHeight="1" s="468">
      <c r="B10" s="504" t="inlineStr">
        <is>
          <t>2026/005</t>
        </is>
      </c>
      <c r="C10" s="489" t="n">
        <v>26010007</v>
      </c>
      <c r="D10" s="486" t="n"/>
      <c r="E10" s="485" t="n"/>
      <c r="F10" s="486" t="n"/>
      <c r="G10" s="489" t="inlineStr">
        <is>
          <t>TTF MEL 600ML</t>
        </is>
      </c>
      <c r="H10" s="488" t="n"/>
      <c r="I10" s="488" t="n"/>
      <c r="J10" s="486" t="n"/>
      <c r="K10" s="489" t="inlineStr">
        <is>
          <t>TTF</t>
        </is>
      </c>
      <c r="L10" s="486" t="n"/>
      <c r="M10" s="13" t="inlineStr">
        <is>
          <t>3.420 LATAS</t>
        </is>
      </c>
      <c r="N10" s="418" t="n">
        <v>46041</v>
      </c>
    </row>
    <row r="11" ht="18" customHeight="1" s="468">
      <c r="B11" s="495" t="inlineStr">
        <is>
          <t>2026/006</t>
        </is>
      </c>
      <c r="C11" s="487" t="n">
        <v>26010008</v>
      </c>
      <c r="D11" s="486" t="n"/>
      <c r="E11" s="490" t="n"/>
      <c r="F11" s="486" t="n"/>
      <c r="G11" s="487" t="inlineStr">
        <is>
          <t>OL 40</t>
        </is>
      </c>
      <c r="H11" s="488" t="n"/>
      <c r="I11" s="488" t="n"/>
      <c r="J11" s="486" t="n"/>
      <c r="K11" s="487" t="inlineStr">
        <is>
          <t>SMART</t>
        </is>
      </c>
      <c r="L11" s="492" t="n"/>
      <c r="M11" s="16" t="inlineStr">
        <is>
          <t>420 KG</t>
        </is>
      </c>
      <c r="N11" s="418" t="n">
        <v>46027</v>
      </c>
    </row>
    <row r="12" ht="18" customHeight="1" s="468">
      <c r="B12" s="496" t="n"/>
      <c r="C12" s="489" t="n">
        <v>26010009</v>
      </c>
      <c r="D12" s="486" t="n"/>
      <c r="E12" s="485" t="n"/>
      <c r="F12" s="486" t="n"/>
      <c r="G12" s="489" t="inlineStr">
        <is>
          <t>OL 40</t>
        </is>
      </c>
      <c r="H12" s="488" t="n"/>
      <c r="I12" s="488" t="n"/>
      <c r="J12" s="486" t="n"/>
      <c r="K12" s="501" t="n"/>
      <c r="L12" s="502" t="n"/>
      <c r="M12" s="13" t="inlineStr">
        <is>
          <t>420 KG</t>
        </is>
      </c>
      <c r="N12" s="418" t="n">
        <v>46027</v>
      </c>
    </row>
    <row r="13" ht="18" customHeight="1" s="468">
      <c r="B13" s="496" t="n"/>
      <c r="C13" s="487" t="n">
        <v>26010010</v>
      </c>
      <c r="D13" s="486" t="n"/>
      <c r="E13" s="490" t="n"/>
      <c r="F13" s="486" t="n"/>
      <c r="G13" s="487" t="inlineStr">
        <is>
          <t>OL 40</t>
        </is>
      </c>
      <c r="H13" s="488" t="n"/>
      <c r="I13" s="488" t="n"/>
      <c r="J13" s="486" t="n"/>
      <c r="K13" s="501" t="n"/>
      <c r="L13" s="502" t="n"/>
      <c r="M13" s="16" t="inlineStr">
        <is>
          <t>420 KG</t>
        </is>
      </c>
      <c r="N13" s="418" t="n">
        <v>46027</v>
      </c>
    </row>
    <row r="14" ht="18" customHeight="1" s="468">
      <c r="B14" s="496" t="n"/>
      <c r="C14" s="489" t="n">
        <v>26010011</v>
      </c>
      <c r="D14" s="486" t="n"/>
      <c r="E14" s="485" t="n"/>
      <c r="F14" s="486" t="n"/>
      <c r="G14" s="489" t="inlineStr">
        <is>
          <t>OL 40</t>
        </is>
      </c>
      <c r="H14" s="488" t="n"/>
      <c r="I14" s="488" t="n"/>
      <c r="J14" s="486" t="n"/>
      <c r="K14" s="501" t="n"/>
      <c r="L14" s="502" t="n"/>
      <c r="M14" s="13" t="inlineStr">
        <is>
          <t>420 KG</t>
        </is>
      </c>
      <c r="N14" s="418" t="n">
        <v>46027</v>
      </c>
    </row>
    <row r="15" ht="18" customHeight="1" s="468">
      <c r="B15" s="496" t="n"/>
      <c r="C15" s="487" t="n">
        <v>26010012</v>
      </c>
      <c r="D15" s="486" t="n"/>
      <c r="E15" s="490" t="n"/>
      <c r="F15" s="486" t="n"/>
      <c r="G15" s="487" t="inlineStr">
        <is>
          <t>OL 40</t>
        </is>
      </c>
      <c r="H15" s="488" t="n"/>
      <c r="I15" s="488" t="n"/>
      <c r="J15" s="486" t="n"/>
      <c r="K15" s="501" t="n"/>
      <c r="L15" s="502" t="n"/>
      <c r="M15" s="16" t="inlineStr">
        <is>
          <t>420 KG</t>
        </is>
      </c>
      <c r="N15" s="418" t="n">
        <v>46027</v>
      </c>
    </row>
    <row r="16" ht="18" customHeight="1" s="468">
      <c r="B16" s="496" t="n"/>
      <c r="C16" s="489" t="n">
        <v>26010013</v>
      </c>
      <c r="D16" s="486" t="n"/>
      <c r="E16" s="485" t="n"/>
      <c r="F16" s="486" t="n"/>
      <c r="G16" s="489" t="inlineStr">
        <is>
          <t>OL 40</t>
        </is>
      </c>
      <c r="H16" s="488" t="n"/>
      <c r="I16" s="488" t="n"/>
      <c r="J16" s="486" t="n"/>
      <c r="K16" s="501" t="n"/>
      <c r="L16" s="502" t="n"/>
      <c r="M16" s="13" t="inlineStr">
        <is>
          <t>420 KG</t>
        </is>
      </c>
      <c r="N16" s="418" t="n">
        <v>46027</v>
      </c>
    </row>
    <row r="17" ht="18" customHeight="1" s="468">
      <c r="B17" s="496" t="n"/>
      <c r="C17" s="487" t="n">
        <v>26010014</v>
      </c>
      <c r="D17" s="486" t="n"/>
      <c r="E17" s="490" t="n"/>
      <c r="F17" s="486" t="n"/>
      <c r="G17" s="487" t="inlineStr">
        <is>
          <t>OL 40</t>
        </is>
      </c>
      <c r="H17" s="488" t="n"/>
      <c r="I17" s="488" t="n"/>
      <c r="J17" s="486" t="n"/>
      <c r="K17" s="501" t="n"/>
      <c r="L17" s="502" t="n"/>
      <c r="M17" s="16" t="inlineStr">
        <is>
          <t>420 KG</t>
        </is>
      </c>
      <c r="N17" s="418" t="n">
        <v>46028</v>
      </c>
    </row>
    <row r="18" ht="18" customHeight="1" s="468">
      <c r="B18" s="496" t="n"/>
      <c r="C18" s="489" t="n">
        <v>26010015</v>
      </c>
      <c r="D18" s="486" t="n"/>
      <c r="E18" s="500" t="n"/>
      <c r="F18" s="486" t="n"/>
      <c r="G18" s="489" t="inlineStr">
        <is>
          <t>OL 40</t>
        </is>
      </c>
      <c r="H18" s="488" t="n"/>
      <c r="I18" s="488" t="n"/>
      <c r="J18" s="486" t="n"/>
      <c r="K18" s="501" t="n"/>
      <c r="L18" s="502" t="n"/>
      <c r="M18" s="13" t="inlineStr">
        <is>
          <t>420 KG</t>
        </is>
      </c>
      <c r="N18" s="418" t="n">
        <v>46028</v>
      </c>
    </row>
    <row r="19" ht="18" customHeight="1" s="468">
      <c r="B19" s="496" t="n"/>
      <c r="C19" s="487" t="n">
        <v>26010016</v>
      </c>
      <c r="D19" s="486" t="n"/>
      <c r="E19" s="490" t="n"/>
      <c r="F19" s="486" t="n"/>
      <c r="G19" s="487" t="inlineStr">
        <is>
          <t>OL 40</t>
        </is>
      </c>
      <c r="H19" s="488" t="n"/>
      <c r="I19" s="488" t="n"/>
      <c r="J19" s="486" t="n"/>
      <c r="K19" s="501" t="n"/>
      <c r="L19" s="502" t="n"/>
      <c r="M19" s="16" t="inlineStr">
        <is>
          <t>420 KG</t>
        </is>
      </c>
      <c r="N19" s="418" t="n">
        <v>46029</v>
      </c>
    </row>
    <row r="20" ht="18" customHeight="1" s="468">
      <c r="B20" s="496" t="n"/>
      <c r="C20" s="489" t="n">
        <v>26010017</v>
      </c>
      <c r="D20" s="486" t="n"/>
      <c r="E20" s="485" t="n"/>
      <c r="F20" s="486" t="n"/>
      <c r="G20" s="489" t="inlineStr">
        <is>
          <t>OL 40</t>
        </is>
      </c>
      <c r="H20" s="488" t="n"/>
      <c r="I20" s="488" t="n"/>
      <c r="J20" s="486" t="n"/>
      <c r="K20" s="501" t="n"/>
      <c r="L20" s="502" t="n"/>
      <c r="M20" s="13" t="inlineStr">
        <is>
          <t>420 KG</t>
        </is>
      </c>
      <c r="N20" s="418" t="n">
        <v>46029</v>
      </c>
    </row>
    <row r="21" ht="18" customHeight="1" s="468">
      <c r="B21" s="496" t="n"/>
      <c r="C21" s="487" t="n">
        <v>26010018</v>
      </c>
      <c r="D21" s="486" t="n"/>
      <c r="E21" s="490" t="n"/>
      <c r="F21" s="486" t="n"/>
      <c r="G21" s="487" t="inlineStr">
        <is>
          <t>OL 40</t>
        </is>
      </c>
      <c r="H21" s="488" t="n"/>
      <c r="I21" s="488" t="n"/>
      <c r="J21" s="486" t="n"/>
      <c r="K21" s="501" t="n"/>
      <c r="L21" s="502" t="n"/>
      <c r="M21" s="16" t="inlineStr">
        <is>
          <t>420 KG</t>
        </is>
      </c>
      <c r="N21" s="418" t="n">
        <v>46029</v>
      </c>
    </row>
    <row r="22" ht="18" customHeight="1" s="468">
      <c r="B22" s="496" t="n"/>
      <c r="C22" s="489" t="n">
        <v>26010019</v>
      </c>
      <c r="D22" s="486" t="n"/>
      <c r="E22" s="485" t="n"/>
      <c r="F22" s="486" t="n"/>
      <c r="G22" s="489" t="inlineStr">
        <is>
          <t>OL 40</t>
        </is>
      </c>
      <c r="H22" s="488" t="n"/>
      <c r="I22" s="488" t="n"/>
      <c r="J22" s="486" t="n"/>
      <c r="K22" s="501" t="n"/>
      <c r="L22" s="502" t="n"/>
      <c r="M22" s="13" t="inlineStr">
        <is>
          <t>420 KG</t>
        </is>
      </c>
      <c r="N22" s="418" t="n">
        <v>46029</v>
      </c>
    </row>
    <row r="23" ht="18" customHeight="1" s="468">
      <c r="B23" s="496" t="n"/>
      <c r="C23" s="487" t="n">
        <v>26010020</v>
      </c>
      <c r="D23" s="486" t="n"/>
      <c r="E23" s="490" t="n"/>
      <c r="F23" s="486" t="n"/>
      <c r="G23" s="487" t="inlineStr">
        <is>
          <t>OL 40</t>
        </is>
      </c>
      <c r="H23" s="488" t="n"/>
      <c r="I23" s="488" t="n"/>
      <c r="J23" s="486" t="n"/>
      <c r="K23" s="501" t="n"/>
      <c r="L23" s="502" t="n"/>
      <c r="M23" s="16" t="inlineStr">
        <is>
          <t>420 KG</t>
        </is>
      </c>
      <c r="N23" s="418" t="n">
        <v>46029</v>
      </c>
    </row>
    <row r="24" ht="18" customHeight="1" s="468">
      <c r="B24" s="496" t="n"/>
      <c r="C24" s="489" t="n">
        <v>26010021</v>
      </c>
      <c r="D24" s="486" t="n"/>
      <c r="E24" s="485" t="n"/>
      <c r="F24" s="486" t="n"/>
      <c r="G24" s="489" t="inlineStr">
        <is>
          <t>OL 40</t>
        </is>
      </c>
      <c r="H24" s="488" t="n"/>
      <c r="I24" s="488" t="n"/>
      <c r="J24" s="486" t="n"/>
      <c r="K24" s="501" t="n"/>
      <c r="L24" s="502" t="n"/>
      <c r="M24" s="13" t="inlineStr">
        <is>
          <t>420 KG</t>
        </is>
      </c>
      <c r="N24" s="418" t="n">
        <v>46029</v>
      </c>
    </row>
    <row r="25" ht="18" customHeight="1" s="468">
      <c r="B25" s="496" t="n"/>
      <c r="C25" s="487" t="n">
        <v>26010022</v>
      </c>
      <c r="D25" s="486" t="n"/>
      <c r="E25" s="490" t="n"/>
      <c r="F25" s="486" t="n"/>
      <c r="G25" s="487" t="inlineStr">
        <is>
          <t>OL 40</t>
        </is>
      </c>
      <c r="H25" s="488" t="n"/>
      <c r="I25" s="488" t="n"/>
      <c r="J25" s="486" t="n"/>
      <c r="K25" s="501" t="n"/>
      <c r="L25" s="502" t="n"/>
      <c r="M25" s="16" t="inlineStr">
        <is>
          <t>420 KG</t>
        </is>
      </c>
      <c r="N25" s="418" t="n">
        <v>46029</v>
      </c>
    </row>
    <row r="26" ht="18" customHeight="1" s="468">
      <c r="B26" s="496" t="n"/>
      <c r="C26" s="489" t="n">
        <v>26010023</v>
      </c>
      <c r="D26" s="486" t="n"/>
      <c r="E26" s="500" t="n"/>
      <c r="F26" s="486" t="n"/>
      <c r="G26" s="489" t="inlineStr">
        <is>
          <t>OL 40</t>
        </is>
      </c>
      <c r="H26" s="488" t="n"/>
      <c r="I26" s="488" t="n"/>
      <c r="J26" s="486" t="n"/>
      <c r="K26" s="501" t="n"/>
      <c r="L26" s="502" t="n"/>
      <c r="M26" s="13" t="inlineStr">
        <is>
          <t>420 KG</t>
        </is>
      </c>
      <c r="N26" s="418" t="n">
        <v>46029</v>
      </c>
    </row>
    <row r="27" ht="18" customHeight="1" s="468">
      <c r="B27" s="496" t="n"/>
      <c r="C27" s="487" t="n">
        <v>26010024</v>
      </c>
      <c r="D27" s="486" t="n"/>
      <c r="E27" s="490" t="n"/>
      <c r="F27" s="486" t="n"/>
      <c r="G27" s="487" t="inlineStr">
        <is>
          <t>OL 40</t>
        </is>
      </c>
      <c r="H27" s="488" t="n"/>
      <c r="I27" s="488" t="n"/>
      <c r="J27" s="486" t="n"/>
      <c r="K27" s="501" t="n"/>
      <c r="L27" s="502" t="n"/>
      <c r="M27" s="16" t="inlineStr">
        <is>
          <t>420 KG</t>
        </is>
      </c>
      <c r="N27" s="418" t="n">
        <v>46030</v>
      </c>
    </row>
    <row r="28" ht="18" customHeight="1" s="468">
      <c r="B28" s="496" t="n"/>
      <c r="C28" s="489" t="n">
        <v>26010025</v>
      </c>
      <c r="D28" s="486" t="n"/>
      <c r="E28" s="485" t="n"/>
      <c r="F28" s="486" t="n"/>
      <c r="G28" s="489" t="inlineStr">
        <is>
          <t>OL 40</t>
        </is>
      </c>
      <c r="H28" s="488" t="n"/>
      <c r="I28" s="488" t="n"/>
      <c r="J28" s="486" t="n"/>
      <c r="K28" s="501" t="n"/>
      <c r="L28" s="502" t="n"/>
      <c r="M28" s="13" t="inlineStr">
        <is>
          <t>420 KG</t>
        </is>
      </c>
      <c r="N28" s="418" t="n">
        <v>46030</v>
      </c>
    </row>
    <row r="29" ht="18" customHeight="1" s="468">
      <c r="B29" s="496" t="n"/>
      <c r="C29" s="487" t="n">
        <v>26010026</v>
      </c>
      <c r="D29" s="486" t="n"/>
      <c r="E29" s="490" t="n"/>
      <c r="F29" s="486" t="n"/>
      <c r="G29" s="487" t="inlineStr">
        <is>
          <t>OL 40</t>
        </is>
      </c>
      <c r="H29" s="488" t="n"/>
      <c r="I29" s="488" t="n"/>
      <c r="J29" s="486" t="n"/>
      <c r="K29" s="501" t="n"/>
      <c r="L29" s="502" t="n"/>
      <c r="M29" s="16" t="inlineStr">
        <is>
          <t>420 KG</t>
        </is>
      </c>
      <c r="N29" s="418" t="n">
        <v>46030</v>
      </c>
    </row>
    <row r="30" ht="18" customHeight="1" s="468">
      <c r="B30" s="496" t="n"/>
      <c r="C30" s="489" t="n">
        <v>26010027</v>
      </c>
      <c r="D30" s="486" t="n"/>
      <c r="E30" s="485" t="n"/>
      <c r="F30" s="486" t="n"/>
      <c r="G30" s="489" t="inlineStr">
        <is>
          <t>OL 40</t>
        </is>
      </c>
      <c r="H30" s="488" t="n"/>
      <c r="I30" s="488" t="n"/>
      <c r="J30" s="486" t="n"/>
      <c r="K30" s="501" t="n"/>
      <c r="L30" s="502" t="n"/>
      <c r="M30" s="13" t="inlineStr">
        <is>
          <t>420 KG</t>
        </is>
      </c>
      <c r="N30" s="418" t="n">
        <v>46030</v>
      </c>
    </row>
    <row r="31" ht="18" customHeight="1" s="468">
      <c r="B31" s="496" t="n"/>
      <c r="C31" s="487" t="n">
        <v>26010028</v>
      </c>
      <c r="D31" s="486" t="n"/>
      <c r="E31" s="490" t="n"/>
      <c r="F31" s="486" t="n"/>
      <c r="G31" s="487" t="inlineStr">
        <is>
          <t>OL 40</t>
        </is>
      </c>
      <c r="H31" s="488" t="n"/>
      <c r="I31" s="488" t="n"/>
      <c r="J31" s="486" t="n"/>
      <c r="K31" s="501" t="n"/>
      <c r="L31" s="502" t="n"/>
      <c r="M31" s="16" t="inlineStr">
        <is>
          <t>420 KG</t>
        </is>
      </c>
      <c r="N31" s="418" t="n">
        <v>46030</v>
      </c>
    </row>
    <row r="32" ht="18" customHeight="1" s="468">
      <c r="B32" s="496" t="n"/>
      <c r="C32" s="489" t="n">
        <v>26010029</v>
      </c>
      <c r="D32" s="486" t="n"/>
      <c r="E32" s="485" t="n"/>
      <c r="F32" s="486" t="n"/>
      <c r="G32" s="489" t="inlineStr">
        <is>
          <t>OL 40</t>
        </is>
      </c>
      <c r="H32" s="488" t="n"/>
      <c r="I32" s="488" t="n"/>
      <c r="J32" s="486" t="n"/>
      <c r="K32" s="501" t="n"/>
      <c r="L32" s="502" t="n"/>
      <c r="M32" s="13" t="inlineStr">
        <is>
          <t>420 KG</t>
        </is>
      </c>
      <c r="N32" s="418" t="n">
        <v>46030</v>
      </c>
    </row>
    <row r="33" ht="18" customHeight="1" s="468">
      <c r="B33" s="496" t="n"/>
      <c r="C33" s="487" t="n">
        <v>26010030</v>
      </c>
      <c r="D33" s="486" t="n"/>
      <c r="E33" s="490" t="n"/>
      <c r="F33" s="486" t="n"/>
      <c r="G33" s="487" t="inlineStr">
        <is>
          <t>OL 40</t>
        </is>
      </c>
      <c r="H33" s="488" t="n"/>
      <c r="I33" s="488" t="n"/>
      <c r="J33" s="486" t="n"/>
      <c r="K33" s="501" t="n"/>
      <c r="L33" s="502" t="n"/>
      <c r="M33" s="16" t="inlineStr">
        <is>
          <t>420 KG</t>
        </is>
      </c>
      <c r="N33" s="418" t="n">
        <v>46030</v>
      </c>
    </row>
    <row r="34" ht="18" customHeight="1" s="468">
      <c r="B34" s="496" t="n"/>
      <c r="C34" s="489" t="n">
        <v>26010031</v>
      </c>
      <c r="D34" s="486" t="n"/>
      <c r="E34" s="500" t="n"/>
      <c r="F34" s="486" t="n"/>
      <c r="G34" s="489" t="inlineStr">
        <is>
          <t>OL 40</t>
        </is>
      </c>
      <c r="H34" s="488" t="n"/>
      <c r="I34" s="488" t="n"/>
      <c r="J34" s="486" t="n"/>
      <c r="K34" s="501" t="n"/>
      <c r="L34" s="502" t="n"/>
      <c r="M34" s="13" t="inlineStr">
        <is>
          <t>420 KG</t>
        </is>
      </c>
      <c r="N34" s="418" t="n">
        <v>46030</v>
      </c>
    </row>
    <row r="35" ht="18" customHeight="1" s="468">
      <c r="B35" s="496" t="n"/>
      <c r="C35" s="487" t="n">
        <v>26010032</v>
      </c>
      <c r="D35" s="486" t="n"/>
      <c r="E35" s="490" t="n"/>
      <c r="F35" s="486" t="n"/>
      <c r="G35" s="487" t="inlineStr">
        <is>
          <t>OL 40</t>
        </is>
      </c>
      <c r="H35" s="488" t="n"/>
      <c r="I35" s="488" t="n"/>
      <c r="J35" s="486" t="n"/>
      <c r="K35" s="501" t="n"/>
      <c r="L35" s="502" t="n"/>
      <c r="M35" s="16" t="inlineStr">
        <is>
          <t>420 KG</t>
        </is>
      </c>
      <c r="N35" s="418" t="n">
        <v>46030</v>
      </c>
    </row>
    <row r="36" ht="18" customHeight="1" s="468">
      <c r="B36" s="496" t="n"/>
      <c r="C36" s="489" t="n">
        <v>26010033</v>
      </c>
      <c r="D36" s="486" t="n"/>
      <c r="E36" s="485" t="n"/>
      <c r="F36" s="486" t="n"/>
      <c r="G36" s="489" t="inlineStr">
        <is>
          <t>OL 40</t>
        </is>
      </c>
      <c r="H36" s="488" t="n"/>
      <c r="I36" s="488" t="n"/>
      <c r="J36" s="486" t="n"/>
      <c r="K36" s="501" t="n"/>
      <c r="L36" s="502" t="n"/>
      <c r="M36" s="13" t="inlineStr">
        <is>
          <t>420 KG</t>
        </is>
      </c>
      <c r="N36" s="418" t="n">
        <v>46030</v>
      </c>
    </row>
    <row r="37" ht="18" customHeight="1" s="468">
      <c r="B37" s="496" t="n"/>
      <c r="C37" s="487" t="n">
        <v>26010034</v>
      </c>
      <c r="D37" s="486" t="n"/>
      <c r="E37" s="490" t="n"/>
      <c r="F37" s="486" t="n"/>
      <c r="G37" s="487" t="inlineStr">
        <is>
          <t>OL 40</t>
        </is>
      </c>
      <c r="H37" s="488" t="n"/>
      <c r="I37" s="488" t="n"/>
      <c r="J37" s="486" t="n"/>
      <c r="K37" s="501" t="n"/>
      <c r="L37" s="502" t="n"/>
      <c r="M37" s="16" t="inlineStr">
        <is>
          <t>420 KG</t>
        </is>
      </c>
      <c r="N37" s="418" t="n">
        <v>46031</v>
      </c>
    </row>
    <row r="38" ht="18" customHeight="1" s="468">
      <c r="B38" s="496" t="n"/>
      <c r="C38" s="489" t="n">
        <v>26010035</v>
      </c>
      <c r="D38" s="486" t="n"/>
      <c r="E38" s="485" t="n"/>
      <c r="F38" s="486" t="n"/>
      <c r="G38" s="489" t="inlineStr">
        <is>
          <t>OL 40</t>
        </is>
      </c>
      <c r="H38" s="488" t="n"/>
      <c r="I38" s="488" t="n"/>
      <c r="J38" s="486" t="n"/>
      <c r="K38" s="501" t="n"/>
      <c r="L38" s="502" t="n"/>
      <c r="M38" s="13" t="inlineStr">
        <is>
          <t>420 KG</t>
        </is>
      </c>
      <c r="N38" s="418" t="n">
        <v>46031</v>
      </c>
    </row>
    <row r="39" ht="18" customHeight="1" s="468">
      <c r="B39" s="496" t="n"/>
      <c r="C39" s="487" t="n">
        <v>26010036</v>
      </c>
      <c r="D39" s="486" t="n"/>
      <c r="E39" s="490" t="n"/>
      <c r="F39" s="486" t="n"/>
      <c r="G39" s="487" t="inlineStr">
        <is>
          <t>OL 40</t>
        </is>
      </c>
      <c r="H39" s="488" t="n"/>
      <c r="I39" s="488" t="n"/>
      <c r="J39" s="486" t="n"/>
      <c r="K39" s="501" t="n"/>
      <c r="L39" s="502" t="n"/>
      <c r="M39" s="16" t="inlineStr">
        <is>
          <t>420 KG</t>
        </is>
      </c>
      <c r="N39" s="418" t="n">
        <v>46031</v>
      </c>
    </row>
    <row r="40" ht="18" customHeight="1" s="468">
      <c r="B40" s="496" t="n"/>
      <c r="C40" s="489" t="n">
        <v>26010037</v>
      </c>
      <c r="D40" s="486" t="n"/>
      <c r="E40" s="485" t="n"/>
      <c r="F40" s="486" t="n"/>
      <c r="G40" s="489" t="inlineStr">
        <is>
          <t>OL 40</t>
        </is>
      </c>
      <c r="H40" s="488" t="n"/>
      <c r="I40" s="488" t="n"/>
      <c r="J40" s="486" t="n"/>
      <c r="K40" s="501" t="n"/>
      <c r="L40" s="502" t="n"/>
      <c r="M40" s="13" t="inlineStr">
        <is>
          <t>420 KG</t>
        </is>
      </c>
      <c r="N40" s="418" t="n">
        <v>46031</v>
      </c>
    </row>
    <row r="41" ht="18" customHeight="1" s="468">
      <c r="B41" s="496" t="n"/>
      <c r="C41" s="487" t="n">
        <v>26010038</v>
      </c>
      <c r="D41" s="486" t="n"/>
      <c r="E41" s="490" t="n"/>
      <c r="F41" s="486" t="n"/>
      <c r="G41" s="487" t="inlineStr">
        <is>
          <t>OL 40</t>
        </is>
      </c>
      <c r="H41" s="488" t="n"/>
      <c r="I41" s="488" t="n"/>
      <c r="J41" s="486" t="n"/>
      <c r="K41" s="501" t="n"/>
      <c r="L41" s="502" t="n"/>
      <c r="M41" s="16" t="inlineStr">
        <is>
          <t>420 KG</t>
        </is>
      </c>
      <c r="N41" s="418" t="n">
        <v>46031</v>
      </c>
    </row>
    <row r="42" ht="18" customHeight="1" s="468">
      <c r="B42" s="496" t="n"/>
      <c r="C42" s="489" t="n">
        <v>26010039</v>
      </c>
      <c r="D42" s="486" t="n"/>
      <c r="E42" s="485" t="n"/>
      <c r="F42" s="486" t="n"/>
      <c r="G42" s="489" t="inlineStr">
        <is>
          <t>OL 40</t>
        </is>
      </c>
      <c r="H42" s="488" t="n"/>
      <c r="I42" s="488" t="n"/>
      <c r="J42" s="486" t="n"/>
      <c r="K42" s="501" t="n"/>
      <c r="L42" s="502" t="n"/>
      <c r="M42" s="13" t="inlineStr">
        <is>
          <t>420 KG</t>
        </is>
      </c>
      <c r="N42" s="418" t="n">
        <v>46031</v>
      </c>
    </row>
    <row r="43" ht="18" customHeight="1" s="468">
      <c r="B43" s="496" t="n"/>
      <c r="C43" s="487" t="n">
        <v>26010040</v>
      </c>
      <c r="D43" s="486" t="n"/>
      <c r="E43" s="490" t="n"/>
      <c r="F43" s="486" t="n"/>
      <c r="G43" s="487" t="inlineStr">
        <is>
          <t>OL 40</t>
        </is>
      </c>
      <c r="H43" s="488" t="n"/>
      <c r="I43" s="488" t="n"/>
      <c r="J43" s="486" t="n"/>
      <c r="K43" s="501" t="n"/>
      <c r="L43" s="502" t="n"/>
      <c r="M43" s="16" t="inlineStr">
        <is>
          <t>420 KG</t>
        </is>
      </c>
      <c r="N43" s="418" t="n">
        <v>46031</v>
      </c>
    </row>
    <row r="44" ht="18" customHeight="1" s="468">
      <c r="B44" s="496" t="n"/>
      <c r="C44" s="489" t="n">
        <v>26010041</v>
      </c>
      <c r="D44" s="486" t="n"/>
      <c r="E44" s="500" t="n"/>
      <c r="F44" s="486" t="n"/>
      <c r="G44" s="489" t="inlineStr">
        <is>
          <t>OL 40</t>
        </is>
      </c>
      <c r="H44" s="488" t="n"/>
      <c r="I44" s="488" t="n"/>
      <c r="J44" s="486" t="n"/>
      <c r="K44" s="501" t="n"/>
      <c r="L44" s="502" t="n"/>
      <c r="M44" s="13" t="inlineStr">
        <is>
          <t>420 KG</t>
        </is>
      </c>
      <c r="N44" s="418" t="n">
        <v>46034</v>
      </c>
    </row>
    <row r="45" ht="18" customHeight="1" s="468">
      <c r="B45" s="496" t="n"/>
      <c r="C45" s="487" t="n">
        <v>26010042</v>
      </c>
      <c r="D45" s="486" t="n"/>
      <c r="E45" s="490" t="n"/>
      <c r="F45" s="486" t="n"/>
      <c r="G45" s="487" t="inlineStr">
        <is>
          <t>OL 40</t>
        </is>
      </c>
      <c r="H45" s="488" t="n"/>
      <c r="I45" s="488" t="n"/>
      <c r="J45" s="486" t="n"/>
      <c r="K45" s="501" t="n"/>
      <c r="L45" s="502" t="n"/>
      <c r="M45" s="16" t="inlineStr">
        <is>
          <t>420 KG</t>
        </is>
      </c>
      <c r="N45" s="418" t="n">
        <v>46034</v>
      </c>
    </row>
    <row r="46" ht="18" customHeight="1" s="468">
      <c r="B46" s="497" t="n"/>
      <c r="C46" s="489" t="n">
        <v>26060043</v>
      </c>
      <c r="D46" s="486" t="n"/>
      <c r="E46" s="485" t="n"/>
      <c r="F46" s="486" t="n"/>
      <c r="G46" s="489" t="inlineStr">
        <is>
          <t>AL 10</t>
        </is>
      </c>
      <c r="H46" s="488" t="n"/>
      <c r="I46" s="488" t="n"/>
      <c r="J46" s="486" t="n"/>
      <c r="K46" s="493" t="n"/>
      <c r="L46" s="494" t="n"/>
      <c r="M46" s="13" t="inlineStr">
        <is>
          <t>1.444 KG</t>
        </is>
      </c>
      <c r="N46" s="418" t="n">
        <v>46028</v>
      </c>
    </row>
    <row r="47" ht="17.25" customHeight="1" s="468">
      <c r="B47" s="495" t="inlineStr">
        <is>
          <t>2026/007</t>
        </is>
      </c>
      <c r="C47" s="487" t="n">
        <v>26060044</v>
      </c>
      <c r="D47" s="486" t="n"/>
      <c r="E47" s="487" t="inlineStr">
        <is>
          <t>AL 43</t>
        </is>
      </c>
      <c r="F47" s="486" t="n"/>
      <c r="G47" s="487" t="inlineStr">
        <is>
          <t>AL 10 - 25LTRS</t>
        </is>
      </c>
      <c r="H47" s="488" t="n"/>
      <c r="I47" s="488" t="n"/>
      <c r="J47" s="486" t="n"/>
      <c r="K47" s="487" t="inlineStr">
        <is>
          <t>MATEUS</t>
        </is>
      </c>
      <c r="L47" s="486" t="n"/>
      <c r="M47" s="16" t="inlineStr">
        <is>
          <t>67 BBs</t>
        </is>
      </c>
      <c r="N47" s="418" t="n">
        <v>46028</v>
      </c>
    </row>
    <row r="48" ht="18" customHeight="1" s="468">
      <c r="B48" s="504" t="inlineStr">
        <is>
          <t>2026/008</t>
        </is>
      </c>
      <c r="C48" s="489" t="n">
        <v>26010045</v>
      </c>
      <c r="D48" s="486" t="n"/>
      <c r="E48" s="485" t="n"/>
      <c r="F48" s="486" t="n"/>
      <c r="G48" s="489" t="inlineStr">
        <is>
          <t>DESTAK 5L</t>
        </is>
      </c>
      <c r="H48" s="488" t="n"/>
      <c r="I48" s="488" t="n"/>
      <c r="J48" s="486" t="n"/>
      <c r="K48" s="489" t="inlineStr">
        <is>
          <t>PURATOS</t>
        </is>
      </c>
      <c r="L48" s="492" t="n"/>
      <c r="M48" s="13" t="inlineStr">
        <is>
          <t>2.500 LTRS</t>
        </is>
      </c>
      <c r="N48" s="418" t="n">
        <v>46035</v>
      </c>
    </row>
    <row r="49" ht="18" customHeight="1" s="468">
      <c r="B49" s="496" t="n"/>
      <c r="C49" s="487" t="n">
        <v>26010046</v>
      </c>
      <c r="D49" s="486" t="n"/>
      <c r="E49" s="490" t="n"/>
      <c r="F49" s="486" t="n"/>
      <c r="G49" s="487" t="inlineStr">
        <is>
          <t>DESTAK 5L</t>
        </is>
      </c>
      <c r="H49" s="488" t="n"/>
      <c r="I49" s="488" t="n"/>
      <c r="J49" s="486" t="n"/>
      <c r="K49" s="501" t="n"/>
      <c r="L49" s="502" t="n"/>
      <c r="M49" s="16" t="inlineStr">
        <is>
          <t>5.000 LTRS</t>
        </is>
      </c>
      <c r="N49" s="418" t="n">
        <v>46036</v>
      </c>
    </row>
    <row r="50" ht="18" customHeight="1" s="468">
      <c r="B50" s="496" t="n"/>
      <c r="C50" s="489" t="n">
        <v>26010047</v>
      </c>
      <c r="D50" s="486" t="n"/>
      <c r="E50" s="485" t="n"/>
      <c r="F50" s="486" t="n"/>
      <c r="G50" s="489" t="inlineStr">
        <is>
          <t>DESTAK 5L</t>
        </is>
      </c>
      <c r="H50" s="488" t="n"/>
      <c r="I50" s="488" t="n"/>
      <c r="J50" s="486" t="n"/>
      <c r="K50" s="501" t="n"/>
      <c r="L50" s="502" t="n"/>
      <c r="M50" s="13" t="inlineStr">
        <is>
          <t>1.000 LTRS</t>
        </is>
      </c>
      <c r="N50" s="418" t="n">
        <v>46037</v>
      </c>
    </row>
    <row r="51" ht="18" customHeight="1" s="468">
      <c r="B51" s="497" t="n"/>
      <c r="C51" s="487" t="n">
        <v>26010048</v>
      </c>
      <c r="D51" s="486" t="n"/>
      <c r="E51" s="490" t="n"/>
      <c r="F51" s="486" t="n"/>
      <c r="G51" s="487" t="inlineStr">
        <is>
          <t>DESTAK 5L</t>
        </is>
      </c>
      <c r="H51" s="488" t="n"/>
      <c r="I51" s="488" t="n"/>
      <c r="J51" s="486" t="n"/>
      <c r="K51" s="493" t="n"/>
      <c r="L51" s="494" t="n"/>
      <c r="M51" s="16" t="inlineStr">
        <is>
          <t>3.000 LTRS</t>
        </is>
      </c>
      <c r="N51" s="418" t="n"/>
      <c r="O51" s="512" t="inlineStr">
        <is>
          <t>FALTARÃO 12 PALLETS PARA ENTREGAR</t>
        </is>
      </c>
      <c r="P51" s="456" t="n"/>
      <c r="Q51" s="456" t="n"/>
      <c r="R51" s="513" t="n"/>
    </row>
    <row r="52" ht="18" customHeight="1" s="468">
      <c r="B52" s="504" t="inlineStr">
        <is>
          <t>2026/009</t>
        </is>
      </c>
      <c r="C52" s="489" t="n">
        <v>26030050</v>
      </c>
      <c r="D52" s="486" t="n"/>
      <c r="E52" s="485" t="n"/>
      <c r="F52" s="486" t="n"/>
      <c r="G52" s="489" t="inlineStr">
        <is>
          <t>CORANTE AMARELO</t>
        </is>
      </c>
      <c r="H52" s="488" t="n"/>
      <c r="I52" s="488" t="n"/>
      <c r="J52" s="486" t="n"/>
      <c r="K52" s="489" t="inlineStr">
        <is>
          <t>SMART</t>
        </is>
      </c>
      <c r="L52" s="492" t="n"/>
      <c r="M52" s="13" t="inlineStr">
        <is>
          <t>30 KG</t>
        </is>
      </c>
      <c r="N52" s="418" t="n">
        <v>46045</v>
      </c>
    </row>
    <row r="53" ht="18" customHeight="1" s="468">
      <c r="B53" s="496" t="n"/>
      <c r="C53" s="487" t="n">
        <v>26030051</v>
      </c>
      <c r="D53" s="486" t="n"/>
      <c r="E53" s="490" t="n"/>
      <c r="F53" s="486" t="n"/>
      <c r="G53" s="487" t="inlineStr">
        <is>
          <t>CORANTE AZUL</t>
        </is>
      </c>
      <c r="H53" s="488" t="n"/>
      <c r="I53" s="488" t="n"/>
      <c r="J53" s="486" t="n"/>
      <c r="K53" s="501" t="n"/>
      <c r="L53" s="502" t="n"/>
      <c r="M53" s="16" t="inlineStr">
        <is>
          <t>28 KG</t>
        </is>
      </c>
      <c r="N53" s="418" t="n">
        <v>46073</v>
      </c>
    </row>
    <row r="54" ht="18" customHeight="1" s="468">
      <c r="B54" s="496" t="n"/>
      <c r="C54" s="489" t="n">
        <v>26030052</v>
      </c>
      <c r="D54" s="486" t="n"/>
      <c r="E54" s="485" t="n"/>
      <c r="F54" s="486" t="n"/>
      <c r="G54" s="489" t="inlineStr">
        <is>
          <t>CORANTE VIOLETA</t>
        </is>
      </c>
      <c r="H54" s="488" t="n"/>
      <c r="I54" s="488" t="n"/>
      <c r="J54" s="486" t="n"/>
      <c r="K54" s="501" t="n"/>
      <c r="L54" s="502" t="n"/>
      <c r="M54" s="13" t="inlineStr">
        <is>
          <t>25 KG</t>
        </is>
      </c>
      <c r="N54" s="418" t="n">
        <v>46045</v>
      </c>
    </row>
    <row r="55" ht="18" customHeight="1" s="468">
      <c r="B55" s="496" t="n"/>
      <c r="C55" s="487" t="n">
        <v>26030053</v>
      </c>
      <c r="D55" s="486" t="n"/>
      <c r="E55" s="490" t="n"/>
      <c r="F55" s="486" t="n"/>
      <c r="G55" s="487" t="inlineStr">
        <is>
          <t>CORANTE ROSA</t>
        </is>
      </c>
      <c r="H55" s="488" t="n"/>
      <c r="I55" s="488" t="n"/>
      <c r="J55" s="486" t="n"/>
      <c r="K55" s="501" t="n"/>
      <c r="L55" s="502" t="n"/>
      <c r="M55" s="16" t="inlineStr">
        <is>
          <t>24 KG</t>
        </is>
      </c>
      <c r="N55" s="418" t="n">
        <v>46073</v>
      </c>
    </row>
    <row r="56" ht="18" customHeight="1" s="468">
      <c r="B56" s="497" t="n"/>
      <c r="C56" s="489" t="n">
        <v>26030054</v>
      </c>
      <c r="D56" s="486" t="n"/>
      <c r="E56" s="485" t="n"/>
      <c r="F56" s="486" t="n"/>
      <c r="G56" s="489" t="inlineStr">
        <is>
          <t>CORANTE VERMELHO</t>
        </is>
      </c>
      <c r="H56" s="488" t="n"/>
      <c r="I56" s="488" t="n"/>
      <c r="J56" s="486" t="n"/>
      <c r="K56" s="493" t="n"/>
      <c r="L56" s="494" t="n"/>
      <c r="M56" s="13" t="inlineStr">
        <is>
          <t>30 KG</t>
        </is>
      </c>
      <c r="N56" s="418" t="n">
        <v>46045</v>
      </c>
    </row>
    <row r="57" ht="18" customHeight="1" s="468">
      <c r="B57" s="495" t="inlineStr">
        <is>
          <t>2026/010</t>
        </is>
      </c>
      <c r="C57" s="490" t="n"/>
      <c r="D57" s="486" t="n"/>
      <c r="E57" s="487" t="n">
        <v>26030050</v>
      </c>
      <c r="F57" s="486" t="n"/>
      <c r="G57" s="487" t="inlineStr">
        <is>
          <t>CORANTE AMARELO</t>
        </is>
      </c>
      <c r="H57" s="488" t="n"/>
      <c r="I57" s="488" t="n"/>
      <c r="J57" s="486" t="n"/>
      <c r="K57" s="487" t="inlineStr">
        <is>
          <t>REPETECO</t>
        </is>
      </c>
      <c r="L57" s="492" t="n"/>
      <c r="M57" s="16" t="inlineStr">
        <is>
          <t>1.440 LATAS</t>
        </is>
      </c>
      <c r="N57" s="418" t="n">
        <v>46045</v>
      </c>
    </row>
    <row r="58" ht="18" customHeight="1" s="468">
      <c r="B58" s="496" t="n"/>
      <c r="C58" s="485" t="n"/>
      <c r="D58" s="486" t="n"/>
      <c r="E58" s="489" t="n">
        <v>26030051</v>
      </c>
      <c r="F58" s="486" t="n"/>
      <c r="G58" s="489" t="inlineStr">
        <is>
          <t>CORANTE AZUL</t>
        </is>
      </c>
      <c r="H58" s="488" t="n"/>
      <c r="I58" s="488" t="n"/>
      <c r="J58" s="486" t="n"/>
      <c r="K58" s="501" t="n"/>
      <c r="L58" s="502" t="n"/>
      <c r="M58" s="13" t="inlineStr">
        <is>
          <t>1.440 LATAS</t>
        </is>
      </c>
      <c r="N58" s="418" t="n">
        <v>46045</v>
      </c>
    </row>
    <row r="59" ht="18" customHeight="1" s="468">
      <c r="B59" s="496" t="n"/>
      <c r="C59" s="490" t="n"/>
      <c r="D59" s="486" t="n"/>
      <c r="E59" s="487" t="n">
        <v>26030052</v>
      </c>
      <c r="F59" s="486" t="n"/>
      <c r="G59" s="487" t="inlineStr">
        <is>
          <t>CORANTE VIOLETA</t>
        </is>
      </c>
      <c r="H59" s="488" t="n"/>
      <c r="I59" s="488" t="n"/>
      <c r="J59" s="486" t="n"/>
      <c r="K59" s="501" t="n"/>
      <c r="L59" s="502" t="n"/>
      <c r="M59" s="16" t="inlineStr">
        <is>
          <t>1.440 LATAS</t>
        </is>
      </c>
      <c r="N59" s="418" t="n">
        <v>46045</v>
      </c>
    </row>
    <row r="60" ht="18" customHeight="1" s="468">
      <c r="B60" s="496" t="n"/>
      <c r="C60" s="485" t="n"/>
      <c r="D60" s="486" t="n"/>
      <c r="E60" s="489" t="n">
        <v>26030053</v>
      </c>
      <c r="F60" s="486" t="n"/>
      <c r="G60" s="489" t="inlineStr">
        <is>
          <t>CORANTE ROSA</t>
        </is>
      </c>
      <c r="H60" s="488" t="n"/>
      <c r="I60" s="488" t="n"/>
      <c r="J60" s="486" t="n"/>
      <c r="K60" s="501" t="n"/>
      <c r="L60" s="502" t="n"/>
      <c r="M60" s="13" t="inlineStr">
        <is>
          <t>1.440 LATAS</t>
        </is>
      </c>
      <c r="N60" s="419" t="n"/>
    </row>
    <row r="61" ht="18" customHeight="1" s="468">
      <c r="B61" s="497" t="n"/>
      <c r="C61" s="490" t="n"/>
      <c r="D61" s="486" t="n"/>
      <c r="E61" s="487" t="n">
        <v>26030054</v>
      </c>
      <c r="F61" s="486" t="n"/>
      <c r="G61" s="487" t="inlineStr">
        <is>
          <t>CORANTE VERMELHO</t>
        </is>
      </c>
      <c r="H61" s="488" t="n"/>
      <c r="I61" s="488" t="n"/>
      <c r="J61" s="486" t="n"/>
      <c r="K61" s="493" t="n"/>
      <c r="L61" s="494" t="n"/>
      <c r="M61" s="16" t="inlineStr">
        <is>
          <t>1.440 LATAS</t>
        </is>
      </c>
      <c r="N61" s="418" t="n">
        <v>46045</v>
      </c>
    </row>
    <row r="62" ht="17.25" customHeight="1" s="468">
      <c r="B62" s="504" t="inlineStr">
        <is>
          <t>2026/011</t>
        </is>
      </c>
      <c r="C62" s="485" t="n"/>
      <c r="D62" s="486" t="n"/>
      <c r="E62" s="489" t="n">
        <v>26030051</v>
      </c>
      <c r="F62" s="486" t="n"/>
      <c r="G62" s="489" t="inlineStr">
        <is>
          <t>CORANTE AZUL</t>
        </is>
      </c>
      <c r="H62" s="488" t="n"/>
      <c r="I62" s="488" t="n"/>
      <c r="J62" s="486" t="n"/>
      <c r="K62" s="489" t="inlineStr">
        <is>
          <t>IN LOCO</t>
        </is>
      </c>
      <c r="L62" s="486" t="n"/>
      <c r="M62" s="13" t="inlineStr">
        <is>
          <t>2.880 LATAS</t>
        </is>
      </c>
      <c r="N62" s="418" t="n">
        <v>46078</v>
      </c>
    </row>
    <row r="63" ht="18" customHeight="1" s="468">
      <c r="B63" s="495" t="inlineStr">
        <is>
          <t>2026/012</t>
        </is>
      </c>
      <c r="C63" s="487" t="n">
        <v>26020055</v>
      </c>
      <c r="D63" s="486" t="n"/>
      <c r="E63" s="490" t="n"/>
      <c r="F63" s="486" t="n"/>
      <c r="G63" s="487" t="inlineStr">
        <is>
          <t>ESPUMA GENGIBRE</t>
        </is>
      </c>
      <c r="H63" s="488" t="n"/>
      <c r="I63" s="488" t="n"/>
      <c r="J63" s="486" t="n"/>
      <c r="K63" s="487" t="inlineStr">
        <is>
          <t>SMART</t>
        </is>
      </c>
      <c r="L63" s="492" t="n"/>
      <c r="M63" s="16" t="inlineStr">
        <is>
          <t>2.340 KG</t>
        </is>
      </c>
      <c r="N63" s="418" t="n">
        <v>46042</v>
      </c>
    </row>
    <row r="64" ht="18" customHeight="1" s="468">
      <c r="B64" s="496" t="n"/>
      <c r="C64" s="489" t="n">
        <v>26020056</v>
      </c>
      <c r="D64" s="486" t="n"/>
      <c r="E64" s="485" t="n"/>
      <c r="F64" s="486" t="n"/>
      <c r="G64" s="489" t="inlineStr">
        <is>
          <t>ESPUMA MAÇA VERDE</t>
        </is>
      </c>
      <c r="H64" s="488" t="n"/>
      <c r="I64" s="488" t="n"/>
      <c r="J64" s="486" t="n"/>
      <c r="K64" s="501" t="n"/>
      <c r="L64" s="502" t="n"/>
      <c r="M64" s="13" t="inlineStr">
        <is>
          <t>980 KG</t>
        </is>
      </c>
      <c r="N64" s="418" t="n">
        <v>46044</v>
      </c>
    </row>
    <row r="65" ht="18" customHeight="1" s="468">
      <c r="B65" s="496" t="n"/>
      <c r="C65" s="487" t="n">
        <v>26020057</v>
      </c>
      <c r="D65" s="486" t="n"/>
      <c r="E65" s="490" t="n"/>
      <c r="F65" s="486" t="n"/>
      <c r="G65" s="487" t="inlineStr">
        <is>
          <t>ESPUMA 3 LIMÕES</t>
        </is>
      </c>
      <c r="H65" s="488" t="n"/>
      <c r="I65" s="488" t="n"/>
      <c r="J65" s="486" t="n"/>
      <c r="K65" s="501" t="n"/>
      <c r="L65" s="502" t="n"/>
      <c r="M65" s="16" t="inlineStr">
        <is>
          <t>1.170 KG</t>
        </is>
      </c>
      <c r="N65" s="418" t="n">
        <v>46044</v>
      </c>
    </row>
    <row r="66" ht="18" customHeight="1" s="468">
      <c r="B66" s="497" t="n"/>
      <c r="C66" s="489" t="n">
        <v>26020058</v>
      </c>
      <c r="D66" s="486" t="n"/>
      <c r="E66" s="485" t="n"/>
      <c r="F66" s="486" t="n"/>
      <c r="G66" s="489" t="inlineStr">
        <is>
          <t>ESPUMA FRUTAS VERMELHAS</t>
        </is>
      </c>
      <c r="H66" s="488" t="n"/>
      <c r="I66" s="488" t="n"/>
      <c r="J66" s="486" t="n"/>
      <c r="K66" s="493" t="n"/>
      <c r="L66" s="494" t="n"/>
      <c r="M66" s="13" t="inlineStr">
        <is>
          <t>1.560 KG</t>
        </is>
      </c>
      <c r="N66" s="418" t="n">
        <v>46044</v>
      </c>
      <c r="O66" s="17" t="inlineStr">
        <is>
          <t>390KG</t>
        </is>
      </c>
    </row>
    <row r="67" ht="18" customHeight="1" s="468">
      <c r="B67" s="495" t="inlineStr">
        <is>
          <t>2026/013</t>
        </is>
      </c>
      <c r="C67" s="487" t="n">
        <v>26010059</v>
      </c>
      <c r="D67" s="486" t="n"/>
      <c r="E67" s="490" t="n"/>
      <c r="F67" s="486" t="n"/>
      <c r="G67" s="487" t="inlineStr">
        <is>
          <t>OL 40</t>
        </is>
      </c>
      <c r="H67" s="488" t="n"/>
      <c r="I67" s="488" t="n"/>
      <c r="J67" s="486" t="n"/>
      <c r="K67" s="487" t="inlineStr">
        <is>
          <t>SMART</t>
        </is>
      </c>
      <c r="L67" s="492" t="n"/>
      <c r="M67" s="16" t="inlineStr">
        <is>
          <t>420 KG</t>
        </is>
      </c>
      <c r="N67" s="418" t="n">
        <v>46035</v>
      </c>
    </row>
    <row r="68" ht="18" customHeight="1" s="468">
      <c r="B68" s="496" t="n"/>
      <c r="C68" s="489" t="n">
        <v>26010060</v>
      </c>
      <c r="D68" s="486" t="n"/>
      <c r="E68" s="485" t="n"/>
      <c r="F68" s="486" t="n"/>
      <c r="G68" s="489" t="inlineStr">
        <is>
          <t>OL 40</t>
        </is>
      </c>
      <c r="H68" s="488" t="n"/>
      <c r="I68" s="488" t="n"/>
      <c r="J68" s="486" t="n"/>
      <c r="K68" s="501" t="n"/>
      <c r="L68" s="502" t="n"/>
      <c r="M68" s="13" t="inlineStr">
        <is>
          <t>420 KG</t>
        </is>
      </c>
      <c r="N68" s="418" t="n">
        <v>46037</v>
      </c>
    </row>
    <row r="69" ht="18" customHeight="1" s="468">
      <c r="B69" s="496" t="n"/>
      <c r="C69" s="487" t="n">
        <v>26010061</v>
      </c>
      <c r="D69" s="486" t="n"/>
      <c r="E69" s="490" t="n"/>
      <c r="F69" s="486" t="n"/>
      <c r="G69" s="487" t="inlineStr">
        <is>
          <t>OL 40</t>
        </is>
      </c>
      <c r="H69" s="488" t="n"/>
      <c r="I69" s="488" t="n"/>
      <c r="J69" s="486" t="n"/>
      <c r="K69" s="501" t="n"/>
      <c r="L69" s="502" t="n"/>
      <c r="M69" s="16" t="inlineStr">
        <is>
          <t>420 KG</t>
        </is>
      </c>
      <c r="N69" s="418" t="n">
        <v>46037</v>
      </c>
    </row>
    <row r="70" ht="18" customHeight="1" s="468">
      <c r="B70" s="496" t="n"/>
      <c r="C70" s="489" t="n">
        <v>26010062</v>
      </c>
      <c r="D70" s="486" t="n"/>
      <c r="E70" s="485" t="n"/>
      <c r="F70" s="486" t="n"/>
      <c r="G70" s="489" t="inlineStr">
        <is>
          <t>OL 40</t>
        </is>
      </c>
      <c r="H70" s="488" t="n"/>
      <c r="I70" s="488" t="n"/>
      <c r="J70" s="486" t="n"/>
      <c r="K70" s="501" t="n"/>
      <c r="L70" s="502" t="n"/>
      <c r="M70" s="13" t="inlineStr">
        <is>
          <t>420 KG</t>
        </is>
      </c>
      <c r="N70" s="418" t="n">
        <v>46037</v>
      </c>
    </row>
    <row r="71" ht="18" customHeight="1" s="468">
      <c r="B71" s="496" t="n"/>
      <c r="C71" s="487" t="n">
        <v>26010063</v>
      </c>
      <c r="D71" s="486" t="n"/>
      <c r="E71" s="490" t="n"/>
      <c r="F71" s="486" t="n"/>
      <c r="G71" s="487" t="inlineStr">
        <is>
          <t>OL 40</t>
        </is>
      </c>
      <c r="H71" s="488" t="n"/>
      <c r="I71" s="488" t="n"/>
      <c r="J71" s="486" t="n"/>
      <c r="K71" s="501" t="n"/>
      <c r="L71" s="502" t="n"/>
      <c r="M71" s="16" t="inlineStr">
        <is>
          <t>420 KG</t>
        </is>
      </c>
      <c r="N71" s="418" t="n">
        <v>46037</v>
      </c>
    </row>
    <row r="72" ht="18" customHeight="1" s="468">
      <c r="B72" s="496" t="n"/>
      <c r="C72" s="489" t="n">
        <v>26010064</v>
      </c>
      <c r="D72" s="486" t="n"/>
      <c r="E72" s="485" t="n"/>
      <c r="F72" s="486" t="n"/>
      <c r="G72" s="489" t="inlineStr">
        <is>
          <t>OL 40</t>
        </is>
      </c>
      <c r="H72" s="488" t="n"/>
      <c r="I72" s="488" t="n"/>
      <c r="J72" s="486" t="n"/>
      <c r="K72" s="501" t="n"/>
      <c r="L72" s="502" t="n"/>
      <c r="M72" s="13" t="inlineStr">
        <is>
          <t>420 KG</t>
        </is>
      </c>
      <c r="N72" s="418" t="n">
        <v>46037</v>
      </c>
    </row>
    <row r="73" ht="18" customHeight="1" s="468">
      <c r="B73" s="496" t="n"/>
      <c r="C73" s="487" t="n">
        <v>26010065</v>
      </c>
      <c r="D73" s="486" t="n"/>
      <c r="E73" s="491" t="n"/>
      <c r="F73" s="486" t="n"/>
      <c r="G73" s="487" t="inlineStr">
        <is>
          <t>OL 40</t>
        </is>
      </c>
      <c r="H73" s="488" t="n"/>
      <c r="I73" s="488" t="n"/>
      <c r="J73" s="486" t="n"/>
      <c r="K73" s="501" t="n"/>
      <c r="L73" s="502" t="n"/>
      <c r="M73" s="16" t="inlineStr">
        <is>
          <t>420 KG</t>
        </is>
      </c>
      <c r="N73" s="418" t="n">
        <v>46037</v>
      </c>
    </row>
    <row r="74" ht="18" customHeight="1" s="468">
      <c r="B74" s="496" t="n"/>
      <c r="C74" s="489" t="n">
        <v>26010066</v>
      </c>
      <c r="D74" s="486" t="n"/>
      <c r="E74" s="500" t="n"/>
      <c r="F74" s="486" t="n"/>
      <c r="G74" s="489" t="inlineStr">
        <is>
          <t>OL 40</t>
        </is>
      </c>
      <c r="H74" s="488" t="n"/>
      <c r="I74" s="488" t="n"/>
      <c r="J74" s="486" t="n"/>
      <c r="K74" s="501" t="n"/>
      <c r="L74" s="502" t="n"/>
      <c r="M74" s="13" t="inlineStr">
        <is>
          <t>420 KG</t>
        </is>
      </c>
      <c r="N74" s="418" t="n">
        <v>46038</v>
      </c>
    </row>
    <row r="75" ht="18" customHeight="1" s="468">
      <c r="B75" s="496" t="n"/>
      <c r="C75" s="487" t="n">
        <v>26010067</v>
      </c>
      <c r="D75" s="486" t="n"/>
      <c r="E75" s="490" t="n"/>
      <c r="F75" s="486" t="n"/>
      <c r="G75" s="487" t="inlineStr">
        <is>
          <t>OL 40</t>
        </is>
      </c>
      <c r="H75" s="488" t="n"/>
      <c r="I75" s="488" t="n"/>
      <c r="J75" s="486" t="n"/>
      <c r="K75" s="501" t="n"/>
      <c r="L75" s="502" t="n"/>
      <c r="M75" s="16" t="inlineStr">
        <is>
          <t>420 KG</t>
        </is>
      </c>
      <c r="N75" s="418" t="n">
        <v>46038</v>
      </c>
    </row>
    <row r="76" ht="18" customHeight="1" s="468">
      <c r="B76" s="496" t="n"/>
      <c r="C76" s="489" t="n">
        <v>26010068</v>
      </c>
      <c r="D76" s="486" t="n"/>
      <c r="E76" s="485" t="n"/>
      <c r="F76" s="486" t="n"/>
      <c r="G76" s="489" t="inlineStr">
        <is>
          <t>OL 40</t>
        </is>
      </c>
      <c r="H76" s="488" t="n"/>
      <c r="I76" s="488" t="n"/>
      <c r="J76" s="486" t="n"/>
      <c r="K76" s="501" t="n"/>
      <c r="L76" s="502" t="n"/>
      <c r="M76" s="13" t="inlineStr">
        <is>
          <t>420 KG</t>
        </is>
      </c>
      <c r="N76" s="418" t="n">
        <v>46038</v>
      </c>
    </row>
    <row r="77" ht="18" customHeight="1" s="468">
      <c r="B77" s="496" t="n"/>
      <c r="C77" s="487" t="n">
        <v>26010069</v>
      </c>
      <c r="D77" s="486" t="n"/>
      <c r="E77" s="490" t="n"/>
      <c r="F77" s="486" t="n"/>
      <c r="G77" s="487" t="inlineStr">
        <is>
          <t>OL 40</t>
        </is>
      </c>
      <c r="H77" s="488" t="n"/>
      <c r="I77" s="488" t="n"/>
      <c r="J77" s="486" t="n"/>
      <c r="K77" s="501" t="n"/>
      <c r="L77" s="502" t="n"/>
      <c r="M77" s="16" t="inlineStr">
        <is>
          <t>420 KG</t>
        </is>
      </c>
      <c r="N77" s="418" t="n">
        <v>46038</v>
      </c>
    </row>
    <row r="78" ht="18" customHeight="1" s="468">
      <c r="B78" s="496" t="n"/>
      <c r="C78" s="489" t="n">
        <v>26010070</v>
      </c>
      <c r="D78" s="486" t="n"/>
      <c r="E78" s="485" t="n"/>
      <c r="F78" s="486" t="n"/>
      <c r="G78" s="489" t="inlineStr">
        <is>
          <t>OL 40</t>
        </is>
      </c>
      <c r="H78" s="488" t="n"/>
      <c r="I78" s="488" t="n"/>
      <c r="J78" s="486" t="n"/>
      <c r="K78" s="501" t="n"/>
      <c r="L78" s="502" t="n"/>
      <c r="M78" s="13" t="inlineStr">
        <is>
          <t>420 KG</t>
        </is>
      </c>
      <c r="N78" s="418" t="n">
        <v>46038</v>
      </c>
    </row>
    <row r="79" ht="18" customHeight="1" s="468">
      <c r="B79" s="496" t="n"/>
      <c r="C79" s="487" t="n">
        <v>26010071</v>
      </c>
      <c r="D79" s="486" t="n"/>
      <c r="E79" s="490" t="n"/>
      <c r="F79" s="486" t="n"/>
      <c r="G79" s="487" t="inlineStr">
        <is>
          <t>OL 40</t>
        </is>
      </c>
      <c r="H79" s="488" t="n"/>
      <c r="I79" s="488" t="n"/>
      <c r="J79" s="486" t="n"/>
      <c r="K79" s="501" t="n"/>
      <c r="L79" s="502" t="n"/>
      <c r="M79" s="16" t="inlineStr">
        <is>
          <t>420 KG</t>
        </is>
      </c>
      <c r="N79" s="418" t="n">
        <v>46038</v>
      </c>
    </row>
    <row r="80" ht="18" customHeight="1" s="468">
      <c r="B80" s="496" t="n"/>
      <c r="C80" s="489" t="n">
        <v>26010072</v>
      </c>
      <c r="D80" s="486" t="n"/>
      <c r="E80" s="485" t="n"/>
      <c r="F80" s="486" t="n"/>
      <c r="G80" s="489" t="inlineStr">
        <is>
          <t>OL 40</t>
        </is>
      </c>
      <c r="H80" s="488" t="n"/>
      <c r="I80" s="488" t="n"/>
      <c r="J80" s="486" t="n"/>
      <c r="K80" s="501" t="n"/>
      <c r="L80" s="502" t="n"/>
      <c r="M80" s="13" t="inlineStr">
        <is>
          <t>420 KG</t>
        </is>
      </c>
      <c r="N80" s="418" t="n">
        <v>46038</v>
      </c>
    </row>
    <row r="81" ht="18" customHeight="1" s="468">
      <c r="B81" s="496" t="n"/>
      <c r="C81" s="487" t="n">
        <v>26010073</v>
      </c>
      <c r="D81" s="486" t="n"/>
      <c r="E81" s="491" t="n"/>
      <c r="F81" s="486" t="n"/>
      <c r="G81" s="487" t="inlineStr">
        <is>
          <t>OL 40</t>
        </is>
      </c>
      <c r="H81" s="488" t="n"/>
      <c r="I81" s="488" t="n"/>
      <c r="J81" s="486" t="n"/>
      <c r="K81" s="501" t="n"/>
      <c r="L81" s="502" t="n"/>
      <c r="M81" s="16" t="inlineStr">
        <is>
          <t>420 KG</t>
        </is>
      </c>
      <c r="N81" s="418" t="n">
        <v>46038</v>
      </c>
    </row>
    <row r="82" ht="18" customHeight="1" s="468">
      <c r="B82" s="496" t="n"/>
      <c r="C82" s="489" t="n">
        <v>26010074</v>
      </c>
      <c r="D82" s="486" t="n"/>
      <c r="E82" s="485" t="n"/>
      <c r="F82" s="486" t="n"/>
      <c r="G82" s="489" t="inlineStr">
        <is>
          <t>OL ABELHA</t>
        </is>
      </c>
      <c r="H82" s="488" t="n"/>
      <c r="I82" s="488" t="n"/>
      <c r="J82" s="486" t="n"/>
      <c r="K82" s="501" t="n"/>
      <c r="L82" s="502" t="n"/>
      <c r="M82" s="13" t="inlineStr">
        <is>
          <t>420 KG</t>
        </is>
      </c>
      <c r="N82" s="418" t="n">
        <v>46041</v>
      </c>
    </row>
    <row r="83" ht="18" customHeight="1" s="468">
      <c r="B83" s="496" t="n"/>
      <c r="C83" s="487" t="n">
        <v>26010075</v>
      </c>
      <c r="D83" s="486" t="n"/>
      <c r="E83" s="490" t="n"/>
      <c r="F83" s="486" t="n"/>
      <c r="G83" s="487" t="inlineStr">
        <is>
          <t>OL ABELHA</t>
        </is>
      </c>
      <c r="H83" s="488" t="n"/>
      <c r="I83" s="488" t="n"/>
      <c r="J83" s="486" t="n"/>
      <c r="K83" s="501" t="n"/>
      <c r="L83" s="502" t="n"/>
      <c r="M83" s="16" t="inlineStr">
        <is>
          <t>420 KG</t>
        </is>
      </c>
      <c r="N83" s="418" t="n">
        <v>46041</v>
      </c>
    </row>
    <row r="84" ht="18" customHeight="1" s="468">
      <c r="B84" s="496" t="n"/>
      <c r="C84" s="489" t="n">
        <v>26010076</v>
      </c>
      <c r="D84" s="486" t="n"/>
      <c r="E84" s="485" t="n"/>
      <c r="F84" s="486" t="n"/>
      <c r="G84" s="489" t="inlineStr">
        <is>
          <t>OL ABELHA</t>
        </is>
      </c>
      <c r="H84" s="488" t="n"/>
      <c r="I84" s="488" t="n"/>
      <c r="J84" s="486" t="n"/>
      <c r="K84" s="501" t="n"/>
      <c r="L84" s="502" t="n"/>
      <c r="M84" s="13" t="inlineStr">
        <is>
          <t>420 KG</t>
        </is>
      </c>
      <c r="N84" s="418" t="n">
        <v>46041</v>
      </c>
    </row>
    <row r="85" ht="18" customHeight="1" s="468">
      <c r="B85" s="496" t="n"/>
      <c r="C85" s="487" t="n">
        <v>26010077</v>
      </c>
      <c r="D85" s="486" t="n"/>
      <c r="E85" s="491" t="n"/>
      <c r="F85" s="486" t="n"/>
      <c r="G85" s="487" t="inlineStr">
        <is>
          <t>OL ABELHA</t>
        </is>
      </c>
      <c r="H85" s="488" t="n"/>
      <c r="I85" s="488" t="n"/>
      <c r="J85" s="486" t="n"/>
      <c r="K85" s="501" t="n"/>
      <c r="L85" s="502" t="n"/>
      <c r="M85" s="16" t="inlineStr">
        <is>
          <t>420 KG</t>
        </is>
      </c>
      <c r="N85" s="418" t="n">
        <v>46041</v>
      </c>
    </row>
    <row r="86" ht="18" customHeight="1" s="468">
      <c r="B86" s="496" t="n"/>
      <c r="C86" s="489" t="n">
        <v>26010078</v>
      </c>
      <c r="D86" s="486" t="n"/>
      <c r="E86" s="485" t="n"/>
      <c r="F86" s="486" t="n"/>
      <c r="G86" s="489" t="inlineStr">
        <is>
          <t>OL ABELHA</t>
        </is>
      </c>
      <c r="H86" s="488" t="n"/>
      <c r="I86" s="488" t="n"/>
      <c r="J86" s="486" t="n"/>
      <c r="K86" s="501" t="n"/>
      <c r="L86" s="502" t="n"/>
      <c r="M86" s="13" t="inlineStr">
        <is>
          <t>420 KG</t>
        </is>
      </c>
      <c r="N86" s="418" t="n">
        <v>46041</v>
      </c>
    </row>
    <row r="87" ht="18" customHeight="1" s="468">
      <c r="B87" s="496" t="n"/>
      <c r="C87" s="487" t="n">
        <v>26010079</v>
      </c>
      <c r="D87" s="486" t="n"/>
      <c r="E87" s="490" t="n"/>
      <c r="F87" s="486" t="n"/>
      <c r="G87" s="487" t="inlineStr">
        <is>
          <t>OL ABELHA</t>
        </is>
      </c>
      <c r="H87" s="488" t="n"/>
      <c r="I87" s="488" t="n"/>
      <c r="J87" s="486" t="n"/>
      <c r="K87" s="501" t="n"/>
      <c r="L87" s="502" t="n"/>
      <c r="M87" s="16" t="inlineStr">
        <is>
          <t>420 KG</t>
        </is>
      </c>
      <c r="N87" s="418" t="n">
        <v>46041</v>
      </c>
    </row>
    <row r="88" ht="18" customHeight="1" s="468">
      <c r="B88" s="496" t="n"/>
      <c r="C88" s="489" t="n">
        <v>26010080</v>
      </c>
      <c r="D88" s="486" t="n"/>
      <c r="E88" s="500" t="n"/>
      <c r="F88" s="486" t="n"/>
      <c r="G88" s="489" t="inlineStr">
        <is>
          <t>OL ABELHA</t>
        </is>
      </c>
      <c r="H88" s="488" t="n"/>
      <c r="I88" s="488" t="n"/>
      <c r="J88" s="486" t="n"/>
      <c r="K88" s="501" t="n"/>
      <c r="L88" s="502" t="n"/>
      <c r="M88" s="13" t="inlineStr">
        <is>
          <t>420 KG</t>
        </is>
      </c>
      <c r="N88" s="418" t="n">
        <v>46041</v>
      </c>
    </row>
    <row r="89" ht="18" customHeight="1" s="468">
      <c r="B89" s="496" t="n"/>
      <c r="C89" s="487" t="n">
        <v>26010081</v>
      </c>
      <c r="D89" s="486" t="n"/>
      <c r="E89" s="490" t="n"/>
      <c r="F89" s="486" t="n"/>
      <c r="G89" s="487" t="inlineStr">
        <is>
          <t>OL 40</t>
        </is>
      </c>
      <c r="H89" s="488" t="n"/>
      <c r="I89" s="488" t="n"/>
      <c r="J89" s="486" t="n"/>
      <c r="K89" s="501" t="n"/>
      <c r="L89" s="502" t="n"/>
      <c r="M89" s="16" t="inlineStr">
        <is>
          <t>420 KG</t>
        </is>
      </c>
      <c r="N89" s="418" t="n">
        <v>46042</v>
      </c>
    </row>
    <row r="90" ht="18" customHeight="1" s="468">
      <c r="B90" s="496" t="n"/>
      <c r="C90" s="489" t="n">
        <v>26010082</v>
      </c>
      <c r="D90" s="486" t="n"/>
      <c r="E90" s="485" t="n"/>
      <c r="F90" s="486" t="n"/>
      <c r="G90" s="489" t="inlineStr">
        <is>
          <t>OL 40</t>
        </is>
      </c>
      <c r="H90" s="488" t="n"/>
      <c r="I90" s="488" t="n"/>
      <c r="J90" s="486" t="n"/>
      <c r="K90" s="501" t="n"/>
      <c r="L90" s="502" t="n"/>
      <c r="M90" s="13" t="inlineStr">
        <is>
          <t>420 KG</t>
        </is>
      </c>
      <c r="N90" s="418" t="n">
        <v>46042</v>
      </c>
    </row>
    <row r="91" ht="18" customHeight="1" s="468">
      <c r="B91" s="497" t="n"/>
      <c r="C91" s="487" t="n">
        <v>26010083</v>
      </c>
      <c r="D91" s="486" t="n"/>
      <c r="E91" s="490" t="n"/>
      <c r="F91" s="486" t="n"/>
      <c r="G91" s="487" t="inlineStr">
        <is>
          <t>OL 40</t>
        </is>
      </c>
      <c r="H91" s="488" t="n"/>
      <c r="I91" s="488" t="n"/>
      <c r="J91" s="486" t="n"/>
      <c r="K91" s="493" t="n"/>
      <c r="L91" s="494" t="n"/>
      <c r="M91" s="16" t="inlineStr">
        <is>
          <t>420 KG</t>
        </is>
      </c>
      <c r="N91" s="418" t="n">
        <v>46042</v>
      </c>
    </row>
    <row r="92" ht="18" customHeight="1" s="468">
      <c r="B92" s="504" t="inlineStr">
        <is>
          <t>2026/014</t>
        </is>
      </c>
      <c r="C92" s="485" t="n"/>
      <c r="D92" s="486" t="n"/>
      <c r="E92" s="489" t="n">
        <v>26020055</v>
      </c>
      <c r="F92" s="486" t="n"/>
      <c r="G92" s="489" t="inlineStr">
        <is>
          <t>ESPUMA GENGIBRE</t>
        </is>
      </c>
      <c r="H92" s="488" t="n"/>
      <c r="I92" s="488" t="n"/>
      <c r="J92" s="486" t="n"/>
      <c r="K92" s="489" t="inlineStr">
        <is>
          <t>DILUTE</t>
        </is>
      </c>
      <c r="L92" s="492" t="n"/>
      <c r="M92" s="15" t="inlineStr">
        <is>
          <t>7.920 LATAS</t>
        </is>
      </c>
      <c r="N92" s="418" t="n">
        <v>46043</v>
      </c>
    </row>
    <row r="93" ht="18" customHeight="1" s="468">
      <c r="B93" s="496" t="n"/>
      <c r="C93" s="490" t="n"/>
      <c r="D93" s="486" t="n"/>
      <c r="E93" s="487" t="n">
        <v>26020056</v>
      </c>
      <c r="F93" s="486" t="n"/>
      <c r="G93" s="487" t="inlineStr">
        <is>
          <t>ESPUMA MAÇA VERDE</t>
        </is>
      </c>
      <c r="H93" s="488" t="n"/>
      <c r="I93" s="488" t="n"/>
      <c r="J93" s="486" t="n"/>
      <c r="K93" s="501" t="n"/>
      <c r="L93" s="502" t="n"/>
      <c r="M93" s="11" t="inlineStr">
        <is>
          <t>5.100 LATAS</t>
        </is>
      </c>
      <c r="N93" s="418" t="n">
        <v>46044</v>
      </c>
    </row>
    <row r="94" ht="18" customHeight="1" s="468">
      <c r="B94" s="496" t="n"/>
      <c r="C94" s="485" t="n"/>
      <c r="D94" s="486" t="n"/>
      <c r="E94" s="489" t="n">
        <v>26020057</v>
      </c>
      <c r="F94" s="486" t="n"/>
      <c r="G94" s="489" t="inlineStr">
        <is>
          <t>ESPUMA 3 LIMÕES</t>
        </is>
      </c>
      <c r="H94" s="488" t="n"/>
      <c r="I94" s="488" t="n"/>
      <c r="J94" s="486" t="n"/>
      <c r="K94" s="501" t="n"/>
      <c r="L94" s="502" t="n"/>
      <c r="M94" s="15" t="inlineStr">
        <is>
          <t>5.940 LATAS</t>
        </is>
      </c>
      <c r="N94" s="418" t="n">
        <v>46044</v>
      </c>
    </row>
    <row r="95" ht="18" customHeight="1" s="468">
      <c r="B95" s="497" t="n"/>
      <c r="C95" s="490" t="n"/>
      <c r="D95" s="486" t="n"/>
      <c r="E95" s="487" t="n">
        <v>26020058</v>
      </c>
      <c r="F95" s="486" t="n"/>
      <c r="G95" s="487" t="inlineStr">
        <is>
          <t>ESPUMA FRUTAS VERMELHAS</t>
        </is>
      </c>
      <c r="H95" s="488" t="n"/>
      <c r="I95" s="488" t="n"/>
      <c r="J95" s="486" t="n"/>
      <c r="K95" s="493" t="n"/>
      <c r="L95" s="494" t="n"/>
      <c r="M95" s="11" t="inlineStr">
        <is>
          <t>7.920 LATAS</t>
        </is>
      </c>
      <c r="N95" s="418" t="n">
        <v>46045</v>
      </c>
      <c r="O95" s="17" t="inlineStr">
        <is>
          <t>197CXS</t>
        </is>
      </c>
    </row>
    <row r="96" ht="17.25" customHeight="1" s="468">
      <c r="B96" s="504" t="inlineStr">
        <is>
          <t>2026/015</t>
        </is>
      </c>
      <c r="C96" s="485" t="n"/>
      <c r="D96" s="486" t="n"/>
      <c r="E96" s="489" t="n">
        <v>26020055</v>
      </c>
      <c r="F96" s="486" t="n"/>
      <c r="G96" s="489" t="inlineStr">
        <is>
          <t>ESPUMA GENGIBRE</t>
        </is>
      </c>
      <c r="H96" s="488" t="n"/>
      <c r="I96" s="488" t="n"/>
      <c r="J96" s="486" t="n"/>
      <c r="K96" s="489" t="inlineStr">
        <is>
          <t>GIN SABORES</t>
        </is>
      </c>
      <c r="L96" s="486" t="n"/>
      <c r="M96" s="15" t="inlineStr">
        <is>
          <t>3.960 LATAS</t>
        </is>
      </c>
      <c r="N96" s="419" t="n"/>
    </row>
    <row r="97" ht="17.25" customHeight="1" s="468">
      <c r="B97" s="495" t="inlineStr">
        <is>
          <t>2026/016</t>
        </is>
      </c>
      <c r="C97" s="490" t="n"/>
      <c r="D97" s="486" t="n"/>
      <c r="E97" s="487" t="n">
        <v>26020055</v>
      </c>
      <c r="F97" s="486" t="n"/>
      <c r="G97" s="487" t="inlineStr">
        <is>
          <t>ESPUMA GENGIBRE</t>
        </is>
      </c>
      <c r="H97" s="488" t="n"/>
      <c r="I97" s="488" t="n"/>
      <c r="J97" s="486" t="n"/>
      <c r="K97" s="487" t="inlineStr">
        <is>
          <t>IN LOCO</t>
        </is>
      </c>
      <c r="L97" s="486" t="n"/>
      <c r="M97" s="11" t="inlineStr">
        <is>
          <t>3.960 LATAS</t>
        </is>
      </c>
      <c r="N97" s="418" t="n">
        <v>46043</v>
      </c>
    </row>
    <row r="98" ht="17.25" customHeight="1" s="468">
      <c r="B98" s="504" t="inlineStr">
        <is>
          <t>2026/017</t>
        </is>
      </c>
      <c r="C98" s="489" t="n">
        <v>26010049</v>
      </c>
      <c r="D98" s="486" t="n"/>
      <c r="E98" s="485" t="n"/>
      <c r="F98" s="486" t="n"/>
      <c r="G98" s="489" t="inlineStr">
        <is>
          <t>ITAIQUARA 600ML</t>
        </is>
      </c>
      <c r="H98" s="488" t="n"/>
      <c r="I98" s="488" t="n"/>
      <c r="J98" s="486" t="n"/>
      <c r="K98" s="489" t="inlineStr">
        <is>
          <t>ITAIQUARA</t>
        </is>
      </c>
      <c r="L98" s="486" t="n"/>
      <c r="M98" s="13" t="inlineStr">
        <is>
          <t>2.280 LATAS</t>
        </is>
      </c>
      <c r="N98" s="418" t="n">
        <v>46037</v>
      </c>
    </row>
    <row r="99" ht="17.25" customHeight="1" s="468">
      <c r="B99" s="495" t="inlineStr">
        <is>
          <t>2026/018</t>
        </is>
      </c>
      <c r="C99" s="487" t="n">
        <v>26010084</v>
      </c>
      <c r="D99" s="486" t="n"/>
      <c r="E99" s="490" t="n"/>
      <c r="F99" s="486" t="n"/>
      <c r="G99" s="487" t="inlineStr">
        <is>
          <t>BONASSE 400ML</t>
        </is>
      </c>
      <c r="H99" s="488" t="n"/>
      <c r="I99" s="488" t="n"/>
      <c r="J99" s="486" t="n"/>
      <c r="K99" s="487" t="inlineStr">
        <is>
          <t>ROCHAPAN</t>
        </is>
      </c>
      <c r="L99" s="486" t="n"/>
      <c r="M99" s="11" t="inlineStr">
        <is>
          <t>3.000 LATAS</t>
        </is>
      </c>
      <c r="N99" s="418" t="n">
        <v>46042</v>
      </c>
    </row>
    <row r="100" ht="17.25" customHeight="1" s="468">
      <c r="B100" s="504" t="inlineStr">
        <is>
          <t>2026/019</t>
        </is>
      </c>
      <c r="C100" s="489" t="n">
        <v>26010085</v>
      </c>
      <c r="D100" s="486" t="n"/>
      <c r="E100" s="485" t="n"/>
      <c r="F100" s="486" t="n"/>
      <c r="G100" s="489" t="inlineStr">
        <is>
          <t>UNTA MAIS 400ML</t>
        </is>
      </c>
      <c r="H100" s="488" t="n"/>
      <c r="I100" s="488" t="n"/>
      <c r="J100" s="486" t="n"/>
      <c r="K100" s="489" t="inlineStr">
        <is>
          <t>CASA DO PANIFICADOR</t>
        </is>
      </c>
      <c r="L100" s="486" t="n"/>
      <c r="M100" s="13" t="inlineStr">
        <is>
          <t>2.400 LATAS</t>
        </is>
      </c>
      <c r="N100" s="418" t="n">
        <v>46042</v>
      </c>
    </row>
    <row r="101" ht="18" customHeight="1" s="468">
      <c r="B101" s="495" t="inlineStr">
        <is>
          <t>2026/020</t>
        </is>
      </c>
      <c r="C101" s="487" t="n">
        <v>26010086</v>
      </c>
      <c r="D101" s="486" t="n"/>
      <c r="E101" s="490" t="n"/>
      <c r="F101" s="486" t="n"/>
      <c r="G101" s="487" t="inlineStr">
        <is>
          <t>OL 40</t>
        </is>
      </c>
      <c r="H101" s="488" t="n"/>
      <c r="I101" s="488" t="n"/>
      <c r="J101" s="486" t="n"/>
      <c r="K101" s="487" t="inlineStr">
        <is>
          <t>SMART</t>
        </is>
      </c>
      <c r="L101" s="492" t="n"/>
      <c r="M101" s="16" t="inlineStr">
        <is>
          <t>420 KG</t>
        </is>
      </c>
      <c r="N101" s="418" t="n">
        <v>46042</v>
      </c>
    </row>
    <row r="102" ht="18" customHeight="1" s="468">
      <c r="B102" s="496" t="n"/>
      <c r="C102" s="489" t="n">
        <v>26010087</v>
      </c>
      <c r="D102" s="486" t="n"/>
      <c r="E102" s="485" t="n"/>
      <c r="F102" s="486" t="n"/>
      <c r="G102" s="489" t="inlineStr">
        <is>
          <t>OL 40</t>
        </is>
      </c>
      <c r="H102" s="488" t="n"/>
      <c r="I102" s="488" t="n"/>
      <c r="J102" s="486" t="n"/>
      <c r="K102" s="501" t="n"/>
      <c r="L102" s="502" t="n"/>
      <c r="M102" s="13" t="inlineStr">
        <is>
          <t>420 KG</t>
        </is>
      </c>
      <c r="N102" s="418" t="n">
        <v>46050</v>
      </c>
    </row>
    <row r="103" ht="18" customHeight="1" s="468">
      <c r="B103" s="496" t="n"/>
      <c r="C103" s="487" t="n">
        <v>26010088</v>
      </c>
      <c r="D103" s="486" t="n"/>
      <c r="E103" s="491" t="n"/>
      <c r="F103" s="486" t="n"/>
      <c r="G103" s="487" t="inlineStr">
        <is>
          <t>OL 40</t>
        </is>
      </c>
      <c r="H103" s="488" t="n"/>
      <c r="I103" s="488" t="n"/>
      <c r="J103" s="486" t="n"/>
      <c r="K103" s="501" t="n"/>
      <c r="L103" s="502" t="n"/>
      <c r="M103" s="16" t="inlineStr">
        <is>
          <t>420 KG</t>
        </is>
      </c>
      <c r="N103" s="418" t="n">
        <v>46050</v>
      </c>
    </row>
    <row r="104" ht="18" customHeight="1" s="468">
      <c r="B104" s="496" t="n"/>
      <c r="C104" s="489" t="n">
        <v>26010089</v>
      </c>
      <c r="D104" s="486" t="n"/>
      <c r="E104" s="485" t="n"/>
      <c r="F104" s="486" t="n"/>
      <c r="G104" s="489" t="inlineStr">
        <is>
          <t>OL 40</t>
        </is>
      </c>
      <c r="H104" s="488" t="n"/>
      <c r="I104" s="488" t="n"/>
      <c r="J104" s="486" t="n"/>
      <c r="K104" s="501" t="n"/>
      <c r="L104" s="502" t="n"/>
      <c r="M104" s="13" t="inlineStr">
        <is>
          <t>420 KG</t>
        </is>
      </c>
      <c r="N104" s="418" t="n">
        <v>46051</v>
      </c>
    </row>
    <row r="105" ht="18" customHeight="1" s="468">
      <c r="B105" s="496" t="n"/>
      <c r="C105" s="487" t="n">
        <v>26010090</v>
      </c>
      <c r="D105" s="486" t="n"/>
      <c r="E105" s="491" t="n"/>
      <c r="F105" s="486" t="n"/>
      <c r="G105" s="487" t="inlineStr">
        <is>
          <t>OL 40</t>
        </is>
      </c>
      <c r="H105" s="488" t="n"/>
      <c r="I105" s="488" t="n"/>
      <c r="J105" s="486" t="n"/>
      <c r="K105" s="501" t="n"/>
      <c r="L105" s="502" t="n"/>
      <c r="M105" s="16" t="inlineStr">
        <is>
          <t>420 KG</t>
        </is>
      </c>
      <c r="N105" s="418" t="n">
        <v>46051</v>
      </c>
    </row>
    <row r="106" ht="18" customHeight="1" s="468">
      <c r="B106" s="496" t="n"/>
      <c r="C106" s="489" t="n">
        <v>26010091</v>
      </c>
      <c r="D106" s="486" t="n"/>
      <c r="E106" s="485" t="n"/>
      <c r="F106" s="486" t="n"/>
      <c r="G106" s="489" t="inlineStr">
        <is>
          <t>OL 40</t>
        </is>
      </c>
      <c r="H106" s="488" t="n"/>
      <c r="I106" s="488" t="n"/>
      <c r="J106" s="486" t="n"/>
      <c r="K106" s="501" t="n"/>
      <c r="L106" s="502" t="n"/>
      <c r="M106" s="13" t="inlineStr">
        <is>
          <t>420 KG</t>
        </is>
      </c>
      <c r="N106" s="418" t="n">
        <v>46051</v>
      </c>
    </row>
    <row r="107" ht="18" customHeight="1" s="468">
      <c r="B107" s="496" t="n"/>
      <c r="C107" s="487" t="n">
        <v>26010092</v>
      </c>
      <c r="D107" s="486" t="n"/>
      <c r="E107" s="490" t="n"/>
      <c r="F107" s="486" t="n"/>
      <c r="G107" s="487" t="inlineStr">
        <is>
          <t>OL 40</t>
        </is>
      </c>
      <c r="H107" s="488" t="n"/>
      <c r="I107" s="488" t="n"/>
      <c r="J107" s="486" t="n"/>
      <c r="K107" s="501" t="n"/>
      <c r="L107" s="502" t="n"/>
      <c r="M107" s="16" t="inlineStr">
        <is>
          <t>420 KG</t>
        </is>
      </c>
      <c r="N107" s="418" t="n">
        <v>46051</v>
      </c>
    </row>
    <row r="108" ht="18" customHeight="1" s="468">
      <c r="B108" s="496" t="n"/>
      <c r="C108" s="489" t="n">
        <v>26010093</v>
      </c>
      <c r="D108" s="486" t="n"/>
      <c r="E108" s="485" t="n"/>
      <c r="F108" s="486" t="n"/>
      <c r="G108" s="489" t="inlineStr">
        <is>
          <t>OL 40</t>
        </is>
      </c>
      <c r="H108" s="488" t="n"/>
      <c r="I108" s="488" t="n"/>
      <c r="J108" s="486" t="n"/>
      <c r="K108" s="501" t="n"/>
      <c r="L108" s="502" t="n"/>
      <c r="M108" s="13" t="inlineStr">
        <is>
          <t>420 KG</t>
        </is>
      </c>
      <c r="N108" s="418" t="n">
        <v>46051</v>
      </c>
    </row>
    <row r="109" ht="18" customHeight="1" s="468">
      <c r="B109" s="496" t="n"/>
      <c r="C109" s="487" t="n">
        <v>26010094</v>
      </c>
      <c r="D109" s="486" t="n"/>
      <c r="E109" s="490" t="n"/>
      <c r="F109" s="486" t="n"/>
      <c r="G109" s="487" t="inlineStr">
        <is>
          <t>OL 40</t>
        </is>
      </c>
      <c r="H109" s="488" t="n"/>
      <c r="I109" s="488" t="n"/>
      <c r="J109" s="486" t="n"/>
      <c r="K109" s="501" t="n"/>
      <c r="L109" s="502" t="n"/>
      <c r="M109" s="16" t="inlineStr">
        <is>
          <t>420 KG</t>
        </is>
      </c>
      <c r="N109" s="418" t="n">
        <v>46051</v>
      </c>
    </row>
    <row r="110" ht="18" customHeight="1" s="468">
      <c r="B110" s="496" t="n"/>
      <c r="C110" s="489" t="n">
        <v>26010095</v>
      </c>
      <c r="D110" s="486" t="n"/>
      <c r="E110" s="485" t="n"/>
      <c r="F110" s="486" t="n"/>
      <c r="G110" s="489" t="inlineStr">
        <is>
          <t>OL 40</t>
        </is>
      </c>
      <c r="H110" s="488" t="n"/>
      <c r="I110" s="488" t="n"/>
      <c r="J110" s="486" t="n"/>
      <c r="K110" s="501" t="n"/>
      <c r="L110" s="502" t="n"/>
      <c r="M110" s="13" t="inlineStr">
        <is>
          <t>420 KG</t>
        </is>
      </c>
      <c r="N110" s="418" t="n">
        <v>46051</v>
      </c>
    </row>
    <row r="111" ht="18" customHeight="1" s="468">
      <c r="B111" s="496" t="n"/>
      <c r="C111" s="487" t="n">
        <v>26010096</v>
      </c>
      <c r="D111" s="486" t="n"/>
      <c r="E111" s="490" t="n"/>
      <c r="F111" s="486" t="n"/>
      <c r="G111" s="487" t="inlineStr">
        <is>
          <t>OL 40</t>
        </is>
      </c>
      <c r="H111" s="488" t="n"/>
      <c r="I111" s="488" t="n"/>
      <c r="J111" s="486" t="n"/>
      <c r="K111" s="501" t="n"/>
      <c r="L111" s="502" t="n"/>
      <c r="M111" s="16" t="inlineStr">
        <is>
          <t>420 KG</t>
        </is>
      </c>
      <c r="N111" s="418" t="n">
        <v>46051</v>
      </c>
    </row>
    <row r="112" ht="18" customHeight="1" s="468">
      <c r="B112" s="496" t="n"/>
      <c r="C112" s="489" t="n">
        <v>26010097</v>
      </c>
      <c r="D112" s="486" t="n"/>
      <c r="E112" s="485" t="n"/>
      <c r="F112" s="486" t="n"/>
      <c r="G112" s="489" t="inlineStr">
        <is>
          <t>OL 40</t>
        </is>
      </c>
      <c r="H112" s="488" t="n"/>
      <c r="I112" s="488" t="n"/>
      <c r="J112" s="486" t="n"/>
      <c r="K112" s="501" t="n"/>
      <c r="L112" s="502" t="n"/>
      <c r="M112" s="13" t="inlineStr">
        <is>
          <t>420 KG</t>
        </is>
      </c>
      <c r="N112" s="418" t="n">
        <v>46052</v>
      </c>
    </row>
    <row r="113" ht="18" customHeight="1" s="468">
      <c r="B113" s="496" t="n"/>
      <c r="C113" s="487" t="n">
        <v>26010098</v>
      </c>
      <c r="D113" s="486" t="n"/>
      <c r="E113" s="491" t="n"/>
      <c r="F113" s="486" t="n"/>
      <c r="G113" s="487" t="inlineStr">
        <is>
          <t>OL 40</t>
        </is>
      </c>
      <c r="H113" s="488" t="n"/>
      <c r="I113" s="488" t="n"/>
      <c r="J113" s="486" t="n"/>
      <c r="K113" s="501" t="n"/>
      <c r="L113" s="502" t="n"/>
      <c r="M113" s="16" t="inlineStr">
        <is>
          <t>420 KG</t>
        </is>
      </c>
      <c r="N113" s="418" t="n">
        <v>46052</v>
      </c>
    </row>
    <row r="114" ht="18" customHeight="1" s="468">
      <c r="B114" s="496" t="n"/>
      <c r="C114" s="489" t="n">
        <v>26010099</v>
      </c>
      <c r="D114" s="486" t="n"/>
      <c r="E114" s="485" t="n"/>
      <c r="F114" s="486" t="n"/>
      <c r="G114" s="489" t="inlineStr">
        <is>
          <t>OL 40</t>
        </is>
      </c>
      <c r="H114" s="488" t="n"/>
      <c r="I114" s="488" t="n"/>
      <c r="J114" s="486" t="n"/>
      <c r="K114" s="501" t="n"/>
      <c r="L114" s="502" t="n"/>
      <c r="M114" s="13" t="inlineStr">
        <is>
          <t>420 KG</t>
        </is>
      </c>
      <c r="N114" s="418" t="n">
        <v>46052</v>
      </c>
    </row>
    <row r="115" ht="18" customHeight="1" s="468">
      <c r="B115" s="496" t="n"/>
      <c r="C115" s="487" t="n">
        <v>26010100</v>
      </c>
      <c r="D115" s="486" t="n"/>
      <c r="E115" s="490" t="n"/>
      <c r="F115" s="486" t="n"/>
      <c r="G115" s="487" t="inlineStr">
        <is>
          <t>OL 40</t>
        </is>
      </c>
      <c r="H115" s="488" t="n"/>
      <c r="I115" s="488" t="n"/>
      <c r="J115" s="486" t="n"/>
      <c r="K115" s="501" t="n"/>
      <c r="L115" s="502" t="n"/>
      <c r="M115" s="16" t="inlineStr">
        <is>
          <t>420 KG</t>
        </is>
      </c>
      <c r="N115" s="418" t="n">
        <v>46052</v>
      </c>
    </row>
    <row r="116" ht="18" customHeight="1" s="468">
      <c r="B116" s="496" t="n"/>
      <c r="C116" s="489" t="n">
        <v>26010101</v>
      </c>
      <c r="D116" s="486" t="n"/>
      <c r="E116" s="485" t="n"/>
      <c r="F116" s="486" t="n"/>
      <c r="G116" s="489" t="inlineStr">
        <is>
          <t>OL 40</t>
        </is>
      </c>
      <c r="H116" s="488" t="n"/>
      <c r="I116" s="488" t="n"/>
      <c r="J116" s="486" t="n"/>
      <c r="K116" s="501" t="n"/>
      <c r="L116" s="502" t="n"/>
      <c r="M116" s="13" t="inlineStr">
        <is>
          <t>420 KG</t>
        </is>
      </c>
      <c r="N116" s="418" t="n">
        <v>46052</v>
      </c>
    </row>
    <row r="117" ht="18" customHeight="1" s="468">
      <c r="B117" s="496" t="n"/>
      <c r="C117" s="487" t="n">
        <v>26010102</v>
      </c>
      <c r="D117" s="486" t="n"/>
      <c r="E117" s="491" t="n"/>
      <c r="F117" s="486" t="n"/>
      <c r="G117" s="487" t="inlineStr">
        <is>
          <t>OL 40</t>
        </is>
      </c>
      <c r="H117" s="488" t="n"/>
      <c r="I117" s="488" t="n"/>
      <c r="J117" s="486" t="n"/>
      <c r="K117" s="501" t="n"/>
      <c r="L117" s="502" t="n"/>
      <c r="M117" s="16" t="inlineStr">
        <is>
          <t>420 KG</t>
        </is>
      </c>
      <c r="N117" s="418" t="n">
        <v>46052</v>
      </c>
    </row>
    <row r="118" ht="18" customHeight="1" s="468">
      <c r="B118" s="496" t="n"/>
      <c r="C118" s="489" t="n">
        <v>26010103</v>
      </c>
      <c r="D118" s="486" t="n"/>
      <c r="E118" s="485" t="n"/>
      <c r="F118" s="486" t="n"/>
      <c r="G118" s="489" t="inlineStr">
        <is>
          <t>OL 40</t>
        </is>
      </c>
      <c r="H118" s="488" t="n"/>
      <c r="I118" s="488" t="n"/>
      <c r="J118" s="486" t="n"/>
      <c r="K118" s="501" t="n"/>
      <c r="L118" s="502" t="n"/>
      <c r="M118" s="13" t="inlineStr">
        <is>
          <t>420 KG</t>
        </is>
      </c>
      <c r="N118" s="418" t="n">
        <v>46052</v>
      </c>
    </row>
    <row r="119" ht="18" customHeight="1" s="468">
      <c r="B119" s="496" t="n"/>
      <c r="C119" s="487" t="n">
        <v>26010104</v>
      </c>
      <c r="D119" s="486" t="n"/>
      <c r="E119" s="490" t="n"/>
      <c r="F119" s="486" t="n"/>
      <c r="G119" s="487" t="inlineStr">
        <is>
          <t>OL 40</t>
        </is>
      </c>
      <c r="H119" s="488" t="n"/>
      <c r="I119" s="488" t="n"/>
      <c r="J119" s="486" t="n"/>
      <c r="K119" s="501" t="n"/>
      <c r="L119" s="502" t="n"/>
      <c r="M119" s="16" t="inlineStr">
        <is>
          <t>420 KG</t>
        </is>
      </c>
      <c r="N119" s="418" t="n">
        <v>46052</v>
      </c>
    </row>
    <row r="120" ht="18" customHeight="1" s="468">
      <c r="B120" s="496" t="n"/>
      <c r="C120" s="489" t="n">
        <v>26010105</v>
      </c>
      <c r="D120" s="486" t="n"/>
      <c r="E120" s="485" t="n"/>
      <c r="F120" s="486" t="n"/>
      <c r="G120" s="489" t="inlineStr">
        <is>
          <t>OL 40</t>
        </is>
      </c>
      <c r="H120" s="488" t="n"/>
      <c r="I120" s="488" t="n"/>
      <c r="J120" s="486" t="n"/>
      <c r="K120" s="501" t="n"/>
      <c r="L120" s="502" t="n"/>
      <c r="M120" s="13" t="inlineStr">
        <is>
          <t>420 KG</t>
        </is>
      </c>
      <c r="N120" s="418" t="n">
        <v>46055</v>
      </c>
    </row>
    <row r="121" ht="18" customHeight="1" s="468">
      <c r="B121" s="496" t="n"/>
      <c r="C121" s="487" t="n">
        <v>26010106</v>
      </c>
      <c r="D121" s="486" t="n"/>
      <c r="E121" s="490" t="n"/>
      <c r="F121" s="486" t="n"/>
      <c r="G121" s="487" t="inlineStr">
        <is>
          <t>OL 40</t>
        </is>
      </c>
      <c r="H121" s="488" t="n"/>
      <c r="I121" s="488" t="n"/>
      <c r="J121" s="486" t="n"/>
      <c r="K121" s="501" t="n"/>
      <c r="L121" s="502" t="n"/>
      <c r="M121" s="16" t="inlineStr">
        <is>
          <t>420 KG</t>
        </is>
      </c>
      <c r="N121" s="418" t="n">
        <v>46055</v>
      </c>
    </row>
    <row r="122" ht="18" customHeight="1" s="468">
      <c r="B122" s="496" t="n"/>
      <c r="C122" s="489" t="n">
        <v>26010107</v>
      </c>
      <c r="D122" s="486" t="n"/>
      <c r="E122" s="485" t="n"/>
      <c r="F122" s="486" t="n"/>
      <c r="G122" s="489" t="inlineStr">
        <is>
          <t>OL 40</t>
        </is>
      </c>
      <c r="H122" s="488" t="n"/>
      <c r="I122" s="488" t="n"/>
      <c r="J122" s="486" t="n"/>
      <c r="K122" s="501" t="n"/>
      <c r="L122" s="502" t="n"/>
      <c r="M122" s="13" t="inlineStr">
        <is>
          <t>420 KG</t>
        </is>
      </c>
      <c r="N122" s="418" t="n">
        <v>46055</v>
      </c>
    </row>
    <row r="123" ht="18" customHeight="1" s="468">
      <c r="B123" s="496" t="n"/>
      <c r="C123" s="487" t="n">
        <v>26010108</v>
      </c>
      <c r="D123" s="486" t="n"/>
      <c r="E123" s="491" t="n"/>
      <c r="F123" s="486" t="n"/>
      <c r="G123" s="487" t="inlineStr">
        <is>
          <t>OL 40</t>
        </is>
      </c>
      <c r="H123" s="488" t="n"/>
      <c r="I123" s="488" t="n"/>
      <c r="J123" s="486" t="n"/>
      <c r="K123" s="501" t="n"/>
      <c r="L123" s="502" t="n"/>
      <c r="M123" s="16" t="inlineStr">
        <is>
          <t>420 KG</t>
        </is>
      </c>
      <c r="N123" s="418" t="n">
        <v>46055</v>
      </c>
    </row>
    <row r="124" ht="18" customHeight="1" s="468">
      <c r="B124" s="496" t="n"/>
      <c r="C124" s="489" t="n">
        <v>26010109</v>
      </c>
      <c r="D124" s="486" t="n"/>
      <c r="E124" s="485" t="n"/>
      <c r="F124" s="486" t="n"/>
      <c r="G124" s="489" t="inlineStr">
        <is>
          <t>OL 40</t>
        </is>
      </c>
      <c r="H124" s="488" t="n"/>
      <c r="I124" s="488" t="n"/>
      <c r="J124" s="486" t="n"/>
      <c r="K124" s="501" t="n"/>
      <c r="L124" s="502" t="n"/>
      <c r="M124" s="13" t="inlineStr">
        <is>
          <t>420 KG</t>
        </is>
      </c>
      <c r="N124" s="418" t="n">
        <v>46055</v>
      </c>
    </row>
    <row r="125" ht="18" customHeight="1" s="468">
      <c r="B125" s="497" t="n"/>
      <c r="C125" s="487" t="n">
        <v>26010110</v>
      </c>
      <c r="D125" s="486" t="n"/>
      <c r="E125" s="491" t="n"/>
      <c r="F125" s="486" t="n"/>
      <c r="G125" s="487" t="inlineStr">
        <is>
          <t>OL 40</t>
        </is>
      </c>
      <c r="H125" s="488" t="n"/>
      <c r="I125" s="488" t="n"/>
      <c r="J125" s="486" t="n"/>
      <c r="K125" s="493" t="n"/>
      <c r="L125" s="494" t="n"/>
      <c r="M125" s="16" t="inlineStr">
        <is>
          <t>420 KG</t>
        </is>
      </c>
      <c r="N125" s="418" t="n">
        <v>46055</v>
      </c>
    </row>
    <row r="126" ht="18" customHeight="1" s="468">
      <c r="B126" s="504" t="inlineStr">
        <is>
          <t>2026/021</t>
        </is>
      </c>
      <c r="C126" s="489" t="n">
        <v>26010111</v>
      </c>
      <c r="D126" s="486" t="n"/>
      <c r="E126" s="485" t="n"/>
      <c r="F126" s="486" t="n"/>
      <c r="G126" s="489" t="inlineStr">
        <is>
          <t>UNTA FACIL 180ML</t>
        </is>
      </c>
      <c r="H126" s="488" t="n"/>
      <c r="I126" s="488" t="n"/>
      <c r="J126" s="486" t="n"/>
      <c r="K126" s="489" t="inlineStr">
        <is>
          <t>IN LOCO</t>
        </is>
      </c>
      <c r="L126" s="492" t="n"/>
      <c r="M126" s="15" t="inlineStr">
        <is>
          <t>8.640 LATAS</t>
        </is>
      </c>
      <c r="N126" s="418" t="n">
        <v>46048</v>
      </c>
    </row>
    <row r="127" ht="18" customHeight="1" s="468">
      <c r="B127" s="497" t="n"/>
      <c r="C127" s="487" t="n">
        <v>26010112</v>
      </c>
      <c r="D127" s="486" t="n"/>
      <c r="E127" s="490" t="n"/>
      <c r="F127" s="486" t="n"/>
      <c r="G127" s="487" t="inlineStr">
        <is>
          <t>UNTA FACIL 400ML</t>
        </is>
      </c>
      <c r="H127" s="488" t="n"/>
      <c r="I127" s="488" t="n"/>
      <c r="J127" s="486" t="n"/>
      <c r="K127" s="493" t="n"/>
      <c r="L127" s="494" t="n"/>
      <c r="M127" s="16" t="inlineStr">
        <is>
          <t>12.000 LATAS</t>
        </is>
      </c>
      <c r="N127" s="418" t="n">
        <v>46048</v>
      </c>
    </row>
    <row r="128" ht="17.25" customHeight="1" s="468">
      <c r="B128" s="504" t="inlineStr">
        <is>
          <t>2026/022</t>
        </is>
      </c>
      <c r="C128" s="485" t="n"/>
      <c r="D128" s="486" t="n"/>
      <c r="E128" s="489" t="n">
        <v>2630773</v>
      </c>
      <c r="F128" s="486" t="n"/>
      <c r="G128" s="489" t="inlineStr">
        <is>
          <t>GELINHO 210ML</t>
        </is>
      </c>
      <c r="H128" s="488" t="n"/>
      <c r="I128" s="488" t="n"/>
      <c r="J128" s="486" t="n"/>
      <c r="K128" s="489" t="inlineStr">
        <is>
          <t>ICEBERG</t>
        </is>
      </c>
      <c r="L128" s="486" t="n"/>
      <c r="M128" s="13" t="inlineStr">
        <is>
          <t>2.800 LATAS</t>
        </is>
      </c>
      <c r="N128" s="418" t="n">
        <v>46048</v>
      </c>
    </row>
    <row r="129" ht="17.25" customHeight="1" s="468">
      <c r="B129" s="495" t="inlineStr">
        <is>
          <t>2026/023</t>
        </is>
      </c>
      <c r="C129" s="487" t="n">
        <v>26010113</v>
      </c>
      <c r="D129" s="486" t="n"/>
      <c r="E129" s="490" t="n"/>
      <c r="F129" s="486" t="n"/>
      <c r="G129" s="487" t="inlineStr">
        <is>
          <t>MAGIC SPRAY 400ML</t>
        </is>
      </c>
      <c r="H129" s="488" t="n"/>
      <c r="I129" s="488" t="n"/>
      <c r="J129" s="486" t="n"/>
      <c r="K129" s="487" t="inlineStr">
        <is>
          <t>EMBRAPAN</t>
        </is>
      </c>
      <c r="L129" s="486" t="n"/>
      <c r="M129" s="11" t="inlineStr">
        <is>
          <t>1.200 LATAS</t>
        </is>
      </c>
      <c r="N129" s="418" t="n">
        <v>46051</v>
      </c>
    </row>
    <row r="130" ht="18" customHeight="1" s="468">
      <c r="B130" s="504" t="inlineStr">
        <is>
          <t>2026/024</t>
        </is>
      </c>
      <c r="C130" s="489" t="n">
        <v>26010114</v>
      </c>
      <c r="D130" s="486" t="n"/>
      <c r="E130" s="485" t="n"/>
      <c r="F130" s="486" t="n"/>
      <c r="G130" s="489" t="inlineStr">
        <is>
          <t>LISSE 600ML</t>
        </is>
      </c>
      <c r="H130" s="488" t="n"/>
      <c r="I130" s="488" t="n"/>
      <c r="J130" s="486" t="n"/>
      <c r="K130" s="489" t="inlineStr">
        <is>
          <t>ADIMIX</t>
        </is>
      </c>
      <c r="L130" s="492" t="n"/>
      <c r="M130" s="13" t="inlineStr">
        <is>
          <t>7.980 LATAS</t>
        </is>
      </c>
      <c r="N130" s="418" t="n">
        <v>46050</v>
      </c>
    </row>
    <row r="131" ht="18" customHeight="1" s="468">
      <c r="B131" s="497" t="n"/>
      <c r="C131" s="487" t="n">
        <v>26010115</v>
      </c>
      <c r="D131" s="486" t="n"/>
      <c r="E131" s="490" t="n"/>
      <c r="F131" s="486" t="n"/>
      <c r="G131" s="487" t="inlineStr">
        <is>
          <t>LISSE 600ML</t>
        </is>
      </c>
      <c r="H131" s="488" t="n"/>
      <c r="I131" s="488" t="n"/>
      <c r="J131" s="486" t="n"/>
      <c r="K131" s="493" t="n"/>
      <c r="L131" s="494" t="n"/>
      <c r="M131" s="16" t="inlineStr">
        <is>
          <t>7.980 LATAS</t>
        </is>
      </c>
      <c r="N131" s="418" t="n">
        <v>46050</v>
      </c>
    </row>
    <row r="132" ht="17.25" customHeight="1" s="468">
      <c r="B132" s="504" t="inlineStr">
        <is>
          <t>2026/025</t>
        </is>
      </c>
      <c r="C132" s="489" t="n">
        <v>26010116</v>
      </c>
      <c r="D132" s="486" t="n"/>
      <c r="E132" s="485" t="n"/>
      <c r="F132" s="486" t="n"/>
      <c r="G132" s="489" t="inlineStr">
        <is>
          <t>ALLBREAD 600ML</t>
        </is>
      </c>
      <c r="H132" s="488" t="n"/>
      <c r="I132" s="488" t="n"/>
      <c r="J132" s="486" t="n"/>
      <c r="K132" s="489" t="inlineStr">
        <is>
          <t>ALL BREAD</t>
        </is>
      </c>
      <c r="L132" s="486" t="n"/>
      <c r="M132" s="15" t="inlineStr">
        <is>
          <t>9.216 LATAS</t>
        </is>
      </c>
      <c r="N132" s="418" t="n">
        <v>46052</v>
      </c>
    </row>
    <row r="133" ht="17.25" customHeight="1" s="468">
      <c r="B133" s="495" t="inlineStr">
        <is>
          <t>2026/026</t>
        </is>
      </c>
      <c r="C133" s="487" t="n">
        <v>26010117</v>
      </c>
      <c r="D133" s="486" t="n"/>
      <c r="E133" s="490" t="n"/>
      <c r="F133" s="486" t="n"/>
      <c r="G133" s="487" t="inlineStr">
        <is>
          <t>UNTA FACIL 600ML</t>
        </is>
      </c>
      <c r="H133" s="488" t="n"/>
      <c r="I133" s="488" t="n"/>
      <c r="J133" s="486" t="n"/>
      <c r="K133" s="487" t="inlineStr">
        <is>
          <t>IN LOCO</t>
        </is>
      </c>
      <c r="L133" s="486" t="n"/>
      <c r="M133" s="16" t="inlineStr">
        <is>
          <t>15.960 LATAS</t>
        </is>
      </c>
      <c r="N133" s="418" t="n">
        <v>46055</v>
      </c>
    </row>
    <row r="134" ht="17.25" customHeight="1" s="468">
      <c r="B134" s="504" t="inlineStr">
        <is>
          <t>2026/027</t>
        </is>
      </c>
      <c r="C134" s="489" t="n">
        <v>26010118</v>
      </c>
      <c r="D134" s="486" t="n"/>
      <c r="E134" s="485" t="n"/>
      <c r="F134" s="486" t="n"/>
      <c r="G134" s="489" t="inlineStr">
        <is>
          <t>DESTAK 600ML</t>
        </is>
      </c>
      <c r="H134" s="488" t="n"/>
      <c r="I134" s="488" t="n"/>
      <c r="J134" s="486" t="n"/>
      <c r="K134" s="489" t="inlineStr">
        <is>
          <t>PURATOS</t>
        </is>
      </c>
      <c r="L134" s="486" t="n"/>
      <c r="M134" s="13" t="inlineStr">
        <is>
          <t>7.980 LATAS</t>
        </is>
      </c>
      <c r="N134" s="418" t="n">
        <v>46057</v>
      </c>
    </row>
    <row r="135" ht="17.25" customHeight="1" s="468">
      <c r="B135" s="495" t="inlineStr">
        <is>
          <t>2026/028</t>
        </is>
      </c>
      <c r="C135" s="487" t="n">
        <v>26010119</v>
      </c>
      <c r="D135" s="486" t="n"/>
      <c r="E135" s="490" t="n"/>
      <c r="F135" s="486" t="n"/>
      <c r="G135" s="487" t="inlineStr">
        <is>
          <t>VP 600ML</t>
        </is>
      </c>
      <c r="H135" s="488" t="n"/>
      <c r="I135" s="488" t="n"/>
      <c r="J135" s="486" t="n"/>
      <c r="K135" s="487" t="inlineStr">
        <is>
          <t>VIA PANE</t>
        </is>
      </c>
      <c r="L135" s="486" t="n"/>
      <c r="M135" s="11" t="inlineStr">
        <is>
          <t>1.200 LATAS</t>
        </is>
      </c>
      <c r="N135" s="418" t="n">
        <v>46058</v>
      </c>
    </row>
    <row r="136" ht="17.25" customHeight="1" s="468">
      <c r="B136" s="504" t="inlineStr">
        <is>
          <t>2026/029</t>
        </is>
      </c>
      <c r="C136" s="489" t="n">
        <v>26010120</v>
      </c>
      <c r="D136" s="486" t="n"/>
      <c r="E136" s="485" t="n"/>
      <c r="F136" s="486" t="n"/>
      <c r="G136" s="489" t="inlineStr">
        <is>
          <t>UNTA FORMA 600ML</t>
        </is>
      </c>
      <c r="H136" s="488" t="n"/>
      <c r="I136" s="488" t="n"/>
      <c r="J136" s="486" t="n"/>
      <c r="K136" s="489" t="inlineStr">
        <is>
          <t>ITAIQUARA</t>
        </is>
      </c>
      <c r="L136" s="486" t="n"/>
      <c r="M136" s="13" t="inlineStr">
        <is>
          <t>2.280 LATAS</t>
        </is>
      </c>
      <c r="N136" s="418" t="n">
        <v>46058</v>
      </c>
    </row>
    <row r="137" ht="18" customHeight="1" s="468">
      <c r="B137" s="495" t="inlineStr">
        <is>
          <t>2026/030</t>
        </is>
      </c>
      <c r="C137" s="487" t="n">
        <v>26010121</v>
      </c>
      <c r="D137" s="486" t="n"/>
      <c r="E137" s="490" t="n"/>
      <c r="F137" s="486" t="n"/>
      <c r="G137" s="487" t="inlineStr">
        <is>
          <t>OL 40</t>
        </is>
      </c>
      <c r="H137" s="488" t="n"/>
      <c r="I137" s="488" t="n"/>
      <c r="J137" s="486" t="n"/>
      <c r="K137" s="487" t="inlineStr">
        <is>
          <t>SMART</t>
        </is>
      </c>
      <c r="L137" s="492" t="n"/>
      <c r="M137" s="11" t="inlineStr">
        <is>
          <t>420 KG</t>
        </is>
      </c>
      <c r="N137" s="418" t="n">
        <v>46055</v>
      </c>
    </row>
    <row r="138" ht="18" customHeight="1" s="468">
      <c r="B138" s="496" t="n"/>
      <c r="C138" s="489" t="n">
        <v>26010122</v>
      </c>
      <c r="D138" s="486" t="n"/>
      <c r="E138" s="485" t="n"/>
      <c r="F138" s="486" t="n"/>
      <c r="G138" s="489" t="inlineStr">
        <is>
          <t>OL 40</t>
        </is>
      </c>
      <c r="H138" s="488" t="n"/>
      <c r="I138" s="488" t="n"/>
      <c r="J138" s="486" t="n"/>
      <c r="K138" s="501" t="n"/>
      <c r="L138" s="502" t="n"/>
      <c r="M138" s="15" t="inlineStr">
        <is>
          <t>420 KG</t>
        </is>
      </c>
      <c r="N138" s="418" t="n">
        <v>46055</v>
      </c>
    </row>
    <row r="139" ht="18" customHeight="1" s="468">
      <c r="B139" s="496" t="n"/>
      <c r="C139" s="487" t="n">
        <v>26010123</v>
      </c>
      <c r="D139" s="486" t="n"/>
      <c r="E139" s="490" t="n"/>
      <c r="F139" s="486" t="n"/>
      <c r="G139" s="487" t="inlineStr">
        <is>
          <t>OL 40</t>
        </is>
      </c>
      <c r="H139" s="488" t="n"/>
      <c r="I139" s="488" t="n"/>
      <c r="J139" s="486" t="n"/>
      <c r="K139" s="501" t="n"/>
      <c r="L139" s="502" t="n"/>
      <c r="M139" s="11" t="inlineStr">
        <is>
          <t>420 KG</t>
        </is>
      </c>
      <c r="N139" s="418" t="n">
        <v>46055</v>
      </c>
    </row>
    <row r="140" ht="18" customHeight="1" s="468">
      <c r="B140" s="496" t="n"/>
      <c r="C140" s="489" t="n">
        <v>26010124</v>
      </c>
      <c r="D140" s="486" t="n"/>
      <c r="E140" s="500" t="n"/>
      <c r="F140" s="486" t="n"/>
      <c r="G140" s="489" t="inlineStr">
        <is>
          <t>OL 40</t>
        </is>
      </c>
      <c r="H140" s="488" t="n"/>
      <c r="I140" s="488" t="n"/>
      <c r="J140" s="486" t="n"/>
      <c r="K140" s="501" t="n"/>
      <c r="L140" s="502" t="n"/>
      <c r="M140" s="15" t="inlineStr">
        <is>
          <t>420 KG</t>
        </is>
      </c>
      <c r="N140" s="418" t="n">
        <v>46056</v>
      </c>
    </row>
    <row r="141" ht="18" customHeight="1" s="468">
      <c r="B141" s="496" t="n"/>
      <c r="C141" s="487" t="n">
        <v>26010125</v>
      </c>
      <c r="D141" s="486" t="n"/>
      <c r="E141" s="490" t="n"/>
      <c r="F141" s="486" t="n"/>
      <c r="G141" s="487" t="inlineStr">
        <is>
          <t>OL 40</t>
        </is>
      </c>
      <c r="H141" s="488" t="n"/>
      <c r="I141" s="488" t="n"/>
      <c r="J141" s="486" t="n"/>
      <c r="K141" s="501" t="n"/>
      <c r="L141" s="502" t="n"/>
      <c r="M141" s="11" t="inlineStr">
        <is>
          <t>420 KG</t>
        </is>
      </c>
      <c r="N141" s="418" t="n">
        <v>46056</v>
      </c>
    </row>
    <row r="142" ht="18" customHeight="1" s="468">
      <c r="B142" s="496" t="n"/>
      <c r="C142" s="489" t="n">
        <v>26010126</v>
      </c>
      <c r="D142" s="486" t="n"/>
      <c r="E142" s="485" t="n"/>
      <c r="F142" s="486" t="n"/>
      <c r="G142" s="489" t="inlineStr">
        <is>
          <t>OL 40</t>
        </is>
      </c>
      <c r="H142" s="488" t="n"/>
      <c r="I142" s="488" t="n"/>
      <c r="J142" s="486" t="n"/>
      <c r="K142" s="501" t="n"/>
      <c r="L142" s="502" t="n"/>
      <c r="M142" s="15" t="inlineStr">
        <is>
          <t>420 KG</t>
        </is>
      </c>
      <c r="N142" s="418" t="n">
        <v>46056</v>
      </c>
    </row>
    <row r="143" ht="18" customHeight="1" s="468">
      <c r="B143" s="496" t="n"/>
      <c r="C143" s="487" t="n">
        <v>26010127</v>
      </c>
      <c r="D143" s="486" t="n"/>
      <c r="E143" s="490" t="n"/>
      <c r="F143" s="486" t="n"/>
      <c r="G143" s="487" t="inlineStr">
        <is>
          <t>OL 40</t>
        </is>
      </c>
      <c r="H143" s="488" t="n"/>
      <c r="I143" s="488" t="n"/>
      <c r="J143" s="486" t="n"/>
      <c r="K143" s="501" t="n"/>
      <c r="L143" s="502" t="n"/>
      <c r="M143" s="11" t="inlineStr">
        <is>
          <t>420 KG</t>
        </is>
      </c>
      <c r="N143" s="418" t="n">
        <v>46057</v>
      </c>
    </row>
    <row r="144" ht="18" customHeight="1" s="468">
      <c r="B144" s="496" t="n"/>
      <c r="C144" s="489" t="n">
        <v>26010128</v>
      </c>
      <c r="D144" s="486" t="n"/>
      <c r="E144" s="485" t="n"/>
      <c r="F144" s="486" t="n"/>
      <c r="G144" s="489" t="inlineStr">
        <is>
          <t>OL 40</t>
        </is>
      </c>
      <c r="H144" s="488" t="n"/>
      <c r="I144" s="488" t="n"/>
      <c r="J144" s="486" t="n"/>
      <c r="K144" s="501" t="n"/>
      <c r="L144" s="502" t="n"/>
      <c r="M144" s="15" t="inlineStr">
        <is>
          <t>420 KG</t>
        </is>
      </c>
      <c r="N144" s="418" t="n">
        <v>46057</v>
      </c>
    </row>
    <row r="145" ht="18" customHeight="1" s="468">
      <c r="B145" s="496" t="n"/>
      <c r="C145" s="487" t="n">
        <v>26010129</v>
      </c>
      <c r="D145" s="486" t="n"/>
      <c r="E145" s="490" t="n"/>
      <c r="F145" s="486" t="n"/>
      <c r="G145" s="487" t="inlineStr">
        <is>
          <t>OL 40</t>
        </is>
      </c>
      <c r="H145" s="488" t="n"/>
      <c r="I145" s="488" t="n"/>
      <c r="J145" s="486" t="n"/>
      <c r="K145" s="501" t="n"/>
      <c r="L145" s="502" t="n"/>
      <c r="M145" s="11" t="inlineStr">
        <is>
          <t>420 KG</t>
        </is>
      </c>
      <c r="N145" s="418" t="n">
        <v>46057</v>
      </c>
    </row>
    <row r="146" ht="18" customHeight="1" s="468">
      <c r="B146" s="496" t="n"/>
      <c r="C146" s="489" t="n">
        <v>26010130</v>
      </c>
      <c r="D146" s="486" t="n"/>
      <c r="E146" s="500" t="n"/>
      <c r="F146" s="486" t="n"/>
      <c r="G146" s="489" t="inlineStr">
        <is>
          <t>OL 40</t>
        </is>
      </c>
      <c r="H146" s="488" t="n"/>
      <c r="I146" s="488" t="n"/>
      <c r="J146" s="486" t="n"/>
      <c r="K146" s="501" t="n"/>
      <c r="L146" s="502" t="n"/>
      <c r="M146" s="15" t="inlineStr">
        <is>
          <t>420 KG</t>
        </is>
      </c>
      <c r="N146" s="418" t="n">
        <v>46057</v>
      </c>
    </row>
    <row r="147" ht="18" customHeight="1" s="468">
      <c r="B147" s="496" t="n"/>
      <c r="C147" s="487" t="n">
        <v>26010131</v>
      </c>
      <c r="D147" s="486" t="n"/>
      <c r="E147" s="490" t="n"/>
      <c r="F147" s="486" t="n"/>
      <c r="G147" s="487" t="inlineStr">
        <is>
          <t>OL 40 (ORIGINAL)</t>
        </is>
      </c>
      <c r="H147" s="488" t="n"/>
      <c r="I147" s="488" t="n"/>
      <c r="J147" s="486" t="n"/>
      <c r="K147" s="501" t="n"/>
      <c r="L147" s="502" t="n"/>
      <c r="M147" s="11" t="inlineStr">
        <is>
          <t>420 KG</t>
        </is>
      </c>
      <c r="N147" s="418" t="n">
        <v>46055</v>
      </c>
    </row>
    <row r="148" ht="18" customHeight="1" s="468">
      <c r="B148" s="496" t="n"/>
      <c r="C148" s="489" t="n">
        <v>26010132</v>
      </c>
      <c r="D148" s="486" t="n"/>
      <c r="E148" s="485" t="n"/>
      <c r="F148" s="486" t="n"/>
      <c r="G148" s="489" t="inlineStr">
        <is>
          <t>OL 40 (ORIGINAL)</t>
        </is>
      </c>
      <c r="H148" s="488" t="n"/>
      <c r="I148" s="488" t="n"/>
      <c r="J148" s="486" t="n"/>
      <c r="K148" s="501" t="n"/>
      <c r="L148" s="502" t="n"/>
      <c r="M148" s="15" t="inlineStr">
        <is>
          <t>420 KG</t>
        </is>
      </c>
      <c r="N148" s="418" t="n">
        <v>46055</v>
      </c>
    </row>
    <row r="149" ht="18" customHeight="1" s="468">
      <c r="B149" s="496" t="n"/>
      <c r="C149" s="487" t="n">
        <v>26010133</v>
      </c>
      <c r="D149" s="486" t="n"/>
      <c r="E149" s="490" t="n"/>
      <c r="F149" s="486" t="n"/>
      <c r="G149" s="487" t="inlineStr">
        <is>
          <t>OL 40 (ORIGINAL)</t>
        </is>
      </c>
      <c r="H149" s="488" t="n"/>
      <c r="I149" s="488" t="n"/>
      <c r="J149" s="486" t="n"/>
      <c r="K149" s="501" t="n"/>
      <c r="L149" s="502" t="n"/>
      <c r="M149" s="11" t="inlineStr">
        <is>
          <t>420 KG</t>
        </is>
      </c>
      <c r="N149" s="418" t="n">
        <v>46056</v>
      </c>
    </row>
    <row r="150" ht="18" customHeight="1" s="468">
      <c r="B150" s="496" t="n"/>
      <c r="C150" s="489" t="n">
        <v>26010134</v>
      </c>
      <c r="D150" s="486" t="n"/>
      <c r="E150" s="500" t="n"/>
      <c r="F150" s="486" t="n"/>
      <c r="G150" s="489" t="inlineStr">
        <is>
          <t>OL 40 (ORIGINAL)</t>
        </is>
      </c>
      <c r="H150" s="488" t="n"/>
      <c r="I150" s="488" t="n"/>
      <c r="J150" s="486" t="n"/>
      <c r="K150" s="501" t="n"/>
      <c r="L150" s="502" t="n"/>
      <c r="M150" s="15" t="inlineStr">
        <is>
          <t>420 KG</t>
        </is>
      </c>
      <c r="N150" s="418" t="n">
        <v>46056</v>
      </c>
    </row>
    <row r="151" ht="18" customHeight="1" s="468">
      <c r="B151" s="496" t="n"/>
      <c r="C151" s="487" t="n">
        <v>26010135</v>
      </c>
      <c r="D151" s="486" t="n"/>
      <c r="E151" s="491" t="n"/>
      <c r="F151" s="486" t="n"/>
      <c r="G151" s="487" t="inlineStr">
        <is>
          <t>OL 40 (ORIGINAL)</t>
        </is>
      </c>
      <c r="H151" s="488" t="n"/>
      <c r="I151" s="488" t="n"/>
      <c r="J151" s="486" t="n"/>
      <c r="K151" s="501" t="n"/>
      <c r="L151" s="502" t="n"/>
      <c r="M151" s="11" t="inlineStr">
        <is>
          <t>420 KG</t>
        </is>
      </c>
      <c r="N151" s="418" t="n">
        <v>46056</v>
      </c>
    </row>
    <row r="152" ht="18" customHeight="1" s="468">
      <c r="B152" s="496" t="n"/>
      <c r="C152" s="489" t="n">
        <v>26010136</v>
      </c>
      <c r="D152" s="486" t="n"/>
      <c r="E152" s="485" t="n"/>
      <c r="F152" s="486" t="n"/>
      <c r="G152" s="489" t="inlineStr">
        <is>
          <t>OL 40</t>
        </is>
      </c>
      <c r="H152" s="488" t="n"/>
      <c r="I152" s="488" t="n"/>
      <c r="J152" s="486" t="n"/>
      <c r="K152" s="501" t="n"/>
      <c r="L152" s="502" t="n"/>
      <c r="M152" s="15" t="inlineStr">
        <is>
          <t>420 KG</t>
        </is>
      </c>
      <c r="N152" s="418" t="n">
        <v>46057</v>
      </c>
    </row>
    <row r="153" ht="18" customHeight="1" s="468">
      <c r="B153" s="496" t="n"/>
      <c r="C153" s="487" t="n">
        <v>26010137</v>
      </c>
      <c r="D153" s="486" t="n"/>
      <c r="E153" s="490" t="n"/>
      <c r="F153" s="486" t="n"/>
      <c r="G153" s="487" t="inlineStr">
        <is>
          <t>OL 40</t>
        </is>
      </c>
      <c r="H153" s="488" t="n"/>
      <c r="I153" s="488" t="n"/>
      <c r="J153" s="486" t="n"/>
      <c r="K153" s="501" t="n"/>
      <c r="L153" s="502" t="n"/>
      <c r="M153" s="11" t="inlineStr">
        <is>
          <t>420 KG</t>
        </is>
      </c>
      <c r="N153" s="418" t="n">
        <v>46057</v>
      </c>
    </row>
    <row r="154" ht="18" customHeight="1" s="468">
      <c r="B154" s="496" t="n"/>
      <c r="C154" s="489" t="n">
        <v>26010138</v>
      </c>
      <c r="D154" s="486" t="n"/>
      <c r="E154" s="485" t="n"/>
      <c r="F154" s="486" t="n"/>
      <c r="G154" s="489" t="inlineStr">
        <is>
          <t>OL 40</t>
        </is>
      </c>
      <c r="H154" s="488" t="n"/>
      <c r="I154" s="488" t="n"/>
      <c r="J154" s="486" t="n"/>
      <c r="K154" s="501" t="n"/>
      <c r="L154" s="502" t="n"/>
      <c r="M154" s="15" t="inlineStr">
        <is>
          <t>420 KG</t>
        </is>
      </c>
      <c r="N154" s="418" t="n">
        <v>46057</v>
      </c>
    </row>
    <row r="155" ht="18" customHeight="1" s="468">
      <c r="B155" s="496" t="n"/>
      <c r="C155" s="487" t="n">
        <v>26010139</v>
      </c>
      <c r="D155" s="486" t="n"/>
      <c r="E155" s="491" t="n"/>
      <c r="F155" s="486" t="n"/>
      <c r="G155" s="487" t="inlineStr">
        <is>
          <t>OL 40</t>
        </is>
      </c>
      <c r="H155" s="488" t="n"/>
      <c r="I155" s="488" t="n"/>
      <c r="J155" s="486" t="n"/>
      <c r="K155" s="501" t="n"/>
      <c r="L155" s="502" t="n"/>
      <c r="M155" s="11" t="inlineStr">
        <is>
          <t>420 KG</t>
        </is>
      </c>
      <c r="N155" s="418" t="n">
        <v>46057</v>
      </c>
    </row>
    <row r="156" ht="18" customHeight="1" s="468">
      <c r="B156" s="496" t="n"/>
      <c r="C156" s="489" t="n">
        <v>26010140</v>
      </c>
      <c r="D156" s="486" t="n"/>
      <c r="E156" s="485" t="n"/>
      <c r="F156" s="486" t="n"/>
      <c r="G156" s="489" t="inlineStr">
        <is>
          <t>OL 40</t>
        </is>
      </c>
      <c r="H156" s="488" t="n"/>
      <c r="I156" s="488" t="n"/>
      <c r="J156" s="486" t="n"/>
      <c r="K156" s="501" t="n"/>
      <c r="L156" s="502" t="n"/>
      <c r="M156" s="15" t="inlineStr">
        <is>
          <t>420 KG</t>
        </is>
      </c>
      <c r="N156" s="418" t="n">
        <v>46057</v>
      </c>
    </row>
    <row r="157" ht="18" customHeight="1" s="468">
      <c r="B157" s="496" t="n"/>
      <c r="C157" s="487" t="n">
        <v>26010141</v>
      </c>
      <c r="D157" s="486" t="n"/>
      <c r="E157" s="490" t="n"/>
      <c r="F157" s="486" t="n"/>
      <c r="G157" s="487" t="inlineStr">
        <is>
          <t>OL 40</t>
        </is>
      </c>
      <c r="H157" s="488" t="n"/>
      <c r="I157" s="488" t="n"/>
      <c r="J157" s="486" t="n"/>
      <c r="K157" s="501" t="n"/>
      <c r="L157" s="502" t="n"/>
      <c r="M157" s="11" t="inlineStr">
        <is>
          <t>420 KG</t>
        </is>
      </c>
      <c r="N157" s="418" t="n">
        <v>46057</v>
      </c>
    </row>
    <row r="158" ht="18" customHeight="1" s="468">
      <c r="B158" s="496" t="n"/>
      <c r="C158" s="489" t="n">
        <v>26010142</v>
      </c>
      <c r="D158" s="486" t="n"/>
      <c r="E158" s="485" t="n"/>
      <c r="F158" s="486" t="n"/>
      <c r="G158" s="489" t="inlineStr">
        <is>
          <t>OL 40</t>
        </is>
      </c>
      <c r="H158" s="488" t="n"/>
      <c r="I158" s="488" t="n"/>
      <c r="J158" s="486" t="n"/>
      <c r="K158" s="501" t="n"/>
      <c r="L158" s="502" t="n"/>
      <c r="M158" s="15" t="inlineStr">
        <is>
          <t>420 KG</t>
        </is>
      </c>
      <c r="N158" s="418" t="n">
        <v>46057</v>
      </c>
    </row>
    <row r="159" ht="18" customHeight="1" s="468">
      <c r="B159" s="496" t="n"/>
      <c r="C159" s="487" t="n">
        <v>26010143</v>
      </c>
      <c r="D159" s="486" t="n"/>
      <c r="E159" s="490" t="n"/>
      <c r="F159" s="486" t="n"/>
      <c r="G159" s="487" t="inlineStr">
        <is>
          <t>OL 40</t>
        </is>
      </c>
      <c r="H159" s="488" t="n"/>
      <c r="I159" s="488" t="n"/>
      <c r="J159" s="486" t="n"/>
      <c r="K159" s="501" t="n"/>
      <c r="L159" s="502" t="n"/>
      <c r="M159" s="11" t="inlineStr">
        <is>
          <t>420 KG</t>
        </is>
      </c>
      <c r="N159" s="418" t="n">
        <v>46057</v>
      </c>
    </row>
    <row r="160" ht="18" customHeight="1" s="468">
      <c r="B160" s="496" t="n"/>
      <c r="C160" s="489" t="n">
        <v>26010144</v>
      </c>
      <c r="D160" s="486" t="n"/>
      <c r="E160" s="485" t="n"/>
      <c r="F160" s="486" t="n"/>
      <c r="G160" s="489" t="inlineStr">
        <is>
          <t>OL 40</t>
        </is>
      </c>
      <c r="H160" s="488" t="n"/>
      <c r="I160" s="488" t="n"/>
      <c r="J160" s="486" t="n"/>
      <c r="K160" s="501" t="n"/>
      <c r="L160" s="502" t="n"/>
      <c r="M160" s="15" t="inlineStr">
        <is>
          <t>420 KG</t>
        </is>
      </c>
      <c r="N160" s="418" t="n">
        <v>46057</v>
      </c>
    </row>
    <row r="161" ht="18" customHeight="1" s="468">
      <c r="B161" s="497" t="n"/>
      <c r="C161" s="487" t="n">
        <v>26010145</v>
      </c>
      <c r="D161" s="486" t="n"/>
      <c r="E161" s="491" t="n"/>
      <c r="F161" s="486" t="n"/>
      <c r="G161" s="487" t="inlineStr">
        <is>
          <t>OL 40</t>
        </is>
      </c>
      <c r="H161" s="488" t="n"/>
      <c r="I161" s="488" t="n"/>
      <c r="J161" s="486" t="n"/>
      <c r="K161" s="493" t="n"/>
      <c r="L161" s="494" t="n"/>
      <c r="M161" s="11" t="inlineStr">
        <is>
          <t>420 KG</t>
        </is>
      </c>
      <c r="N161" s="418" t="n">
        <v>46058</v>
      </c>
    </row>
    <row r="162" ht="17.25" customHeight="1" s="468">
      <c r="B162" s="18" t="n"/>
      <c r="C162" s="485" t="n"/>
      <c r="D162" s="486" t="n"/>
      <c r="E162" s="485" t="n"/>
      <c r="F162" s="486" t="n"/>
      <c r="G162" s="485" t="n"/>
      <c r="H162" s="488" t="n"/>
      <c r="I162" s="488" t="n"/>
      <c r="J162" s="486" t="n"/>
      <c r="K162" s="485" t="n"/>
      <c r="L162" s="486" t="n"/>
      <c r="M162" s="19" t="n"/>
      <c r="N162" s="417" t="n"/>
    </row>
    <row r="163" ht="17.25" customHeight="1" s="468">
      <c r="B163" s="20" t="n"/>
      <c r="C163" s="490" t="n"/>
      <c r="D163" s="486" t="n"/>
      <c r="E163" s="490" t="n"/>
      <c r="F163" s="486" t="n"/>
      <c r="G163" s="490" t="n"/>
      <c r="H163" s="488" t="n"/>
      <c r="I163" s="488" t="n"/>
      <c r="J163" s="486" t="n"/>
      <c r="K163" s="490" t="n"/>
      <c r="L163" s="486" t="n"/>
      <c r="M163" s="21" t="n"/>
      <c r="N163" s="417" t="n"/>
    </row>
    <row r="164" ht="17.25" customHeight="1" s="468">
      <c r="B164" s="18" t="n"/>
      <c r="C164" s="485" t="n"/>
      <c r="D164" s="486" t="n"/>
      <c r="E164" s="485" t="n"/>
      <c r="F164" s="486" t="n"/>
      <c r="G164" s="485" t="n"/>
      <c r="H164" s="488" t="n"/>
      <c r="I164" s="488" t="n"/>
      <c r="J164" s="486" t="n"/>
      <c r="K164" s="485" t="n"/>
      <c r="L164" s="486" t="n"/>
      <c r="M164" s="22" t="n"/>
      <c r="N164" s="417" t="n"/>
    </row>
    <row r="165" ht="17.25" customHeight="1" s="468">
      <c r="B165" s="20" t="n"/>
      <c r="C165" s="490" t="n"/>
      <c r="D165" s="486" t="n"/>
      <c r="E165" s="490" t="n"/>
      <c r="F165" s="486" t="n"/>
      <c r="G165" s="490" t="n"/>
      <c r="H165" s="488" t="n"/>
      <c r="I165" s="488" t="n"/>
      <c r="J165" s="486" t="n"/>
      <c r="K165" s="490" t="n"/>
      <c r="L165" s="486" t="n"/>
      <c r="M165" s="21" t="n"/>
      <c r="N165" s="417" t="n"/>
    </row>
    <row r="166" ht="17.25" customHeight="1" s="468">
      <c r="B166" s="18" t="n"/>
      <c r="C166" s="485" t="n"/>
      <c r="D166" s="486" t="n"/>
      <c r="E166" s="485" t="n"/>
      <c r="F166" s="486" t="n"/>
      <c r="G166" s="485" t="n"/>
      <c r="H166" s="488" t="n"/>
      <c r="I166" s="488" t="n"/>
      <c r="J166" s="486" t="n"/>
      <c r="K166" s="485" t="n"/>
      <c r="L166" s="486" t="n"/>
      <c r="M166" s="19" t="n"/>
      <c r="N166" s="417" t="n"/>
    </row>
    <row r="167" ht="17.25" customHeight="1" s="468">
      <c r="B167" s="20" t="n"/>
      <c r="C167" s="490" t="n"/>
      <c r="D167" s="486" t="n"/>
      <c r="E167" s="490" t="n"/>
      <c r="F167" s="486" t="n"/>
      <c r="G167" s="490" t="n"/>
      <c r="H167" s="488" t="n"/>
      <c r="I167" s="488" t="n"/>
      <c r="J167" s="486" t="n"/>
      <c r="K167" s="490" t="n"/>
      <c r="L167" s="486" t="n"/>
      <c r="M167" s="23" t="n"/>
      <c r="N167" s="417" t="n"/>
    </row>
    <row r="168" ht="17.25" customHeight="1" s="468">
      <c r="B168" s="18" t="n"/>
      <c r="C168" s="485" t="n"/>
      <c r="D168" s="486" t="n"/>
      <c r="E168" s="485" t="n"/>
      <c r="F168" s="486" t="n"/>
      <c r="G168" s="485" t="n"/>
      <c r="H168" s="488" t="n"/>
      <c r="I168" s="488" t="n"/>
      <c r="J168" s="486" t="n"/>
      <c r="K168" s="485" t="n"/>
      <c r="L168" s="486" t="n"/>
      <c r="M168" s="19" t="n"/>
      <c r="N168" s="417" t="n"/>
    </row>
    <row r="169" ht="17.25" customHeight="1" s="468">
      <c r="B169" s="20" t="n"/>
      <c r="C169" s="490" t="n"/>
      <c r="D169" s="486" t="n"/>
      <c r="E169" s="490" t="n"/>
      <c r="F169" s="486" t="n"/>
      <c r="G169" s="490" t="n"/>
      <c r="H169" s="488" t="n"/>
      <c r="I169" s="488" t="n"/>
      <c r="J169" s="486" t="n"/>
      <c r="K169" s="490" t="n"/>
      <c r="L169" s="486" t="n"/>
      <c r="M169" s="21" t="n"/>
      <c r="N169" s="417" t="n"/>
    </row>
    <row r="170" ht="17.25" customHeight="1" s="468">
      <c r="B170" s="18" t="n"/>
      <c r="C170" s="485" t="n"/>
      <c r="D170" s="486" t="n"/>
      <c r="E170" s="485" t="n"/>
      <c r="F170" s="486" t="n"/>
      <c r="G170" s="485" t="n"/>
      <c r="H170" s="488" t="n"/>
      <c r="I170" s="488" t="n"/>
      <c r="J170" s="486" t="n"/>
      <c r="K170" s="485" t="n"/>
      <c r="L170" s="486" t="n"/>
      <c r="M170" s="22" t="n"/>
      <c r="N170" s="417" t="n"/>
    </row>
    <row r="171" ht="17.25" customHeight="1" s="468">
      <c r="B171" s="20" t="n"/>
      <c r="C171" s="490" t="n"/>
      <c r="D171" s="486" t="n"/>
      <c r="E171" s="490" t="n"/>
      <c r="F171" s="486" t="n"/>
      <c r="G171" s="490" t="n"/>
      <c r="H171" s="488" t="n"/>
      <c r="I171" s="488" t="n"/>
      <c r="J171" s="486" t="n"/>
      <c r="K171" s="490" t="n"/>
      <c r="L171" s="486" t="n"/>
      <c r="M171" s="21" t="n"/>
      <c r="N171" s="417" t="n"/>
    </row>
    <row r="172" ht="17.25" customHeight="1" s="468">
      <c r="B172" s="18" t="n"/>
      <c r="C172" s="485" t="n"/>
      <c r="D172" s="486" t="n"/>
      <c r="E172" s="485" t="n"/>
      <c r="F172" s="486" t="n"/>
      <c r="G172" s="485" t="n"/>
      <c r="H172" s="488" t="n"/>
      <c r="I172" s="488" t="n"/>
      <c r="J172" s="486" t="n"/>
      <c r="K172" s="485" t="n"/>
      <c r="L172" s="486" t="n"/>
      <c r="M172" s="19" t="n"/>
      <c r="N172" s="417" t="n"/>
    </row>
    <row r="173" ht="17.25" customHeight="1" s="468">
      <c r="B173" s="20" t="n"/>
      <c r="C173" s="490" t="n"/>
      <c r="D173" s="486" t="n"/>
      <c r="E173" s="490" t="n"/>
      <c r="F173" s="486" t="n"/>
      <c r="G173" s="490" t="n"/>
      <c r="H173" s="488" t="n"/>
      <c r="I173" s="488" t="n"/>
      <c r="J173" s="486" t="n"/>
      <c r="K173" s="490" t="n"/>
      <c r="L173" s="486" t="n"/>
      <c r="M173" s="23" t="n"/>
      <c r="N173" s="417" t="n"/>
    </row>
    <row r="174" ht="17.25" customHeight="1" s="468">
      <c r="B174" s="18" t="n"/>
      <c r="C174" s="485" t="n"/>
      <c r="D174" s="486" t="n"/>
      <c r="E174" s="485" t="n"/>
      <c r="F174" s="486" t="n"/>
      <c r="G174" s="485" t="n"/>
      <c r="H174" s="488" t="n"/>
      <c r="I174" s="488" t="n"/>
      <c r="J174" s="486" t="n"/>
      <c r="K174" s="485" t="n"/>
      <c r="L174" s="486" t="n"/>
      <c r="M174" s="19" t="n"/>
      <c r="N174" s="417" t="n"/>
    </row>
    <row r="175" ht="17.25" customHeight="1" s="468">
      <c r="B175" s="20" t="n"/>
      <c r="C175" s="490" t="n"/>
      <c r="D175" s="486" t="n"/>
      <c r="E175" s="490" t="n"/>
      <c r="F175" s="486" t="n"/>
      <c r="G175" s="490" t="n"/>
      <c r="H175" s="488" t="n"/>
      <c r="I175" s="488" t="n"/>
      <c r="J175" s="486" t="n"/>
      <c r="K175" s="490" t="n"/>
      <c r="L175" s="486" t="n"/>
      <c r="M175" s="21" t="n"/>
      <c r="N175" s="417" t="n"/>
    </row>
    <row r="176" ht="17.25" customHeight="1" s="468">
      <c r="B176" s="18" t="n"/>
      <c r="C176" s="485" t="n"/>
      <c r="D176" s="486" t="n"/>
      <c r="E176" s="485" t="n"/>
      <c r="F176" s="486" t="n"/>
      <c r="G176" s="485" t="n"/>
      <c r="H176" s="488" t="n"/>
      <c r="I176" s="488" t="n"/>
      <c r="J176" s="486" t="n"/>
      <c r="K176" s="485" t="n"/>
      <c r="L176" s="486" t="n"/>
      <c r="M176" s="22" t="n"/>
      <c r="N176" s="417" t="n"/>
    </row>
    <row r="177" ht="17.25" customHeight="1" s="468">
      <c r="B177" s="20" t="n"/>
      <c r="C177" s="490" t="n"/>
      <c r="D177" s="486" t="n"/>
      <c r="E177" s="490" t="n"/>
      <c r="F177" s="486" t="n"/>
      <c r="G177" s="490" t="n"/>
      <c r="H177" s="488" t="n"/>
      <c r="I177" s="488" t="n"/>
      <c r="J177" s="486" t="n"/>
      <c r="K177" s="490" t="n"/>
      <c r="L177" s="486" t="n"/>
      <c r="M177" s="21" t="n"/>
      <c r="N177" s="417" t="n"/>
    </row>
    <row r="178" ht="17.25" customHeight="1" s="468">
      <c r="B178" s="18" t="n"/>
      <c r="C178" s="485" t="n"/>
      <c r="D178" s="486" t="n"/>
      <c r="E178" s="485" t="n"/>
      <c r="F178" s="486" t="n"/>
      <c r="G178" s="485" t="n"/>
      <c r="H178" s="488" t="n"/>
      <c r="I178" s="488" t="n"/>
      <c r="J178" s="486" t="n"/>
      <c r="K178" s="485" t="n"/>
      <c r="L178" s="486" t="n"/>
      <c r="M178" s="19" t="n"/>
      <c r="N178" s="417" t="n"/>
    </row>
    <row r="179" ht="17.25" customHeight="1" s="468">
      <c r="B179" s="20" t="n"/>
      <c r="C179" s="490" t="n"/>
      <c r="D179" s="486" t="n"/>
      <c r="E179" s="490" t="n"/>
      <c r="F179" s="486" t="n"/>
      <c r="G179" s="490" t="n"/>
      <c r="H179" s="488" t="n"/>
      <c r="I179" s="488" t="n"/>
      <c r="J179" s="486" t="n"/>
      <c r="K179" s="490" t="n"/>
      <c r="L179" s="486" t="n"/>
      <c r="M179" s="23" t="n"/>
      <c r="N179" s="417" t="n"/>
    </row>
    <row r="180" ht="17.25" customHeight="1" s="468">
      <c r="B180" s="18" t="n"/>
      <c r="C180" s="485" t="n"/>
      <c r="D180" s="486" t="n"/>
      <c r="E180" s="485" t="n"/>
      <c r="F180" s="486" t="n"/>
      <c r="G180" s="485" t="n"/>
      <c r="H180" s="488" t="n"/>
      <c r="I180" s="488" t="n"/>
      <c r="J180" s="486" t="n"/>
      <c r="K180" s="485" t="n"/>
      <c r="L180" s="486" t="n"/>
      <c r="M180" s="19" t="n"/>
      <c r="N180" s="417" t="n"/>
    </row>
    <row r="181" ht="17.25" customHeight="1" s="468">
      <c r="B181" s="20" t="n"/>
      <c r="C181" s="490" t="n"/>
      <c r="D181" s="486" t="n"/>
      <c r="E181" s="490" t="n"/>
      <c r="F181" s="486" t="n"/>
      <c r="G181" s="490" t="n"/>
      <c r="H181" s="488" t="n"/>
      <c r="I181" s="488" t="n"/>
      <c r="J181" s="486" t="n"/>
      <c r="K181" s="490" t="n"/>
      <c r="L181" s="486" t="n"/>
      <c r="M181" s="21" t="n"/>
      <c r="N181" s="417" t="n"/>
    </row>
    <row r="182" ht="17.25" customHeight="1" s="468">
      <c r="B182" s="18" t="n"/>
      <c r="C182" s="485" t="n"/>
      <c r="D182" s="486" t="n"/>
      <c r="E182" s="485" t="n"/>
      <c r="F182" s="486" t="n"/>
      <c r="G182" s="485" t="n"/>
      <c r="H182" s="488" t="n"/>
      <c r="I182" s="488" t="n"/>
      <c r="J182" s="486" t="n"/>
      <c r="K182" s="485" t="n"/>
      <c r="L182" s="486" t="n"/>
      <c r="M182" s="22" t="n"/>
      <c r="N182" s="417" t="n"/>
    </row>
    <row r="183" ht="17.25" customHeight="1" s="468">
      <c r="B183" s="20" t="n"/>
      <c r="C183" s="490" t="n"/>
      <c r="D183" s="486" t="n"/>
      <c r="E183" s="490" t="n"/>
      <c r="F183" s="486" t="n"/>
      <c r="G183" s="490" t="n"/>
      <c r="H183" s="488" t="n"/>
      <c r="I183" s="488" t="n"/>
      <c r="J183" s="486" t="n"/>
      <c r="K183" s="490" t="n"/>
      <c r="L183" s="486" t="n"/>
      <c r="M183" s="21" t="n"/>
      <c r="N183" s="417" t="n"/>
    </row>
    <row r="184" ht="17.25" customHeight="1" s="468">
      <c r="B184" s="18" t="n"/>
      <c r="C184" s="485" t="n"/>
      <c r="D184" s="486" t="n"/>
      <c r="E184" s="485" t="n"/>
      <c r="F184" s="486" t="n"/>
      <c r="G184" s="485" t="n"/>
      <c r="H184" s="488" t="n"/>
      <c r="I184" s="488" t="n"/>
      <c r="J184" s="486" t="n"/>
      <c r="K184" s="485" t="n"/>
      <c r="L184" s="486" t="n"/>
      <c r="M184" s="19" t="n"/>
      <c r="N184" s="417" t="n"/>
    </row>
    <row r="185" ht="17.25" customHeight="1" s="468">
      <c r="B185" s="20" t="n"/>
      <c r="C185" s="490" t="n"/>
      <c r="D185" s="486" t="n"/>
      <c r="E185" s="490" t="n"/>
      <c r="F185" s="486" t="n"/>
      <c r="G185" s="490" t="n"/>
      <c r="H185" s="488" t="n"/>
      <c r="I185" s="488" t="n"/>
      <c r="J185" s="486" t="n"/>
      <c r="K185" s="490" t="n"/>
      <c r="L185" s="486" t="n"/>
      <c r="M185" s="23" t="n"/>
      <c r="N185" s="417" t="n"/>
    </row>
    <row r="186" ht="17.25" customHeight="1" s="468">
      <c r="B186" s="24" t="n"/>
      <c r="C186" s="506" t="n"/>
      <c r="D186" s="507" t="n"/>
      <c r="E186" s="506" t="n"/>
      <c r="F186" s="507" t="n"/>
      <c r="G186" s="506" t="n"/>
      <c r="H186" s="509" t="n"/>
      <c r="I186" s="509" t="n"/>
      <c r="J186" s="507" t="n"/>
      <c r="K186" s="506" t="n"/>
      <c r="L186" s="507" t="n"/>
      <c r="M186" s="25" t="n"/>
      <c r="N186" s="417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8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8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8" customHeight="1" s="468">
      <c r="N295" s="420" t="n"/>
    </row>
    <row r="296" ht="18" customHeight="1" s="468">
      <c r="N296" s="420" t="n"/>
    </row>
    <row r="297" ht="18" customHeight="1" s="468">
      <c r="N297" s="420" t="n"/>
    </row>
    <row r="298" ht="18" customHeight="1" s="468">
      <c r="N298" s="420" t="n"/>
    </row>
    <row r="299" ht="18" customHeight="1" s="468">
      <c r="N299" s="420" t="n"/>
    </row>
    <row r="300" ht="18" customHeight="1" s="468">
      <c r="N300" s="420" t="n"/>
    </row>
  </sheetData>
  <mergeCells count="623">
    <mergeCell ref="C15:D15"/>
    <mergeCell ref="K177:L177"/>
    <mergeCell ref="E71:F71"/>
    <mergeCell ref="G4:J4"/>
    <mergeCell ref="E142:F142"/>
    <mergeCell ref="C107:D107"/>
    <mergeCell ref="G135:J135"/>
    <mergeCell ref="C172:D172"/>
    <mergeCell ref="C79:D79"/>
    <mergeCell ref="E8:F8"/>
    <mergeCell ref="C184:D184"/>
    <mergeCell ref="C73:D73"/>
    <mergeCell ref="E79:F79"/>
    <mergeCell ref="E73:F73"/>
    <mergeCell ref="C171:D171"/>
    <mergeCell ref="E171:F171"/>
    <mergeCell ref="C121:D121"/>
    <mergeCell ref="E137:F137"/>
    <mergeCell ref="K99:L99"/>
    <mergeCell ref="C173:D173"/>
    <mergeCell ref="E173:F173"/>
    <mergeCell ref="C148:D148"/>
    <mergeCell ref="E148:F148"/>
    <mergeCell ref="K180:L180"/>
    <mergeCell ref="E166:F166"/>
    <mergeCell ref="G82:J82"/>
    <mergeCell ref="G57:J57"/>
    <mergeCell ref="G128:J128"/>
    <mergeCell ref="E168:F168"/>
    <mergeCell ref="G184:J184"/>
    <mergeCell ref="G171:J171"/>
    <mergeCell ref="G146:J146"/>
    <mergeCell ref="K126:L127"/>
    <mergeCell ref="G121:J121"/>
    <mergeCell ref="K172:L172"/>
    <mergeCell ref="C28:D28"/>
    <mergeCell ref="E53:F53"/>
    <mergeCell ref="B101:B125"/>
    <mergeCell ref="C3:D3"/>
    <mergeCell ref="G58:J58"/>
    <mergeCell ref="E3:F3"/>
    <mergeCell ref="G123:J123"/>
    <mergeCell ref="C92:D92"/>
    <mergeCell ref="C30:D30"/>
    <mergeCell ref="G110:J110"/>
    <mergeCell ref="E55:F55"/>
    <mergeCell ref="E117:F117"/>
    <mergeCell ref="C5:D5"/>
    <mergeCell ref="E67:F67"/>
    <mergeCell ref="E5:F5"/>
    <mergeCell ref="C97:D97"/>
    <mergeCell ref="E48:F48"/>
    <mergeCell ref="G75:J75"/>
    <mergeCell ref="E161:F161"/>
    <mergeCell ref="K185:L185"/>
    <mergeCell ref="G12:J12"/>
    <mergeCell ref="G70:J70"/>
    <mergeCell ref="K170:L170"/>
    <mergeCell ref="C123:D123"/>
    <mergeCell ref="G7:J7"/>
    <mergeCell ref="C110:D110"/>
    <mergeCell ref="C181:D181"/>
    <mergeCell ref="E110:F110"/>
    <mergeCell ref="E16:F16"/>
    <mergeCell ref="E76:F76"/>
    <mergeCell ref="C174:D174"/>
    <mergeCell ref="E174:F174"/>
    <mergeCell ref="C18:D18"/>
    <mergeCell ref="E18:F18"/>
    <mergeCell ref="G65:J65"/>
    <mergeCell ref="C34:D34"/>
    <mergeCell ref="K130:L131"/>
    <mergeCell ref="G154:J154"/>
    <mergeCell ref="K183:L183"/>
    <mergeCell ref="G129:J129"/>
    <mergeCell ref="G25:J25"/>
    <mergeCell ref="E92:F92"/>
    <mergeCell ref="C128:D128"/>
    <mergeCell ref="K173:L173"/>
    <mergeCell ref="C113:D113"/>
    <mergeCell ref="G60:J60"/>
    <mergeCell ref="G131:J131"/>
    <mergeCell ref="C29:D29"/>
    <mergeCell ref="C100:D100"/>
    <mergeCell ref="E29:F29"/>
    <mergeCell ref="C94:D94"/>
    <mergeCell ref="C65:D65"/>
    <mergeCell ref="E94:F94"/>
    <mergeCell ref="C44:D44"/>
    <mergeCell ref="E69:F69"/>
    <mergeCell ref="C142:D142"/>
    <mergeCell ref="C31:D31"/>
    <mergeCell ref="C80:D80"/>
    <mergeCell ref="E31:F31"/>
    <mergeCell ref="C129:D129"/>
    <mergeCell ref="E158:F158"/>
    <mergeCell ref="E6:F6"/>
    <mergeCell ref="E77:F77"/>
    <mergeCell ref="E133:F133"/>
    <mergeCell ref="E108:F108"/>
    <mergeCell ref="G126:J126"/>
    <mergeCell ref="C95:D95"/>
    <mergeCell ref="E95:F95"/>
    <mergeCell ref="E89:F89"/>
    <mergeCell ref="K176:L176"/>
    <mergeCell ref="K97:L97"/>
    <mergeCell ref="E162:F162"/>
    <mergeCell ref="G13:J13"/>
    <mergeCell ref="G78:J78"/>
    <mergeCell ref="E72:F72"/>
    <mergeCell ref="E164:F164"/>
    <mergeCell ref="K128:L128"/>
    <mergeCell ref="K184:L184"/>
    <mergeCell ref="C131:D131"/>
    <mergeCell ref="G15:J15"/>
    <mergeCell ref="K137:L161"/>
    <mergeCell ref="G142:J142"/>
    <mergeCell ref="G80:J80"/>
    <mergeCell ref="K171:L171"/>
    <mergeCell ref="C49:D49"/>
    <mergeCell ref="C24:D24"/>
    <mergeCell ref="G79:J79"/>
    <mergeCell ref="E24:F24"/>
    <mergeCell ref="G73:J73"/>
    <mergeCell ref="G144:J144"/>
    <mergeCell ref="C42:D42"/>
    <mergeCell ref="E42:F42"/>
    <mergeCell ref="C88:D88"/>
    <mergeCell ref="C126:D126"/>
    <mergeCell ref="C26:D26"/>
    <mergeCell ref="E126:F126"/>
    <mergeCell ref="E88:F88"/>
    <mergeCell ref="E17:F17"/>
    <mergeCell ref="E82:F82"/>
    <mergeCell ref="E180:F180"/>
    <mergeCell ref="G173:J173"/>
    <mergeCell ref="E19:F19"/>
    <mergeCell ref="C117:D117"/>
    <mergeCell ref="C55:D55"/>
    <mergeCell ref="K174:L174"/>
    <mergeCell ref="E182:F182"/>
    <mergeCell ref="G155:J155"/>
    <mergeCell ref="C115:D115"/>
    <mergeCell ref="G170:J170"/>
    <mergeCell ref="G157:J157"/>
    <mergeCell ref="C52:D52"/>
    <mergeCell ref="C150:D150"/>
    <mergeCell ref="C39:D39"/>
    <mergeCell ref="C144:D144"/>
    <mergeCell ref="G172:J172"/>
    <mergeCell ref="E179:F179"/>
    <mergeCell ref="G28:J28"/>
    <mergeCell ref="G3:J3"/>
    <mergeCell ref="C81:D81"/>
    <mergeCell ref="C37:D37"/>
    <mergeCell ref="G92:J92"/>
    <mergeCell ref="E159:F159"/>
    <mergeCell ref="E37:F37"/>
    <mergeCell ref="G30:J30"/>
    <mergeCell ref="E97:F97"/>
    <mergeCell ref="E109:F109"/>
    <mergeCell ref="G5:J5"/>
    <mergeCell ref="K167:L167"/>
    <mergeCell ref="E47:F47"/>
    <mergeCell ref="C145:D145"/>
    <mergeCell ref="E145:F145"/>
    <mergeCell ref="E139:F139"/>
    <mergeCell ref="E111:F111"/>
    <mergeCell ref="G150:J150"/>
    <mergeCell ref="K129:L129"/>
    <mergeCell ref="C63:D63"/>
    <mergeCell ref="C134:D134"/>
    <mergeCell ref="E63:F63"/>
    <mergeCell ref="G81:J81"/>
    <mergeCell ref="C50:D50"/>
    <mergeCell ref="K181:L181"/>
    <mergeCell ref="G145:J145"/>
    <mergeCell ref="C163:D163"/>
    <mergeCell ref="G181:J181"/>
    <mergeCell ref="C138:D138"/>
    <mergeCell ref="C27:D27"/>
    <mergeCell ref="C76:D76"/>
    <mergeCell ref="G160:J160"/>
    <mergeCell ref="E27:F27"/>
    <mergeCell ref="C119:D119"/>
    <mergeCell ref="G147:J147"/>
    <mergeCell ref="G174:J174"/>
    <mergeCell ref="E119:F119"/>
    <mergeCell ref="E116:F116"/>
    <mergeCell ref="E91:F91"/>
    <mergeCell ref="G18:J18"/>
    <mergeCell ref="E85:F85"/>
    <mergeCell ref="C158:D158"/>
    <mergeCell ref="E183:F183"/>
    <mergeCell ref="G34:J34"/>
    <mergeCell ref="E22:F22"/>
    <mergeCell ref="E93:F93"/>
    <mergeCell ref="G163:J163"/>
    <mergeCell ref="E122:F122"/>
    <mergeCell ref="G113:J113"/>
    <mergeCell ref="B130:B131"/>
    <mergeCell ref="G29:J29"/>
    <mergeCell ref="C45:D45"/>
    <mergeCell ref="G100:J100"/>
    <mergeCell ref="G94:J94"/>
    <mergeCell ref="G165:J165"/>
    <mergeCell ref="G44:J44"/>
    <mergeCell ref="C147:D147"/>
    <mergeCell ref="E38:F38"/>
    <mergeCell ref="C109:D109"/>
    <mergeCell ref="E147:F147"/>
    <mergeCell ref="G102:J102"/>
    <mergeCell ref="K4:L5"/>
    <mergeCell ref="G158:J158"/>
    <mergeCell ref="G31:J31"/>
    <mergeCell ref="C47:D47"/>
    <mergeCell ref="K7:L8"/>
    <mergeCell ref="G77:J77"/>
    <mergeCell ref="C40:D40"/>
    <mergeCell ref="E40:F40"/>
    <mergeCell ref="E186:F186"/>
    <mergeCell ref="G176:J176"/>
    <mergeCell ref="E104:F104"/>
    <mergeCell ref="G97:J97"/>
    <mergeCell ref="C71:D71"/>
    <mergeCell ref="B92:B95"/>
    <mergeCell ref="C8:D8"/>
    <mergeCell ref="C165:D165"/>
    <mergeCell ref="G49:J49"/>
    <mergeCell ref="K10:L10"/>
    <mergeCell ref="K63:L66"/>
    <mergeCell ref="C66:D66"/>
    <mergeCell ref="G24:J24"/>
    <mergeCell ref="E66:F66"/>
    <mergeCell ref="C53:D53"/>
    <mergeCell ref="C102:D102"/>
    <mergeCell ref="K3:L3"/>
    <mergeCell ref="B137:B161"/>
    <mergeCell ref="C77:D77"/>
    <mergeCell ref="C179:D179"/>
    <mergeCell ref="G88:J88"/>
    <mergeCell ref="C68:D68"/>
    <mergeCell ref="G26:J26"/>
    <mergeCell ref="E130:F130"/>
    <mergeCell ref="E68:F68"/>
    <mergeCell ref="C166:D166"/>
    <mergeCell ref="C160:D160"/>
    <mergeCell ref="E160:F160"/>
    <mergeCell ref="C141:D141"/>
    <mergeCell ref="E141:F141"/>
    <mergeCell ref="E135:F135"/>
    <mergeCell ref="G90:J90"/>
    <mergeCell ref="E132:F132"/>
    <mergeCell ref="E107:F107"/>
    <mergeCell ref="C143:D143"/>
    <mergeCell ref="E143:F143"/>
    <mergeCell ref="G115:J115"/>
    <mergeCell ref="C59:D59"/>
    <mergeCell ref="E59:F59"/>
    <mergeCell ref="C46:D46"/>
    <mergeCell ref="C21:D21"/>
    <mergeCell ref="G179:J179"/>
    <mergeCell ref="E46:F46"/>
    <mergeCell ref="G39:J39"/>
    <mergeCell ref="G166:J166"/>
    <mergeCell ref="C61:D61"/>
    <mergeCell ref="G116:J116"/>
    <mergeCell ref="E61:F61"/>
    <mergeCell ref="C48:D48"/>
    <mergeCell ref="C23:D23"/>
    <mergeCell ref="G103:J103"/>
    <mergeCell ref="G37:J37"/>
    <mergeCell ref="C125:D125"/>
    <mergeCell ref="B4:B5"/>
    <mergeCell ref="E54:F54"/>
    <mergeCell ref="E125:F125"/>
    <mergeCell ref="G118:J118"/>
    <mergeCell ref="C161:D161"/>
    <mergeCell ref="E41:F41"/>
    <mergeCell ref="G167:J167"/>
    <mergeCell ref="E112:F112"/>
    <mergeCell ref="E56:F56"/>
    <mergeCell ref="C154:D154"/>
    <mergeCell ref="E43:F43"/>
    <mergeCell ref="C156:D156"/>
    <mergeCell ref="C74:D74"/>
    <mergeCell ref="G63:J63"/>
    <mergeCell ref="G134:J134"/>
    <mergeCell ref="K163:L163"/>
    <mergeCell ref="G50:J50"/>
    <mergeCell ref="C16:D16"/>
    <mergeCell ref="E138:F138"/>
    <mergeCell ref="C103:D103"/>
    <mergeCell ref="K11:L46"/>
    <mergeCell ref="K100:L100"/>
    <mergeCell ref="K165:L165"/>
    <mergeCell ref="C168:D168"/>
    <mergeCell ref="G52:J52"/>
    <mergeCell ref="C9:D9"/>
    <mergeCell ref="C180:D180"/>
    <mergeCell ref="C118:D118"/>
    <mergeCell ref="E9:F9"/>
    <mergeCell ref="G27:J27"/>
    <mergeCell ref="G98:J98"/>
    <mergeCell ref="C167:D167"/>
    <mergeCell ref="E167:F167"/>
    <mergeCell ref="C11:D11"/>
    <mergeCell ref="C182:D182"/>
    <mergeCell ref="E11:F11"/>
    <mergeCell ref="C169:D169"/>
    <mergeCell ref="E169:F169"/>
    <mergeCell ref="G93:J93"/>
    <mergeCell ref="B57:B61"/>
    <mergeCell ref="C96:D96"/>
    <mergeCell ref="G124:J124"/>
    <mergeCell ref="G180:J180"/>
    <mergeCell ref="C87:D87"/>
    <mergeCell ref="G45:J45"/>
    <mergeCell ref="C6:D6"/>
    <mergeCell ref="C62:D62"/>
    <mergeCell ref="E62:F62"/>
    <mergeCell ref="G55:J55"/>
    <mergeCell ref="C98:D98"/>
    <mergeCell ref="G182:J182"/>
    <mergeCell ref="G109:J109"/>
    <mergeCell ref="C89:D89"/>
    <mergeCell ref="G47:J47"/>
    <mergeCell ref="C116:D116"/>
    <mergeCell ref="C64:D64"/>
    <mergeCell ref="G119:J119"/>
    <mergeCell ref="E64:F64"/>
    <mergeCell ref="C162:D162"/>
    <mergeCell ref="G46:J46"/>
    <mergeCell ref="G40:J40"/>
    <mergeCell ref="E51:F51"/>
    <mergeCell ref="E156:F156"/>
    <mergeCell ref="G111:J111"/>
    <mergeCell ref="E153:F153"/>
    <mergeCell ref="C177:D177"/>
    <mergeCell ref="E128:F128"/>
    <mergeCell ref="C93:D93"/>
    <mergeCell ref="E155:F155"/>
    <mergeCell ref="C164:D164"/>
    <mergeCell ref="G71:J71"/>
    <mergeCell ref="E65:F65"/>
    <mergeCell ref="E157:F157"/>
    <mergeCell ref="G8:J8"/>
    <mergeCell ref="C17:D17"/>
    <mergeCell ref="K179:L179"/>
    <mergeCell ref="G10:J10"/>
    <mergeCell ref="G66:J66"/>
    <mergeCell ref="G137:J137"/>
    <mergeCell ref="K92:L95"/>
    <mergeCell ref="K166:L166"/>
    <mergeCell ref="G53:J53"/>
    <mergeCell ref="B11:B46"/>
    <mergeCell ref="C19:D19"/>
    <mergeCell ref="G74:J74"/>
    <mergeCell ref="E75:F75"/>
    <mergeCell ref="G68:J68"/>
    <mergeCell ref="E146:F146"/>
    <mergeCell ref="C111:D111"/>
    <mergeCell ref="G139:J139"/>
    <mergeCell ref="B63:B66"/>
    <mergeCell ref="K168:L168"/>
    <mergeCell ref="G114:J114"/>
    <mergeCell ref="C83:D83"/>
    <mergeCell ref="E12:F12"/>
    <mergeCell ref="C175:D175"/>
    <mergeCell ref="E175:F175"/>
    <mergeCell ref="G168:J168"/>
    <mergeCell ref="C185:D185"/>
    <mergeCell ref="C14:D14"/>
    <mergeCell ref="G143:J143"/>
    <mergeCell ref="E14:F14"/>
    <mergeCell ref="E185:F185"/>
    <mergeCell ref="E170:F170"/>
    <mergeCell ref="K134:L134"/>
    <mergeCell ref="C137:D137"/>
    <mergeCell ref="G21:J21"/>
    <mergeCell ref="C124:D124"/>
    <mergeCell ref="G67:J67"/>
    <mergeCell ref="K96:L96"/>
    <mergeCell ref="G61:J61"/>
    <mergeCell ref="C90:D90"/>
    <mergeCell ref="G48:J48"/>
    <mergeCell ref="G23:J23"/>
    <mergeCell ref="E90:F90"/>
    <mergeCell ref="C139:D139"/>
    <mergeCell ref="G125:J125"/>
    <mergeCell ref="K98:L98"/>
    <mergeCell ref="C132:D132"/>
    <mergeCell ref="G112:J112"/>
    <mergeCell ref="E154:F154"/>
    <mergeCell ref="G62:J62"/>
    <mergeCell ref="E172:F172"/>
    <mergeCell ref="G127:J127"/>
    <mergeCell ref="E25:F25"/>
    <mergeCell ref="K67:L91"/>
    <mergeCell ref="E58:F58"/>
    <mergeCell ref="C108:D108"/>
    <mergeCell ref="K9:L9"/>
    <mergeCell ref="G16:J16"/>
    <mergeCell ref="E83:F83"/>
    <mergeCell ref="G76:J76"/>
    <mergeCell ref="G138:J138"/>
    <mergeCell ref="C20:D20"/>
    <mergeCell ref="K182:L182"/>
    <mergeCell ref="G9:J9"/>
    <mergeCell ref="E20:F20"/>
    <mergeCell ref="C85:D85"/>
    <mergeCell ref="C112:D112"/>
    <mergeCell ref="G140:J140"/>
    <mergeCell ref="K47:L47"/>
    <mergeCell ref="K169:L169"/>
    <mergeCell ref="C183:D183"/>
    <mergeCell ref="E177:F177"/>
    <mergeCell ref="C133:D133"/>
    <mergeCell ref="C84:D84"/>
    <mergeCell ref="E13:F13"/>
    <mergeCell ref="C22:D22"/>
    <mergeCell ref="E84:F84"/>
    <mergeCell ref="G11:J11"/>
    <mergeCell ref="C127:D127"/>
    <mergeCell ref="E78:F78"/>
    <mergeCell ref="E149:F149"/>
    <mergeCell ref="C114:D114"/>
    <mergeCell ref="C176:D176"/>
    <mergeCell ref="G169:J169"/>
    <mergeCell ref="E114:F114"/>
    <mergeCell ref="E176:F176"/>
    <mergeCell ref="E15:F15"/>
    <mergeCell ref="E86:F86"/>
    <mergeCell ref="C51:D51"/>
    <mergeCell ref="E80:F80"/>
    <mergeCell ref="C178:D178"/>
    <mergeCell ref="E178:F178"/>
    <mergeCell ref="E144:F144"/>
    <mergeCell ref="C38:D38"/>
    <mergeCell ref="G87:J87"/>
    <mergeCell ref="E81:F81"/>
    <mergeCell ref="K162:L162"/>
    <mergeCell ref="C140:D140"/>
    <mergeCell ref="G95:J95"/>
    <mergeCell ref="K57:L61"/>
    <mergeCell ref="G89:J89"/>
    <mergeCell ref="G64:J64"/>
    <mergeCell ref="E106:F106"/>
    <mergeCell ref="C33:D33"/>
    <mergeCell ref="K164:L164"/>
    <mergeCell ref="C104:D104"/>
    <mergeCell ref="E33:F33"/>
    <mergeCell ref="G51:J51"/>
    <mergeCell ref="G153:J153"/>
    <mergeCell ref="C35:D35"/>
    <mergeCell ref="G164:J164"/>
    <mergeCell ref="E35:F35"/>
    <mergeCell ref="C10:D10"/>
    <mergeCell ref="E10:F10"/>
    <mergeCell ref="C99:D99"/>
    <mergeCell ref="E28:F28"/>
    <mergeCell ref="E74:F74"/>
    <mergeCell ref="G42:J42"/>
    <mergeCell ref="E30:F30"/>
    <mergeCell ref="G17:J17"/>
    <mergeCell ref="C130:D130"/>
    <mergeCell ref="C135:D135"/>
    <mergeCell ref="K132:L132"/>
    <mergeCell ref="G141:J141"/>
    <mergeCell ref="G19:J19"/>
    <mergeCell ref="C159:D159"/>
    <mergeCell ref="K52:L56"/>
    <mergeCell ref="C122:D122"/>
    <mergeCell ref="G6:J6"/>
    <mergeCell ref="B67:B91"/>
    <mergeCell ref="C153:D153"/>
    <mergeCell ref="C72:D72"/>
    <mergeCell ref="G83:J83"/>
    <mergeCell ref="C186:D186"/>
    <mergeCell ref="K62:L62"/>
    <mergeCell ref="C136:D136"/>
    <mergeCell ref="E21:F21"/>
    <mergeCell ref="G14:J14"/>
    <mergeCell ref="E129:F129"/>
    <mergeCell ref="E23:F23"/>
    <mergeCell ref="E181:F181"/>
    <mergeCell ref="G32:J32"/>
    <mergeCell ref="G159:J159"/>
    <mergeCell ref="E131:F131"/>
    <mergeCell ref="E87:F87"/>
    <mergeCell ref="C54:D54"/>
    <mergeCell ref="G72:J72"/>
    <mergeCell ref="C41:D41"/>
    <mergeCell ref="C146:D146"/>
    <mergeCell ref="G96:J96"/>
    <mergeCell ref="G161:J161"/>
    <mergeCell ref="K48:L51"/>
    <mergeCell ref="K178:L178"/>
    <mergeCell ref="C56:D56"/>
    <mergeCell ref="G136:J136"/>
    <mergeCell ref="C105:D105"/>
    <mergeCell ref="E34:F34"/>
    <mergeCell ref="C43:D43"/>
    <mergeCell ref="E105:F105"/>
    <mergeCell ref="E99:F99"/>
    <mergeCell ref="K186:L186"/>
    <mergeCell ref="C120:D120"/>
    <mergeCell ref="E49:F49"/>
    <mergeCell ref="C36:D36"/>
    <mergeCell ref="E36:F36"/>
    <mergeCell ref="E163:F163"/>
    <mergeCell ref="G156:J156"/>
    <mergeCell ref="E101:F101"/>
    <mergeCell ref="E113:F113"/>
    <mergeCell ref="C149:D149"/>
    <mergeCell ref="E100:F100"/>
    <mergeCell ref="C67:D67"/>
    <mergeCell ref="E136:F136"/>
    <mergeCell ref="E115:F115"/>
    <mergeCell ref="G108:J108"/>
    <mergeCell ref="E102:F102"/>
    <mergeCell ref="C69:D69"/>
    <mergeCell ref="K133:L133"/>
    <mergeCell ref="G20:J20"/>
    <mergeCell ref="G91:J91"/>
    <mergeCell ref="G85:J85"/>
    <mergeCell ref="E127:F127"/>
    <mergeCell ref="G183:J183"/>
    <mergeCell ref="C4:D4"/>
    <mergeCell ref="G84:J84"/>
    <mergeCell ref="K135:L135"/>
    <mergeCell ref="E4:F4"/>
    <mergeCell ref="G22:J22"/>
    <mergeCell ref="G149:J149"/>
    <mergeCell ref="G185:J185"/>
    <mergeCell ref="G86:J86"/>
    <mergeCell ref="G151:J151"/>
    <mergeCell ref="G178:J178"/>
    <mergeCell ref="C60:D60"/>
    <mergeCell ref="G38:J38"/>
    <mergeCell ref="E26:F26"/>
    <mergeCell ref="E124:F124"/>
    <mergeCell ref="C91:D91"/>
    <mergeCell ref="G175:J175"/>
    <mergeCell ref="E120:F120"/>
    <mergeCell ref="C82:D82"/>
    <mergeCell ref="G162:J162"/>
    <mergeCell ref="C57:D57"/>
    <mergeCell ref="B7:B8"/>
    <mergeCell ref="C155:D155"/>
    <mergeCell ref="K101:L125"/>
    <mergeCell ref="E184:F184"/>
    <mergeCell ref="G177:J177"/>
    <mergeCell ref="G148:J148"/>
    <mergeCell ref="G33:J33"/>
    <mergeCell ref="K6:L6"/>
    <mergeCell ref="G104:J104"/>
    <mergeCell ref="E50:F50"/>
    <mergeCell ref="E121:F121"/>
    <mergeCell ref="C86:D86"/>
    <mergeCell ref="C157:D157"/>
    <mergeCell ref="C151:D151"/>
    <mergeCell ref="G35:J35"/>
    <mergeCell ref="E151:F151"/>
    <mergeCell ref="C58:D58"/>
    <mergeCell ref="E52:F52"/>
    <mergeCell ref="E123:F123"/>
    <mergeCell ref="E150:F150"/>
    <mergeCell ref="E39:F39"/>
    <mergeCell ref="G99:J99"/>
    <mergeCell ref="E44:F44"/>
    <mergeCell ref="C152:D152"/>
    <mergeCell ref="E103:F103"/>
    <mergeCell ref="E152:F152"/>
    <mergeCell ref="C75:D75"/>
    <mergeCell ref="G59:J59"/>
    <mergeCell ref="G130:J130"/>
    <mergeCell ref="G117:J117"/>
    <mergeCell ref="E118:F118"/>
    <mergeCell ref="B1:N2"/>
    <mergeCell ref="C12:D12"/>
    <mergeCell ref="G132:J132"/>
    <mergeCell ref="G122:J122"/>
    <mergeCell ref="K136:L136"/>
    <mergeCell ref="G101:J101"/>
    <mergeCell ref="C70:D70"/>
    <mergeCell ref="E70:F70"/>
    <mergeCell ref="C106:D106"/>
    <mergeCell ref="G186:J186"/>
    <mergeCell ref="E57:F57"/>
    <mergeCell ref="C32:D32"/>
    <mergeCell ref="C7:D7"/>
    <mergeCell ref="B52:B56"/>
    <mergeCell ref="E32:F32"/>
    <mergeCell ref="E7:F7"/>
    <mergeCell ref="B126:B127"/>
    <mergeCell ref="E134:F134"/>
    <mergeCell ref="G152:J152"/>
    <mergeCell ref="C170:D170"/>
    <mergeCell ref="E96:F96"/>
    <mergeCell ref="O51:R51"/>
    <mergeCell ref="C101:D101"/>
    <mergeCell ref="E98:F98"/>
    <mergeCell ref="G54:J54"/>
    <mergeCell ref="E165:F165"/>
    <mergeCell ref="G41:J41"/>
    <mergeCell ref="E140:F140"/>
    <mergeCell ref="G106:J106"/>
    <mergeCell ref="G56:J56"/>
    <mergeCell ref="C25:D25"/>
    <mergeCell ref="G105:J105"/>
    <mergeCell ref="G43:J43"/>
    <mergeCell ref="E60:F60"/>
    <mergeCell ref="G120:J120"/>
    <mergeCell ref="B48:B51"/>
    <mergeCell ref="G36:J36"/>
    <mergeCell ref="G107:J107"/>
    <mergeCell ref="E45:F45"/>
    <mergeCell ref="G69:J69"/>
    <mergeCell ref="C13:D13"/>
    <mergeCell ref="K175:L175"/>
    <mergeCell ref="C78:D78"/>
    <mergeCell ref="G133:J13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2F3A4A"/>
    <outlinePr summaryBelow="1" summaryRight="1"/>
    <pageSetUpPr/>
  </sheetPr>
  <dimension ref="A1:U199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25" customHeight="1"/>
  <cols>
    <col width="16" customWidth="1" style="522" min="1" max="1"/>
    <col width="24" customWidth="1" style="468" min="2" max="2"/>
    <col width="12" customWidth="1" style="468" min="3" max="3"/>
    <col width="14" customWidth="1" style="468" min="4" max="6"/>
    <col width="8" customWidth="1" style="468" min="5" max="5"/>
    <col width="13" customWidth="1" style="468" min="6" max="6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  <col hidden="1" width="14" customWidth="1" style="468" min="14" max="14"/>
    <col hidden="1" width="13" customWidth="1" style="552" min="15" max="15"/>
    <col width="45" customWidth="1" style="468" min="16" max="16"/>
    <col width="13" customWidth="1" style="468" min="17" max="21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4.25" customHeight="1" s="468">
      <c r="A2" s="630" t="inlineStr">
        <is>
          <t>Preencha produto, embalagem e caixas. As demais colunas ajudam a leitura diária.</t>
        </is>
      </c>
      <c r="G2" t="inlineStr">
        <is>
          <t>Legenda: verde = acima da meta • vermelho = abaixo da meta</t>
        </is>
      </c>
      <c r="P2" s="29" t="inlineStr">
        <is>
          <t>Pallet PBR: 600ml=95 | 400ml=125 | 200ml=330 | 180ml=240 cx</t>
        </is>
      </c>
    </row>
    <row r="3" ht="19.5" customHeight="1" s="468">
      <c r="A3" s="631" t="n">
        <v>46027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  <c r="N3" s="36" t="n"/>
      <c r="P3" t="inlineStr">
        <is>
          <t>A bengala de energia da ENEL caiu, paramos eram 15:30.</t>
        </is>
      </c>
    </row>
    <row r="4" ht="14.25" customHeight="1" s="468">
      <c r="A4" s="634" t="n"/>
      <c r="B4" s="38" t="n"/>
      <c r="C4" s="39" t="n"/>
      <c r="D4" s="40" t="n"/>
      <c r="E4" s="41" t="n"/>
      <c r="F4" s="552" t="n"/>
      <c r="G4" s="40" t="n"/>
      <c r="H4" s="43" t="n"/>
      <c r="I4" s="44" t="n"/>
      <c r="J4" s="40" t="n"/>
      <c r="K4" s="552" t="n"/>
      <c r="L4" s="43">
        <f>IF(H4="","",H4)</f>
        <v/>
      </c>
      <c r="M4" s="552" t="n"/>
      <c r="N4" s="44">
        <f>IF(I4="","",I4)</f>
        <v/>
      </c>
    </row>
    <row r="5" ht="14.25" customHeight="1" s="468">
      <c r="A5" s="635" t="n"/>
      <c r="B5" s="47" t="inlineStr">
        <is>
          <t>ADIMIX (PRECISION)</t>
        </is>
      </c>
      <c r="C5" s="48" t="n">
        <v>600</v>
      </c>
      <c r="D5" s="49" t="n">
        <v>665</v>
      </c>
      <c r="E5" s="50" t="inlineStr">
        <is>
          <t>CX</t>
        </is>
      </c>
      <c r="F5" s="552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49">
        <f>IFERROR(ROUNDUP(D5/F5,0),"")</f>
        <v/>
      </c>
      <c r="H5" s="52" t="n">
        <v>667</v>
      </c>
      <c r="I5" s="53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636">
        <f>IF(D5="","",ROUNDUP(D5/IF(AND(C5="600 ml",ISNUMBER(SEARCH("NORCAU",B5))),95,IF(AND(C5="600 ml",ISNUMBER(SEARCH("APURATOS",B5))),190,IF(C5="600 ml",95,IF(C5="400 ml",125,IF(C5="200 ml",330,IF(C5="180 ml",240,1)))))),0))</f>
        <v/>
      </c>
      <c r="K5" s="552" t="n"/>
      <c r="L5" s="55">
        <f>IF(H5="","",H5)</f>
        <v/>
      </c>
      <c r="M5" s="637" t="n"/>
      <c r="N5" s="57">
        <f>IF(I5="","",I5)</f>
        <v/>
      </c>
    </row>
    <row r="6" ht="14.25" customHeight="1" s="468">
      <c r="A6" s="638" t="n"/>
      <c r="B6" s="38" t="inlineStr">
        <is>
          <t>ADIMIX (FADEVA)</t>
        </is>
      </c>
      <c r="C6" s="39" t="n">
        <v>600</v>
      </c>
      <c r="D6" s="40" t="n">
        <v>665</v>
      </c>
      <c r="E6" s="41" t="inlineStr">
        <is>
          <t>CX</t>
        </is>
      </c>
      <c r="F6" s="552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40">
        <f>IFERROR(ROUNDUP(D6/F6,0),"")</f>
        <v/>
      </c>
      <c r="H6" s="43" t="n">
        <v>29</v>
      </c>
      <c r="I6" s="44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40">
        <f>IF(D6="","",ROUNDUP(D6/IF(AND(C6="600 ml",ISNUMBER(SEARCH("NORCAU",B6))),95,IF(AND(C6="600 ml",ISNUMBER(SEARCH("APURATOS",B6))),190,IF(C6="600 ml",95,IF(C6="400 ml",125,IF(C6="200 ml",330,IF(C6="180 ml",240,1)))))),0))</f>
        <v/>
      </c>
      <c r="K6" s="552" t="n"/>
      <c r="L6" s="43">
        <f>IF(H6="","",H6)</f>
        <v/>
      </c>
      <c r="M6" s="637" t="n"/>
      <c r="N6" s="44">
        <f>IF(I6="","",I6)</f>
        <v/>
      </c>
    </row>
    <row r="7" ht="14.25" customHeight="1" s="468">
      <c r="A7" s="634" t="n"/>
      <c r="B7" s="47" t="n"/>
      <c r="C7" s="48" t="n"/>
      <c r="D7" s="49" t="n"/>
      <c r="E7" s="50" t="inlineStr">
        <is>
          <t>CX</t>
        </is>
      </c>
      <c r="F7" s="552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49">
        <f>IFERROR(ROUNDUP(D7/F7,0),"")</f>
        <v/>
      </c>
      <c r="H7" s="52" t="n"/>
      <c r="I7" s="53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636">
        <f>IF(D7="","",ROUNDUP(D7/IF(AND(C7="600 ml",ISNUMBER(SEARCH("NORCAU",B7))),95,IF(AND(C7="600 ml",ISNUMBER(SEARCH("APURATOS",B7))),190,IF(C7="600 ml",95,IF(C7="400 ml",125,IF(C7="200 ml",330,IF(C7="180 ml",240,1)))))),0))</f>
        <v/>
      </c>
      <c r="K7" s="552" t="n"/>
      <c r="L7" s="55">
        <f>IF(H7="","",H7)</f>
        <v/>
      </c>
      <c r="M7" s="552" t="n"/>
      <c r="N7" s="57">
        <f>IF(I7="","",I7)</f>
        <v/>
      </c>
    </row>
    <row r="8" ht="14.25" customHeight="1" s="468">
      <c r="A8" s="634" t="n"/>
      <c r="B8" s="38" t="n"/>
      <c r="C8" s="39" t="n"/>
      <c r="D8" s="40" t="n"/>
      <c r="E8" s="41" t="n"/>
      <c r="F8" s="552" t="n"/>
      <c r="G8" s="40" t="n"/>
      <c r="H8" s="43" t="n"/>
      <c r="I8" s="44" t="n"/>
      <c r="J8" s="40">
        <f>IF(D8="","",ROUNDUP(D8/IF(AND(C8="600 ml",ISNUMBER(SEARCH("NORCAU",B8))),95,IF(AND(C8="600 ml",ISNUMBER(SEARCH("APURATOS",B8))),190,IF(C8="600 ml",95,IF(C8="400 ml",125,IF(C8="200 ml",330,IF(C8="180 ml",240,1)))))),0))</f>
        <v/>
      </c>
      <c r="K8" s="552" t="n"/>
      <c r="L8" s="43">
        <f>IF(H8="","",H8)</f>
        <v/>
      </c>
      <c r="M8" s="552" t="n"/>
      <c r="N8" s="44">
        <f>IF(I8="","",I8)</f>
        <v/>
      </c>
    </row>
    <row r="9" ht="14.25" customHeight="1" s="468">
      <c r="A9" s="639" t="n"/>
      <c r="B9" s="640" t="inlineStr">
        <is>
          <t>TOTAL</t>
        </is>
      </c>
      <c r="C9" s="641" t="n"/>
      <c r="D9" s="642">
        <f>IF(J9="","",TEXT(J9,"#,##0"))</f>
        <v/>
      </c>
      <c r="E9" s="643" t="n"/>
      <c r="F9" s="644" t="n"/>
      <c r="G9" s="642">
        <f>IF(K9="","",TEXT(K9,"#,##0"))</f>
        <v/>
      </c>
      <c r="H9" s="642">
        <f>IF(L9="","",TEXT(L9,"#,##0"))</f>
        <v/>
      </c>
      <c r="I9" s="642">
        <f>IF(M9="","",TEXT(M9,"#,##0"))</f>
        <v/>
      </c>
      <c r="J9" s="645">
        <f>SUM(D4:D8)</f>
        <v/>
      </c>
      <c r="K9" s="644">
        <f>SUM(G4:G8)</f>
        <v/>
      </c>
      <c r="L9" s="645">
        <f>SUM(H4:H8)</f>
        <v/>
      </c>
      <c r="M9" s="644">
        <f>SUM(I4:I8)</f>
        <v/>
      </c>
      <c r="N9" s="69">
        <f>IF(I9="","",I9)</f>
        <v/>
      </c>
      <c r="O9" s="552">
        <f>SUM(N5:N8)</f>
        <v/>
      </c>
    </row>
    <row r="10" ht="14.25" customHeight="1" s="468">
      <c r="A10" s="638" t="n"/>
      <c r="B10" s="70" t="n"/>
      <c r="C10" s="71" t="n"/>
      <c r="D10" s="552" t="n"/>
      <c r="F10" s="552" t="n"/>
      <c r="G10" s="552" t="n"/>
      <c r="H10" s="552" t="n"/>
      <c r="I10" s="552" t="n"/>
      <c r="J10" s="552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K10" s="552" t="n"/>
      <c r="L10" s="552">
        <f>IF(H10="","",H10)</f>
        <v/>
      </c>
      <c r="M10" s="552" t="n"/>
      <c r="N10">
        <f>IF(I10="","",I10)</f>
        <v/>
      </c>
    </row>
    <row r="11" ht="19.5" customHeight="1" s="468">
      <c r="A11" s="646" t="n">
        <v>46028</v>
      </c>
      <c r="B11" s="30" t="inlineStr">
        <is>
          <t>PRODUTO</t>
        </is>
      </c>
      <c r="C11" s="31" t="inlineStr">
        <is>
          <t>EMBALAGEM</t>
        </is>
      </c>
      <c r="D11" s="647" t="inlineStr">
        <is>
          <t>CAIXAS</t>
        </is>
      </c>
      <c r="E11" s="32" t="inlineStr">
        <is>
          <t>UN</t>
        </is>
      </c>
      <c r="F11" s="648" t="inlineStr">
        <is>
          <t>CX/PALLET</t>
        </is>
      </c>
      <c r="G11" s="647" t="inlineStr">
        <is>
          <t>PALLETS (PBR)</t>
        </is>
      </c>
      <c r="H11" s="647" t="inlineStr">
        <is>
          <t>REAL (CX)</t>
        </is>
      </c>
      <c r="I11" s="649" t="inlineStr">
        <is>
          <t>TOTAL LATAS</t>
        </is>
      </c>
      <c r="J11" s="650" t="n"/>
      <c r="K11" s="650" t="n"/>
      <c r="L11" s="651" t="n"/>
      <c r="M11" s="650" t="n"/>
      <c r="N11" s="36" t="n"/>
    </row>
    <row r="12" ht="15" customHeight="1" s="468">
      <c r="A12" s="634" t="n"/>
      <c r="B12" s="38" t="n"/>
      <c r="C12" s="39" t="n"/>
      <c r="D12" s="40" t="n"/>
      <c r="E12" s="41" t="n"/>
      <c r="F12" s="552" t="n"/>
      <c r="G12" s="40" t="n"/>
      <c r="H12" s="43" t="n"/>
      <c r="I12" s="44" t="n"/>
      <c r="J12" s="40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K12" s="552" t="n"/>
      <c r="L12" s="43">
        <f>IF(H12="","",H12)</f>
        <v/>
      </c>
      <c r="M12" s="552" t="n"/>
      <c r="N12" s="44">
        <f>IF(I12="","",I12)</f>
        <v/>
      </c>
      <c r="P12" s="516" t="inlineStr">
        <is>
          <t>A luz voltou as 15:15.</t>
        </is>
      </c>
      <c r="Q12" s="462" t="n"/>
      <c r="R12" s="462" t="n"/>
      <c r="S12" s="463" t="n"/>
    </row>
    <row r="13" ht="14.25" customHeight="1" s="468">
      <c r="A13" s="635" t="n"/>
      <c r="B13" s="47" t="inlineStr">
        <is>
          <t>ADIMIX (FADEVA)</t>
        </is>
      </c>
      <c r="C13" s="48" t="n">
        <v>600</v>
      </c>
      <c r="D13" s="49">
        <f>D6-L6</f>
        <v/>
      </c>
      <c r="E13" s="50" t="inlineStr">
        <is>
          <t>CX</t>
        </is>
      </c>
      <c r="F13" s="552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49">
        <f>IFERROR(ROUNDUP(D13/F13,0),"")</f>
        <v/>
      </c>
      <c r="H13" s="52" t="n">
        <v>156</v>
      </c>
      <c r="I13" s="53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636">
        <f>IF(D13="","",ROUNDUP(D13/IF(AND(C13="600 ml",ISNUMBER(SEARCH("NORCAU",B13))),95,IF(AND(C13="600 ml",ISNUMBER(SEARCH("APURATOS",B13))),190,IF(C13="600 ml",95,IF(C13="400 ml",125,IF(C13="200 ml",330,IF(C13="180 ml",240,1)))))),0))</f>
        <v/>
      </c>
      <c r="K13" s="552" t="n"/>
      <c r="L13" s="55">
        <f>IF(H13="","",H13)</f>
        <v/>
      </c>
      <c r="M13" s="637" t="n"/>
      <c r="N13" s="57">
        <f>IF(I13="","",I13)</f>
        <v/>
      </c>
      <c r="P13" s="464" t="n"/>
      <c r="Q13" s="465" t="n"/>
      <c r="R13" s="465" t="n"/>
      <c r="S13" s="466" t="n"/>
    </row>
    <row r="14" ht="14.25" customHeight="1" s="468">
      <c r="A14" s="638" t="n"/>
      <c r="B14" s="38" t="n"/>
      <c r="C14" s="39" t="n"/>
      <c r="D14" s="40" t="n"/>
      <c r="E14" s="41" t="inlineStr">
        <is>
          <t>CX</t>
        </is>
      </c>
      <c r="F14" s="552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40">
        <f>IFERROR(ROUNDUP(D14/F14,0),"")</f>
        <v/>
      </c>
      <c r="H14" s="43" t="n"/>
      <c r="I14" s="44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40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K14" s="552" t="n"/>
      <c r="L14" s="43">
        <f>IF(H14="","",H14)</f>
        <v/>
      </c>
      <c r="M14" s="637" t="n"/>
      <c r="N14" s="44">
        <f>IF(I14="","",I14)</f>
        <v/>
      </c>
      <c r="P14" s="464" t="n"/>
      <c r="Q14" s="465" t="n"/>
      <c r="R14" s="465" t="n"/>
      <c r="S14" s="466" t="n"/>
    </row>
    <row r="15" ht="14.25" customHeight="1" s="468">
      <c r="A15" s="634" t="n"/>
      <c r="B15" s="47" t="n"/>
      <c r="C15" s="48" t="n"/>
      <c r="D15" s="49" t="n"/>
      <c r="E15" s="50" t="n"/>
      <c r="F15" s="552" t="n"/>
      <c r="G15" s="49" t="n"/>
      <c r="H15" s="52" t="n"/>
      <c r="I15" s="53" t="n"/>
      <c r="J15" s="636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K15" s="552" t="n"/>
      <c r="L15" s="55">
        <f>IF(H15="","",H15)</f>
        <v/>
      </c>
      <c r="M15" s="552" t="n"/>
      <c r="N15" s="57">
        <f>IF(I15="","",I15)</f>
        <v/>
      </c>
    </row>
    <row r="16" ht="14.25" customHeight="1" s="468">
      <c r="A16" s="639" t="n"/>
      <c r="B16" s="652" t="inlineStr">
        <is>
          <t>TOTAL</t>
        </is>
      </c>
      <c r="C16" s="641" t="n"/>
      <c r="D16" s="642">
        <f>IF(J16="","",TEXT(J16,"#,##0"))</f>
        <v/>
      </c>
      <c r="E16" s="643" t="n"/>
      <c r="F16" s="644" t="n"/>
      <c r="G16" s="642">
        <f>IF(K16="","",TEXT(K16,"#,##0"))</f>
        <v/>
      </c>
      <c r="H16" s="642">
        <f>IF(L16="","",TEXT(L16,"#,##0"))</f>
        <v/>
      </c>
      <c r="I16" s="642">
        <f>IF(M16="","",TEXT(M16,"#,##0"))</f>
        <v/>
      </c>
      <c r="J16" s="645">
        <f>SUM(D12:D15)</f>
        <v/>
      </c>
      <c r="K16" s="644">
        <f>SUM(G12:G15)</f>
        <v/>
      </c>
      <c r="L16" s="645">
        <f>SUM(H12:H15)</f>
        <v/>
      </c>
      <c r="M16" s="644">
        <f>SUM(I12:I15)</f>
        <v/>
      </c>
      <c r="N16" s="44">
        <f>IF(I16="","",I16)</f>
        <v/>
      </c>
      <c r="O16" s="552">
        <f>SUM(N13:N15)</f>
        <v/>
      </c>
    </row>
    <row r="17" ht="14.25" customHeight="1" s="468">
      <c r="A17" s="634" t="n"/>
      <c r="B17" s="59" t="n"/>
      <c r="C17" s="60" t="n"/>
      <c r="D17" s="79" t="n"/>
      <c r="E17" s="62" t="n"/>
      <c r="F17" s="653" t="n"/>
      <c r="G17" s="79" t="n"/>
      <c r="H17" s="79" t="n"/>
      <c r="I17" s="81" t="n"/>
      <c r="J17" s="654">
        <f>IF(D17="","",ROUNDUP(D17/IF(AND(C17="600 ml",ISNUMBER(SEARCH("NORCAU",B17))),95,IF(AND(C17="600 ml",ISNUMBER(SEARCH("APURATOS",B17))),190,IF(C17="600 ml",95,IF(C17="400 ml",125,IF(C17="200 ml",330,IF(C17="180 ml",240,1)))))),0))</f>
        <v/>
      </c>
      <c r="K17" s="655" t="n"/>
      <c r="L17" s="68">
        <f>IF(H17="","",H17)</f>
        <v/>
      </c>
      <c r="M17" s="655" t="n"/>
      <c r="N17" s="69">
        <f>IF(I17="","",I17)</f>
        <v/>
      </c>
    </row>
    <row r="18" ht="14.25" customHeight="1" s="468">
      <c r="A18" s="646" t="n">
        <v>46029</v>
      </c>
      <c r="B18" s="82" t="inlineStr">
        <is>
          <t>PRODUTO</t>
        </is>
      </c>
      <c r="C18" s="83" t="inlineStr">
        <is>
          <t>EMBALAGEM</t>
        </is>
      </c>
      <c r="D18" s="650" t="inlineStr">
        <is>
          <t>CAIXAS</t>
        </is>
      </c>
      <c r="E18" s="462" t="inlineStr">
        <is>
          <t>UN</t>
        </is>
      </c>
      <c r="F18" s="650" t="inlineStr">
        <is>
          <t>CX/PALLET</t>
        </is>
      </c>
      <c r="G18" s="650" t="inlineStr">
        <is>
          <t>PALLETS (PBR)</t>
        </is>
      </c>
      <c r="H18" s="650" t="inlineStr">
        <is>
          <t>REAL (CX)</t>
        </is>
      </c>
      <c r="I18" s="656" t="inlineStr">
        <is>
          <t>TOTAL LATAS</t>
        </is>
      </c>
      <c r="J18" s="552" t="n"/>
      <c r="K18" s="552" t="n"/>
      <c r="L18" s="552" t="n"/>
      <c r="M18" s="552" t="n"/>
      <c r="N18" t="n"/>
    </row>
    <row r="19" ht="19.5" customHeight="1" s="468">
      <c r="A19" s="634" t="n"/>
      <c r="B19" s="30" t="n"/>
      <c r="C19" s="31" t="n"/>
      <c r="D19" s="647" t="n"/>
      <c r="E19" s="32" t="n"/>
      <c r="F19" s="648" t="n"/>
      <c r="G19" s="647" t="n"/>
      <c r="H19" s="647" t="n"/>
      <c r="I19" s="649" t="n"/>
      <c r="J19" s="650">
        <f>IF(D19="","",ROUNDUP(D19/IF(AND(C19="600 ml",ISNUMBER(SEARCH("NORCAU",B19))),95,IF(AND(C19="600 ml",ISNUMBER(SEARCH("APURATOS",B19))),190,IF(C19="600 ml",95,IF(C19="400 ml",125,IF(C19="200 ml",330,IF(C19="180 ml",240,1)))))),0))</f>
        <v/>
      </c>
      <c r="K19" s="650" t="n"/>
      <c r="L19" s="651">
        <f>IF(H19="","",H19)</f>
        <v/>
      </c>
      <c r="M19" s="650" t="n"/>
      <c r="N19" s="36">
        <f>IF(I19="","",I19)</f>
        <v/>
      </c>
    </row>
    <row r="20" ht="15" customHeight="1" s="468">
      <c r="A20" s="634" t="n"/>
      <c r="B20" s="38" t="inlineStr">
        <is>
          <t>ADIMIX</t>
        </is>
      </c>
      <c r="C20" s="39" t="n">
        <v>600</v>
      </c>
      <c r="D20" s="40">
        <f>D13-L13</f>
        <v/>
      </c>
      <c r="E20" s="41" t="inlineStr">
        <is>
          <t>CX</t>
        </is>
      </c>
      <c r="F20" s="552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40">
        <f>IFERROR(ROUNDUP(D20/F20,0),"")</f>
        <v/>
      </c>
      <c r="H20" s="43" t="n">
        <v>494</v>
      </c>
      <c r="I20" s="44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40">
        <f>IF(D20="","",ROUNDUP(D20/IF(AND(C20="600 ml",ISNUMBER(SEARCH("NORCAU",B20))),95,IF(AND(C20="600 ml",ISNUMBER(SEARCH("APURATOS",B20))),190,IF(C20="600 ml",95,IF(C20="400 ml",125,IF(C20="200 ml",330,IF(C20="180 ml",240,1)))))),0))</f>
        <v/>
      </c>
      <c r="K20" s="552" t="n"/>
      <c r="L20" s="43">
        <f>IF(H20="","",H20)</f>
        <v/>
      </c>
      <c r="M20" s="552" t="n"/>
      <c r="N20" s="44">
        <f>IF(I20="","",I20)</f>
        <v/>
      </c>
      <c r="P20" s="516" t="n"/>
      <c r="Q20" s="462" t="n"/>
      <c r="R20" s="462" t="n"/>
      <c r="S20" s="463" t="n"/>
    </row>
    <row r="21" ht="14.25" customHeight="1" s="468">
      <c r="A21" s="635" t="n"/>
      <c r="B21" s="47" t="inlineStr">
        <is>
          <t>UNTA FACIL</t>
        </is>
      </c>
      <c r="C21" s="48" t="n">
        <v>600</v>
      </c>
      <c r="D21" s="49" t="n">
        <v>1348</v>
      </c>
      <c r="E21" s="50" t="inlineStr">
        <is>
          <t>CX</t>
        </is>
      </c>
      <c r="F21" s="552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49">
        <f>IFERROR(ROUNDUP(D21/F21,0),"")</f>
        <v/>
      </c>
      <c r="H21" s="52" t="n">
        <v>509</v>
      </c>
      <c r="I21" s="53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636">
        <f>IF(D21="","",ROUNDUP(D21/IF(AND(C21="600 ml",ISNUMBER(SEARCH("NORCAU",B21))),95,IF(AND(C21="600 ml",ISNUMBER(SEARCH("APURATOS",B21))),190,IF(C21="600 ml",95,IF(C21="400 ml",125,IF(C21="200 ml",330,IF(C21="180 ml",240,1)))))),0))</f>
        <v/>
      </c>
      <c r="K21" s="552" t="n"/>
      <c r="L21" s="55">
        <f>IF(H21="","",H21)</f>
        <v/>
      </c>
      <c r="M21" s="637" t="n"/>
      <c r="N21" s="57">
        <f>IF(I21="","",I21)</f>
        <v/>
      </c>
      <c r="P21" s="523" t="n"/>
      <c r="S21" s="514" t="n"/>
    </row>
    <row r="22" ht="14.25" customHeight="1" s="468">
      <c r="A22" s="638" t="n"/>
      <c r="B22" s="38" t="n"/>
      <c r="C22" s="39" t="n"/>
      <c r="D22" s="40" t="n"/>
      <c r="E22" s="41" t="inlineStr">
        <is>
          <t>CX</t>
        </is>
      </c>
      <c r="F22" s="552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40">
        <f>IFERROR(ROUNDUP(D22/F22,0),"")</f>
        <v/>
      </c>
      <c r="H22" s="43" t="n"/>
      <c r="I22" s="44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40">
        <f>IF(D22="","",ROUNDUP(D22/IF(AND(C22="600 ml",ISNUMBER(SEARCH("NORCAU",B22))),95,IF(AND(C22="600 ml",ISNUMBER(SEARCH("APURATOS",B22))),190,IF(C22="600 ml",95,IF(C22="400 ml",125,IF(C22="200 ml",330,IF(C22="180 ml",240,1)))))),0))</f>
        <v/>
      </c>
      <c r="K22" s="552" t="n"/>
      <c r="L22" s="43">
        <f>IF(H22="","",H22)</f>
        <v/>
      </c>
      <c r="M22" s="637" t="n"/>
      <c r="N22" s="44">
        <f>IF(I22="","",I22)</f>
        <v/>
      </c>
      <c r="P22" s="464" t="n"/>
      <c r="Q22" s="465" t="n"/>
      <c r="R22" s="465" t="n"/>
      <c r="S22" s="466" t="n"/>
    </row>
    <row r="23" ht="14.25" customHeight="1" s="468">
      <c r="A23" s="634" t="n"/>
      <c r="B23" s="47" t="n"/>
      <c r="C23" s="48" t="n"/>
      <c r="D23" s="49" t="n"/>
      <c r="E23" s="50" t="n"/>
      <c r="F23" s="552" t="n"/>
      <c r="G23" s="49" t="n"/>
      <c r="H23" s="52" t="n"/>
      <c r="I23" s="53" t="n"/>
      <c r="J23" s="636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K23" s="552" t="n"/>
      <c r="L23" s="55">
        <f>IF(H23="","",H23)</f>
        <v/>
      </c>
      <c r="M23" s="552" t="n"/>
      <c r="N23" s="57">
        <f>IF(I23="","",I23)</f>
        <v/>
      </c>
    </row>
    <row r="24" ht="14.25" customHeight="1" s="468">
      <c r="A24" s="639" t="n"/>
      <c r="B24" s="652" t="inlineStr">
        <is>
          <t>TOTAL</t>
        </is>
      </c>
      <c r="C24" s="641" t="n"/>
      <c r="D24" s="642">
        <f>IF(J24="","",TEXT(J24,"#,##0"))</f>
        <v/>
      </c>
      <c r="E24" s="643" t="n"/>
      <c r="F24" s="644" t="n"/>
      <c r="G24" s="642">
        <f>IF(K24="","",TEXT(K24,"#,##0"))</f>
        <v/>
      </c>
      <c r="H24" s="642">
        <f>IF(L24="","",TEXT(L24,"#,##0"))</f>
        <v/>
      </c>
      <c r="I24" s="642">
        <f>IF(M24="","",TEXT(M24,"#,##0"))</f>
        <v/>
      </c>
      <c r="J24" s="645">
        <f>SUM(D19:D23)</f>
        <v/>
      </c>
      <c r="K24" s="644">
        <f>SUM(G19:G23)</f>
        <v/>
      </c>
      <c r="L24" s="645">
        <f>SUM(H19:H23)</f>
        <v/>
      </c>
      <c r="M24" s="644">
        <f>SUM(I19:I23)</f>
        <v/>
      </c>
      <c r="N24" s="44">
        <f>IF(I24="","",I24)</f>
        <v/>
      </c>
      <c r="O24" s="552">
        <f>SUM(N20:N23)</f>
        <v/>
      </c>
    </row>
    <row r="25" ht="14.25" customHeight="1" s="468">
      <c r="A25" s="634" t="n"/>
      <c r="B25" s="59" t="n"/>
      <c r="C25" s="60" t="n"/>
      <c r="D25" s="79" t="n"/>
      <c r="E25" s="62" t="n"/>
      <c r="F25" s="653" t="n"/>
      <c r="G25" s="79" t="n"/>
      <c r="H25" s="79" t="n"/>
      <c r="I25" s="81" t="n"/>
      <c r="J25" s="654">
        <f>IF(D25="","",ROUNDUP(D25/IF(AND(C25="600 ml",ISNUMBER(SEARCH("NORCAU",B25))),95,IF(AND(C25="600 ml",ISNUMBER(SEARCH("APURATOS",B25))),190,IF(C25="600 ml",95,IF(C25="400 ml",125,IF(C25="200 ml",330,IF(C25="180 ml",240,1)))))),0))</f>
        <v/>
      </c>
      <c r="K25" s="655" t="n"/>
      <c r="L25" s="68">
        <f>IF(H25="","",H25)</f>
        <v/>
      </c>
      <c r="M25" s="655" t="n"/>
      <c r="N25" s="69">
        <f>IF(I25="","",I25)</f>
        <v/>
      </c>
    </row>
    <row r="26" ht="14.25" customHeight="1" s="468">
      <c r="A26" s="646" t="n">
        <v>46030</v>
      </c>
      <c r="B26" s="70" t="inlineStr">
        <is>
          <t>PRODUTO</t>
        </is>
      </c>
      <c r="C26" s="71" t="inlineStr">
        <is>
          <t>EMBALAGEM</t>
        </is>
      </c>
      <c r="D26" s="552" t="inlineStr">
        <is>
          <t>CAIXAS</t>
        </is>
      </c>
      <c r="E26" t="inlineStr">
        <is>
          <t>UN</t>
        </is>
      </c>
      <c r="F26" s="552" t="inlineStr">
        <is>
          <t>CX/PALLET</t>
        </is>
      </c>
      <c r="G26" s="552" t="inlineStr">
        <is>
          <t>PALLETS (PBR)</t>
        </is>
      </c>
      <c r="H26" s="552" t="inlineStr">
        <is>
          <t>REAL (CX)</t>
        </is>
      </c>
      <c r="I26" s="552" t="inlineStr">
        <is>
          <t>TOTAL LATAS</t>
        </is>
      </c>
      <c r="J26" s="552" t="n"/>
      <c r="K26" s="552" t="n"/>
      <c r="L26" s="552" t="n"/>
      <c r="M26" s="552" t="n"/>
      <c r="N26" t="n"/>
      <c r="P26" s="514" t="inlineStr">
        <is>
          <t>Acabou o gás eram 08:40, voltamos 10:30.</t>
        </is>
      </c>
      <c r="S26" s="514" t="n"/>
    </row>
    <row r="27" ht="19.5" customHeight="1" s="468">
      <c r="A27" s="634" t="n"/>
      <c r="B27" s="30" t="n"/>
      <c r="C27" s="31" t="n"/>
      <c r="D27" s="647" t="n"/>
      <c r="E27" s="32" t="n"/>
      <c r="F27" s="648" t="n"/>
      <c r="G27" s="647" t="n"/>
      <c r="H27" s="647" t="n"/>
      <c r="I27" s="649" t="n"/>
      <c r="J27" s="650">
        <f>IF(D27="","",ROUNDUP(D27/IF(AND(C27="600 ml",ISNUMBER(SEARCH("NORCAU",B27))),95,IF(AND(C27="600 ml",ISNUMBER(SEARCH("APURATOS",B27))),190,IF(C27="600 ml",95,IF(C27="400 ml",125,IF(C27="200 ml",330,IF(C27="180 ml",240,1)))))),0))</f>
        <v/>
      </c>
      <c r="K27" s="650" t="n"/>
      <c r="L27" s="651">
        <f>IF(H27="","",H27)</f>
        <v/>
      </c>
      <c r="M27" s="650" t="n"/>
      <c r="N27" s="36">
        <f>IF(I27="","",I27)</f>
        <v/>
      </c>
      <c r="S27" s="514" t="n"/>
    </row>
    <row r="28" ht="15" customHeight="1" s="468">
      <c r="A28" s="634" t="n"/>
      <c r="B28" s="38" t="inlineStr">
        <is>
          <t>UNTA FACIL</t>
        </is>
      </c>
      <c r="C28" s="39" t="n">
        <v>600</v>
      </c>
      <c r="D28" s="40">
        <f>D21-L21</f>
        <v/>
      </c>
      <c r="E28" s="41" t="inlineStr">
        <is>
          <t>CX</t>
        </is>
      </c>
      <c r="F28" s="552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40">
        <f>IFERROR(ROUNDUP(D28/F28,0),"")</f>
        <v/>
      </c>
      <c r="H28" s="43" t="n">
        <v>821</v>
      </c>
      <c r="I28" s="44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40">
        <f>IF(D28="","",ROUNDUP(D28/IF(AND(C28="600 ml",ISNUMBER(SEARCH("NORCAU",B28))),95,IF(AND(C28="600 ml",ISNUMBER(SEARCH("APURATOS",B28))),190,IF(C28="600 ml",95,IF(C28="400 ml",125,IF(C28="200 ml",330,IF(C28="180 ml",240,1)))))),0))</f>
        <v/>
      </c>
      <c r="K28" s="552" t="n"/>
      <c r="L28" s="43">
        <f>IF(H28="","",H28)</f>
        <v/>
      </c>
      <c r="M28" s="552" t="n"/>
      <c r="N28" s="44">
        <f>IF(I28="","",I28)</f>
        <v/>
      </c>
      <c r="S28" s="514" t="n"/>
    </row>
    <row r="29" ht="15" customHeight="1" s="468">
      <c r="A29" s="635" t="n"/>
      <c r="B29" s="47" t="n"/>
      <c r="C29" s="48" t="n"/>
      <c r="D29" s="49" t="n"/>
      <c r="E29" s="50" t="inlineStr">
        <is>
          <t>CX</t>
        </is>
      </c>
      <c r="F29" s="552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49">
        <f>IFERROR(ROUNDUP(D29/F29,0),"")</f>
        <v/>
      </c>
      <c r="H29" s="52" t="n"/>
      <c r="I29" s="53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636">
        <f>IF(D29="","",ROUNDUP(D29/IF(AND(C29="600 ml",ISNUMBER(SEARCH("NORCAU",B29))),95,IF(AND(C29="600 ml",ISNUMBER(SEARCH("APURATOS",B29))),190,IF(C29="600 ml",95,IF(C29="400 ml",125,IF(C29="200 ml",330,IF(C29="180 ml",240,1)))))),0))</f>
        <v/>
      </c>
      <c r="K29" s="552" t="n"/>
      <c r="L29" s="55">
        <f>IF(H29="","",H29)</f>
        <v/>
      </c>
      <c r="M29" s="637" t="n"/>
      <c r="N29" s="57">
        <f>IF(I29="","",I29)</f>
        <v/>
      </c>
      <c r="P29" s="523" t="n"/>
      <c r="S29" s="514" t="n"/>
    </row>
    <row r="30" ht="15" customHeight="1" s="468">
      <c r="A30" s="638" t="n"/>
      <c r="B30" s="38" t="n"/>
      <c r="C30" s="39" t="n"/>
      <c r="D30" s="40" t="n"/>
      <c r="E30" s="41" t="inlineStr">
        <is>
          <t>CX</t>
        </is>
      </c>
      <c r="F30" s="552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40">
        <f>IFERROR(ROUNDUP(D30/F30,0),"")</f>
        <v/>
      </c>
      <c r="H30" s="43" t="n"/>
      <c r="I30" s="44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40">
        <f>IF(D30="","",ROUNDUP(D30/IF(AND(C30="600 ml",ISNUMBER(SEARCH("NORCAU",B30))),95,IF(AND(C30="600 ml",ISNUMBER(SEARCH("APURATOS",B30))),190,IF(C30="600 ml",95,IF(C30="400 ml",125,IF(C30="200 ml",330,IF(C30="180 ml",240,1)))))),0))</f>
        <v/>
      </c>
      <c r="K30" s="552" t="n"/>
      <c r="L30" s="43">
        <f>IF(H30="","",H30)</f>
        <v/>
      </c>
      <c r="M30" s="637" t="n"/>
      <c r="N30" s="44">
        <f>IF(I30="","",I30)</f>
        <v/>
      </c>
      <c r="P30" s="464" t="n"/>
      <c r="Q30" s="465" t="n"/>
      <c r="R30" s="465" t="n"/>
      <c r="S30" s="466" t="n"/>
    </row>
    <row r="31" ht="14.25" customHeight="1" s="468">
      <c r="A31" s="634" t="n"/>
      <c r="B31" s="47" t="n"/>
      <c r="C31" s="48" t="n"/>
      <c r="D31" s="49" t="n"/>
      <c r="E31" s="50" t="n"/>
      <c r="F31" s="552" t="n"/>
      <c r="G31" s="49" t="n"/>
      <c r="H31" s="52" t="n"/>
      <c r="I31" s="53" t="n"/>
      <c r="J31" s="636">
        <f>IF(D31="","",ROUNDUP(D31/IF(AND(C31="600 ml",ISNUMBER(SEARCH("NORCAU",B31))),95,IF(AND(C31="600 ml",ISNUMBER(SEARCH("APURATOS",B31))),190,IF(C31="600 ml",95,IF(C31="400 ml",125,IF(C31="200 ml",330,IF(C31="180 ml",240,1)))))),0))</f>
        <v/>
      </c>
      <c r="K31" s="552" t="n"/>
      <c r="L31" s="55">
        <f>IF(H31="","",H31)</f>
        <v/>
      </c>
      <c r="M31" s="637" t="n"/>
      <c r="N31" s="57">
        <f>IF(I31="","",I31)</f>
        <v/>
      </c>
    </row>
    <row r="32" ht="14.25" customHeight="1" s="468">
      <c r="A32" s="639" t="n"/>
      <c r="B32" s="652" t="inlineStr">
        <is>
          <t>TOTAL</t>
        </is>
      </c>
      <c r="C32" s="641" t="n"/>
      <c r="D32" s="642">
        <f>IF(J32="","",TEXT(J32,"#,##0"))</f>
        <v/>
      </c>
      <c r="E32" s="643" t="n"/>
      <c r="F32" s="644" t="n"/>
      <c r="G32" s="642">
        <f>IF(K32="","",TEXT(K32,"#,##0"))</f>
        <v/>
      </c>
      <c r="H32" s="642">
        <f>IF(L32="","",TEXT(L32,"#,##0"))</f>
        <v/>
      </c>
      <c r="I32" s="642">
        <f>IF(M32="","",TEXT(M32,"#,##0"))</f>
        <v/>
      </c>
      <c r="J32" s="645">
        <f>SUM(D27:D31)</f>
        <v/>
      </c>
      <c r="K32" s="644">
        <f>SUM(G27:G31)</f>
        <v/>
      </c>
      <c r="L32" s="645">
        <f>SUM(H27:H31)</f>
        <v/>
      </c>
      <c r="M32" s="644">
        <f>SUM(I27:I31)</f>
        <v/>
      </c>
      <c r="N32" s="44">
        <f>IF(I32="","",I32)</f>
        <v/>
      </c>
      <c r="O32" s="552">
        <f>SUM(N28:N31)</f>
        <v/>
      </c>
    </row>
    <row r="33" ht="14.25" customHeight="1" s="468">
      <c r="A33" s="634" t="n"/>
      <c r="B33" s="47" t="n"/>
      <c r="C33" s="48" t="n"/>
      <c r="D33" s="49" t="n"/>
      <c r="E33" s="50" t="n"/>
      <c r="F33" s="552" t="n"/>
      <c r="G33" s="49" t="n"/>
      <c r="H33" s="52" t="n"/>
      <c r="I33" s="53" t="n"/>
      <c r="J33" s="636">
        <f>IF(D33="","",ROUNDUP(D33/IF(AND(C33="600 ml",ISNUMBER(SEARCH("NORCAU",B33))),95,IF(AND(C33="600 ml",ISNUMBER(SEARCH("APURATOS",B33))),190,IF(C33="600 ml",95,IF(C33="400 ml",125,IF(C33="200 ml",330,IF(C33="180 ml",240,1)))))),0))</f>
        <v/>
      </c>
      <c r="K33" s="552" t="n"/>
      <c r="L33" s="55">
        <f>IF(H33="","",H33)</f>
        <v/>
      </c>
      <c r="M33" s="552" t="n"/>
      <c r="N33" s="57">
        <f>IF(I33="","",I33)</f>
        <v/>
      </c>
    </row>
    <row r="34" ht="14.25" customHeight="1" s="468">
      <c r="A34" s="646" t="n">
        <v>46031</v>
      </c>
      <c r="B34" s="88" t="inlineStr">
        <is>
          <t>PRODUTO</t>
        </is>
      </c>
      <c r="C34" s="71" t="inlineStr">
        <is>
          <t>EMBALAGEM</t>
        </is>
      </c>
      <c r="D34" s="552" t="inlineStr">
        <is>
          <t>CAIXAS</t>
        </is>
      </c>
      <c r="E34" t="inlineStr">
        <is>
          <t>UN</t>
        </is>
      </c>
      <c r="F34" s="552" t="inlineStr">
        <is>
          <t>CX/PALLET</t>
        </is>
      </c>
      <c r="G34" s="552" t="inlineStr">
        <is>
          <t>PALLETS (PBR)</t>
        </is>
      </c>
      <c r="H34" s="637" t="inlineStr">
        <is>
          <t>REAL (CX)</t>
        </is>
      </c>
      <c r="I34" s="657" t="inlineStr">
        <is>
          <t>TOTAL LATAS</t>
        </is>
      </c>
      <c r="J34" s="552" t="n"/>
      <c r="K34" s="552" t="n"/>
      <c r="L34" s="637" t="n"/>
      <c r="M34" s="552" t="n"/>
      <c r="N34" s="514" t="n"/>
    </row>
    <row r="35" ht="14.25" customHeight="1" s="468">
      <c r="A35" s="634" t="n"/>
      <c r="B35" s="59" t="n"/>
      <c r="C35" s="60" t="n"/>
      <c r="D35" s="79" t="n"/>
      <c r="E35" s="62" t="n"/>
      <c r="F35" s="653" t="n"/>
      <c r="G35" s="79" t="n"/>
      <c r="H35" s="79" t="n"/>
      <c r="I35" s="81" t="n"/>
      <c r="J35" s="655">
        <f>IF(D35="","",ROUNDUP(D35/IF(AND(C35="600 ml",ISNUMBER(SEARCH("NORCAU",B35))),95,IF(AND(C35="600 ml",ISNUMBER(SEARCH("APURATOS",B35))),190,IF(C35="600 ml",95,IF(C35="400 ml",125,IF(C35="200 ml",330,IF(C35="180 ml",240,1)))))),0))</f>
        <v/>
      </c>
      <c r="K35" s="655" t="n"/>
      <c r="L35" s="89">
        <f>IF(H35="","",H35)</f>
        <v/>
      </c>
      <c r="M35" s="655" t="n"/>
      <c r="N35" s="90">
        <f>IF(I35="","",I35)</f>
        <v/>
      </c>
      <c r="P35" t="inlineStr">
        <is>
          <t>Explodiu o transformador.</t>
        </is>
      </c>
    </row>
    <row r="36" ht="14.25" customHeight="1" s="468">
      <c r="A36" s="638" t="n"/>
      <c r="B36" s="70" t="inlineStr">
        <is>
          <t>UNTA FACIL</t>
        </is>
      </c>
      <c r="C36" s="71" t="n">
        <v>600</v>
      </c>
      <c r="D36" s="552">
        <f>D28-L28</f>
        <v/>
      </c>
      <c r="E36" t="inlineStr">
        <is>
          <t>CX</t>
        </is>
      </c>
      <c r="F36" s="552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552">
        <f>IFERROR(ROUNDUP(D36/F36,0),"")</f>
        <v/>
      </c>
      <c r="H36" s="552" t="n">
        <v>13</v>
      </c>
      <c r="I36" s="552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552">
        <f>IF(D36="","",ROUNDUP(D36/IF(AND(C36="600 ml",ISNUMBER(SEARCH("NORCAU",B36))),95,IF(AND(C36="600 ml",ISNUMBER(SEARCH("APURATOS",B36))),190,IF(C36="600 ml",95,IF(C36="400 ml",125,IF(C36="200 ml",330,IF(C36="180 ml",240,1)))))),0))</f>
        <v/>
      </c>
      <c r="K36" s="552" t="n"/>
      <c r="L36" s="552">
        <f>IF(H36="","",H36)</f>
        <v/>
      </c>
      <c r="M36" s="552" t="n"/>
      <c r="N36">
        <f>IF(I36="","",I36)</f>
        <v/>
      </c>
    </row>
    <row r="37" ht="19.5" customHeight="1" s="468">
      <c r="A37" s="634" t="n"/>
      <c r="B37" s="30" t="inlineStr">
        <is>
          <t>PURATOS</t>
        </is>
      </c>
      <c r="C37" s="31" t="n">
        <v>600</v>
      </c>
      <c r="D37" s="647" t="n">
        <v>2660</v>
      </c>
      <c r="E37" s="32" t="inlineStr">
        <is>
          <t>CX</t>
        </is>
      </c>
      <c r="F37" s="648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647">
        <f>IFERROR(ROUNDUP(D37/F37,0),"")</f>
        <v/>
      </c>
      <c r="H37" s="647" t="n">
        <v>1057</v>
      </c>
      <c r="I37" s="649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650">
        <f>IF(D37="","",ROUNDUP(D37/IF(AND(C37="600 ml",ISNUMBER(SEARCH("NORCAU",B37))),95,IF(AND(C37="600 ml",ISNUMBER(SEARCH("APURATOS",B37))),190,IF(C37="600 ml",95,IF(C37="400 ml",125,IF(C37="200 ml",330,IF(C37="180 ml",240,1)))))),0))</f>
        <v/>
      </c>
      <c r="K37" s="650" t="n"/>
      <c r="L37" s="651">
        <f>IF(H37="","",H37)</f>
        <v/>
      </c>
      <c r="M37" s="650" t="n"/>
      <c r="N37" s="36">
        <f>IF(I37="","",I37)</f>
        <v/>
      </c>
    </row>
    <row r="38" ht="14.25" customHeight="1" s="468">
      <c r="A38" s="634" t="n"/>
      <c r="B38" s="38" t="n"/>
      <c r="C38" s="39" t="n"/>
      <c r="D38" s="40" t="n"/>
      <c r="E38" s="41" t="inlineStr">
        <is>
          <t>CX</t>
        </is>
      </c>
      <c r="F38" s="552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40">
        <f>IFERROR(ROUNDUP(D38/F38,0),"")</f>
        <v/>
      </c>
      <c r="H38" s="43" t="n"/>
      <c r="I38" s="44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40">
        <f>IF(D38="","",ROUNDUP(D38/IF(AND(C38="600 ml",ISNUMBER(SEARCH("NORCAU",B38))),95,IF(AND(C38="600 ml",ISNUMBER(SEARCH("APURATOS",B38))),190,IF(C38="600 ml",95,IF(C38="400 ml",125,IF(C38="200 ml",330,IF(C38="180 ml",240,1)))))),0))</f>
        <v/>
      </c>
      <c r="K38" s="552" t="n"/>
      <c r="L38" s="43">
        <f>IF(H38="","",H38)</f>
        <v/>
      </c>
      <c r="M38" s="552" t="n"/>
      <c r="N38" s="44">
        <f>IF(I38="","",I38)</f>
        <v/>
      </c>
    </row>
    <row r="39" ht="15" customHeight="1" s="468">
      <c r="A39" s="635" t="n"/>
      <c r="B39" s="47" t="n"/>
      <c r="C39" s="48" t="n"/>
      <c r="D39" s="49" t="n"/>
      <c r="E39" s="50" t="inlineStr">
        <is>
          <t>CX</t>
        </is>
      </c>
      <c r="F39" s="552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49">
        <f>IFERROR(ROUNDUP(D39/F39,0),"")</f>
        <v/>
      </c>
      <c r="H39" s="52" t="n"/>
      <c r="I39" s="53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636">
        <f>IF(D39="","",ROUNDUP(D39/IF(AND(C39="600 ml",ISNUMBER(SEARCH("NORCAU",B39))),95,IF(AND(C39="600 ml",ISNUMBER(SEARCH("APURATOS",B39))),190,IF(C39="600 ml",95,IF(C39="400 ml",125,IF(C39="200 ml",330,IF(C39="180 ml",240,1)))))),0))</f>
        <v/>
      </c>
      <c r="K39" s="552" t="n"/>
      <c r="L39" s="55">
        <f>IF(H39="","",H39)</f>
        <v/>
      </c>
      <c r="M39" s="637" t="n"/>
      <c r="N39" s="57">
        <f>IF(I39="","",I39)</f>
        <v/>
      </c>
      <c r="P39" s="516" t="n"/>
      <c r="Q39" s="462" t="n"/>
      <c r="R39" s="462" t="n"/>
      <c r="S39" s="463" t="n"/>
    </row>
    <row r="40" ht="14.25" customHeight="1" s="468">
      <c r="A40" s="638" t="n"/>
      <c r="B40" s="38" t="n"/>
      <c r="C40" s="39" t="n"/>
      <c r="D40" s="40" t="n"/>
      <c r="E40" s="41" t="n"/>
      <c r="F40" s="552" t="n"/>
      <c r="G40" s="40" t="n"/>
      <c r="H40" s="43" t="n"/>
      <c r="I40" s="44" t="n"/>
      <c r="J40" s="40">
        <f>IF(D40="","",ROUNDUP(D40/IF(AND(C40="600 ml",ISNUMBER(SEARCH("NORCAU",B40))),95,IF(AND(C40="600 ml",ISNUMBER(SEARCH("APURATOS",B40))),190,IF(C40="600 ml",95,IF(C40="400 ml",125,IF(C40="200 ml",330,IF(C40="180 ml",240,1)))))),0))</f>
        <v/>
      </c>
      <c r="K40" s="552" t="n"/>
      <c r="L40" s="43">
        <f>IF(H40="","",H40)</f>
        <v/>
      </c>
      <c r="M40" s="637" t="n"/>
      <c r="N40" s="44">
        <f>IF(I40="","",I40)</f>
        <v/>
      </c>
      <c r="P40" s="523" t="n"/>
      <c r="S40" s="514" t="n"/>
    </row>
    <row r="41" ht="14.25" customHeight="1" s="468">
      <c r="A41" s="639" t="n"/>
      <c r="B41" s="652" t="inlineStr">
        <is>
          <t>TOTAL</t>
        </is>
      </c>
      <c r="C41" s="641" t="n"/>
      <c r="D41" s="642">
        <f>IF(J41="","",TEXT(J41,"#,##0"))</f>
        <v/>
      </c>
      <c r="E41" s="643" t="n"/>
      <c r="F41" s="644" t="n"/>
      <c r="G41" s="642">
        <f>IF(K41="","",TEXT(K41,"#,##0"))</f>
        <v/>
      </c>
      <c r="H41" s="642">
        <f>IF(L41="","",TEXT(L41,"#,##0"))</f>
        <v/>
      </c>
      <c r="I41" s="642">
        <f>IF(M41="","",TEXT(M41,"#,##0"))</f>
        <v/>
      </c>
      <c r="J41" s="645">
        <f>SUM(D35:D40)</f>
        <v/>
      </c>
      <c r="K41" s="644">
        <f>SUM(G35:G40)</f>
        <v/>
      </c>
      <c r="L41" s="645">
        <f>SUM(H35:H40)</f>
        <v/>
      </c>
      <c r="M41" s="644">
        <f>SUM(I35:I40)</f>
        <v/>
      </c>
      <c r="N41" s="57">
        <f>IF(I41="","",I41)</f>
        <v/>
      </c>
      <c r="O41" s="552">
        <f>SUM(N36:N40)</f>
        <v/>
      </c>
      <c r="P41" s="464" t="n"/>
      <c r="Q41" s="465" t="n"/>
      <c r="R41" s="465" t="n"/>
      <c r="S41" s="466" t="n"/>
    </row>
    <row r="42" ht="14.25" customHeight="1" s="468">
      <c r="A42" s="634" t="n"/>
      <c r="B42" s="38" t="n"/>
      <c r="C42" s="39" t="n"/>
      <c r="D42" s="40" t="n"/>
      <c r="E42" s="41" t="n"/>
      <c r="F42" s="552" t="n"/>
      <c r="G42" s="40" t="n"/>
      <c r="H42" s="43" t="n"/>
      <c r="I42" s="44" t="n"/>
      <c r="J42" s="40">
        <f>IF(D42="","",ROUNDUP(D42/IF(AND(C42="600 ml",ISNUMBER(SEARCH("NORCAU",B42))),95,IF(AND(C42="600 ml",ISNUMBER(SEARCH("APURATOS",B42))),190,IF(C42="600 ml",95,IF(C42="400 ml",125,IF(C42="200 ml",330,IF(C42="180 ml",240,1)))))),0))</f>
        <v/>
      </c>
      <c r="K42" s="552" t="n"/>
      <c r="L42" s="43">
        <f>IF(H42="","",H42)</f>
        <v/>
      </c>
      <c r="M42" s="552" t="n"/>
      <c r="N42" s="44">
        <f>IF(I42="","",I42)</f>
        <v/>
      </c>
    </row>
    <row r="43" ht="14.25" customHeight="1" s="468">
      <c r="A43" s="646" t="n">
        <v>46034</v>
      </c>
      <c r="B43" s="47" t="inlineStr">
        <is>
          <t>PRODUTO</t>
        </is>
      </c>
      <c r="C43" s="48" t="inlineStr">
        <is>
          <t>EMBALAGEM</t>
        </is>
      </c>
      <c r="D43" s="49" t="inlineStr">
        <is>
          <t>CAIXAS</t>
        </is>
      </c>
      <c r="E43" s="50" t="inlineStr">
        <is>
          <t>UN</t>
        </is>
      </c>
      <c r="F43" s="552" t="inlineStr">
        <is>
          <t>CX/PALLET</t>
        </is>
      </c>
      <c r="G43" s="49" t="inlineStr">
        <is>
          <t>PALLETS (PBR)</t>
        </is>
      </c>
      <c r="H43" s="52" t="inlineStr">
        <is>
          <t>REAL (CX)</t>
        </is>
      </c>
      <c r="I43" s="53" t="inlineStr">
        <is>
          <t>TOTAL LATAS</t>
        </is>
      </c>
      <c r="J43" s="636" t="n"/>
      <c r="K43" s="552" t="n"/>
      <c r="L43" s="55" t="n"/>
      <c r="M43" s="552" t="n"/>
      <c r="N43" s="57" t="n"/>
    </row>
    <row r="44" ht="14.25" customHeight="1" s="468">
      <c r="A44" s="634" t="n"/>
      <c r="B44" s="59" t="n"/>
      <c r="C44" s="60" t="n"/>
      <c r="D44" s="79" t="n"/>
      <c r="E44" s="62" t="n"/>
      <c r="F44" s="653" t="n"/>
      <c r="G44" s="79" t="n"/>
      <c r="H44" s="79" t="n"/>
      <c r="I44" s="81" t="n"/>
      <c r="J44" s="655">
        <f>IF(D44="","",ROUNDUP(D44/IF(AND(C44="600 ml",ISNUMBER(SEARCH("NORCAU",B44))),95,IF(AND(C44="600 ml",ISNUMBER(SEARCH("APURATOS",B44))),190,IF(C44="600 ml",95,IF(C44="400 ml",125,IF(C44="200 ml",330,IF(C44="180 ml",240,1)))))),0))</f>
        <v/>
      </c>
      <c r="K44" s="655" t="n"/>
      <c r="L44" s="89">
        <f>IF(H44="","",H44)</f>
        <v/>
      </c>
      <c r="M44" s="655" t="n"/>
      <c r="N44" s="90">
        <f>IF(I44="","",I44)</f>
        <v/>
      </c>
      <c r="P44" t="inlineStr">
        <is>
          <t>ENTUPIU O SISTEMA, VOLTAMOS 14:40</t>
        </is>
      </c>
    </row>
    <row r="45" ht="14.25" customHeight="1" s="468">
      <c r="A45" s="638" t="n"/>
      <c r="B45" s="70" t="inlineStr">
        <is>
          <t>PURATOS</t>
        </is>
      </c>
      <c r="C45" s="71" t="n">
        <v>600</v>
      </c>
      <c r="D45" s="552">
        <f>D37-L37</f>
        <v/>
      </c>
      <c r="E45" t="inlineStr">
        <is>
          <t>CX</t>
        </is>
      </c>
      <c r="F45" s="552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552">
        <f>IFERROR(ROUNDUP(D45/F45,0),"")</f>
        <v/>
      </c>
      <c r="H45" s="552" t="n">
        <v>1072</v>
      </c>
      <c r="I45" s="552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552">
        <f>IF(D45="","",ROUNDUP(D45/IF(AND(C45="600 ml",ISNUMBER(SEARCH("NORCAU",B45))),95,IF(AND(C45="600 ml",ISNUMBER(SEARCH("APURATOS",B45))),190,IF(C45="600 ml",95,IF(C45="400 ml",125,IF(C45="200 ml",330,IF(C45="180 ml",240,1)))))),0))</f>
        <v/>
      </c>
      <c r="K45" s="552" t="n"/>
      <c r="L45" s="552">
        <f>IF(H45="","",H45)</f>
        <v/>
      </c>
      <c r="M45" s="552" t="n"/>
      <c r="N45">
        <f>IF(I45="","",I45)</f>
        <v/>
      </c>
    </row>
    <row r="46" ht="19.5" customHeight="1" s="468">
      <c r="A46" s="634" t="n"/>
      <c r="B46" s="30" t="n"/>
      <c r="C46" s="31" t="n"/>
      <c r="D46" s="647" t="n"/>
      <c r="E46" s="32" t="inlineStr">
        <is>
          <t>CX</t>
        </is>
      </c>
      <c r="F46" s="648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647">
        <f>IFERROR(ROUNDUP(D46/F46,0),"")</f>
        <v/>
      </c>
      <c r="H46" s="647" t="n"/>
      <c r="I46" s="649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650">
        <f>IF(D46="","",ROUNDUP(D46/IF(AND(C46="600 ml",ISNUMBER(SEARCH("NORCAU",B46))),95,IF(AND(C46="600 ml",ISNUMBER(SEARCH("APURATOS",B46))),190,IF(C46="600 ml",95,IF(C46="400 ml",125,IF(C46="200 ml",330,IF(C46="180 ml",240,1)))))),0))</f>
        <v/>
      </c>
      <c r="K46" s="650" t="n"/>
      <c r="L46" s="651">
        <f>IF(H46="","",H46)</f>
        <v/>
      </c>
      <c r="M46" s="650" t="n"/>
      <c r="N46" s="36">
        <f>IF(I46="","",I46)</f>
        <v/>
      </c>
    </row>
    <row r="47" ht="14.25" customHeight="1" s="468">
      <c r="A47" s="634" t="n"/>
      <c r="B47" s="96" t="n"/>
      <c r="C47" s="97" t="n"/>
      <c r="D47" s="98" t="n"/>
      <c r="E47" s="99" t="inlineStr">
        <is>
          <t>CX</t>
        </is>
      </c>
      <c r="F47" s="552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98">
        <f>IFERROR(ROUNDUP(D47/F47,0),"")</f>
        <v/>
      </c>
      <c r="H47" s="101" t="n"/>
      <c r="I47" s="102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636">
        <f>IF(D47="","",ROUNDUP(D47/IF(AND(C47="600 ml",ISNUMBER(SEARCH("NORCAU",B47))),95,IF(AND(C47="600 ml",ISNUMBER(SEARCH("APURATOS",B47))),190,IF(C47="600 ml",95,IF(C47="400 ml",125,IF(C47="200 ml",330,IF(C47="180 ml",240,1)))))),0))</f>
        <v/>
      </c>
      <c r="K47" s="552" t="n"/>
      <c r="L47" s="55">
        <f>IF(H47="","",H47)</f>
        <v/>
      </c>
      <c r="M47" s="552" t="n"/>
      <c r="N47" s="57">
        <f>IF(I47="","",I47)</f>
        <v/>
      </c>
    </row>
    <row r="48" ht="14.25" customHeight="1" s="468">
      <c r="A48" s="635" t="n"/>
      <c r="B48" s="47" t="n"/>
      <c r="C48" s="48" t="n"/>
      <c r="D48" s="49" t="n"/>
      <c r="E48" s="50" t="n"/>
      <c r="F48" s="552" t="n"/>
      <c r="G48" s="49" t="n"/>
      <c r="H48" s="52" t="n"/>
      <c r="I48" s="53" t="n"/>
      <c r="J48" s="40">
        <f>IF(D48="","",ROUNDUP(D48/IF(AND(C48="600 ml",ISNUMBER(SEARCH("NORCAU",B48))),95,IF(AND(C48="600 ml",ISNUMBER(SEARCH("APURATOS",B48))),190,IF(C48="600 ml",95,IF(C48="400 ml",125,IF(C48="200 ml",330,IF(C48="180 ml",240,1)))))),0))</f>
        <v/>
      </c>
      <c r="K48" s="552" t="n"/>
      <c r="L48" s="43">
        <f>IF(H48="","",H48)</f>
        <v/>
      </c>
      <c r="M48" s="637" t="n"/>
      <c r="N48" s="44">
        <f>IF(I48="","",I48)</f>
        <v/>
      </c>
    </row>
    <row r="49" ht="14.25" customHeight="1" s="468">
      <c r="A49" s="658" t="n"/>
      <c r="B49" s="652" t="inlineStr">
        <is>
          <t>TOTAL</t>
        </is>
      </c>
      <c r="C49" s="641" t="n"/>
      <c r="D49" s="642">
        <f>IF(J49="","",TEXT(J49,"#,##0"))</f>
        <v/>
      </c>
      <c r="E49" s="643" t="n"/>
      <c r="F49" s="644" t="n"/>
      <c r="G49" s="642">
        <f>IF(K49="","",TEXT(K49,"#,##0"))</f>
        <v/>
      </c>
      <c r="H49" s="642">
        <f>IF(L49="","",TEXT(L49,"#,##0"))</f>
        <v/>
      </c>
      <c r="I49" s="642">
        <f>IF(M49="","",TEXT(M49,"#,##0"))</f>
        <v/>
      </c>
      <c r="J49" s="645">
        <f>SUM(D44:D48)</f>
        <v/>
      </c>
      <c r="K49" s="644">
        <f>SUM(G44:G48)</f>
        <v/>
      </c>
      <c r="L49" s="645">
        <f>SUM(H44:H48)</f>
        <v/>
      </c>
      <c r="M49" s="644">
        <f>SUM(I44:I48)</f>
        <v/>
      </c>
      <c r="N49" s="57">
        <f>IF(I49="","",I49)</f>
        <v/>
      </c>
      <c r="O49" s="552">
        <f>SUM(N45:N48)</f>
        <v/>
      </c>
    </row>
    <row r="50" ht="14.25" customHeight="1" s="468">
      <c r="A50" s="634" t="n"/>
      <c r="B50" s="47" t="n"/>
      <c r="C50" s="48" t="n"/>
      <c r="D50" s="49" t="n"/>
      <c r="E50" s="50" t="n"/>
      <c r="F50" s="552" t="n"/>
      <c r="G50" s="49" t="n"/>
      <c r="H50" s="52" t="n"/>
      <c r="I50" s="53" t="n"/>
      <c r="J50" s="40">
        <f>IF(D50="","",ROUNDUP(D50/IF(AND(C50="600 ml",ISNUMBER(SEARCH("NORCAU",B50))),95,IF(AND(C50="600 ml",ISNUMBER(SEARCH("APURATOS",B50))),190,IF(C50="600 ml",95,IF(C50="400 ml",125,IF(C50="200 ml",330,IF(C50="180 ml",240,1)))))),0))</f>
        <v/>
      </c>
      <c r="K50" s="552" t="n"/>
      <c r="L50" s="43">
        <f>IF(H50="","",H50)</f>
        <v/>
      </c>
      <c r="M50" s="552" t="n"/>
      <c r="N50" s="44">
        <f>IF(I50="","",I50)</f>
        <v/>
      </c>
    </row>
    <row r="51" ht="14.25" customHeight="1" s="468">
      <c r="A51" s="646" t="n">
        <v>46035</v>
      </c>
      <c r="B51" s="96" t="inlineStr">
        <is>
          <t>PRODUTO</t>
        </is>
      </c>
      <c r="C51" s="97" t="inlineStr">
        <is>
          <t>EMBALAGEM</t>
        </is>
      </c>
      <c r="D51" s="98" t="inlineStr">
        <is>
          <t>CAIXAS</t>
        </is>
      </c>
      <c r="E51" s="99" t="inlineStr">
        <is>
          <t>UN</t>
        </is>
      </c>
      <c r="F51" s="552" t="inlineStr">
        <is>
          <t>CX/PALLET</t>
        </is>
      </c>
      <c r="G51" s="98" t="inlineStr">
        <is>
          <t>PALLETS (PBR)</t>
        </is>
      </c>
      <c r="H51" s="101" t="inlineStr">
        <is>
          <t>REAL (CX)</t>
        </is>
      </c>
      <c r="I51" s="102" t="inlineStr">
        <is>
          <t>TOTAL LATAS</t>
        </is>
      </c>
      <c r="J51" s="636" t="n"/>
      <c r="K51" s="552" t="n"/>
      <c r="L51" s="55" t="n"/>
      <c r="M51" s="552" t="n"/>
      <c r="N51" s="57" t="n"/>
    </row>
    <row r="52" ht="14.25" customHeight="1" s="468">
      <c r="A52" s="634" t="n"/>
      <c r="B52" s="47" t="n"/>
      <c r="C52" s="48" t="n"/>
      <c r="D52" s="49" t="n"/>
      <c r="E52" s="50" t="n"/>
      <c r="F52" s="659" t="n"/>
      <c r="G52" s="49" t="n"/>
      <c r="H52" s="52" t="n"/>
      <c r="I52" s="53" t="n"/>
      <c r="J52" s="40">
        <f>IF(D52="","",ROUNDUP(D52/IF(AND(C52="600 ml",ISNUMBER(SEARCH("NORCAU",B52))),95,IF(AND(C52="600 ml",ISNUMBER(SEARCH("APURATOS",B52))),190,IF(C52="600 ml",95,IF(C52="400 ml",125,IF(C52="200 ml",330,IF(C52="180 ml",240,1)))))),0))</f>
        <v/>
      </c>
      <c r="K52" s="552" t="n"/>
      <c r="L52" s="43">
        <f>IF(H52="","",H52)</f>
        <v/>
      </c>
      <c r="M52" s="552" t="n"/>
      <c r="N52" s="44">
        <f>IF(I52="","",I52)</f>
        <v/>
      </c>
    </row>
    <row r="53" ht="14.25" customHeight="1" s="468">
      <c r="A53" s="634" t="n"/>
      <c r="B53" s="59" t="inlineStr">
        <is>
          <t>PURATOS</t>
        </is>
      </c>
      <c r="C53" s="60" t="n">
        <v>600</v>
      </c>
      <c r="D53" s="79">
        <f>D45-L45</f>
        <v/>
      </c>
      <c r="E53" s="62" t="inlineStr">
        <is>
          <t>CX</t>
        </is>
      </c>
      <c r="F53" s="653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79">
        <f>IFERROR(ROUNDUP(D53/F53,0),"")</f>
        <v/>
      </c>
      <c r="H53" s="79" t="n">
        <v>562</v>
      </c>
      <c r="I53" s="81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655">
        <f>IF(D53="","",ROUNDUP(D53/IF(AND(C53="600 ml",ISNUMBER(SEARCH("NORCAU",B53))),95,IF(AND(C53="600 ml",ISNUMBER(SEARCH("APURATOS",B53))),190,IF(C53="600 ml",95,IF(C53="400 ml",125,IF(C53="200 ml",330,IF(C53="180 ml",240,1)))))),0))</f>
        <v/>
      </c>
      <c r="K53" s="655" t="n"/>
      <c r="L53" s="89">
        <f>IF(H53="","",H53)</f>
        <v/>
      </c>
      <c r="M53" s="655" t="n"/>
      <c r="N53" s="90">
        <f>IF(I53="","",I53)</f>
        <v/>
      </c>
    </row>
    <row r="54" ht="14.25" customHeight="1" s="468">
      <c r="A54" s="638" t="n"/>
      <c r="B54" s="70" t="n"/>
      <c r="C54" s="71" t="n"/>
      <c r="D54" s="552" t="n"/>
      <c r="E54" t="inlineStr">
        <is>
          <t>CX</t>
        </is>
      </c>
      <c r="F54" s="552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552">
        <f>IFERROR(ROUNDUP(D54/F54,0),"")</f>
        <v/>
      </c>
      <c r="H54" s="552" t="n"/>
      <c r="I54" s="552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552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K54" s="552" t="n"/>
      <c r="L54" s="552">
        <f>IF(H54="","",H54)</f>
        <v/>
      </c>
      <c r="M54" s="552" t="n"/>
      <c r="N54">
        <f>IF(I54="","",I54)</f>
        <v/>
      </c>
    </row>
    <row r="55" ht="19.5" customHeight="1" s="468">
      <c r="A55" s="634" t="n"/>
      <c r="B55" s="30" t="inlineStr">
        <is>
          <t>PURATOS</t>
        </is>
      </c>
      <c r="C55" s="31" t="inlineStr">
        <is>
          <t>5L</t>
        </is>
      </c>
      <c r="D55" s="647" t="n">
        <v>1140</v>
      </c>
      <c r="E55" s="32" t="inlineStr">
        <is>
          <t>CX</t>
        </is>
      </c>
      <c r="F55" s="648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647">
        <f>IFERROR(ROUNDUP(D55/F55,0),"")</f>
        <v/>
      </c>
      <c r="H55" s="647" t="n">
        <v>240</v>
      </c>
      <c r="I55" s="649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650">
        <f>IF(D55="","",ROUNDUP(D55/IF(AND(C55="600 ml",ISNUMBER(SEARCH("NORCAU",B55))),95,IF(AND(C55="600 ml",ISNUMBER(SEARCH("APURATOS",B55))),190,IF(C55="600 ml",95,IF(C55="400 ml",125,IF(C55="200 ml",330,IF(C55="180 ml",240,1)))))),0))</f>
        <v/>
      </c>
      <c r="K55" s="650" t="n"/>
      <c r="L55" s="651">
        <f>IF(H55="","",H55)</f>
        <v/>
      </c>
      <c r="M55" s="650" t="n"/>
      <c r="N55" s="36">
        <f>IF(I55="","",I55)</f>
        <v/>
      </c>
    </row>
    <row r="56" ht="15" customHeight="1" s="468">
      <c r="A56" s="634" t="n"/>
      <c r="B56" s="38" t="n"/>
      <c r="C56" s="39" t="n"/>
      <c r="D56" s="40" t="n"/>
      <c r="E56" s="41" t="n"/>
      <c r="F56" s="552" t="n"/>
      <c r="G56" s="40" t="n"/>
      <c r="H56" s="43" t="n"/>
      <c r="I56" s="44" t="n"/>
      <c r="J56" s="40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K56" s="552" t="n"/>
      <c r="L56" s="43">
        <f>IF(H56="","",H56)</f>
        <v/>
      </c>
      <c r="M56" s="552" t="n"/>
      <c r="N56" s="44">
        <f>IF(I56="","",I56)</f>
        <v/>
      </c>
      <c r="P56" s="516" t="n"/>
      <c r="Q56" s="462" t="n"/>
      <c r="R56" s="462" t="n"/>
      <c r="S56" s="463" t="n"/>
    </row>
    <row r="57" ht="14.25" customHeight="1" s="468">
      <c r="A57" s="660" t="n"/>
      <c r="B57" s="652" t="inlineStr">
        <is>
          <t>TOTAL</t>
        </is>
      </c>
      <c r="C57" s="641" t="n"/>
      <c r="D57" s="642">
        <f>IF(J57="","",TEXT(J57,"#,##0"))</f>
        <v/>
      </c>
      <c r="E57" s="643" t="n"/>
      <c r="F57" s="644" t="n"/>
      <c r="G57" s="642">
        <f>IF(K57="","",TEXT(K57,"#,##0"))</f>
        <v/>
      </c>
      <c r="H57" s="642">
        <f>IF(L57="","",TEXT(L57,"#,##0"))</f>
        <v/>
      </c>
      <c r="I57" s="642">
        <f>IF(M57="","",TEXT(M57,"#,##0"))</f>
        <v/>
      </c>
      <c r="J57" s="645">
        <f>SUM(D52:D56)</f>
        <v/>
      </c>
      <c r="K57" s="644">
        <f>SUM(G52:G56)</f>
        <v/>
      </c>
      <c r="L57" s="645">
        <f>SUM(H52:H56)</f>
        <v/>
      </c>
      <c r="M57" s="644">
        <f>SUM(I52:I56)</f>
        <v/>
      </c>
      <c r="N57" s="57">
        <f>IF(I57="","",I57)</f>
        <v/>
      </c>
      <c r="O57" s="552">
        <f>SUM(N53:N56)</f>
        <v/>
      </c>
      <c r="P57" s="523" t="n"/>
      <c r="S57" s="514" t="n"/>
    </row>
    <row r="58" ht="14.25" customHeight="1" s="468">
      <c r="A58" s="638" t="n"/>
      <c r="B58" s="38" t="n"/>
      <c r="C58" s="39" t="n"/>
      <c r="D58" s="40" t="n"/>
      <c r="E58" s="41" t="n"/>
      <c r="F58" s="552" t="n"/>
      <c r="G58" s="40" t="n"/>
      <c r="H58" s="43" t="n"/>
      <c r="I58" s="44" t="n"/>
      <c r="J58" s="40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K58" s="552" t="n"/>
      <c r="L58" s="43">
        <f>IF(H58="","",H58)</f>
        <v/>
      </c>
      <c r="M58" s="637" t="n"/>
      <c r="N58" s="44">
        <f>IF(I58="","",I58)</f>
        <v/>
      </c>
      <c r="P58" s="464" t="n"/>
      <c r="Q58" s="465" t="n"/>
      <c r="R58" s="465" t="n"/>
      <c r="S58" s="466" t="n"/>
    </row>
    <row r="59" ht="14.25" customHeight="1" s="468">
      <c r="A59" s="646" t="n">
        <v>46036</v>
      </c>
      <c r="B59" s="47" t="inlineStr">
        <is>
          <t>PRODUTO</t>
        </is>
      </c>
      <c r="C59" s="48" t="inlineStr">
        <is>
          <t>EMBALAGEM</t>
        </is>
      </c>
      <c r="D59" s="49" t="inlineStr">
        <is>
          <t>CAIXAS</t>
        </is>
      </c>
      <c r="E59" s="50" t="inlineStr">
        <is>
          <t>UN</t>
        </is>
      </c>
      <c r="F59" s="552" t="inlineStr">
        <is>
          <t>CX/PALLET</t>
        </is>
      </c>
      <c r="G59" s="49" t="inlineStr">
        <is>
          <t>PALLETS (PBR)</t>
        </is>
      </c>
      <c r="H59" s="52" t="inlineStr">
        <is>
          <t>REAL (CX)</t>
        </is>
      </c>
      <c r="I59" s="53" t="inlineStr">
        <is>
          <t>TOTAL LATAS</t>
        </is>
      </c>
      <c r="J59" s="636" t="n"/>
      <c r="K59" s="552" t="n"/>
      <c r="L59" s="55" t="n"/>
      <c r="M59" s="552" t="n"/>
      <c r="N59" s="57" t="n"/>
    </row>
    <row r="60" ht="14.25" customHeight="1" s="468">
      <c r="A60" s="634" t="n"/>
      <c r="B60" s="38" t="n"/>
      <c r="C60" s="39" t="n"/>
      <c r="D60" s="40" t="n"/>
      <c r="E60" s="41" t="n"/>
      <c r="F60" s="552" t="n"/>
      <c r="G60" s="40" t="n"/>
      <c r="H60" s="43" t="n"/>
      <c r="I60" s="44" t="n"/>
      <c r="J60" s="40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K60" s="552" t="n"/>
      <c r="L60" s="43">
        <f>IF(H60="","",H60)</f>
        <v/>
      </c>
      <c r="M60" s="552" t="n"/>
      <c r="N60" s="44">
        <f>IF(I60="","",I60)</f>
        <v/>
      </c>
    </row>
    <row r="61" ht="14.25" customHeight="1" s="468">
      <c r="A61" s="634" t="n"/>
      <c r="B61" s="59" t="inlineStr">
        <is>
          <t>PURATOS</t>
        </is>
      </c>
      <c r="C61" s="60" t="inlineStr">
        <is>
          <t>5L</t>
        </is>
      </c>
      <c r="D61" s="79">
        <f>D55-L55</f>
        <v/>
      </c>
      <c r="E61" s="62" t="inlineStr">
        <is>
          <t>CX</t>
        </is>
      </c>
      <c r="F61" s="653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79">
        <f>IFERROR(ROUNDUP(D61/F61,0),"")</f>
        <v/>
      </c>
      <c r="H61" s="79" t="n">
        <v>900</v>
      </c>
      <c r="I61" s="81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654">
        <f>IF(D61="","",ROUNDUP(D61/IF(AND(C61="600 ml",ISNUMBER(SEARCH("NORCAU",B61))),95,IF(AND(C61="600 ml",ISNUMBER(SEARCH("APURATOS",B61))),190,IF(C61="600 ml",95,IF(C61="400 ml",125,IF(C61="200 ml",330,IF(C61="180 ml",240,1)))))),0))</f>
        <v/>
      </c>
      <c r="K61" s="655" t="n"/>
      <c r="L61" s="68">
        <f>IF(H61="","",H61)</f>
        <v/>
      </c>
      <c r="M61" s="655" t="n"/>
      <c r="N61" s="69">
        <f>IF(I61="","",I61)</f>
        <v/>
      </c>
    </row>
    <row r="62" ht="14.25" customHeight="1" s="468">
      <c r="A62" s="638" t="n"/>
      <c r="B62" s="70" t="n"/>
      <c r="C62" s="71" t="n"/>
      <c r="D62" s="552" t="n"/>
      <c r="E62" t="inlineStr">
        <is>
          <t>CX</t>
        </is>
      </c>
      <c r="F62" s="552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552">
        <f>IFERROR(ROUNDUP(D62/F62,0),"")</f>
        <v/>
      </c>
      <c r="H62" s="552" t="n"/>
      <c r="I62" s="552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K62" s="552" t="n"/>
      <c r="L62" s="552">
        <f>IF(H62="","",H62)</f>
        <v/>
      </c>
      <c r="M62" s="552" t="n"/>
      <c r="N62">
        <f>IF(I62="","",I62)</f>
        <v/>
      </c>
    </row>
    <row r="63" ht="19.5" customHeight="1" s="468">
      <c r="A63" s="634" t="n"/>
      <c r="B63" s="30" t="n"/>
      <c r="C63" s="31" t="n"/>
      <c r="D63" s="647" t="n"/>
      <c r="E63" s="32" t="inlineStr">
        <is>
          <t>CX</t>
        </is>
      </c>
      <c r="F63" s="648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647">
        <f>IFERROR(ROUNDUP(D63/F63,0),"")</f>
        <v/>
      </c>
      <c r="H63" s="647" t="n"/>
      <c r="I63" s="649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650">
        <f>IF(D63="","",ROUNDUP(D63/IF(AND(C63="600 ml",ISNUMBER(SEARCH("NORCAU",B63))),95,IF(AND(C63="600 ml",ISNUMBER(SEARCH("APURATOS",B63))),190,IF(C63="600 ml",95,IF(C63="400 ml",125,IF(C63="200 ml",330,IF(C63="180 ml",240,1)))))),0))</f>
        <v/>
      </c>
      <c r="K63" s="650" t="n"/>
      <c r="L63" s="651">
        <f>IF(H63="","",H63)</f>
        <v/>
      </c>
      <c r="M63" s="650" t="n"/>
      <c r="N63" s="36">
        <f>IF(I63="","",I63)</f>
        <v/>
      </c>
    </row>
    <row r="64" ht="15" customHeight="1" s="468">
      <c r="A64" s="634" t="n"/>
      <c r="B64" s="38" t="n"/>
      <c r="C64" s="39" t="n"/>
      <c r="D64" s="40" t="n"/>
      <c r="E64" s="41" t="n"/>
      <c r="F64" s="552" t="n"/>
      <c r="G64" s="40" t="n"/>
      <c r="H64" s="43" t="n"/>
      <c r="I64" s="44" t="n"/>
      <c r="J64" s="40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K64" s="552" t="n"/>
      <c r="L64" s="43">
        <f>IF(H64="","",H64)</f>
        <v/>
      </c>
      <c r="M64" s="552" t="n"/>
      <c r="N64" s="44">
        <f>IF(I64="","",I64)</f>
        <v/>
      </c>
      <c r="P64" s="516" t="n"/>
      <c r="Q64" s="462" t="n"/>
      <c r="R64" s="462" t="n"/>
      <c r="S64" s="463" t="n"/>
    </row>
    <row r="65" ht="14.25" customHeight="1" s="468">
      <c r="A65" s="660" t="n"/>
      <c r="B65" s="652" t="inlineStr">
        <is>
          <t>TOTAL</t>
        </is>
      </c>
      <c r="C65" s="641" t="n"/>
      <c r="D65" s="642">
        <f>IF(J65="","",TEXT(J65,"#,##0"))</f>
        <v/>
      </c>
      <c r="E65" s="643" t="n"/>
      <c r="F65" s="644" t="n"/>
      <c r="G65" s="642">
        <f>IF(K65="","",TEXT(K65,"#,##0"))</f>
        <v/>
      </c>
      <c r="H65" s="642">
        <f>IF(L65="","",TEXT(L65,"#,##0"))</f>
        <v/>
      </c>
      <c r="I65" s="642">
        <f>IF(M65="","",TEXT(M65,"#,##0"))</f>
        <v/>
      </c>
      <c r="J65" s="645">
        <f>SUM(D60:D64)</f>
        <v/>
      </c>
      <c r="K65" s="644">
        <f>SUM(G60:G64)</f>
        <v/>
      </c>
      <c r="L65" s="645">
        <f>SUM(H60:H64)</f>
        <v/>
      </c>
      <c r="M65" s="644">
        <f>SUM(I60:I64)</f>
        <v/>
      </c>
      <c r="N65" s="57">
        <f>IF(I65="","",I65)</f>
        <v/>
      </c>
      <c r="O65" s="552">
        <f>SUM(N61:N64)</f>
        <v/>
      </c>
      <c r="P65" s="523" t="n"/>
      <c r="S65" s="514" t="n"/>
    </row>
    <row r="66" ht="14.25" customHeight="1" s="468">
      <c r="A66" s="638" t="n"/>
      <c r="B66" s="38" t="n"/>
      <c r="C66" s="39" t="n"/>
      <c r="D66" s="40" t="n"/>
      <c r="E66" s="41" t="n"/>
      <c r="F66" s="552" t="n"/>
      <c r="G66" s="40" t="n"/>
      <c r="H66" s="43" t="n"/>
      <c r="I66" s="44" t="n"/>
      <c r="J66" s="40">
        <f>IF(D66="","",ROUNDUP(D66/IF(AND(C66="600 ml",ISNUMBER(SEARCH("NORCAU",B66))),95,IF(AND(C66="600 ml",ISNUMBER(SEARCH("APURATOS",B66))),190,IF(C66="600 ml",95,IF(C66="400 ml",125,IF(C66="200 ml",330,IF(C66="180 ml",240,1)))))),0))</f>
        <v/>
      </c>
      <c r="K66" s="552" t="n"/>
      <c r="L66" s="43">
        <f>IF(H66="","",H66)</f>
        <v/>
      </c>
      <c r="M66" s="637" t="n"/>
      <c r="N66" s="44">
        <f>IF(I66="","",I66)</f>
        <v/>
      </c>
      <c r="P66" s="464" t="n"/>
      <c r="Q66" s="465" t="n"/>
      <c r="R66" s="465" t="n"/>
      <c r="S66" s="466" t="n"/>
    </row>
    <row r="67" ht="14.25" customHeight="1" s="468">
      <c r="A67" s="646" t="n">
        <v>46037</v>
      </c>
      <c r="B67" s="47" t="inlineStr">
        <is>
          <t>PRODUTO</t>
        </is>
      </c>
      <c r="C67" s="48" t="inlineStr">
        <is>
          <t>EMBALAGEM</t>
        </is>
      </c>
      <c r="D67" s="49" t="inlineStr">
        <is>
          <t>CAIXAS</t>
        </is>
      </c>
      <c r="E67" s="50" t="inlineStr">
        <is>
          <t>UN</t>
        </is>
      </c>
      <c r="F67" s="552" t="inlineStr">
        <is>
          <t>CX/PALLET</t>
        </is>
      </c>
      <c r="G67" s="49" t="inlineStr">
        <is>
          <t>PALLETS (PBR)</t>
        </is>
      </c>
      <c r="H67" s="52" t="inlineStr">
        <is>
          <t>REAL (CX)</t>
        </is>
      </c>
      <c r="I67" s="53" t="inlineStr">
        <is>
          <t>TOTAL LATAS</t>
        </is>
      </c>
      <c r="J67" s="636" t="n"/>
      <c r="K67" s="552" t="n"/>
      <c r="L67" s="55" t="n"/>
      <c r="M67" s="552" t="n"/>
      <c r="N67" s="57" t="n"/>
    </row>
    <row r="68" ht="14.25" customHeight="1" s="468">
      <c r="A68" s="634" t="n"/>
      <c r="B68" s="38" t="n"/>
      <c r="C68" s="39" t="n"/>
      <c r="D68" s="40" t="n"/>
      <c r="E68" s="41" t="n"/>
      <c r="F68" s="552" t="n"/>
      <c r="G68" s="40" t="n"/>
      <c r="H68" s="43" t="n"/>
      <c r="I68" s="44" t="n"/>
      <c r="J68" s="40">
        <f>IF(D68="","",ROUNDUP(D68/IF(AND(C68="600 ml",ISNUMBER(SEARCH("NORCAU",B68))),95,IF(AND(C68="600 ml",ISNUMBER(SEARCH("APURATOS",B68))),190,IF(C68="600 ml",95,IF(C68="400 ml",125,IF(C68="200 ml",330,IF(C68="180 ml",240,1)))))),0))</f>
        <v/>
      </c>
      <c r="K68" s="552" t="n"/>
      <c r="L68" s="43">
        <f>IF(H68="","",H68)</f>
        <v/>
      </c>
      <c r="M68" s="552" t="n"/>
      <c r="N68" s="44">
        <f>IF(I68="","",I68)</f>
        <v/>
      </c>
    </row>
    <row r="69" ht="14.25" customHeight="1" s="468">
      <c r="A69" s="634" t="n"/>
      <c r="B69" s="59" t="inlineStr">
        <is>
          <t>ITAIQUARA</t>
        </is>
      </c>
      <c r="C69" s="60" t="n">
        <v>600</v>
      </c>
      <c r="D69" s="79" t="n">
        <v>190</v>
      </c>
      <c r="E69" s="62" t="inlineStr">
        <is>
          <t>CX</t>
        </is>
      </c>
      <c r="F69" s="653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79">
        <f>IFERROR(ROUNDUP(D69/F69,0),"")</f>
        <v/>
      </c>
      <c r="H69" s="79" t="n">
        <v>190</v>
      </c>
      <c r="I69" s="81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654">
        <f>IF(D69="","",ROUNDUP(D69/IF(AND(C69="600 ml",ISNUMBER(SEARCH("NORCAU",B69))),95,IF(AND(C69="600 ml",ISNUMBER(SEARCH("APURATOS",B69))),190,IF(C69="600 ml",95,IF(C69="400 ml",125,IF(C69="200 ml",330,IF(C69="180 ml",240,1)))))),0))</f>
        <v/>
      </c>
      <c r="K69" s="655" t="n"/>
      <c r="L69" s="68">
        <f>IF(H69="","",H69)</f>
        <v/>
      </c>
      <c r="M69" s="655" t="n"/>
      <c r="N69" s="69">
        <f>IF(I69="","",I69)</f>
        <v/>
      </c>
    </row>
    <row r="70" ht="14.25" customHeight="1" s="468">
      <c r="A70" s="638" t="n"/>
      <c r="B70" s="70" t="inlineStr">
        <is>
          <t>ALLBREAD</t>
        </is>
      </c>
      <c r="C70" s="71" t="n">
        <v>600</v>
      </c>
      <c r="D70" s="552" t="n">
        <v>768</v>
      </c>
      <c r="E70" t="inlineStr">
        <is>
          <t>CX</t>
        </is>
      </c>
      <c r="F70" s="552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552">
        <f>IFERROR(ROUNDUP(D70/F70,0),"")</f>
        <v/>
      </c>
      <c r="H70" s="552" t="n">
        <v>216</v>
      </c>
      <c r="I70" s="552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552">
        <f>IF(D70="","",ROUNDUP(D70/IF(AND(C70="600 ml",ISNUMBER(SEARCH("NORCAU",B70))),95,IF(AND(C70="600 ml",ISNUMBER(SEARCH("APURATOS",B70))),190,IF(C70="600 ml",95,IF(C70="400 ml",125,IF(C70="200 ml",330,IF(C70="180 ml",240,1)))))),0))</f>
        <v/>
      </c>
      <c r="K70" s="552" t="n"/>
      <c r="L70" s="552">
        <f>IF(H70="","",H70)</f>
        <v/>
      </c>
      <c r="M70" s="552" t="n"/>
      <c r="N70">
        <f>IF(I70="","",I70)</f>
        <v/>
      </c>
    </row>
    <row r="71" ht="19.5" customHeight="1" s="468">
      <c r="A71" s="634" t="n"/>
      <c r="B71" s="30" t="n"/>
      <c r="C71" s="31" t="n"/>
      <c r="D71" s="647" t="n"/>
      <c r="E71" s="32" t="inlineStr">
        <is>
          <t>CX</t>
        </is>
      </c>
      <c r="F71" s="648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647">
        <f>IFERROR(ROUNDUP(D71/F71,0),"")</f>
        <v/>
      </c>
      <c r="H71" s="647" t="n"/>
      <c r="I71" s="649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650">
        <f>IF(D71="","",ROUNDUP(D71/IF(AND(C71="600 ml",ISNUMBER(SEARCH("NORCAU",B71))),95,IF(AND(C71="600 ml",ISNUMBER(SEARCH("APURATOS",B71))),190,IF(C71="600 ml",95,IF(C71="400 ml",125,IF(C71="200 ml",330,IF(C71="180 ml",240,1)))))),0))</f>
        <v/>
      </c>
      <c r="K71" s="650" t="n"/>
      <c r="L71" s="651">
        <f>IF(H71="","",H71)</f>
        <v/>
      </c>
      <c r="M71" s="650" t="n"/>
      <c r="N71" s="36">
        <f>IF(I71="","",I71)</f>
        <v/>
      </c>
    </row>
    <row r="72" ht="14.25" customHeight="1" s="468">
      <c r="A72" s="634" t="n"/>
      <c r="B72" s="38" t="n"/>
      <c r="C72" s="39" t="n"/>
      <c r="D72" s="40" t="n"/>
      <c r="E72" s="41" t="inlineStr">
        <is>
          <t>CX</t>
        </is>
      </c>
      <c r="F72" s="552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40">
        <f>IFERROR(ROUNDUP(D72/F72,0),"")</f>
        <v/>
      </c>
      <c r="H72" s="43" t="n"/>
      <c r="I72" s="44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40">
        <f>IF(D72="","",ROUNDUP(D72/IF(AND(C72="600 ml",ISNUMBER(SEARCH("NORCAU",B72))),95,IF(AND(C72="600 ml",ISNUMBER(SEARCH("APURATOS",B72))),190,IF(C72="600 ml",95,IF(C72="400 ml",125,IF(C72="200 ml",330,IF(C72="180 ml",240,1)))))),0))</f>
        <v/>
      </c>
      <c r="K72" s="552" t="n"/>
      <c r="L72" s="43">
        <f>IF(H72="","",H72)</f>
        <v/>
      </c>
      <c r="M72" s="552" t="n"/>
      <c r="N72" s="44">
        <f>IF(I72="","",I72)</f>
        <v/>
      </c>
    </row>
    <row r="73" ht="14.25" customHeight="1" s="468">
      <c r="A73" s="635" t="n"/>
      <c r="B73" s="47" t="n"/>
      <c r="C73" s="48" t="n"/>
      <c r="D73" s="49" t="n"/>
      <c r="E73" s="50" t="n"/>
      <c r="F73" s="552" t="n"/>
      <c r="G73" s="49" t="n"/>
      <c r="H73" s="52" t="n"/>
      <c r="I73" s="53" t="n"/>
      <c r="J73" s="636">
        <f>IF(D73="","",ROUNDUP(D73/IF(AND(C73="600 ml",ISNUMBER(SEARCH("NORCAU",B73))),95,IF(AND(C73="600 ml",ISNUMBER(SEARCH("APURATOS",B73))),190,IF(C73="600 ml",95,IF(C73="400 ml",125,IF(C73="200 ml",330,IF(C73="180 ml",240,1)))))),0))</f>
        <v/>
      </c>
      <c r="K73" s="552" t="n"/>
      <c r="L73" s="55">
        <f>IF(H73="","",H73)</f>
        <v/>
      </c>
      <c r="M73" s="637" t="n"/>
      <c r="N73" s="57">
        <f>IF(I73="","",I73)</f>
        <v/>
      </c>
    </row>
    <row r="74" ht="14.25" customHeight="1" s="468">
      <c r="A74" s="658" t="n"/>
      <c r="B74" s="652" t="inlineStr">
        <is>
          <t>TOTAL</t>
        </is>
      </c>
      <c r="C74" s="641" t="n"/>
      <c r="D74" s="642">
        <f>IF(J74="","",TEXT(J74,"#,##0"))</f>
        <v/>
      </c>
      <c r="E74" s="643" t="n"/>
      <c r="F74" s="644" t="n"/>
      <c r="G74" s="642">
        <f>IF(K74="","",TEXT(K74,"#,##0"))</f>
        <v/>
      </c>
      <c r="H74" s="642">
        <f>IF(L74="","",TEXT(L74,"#,##0"))</f>
        <v/>
      </c>
      <c r="I74" s="642">
        <f>IF(M74="","",TEXT(M74,"#,##0"))</f>
        <v/>
      </c>
      <c r="J74" s="645">
        <f>SUM(D68:D73)</f>
        <v/>
      </c>
      <c r="K74" s="644">
        <f>SUM(G68:G73)</f>
        <v/>
      </c>
      <c r="L74" s="645">
        <f>SUM(H68:H73)</f>
        <v/>
      </c>
      <c r="M74" s="644">
        <f>SUM(I68:I73)</f>
        <v/>
      </c>
      <c r="N74" s="44">
        <f>IF(I74="","",I74)</f>
        <v/>
      </c>
      <c r="O74" s="552">
        <f>SUM(N69:N73)</f>
        <v/>
      </c>
    </row>
    <row r="75" ht="14.25" customHeight="1" s="468">
      <c r="A75" s="634" t="n"/>
      <c r="B75" s="47" t="n"/>
      <c r="C75" s="48" t="n"/>
      <c r="D75" s="49" t="n"/>
      <c r="E75" s="50" t="n"/>
      <c r="F75" s="552" t="n"/>
      <c r="G75" s="49" t="n"/>
      <c r="H75" s="52" t="n"/>
      <c r="I75" s="53" t="n"/>
      <c r="J75" s="636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K75" s="552" t="n"/>
      <c r="L75" s="55">
        <f>IF(H75="","",H75)</f>
        <v/>
      </c>
      <c r="M75" s="552" t="n"/>
      <c r="N75" s="57">
        <f>IF(I75="","",I75)</f>
        <v/>
      </c>
    </row>
    <row r="76" ht="14.25" customHeight="1" s="468">
      <c r="A76" s="646" t="n">
        <v>46038</v>
      </c>
      <c r="B76" s="38" t="inlineStr">
        <is>
          <t>PRODUTO</t>
        </is>
      </c>
      <c r="C76" s="39" t="inlineStr">
        <is>
          <t>EMBALAGEM</t>
        </is>
      </c>
      <c r="D76" s="40" t="inlineStr">
        <is>
          <t>CAIXAS</t>
        </is>
      </c>
      <c r="E76" s="41" t="inlineStr">
        <is>
          <t>UN</t>
        </is>
      </c>
      <c r="F76" s="552" t="inlineStr">
        <is>
          <t>CX/PALLET</t>
        </is>
      </c>
      <c r="G76" s="40" t="inlineStr">
        <is>
          <t>PALLETS (PBR)</t>
        </is>
      </c>
      <c r="H76" s="43" t="inlineStr">
        <is>
          <t>REAL (CX)</t>
        </is>
      </c>
      <c r="I76" s="44" t="inlineStr">
        <is>
          <t>TOTAL LATAS</t>
        </is>
      </c>
      <c r="J76" s="40" t="n"/>
      <c r="K76" s="552" t="n"/>
      <c r="L76" s="43" t="n"/>
      <c r="M76" s="552" t="n"/>
      <c r="N76" s="44" t="n"/>
    </row>
    <row r="77" ht="14.25" customHeight="1" s="468">
      <c r="A77" s="634" t="n"/>
      <c r="B77" s="59" t="n"/>
      <c r="C77" s="60" t="n"/>
      <c r="D77" s="79" t="n"/>
      <c r="E77" s="62" t="n"/>
      <c r="F77" s="653" t="n"/>
      <c r="G77" s="79" t="n"/>
      <c r="H77" s="79" t="n"/>
      <c r="I77" s="81" t="n"/>
      <c r="J77" s="654">
        <f>IF(D77="","",ROUNDUP(D77/IF(AND(C77="600 ml",ISNUMBER(SEARCH("NORCAU",B77))),95,IF(AND(C77="600 ml",ISNUMBER(SEARCH("APURATOS",B77))),190,IF(C77="600 ml",95,IF(C77="400 ml",125,IF(C77="200 ml",330,IF(C77="180 ml",240,1)))))),0))</f>
        <v/>
      </c>
      <c r="K77" s="655" t="n"/>
      <c r="L77" s="68">
        <f>IF(H77="","",H77)</f>
        <v/>
      </c>
      <c r="M77" s="655" t="n"/>
      <c r="N77" s="69">
        <f>IF(I77="","",I77)</f>
        <v/>
      </c>
    </row>
    <row r="78" ht="14.25" customHeight="1" s="468">
      <c r="A78" s="638" t="n"/>
      <c r="B78" s="70" t="inlineStr">
        <is>
          <t>ALLBREAD</t>
        </is>
      </c>
      <c r="C78" s="71" t="n">
        <v>600</v>
      </c>
      <c r="D78" s="552">
        <f>D70-L70</f>
        <v/>
      </c>
      <c r="E78" t="inlineStr">
        <is>
          <t>CX</t>
        </is>
      </c>
      <c r="F78" s="552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552">
        <f>IFERROR(ROUNDUP(D78/F78,0),"")</f>
        <v/>
      </c>
      <c r="H78" s="552" t="n">
        <v>552</v>
      </c>
      <c r="I78" s="552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552">
        <f>IF(D78="","",ROUNDUP(D78/IF(AND(C78="600 ml",ISNUMBER(SEARCH("NORCAU",B78))),95,IF(AND(C78="600 ml",ISNUMBER(SEARCH("APURATOS",B78))),190,IF(C78="600 ml",95,IF(C78="400 ml",125,IF(C78="200 ml",330,IF(C78="180 ml",240,1)))))),0))</f>
        <v/>
      </c>
      <c r="K78" s="552" t="n"/>
      <c r="L78" s="552">
        <f>IF(H78="","",H78)</f>
        <v/>
      </c>
      <c r="M78" s="552" t="n"/>
      <c r="N78">
        <f>IF(I78="","",I78)</f>
        <v/>
      </c>
    </row>
    <row r="79" ht="19.5" customHeight="1" s="468">
      <c r="A79" s="634" t="n"/>
      <c r="B79" s="30" t="inlineStr">
        <is>
          <t>PURATOS</t>
        </is>
      </c>
      <c r="C79" s="31" t="n">
        <v>600</v>
      </c>
      <c r="D79" s="647" t="n">
        <v>950</v>
      </c>
      <c r="E79" s="32" t="inlineStr">
        <is>
          <t>CX</t>
        </is>
      </c>
      <c r="F79" s="648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647">
        <f>IFERROR(ROUNDUP(D79/F79,0),"")</f>
        <v/>
      </c>
      <c r="H79" s="647" t="n">
        <v>559</v>
      </c>
      <c r="I79" s="649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650">
        <f>IF(D79="","",ROUNDUP(D79/IF(AND(C79="600 ml",ISNUMBER(SEARCH("NORCAU",B79))),95,IF(AND(C79="600 ml",ISNUMBER(SEARCH("APURATOS",B79))),190,IF(C79="600 ml",95,IF(C79="400 ml",125,IF(C79="200 ml",330,IF(C79="180 ml",240,1)))))),0))</f>
        <v/>
      </c>
      <c r="K79" s="650" t="n"/>
      <c r="L79" s="651">
        <f>IF(H79="","",H79)</f>
        <v/>
      </c>
      <c r="M79" s="650" t="n"/>
      <c r="N79" s="36">
        <f>IF(I79="","",I79)</f>
        <v/>
      </c>
    </row>
    <row r="80" ht="14.25" customHeight="1" s="468">
      <c r="A80" s="634" t="n"/>
      <c r="B80" s="38" t="n"/>
      <c r="C80" s="39" t="n"/>
      <c r="D80" s="40" t="n"/>
      <c r="E80" s="41" t="inlineStr">
        <is>
          <t>CX</t>
        </is>
      </c>
      <c r="F80" s="552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40">
        <f>IFERROR(ROUNDUP(D80/F80,0),"")</f>
        <v/>
      </c>
      <c r="H80" s="43" t="n"/>
      <c r="I80" s="44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40">
        <f>IF(D80="","",ROUNDUP(D80/IF(AND(C80="600 ml",ISNUMBER(SEARCH("NORCAU",B80))),95,IF(AND(C80="600 ml",ISNUMBER(SEARCH("APURATOS",B80))),190,IF(C80="600 ml",95,IF(C80="400 ml",125,IF(C80="200 ml",330,IF(C80="180 ml",240,1)))))),0))</f>
        <v/>
      </c>
      <c r="K80" s="552" t="n"/>
      <c r="L80" s="43">
        <f>IF(H80="","",H80)</f>
        <v/>
      </c>
      <c r="M80" s="552" t="n"/>
      <c r="N80" s="44">
        <f>IF(I80="","",I80)</f>
        <v/>
      </c>
    </row>
    <row r="81" ht="15" customHeight="1" s="468">
      <c r="A81" s="635" t="n"/>
      <c r="B81" s="47" t="n"/>
      <c r="C81" s="48" t="n"/>
      <c r="D81" s="49" t="n"/>
      <c r="E81" s="50" t="n"/>
      <c r="F81" s="552" t="n"/>
      <c r="G81" s="49" t="n"/>
      <c r="H81" s="52" t="n"/>
      <c r="I81" s="53" t="n"/>
      <c r="J81" s="636">
        <f>IF(D81="","",ROUNDUP(D81/IF(AND(C81="600 ml",ISNUMBER(SEARCH("NORCAU",B81))),95,IF(AND(C81="600 ml",ISNUMBER(SEARCH("APURATOS",B81))),190,IF(C81="600 ml",95,IF(C81="400 ml",125,IF(C81="200 ml",330,IF(C81="180 ml",240,1)))))),0))</f>
        <v/>
      </c>
      <c r="K81" s="552" t="n"/>
      <c r="L81" s="55">
        <f>IF(H81="","",H81)</f>
        <v/>
      </c>
      <c r="M81" s="637" t="n"/>
      <c r="N81" s="57">
        <f>IF(I81="","",I81)</f>
        <v/>
      </c>
      <c r="P81" s="516" t="n"/>
      <c r="Q81" s="462" t="n"/>
      <c r="R81" s="462" t="n"/>
      <c r="S81" s="463" t="n"/>
    </row>
    <row r="82" ht="14.25" customHeight="1" s="468">
      <c r="A82" s="658" t="n"/>
      <c r="B82" s="652" t="inlineStr">
        <is>
          <t>TOTAL</t>
        </is>
      </c>
      <c r="C82" s="641" t="n"/>
      <c r="D82" s="642">
        <f>IF(J82="","",TEXT(J82,"#,##0"))</f>
        <v/>
      </c>
      <c r="E82" s="643" t="n"/>
      <c r="F82" s="644" t="n"/>
      <c r="G82" s="642">
        <f>IF(K82="","",TEXT(K82,"#,##0"))</f>
        <v/>
      </c>
      <c r="H82" s="642">
        <f>IF(L82="","",TEXT(L82,"#,##0"))</f>
        <v/>
      </c>
      <c r="I82" s="642">
        <f>IF(M82="","",TEXT(M82,"#,##0"))</f>
        <v/>
      </c>
      <c r="J82" s="645">
        <f>SUM(D77:D81)</f>
        <v/>
      </c>
      <c r="K82" s="644">
        <f>SUM(G77:G81)</f>
        <v/>
      </c>
      <c r="L82" s="645">
        <f>SUM(H77:H81)</f>
        <v/>
      </c>
      <c r="M82" s="644">
        <f>SUM(I77:I81)</f>
        <v/>
      </c>
      <c r="N82" s="44">
        <f>IF(I82="","",I82)</f>
        <v/>
      </c>
      <c r="O82" s="552">
        <f>SUM(N78:N81)</f>
        <v/>
      </c>
      <c r="P82" s="523" t="n"/>
      <c r="S82" s="514" t="n"/>
    </row>
    <row r="83" ht="14.25" customHeight="1" s="468">
      <c r="A83" s="634" t="n"/>
      <c r="B83" s="47" t="n"/>
      <c r="C83" s="48" t="n"/>
      <c r="D83" s="49" t="n"/>
      <c r="E83" s="50" t="n"/>
      <c r="F83" s="552" t="n"/>
      <c r="G83" s="49" t="n"/>
      <c r="H83" s="52" t="n"/>
      <c r="I83" s="53" t="n"/>
      <c r="J83" s="636">
        <f>IF(D83="","",ROUNDUP(D83/IF(AND(C83="600 ml",ISNUMBER(SEARCH("NORCAU",B83))),95,IF(AND(C83="600 ml",ISNUMBER(SEARCH("APURATOS",B83))),190,IF(C83="600 ml",95,IF(C83="400 ml",125,IF(C83="200 ml",330,IF(C83="180 ml",240,1)))))),0))</f>
        <v/>
      </c>
      <c r="K83" s="552" t="n"/>
      <c r="L83" s="55">
        <f>IF(H83="","",H83)</f>
        <v/>
      </c>
      <c r="M83" s="552" t="n"/>
      <c r="N83" s="57">
        <f>IF(I83="","",I83)</f>
        <v/>
      </c>
      <c r="P83" s="464" t="n"/>
      <c r="Q83" s="465" t="n"/>
      <c r="R83" s="465" t="n"/>
      <c r="S83" s="466" t="n"/>
    </row>
    <row r="84" ht="14.25" customHeight="1" s="468">
      <c r="A84" s="646" t="n">
        <v>46041</v>
      </c>
      <c r="B84" s="38" t="inlineStr">
        <is>
          <t>PRODUTO</t>
        </is>
      </c>
      <c r="C84" s="39" t="inlineStr">
        <is>
          <t>EMBALAGEM</t>
        </is>
      </c>
      <c r="D84" s="40" t="inlineStr">
        <is>
          <t>CAIXAS</t>
        </is>
      </c>
      <c r="E84" s="41" t="inlineStr">
        <is>
          <t>UN</t>
        </is>
      </c>
      <c r="F84" s="552" t="inlineStr">
        <is>
          <t>CX/PALLET</t>
        </is>
      </c>
      <c r="G84" s="40" t="inlineStr">
        <is>
          <t>PALLETS (PBR)</t>
        </is>
      </c>
      <c r="H84" s="43" t="inlineStr">
        <is>
          <t>REAL (CX)</t>
        </is>
      </c>
      <c r="I84" s="44" t="inlineStr">
        <is>
          <t>TOTAL LATAS</t>
        </is>
      </c>
      <c r="J84" s="40" t="n"/>
      <c r="K84" s="552" t="n"/>
      <c r="L84" s="43" t="n"/>
      <c r="M84" s="552" t="n"/>
      <c r="N84" s="44" t="n"/>
    </row>
    <row r="85" ht="14.25" customHeight="1" s="468">
      <c r="A85" s="634" t="n"/>
      <c r="B85" s="47" t="n"/>
      <c r="C85" s="48" t="n"/>
      <c r="D85" s="49" t="n"/>
      <c r="E85" s="50" t="n"/>
      <c r="F85" s="552" t="n"/>
      <c r="G85" s="49" t="n"/>
      <c r="H85" s="52" t="n"/>
      <c r="I85" s="53" t="n"/>
      <c r="J85" s="636">
        <f>IF(D85="","",ROUNDUP(D85/IF(AND(C85="600 ml",ISNUMBER(SEARCH("NORCAU",B85))),95,IF(AND(C85="600 ml",ISNUMBER(SEARCH("APURATOS",B85))),190,IF(C85="600 ml",95,IF(C85="400 ml",125,IF(C85="200 ml",330,IF(C85="180 ml",240,1)))))),0))</f>
        <v/>
      </c>
      <c r="K85" s="552" t="n"/>
      <c r="L85" s="55">
        <f>IF(H85="","",H85)</f>
        <v/>
      </c>
      <c r="M85" s="552" t="n"/>
      <c r="N85" s="57">
        <f>IF(I85="","",I85)</f>
        <v/>
      </c>
    </row>
    <row r="86" ht="14.25" customHeight="1" s="468">
      <c r="A86" s="634" t="n"/>
      <c r="B86" s="88" t="inlineStr">
        <is>
          <t>PURATOS</t>
        </is>
      </c>
      <c r="C86" s="71" t="n">
        <v>600</v>
      </c>
      <c r="D86" s="552">
        <f>D79-L79</f>
        <v/>
      </c>
      <c r="E86" t="inlineStr">
        <is>
          <t>CX</t>
        </is>
      </c>
      <c r="F86" s="552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552">
        <f>IFERROR(ROUNDUP(D86/F86,0),"")</f>
        <v/>
      </c>
      <c r="H86" s="637" t="n">
        <v>400</v>
      </c>
      <c r="I86" s="657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552">
        <f>IF(D86="","",ROUNDUP(D86/IF(AND(C86="600 ml",ISNUMBER(SEARCH("NORCAU",B86))),95,IF(AND(C86="600 ml",ISNUMBER(SEARCH("APURATOS",B86))),190,IF(C86="600 ml",95,IF(C86="400 ml",125,IF(C86="200 ml",330,IF(C86="180 ml",240,1)))))),0))</f>
        <v/>
      </c>
      <c r="K86" s="552" t="n"/>
      <c r="L86" s="637">
        <f>IF(H86="","",H86)</f>
        <v/>
      </c>
      <c r="M86" s="552" t="n"/>
      <c r="N86" s="514">
        <f>IF(I86="","",I86)</f>
        <v/>
      </c>
    </row>
    <row r="87" ht="14.25" customHeight="1" s="468">
      <c r="A87" s="634" t="n"/>
      <c r="B87" s="47" t="inlineStr">
        <is>
          <t>INLOCO ECO</t>
        </is>
      </c>
      <c r="C87" s="110" t="n">
        <v>600</v>
      </c>
      <c r="D87" s="659" t="n">
        <v>308</v>
      </c>
      <c r="E87" s="108" t="inlineStr">
        <is>
          <t>CX</t>
        </is>
      </c>
      <c r="F87" s="552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659">
        <f>IFERROR(ROUNDUP(D87/F87,0),"")</f>
        <v/>
      </c>
      <c r="H87" s="661" t="n">
        <v>308</v>
      </c>
      <c r="I87" s="662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552">
        <f>IF(D87="","",ROUNDUP(D87/IF(AND(C87="600 ml",ISNUMBER(SEARCH("NORCAU",B87))),95,IF(AND(C87="600 ml",ISNUMBER(SEARCH("APURATOS",B87))),190,IF(C87="600 ml",95,IF(C87="400 ml",125,IF(C87="200 ml",330,IF(C87="180 ml",240,1)))))),0))</f>
        <v/>
      </c>
      <c r="K87" s="552" t="n"/>
      <c r="L87" s="637">
        <f>IF(H87="","",H87)</f>
        <v/>
      </c>
      <c r="M87" s="552" t="n"/>
      <c r="N87" s="514">
        <f>IF(I87="","",I87)</f>
        <v/>
      </c>
    </row>
    <row r="88" ht="14.25" customHeight="1" s="468">
      <c r="A88" s="634" t="n"/>
      <c r="B88" s="88" t="inlineStr">
        <is>
          <t>TTF</t>
        </is>
      </c>
      <c r="C88" s="71" t="n">
        <v>600</v>
      </c>
      <c r="D88" s="552" t="n">
        <v>461</v>
      </c>
      <c r="E88" t="inlineStr">
        <is>
          <t>CX</t>
        </is>
      </c>
      <c r="F88" s="552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552">
        <f>IFERROR(ROUNDUP(D88/F88,0),"")</f>
        <v/>
      </c>
      <c r="H88" s="637" t="n">
        <v>379</v>
      </c>
      <c r="I88" s="657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552">
        <f>IF(D88="","",ROUNDUP(D88/IF(AND(C88="600 ml",ISNUMBER(SEARCH("NORCAU",B88))),95,IF(AND(C88="600 ml",ISNUMBER(SEARCH("APURATOS",B88))),190,IF(C88="600 ml",95,IF(C88="400 ml",125,IF(C88="200 ml",330,IF(C88="180 ml",240,1)))))),0))</f>
        <v/>
      </c>
      <c r="K88" s="552" t="n"/>
      <c r="L88" s="637">
        <f>IF(H88="","",H88)</f>
        <v/>
      </c>
      <c r="M88" s="552" t="n"/>
      <c r="N88" s="514">
        <f>IF(I88="","",I88)</f>
        <v/>
      </c>
    </row>
    <row r="89" ht="14.25" customHeight="1" s="468">
      <c r="A89" s="634" t="n"/>
      <c r="B89" s="59" t="n"/>
      <c r="C89" s="60" t="n"/>
      <c r="D89" s="79" t="n"/>
      <c r="E89" s="62" t="inlineStr">
        <is>
          <t>CX</t>
        </is>
      </c>
      <c r="F89" s="653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79">
        <f>IFERROR(ROUNDUP(D89/F89,0),"")</f>
        <v/>
      </c>
      <c r="H89" s="79" t="n"/>
      <c r="I89" s="81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655">
        <f>IF(D89="","",ROUNDUP(D89/IF(AND(C89="600 ml",ISNUMBER(SEARCH("NORCAU",B89))),95,IF(AND(C89="600 ml",ISNUMBER(SEARCH("APURATOS",B89))),190,IF(C89="600 ml",95,IF(C89="400 ml",125,IF(C89="200 ml",330,IF(C89="180 ml",240,1)))))),0))</f>
        <v/>
      </c>
      <c r="K89" s="655" t="n"/>
      <c r="L89" s="89">
        <f>IF(H89="","",H89)</f>
        <v/>
      </c>
      <c r="M89" s="655" t="n"/>
      <c r="N89" s="90">
        <f>IF(I89="","",I89)</f>
        <v/>
      </c>
    </row>
    <row r="90" ht="14.25" customHeight="1" s="468">
      <c r="A90" s="638" t="n"/>
      <c r="B90" s="70" t="n"/>
      <c r="C90" s="71" t="n"/>
      <c r="D90" s="552" t="n"/>
      <c r="E90" t="inlineStr">
        <is>
          <t>CX</t>
        </is>
      </c>
      <c r="F90" s="552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552">
        <f>IFERROR(ROUNDUP(D90/F90,0),"")</f>
        <v/>
      </c>
      <c r="H90" s="552" t="n"/>
      <c r="I90" s="552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  <c r="J90" s="552">
        <f>IF(D90="","",ROUNDUP(D90/IF(AND(C90="600 ml",ISNUMBER(SEARCH("NORCAU",B90))),95,IF(AND(C90="600 ml",ISNUMBER(SEARCH("APURATOS",B90))),190,IF(C90="600 ml",95,IF(C90="400 ml",125,IF(C90="200 ml",330,IF(C90="180 ml",240,1)))))),0))</f>
        <v/>
      </c>
      <c r="K90" s="552" t="n"/>
      <c r="L90" s="552">
        <f>IF(H90="","",H90)</f>
        <v/>
      </c>
      <c r="M90" s="552" t="n"/>
      <c r="N90">
        <f>IF(I90="","",I90)</f>
        <v/>
      </c>
    </row>
    <row r="91" ht="19.5" customHeight="1" s="468">
      <c r="A91" s="634" t="n"/>
      <c r="B91" s="30" t="n"/>
      <c r="C91" s="31" t="n"/>
      <c r="D91" s="647" t="n"/>
      <c r="E91" s="32" t="n"/>
      <c r="F91" s="648" t="n"/>
      <c r="G91" s="647" t="n"/>
      <c r="H91" s="647" t="n"/>
      <c r="I91" s="649" t="n"/>
      <c r="J91" s="650">
        <f>IF(D91="","",ROUNDUP(D91/IF(AND(C91="600 ml",ISNUMBER(SEARCH("NORCAU",B91))),95,IF(AND(C91="600 ml",ISNUMBER(SEARCH("APURATOS",B91))),190,IF(C91="600 ml",95,IF(C91="400 ml",125,IF(C91="200 ml",330,IF(C91="180 ml",240,1)))))),0))</f>
        <v/>
      </c>
      <c r="K91" s="650" t="n"/>
      <c r="L91" s="651">
        <f>IF(H91="","",H91)</f>
        <v/>
      </c>
      <c r="M91" s="650" t="n"/>
      <c r="N91" s="36">
        <f>IF(I91="","",I91)</f>
        <v/>
      </c>
    </row>
    <row r="92" ht="14.25" customHeight="1" s="468">
      <c r="A92" s="639" t="n"/>
      <c r="B92" s="652" t="inlineStr">
        <is>
          <t>TOTAL</t>
        </is>
      </c>
      <c r="C92" s="641" t="n"/>
      <c r="D92" s="642">
        <f>IF(J92="","",TEXT(J92,"#,##0"))</f>
        <v/>
      </c>
      <c r="E92" s="643" t="n"/>
      <c r="F92" s="644" t="n"/>
      <c r="G92" s="642">
        <f>IF(K92="","",TEXT(K92,"#,##0"))</f>
        <v/>
      </c>
      <c r="H92" s="642">
        <f>IF(L92="","",TEXT(L92,"#,##0"))</f>
        <v/>
      </c>
      <c r="I92" s="642">
        <f>IF(M92="","",TEXT(M92,"#,##0"))</f>
        <v/>
      </c>
      <c r="J92" s="645">
        <f>SUM(D85:D91)</f>
        <v/>
      </c>
      <c r="K92" s="644">
        <f>SUM(G85:G91)</f>
        <v/>
      </c>
      <c r="L92" s="645">
        <f>SUM(H85:H91)</f>
        <v/>
      </c>
      <c r="M92" s="644">
        <f>SUM(I85:I91)</f>
        <v/>
      </c>
      <c r="N92" s="44">
        <f>IF(I92="","",I92)</f>
        <v/>
      </c>
      <c r="O92" s="552">
        <f>SUM(N86:N91)</f>
        <v/>
      </c>
    </row>
    <row r="93" ht="15" customHeight="1" s="468">
      <c r="A93" s="635" t="n"/>
      <c r="B93" s="47" t="n"/>
      <c r="C93" s="48" t="n"/>
      <c r="D93" s="49" t="n"/>
      <c r="E93" s="50" t="n"/>
      <c r="F93" s="552" t="n"/>
      <c r="G93" s="49" t="n"/>
      <c r="H93" s="52" t="n"/>
      <c r="I93" s="53" t="n"/>
      <c r="J93" s="636">
        <f>IF(D93="","",ROUNDUP(D93/IF(AND(C93="600 ml",ISNUMBER(SEARCH("NORCAU",B93))),95,IF(AND(C93="600 ml",ISNUMBER(SEARCH("APURATOS",B93))),190,IF(C93="600 ml",95,IF(C93="400 ml",125,IF(C93="200 ml",330,IF(C93="180 ml",240,1)))))),0))</f>
        <v/>
      </c>
      <c r="K93" s="552" t="n"/>
      <c r="L93" s="55">
        <f>IF(H93="","",H93)</f>
        <v/>
      </c>
      <c r="M93" s="552" t="n"/>
      <c r="N93" s="57">
        <f>IF(I93="","",I93)</f>
        <v/>
      </c>
      <c r="P93" s="516" t="n"/>
      <c r="Q93" s="462" t="n"/>
      <c r="R93" s="462" t="n"/>
      <c r="S93" s="463" t="n"/>
    </row>
    <row r="94" ht="14.25" customHeight="1" s="468">
      <c r="A94" s="646" t="n">
        <v>46042</v>
      </c>
      <c r="B94" s="38" t="inlineStr">
        <is>
          <t>PRODUTO</t>
        </is>
      </c>
      <c r="C94" s="39" t="inlineStr">
        <is>
          <t>EMBALAGEM</t>
        </is>
      </c>
      <c r="D94" s="40" t="inlineStr">
        <is>
          <t>CAIXAS</t>
        </is>
      </c>
      <c r="E94" s="41" t="inlineStr">
        <is>
          <t>UN</t>
        </is>
      </c>
      <c r="F94" s="552" t="inlineStr">
        <is>
          <t>CX/PALLET</t>
        </is>
      </c>
      <c r="G94" s="40" t="inlineStr">
        <is>
          <t>PALLETS (PBR)</t>
        </is>
      </c>
      <c r="H94" s="43" t="inlineStr">
        <is>
          <t>REAL (CX)</t>
        </is>
      </c>
      <c r="I94" s="44" t="inlineStr">
        <is>
          <t>TOTAL LATAS</t>
        </is>
      </c>
      <c r="J94" s="40" t="n"/>
      <c r="K94" s="552" t="n"/>
      <c r="L94" s="43" t="n"/>
      <c r="M94" s="552" t="n"/>
      <c r="N94" s="44" t="n"/>
      <c r="P94" s="523" t="n"/>
      <c r="S94" s="514" t="n"/>
    </row>
    <row r="95" ht="14.25" customHeight="1" s="468">
      <c r="A95" s="638" t="n"/>
      <c r="B95" s="47" t="n"/>
      <c r="C95" s="48" t="n"/>
      <c r="D95" s="49" t="n"/>
      <c r="E95" s="50" t="n"/>
      <c r="F95" s="552" t="n"/>
      <c r="G95" s="49" t="n"/>
      <c r="H95" s="52" t="n"/>
      <c r="I95" s="53" t="n"/>
      <c r="J95" s="636">
        <f>IF(D95="","",ROUNDUP(D95/IF(AND(C95="600 ml",ISNUMBER(SEARCH("NORCAU",B95))),95,IF(AND(C95="600 ml",ISNUMBER(SEARCH("APURATOS",B95))),190,IF(C95="600 ml",95,IF(C95="400 ml",125,IF(C95="200 ml",330,IF(C95="180 ml",240,1)))))),0))</f>
        <v/>
      </c>
      <c r="K95" s="552" t="n"/>
      <c r="L95" s="55">
        <f>IF(H95="","",H95)</f>
        <v/>
      </c>
      <c r="M95" s="552" t="n"/>
      <c r="N95" s="57">
        <f>IF(I95="","",I95)</f>
        <v/>
      </c>
      <c r="P95" s="464" t="n"/>
      <c r="Q95" s="465" t="n"/>
      <c r="R95" s="465" t="n"/>
      <c r="S95" s="466" t="n"/>
    </row>
    <row r="96" ht="14.25" customHeight="1" s="468">
      <c r="A96" s="638" t="n"/>
      <c r="B96" s="38" t="inlineStr">
        <is>
          <t>TTF</t>
        </is>
      </c>
      <c r="C96" s="39" t="n">
        <v>600</v>
      </c>
      <c r="D96" s="40">
        <f>D88-L88</f>
        <v/>
      </c>
      <c r="E96" s="41" t="inlineStr">
        <is>
          <t>CX</t>
        </is>
      </c>
      <c r="F96" s="552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40">
        <f>IFERROR(ROUNDUP(D96/F96,0),"")</f>
        <v/>
      </c>
      <c r="H96" s="43" t="n">
        <v>82</v>
      </c>
      <c r="I96" s="44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40">
        <f>IF(D96="","",ROUNDUP(D96/IF(AND(C96="600 ml",ISNUMBER(SEARCH("NORCAU",B96))),95,IF(AND(C96="600 ml",ISNUMBER(SEARCH("APURATOS",B96))),190,IF(C96="600 ml",95,IF(C96="400 ml",125,IF(C96="200 ml",330,IF(C96="180 ml",240,1)))))),0))</f>
        <v/>
      </c>
      <c r="K96" s="552" t="n"/>
      <c r="L96" s="43">
        <f>IF(H96="","",H96)</f>
        <v/>
      </c>
      <c r="M96" s="637" t="n"/>
      <c r="N96" s="44">
        <f>IF(I96="","",I96)</f>
        <v/>
      </c>
    </row>
    <row r="97" ht="14.25" customHeight="1" s="468">
      <c r="A97" s="634" t="n"/>
      <c r="B97" s="47" t="inlineStr">
        <is>
          <t>ROCHAPAN</t>
        </is>
      </c>
      <c r="C97" s="48" t="n">
        <v>400</v>
      </c>
      <c r="D97" s="49" t="n">
        <v>250</v>
      </c>
      <c r="E97" s="50" t="inlineStr">
        <is>
          <t>CX</t>
        </is>
      </c>
      <c r="F97" s="552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49">
        <f>IFERROR(ROUNDUP(D97/F97,0),"")</f>
        <v/>
      </c>
      <c r="H97" s="52" t="n">
        <v>250</v>
      </c>
      <c r="I97" s="53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636">
        <f>IF(D97="","",ROUNDUP(D97/IF(AND(C97="600 ml",ISNUMBER(SEARCH("NORCAU",B97))),95,IF(AND(C97="600 ml",ISNUMBER(SEARCH("APURATOS",B97))),190,IF(C97="600 ml",95,IF(C97="400 ml",125,IF(C97="200 ml",330,IF(C97="180 ml",240,1)))))),0))</f>
        <v/>
      </c>
      <c r="K97" s="552" t="n"/>
      <c r="L97" s="55">
        <f>IF(H97="","",H97)</f>
        <v/>
      </c>
      <c r="M97" s="552" t="n"/>
      <c r="N97" s="57">
        <f>IF(I97="","",I97)</f>
        <v/>
      </c>
    </row>
    <row r="98" ht="14.25" customHeight="1" s="468">
      <c r="A98" s="634" t="n"/>
      <c r="B98" s="88" t="inlineStr">
        <is>
          <t>CASA PANIFICADOR</t>
        </is>
      </c>
      <c r="C98" s="71" t="n">
        <v>400</v>
      </c>
      <c r="D98" s="552" t="n">
        <v>200</v>
      </c>
      <c r="E98" t="inlineStr">
        <is>
          <t>CX</t>
        </is>
      </c>
      <c r="F98" s="552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552">
        <f>IFERROR(ROUNDUP(D98/F98,0),"")</f>
        <v/>
      </c>
      <c r="H98" s="637" t="n">
        <v>201</v>
      </c>
      <c r="I98" s="657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  <c r="J98" s="552">
        <f>IF(D98="","",ROUNDUP(D98/IF(AND(C98="600 ml",ISNUMBER(SEARCH("NORCAU",B98))),95,IF(AND(C98="600 ml",ISNUMBER(SEARCH("APURATOS",B98))),190,IF(C98="600 ml",95,IF(C98="400 ml",125,IF(C98="200 ml",330,IF(C98="180 ml",240,1)))))),0))</f>
        <v/>
      </c>
      <c r="K98" s="552" t="n"/>
      <c r="L98" s="637">
        <f>IF(H98="","",H98)</f>
        <v/>
      </c>
      <c r="M98" s="552" t="n"/>
      <c r="N98" s="514">
        <f>IF(I98="","",I98)</f>
        <v/>
      </c>
    </row>
    <row r="99" ht="14.25" customHeight="1" s="468">
      <c r="A99" s="634" t="n"/>
      <c r="B99" s="59" t="n"/>
      <c r="C99" s="60" t="n"/>
      <c r="D99" s="79" t="n"/>
      <c r="E99" s="62" t="inlineStr">
        <is>
          <t>CX</t>
        </is>
      </c>
      <c r="F99" s="653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79">
        <f>IFERROR(ROUNDUP(D99/F99,0),"")</f>
        <v/>
      </c>
      <c r="H99" s="79" t="n"/>
      <c r="I99" s="81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655">
        <f>IF(D99="","",ROUNDUP(D99/IF(AND(C99="600 ml",ISNUMBER(SEARCH("NORCAU",B99))),95,IF(AND(C99="600 ml",ISNUMBER(SEARCH("APURATOS",B99))),190,IF(C99="600 ml",95,IF(C99="400 ml",125,IF(C99="200 ml",330,IF(C99="180 ml",240,1)))))),0))</f>
        <v/>
      </c>
      <c r="K99" s="655" t="n"/>
      <c r="L99" s="89">
        <f>IF(H99="","",H99)</f>
        <v/>
      </c>
      <c r="M99" s="655" t="n"/>
      <c r="N99" s="90">
        <f>IF(I99="","",I99)</f>
        <v/>
      </c>
    </row>
    <row r="100" ht="14.25" customHeight="1" s="468">
      <c r="A100" s="638" t="n"/>
      <c r="B100" s="70" t="n"/>
      <c r="C100" s="71" t="n"/>
      <c r="D100" s="552" t="n"/>
      <c r="E100" t="inlineStr">
        <is>
          <t>CX</t>
        </is>
      </c>
      <c r="F100" s="552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552">
        <f>IFERROR(ROUNDUP(D100/F100,0),"")</f>
        <v/>
      </c>
      <c r="H100" s="552" t="n"/>
      <c r="I100" s="552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552">
        <f>IF(D100="","",ROUNDUP(D100/IF(AND(C100="600 ml",ISNUMBER(SEARCH("NORCAU",B100))),95,IF(AND(C100="600 ml",ISNUMBER(SEARCH("APURATOS",B100))),190,IF(C100="600 ml",95,IF(C100="400 ml",125,IF(C100="200 ml",330,IF(C100="180 ml",240,1)))))),0))</f>
        <v/>
      </c>
      <c r="K100" s="552" t="n"/>
      <c r="L100" s="552">
        <f>IF(H100="","",H100)</f>
        <v/>
      </c>
      <c r="M100" s="552" t="n"/>
      <c r="N100">
        <f>IF(I100="","",I100)</f>
        <v/>
      </c>
    </row>
    <row r="101" ht="19.5" customHeight="1" s="468">
      <c r="A101" s="634" t="n"/>
      <c r="B101" s="113" t="n"/>
      <c r="C101" s="114" t="n"/>
      <c r="D101" s="663" t="n"/>
      <c r="E101" s="115" t="n"/>
      <c r="F101" s="648" t="n"/>
      <c r="G101" s="663" t="n"/>
      <c r="H101" s="663" t="n"/>
      <c r="I101" s="663" t="n"/>
      <c r="J101" s="650">
        <f>IF(D101="","",ROUNDUP(D101/IF(AND(C101="600 ml",ISNUMBER(SEARCH("NORCAU",B101))),95,IF(AND(C101="600 ml",ISNUMBER(SEARCH("APURATOS",B101))),190,IF(C101="600 ml",95,IF(C101="400 ml",125,IF(C101="200 ml",330,IF(C101="180 ml",240,1)))))),0))</f>
        <v/>
      </c>
      <c r="K101" s="650" t="n"/>
      <c r="L101" s="651">
        <f>IF(H101="","",H101)</f>
        <v/>
      </c>
      <c r="M101" s="650" t="n"/>
      <c r="N101" s="36">
        <f>IF(I101="","",I101)</f>
        <v/>
      </c>
    </row>
    <row r="102" ht="14.25" customHeight="1" s="468">
      <c r="A102" s="639" t="n"/>
      <c r="B102" s="652" t="inlineStr">
        <is>
          <t>TOTAL</t>
        </is>
      </c>
      <c r="C102" s="641" t="n"/>
      <c r="D102" s="642">
        <f>IF(J102="","",TEXT(J102,"#,##0"))</f>
        <v/>
      </c>
      <c r="E102" s="643" t="n"/>
      <c r="F102" s="644" t="n"/>
      <c r="G102" s="642">
        <f>IF(K102="","",TEXT(K102,"#,##0"))</f>
        <v/>
      </c>
      <c r="H102" s="642">
        <f>IF(L102="","",TEXT(L102,"#,##0"))</f>
        <v/>
      </c>
      <c r="I102" s="642">
        <f>IF(M102="","",TEXT(M102,"#,##0"))</f>
        <v/>
      </c>
      <c r="J102" s="645">
        <f>SUM(D95:D101)</f>
        <v/>
      </c>
      <c r="K102" s="644">
        <f>SUM(G95:G101)</f>
        <v/>
      </c>
      <c r="L102" s="645">
        <f>SUM(H95:H101)</f>
        <v/>
      </c>
      <c r="M102" s="644">
        <f>SUM(I95:I101)</f>
        <v/>
      </c>
      <c r="N102" s="44">
        <f>IF(I102="","",I102)</f>
        <v/>
      </c>
      <c r="O102" s="552">
        <f>SUM(N96:N101)</f>
        <v/>
      </c>
    </row>
    <row r="103" ht="14.25" customHeight="1" s="468">
      <c r="A103" s="664" t="n"/>
      <c r="B103" s="47" t="n"/>
      <c r="C103" s="48" t="n"/>
      <c r="D103" s="49" t="n"/>
      <c r="E103" s="50" t="n"/>
      <c r="F103" s="552" t="n"/>
      <c r="G103" s="49" t="n"/>
      <c r="H103" s="52" t="n"/>
      <c r="I103" s="53" t="n"/>
      <c r="J103" s="636">
        <f>IF(D103="","",ROUNDUP(D103/IF(AND(C103="600 ml",ISNUMBER(SEARCH("NORCAU",B103))),95,IF(AND(C103="600 ml",ISNUMBER(SEARCH("APURATOS",B103))),190,IF(C103="600 ml",95,IF(C103="400 ml",125,IF(C103="200 ml",330,IF(C103="180 ml",240,1)))))),0))</f>
        <v/>
      </c>
      <c r="K103" s="552" t="n"/>
      <c r="L103" s="55">
        <f>IF(H103="","",H103)</f>
        <v/>
      </c>
      <c r="M103" s="637" t="n"/>
      <c r="N103" s="57">
        <f>IF(I103="","",I103)</f>
        <v/>
      </c>
    </row>
    <row r="104" ht="14.25" customHeight="1" s="468">
      <c r="A104" s="665" t="n">
        <v>46043</v>
      </c>
      <c r="B104" s="38" t="inlineStr">
        <is>
          <t>PRODUTO</t>
        </is>
      </c>
      <c r="C104" s="39" t="inlineStr">
        <is>
          <t>EMBALAGEM</t>
        </is>
      </c>
      <c r="D104" s="40" t="inlineStr">
        <is>
          <t>CAIXAS</t>
        </is>
      </c>
      <c r="E104" s="41" t="inlineStr">
        <is>
          <t>UN</t>
        </is>
      </c>
      <c r="F104" s="552" t="inlineStr">
        <is>
          <t>CX/PALLET</t>
        </is>
      </c>
      <c r="G104" s="40" t="inlineStr">
        <is>
          <t>PALLETS (PBR)</t>
        </is>
      </c>
      <c r="H104" s="43" t="inlineStr">
        <is>
          <t>REAL (CX)</t>
        </is>
      </c>
      <c r="I104" s="44" t="inlineStr">
        <is>
          <t>TOTAL LATAS</t>
        </is>
      </c>
      <c r="J104" s="40" t="n"/>
      <c r="K104" s="552" t="n"/>
      <c r="L104" s="43" t="n"/>
      <c r="M104" s="637" t="n"/>
      <c r="N104" s="44" t="n"/>
    </row>
    <row r="105" ht="14.25" customHeight="1" s="468">
      <c r="A105" s="665" t="n"/>
      <c r="B105" s="47" t="n"/>
      <c r="C105" s="48" t="n"/>
      <c r="D105" s="49" t="n"/>
      <c r="E105" s="50" t="n"/>
      <c r="F105" s="552" t="n"/>
      <c r="G105" s="49" t="n"/>
      <c r="H105" s="52" t="n"/>
      <c r="I105" s="53" t="n"/>
      <c r="J105" s="636">
        <f>IF(D105="","",ROUNDUP(D105/IF(AND(C105="600 ml",ISNUMBER(SEARCH("NORCAU",B105))),95,IF(AND(C105="600 ml",ISNUMBER(SEARCH("APURATOS",B105))),190,IF(C105="600 ml",95,IF(C105="400 ml",125,IF(C105="200 ml",330,IF(C105="180 ml",240,1)))))),0))</f>
        <v/>
      </c>
      <c r="K105" s="552" t="n"/>
      <c r="L105" s="55">
        <f>IF(H105="","",H105)</f>
        <v/>
      </c>
      <c r="M105" s="552" t="n"/>
      <c r="N105" s="57">
        <f>IF(I105="","",I105)</f>
        <v/>
      </c>
    </row>
    <row r="106" ht="14.25" customHeight="1" s="468">
      <c r="A106" s="665" t="n"/>
      <c r="B106" s="38" t="inlineStr">
        <is>
          <t>GENGIBRE INLOCO</t>
        </is>
      </c>
      <c r="C106" s="39" t="n">
        <v>200</v>
      </c>
      <c r="D106" s="40" t="n">
        <v>660</v>
      </c>
      <c r="E106" s="41" t="inlineStr">
        <is>
          <t>CX</t>
        </is>
      </c>
      <c r="F106" s="552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40">
        <f>IFERROR(ROUNDUP(D106/F106,0),"")</f>
        <v/>
      </c>
      <c r="H106" s="43" t="n">
        <v>660</v>
      </c>
      <c r="I106" s="44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  <c r="J106" s="40">
        <f>IF(D106="","",ROUNDUP(D106/IF(AND(C106="600 ml",ISNUMBER(SEARCH("NORCAU",B106))),95,IF(AND(C106="600 ml",ISNUMBER(SEARCH("APURATOS",B106))),190,IF(C106="600 ml",95,IF(C106="400 ml",125,IF(C106="200 ml",330,IF(C106="180 ml",240,1)))))),0))</f>
        <v/>
      </c>
      <c r="K106" s="552" t="n"/>
      <c r="L106" s="43">
        <f>IF(H106="","",H106)</f>
        <v/>
      </c>
      <c r="M106" s="637" t="n"/>
      <c r="N106" s="44">
        <f>IF(I106="","",I106)</f>
        <v/>
      </c>
    </row>
    <row r="107" ht="14.25" customHeight="1" s="468">
      <c r="A107" s="634" t="n"/>
      <c r="B107" s="47" t="inlineStr">
        <is>
          <t>GENGIBRE DILUTE</t>
        </is>
      </c>
      <c r="C107" s="48" t="n">
        <v>200</v>
      </c>
      <c r="D107" s="49" t="n">
        <v>1320</v>
      </c>
      <c r="E107" s="50" t="inlineStr">
        <is>
          <t>CX</t>
        </is>
      </c>
      <c r="F107" s="659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49">
        <f>IFERROR(ROUNDUP(D107/F107,0),"")</f>
        <v/>
      </c>
      <c r="H107" s="52" t="n">
        <v>1020</v>
      </c>
      <c r="I107" s="53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636">
        <f>IF(D107="","",ROUNDUP(D107/IF(AND(C107="600 ml",ISNUMBER(SEARCH("NORCAU",B107))),95,IF(AND(C107="600 ml",ISNUMBER(SEARCH("APURATOS",B107))),190,IF(C107="600 ml",95,IF(C107="400 ml",125,IF(C107="200 ml",330,IF(C107="180 ml",240,1)))))),0))</f>
        <v/>
      </c>
      <c r="K107" s="552" t="n"/>
      <c r="L107" s="55">
        <f>IF(H107="","",H107)</f>
        <v/>
      </c>
      <c r="M107" s="552" t="n"/>
      <c r="N107" s="57">
        <f>IF(I107="","",I107)</f>
        <v/>
      </c>
    </row>
    <row r="108" ht="14.25" customHeight="1" s="468">
      <c r="A108" s="634" t="n"/>
      <c r="B108" s="88" t="n"/>
      <c r="C108" s="71" t="n"/>
      <c r="D108" s="552" t="n"/>
      <c r="E108" t="inlineStr">
        <is>
          <t>CX</t>
        </is>
      </c>
      <c r="F108" s="552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552">
        <f>IFERROR(ROUNDUP(D108/F108,0),"")</f>
        <v/>
      </c>
      <c r="H108" s="637" t="n"/>
      <c r="I108" s="657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>
        <f>IF(D108="","",ROUNDUP(D108/IF(AND(C108="600 ml",ISNUMBER(SEARCH("NORCAU",B108))),95,IF(AND(C108="600 ml",ISNUMBER(SEARCH("APURATOS",B108))),190,IF(C108="600 ml",95,IF(C108="400 ml",125,IF(C108="200 ml",330,IF(C108="180 ml",240,1)))))),0))</f>
        <v/>
      </c>
      <c r="K108" s="552" t="n"/>
      <c r="L108" s="637">
        <f>IF(H108="","",H108)</f>
        <v/>
      </c>
      <c r="M108" s="552" t="n"/>
      <c r="N108" s="514">
        <f>IF(I108="","",I108)</f>
        <v/>
      </c>
    </row>
    <row r="109" ht="14.25" customHeight="1" s="468">
      <c r="A109" s="634" t="n"/>
      <c r="B109" s="117" t="n"/>
      <c r="C109" s="118" t="n"/>
      <c r="D109" s="119" t="n"/>
      <c r="E109" s="120" t="n"/>
      <c r="F109" s="666" t="n"/>
      <c r="G109" s="119" t="n"/>
      <c r="H109" s="119" t="n"/>
      <c r="I109" s="123" t="n"/>
      <c r="J109" s="655">
        <f>IF(D109="","",ROUNDUP(D109/IF(AND(C109="600 ml",ISNUMBER(SEARCH("NORCAU",B109))),95,IF(AND(C109="600 ml",ISNUMBER(SEARCH("APURATOS",B109))),190,IF(C109="600 ml",95,IF(C109="400 ml",125,IF(C109="200 ml",330,IF(C109="180 ml",240,1)))))),0))</f>
        <v/>
      </c>
      <c r="K109" s="655" t="n"/>
      <c r="L109" s="89">
        <f>IF(H109="","",H109)</f>
        <v/>
      </c>
      <c r="M109" s="655" t="n"/>
      <c r="N109" s="90">
        <f>IF(I109="","",I109)</f>
        <v/>
      </c>
    </row>
    <row r="110" ht="14.25" customHeight="1" s="468">
      <c r="A110" s="658" t="n"/>
      <c r="B110" s="652" t="inlineStr">
        <is>
          <t>TOTAL</t>
        </is>
      </c>
      <c r="C110" s="667" t="n"/>
      <c r="D110" s="642">
        <f>IF(J110="","",TEXT(J110,"#,##0"))</f>
        <v/>
      </c>
      <c r="E110" s="668" t="n"/>
      <c r="F110" s="644" t="n"/>
      <c r="G110" s="642">
        <f>IF(K110="","",TEXT(K110,"#,##0"))</f>
        <v/>
      </c>
      <c r="H110" s="642">
        <f>IF(L110="","",TEXT(L110,"#,##0"))</f>
        <v/>
      </c>
      <c r="I110" s="642">
        <f>IF(M110="","",TEXT(M110,"#,##0"))</f>
        <v/>
      </c>
      <c r="J110" s="644">
        <f>SUM(D105:D109)</f>
        <v/>
      </c>
      <c r="K110" s="644">
        <f>SUM(G105:G109)</f>
        <v/>
      </c>
      <c r="L110" s="644">
        <f>SUM(H105:H109)</f>
        <v/>
      </c>
      <c r="M110" s="644">
        <f>SUM(I105:I109)</f>
        <v/>
      </c>
      <c r="N110">
        <f>IF(I110="","",I110)</f>
        <v/>
      </c>
      <c r="O110" s="552">
        <f>SUM(N106:N109)</f>
        <v/>
      </c>
    </row>
    <row r="111" ht="19.5" customHeight="1" s="468">
      <c r="A111" s="634" t="n"/>
      <c r="B111" s="30" t="n"/>
      <c r="C111" s="31" t="n"/>
      <c r="D111" s="647" t="n"/>
      <c r="E111" s="32" t="n"/>
      <c r="F111" s="648" t="n"/>
      <c r="G111" s="647" t="n"/>
      <c r="H111" s="647" t="n"/>
      <c r="I111" s="649" t="n"/>
      <c r="J111" s="650">
        <f>IF(D111="","",ROUNDUP(D111/IF(AND(C111="600 ml",ISNUMBER(SEARCH("NORCAU",B111))),95,IF(AND(C111="600 ml",ISNUMBER(SEARCH("APURATOS",B111))),190,IF(C111="600 ml",95,IF(C111="400 ml",125,IF(C111="200 ml",330,IF(C111="180 ml",240,1)))))),0))</f>
        <v/>
      </c>
      <c r="K111" s="650" t="n"/>
      <c r="L111" s="651">
        <f>IF(H111="","",H111)</f>
        <v/>
      </c>
      <c r="M111" s="650" t="n"/>
      <c r="N111" s="36">
        <f>IF(I111="","",I111)</f>
        <v/>
      </c>
    </row>
    <row r="112" ht="14.25" customHeight="1" s="468">
      <c r="A112" s="646" t="n">
        <v>46044</v>
      </c>
      <c r="B112" s="38" t="inlineStr">
        <is>
          <t>PRODUTO</t>
        </is>
      </c>
      <c r="C112" s="39" t="inlineStr">
        <is>
          <t>EMBALAGEM</t>
        </is>
      </c>
      <c r="D112" s="40" t="inlineStr">
        <is>
          <t>CAIXAS</t>
        </is>
      </c>
      <c r="E112" s="41" t="inlineStr">
        <is>
          <t>UN</t>
        </is>
      </c>
      <c r="F112" s="552" t="inlineStr">
        <is>
          <t>CX/PALLET</t>
        </is>
      </c>
      <c r="G112" s="40" t="inlineStr">
        <is>
          <t>PALLETS (PBR)</t>
        </is>
      </c>
      <c r="H112" s="43" t="inlineStr">
        <is>
          <t>REAL (CX)</t>
        </is>
      </c>
      <c r="I112" s="44" t="inlineStr">
        <is>
          <t>TOTAL LATAS</t>
        </is>
      </c>
      <c r="J112" s="40" t="n"/>
      <c r="K112" s="552" t="n"/>
      <c r="L112" s="43" t="n"/>
      <c r="M112" s="552" t="n"/>
      <c r="N112" s="44" t="n"/>
    </row>
    <row r="113" ht="14.25" customHeight="1" s="468">
      <c r="A113" s="635" t="n"/>
      <c r="B113" s="47" t="n"/>
      <c r="C113" s="48" t="n"/>
      <c r="D113" s="49" t="n"/>
      <c r="E113" s="50" t="n"/>
      <c r="F113" s="552" t="n"/>
      <c r="G113" s="49" t="n"/>
      <c r="H113" s="52" t="n"/>
      <c r="I113" s="53" t="n"/>
      <c r="J113" s="636">
        <f>IF(D113="","",ROUNDUP(D113/IF(AND(C113="600 ml",ISNUMBER(SEARCH("NORCAU",B113))),95,IF(AND(C113="600 ml",ISNUMBER(SEARCH("APURATOS",B113))),190,IF(C113="600 ml",95,IF(C113="400 ml",125,IF(C113="200 ml",330,IF(C113="180 ml",240,1)))))),0))</f>
        <v/>
      </c>
      <c r="K113" s="552" t="n"/>
      <c r="L113" s="55">
        <f>IF(H113="","",H113)</f>
        <v/>
      </c>
      <c r="M113" s="637" t="n"/>
      <c r="N113" s="57">
        <f>IF(I113="","",I113)</f>
        <v/>
      </c>
    </row>
    <row r="114" ht="14.25" customHeight="1" s="468">
      <c r="A114" s="638" t="n"/>
      <c r="B114" s="38" t="inlineStr">
        <is>
          <t>GENGIBRE DILUTE</t>
        </is>
      </c>
      <c r="C114" s="39" t="n">
        <v>200</v>
      </c>
      <c r="D114" s="40">
        <f>D107-L107</f>
        <v/>
      </c>
      <c r="E114" s="41" t="inlineStr">
        <is>
          <t>CX</t>
        </is>
      </c>
      <c r="F114" s="552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40">
        <f>IFERROR(ROUNDUP(D114/F114,0),"")</f>
        <v/>
      </c>
      <c r="H114" s="43" t="n">
        <v>382</v>
      </c>
      <c r="I114" s="44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  <c r="J114" s="40">
        <f>IF(D114="","",ROUNDUP(D114/IF(AND(C114="600 ml",ISNUMBER(SEARCH("NORCAU",B114))),95,IF(AND(C114="600 ml",ISNUMBER(SEARCH("APURATOS",B114))),190,IF(C114="600 ml",95,IF(C114="400 ml",125,IF(C114="200 ml",330,IF(C114="180 ml",240,1)))))),0))</f>
        <v/>
      </c>
      <c r="K114" s="552" t="n"/>
      <c r="L114" s="43">
        <f>IF(H114="","",H114)</f>
        <v/>
      </c>
      <c r="M114" s="637" t="n"/>
      <c r="N114" s="44">
        <f>IF(I114="","",I114)</f>
        <v/>
      </c>
    </row>
    <row r="115" ht="14.25" customHeight="1" s="468">
      <c r="A115" s="634" t="n"/>
      <c r="B115" s="47" t="inlineStr">
        <is>
          <t>MAÇA VERDE DILUTE</t>
        </is>
      </c>
      <c r="C115" s="48" t="n">
        <v>200</v>
      </c>
      <c r="D115" s="49" t="n">
        <v>990</v>
      </c>
      <c r="E115" s="50" t="inlineStr">
        <is>
          <t>CX</t>
        </is>
      </c>
      <c r="F115" s="552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49">
        <f>IFERROR(ROUNDUP(D115/F115,0),"")</f>
        <v/>
      </c>
      <c r="H115" s="52" t="n">
        <v>853</v>
      </c>
      <c r="I115" s="53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  <c r="J115" s="636">
        <f>IF(D115="","",ROUNDUP(D115/IF(AND(C115="600 ml",ISNUMBER(SEARCH("NORCAU",B115))),95,IF(AND(C115="600 ml",ISNUMBER(SEARCH("APURATOS",B115))),190,IF(C115="600 ml",95,IF(C115="400 ml",125,IF(C115="200 ml",330,IF(C115="180 ml",240,1)))))),0))</f>
        <v/>
      </c>
      <c r="K115" s="552" t="n"/>
      <c r="L115" s="55">
        <f>IF(H115="","",H115)</f>
        <v/>
      </c>
      <c r="M115" s="552" t="n"/>
      <c r="N115" s="57">
        <f>IF(I115="","",I115)</f>
        <v/>
      </c>
    </row>
    <row r="116" ht="14.25" customHeight="1" s="468">
      <c r="A116" s="634" t="n"/>
      <c r="B116" s="38" t="inlineStr">
        <is>
          <t>3 LIMÕES DILUTE</t>
        </is>
      </c>
      <c r="C116" s="39" t="n">
        <v>200</v>
      </c>
      <c r="D116" s="40" t="n">
        <v>990</v>
      </c>
      <c r="E116" s="41" t="inlineStr">
        <is>
          <t>CX</t>
        </is>
      </c>
      <c r="F116" s="552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40">
        <f>IFERROR(ROUNDUP(D116/F116,0),"")</f>
        <v/>
      </c>
      <c r="H116" s="43" t="n">
        <v>813</v>
      </c>
      <c r="I116" s="44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40">
        <f>IF(D116="","",ROUNDUP(D116/IF(AND(C116="600 ml",ISNUMBER(SEARCH("NORCAU",B116))),95,IF(AND(C116="600 ml",ISNUMBER(SEARCH("APURATOS",B116))),190,IF(C116="600 ml",95,IF(C116="400 ml",125,IF(C116="200 ml",330,IF(C116="180 ml",240,1)))))),0))</f>
        <v/>
      </c>
      <c r="K116" s="552" t="n"/>
      <c r="L116" s="43">
        <f>IF(H116="","",H116)</f>
        <v/>
      </c>
      <c r="M116" s="552" t="n"/>
      <c r="N116" s="44">
        <f>IF(I116="","",I116)</f>
        <v/>
      </c>
    </row>
    <row r="117" ht="14.25" customHeight="1" s="468">
      <c r="A117" s="634" t="n"/>
      <c r="B117" s="47" t="n"/>
      <c r="C117" s="48" t="n"/>
      <c r="D117" s="49" t="n"/>
      <c r="E117" s="50" t="inlineStr">
        <is>
          <t>CX</t>
        </is>
      </c>
      <c r="F117" s="552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49">
        <f>IFERROR(ROUNDUP(D117/F117,0),"")</f>
        <v/>
      </c>
      <c r="H117" s="52" t="n"/>
      <c r="I117" s="53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636">
        <f>IF(D117="","",ROUNDUP(D117/IF(AND(C117="600 ml",ISNUMBER(SEARCH("NORCAU",B117))),95,IF(AND(C117="600 ml",ISNUMBER(SEARCH("APURATOS",B117))),190,IF(C117="600 ml",95,IF(C117="400 ml",125,IF(C117="200 ml",330,IF(C117="180 ml",240,1)))))),0))</f>
        <v/>
      </c>
      <c r="K117" s="552" t="n"/>
      <c r="L117" s="55">
        <f>IF(H117="","",H117)</f>
        <v/>
      </c>
      <c r="M117" s="552" t="n"/>
      <c r="N117" s="57">
        <f>IF(I117="","",I117)</f>
        <v/>
      </c>
    </row>
    <row r="118" ht="14.25" customHeight="1" s="468">
      <c r="A118" s="634" t="n"/>
      <c r="B118" s="59" t="n"/>
      <c r="C118" s="60" t="n"/>
      <c r="D118" s="79" t="n"/>
      <c r="E118" s="62" t="inlineStr">
        <is>
          <t>CX</t>
        </is>
      </c>
      <c r="F118" s="653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79">
        <f>IFERROR(ROUNDUP(D118/F118,0),"")</f>
        <v/>
      </c>
      <c r="H118" s="79" t="n"/>
      <c r="I118" s="81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655">
        <f>IF(D118="","",ROUNDUP(D118/IF(AND(C118="600 ml",ISNUMBER(SEARCH("NORCAU",B118))),95,IF(AND(C118="600 ml",ISNUMBER(SEARCH("APURATOS",B118))),190,IF(C118="600 ml",95,IF(C118="400 ml",125,IF(C118="200 ml",330,IF(C118="180 ml",240,1)))))),0))</f>
        <v/>
      </c>
      <c r="K118" s="655" t="n"/>
      <c r="L118" s="89">
        <f>IF(H118="","",H118)</f>
        <v/>
      </c>
      <c r="M118" s="655" t="n"/>
      <c r="N118" s="90">
        <f>IF(I118="","",I118)</f>
        <v/>
      </c>
    </row>
    <row r="119" ht="14.25" customHeight="1" s="468">
      <c r="A119" s="638" t="n"/>
      <c r="B119" s="70" t="n"/>
      <c r="C119" s="71" t="n"/>
      <c r="D119" s="552" t="n"/>
      <c r="F119" s="552" t="n"/>
      <c r="G119" s="552" t="n"/>
      <c r="H119" s="552" t="n"/>
      <c r="I119" s="552" t="n"/>
      <c r="J119" s="552">
        <f>IF(D119="","",ROUNDUP(D119/IF(AND(C119="600 ml",ISNUMBER(SEARCH("NORCAU",B119))),95,IF(AND(C119="600 ml",ISNUMBER(SEARCH("APURATOS",B119))),190,IF(C119="600 ml",95,IF(C119="400 ml",125,IF(C119="200 ml",330,IF(C119="180 ml",240,1)))))),0))</f>
        <v/>
      </c>
      <c r="K119" s="552" t="n"/>
      <c r="L119" s="552">
        <f>IF(H119="","",H119)</f>
        <v/>
      </c>
      <c r="M119" s="552" t="n"/>
      <c r="N119">
        <f>IF(I119="","",I119)</f>
        <v/>
      </c>
    </row>
    <row r="120" ht="19.5" customHeight="1" s="468">
      <c r="A120" s="639" t="n"/>
      <c r="B120" s="652" t="inlineStr">
        <is>
          <t>TOTAL</t>
        </is>
      </c>
      <c r="C120" s="669" t="n"/>
      <c r="D120" s="642">
        <f>IF(J120="","",TEXT(J120,"#,##0"))</f>
        <v/>
      </c>
      <c r="E120" s="640" t="n"/>
      <c r="F120" s="645" t="n"/>
      <c r="G120" s="642">
        <f>IF(K120="","",TEXT(K120,"#,##0"))</f>
        <v/>
      </c>
      <c r="H120" s="642">
        <f>IF(L120="","",TEXT(L120,"#,##0"))</f>
        <v/>
      </c>
      <c r="I120" s="642">
        <f>IF(M120="","",TEXT(M120,"#,##0"))</f>
        <v/>
      </c>
      <c r="J120" s="644">
        <f>SUM(D113:D119)</f>
        <v/>
      </c>
      <c r="K120" s="644">
        <f>SUM(G113:G119)</f>
        <v/>
      </c>
      <c r="L120" s="642">
        <f>SUM(H113:H119)</f>
        <v/>
      </c>
      <c r="M120" s="644">
        <f>SUM(I113:I119)</f>
        <v/>
      </c>
      <c r="N120" s="36">
        <f>IF(I120="","",I120)</f>
        <v/>
      </c>
      <c r="O120" s="552">
        <f>SUM(N114:N119)</f>
        <v/>
      </c>
    </row>
    <row r="121" ht="14.25" customHeight="1" s="468">
      <c r="A121" s="634" t="n"/>
      <c r="B121" s="96" t="n"/>
      <c r="C121" s="97" t="n"/>
      <c r="D121" s="98" t="n"/>
      <c r="E121" s="99" t="n"/>
      <c r="F121" s="552" t="n"/>
      <c r="G121" s="98" t="n"/>
      <c r="H121" s="101" t="n"/>
      <c r="I121" s="102" t="n"/>
      <c r="J121" s="636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K121" s="552" t="n"/>
      <c r="L121" s="55">
        <f>IF(H121="","",H121)</f>
        <v/>
      </c>
      <c r="M121" s="552" t="n"/>
      <c r="N121" s="57">
        <f>IF(I121="","",I121)</f>
        <v/>
      </c>
    </row>
    <row r="122" ht="14.25" customHeight="1" s="468">
      <c r="A122" s="635" t="n">
        <v>46045</v>
      </c>
      <c r="B122" s="47" t="inlineStr">
        <is>
          <t>PRODUTO</t>
        </is>
      </c>
      <c r="C122" s="48" t="inlineStr">
        <is>
          <t>EMBALAGEM</t>
        </is>
      </c>
      <c r="D122" s="49" t="inlineStr">
        <is>
          <t>CAIXAS</t>
        </is>
      </c>
      <c r="E122" s="50" t="inlineStr">
        <is>
          <t>UN</t>
        </is>
      </c>
      <c r="F122" s="552" t="inlineStr">
        <is>
          <t>CX/PALLET</t>
        </is>
      </c>
      <c r="G122" s="49" t="inlineStr">
        <is>
          <t>PALLETS (PBR)</t>
        </is>
      </c>
      <c r="H122" s="52" t="inlineStr">
        <is>
          <t>REAL (CX)</t>
        </is>
      </c>
      <c r="I122" s="53" t="inlineStr">
        <is>
          <t>TOTAL LATAS</t>
        </is>
      </c>
      <c r="J122" s="40" t="n"/>
      <c r="K122" s="552" t="n"/>
      <c r="L122" s="43" t="n"/>
      <c r="M122" s="637" t="n"/>
      <c r="N122" s="44" t="n"/>
    </row>
    <row r="123" ht="14.25" customHeight="1" s="468">
      <c r="A123" s="638" t="n"/>
      <c r="B123" s="96" t="n"/>
      <c r="C123" s="97" t="n"/>
      <c r="D123" s="98" t="n"/>
      <c r="E123" s="99" t="n"/>
      <c r="F123" s="552" t="n"/>
      <c r="G123" s="98" t="n"/>
      <c r="H123" s="101" t="n"/>
      <c r="I123" s="102" t="n"/>
      <c r="J123" s="636">
        <f>IF(D123="","",ROUNDUP(D123/IF(AND(C123="600 ml",ISNUMBER(SEARCH("NORCAU",B123))),95,IF(AND(C123="600 ml",ISNUMBER(SEARCH("APURATOS",B123))),190,IF(C123="600 ml",95,IF(C123="400 ml",125,IF(C123="200 ml",330,IF(C123="180 ml",240,1)))))),0))</f>
        <v/>
      </c>
      <c r="K123" s="552" t="n"/>
      <c r="L123" s="55">
        <f>IF(H123="","",H123)</f>
        <v/>
      </c>
      <c r="M123" s="637" t="n"/>
      <c r="N123" s="57">
        <f>IF(I123="","",I123)</f>
        <v/>
      </c>
    </row>
    <row r="124" ht="14.25" customHeight="1" s="468">
      <c r="A124" s="634" t="n"/>
      <c r="B124" s="47" t="inlineStr">
        <is>
          <t>3 LIMÕES DILUTE</t>
        </is>
      </c>
      <c r="C124" s="48" t="n">
        <v>200</v>
      </c>
      <c r="D124" s="49">
        <f>D116-L116</f>
        <v/>
      </c>
      <c r="E124" s="50" t="inlineStr">
        <is>
          <t>CX</t>
        </is>
      </c>
      <c r="F124" s="552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49">
        <f>IFERROR(ROUNDUP(D124/F124,0),"")</f>
        <v/>
      </c>
      <c r="H124" s="52" t="n">
        <v>184</v>
      </c>
      <c r="I124" s="53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40">
        <f>IF(D124="","",ROUNDUP(D124/IF(AND(C124="600 ml",ISNUMBER(SEARCH("NORCAU",B124))),95,IF(AND(C124="600 ml",ISNUMBER(SEARCH("APURATOS",B124))),190,IF(C124="600 ml",95,IF(C124="400 ml",125,IF(C124="200 ml",330,IF(C124="180 ml",240,1)))))),0))</f>
        <v/>
      </c>
      <c r="K124" s="552" t="n"/>
      <c r="L124" s="43">
        <f>IF(H124="","",H124)</f>
        <v/>
      </c>
      <c r="M124" s="552" t="n"/>
      <c r="N124" s="44">
        <f>IF(I124="","",I124)</f>
        <v/>
      </c>
    </row>
    <row r="125" ht="14.25" customHeight="1" s="468">
      <c r="A125" s="634" t="n"/>
      <c r="B125" s="96" t="inlineStr">
        <is>
          <t>F. VERMELHAS DILUTE</t>
        </is>
      </c>
      <c r="C125" s="97" t="n">
        <v>200</v>
      </c>
      <c r="D125" s="98" t="n">
        <v>330</v>
      </c>
      <c r="E125" s="99" t="inlineStr">
        <is>
          <t>CX</t>
        </is>
      </c>
      <c r="F125" s="552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98">
        <f>IFERROR(ROUNDUP(D125/F125,0),"")</f>
        <v/>
      </c>
      <c r="H125" s="101" t="n">
        <v>197</v>
      </c>
      <c r="I125" s="102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636">
        <f>IF(D125="","",ROUNDUP(D125/IF(AND(C125="600 ml",ISNUMBER(SEARCH("NORCAU",B125))),95,IF(AND(C125="600 ml",ISNUMBER(SEARCH("APURATOS",B125))),190,IF(C125="600 ml",95,IF(C125="400 ml",125,IF(C125="200 ml",330,IF(C125="180 ml",240,1)))))),0))</f>
        <v/>
      </c>
      <c r="K125" s="552" t="n"/>
      <c r="L125" s="55">
        <f>IF(H125="","",H125)</f>
        <v/>
      </c>
      <c r="M125" s="552" t="n"/>
      <c r="N125" s="57">
        <f>IF(I125="","",I125)</f>
        <v/>
      </c>
    </row>
    <row r="126" ht="14.25" customHeight="1" s="468">
      <c r="A126" s="634" t="n"/>
      <c r="B126" s="59" t="inlineStr">
        <is>
          <t>CORANTE AMARELO</t>
        </is>
      </c>
      <c r="C126" s="60" t="n">
        <v>70</v>
      </c>
      <c r="D126" s="79" t="n">
        <v>120</v>
      </c>
      <c r="E126" s="62" t="inlineStr">
        <is>
          <t>CX</t>
        </is>
      </c>
      <c r="F126" s="653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79">
        <f>IFERROR(ROUNDUP(D126/F126,0),"")</f>
        <v/>
      </c>
      <c r="H126" s="79" t="n">
        <v>123</v>
      </c>
      <c r="I126" s="81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670">
        <f>IF(D126="","",ROUNDUP(D126/IF(AND(C126="600 ml",ISNUMBER(SEARCH("NORCAU",B126))),95,IF(AND(C126="600 ml",ISNUMBER(SEARCH("APURATOS",B126))),190,IF(C126="600 ml",95,IF(C126="400 ml",125,IF(C126="200 ml",330,IF(C126="180 ml",240,1)))))),0))</f>
        <v/>
      </c>
      <c r="K126" s="655" t="n"/>
      <c r="L126" s="126">
        <f>IF(H126="","",H126)</f>
        <v/>
      </c>
      <c r="M126" s="655" t="n"/>
      <c r="N126" s="127">
        <f>IF(I126="","",I126)</f>
        <v/>
      </c>
    </row>
    <row r="127" ht="14.25" customHeight="1" s="468">
      <c r="A127" s="638" t="n"/>
      <c r="B127" s="70" t="inlineStr">
        <is>
          <t>CORANTE AZUL</t>
        </is>
      </c>
      <c r="C127" s="71" t="n">
        <v>70</v>
      </c>
      <c r="D127" s="552" t="n">
        <v>120</v>
      </c>
      <c r="E127" t="inlineStr">
        <is>
          <t>CX</t>
        </is>
      </c>
      <c r="F127" s="552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552">
        <f>IFERROR(ROUNDUP(D127/F127,0),"")</f>
        <v/>
      </c>
      <c r="H127" s="552" t="n">
        <v>121</v>
      </c>
      <c r="I127" s="552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552">
        <f>IF(D127="","",ROUNDUP(D127/IF(AND(C127="600 ml",ISNUMBER(SEARCH("NORCAU",B127))),95,IF(AND(C127="600 ml",ISNUMBER(SEARCH("APURATOS",B127))),190,IF(C127="600 ml",95,IF(C127="400 ml",125,IF(C127="200 ml",330,IF(C127="180 ml",240,1)))))),0))</f>
        <v/>
      </c>
      <c r="K127" s="552" t="n"/>
      <c r="L127" s="552">
        <f>IF(H127="","",H127)</f>
        <v/>
      </c>
      <c r="M127" s="552" t="n"/>
      <c r="N127">
        <f>IF(I127="","",I127)</f>
        <v/>
      </c>
    </row>
    <row r="128" ht="19.5" customHeight="1" s="468">
      <c r="A128" s="634" t="n"/>
      <c r="B128" s="30" t="inlineStr">
        <is>
          <t>CORANTE VIOLETA</t>
        </is>
      </c>
      <c r="C128" s="31" t="n">
        <v>70</v>
      </c>
      <c r="D128" s="647" t="n">
        <v>120</v>
      </c>
      <c r="E128" s="32" t="inlineStr">
        <is>
          <t>CX</t>
        </is>
      </c>
      <c r="F128" s="648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647">
        <f>IFERROR(ROUNDUP(D128/F128,0),"")</f>
        <v/>
      </c>
      <c r="H128" s="647" t="n">
        <v>121</v>
      </c>
      <c r="I128" s="649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650">
        <f>IF(D128="","",ROUNDUP(D128/IF(AND(C128="600 ml",ISNUMBER(SEARCH("NORCAU",B128))),95,IF(AND(C128="600 ml",ISNUMBER(SEARCH("APURATOS",B128))),190,IF(C128="600 ml",95,IF(C128="400 ml",125,IF(C128="200 ml",330,IF(C128="180 ml",240,1)))))),0))</f>
        <v/>
      </c>
      <c r="K128" s="650" t="n"/>
      <c r="L128" s="651">
        <f>IF(H128="","",H128)</f>
        <v/>
      </c>
      <c r="M128" s="650" t="n"/>
      <c r="N128" s="36">
        <f>IF(I128="","",I128)</f>
        <v/>
      </c>
    </row>
    <row r="129" ht="14.25" customHeight="1" s="468">
      <c r="A129" s="634" t="n"/>
      <c r="B129" s="96" t="inlineStr">
        <is>
          <t>CORANTE VERMELHO</t>
        </is>
      </c>
      <c r="C129" s="97" t="n">
        <v>70</v>
      </c>
      <c r="D129" s="98" t="n">
        <v>120</v>
      </c>
      <c r="E129" s="99" t="inlineStr">
        <is>
          <t>CX</t>
        </is>
      </c>
      <c r="F129" s="552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98">
        <f>IFERROR(ROUNDUP(D129/F129,0),"")</f>
        <v/>
      </c>
      <c r="H129" s="101" t="n">
        <v>122</v>
      </c>
      <c r="I129" s="102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  <c r="J129" s="636">
        <f>IF(D129="","",ROUNDUP(D129/IF(AND(C129="600 ml",ISNUMBER(SEARCH("NORCAU",B129))),95,IF(AND(C129="600 ml",ISNUMBER(SEARCH("APURATOS",B129))),190,IF(C129="600 ml",95,IF(C129="400 ml",125,IF(C129="200 ml",330,IF(C129="180 ml",240,1)))))),0))</f>
        <v/>
      </c>
      <c r="K129" s="552" t="n"/>
      <c r="L129" s="55">
        <f>IF(H129="","",H129)</f>
        <v/>
      </c>
      <c r="M129" s="552" t="n"/>
      <c r="N129" s="57">
        <f>IF(I129="","",I129)</f>
        <v/>
      </c>
    </row>
    <row r="130" ht="14.25" customHeight="1" s="468">
      <c r="A130" s="635" t="n"/>
      <c r="B130" s="47" t="n"/>
      <c r="C130" s="48" t="n"/>
      <c r="D130" s="49" t="n"/>
      <c r="E130" s="50" t="inlineStr">
        <is>
          <t>CX</t>
        </is>
      </c>
      <c r="F130" s="552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49">
        <f>IFERROR(ROUNDUP(D130/F130,0),"")</f>
        <v/>
      </c>
      <c r="H130" s="52" t="n"/>
      <c r="I130" s="53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  <c r="J130" s="40">
        <f>IF(D130="","",ROUNDUP(D130/IF(AND(C130="600 ml",ISNUMBER(SEARCH("NORCAU",B130))),95,IF(AND(C130="600 ml",ISNUMBER(SEARCH("APURATOS",B130))),190,IF(C130="600 ml",95,IF(C130="400 ml",125,IF(C130="200 ml",330,IF(C130="180 ml",240,1)))))),0))</f>
        <v/>
      </c>
      <c r="K130" s="552" t="n"/>
      <c r="L130" s="43">
        <f>IF(H130="","",H130)</f>
        <v/>
      </c>
      <c r="M130" s="637" t="n"/>
      <c r="N130" s="44">
        <f>IF(I130="","",I130)</f>
        <v/>
      </c>
    </row>
    <row r="131" ht="14.25" customHeight="1" s="468">
      <c r="A131" s="638" t="n"/>
      <c r="B131" s="96" t="n"/>
      <c r="C131" s="97" t="n"/>
      <c r="D131" s="98" t="n"/>
      <c r="E131" s="99" t="n"/>
      <c r="F131" s="552" t="n"/>
      <c r="G131" s="98" t="n"/>
      <c r="H131" s="101" t="n"/>
      <c r="I131" s="102" t="n"/>
      <c r="J131" s="636">
        <f>IF(D131="","",ROUNDUP(D131/IF(AND(C131="600 ml",ISNUMBER(SEARCH("NORCAU",B131))),95,IF(AND(C131="600 ml",ISNUMBER(SEARCH("APURATOS",B131))),190,IF(C131="600 ml",95,IF(C131="400 ml",125,IF(C131="200 ml",330,IF(C131="180 ml",240,1)))))),0))</f>
        <v/>
      </c>
      <c r="K131" s="552" t="n"/>
      <c r="L131" s="55">
        <f>IF(H131="","",H131)</f>
        <v/>
      </c>
      <c r="M131" s="637" t="n"/>
      <c r="N131" s="57">
        <f>IF(I131="","",I131)</f>
        <v/>
      </c>
    </row>
    <row r="132" ht="14.25" customHeight="1" s="468">
      <c r="A132" s="639" t="n"/>
      <c r="B132" s="652" t="inlineStr">
        <is>
          <t>TOTAL</t>
        </is>
      </c>
      <c r="C132" s="641" t="n"/>
      <c r="D132" s="642">
        <f>IF(J132="","",TEXT(J132,"#,##0"))</f>
        <v/>
      </c>
      <c r="E132" s="643" t="n"/>
      <c r="F132" s="644" t="n"/>
      <c r="G132" s="642">
        <f>IF(K132="","",TEXT(K132,"#,##0"))</f>
        <v/>
      </c>
      <c r="H132" s="642">
        <f>IF(L132="","",TEXT(L132,"#,##0"))</f>
        <v/>
      </c>
      <c r="I132" s="642">
        <f>IF(M132="","",TEXT(M132,"#,##0"))</f>
        <v/>
      </c>
      <c r="J132" s="645">
        <f>SUM(D123:D131)</f>
        <v/>
      </c>
      <c r="K132" s="644">
        <f>SUM(G123:G131)</f>
        <v/>
      </c>
      <c r="L132" s="645">
        <f>SUM(H123:H131)</f>
        <v/>
      </c>
      <c r="M132" s="644">
        <f>SUM(I123:I131)</f>
        <v/>
      </c>
      <c r="N132" s="44">
        <f>IF(I132="","",I132)</f>
        <v/>
      </c>
      <c r="O132" s="552">
        <f>SUM(N124:N131)</f>
        <v/>
      </c>
    </row>
    <row r="133" ht="14.25" customHeight="1" s="468">
      <c r="A133" s="634" t="n"/>
      <c r="B133" s="96" t="n"/>
      <c r="C133" s="97" t="n"/>
      <c r="D133" s="98" t="n"/>
      <c r="E133" s="99" t="n"/>
      <c r="F133" s="552" t="n"/>
      <c r="G133" s="98" t="n"/>
      <c r="H133" s="101" t="n"/>
      <c r="I133" s="102" t="n"/>
      <c r="J133" s="636">
        <f>IF(D133="","",ROUNDUP(D133/IF(AND(C133="600 ml",ISNUMBER(SEARCH("NORCAU",B133))),95,IF(AND(C133="600 ml",ISNUMBER(SEARCH("APURATOS",B133))),190,IF(C133="600 ml",95,IF(C133="400 ml",125,IF(C133="200 ml",330,IF(C133="180 ml",240,1)))))),0))</f>
        <v/>
      </c>
      <c r="K133" s="552" t="n"/>
      <c r="L133" s="55">
        <f>IF(H133="","",H133)</f>
        <v/>
      </c>
      <c r="M133" s="552" t="n"/>
      <c r="N133" s="57">
        <f>IF(I133="","",I133)</f>
        <v/>
      </c>
    </row>
    <row r="134" ht="14.25" customHeight="1" s="468">
      <c r="A134" s="646" t="n">
        <v>46048</v>
      </c>
      <c r="B134" s="47" t="inlineStr">
        <is>
          <t>PRODUTO</t>
        </is>
      </c>
      <c r="C134" s="48" t="inlineStr">
        <is>
          <t>EMBALAGEM</t>
        </is>
      </c>
      <c r="D134" s="49" t="inlineStr">
        <is>
          <t>CAIXAS</t>
        </is>
      </c>
      <c r="E134" s="50" t="inlineStr">
        <is>
          <t>UN</t>
        </is>
      </c>
      <c r="F134" s="552" t="inlineStr">
        <is>
          <t>CX/PALLET</t>
        </is>
      </c>
      <c r="G134" s="49" t="inlineStr">
        <is>
          <t>PALLETS (PBR)</t>
        </is>
      </c>
      <c r="H134" s="52" t="inlineStr">
        <is>
          <t>REAL (CX)</t>
        </is>
      </c>
      <c r="I134" s="53" t="inlineStr">
        <is>
          <t>TOTAL LATAS</t>
        </is>
      </c>
      <c r="J134" s="40" t="n"/>
      <c r="K134" s="552" t="n"/>
      <c r="L134" s="43" t="n"/>
      <c r="M134" s="552" t="n"/>
      <c r="N134" s="44" t="n"/>
    </row>
    <row r="135" ht="14.25" customHeight="1" s="468">
      <c r="A135" s="634" t="n"/>
      <c r="B135" s="59" t="n"/>
      <c r="C135" s="60" t="n"/>
      <c r="D135" s="79" t="n"/>
      <c r="E135" s="62" t="n"/>
      <c r="F135" s="653" t="n"/>
      <c r="G135" s="79" t="n"/>
      <c r="H135" s="79" t="n"/>
      <c r="I135" s="81" t="n"/>
      <c r="J135" s="655">
        <f>IF(D135="","",ROUNDUP(D135/IF(AND(C135="600 ml",ISNUMBER(SEARCH("NORCAU",B135))),95,IF(AND(C135="600 ml",ISNUMBER(SEARCH("APURATOS",B135))),190,IF(C135="600 ml",95,IF(C135="400 ml",125,IF(C135="200 ml",330,IF(C135="180 ml",240,1)))))),0))</f>
        <v/>
      </c>
      <c r="K135" s="655" t="n"/>
      <c r="L135" s="89">
        <f>IF(H135="","",H135)</f>
        <v/>
      </c>
      <c r="M135" s="655" t="n"/>
      <c r="N135" s="90">
        <f>IF(I135="","",I135)</f>
        <v/>
      </c>
    </row>
    <row r="136" ht="14.25" customHeight="1" s="468">
      <c r="A136" s="638" t="n"/>
      <c r="B136" s="70" t="n"/>
      <c r="C136" s="71" t="n"/>
      <c r="D136" s="552" t="n"/>
      <c r="E136" t="inlineStr">
        <is>
          <t>CX</t>
        </is>
      </c>
      <c r="F136" s="552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552">
        <f>IFERROR(ROUNDUP(D136/F136,0),"")</f>
        <v/>
      </c>
      <c r="H136" s="552" t="n"/>
      <c r="I136" s="552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552">
        <f>IF(D136="","",ROUNDUP(D136/IF(AND(C136="600 ml",ISNUMBER(SEARCH("NORCAU",B136))),95,IF(AND(C136="600 ml",ISNUMBER(SEARCH("APURATOS",B136))),190,IF(C136="600 ml",95,IF(C136="400 ml",125,IF(C136="200 ml",330,IF(C136="180 ml",240,1)))))),0))</f>
        <v/>
      </c>
      <c r="K136" s="552" t="n"/>
      <c r="L136" s="552">
        <f>IF(H136="","",H136)</f>
        <v/>
      </c>
      <c r="M136" s="552" t="n"/>
      <c r="N136">
        <f>IF(I136="","",I136)</f>
        <v/>
      </c>
    </row>
    <row r="137" ht="19.5" customHeight="1" s="468">
      <c r="A137" s="634" t="n"/>
      <c r="B137" s="30" t="inlineStr">
        <is>
          <t xml:space="preserve">UNTA FACIL </t>
        </is>
      </c>
      <c r="C137" s="31" t="n">
        <v>180</v>
      </c>
      <c r="D137" s="647" t="n">
        <v>720</v>
      </c>
      <c r="E137" s="32" t="inlineStr">
        <is>
          <t>CX</t>
        </is>
      </c>
      <c r="F137" s="648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647">
        <f>IFERROR(ROUNDUP(D137/F137,0),"")</f>
        <v/>
      </c>
      <c r="H137" s="647" t="n">
        <v>722</v>
      </c>
      <c r="I137" s="649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  <c r="J137" s="650">
        <f>IF(D137="","",ROUNDUP(D137/IF(AND(C137="600 ml",ISNUMBER(SEARCH("NORCAU",B137))),95,IF(AND(C137="600 ml",ISNUMBER(SEARCH("APURATOS",B137))),190,IF(C137="600 ml",95,IF(C137="400 ml",125,IF(C137="200 ml",330,IF(C137="180 ml",240,1)))))),0))</f>
        <v/>
      </c>
      <c r="K137" s="650" t="n"/>
      <c r="L137" s="651">
        <f>IF(H137="","",H137)</f>
        <v/>
      </c>
      <c r="M137" s="650" t="n"/>
      <c r="N137" s="36">
        <f>IF(I137="","",I137)</f>
        <v/>
      </c>
    </row>
    <row r="138" ht="14.25" customHeight="1" s="468">
      <c r="A138" s="634" t="n"/>
      <c r="B138" s="38" t="inlineStr">
        <is>
          <t>GELINHO ICEBERG</t>
        </is>
      </c>
      <c r="C138" s="39" t="n">
        <v>210</v>
      </c>
      <c r="D138" s="40" t="n">
        <v>233</v>
      </c>
      <c r="E138" s="41" t="inlineStr">
        <is>
          <t>CX</t>
        </is>
      </c>
      <c r="F138" s="552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40">
        <f>IFERROR(ROUNDUP(D138/F138,0),"")</f>
        <v/>
      </c>
      <c r="H138" s="43" t="n">
        <v>176.25</v>
      </c>
      <c r="I138" s="44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  <c r="J138" s="40">
        <f>IF(D138="","",ROUNDUP(D138/IF(AND(C138="600 ml",ISNUMBER(SEARCH("NORCAU",B138))),95,IF(AND(C138="600 ml",ISNUMBER(SEARCH("APURATOS",B138))),190,IF(C138="600 ml",95,IF(C138="400 ml",125,IF(C138="200 ml",330,IF(C138="180 ml",240,1)))))),0))</f>
        <v/>
      </c>
      <c r="K138" s="552" t="n"/>
      <c r="L138" s="43">
        <f>IF(H138="","",H138)</f>
        <v/>
      </c>
      <c r="M138" s="552" t="n"/>
      <c r="N138" s="44">
        <f>IF(I138="","",I138)</f>
        <v/>
      </c>
    </row>
    <row r="139" ht="14.25" customHeight="1" s="468">
      <c r="A139" s="635" t="n"/>
      <c r="B139" s="47" t="inlineStr">
        <is>
          <t xml:space="preserve">UNTA FACIL </t>
        </is>
      </c>
      <c r="C139" s="48" t="n">
        <v>400</v>
      </c>
      <c r="D139" s="49" t="n">
        <v>1000</v>
      </c>
      <c r="E139" s="50" t="inlineStr">
        <is>
          <t>CX</t>
        </is>
      </c>
      <c r="F139" s="552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49">
        <f>IFERROR(ROUNDUP(D139/F139,0),"")</f>
        <v/>
      </c>
      <c r="H139" s="52" t="n">
        <v>346</v>
      </c>
      <c r="I139" s="53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  <c r="J139" s="636">
        <f>IF(D139="","",ROUNDUP(D139/IF(AND(C139="600 ml",ISNUMBER(SEARCH("NORCAU",B139))),95,IF(AND(C139="600 ml",ISNUMBER(SEARCH("APURATOS",B139))),190,IF(C139="600 ml",95,IF(C139="400 ml",125,IF(C139="200 ml",330,IF(C139="180 ml",240,1)))))),0))</f>
        <v/>
      </c>
      <c r="K139" s="552" t="n"/>
      <c r="L139" s="55">
        <f>IF(H139="","",H139)</f>
        <v/>
      </c>
      <c r="M139" s="637" t="n"/>
      <c r="N139" s="57">
        <f>IF(I139="","",I139)</f>
        <v/>
      </c>
    </row>
    <row r="140" ht="14.25" customHeight="1" s="468">
      <c r="A140" s="638" t="n"/>
      <c r="B140" s="38" t="n"/>
      <c r="C140" s="39" t="n"/>
      <c r="D140" s="40" t="n"/>
      <c r="E140" s="41" t="inlineStr">
        <is>
          <t>CX</t>
        </is>
      </c>
      <c r="F140" s="552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40">
        <f>IFERROR(ROUNDUP(D140/F140,0),"")</f>
        <v/>
      </c>
      <c r="H140" s="43" t="n"/>
      <c r="I140" s="44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40">
        <f>IF(D140="","",ROUNDUP(D140/IF(AND(C140="600 ml",ISNUMBER(SEARCH("NORCAU",B140))),95,IF(AND(C140="600 ml",ISNUMBER(SEARCH("APURATOS",B140))),190,IF(C140="600 ml",95,IF(C140="400 ml",125,IF(C140="200 ml",330,IF(C140="180 ml",240,1)))))),0))</f>
        <v/>
      </c>
      <c r="K140" s="552" t="n"/>
      <c r="L140" s="43">
        <f>IF(H140="","",H140)</f>
        <v/>
      </c>
      <c r="M140" s="637" t="n"/>
      <c r="N140" s="44">
        <f>IF(I140="","",I140)</f>
        <v/>
      </c>
    </row>
    <row r="141" ht="14.25" customHeight="1" s="468">
      <c r="A141" s="634" t="n"/>
      <c r="B141" s="47" t="n"/>
      <c r="C141" s="48" t="n"/>
      <c r="D141" s="49" t="n"/>
      <c r="E141" s="50" t="n"/>
      <c r="F141" s="552" t="n"/>
      <c r="G141" s="49" t="n"/>
      <c r="H141" s="52" t="n"/>
      <c r="I141" s="53" t="n"/>
      <c r="J141" s="636">
        <f>IF(D141="","",ROUNDUP(D141/IF(AND(C141="600 ml",ISNUMBER(SEARCH("NORCAU",B141))),95,IF(AND(C141="600 ml",ISNUMBER(SEARCH("APURATOS",B141))),190,IF(C141="600 ml",95,IF(C141="400 ml",125,IF(C141="200 ml",330,IF(C141="180 ml",240,1)))))),0))</f>
        <v/>
      </c>
      <c r="K141" s="552" t="n"/>
      <c r="L141" s="55">
        <f>IF(H141="","",H141)</f>
        <v/>
      </c>
      <c r="M141" s="552" t="n"/>
      <c r="N141" s="57">
        <f>IF(I141="","",I141)</f>
        <v/>
      </c>
    </row>
    <row r="142" ht="14.25" customHeight="1" s="468">
      <c r="A142" s="639" t="n"/>
      <c r="B142" s="652" t="inlineStr">
        <is>
          <t>TOTAL</t>
        </is>
      </c>
      <c r="C142" s="641" t="n"/>
      <c r="D142" s="642">
        <f>IF(J142="","",TEXT(J142,"#,##0"))</f>
        <v/>
      </c>
      <c r="E142" s="643" t="n"/>
      <c r="F142" s="644" t="n"/>
      <c r="G142" s="642">
        <f>IF(K142="","",TEXT(K142,"#,##0"))</f>
        <v/>
      </c>
      <c r="H142" s="642">
        <f>IF(L142="","",TEXT(L142,"#,##0"))</f>
        <v/>
      </c>
      <c r="I142" s="642">
        <f>IF(M142="","",TEXT(M142,"#,##0"))</f>
        <v/>
      </c>
      <c r="J142" s="645">
        <f>SUM(D135:D141)</f>
        <v/>
      </c>
      <c r="K142" s="644">
        <f>SUM(G135:G141)</f>
        <v/>
      </c>
      <c r="L142" s="645">
        <f>SUM(H135:H141)</f>
        <v/>
      </c>
      <c r="M142" s="644">
        <f>SUM(I135:I141)</f>
        <v/>
      </c>
      <c r="N142" s="44">
        <f>IF(I142="","",I142)</f>
        <v/>
      </c>
      <c r="O142" s="552">
        <f>SUM(N136:N141)</f>
        <v/>
      </c>
    </row>
    <row r="143" ht="14.25" customHeight="1" s="468">
      <c r="A143" s="634" t="n"/>
      <c r="B143" s="47" t="n"/>
      <c r="C143" s="48" t="n"/>
      <c r="D143" s="49" t="n"/>
      <c r="E143" s="50" t="n"/>
      <c r="F143" s="552" t="n"/>
      <c r="G143" s="49" t="n"/>
      <c r="H143" s="52" t="n"/>
      <c r="I143" s="53" t="n"/>
      <c r="J143" s="636">
        <f>IF(D143="","",ROUNDUP(D143/IF(AND(C143="600 ml",ISNUMBER(SEARCH("NORCAU",B143))),95,IF(AND(C143="600 ml",ISNUMBER(SEARCH("APURATOS",B143))),190,IF(C143="600 ml",95,IF(C143="400 ml",125,IF(C143="200 ml",330,IF(C143="180 ml",240,1)))))),0))</f>
        <v/>
      </c>
      <c r="K143" s="552" t="n"/>
      <c r="L143" s="55">
        <f>IF(H143="","",H143)</f>
        <v/>
      </c>
      <c r="M143" s="552" t="n"/>
      <c r="N143" s="57">
        <f>IF(I143="","",I143)</f>
        <v/>
      </c>
    </row>
    <row r="144" ht="14.25" customHeight="1" s="468">
      <c r="A144" s="646" t="n">
        <v>46049</v>
      </c>
      <c r="B144" s="88" t="inlineStr">
        <is>
          <t>PRODUTO</t>
        </is>
      </c>
      <c r="C144" s="97" t="inlineStr">
        <is>
          <t>EMBALAGEM</t>
        </is>
      </c>
      <c r="D144" s="671" t="inlineStr">
        <is>
          <t>CAIXAS</t>
        </is>
      </c>
      <c r="E144" s="128" t="inlineStr">
        <is>
          <t>UN</t>
        </is>
      </c>
      <c r="F144" s="552" t="inlineStr">
        <is>
          <t>CX/PALLET</t>
        </is>
      </c>
      <c r="G144" s="552" t="inlineStr">
        <is>
          <t>PALLETS (PBR)</t>
        </is>
      </c>
      <c r="H144" s="672" t="inlineStr">
        <is>
          <t>REAL (CX)</t>
        </is>
      </c>
      <c r="I144" s="673" t="inlineStr">
        <is>
          <t>TOTAL LATAS</t>
        </is>
      </c>
      <c r="J144" s="671" t="n"/>
      <c r="K144" s="552" t="n"/>
      <c r="L144" s="672" t="n"/>
      <c r="M144" s="552" t="n"/>
      <c r="N144" s="130" t="n"/>
    </row>
    <row r="145" ht="14.25" customHeight="1" s="468">
      <c r="A145" s="634" t="n"/>
      <c r="B145" s="47" t="n"/>
      <c r="C145" s="48" t="n"/>
      <c r="D145" s="49" t="n"/>
      <c r="E145" s="50" t="n"/>
      <c r="F145" s="552" t="n"/>
      <c r="G145" s="49" t="n"/>
      <c r="H145" s="661" t="n"/>
      <c r="I145" s="53" t="n"/>
      <c r="J145" s="636">
        <f>IF(D145="","",ROUNDUP(D145/IF(AND(C145="600 ml",ISNUMBER(SEARCH("NORCAU",B145))),95,IF(AND(C145="600 ml",ISNUMBER(SEARCH("APURATOS",B145))),190,IF(C145="600 ml",95,IF(C145="400 ml",125,IF(C145="200 ml",330,IF(C145="180 ml",240,1)))))),0))</f>
        <v/>
      </c>
      <c r="K145" s="552" t="n"/>
      <c r="L145" s="637">
        <f>IF(H145="","",H145)</f>
        <v/>
      </c>
      <c r="M145" s="552" t="n"/>
      <c r="N145" s="130">
        <f>IF(I145="","",I145)</f>
        <v/>
      </c>
      <c r="Q145" s="466" t="inlineStr">
        <is>
          <t>CALDEIRA QUEBRADA</t>
        </is>
      </c>
      <c r="U145" s="514" t="n"/>
    </row>
    <row r="146" ht="14.25" customHeight="1" s="468">
      <c r="A146" s="634" t="n"/>
      <c r="B146" s="88" t="inlineStr">
        <is>
          <t xml:space="preserve">UNTA FACIL </t>
        </is>
      </c>
      <c r="C146" s="71" t="n">
        <v>400</v>
      </c>
      <c r="D146" s="552">
        <f>D139-L139</f>
        <v/>
      </c>
      <c r="E146" t="inlineStr">
        <is>
          <t>CX</t>
        </is>
      </c>
      <c r="F146" s="552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552">
        <f>IFERROR(ROUNDUP(D146/F146,0),"")</f>
        <v/>
      </c>
      <c r="H146" s="637" t="n">
        <v>654</v>
      </c>
      <c r="I146" s="657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  <c r="J146" s="552">
        <f>IF(D146="","",ROUNDUP(D146/IF(AND(C146="600 ml",ISNUMBER(SEARCH("NORCAU",B146))),95,IF(AND(C146="600 ml",ISNUMBER(SEARCH("APURATOS",B146))),190,IF(C146="600 ml",95,IF(C146="400 ml",125,IF(C146="200 ml",330,IF(C146="180 ml",240,1)))))),0))</f>
        <v/>
      </c>
      <c r="K146" s="552" t="n"/>
      <c r="L146" s="637">
        <f>IF(H146="","",H146)</f>
        <v/>
      </c>
      <c r="M146" s="552" t="n"/>
      <c r="N146" s="514">
        <f>IF(I146="","",I146)</f>
        <v/>
      </c>
      <c r="U146" s="514" t="n"/>
    </row>
    <row r="147" ht="14.25" customHeight="1" s="468">
      <c r="A147" s="638" t="n"/>
      <c r="B147" s="59" t="n"/>
      <c r="C147" s="60" t="n"/>
      <c r="D147" s="79" t="n"/>
      <c r="E147" s="62" t="inlineStr">
        <is>
          <t>CX</t>
        </is>
      </c>
      <c r="F147" s="653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79">
        <f>IFERROR(ROUNDUP(D147/F147,0),"")</f>
        <v/>
      </c>
      <c r="H147" s="79" t="n"/>
      <c r="I147" s="81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  <c r="J147" s="655">
        <f>IF(D147="","",ROUNDUP(D147/IF(AND(C147="600 ml",ISNUMBER(SEARCH("NORCAU",B147))),95,IF(AND(C147="600 ml",ISNUMBER(SEARCH("APURATOS",B147))),190,IF(C147="600 ml",95,IF(C147="400 ml",125,IF(C147="200 ml",330,IF(C147="180 ml",240,1)))))),0))</f>
        <v/>
      </c>
      <c r="K147" s="655" t="n"/>
      <c r="L147" s="89">
        <f>IF(H147="","",H147)</f>
        <v/>
      </c>
      <c r="M147" s="655" t="n"/>
      <c r="N147" s="90">
        <f>IF(I147="","",I147)</f>
        <v/>
      </c>
      <c r="U147" s="514" t="n"/>
    </row>
    <row r="148" ht="14.25" customHeight="1" s="468">
      <c r="A148" s="638" t="n"/>
      <c r="B148" s="70" t="n"/>
      <c r="C148" s="71" t="n"/>
      <c r="D148" s="552" t="n"/>
      <c r="E148" t="inlineStr">
        <is>
          <t>CX</t>
        </is>
      </c>
      <c r="F148" s="552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552">
        <f>IFERROR(ROUNDUP(D148/F148,0),"")</f>
        <v/>
      </c>
      <c r="H148" s="552" t="n"/>
      <c r="I148" s="552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552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K148" s="552" t="n"/>
      <c r="L148" s="552">
        <f>IF(H148="","",H148)</f>
        <v/>
      </c>
      <c r="M148" s="552" t="n"/>
      <c r="N148">
        <f>IF(I148="","",I148)</f>
        <v/>
      </c>
      <c r="Q148" s="465" t="n"/>
      <c r="R148" s="465" t="n"/>
      <c r="S148" s="465" t="n"/>
      <c r="T148" s="465" t="n"/>
      <c r="U148" s="466" t="n"/>
    </row>
    <row r="149" ht="19.5" customHeight="1" s="468">
      <c r="A149" s="634" t="n"/>
      <c r="B149" s="30" t="n"/>
      <c r="C149" s="31" t="n"/>
      <c r="D149" s="647" t="n"/>
      <c r="E149" s="32" t="n"/>
      <c r="F149" s="648" t="n"/>
      <c r="G149" s="647" t="n"/>
      <c r="H149" s="647" t="n"/>
      <c r="I149" s="649" t="n"/>
      <c r="J149" s="650">
        <f>IF(D149="","",ROUNDUP(D149/IF(AND(C149="600 ml",ISNUMBER(SEARCH("NORCAU",B149))),95,IF(AND(C149="600 ml",ISNUMBER(SEARCH("APURATOS",B149))),190,IF(C149="600 ml",95,IF(C149="400 ml",125,IF(C149="200 ml",330,IF(C149="180 ml",240,1)))))),0))</f>
        <v/>
      </c>
      <c r="K149" s="650" t="n"/>
      <c r="L149" s="651">
        <f>IF(H149="","",H149)</f>
        <v/>
      </c>
      <c r="M149" s="650" t="n"/>
      <c r="N149" s="36">
        <f>IF(I149="","",I149)</f>
        <v/>
      </c>
    </row>
    <row r="150" ht="14.25" customHeight="1" s="468">
      <c r="A150" s="639" t="n"/>
      <c r="B150" s="652" t="inlineStr">
        <is>
          <t>TOTAL</t>
        </is>
      </c>
      <c r="C150" s="641" t="n"/>
      <c r="D150" s="642">
        <f>IF(J150="","",TEXT(J150,"#,##0"))</f>
        <v/>
      </c>
      <c r="E150" s="643" t="n"/>
      <c r="F150" s="644" t="n"/>
      <c r="G150" s="642">
        <f>IF(K150="","",TEXT(K150,"#,##0"))</f>
        <v/>
      </c>
      <c r="H150" s="642">
        <f>IF(L150="","",TEXT(L150,"#,##0"))</f>
        <v/>
      </c>
      <c r="I150" s="642">
        <f>IF(M150="","",TEXT(M150,"#,##0"))</f>
        <v/>
      </c>
      <c r="J150" s="645">
        <f>SUM(D145:D149)</f>
        <v/>
      </c>
      <c r="K150" s="644">
        <f>SUM(G145:G149)</f>
        <v/>
      </c>
      <c r="L150" s="645">
        <f>SUM(H145:H149)</f>
        <v/>
      </c>
      <c r="M150" s="644">
        <f>SUM(I145:I149)</f>
        <v/>
      </c>
      <c r="N150" s="44">
        <f>IF(I150="","",I150)</f>
        <v/>
      </c>
      <c r="O150" s="552">
        <f>SUM(N146:N149)</f>
        <v/>
      </c>
    </row>
    <row r="151" ht="14.25" customHeight="1" s="468">
      <c r="A151" s="635" t="n"/>
      <c r="B151" s="47" t="n"/>
      <c r="C151" s="48" t="n"/>
      <c r="D151" s="49" t="n"/>
      <c r="E151" s="50" t="n"/>
      <c r="F151" s="552" t="n"/>
      <c r="G151" s="49" t="n"/>
      <c r="H151" s="52" t="n"/>
      <c r="I151" s="53" t="n"/>
      <c r="J151" s="636">
        <f>IF(D151="","",ROUNDUP(D151/IF(AND(C151="600 ml",ISNUMBER(SEARCH("NORCAU",B151))),95,IF(AND(C151="600 ml",ISNUMBER(SEARCH("APURATOS",B151))),190,IF(C151="600 ml",95,IF(C151="400 ml",125,IF(C151="200 ml",330,IF(C151="180 ml",240,1)))))),0))</f>
        <v/>
      </c>
      <c r="K151" s="552" t="n"/>
      <c r="L151" s="55">
        <f>IF(H151="","",H151)</f>
        <v/>
      </c>
      <c r="M151" s="637" t="n"/>
      <c r="N151" s="57">
        <f>IF(I151="","",I151)</f>
        <v/>
      </c>
    </row>
    <row r="152" ht="14.25" customHeight="1" s="468">
      <c r="A152" s="646" t="n">
        <v>46050</v>
      </c>
      <c r="B152" s="38" t="inlineStr">
        <is>
          <t>PRODUTO</t>
        </is>
      </c>
      <c r="C152" s="39" t="inlineStr">
        <is>
          <t>EMBALAGEM</t>
        </is>
      </c>
      <c r="D152" s="40" t="inlineStr">
        <is>
          <t>CAIXAS</t>
        </is>
      </c>
      <c r="E152" s="41" t="inlineStr">
        <is>
          <t>UN</t>
        </is>
      </c>
      <c r="F152" s="552" t="inlineStr">
        <is>
          <t>CX/PALLET</t>
        </is>
      </c>
      <c r="G152" s="40" t="inlineStr">
        <is>
          <t>PALLETS (PBR)</t>
        </is>
      </c>
      <c r="H152" s="43" t="inlineStr">
        <is>
          <t>REAL (CX)</t>
        </is>
      </c>
      <c r="I152" s="44" t="inlineStr">
        <is>
          <t>TOTAL LATAS</t>
        </is>
      </c>
      <c r="J152" s="40" t="n"/>
      <c r="K152" s="552" t="n"/>
      <c r="L152" s="43" t="n"/>
      <c r="M152" s="637" t="n"/>
      <c r="N152" s="44" t="n"/>
    </row>
    <row r="153" ht="14.25" customHeight="1" s="468">
      <c r="A153" s="634" t="n"/>
      <c r="B153" s="47" t="n"/>
      <c r="C153" s="48" t="n"/>
      <c r="D153" s="49" t="n"/>
      <c r="E153" s="50" t="n"/>
      <c r="F153" s="552" t="n"/>
      <c r="G153" s="49" t="n"/>
      <c r="H153" s="52" t="n"/>
      <c r="I153" s="53" t="n"/>
      <c r="J153" s="636">
        <f>IF(D153="","",ROUNDUP(D153/IF(AND(C153="600 ml",ISNUMBER(SEARCH("NORCAU",B153))),95,IF(AND(C153="600 ml",ISNUMBER(SEARCH("APURATOS",B153))),190,IF(C153="600 ml",95,IF(C153="400 ml",125,IF(C153="200 ml",330,IF(C153="180 ml",240,1)))))),0))</f>
        <v/>
      </c>
      <c r="K153" s="552" t="n"/>
      <c r="L153" s="55">
        <f>IF(H153="","",H153)</f>
        <v/>
      </c>
      <c r="M153" s="552" t="n"/>
      <c r="N153" s="57">
        <f>IF(I153="","",I153)</f>
        <v/>
      </c>
    </row>
    <row r="154" ht="14.25" customHeight="1" s="468">
      <c r="A154" s="634" t="n"/>
      <c r="B154" s="38" t="n"/>
      <c r="C154" s="39" t="n"/>
      <c r="D154" s="40" t="n"/>
      <c r="E154" s="41" t="inlineStr">
        <is>
          <t>CX</t>
        </is>
      </c>
      <c r="F154" s="552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40">
        <f>IFERROR(ROUNDUP(D154/F154,0),"")</f>
        <v/>
      </c>
      <c r="H154" s="43" t="n"/>
      <c r="I154" s="44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40">
        <f>IF(D154="","",ROUNDUP(D154/IF(AND(C154="600 ml",ISNUMBER(SEARCH("NORCAU",B154))),95,IF(AND(C154="600 ml",ISNUMBER(SEARCH("APURATOS",B154))),190,IF(C154="600 ml",95,IF(C154="400 ml",125,IF(C154="200 ml",330,IF(C154="180 ml",240,1)))))),0))</f>
        <v/>
      </c>
      <c r="K154" s="552" t="n"/>
      <c r="L154" s="43">
        <f>IF(H154="","",H154)</f>
        <v/>
      </c>
      <c r="M154" s="552" t="n"/>
      <c r="N154" s="44">
        <f>IF(I154="","",I154)</f>
        <v/>
      </c>
      <c r="Q154" s="466" t="inlineStr">
        <is>
          <t>CALDEIRA QUEBRADA</t>
        </is>
      </c>
      <c r="U154" s="514" t="n"/>
    </row>
    <row r="155" ht="14.25" customHeight="1" s="468">
      <c r="A155" s="634" t="n"/>
      <c r="B155" s="47" t="n"/>
      <c r="C155" s="48" t="n"/>
      <c r="D155" s="49" t="n"/>
      <c r="E155" s="50" t="inlineStr">
        <is>
          <t>CX</t>
        </is>
      </c>
      <c r="F155" s="552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49">
        <f>IFERROR(ROUNDUP(D155/F155,0),"")</f>
        <v/>
      </c>
      <c r="H155" s="52" t="n"/>
      <c r="I155" s="53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  <c r="J155" s="636">
        <f>IF(D155="","",ROUNDUP(D155/IF(AND(C155="600 ml",ISNUMBER(SEARCH("NORCAU",B155))),95,IF(AND(C155="600 ml",ISNUMBER(SEARCH("APURATOS",B155))),190,IF(C155="600 ml",95,IF(C155="400 ml",125,IF(C155="200 ml",330,IF(C155="180 ml",240,1)))))),0))</f>
        <v/>
      </c>
      <c r="K155" s="552" t="n"/>
      <c r="L155" s="55">
        <f>IF(H155="","",H155)</f>
        <v/>
      </c>
      <c r="M155" s="552" t="n"/>
      <c r="N155" s="57">
        <f>IF(I155="","",I155)</f>
        <v/>
      </c>
      <c r="U155" s="514" t="n"/>
    </row>
    <row r="156" ht="14.25" customHeight="1" s="468">
      <c r="A156" s="634" t="n"/>
      <c r="B156" s="59" t="n"/>
      <c r="C156" s="60" t="n"/>
      <c r="D156" s="79" t="n"/>
      <c r="E156" s="62" t="inlineStr">
        <is>
          <t>CX</t>
        </is>
      </c>
      <c r="F156" s="653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79">
        <f>IFERROR(ROUNDUP(D156/F156,0),"")</f>
        <v/>
      </c>
      <c r="H156" s="79" t="n"/>
      <c r="I156" s="81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655">
        <f>IF(D156="","",ROUNDUP(D156/IF(AND(C156="600 ml",ISNUMBER(SEARCH("NORCAU",B156))),95,IF(AND(C156="600 ml",ISNUMBER(SEARCH("APURATOS",B156))),190,IF(C156="600 ml",95,IF(C156="400 ml",125,IF(C156="200 ml",330,IF(C156="180 ml",240,1)))))),0))</f>
        <v/>
      </c>
      <c r="K156" s="655" t="n"/>
      <c r="L156" s="89">
        <f>IF(H156="","",H156)</f>
        <v/>
      </c>
      <c r="M156" s="655" t="n"/>
      <c r="N156" s="90">
        <f>IF(I156="","",I156)</f>
        <v/>
      </c>
      <c r="U156" s="514" t="n"/>
    </row>
    <row r="157" ht="14.25" customHeight="1" s="468">
      <c r="A157" s="638" t="n"/>
      <c r="B157" s="70" t="n"/>
      <c r="C157" s="71" t="n"/>
      <c r="D157" s="552" t="n"/>
      <c r="E157" t="inlineStr">
        <is>
          <t>CX</t>
        </is>
      </c>
      <c r="F157" s="552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552">
        <f>IFERROR(ROUNDUP(D157/F157,0),"")</f>
        <v/>
      </c>
      <c r="H157" s="552" t="n"/>
      <c r="I157" s="552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>
        <f>IF(D157="","",ROUNDUP(D157/IF(AND(C157="600 ml",ISNUMBER(SEARCH("NORCAU",B157))),95,IF(AND(C157="600 ml",ISNUMBER(SEARCH("APURATOS",B157))),190,IF(C157="600 ml",95,IF(C157="400 ml",125,IF(C157="200 ml",330,IF(C157="180 ml",240,1)))))),0))</f>
        <v/>
      </c>
      <c r="K157" s="552" t="n"/>
      <c r="L157" s="552">
        <f>IF(H157="","",H157)</f>
        <v/>
      </c>
      <c r="M157" s="552" t="n"/>
      <c r="N157">
        <f>IF(I157="","",I157)</f>
        <v/>
      </c>
      <c r="Q157" s="465" t="n"/>
      <c r="R157" s="465" t="n"/>
      <c r="S157" s="465" t="n"/>
      <c r="T157" s="465" t="n"/>
      <c r="U157" s="466" t="n"/>
    </row>
    <row r="158" ht="19.5" customHeight="1" s="468">
      <c r="A158" s="634" t="n"/>
      <c r="B158" s="30" t="n"/>
      <c r="C158" s="31" t="n"/>
      <c r="D158" s="647" t="n"/>
      <c r="E158" s="32" t="inlineStr">
        <is>
          <t>CX</t>
        </is>
      </c>
      <c r="F158" s="648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647">
        <f>IFERROR(ROUNDUP(D158/F158,0),"")</f>
        <v/>
      </c>
      <c r="H158" s="647" t="n"/>
      <c r="I158" s="649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650">
        <f>IF(D158="","",ROUNDUP(D158/IF(AND(C158="600 ml",ISNUMBER(SEARCH("NORCAU",B158))),95,IF(AND(C158="600 ml",ISNUMBER(SEARCH("APURATOS",B158))),190,IF(C158="600 ml",95,IF(C158="400 ml",125,IF(C158="200 ml",330,IF(C158="180 ml",240,1)))))),0))</f>
        <v/>
      </c>
      <c r="K158" s="650" t="n"/>
      <c r="L158" s="651">
        <f>IF(H158="","",H158)</f>
        <v/>
      </c>
      <c r="M158" s="650" t="n"/>
      <c r="N158" s="36">
        <f>IF(I158="","",I158)</f>
        <v/>
      </c>
    </row>
    <row r="159" ht="14.25" customHeight="1" s="468">
      <c r="A159" s="634" t="n"/>
      <c r="B159" s="96" t="n"/>
      <c r="C159" s="97" t="n"/>
      <c r="D159" s="98" t="n"/>
      <c r="E159" s="99" t="inlineStr">
        <is>
          <t>CX</t>
        </is>
      </c>
      <c r="F159" s="552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98">
        <f>IFERROR(ROUNDUP(D159/F159,0),"")</f>
        <v/>
      </c>
      <c r="H159" s="101" t="n"/>
      <c r="I159" s="102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636">
        <f>IF(D159="","",ROUNDUP(D159/IF(AND(C159="600 ml",ISNUMBER(SEARCH("NORCAU",B159))),95,IF(AND(C159="600 ml",ISNUMBER(SEARCH("APURATOS",B159))),190,IF(C159="600 ml",95,IF(C159="400 ml",125,IF(C159="200 ml",330,IF(C159="180 ml",240,1)))))),0))</f>
        <v/>
      </c>
      <c r="K159" s="552" t="n"/>
      <c r="L159" s="55">
        <f>IF(H159="","",H159)</f>
        <v/>
      </c>
      <c r="M159" s="552" t="n"/>
      <c r="N159" s="57">
        <f>IF(I159="","",I159)</f>
        <v/>
      </c>
    </row>
    <row r="160" ht="14.25" customHeight="1" s="468">
      <c r="A160" s="635" t="n"/>
      <c r="B160" s="47" t="n"/>
      <c r="C160" s="48" t="n"/>
      <c r="D160" s="49" t="n"/>
      <c r="E160" s="50" t="n"/>
      <c r="F160" s="552" t="n"/>
      <c r="G160" s="49" t="n"/>
      <c r="H160" s="52" t="n"/>
      <c r="I160" s="53" t="n"/>
      <c r="J160" s="40">
        <f>IF(D160="","",ROUNDUP(D160/IF(AND(C160="600 ml",ISNUMBER(SEARCH("NORCAU",B160))),95,IF(AND(C160="600 ml",ISNUMBER(SEARCH("APURATOS",B160))),190,IF(C160="600 ml",95,IF(C160="400 ml",125,IF(C160="200 ml",330,IF(C160="180 ml",240,1)))))),0))</f>
        <v/>
      </c>
      <c r="K160" s="552" t="n"/>
      <c r="L160" s="43">
        <f>IF(H160="","",H160)</f>
        <v/>
      </c>
      <c r="M160" s="637" t="n"/>
      <c r="N160" s="44">
        <f>IF(I160="","",I160)</f>
        <v/>
      </c>
    </row>
    <row r="161" ht="14.25" customHeight="1" s="468">
      <c r="A161" s="658" t="n"/>
      <c r="B161" s="652" t="inlineStr">
        <is>
          <t>TOTAL</t>
        </is>
      </c>
      <c r="C161" s="641" t="n"/>
      <c r="D161" s="642">
        <f>IF(J161="","",TEXT(J161,"#,##0"))</f>
        <v/>
      </c>
      <c r="E161" s="643" t="n"/>
      <c r="F161" s="644" t="n"/>
      <c r="G161" s="642">
        <f>IF(K161="","",TEXT(K161,"#,##0"))</f>
        <v/>
      </c>
      <c r="H161" s="642">
        <f>IF(L161="","",TEXT(L161,"#,##0"))</f>
        <v/>
      </c>
      <c r="I161" s="642">
        <f>IF(M161="","",TEXT(M161,"#,##0"))</f>
        <v/>
      </c>
      <c r="J161" s="645">
        <f>SUM(D153:D160)</f>
        <v/>
      </c>
      <c r="K161" s="644">
        <f>SUM(G153:G160)</f>
        <v/>
      </c>
      <c r="L161" s="645">
        <f>SUM(H153:H160)</f>
        <v/>
      </c>
      <c r="M161" s="644">
        <f>SUM(I153:I160)</f>
        <v/>
      </c>
      <c r="N161" s="57">
        <f>IF(I161="","",I161)</f>
        <v/>
      </c>
      <c r="O161" s="552">
        <f>SUM(N154:N160)</f>
        <v/>
      </c>
    </row>
    <row r="162" ht="14.25" customHeight="1" s="468">
      <c r="A162" s="634" t="n"/>
      <c r="B162" s="38" t="n"/>
      <c r="C162" s="39" t="n"/>
      <c r="D162" s="40" t="n"/>
      <c r="E162" s="41" t="n"/>
      <c r="F162" s="552" t="n"/>
      <c r="G162" s="40" t="n"/>
      <c r="H162" s="43" t="n"/>
      <c r="I162" s="44" t="n"/>
      <c r="J162" s="40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K162" s="552" t="n"/>
      <c r="L162" s="43">
        <f>IF(H162="","",H162)</f>
        <v/>
      </c>
      <c r="M162" s="552" t="n"/>
      <c r="N162" s="44">
        <f>IF(I162="","",I162)</f>
        <v/>
      </c>
    </row>
    <row r="163" ht="14.25" customHeight="1" s="468">
      <c r="A163" s="646" t="n">
        <v>46051</v>
      </c>
      <c r="B163" s="47" t="inlineStr">
        <is>
          <t>PRODUTO</t>
        </is>
      </c>
      <c r="C163" s="48" t="inlineStr">
        <is>
          <t>EMBALAGEM</t>
        </is>
      </c>
      <c r="D163" s="49" t="inlineStr">
        <is>
          <t>CAIXAS</t>
        </is>
      </c>
      <c r="E163" s="50" t="inlineStr">
        <is>
          <t>UN</t>
        </is>
      </c>
      <c r="F163" s="552" t="inlineStr">
        <is>
          <t>CX/PALLET</t>
        </is>
      </c>
      <c r="G163" s="49" t="inlineStr">
        <is>
          <t>PALLETS (PBR)</t>
        </is>
      </c>
      <c r="H163" s="52" t="inlineStr">
        <is>
          <t>REAL (CX)</t>
        </is>
      </c>
      <c r="I163" s="53" t="inlineStr">
        <is>
          <t>TOTAL LATAS</t>
        </is>
      </c>
      <c r="J163" s="636" t="n"/>
      <c r="K163" s="552" t="n"/>
      <c r="L163" s="55" t="n"/>
      <c r="M163" s="552" t="n"/>
      <c r="N163" s="57" t="n"/>
    </row>
    <row r="164" ht="14.25" customHeight="1" s="468">
      <c r="A164" s="634" t="n"/>
      <c r="B164" s="59" t="n"/>
      <c r="C164" s="60" t="n"/>
      <c r="D164" s="79" t="n"/>
      <c r="E164" s="62" t="inlineStr">
        <is>
          <t>CX</t>
        </is>
      </c>
      <c r="F164" s="653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79">
        <f>IFERROR(ROUNDUP(D164/F164,0),"")</f>
        <v/>
      </c>
      <c r="H164" s="79" t="n"/>
      <c r="I164" s="81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670">
        <f>IF(D164="","",ROUNDUP(D164/IF(AND(C164="600 ml",ISNUMBER(SEARCH("NORCAU",B164))),95,IF(AND(C164="600 ml",ISNUMBER(SEARCH("APURATOS",B164))),190,IF(C164="600 ml",95,IF(C164="400 ml",125,IF(C164="200 ml",330,IF(C164="180 ml",240,1)))))),0))</f>
        <v/>
      </c>
      <c r="K164" s="655" t="n"/>
      <c r="L164" s="126">
        <f>IF(H164="","",H164)</f>
        <v/>
      </c>
      <c r="M164" s="655" t="n"/>
      <c r="N164" s="127">
        <f>IF(I164="","",I164)</f>
        <v/>
      </c>
    </row>
    <row r="165" ht="14.25" customHeight="1" s="468">
      <c r="A165" s="638" t="n"/>
      <c r="B165" s="70" t="inlineStr">
        <is>
          <t>MAGIC SPRAY EMBRAPAN</t>
        </is>
      </c>
      <c r="C165" s="71" t="n">
        <v>400</v>
      </c>
      <c r="D165" s="552" t="n">
        <v>100</v>
      </c>
      <c r="E165" t="inlineStr">
        <is>
          <t>CX</t>
        </is>
      </c>
      <c r="F165" s="552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552">
        <f>IFERROR(ROUNDUP(D165/F165,0),"")</f>
        <v/>
      </c>
      <c r="H165" s="552" t="n">
        <v>101</v>
      </c>
      <c r="I165" s="552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552">
        <f>IF(D165="","",ROUNDUP(D165/IF(AND(C165="600 ml",ISNUMBER(SEARCH("NORCAU",B165))),95,IF(AND(C165="600 ml",ISNUMBER(SEARCH("APURATOS",B165))),190,IF(C165="600 ml",95,IF(C165="400 ml",125,IF(C165="200 ml",330,IF(C165="180 ml",240,1)))))),0))</f>
        <v/>
      </c>
      <c r="K165" s="552" t="n"/>
      <c r="L165" s="552">
        <f>IF(H165="","",H165)</f>
        <v/>
      </c>
      <c r="M165" s="552" t="n"/>
      <c r="N165">
        <f>IF(I165="","",I165)</f>
        <v/>
      </c>
      <c r="T165" s="133" t="n"/>
      <c r="U165" s="133" t="n"/>
    </row>
    <row r="166" ht="14.25" customHeight="1" s="468">
      <c r="A166" s="634" t="n"/>
      <c r="B166" s="82" t="inlineStr">
        <is>
          <t>ADIMIX</t>
        </is>
      </c>
      <c r="C166" s="83" t="n">
        <v>600</v>
      </c>
      <c r="D166" s="650" t="n">
        <v>665</v>
      </c>
      <c r="E166" s="462" t="inlineStr">
        <is>
          <t>CX</t>
        </is>
      </c>
      <c r="F166" s="648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650">
        <f>IFERROR(ROUNDUP(D166/F166,0),"")</f>
        <v/>
      </c>
      <c r="H166" s="674" t="n">
        <v>665</v>
      </c>
      <c r="I166" s="656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648">
        <f>IF(D166="","",ROUNDUP(D166/IF(AND(C166="600 ml",ISNUMBER(SEARCH("NORCAU",B166))),95,IF(AND(C166="600 ml",ISNUMBER(SEARCH("APURATOS",B166))),190,IF(C166="600 ml",95,IF(C166="400 ml",125,IF(C166="200 ml",330,IF(C166="180 ml",240,1)))))),0))</f>
        <v/>
      </c>
      <c r="K166" s="650" t="n"/>
      <c r="L166" s="674">
        <f>IF(H166="","",H166)</f>
        <v/>
      </c>
      <c r="M166" s="650" t="n"/>
      <c r="N166" s="463">
        <f>IF(I166="","",I166)</f>
        <v/>
      </c>
      <c r="T166" s="133" t="n"/>
      <c r="U166" s="133" t="n"/>
    </row>
    <row r="167" ht="14.25" customHeight="1" s="468">
      <c r="A167" s="634" t="n"/>
      <c r="B167" s="88" t="inlineStr">
        <is>
          <t>ADIMIX</t>
        </is>
      </c>
      <c r="C167" s="71" t="n">
        <v>600</v>
      </c>
      <c r="D167" s="552" t="n">
        <v>665</v>
      </c>
      <c r="E167" t="inlineStr">
        <is>
          <t>CX</t>
        </is>
      </c>
      <c r="F167" s="552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552">
        <f>IFERROR(ROUNDUP(D167/F167,0),"")</f>
        <v/>
      </c>
      <c r="H167" s="637" t="n">
        <v>256</v>
      </c>
      <c r="I167" s="657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552">
        <f>IF(D167="","",ROUNDUP(D167/IF(AND(C167="600 ml",ISNUMBER(SEARCH("NORCAU",B167))),95,IF(AND(C167="600 ml",ISNUMBER(SEARCH("APURATOS",B167))),190,IF(C167="600 ml",95,IF(C167="400 ml",125,IF(C167="200 ml",330,IF(C167="180 ml",240,1)))))),0))</f>
        <v/>
      </c>
      <c r="K167" s="552" t="n"/>
      <c r="L167" s="637">
        <f>IF(H167="","",H167)</f>
        <v/>
      </c>
      <c r="M167" s="552" t="n"/>
      <c r="N167" s="514">
        <f>IF(I167="","",I167)</f>
        <v/>
      </c>
      <c r="T167" s="133" t="n"/>
      <c r="U167" s="133" t="n"/>
    </row>
    <row r="168" ht="14.25" customHeight="1" s="468">
      <c r="A168" s="634" t="n"/>
      <c r="B168" s="88" t="n"/>
      <c r="C168" s="71" t="n"/>
      <c r="D168" s="552" t="n"/>
      <c r="E168" t="inlineStr">
        <is>
          <t>CX</t>
        </is>
      </c>
      <c r="F168" s="552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552">
        <f>IFERROR(ROUNDUP(D168/F168,0),"")</f>
        <v/>
      </c>
      <c r="H168" s="637" t="n"/>
      <c r="I168" s="657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>
        <f>IF(D168="","",ROUNDUP(D168/IF(AND(C168="600 ml",ISNUMBER(SEARCH("NORCAU",B168))),95,IF(AND(C168="600 ml",ISNUMBER(SEARCH("APURATOS",B168))),190,IF(C168="600 ml",95,IF(C168="400 ml",125,IF(C168="200 ml",330,IF(C168="180 ml",240,1)))))),0))</f>
        <v/>
      </c>
      <c r="K168" s="552" t="n"/>
      <c r="L168" s="637">
        <f>IF(H168="","",H168)</f>
        <v/>
      </c>
      <c r="M168" s="637" t="n"/>
      <c r="N168" s="514">
        <f>IF(I168="","",I168)</f>
        <v/>
      </c>
      <c r="T168" s="133" t="n"/>
      <c r="U168" s="133" t="n"/>
    </row>
    <row r="169" ht="14.25" customHeight="1" s="468">
      <c r="A169" s="639" t="n"/>
      <c r="B169" s="652" t="inlineStr">
        <is>
          <t>TOTAL</t>
        </is>
      </c>
      <c r="C169" s="667" t="n"/>
      <c r="D169" s="642">
        <f>IF(J169="","",TEXT(J169,"#,##0"))</f>
        <v/>
      </c>
      <c r="E169" s="668" t="n"/>
      <c r="F169" s="644" t="n"/>
      <c r="G169" s="642">
        <f>IF(K169="","",TEXT(K169,"#,##0"))</f>
        <v/>
      </c>
      <c r="H169" s="642">
        <f>IF(L169="","",TEXT(L169,"#,##0"))</f>
        <v/>
      </c>
      <c r="I169" s="642">
        <f>IF(M169="","",TEXT(M169,"#,##0"))</f>
        <v/>
      </c>
      <c r="J169" s="644">
        <f>SUM(D164:D168)</f>
        <v/>
      </c>
      <c r="K169" s="644">
        <f>SUM(G164:G168)</f>
        <v/>
      </c>
      <c r="L169" s="644">
        <f>SUM(H164:H168)</f>
        <v/>
      </c>
      <c r="M169" s="644">
        <f>SUM(I164:I168)</f>
        <v/>
      </c>
      <c r="N169" s="514">
        <f>IF(I169="","",I169)</f>
        <v/>
      </c>
      <c r="O169" s="552">
        <f>SUM(N165:N168)</f>
        <v/>
      </c>
    </row>
    <row r="170" ht="14.25" customHeight="1" s="468">
      <c r="A170" s="634" t="n"/>
      <c r="B170" s="88" t="n"/>
      <c r="C170" s="71" t="n"/>
      <c r="D170" s="552" t="n"/>
      <c r="F170" s="552" t="n"/>
      <c r="G170" s="552" t="n"/>
      <c r="H170" s="637" t="n"/>
      <c r="I170" s="657" t="n"/>
      <c r="J170" s="552">
        <f>IF(D170="","",ROUNDUP(D170/IF(AND(C170="600 ml",ISNUMBER(SEARCH("NORCAU",B170))),95,IF(AND(C170="600 ml",ISNUMBER(SEARCH("APURATOS",B170))),190,IF(C170="600 ml",95,IF(C170="400 ml",125,IF(C170="200 ml",330,IF(C170="180 ml",240,1)))))),0))</f>
        <v/>
      </c>
      <c r="K170" s="552" t="n"/>
      <c r="L170" s="637">
        <f>IF(H170="","",H170)</f>
        <v/>
      </c>
      <c r="M170" s="552" t="n"/>
      <c r="N170" s="514">
        <f>IF(I170="","",I170)</f>
        <v/>
      </c>
    </row>
    <row r="171" ht="14.25" customHeight="1" s="468">
      <c r="A171" s="646" t="n">
        <v>46052</v>
      </c>
      <c r="B171" s="88" t="inlineStr">
        <is>
          <t>PRODUTO</t>
        </is>
      </c>
      <c r="C171" s="71" t="inlineStr">
        <is>
          <t>EMBALAGEM</t>
        </is>
      </c>
      <c r="D171" s="552" t="inlineStr">
        <is>
          <t>CAIXAS</t>
        </is>
      </c>
      <c r="E171" t="inlineStr">
        <is>
          <t>UN</t>
        </is>
      </c>
      <c r="F171" s="552" t="inlineStr">
        <is>
          <t>CX/PALLET</t>
        </is>
      </c>
      <c r="G171" s="552" t="inlineStr">
        <is>
          <t>PALLETS (PBR)</t>
        </is>
      </c>
      <c r="H171" s="637" t="inlineStr">
        <is>
          <t>REAL (CX)</t>
        </is>
      </c>
      <c r="I171" s="657" t="inlineStr">
        <is>
          <t>TOTAL LATAS</t>
        </is>
      </c>
      <c r="J171" s="552" t="n"/>
      <c r="K171" s="552" t="n"/>
      <c r="L171" s="637" t="n"/>
      <c r="M171" s="552" t="n"/>
      <c r="N171" s="514" t="n"/>
    </row>
    <row r="172" ht="14.25" customHeight="1" s="468">
      <c r="A172" s="634" t="n"/>
      <c r="B172" s="138" t="n"/>
      <c r="C172" s="139" t="n"/>
      <c r="D172" s="655" t="n"/>
      <c r="E172" s="465" t="n"/>
      <c r="F172" s="655" t="n"/>
      <c r="G172" s="655" t="n"/>
      <c r="H172" s="89" t="n"/>
      <c r="I172" s="90" t="n"/>
      <c r="J172" s="655">
        <f>IF(D172="","",ROUNDUP(D172/IF(AND(C172="600 ml",ISNUMBER(SEARCH("NORCAU",B172))),95,IF(AND(C172="600 ml",ISNUMBER(SEARCH("APURATOS",B172))),190,IF(C172="600 ml",95,IF(C172="400 ml",125,IF(C172="200 ml",330,IF(C172="180 ml",240,1)))))),0))</f>
        <v/>
      </c>
      <c r="K172" s="655" t="n"/>
      <c r="L172" s="89">
        <f>IF(H172="","",H172)</f>
        <v/>
      </c>
      <c r="M172" s="655" t="n"/>
      <c r="N172" s="466">
        <f>IF(I172="","",I172)</f>
        <v/>
      </c>
    </row>
    <row r="173" ht="14.25" customHeight="1" s="468">
      <c r="A173" s="638" t="n"/>
      <c r="B173" s="70" t="inlineStr">
        <is>
          <t>ADIMIX</t>
        </is>
      </c>
      <c r="C173" s="71" t="n">
        <v>600</v>
      </c>
      <c r="D173" s="552">
        <f>D167-L167</f>
        <v/>
      </c>
      <c r="E173" t="inlineStr">
        <is>
          <t>CX</t>
        </is>
      </c>
      <c r="F173" s="552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552">
        <f>IFERROR(ROUNDUP(D173/F173,0),"")</f>
        <v/>
      </c>
      <c r="H173" s="552" t="n">
        <v>424</v>
      </c>
      <c r="I173" s="552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552">
        <f>IF(D173="","",ROUNDUP(D173/IF(AND(C173="600 ml",ISNUMBER(SEARCH("NORCAU",B173))),95,IF(AND(C173="600 ml",ISNUMBER(SEARCH("APURATOS",B173))),190,IF(C173="600 ml",95,IF(C173="400 ml",125,IF(C173="200 ml",330,IF(C173="180 ml",240,1)))))),0))</f>
        <v/>
      </c>
      <c r="K173" s="552" t="n"/>
      <c r="L173" s="552">
        <f>IF(H173="","",H173)</f>
        <v/>
      </c>
      <c r="M173" s="552" t="n"/>
      <c r="N173">
        <f>IF(I173="","",I173)</f>
        <v/>
      </c>
    </row>
    <row r="174" ht="14.25" customHeight="1" s="468">
      <c r="A174" s="634" t="n"/>
      <c r="B174" s="82" t="inlineStr">
        <is>
          <t>ALLBREAD</t>
        </is>
      </c>
      <c r="C174" s="83" t="n">
        <v>600</v>
      </c>
      <c r="D174" s="650" t="n">
        <v>768</v>
      </c>
      <c r="E174" s="462" t="inlineStr">
        <is>
          <t>CX</t>
        </is>
      </c>
      <c r="F174" s="648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650">
        <f>IFERROR(ROUNDUP(D174/F174,0),"")</f>
        <v/>
      </c>
      <c r="H174" s="674" t="n">
        <v>330</v>
      </c>
      <c r="I174" s="656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648">
        <f>IF(D174="","",ROUNDUP(D174/IF(AND(C174="600 ml",ISNUMBER(SEARCH("NORCAU",B174))),95,IF(AND(C174="600 ml",ISNUMBER(SEARCH("APURATOS",B174))),190,IF(C174="600 ml",95,IF(C174="400 ml",125,IF(C174="200 ml",330,IF(C174="180 ml",240,1)))))),0))</f>
        <v/>
      </c>
      <c r="K174" s="650" t="n"/>
      <c r="L174" s="674">
        <f>IF(H174="","",H174)</f>
        <v/>
      </c>
      <c r="M174" s="650" t="n"/>
      <c r="N174" s="463">
        <f>IF(I174="","",I174)</f>
        <v/>
      </c>
    </row>
    <row r="175" ht="14.25" customHeight="1" s="468">
      <c r="A175" s="634" t="n"/>
      <c r="B175" s="88" t="n"/>
      <c r="C175" s="71" t="n"/>
      <c r="D175" s="552" t="n"/>
      <c r="E175" t="inlineStr">
        <is>
          <t>CX</t>
        </is>
      </c>
      <c r="F175" s="552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552">
        <f>IFERROR(ROUNDUP(D175/F175,0),"")</f>
        <v/>
      </c>
      <c r="H175" s="637" t="n"/>
      <c r="I175" s="657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552">
        <f>IF(D175="","",ROUNDUP(D175/IF(AND(C175="600 ml",ISNUMBER(SEARCH("NORCAU",B175))),95,IF(AND(C175="600 ml",ISNUMBER(SEARCH("APURATOS",B175))),190,IF(C175="600 ml",95,IF(C175="400 ml",125,IF(C175="200 ml",330,IF(C175="180 ml",240,1)))))),0))</f>
        <v/>
      </c>
      <c r="K175" s="552" t="n"/>
      <c r="L175" s="637">
        <f>IF(H175="","",H175)</f>
        <v/>
      </c>
      <c r="M175" s="552" t="n"/>
      <c r="N175" s="514">
        <f>IF(I175="","",I175)</f>
        <v/>
      </c>
    </row>
    <row r="176" ht="14.25" customHeight="1" s="468">
      <c r="A176" s="634" t="n"/>
      <c r="B176" s="88" t="n"/>
      <c r="C176" s="71" t="n"/>
      <c r="D176" s="552" t="n"/>
      <c r="E176" t="inlineStr">
        <is>
          <t>CX</t>
        </is>
      </c>
      <c r="F176" s="552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552">
        <f>IFERROR(ROUNDUP(D176/F176,0),"")</f>
        <v/>
      </c>
      <c r="H176" s="637" t="n"/>
      <c r="I176" s="657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>
        <f>IF(D176="","",ROUNDUP(D176/IF(AND(C176="600 ml",ISNUMBER(SEARCH("NORCAU",B176))),95,IF(AND(C176="600 ml",ISNUMBER(SEARCH("APURATOS",B176))),190,IF(C176="600 ml",95,IF(C176="400 ml",125,IF(C176="200 ml",330,IF(C176="180 ml",240,1)))))),0))</f>
        <v/>
      </c>
      <c r="K176" s="552" t="n"/>
      <c r="L176" s="637">
        <f>IF(H176="","",H176)</f>
        <v/>
      </c>
      <c r="M176" s="637" t="n"/>
      <c r="N176" s="514">
        <f>IF(I176="","",I176)</f>
        <v/>
      </c>
    </row>
    <row r="177" ht="14.25" customHeight="1" s="468">
      <c r="A177" s="634" t="n"/>
      <c r="B177" s="88" t="n"/>
      <c r="C177" s="71" t="n"/>
      <c r="D177" s="552" t="n"/>
      <c r="F177" s="552" t="n"/>
      <c r="G177" s="552" t="n"/>
      <c r="H177" s="637" t="n"/>
      <c r="I177" s="657" t="n"/>
      <c r="J177" s="552">
        <f>IF(D177="","",ROUNDUP(D177/IF(AND(C177="600 ml",ISNUMBER(SEARCH("NORCAU",B177))),95,IF(AND(C177="600 ml",ISNUMBER(SEARCH("APURATOS",B177))),190,IF(C177="600 ml",95,IF(C177="400 ml",125,IF(C177="200 ml",330,IF(C177="180 ml",240,1)))))),0))</f>
        <v/>
      </c>
      <c r="K177" s="552" t="n"/>
      <c r="L177" s="637">
        <f>IF(H177="","",H177)</f>
        <v/>
      </c>
      <c r="M177" s="637" t="n"/>
      <c r="N177" s="514">
        <f>IF(I177="","",I177)</f>
        <v/>
      </c>
    </row>
    <row r="178" ht="14.25" customHeight="1" s="468">
      <c r="A178" s="634" t="n"/>
      <c r="B178" s="88" t="n"/>
      <c r="C178" s="71" t="n"/>
      <c r="D178" s="552" t="n"/>
      <c r="F178" s="552" t="n"/>
      <c r="G178" s="552" t="n"/>
      <c r="H178" s="637" t="n"/>
      <c r="I178" s="657" t="n"/>
      <c r="J178" s="552">
        <f>IF(D178="","",ROUNDUP(D178/IF(AND(C178="600 ml",ISNUMBER(SEARCH("NORCAU",B178))),95,IF(AND(C178="600 ml",ISNUMBER(SEARCH("APURATOS",B178))),190,IF(C178="600 ml",95,IF(C178="400 ml",125,IF(C178="200 ml",330,IF(C178="180 ml",240,1)))))),0))</f>
        <v/>
      </c>
      <c r="K178" s="552" t="n"/>
      <c r="L178" s="637">
        <f>IF(H178="","",H178)</f>
        <v/>
      </c>
      <c r="M178" s="552" t="n"/>
      <c r="N178" s="514">
        <f>IF(I178="","",I178)</f>
        <v/>
      </c>
      <c r="O178" s="552">
        <f>SUM(N173:N177)</f>
        <v/>
      </c>
    </row>
    <row r="179" ht="14.25" customHeight="1" s="468">
      <c r="A179" s="634" t="n"/>
      <c r="B179" s="88" t="n"/>
      <c r="C179" s="71" t="n"/>
      <c r="D179" s="552" t="n"/>
      <c r="F179" s="552" t="n"/>
      <c r="G179" s="552" t="n"/>
      <c r="H179" s="637" t="n"/>
      <c r="I179" s="657" t="n"/>
      <c r="J179" s="552">
        <f>IF(D179="","",ROUNDUP(D179/IF(AND(C179="600 ml",ISNUMBER(SEARCH("NORCAU",B179))),95,IF(AND(C179="600 ml",ISNUMBER(SEARCH("APURATOS",B179))),190,IF(C179="600 ml",95,IF(C179="400 ml",125,IF(C179="200 ml",330,IF(C179="180 ml",240,1)))))),0))</f>
        <v/>
      </c>
      <c r="K179" s="552" t="n"/>
      <c r="L179" s="637">
        <f>IF(H179="","",H179)</f>
        <v/>
      </c>
      <c r="M179" s="552" t="n"/>
      <c r="N179" s="514">
        <f>IF(I179="","",I179)</f>
        <v/>
      </c>
    </row>
    <row r="180" ht="14.25" customHeight="1" s="468">
      <c r="A180" s="634" t="n"/>
      <c r="B180" s="138" t="n"/>
      <c r="C180" s="139" t="n"/>
      <c r="D180" s="655" t="n"/>
      <c r="E180" s="465" t="n"/>
      <c r="F180" s="655" t="n"/>
      <c r="G180" s="655" t="n"/>
      <c r="H180" s="89" t="n"/>
      <c r="I180" s="90" t="n"/>
      <c r="J180" s="655">
        <f>IF(D180="","",ROUNDUP(D180/IF(AND(C180="600 ml",ISNUMBER(SEARCH("NORCAU",B180))),95,IF(AND(C180="600 ml",ISNUMBER(SEARCH("APURATOS",B180))),190,IF(C180="600 ml",95,IF(C180="400 ml",125,IF(C180="200 ml",330,IF(C180="180 ml",240,1)))))),0))</f>
        <v/>
      </c>
      <c r="K180" s="655" t="n"/>
      <c r="L180" s="89">
        <f>IF(H180="","",H180)</f>
        <v/>
      </c>
      <c r="M180" s="655" t="n"/>
      <c r="N180" s="466">
        <f>IF(I180="","",I180)</f>
        <v/>
      </c>
    </row>
    <row r="181" ht="14.25" customHeight="1" s="468">
      <c r="A181" s="638" t="n"/>
      <c r="B181" s="70" t="n"/>
      <c r="C181" s="71" t="n"/>
      <c r="D181" s="552" t="n"/>
      <c r="F181" s="552" t="n"/>
      <c r="G181" s="552" t="n"/>
      <c r="H181" s="552" t="n"/>
      <c r="I181" s="552" t="n"/>
      <c r="J181" s="552">
        <f>IF(D181="","",ROUNDUP(D181/IF(AND(C181="600 ml",ISNUMBER(SEARCH("NORCAU",B181))),95,IF(AND(C181="600 ml",ISNUMBER(SEARCH("APURATOS",B181))),190,IF(C181="600 ml",95,IF(C181="400 ml",125,IF(C181="200 ml",330,IF(C181="180 ml",240,1)))))),0))</f>
        <v/>
      </c>
      <c r="K181" s="552" t="n"/>
      <c r="L181" s="552">
        <f>IF(H181="","",H181)</f>
        <v/>
      </c>
      <c r="M181" s="552" t="n"/>
      <c r="N181">
        <f>IF(I181="","",I181)</f>
        <v/>
      </c>
      <c r="O181" s="552">
        <f>SUM(O1:O179)</f>
        <v/>
      </c>
    </row>
    <row r="182" ht="14.25" customHeight="1" s="468">
      <c r="A182" s="638" t="n"/>
      <c r="B182" s="70" t="n"/>
      <c r="C182" s="71" t="n"/>
      <c r="D182" s="552" t="n"/>
      <c r="F182" s="552" t="n"/>
      <c r="G182" s="552" t="n"/>
      <c r="H182" s="552" t="n"/>
      <c r="I182" s="552" t="n"/>
      <c r="J182" s="552">
        <f>IF(D182="","",ROUNDUP(D182/IF(AND(C182="600 ml",ISNUMBER(SEARCH("NORCAU",B182))),95,IF(AND(C182="600 ml",ISNUMBER(SEARCH("APURATOS",B182))),190,IF(C182="600 ml",95,IF(C182="400 ml",125,IF(C182="200 ml",330,IF(C182="180 ml",240,1)))))),0))</f>
        <v/>
      </c>
      <c r="K182" s="552" t="n"/>
      <c r="L182" s="552">
        <f>IF(H182="","",H182)</f>
        <v/>
      </c>
      <c r="M182" s="552" t="n"/>
      <c r="N182">
        <f>IF(I182="","",I182)</f>
        <v/>
      </c>
    </row>
    <row r="183" ht="15" customHeight="1" s="468">
      <c r="A183" s="638" t="n"/>
      <c r="C183" s="71" t="n"/>
      <c r="D183" s="552" t="n"/>
      <c r="F183" s="552" t="n"/>
      <c r="G183" s="552" t="n"/>
      <c r="H183" s="552" t="n"/>
      <c r="I183" s="552" t="n"/>
      <c r="J183" s="552">
        <f>IF(D183="","",ROUNDUP(D183/IF(AND(C183="600 ml",ISNUMBER(SEARCH("NORCAU",B183))),95,IF(AND(C183="600 ml",ISNUMBER(SEARCH("APURATOS",B183))),190,IF(C183="600 ml",95,IF(C183="400 ml",125,IF(C183="200 ml",330,IF(C183="180 ml",240,1)))))),0))</f>
        <v/>
      </c>
      <c r="K183" s="552" t="n"/>
      <c r="L183" s="552">
        <f>IF(H183="","",H183)</f>
        <v/>
      </c>
      <c r="M183" s="552" t="n"/>
      <c r="N183">
        <f>IF(I183="","",I183)</f>
        <v/>
      </c>
    </row>
    <row r="184" ht="15" customHeight="1" s="468">
      <c r="A184" s="638" t="n"/>
      <c r="C184" s="71" t="n"/>
      <c r="D184" s="552" t="n"/>
      <c r="F184" s="552" t="n"/>
      <c r="G184" s="552" t="n"/>
      <c r="H184" s="552" t="n"/>
      <c r="I184" s="552" t="n"/>
      <c r="J184" s="552">
        <f>IF(D184="","",ROUNDUP(D184/IF(AND(C184="600 ml",ISNUMBER(SEARCH("NORCAU",B184))),95,IF(AND(C184="600 ml",ISNUMBER(SEARCH("APURATOS",B184))),190,IF(C184="600 ml",95,IF(C184="400 ml",125,IF(C184="200 ml",330,IF(C184="180 ml",240,1)))))),0))</f>
        <v/>
      </c>
      <c r="K184" s="552" t="n"/>
      <c r="L184" s="552">
        <f>IF(H184="","",H184)</f>
        <v/>
      </c>
      <c r="M184" s="552" t="n"/>
      <c r="N184">
        <f>IF(I184="","",I184)</f>
        <v/>
      </c>
    </row>
    <row r="185" ht="15" customHeight="1" s="468">
      <c r="A185" s="638" t="n"/>
      <c r="C185" s="71" t="n"/>
      <c r="D185" s="552" t="n"/>
      <c r="F185" s="552" t="n"/>
      <c r="G185" s="552" t="n"/>
      <c r="H185" s="552" t="n"/>
      <c r="I185" s="552" t="n"/>
      <c r="J185" s="552">
        <f>IF(D185="","",ROUNDUP(D185/IF(AND(C185="600 ml",ISNUMBER(SEARCH("NORCAU",B185))),95,IF(AND(C185="600 ml",ISNUMBER(SEARCH("APURATOS",B185))),190,IF(C185="600 ml",95,IF(C185="400 ml",125,IF(C185="200 ml",330,IF(C185="180 ml",240,1)))))),0))</f>
        <v/>
      </c>
      <c r="K185" s="552" t="n"/>
      <c r="L185" s="552">
        <f>IF(H185="","",H185)</f>
        <v/>
      </c>
      <c r="M185" s="552" t="n"/>
      <c r="N185">
        <f>IF(I185="","",I185)</f>
        <v/>
      </c>
    </row>
    <row r="186" ht="15" customHeight="1" s="468">
      <c r="A186" s="638" t="n"/>
      <c r="C186" s="71" t="n"/>
      <c r="D186" s="552" t="n"/>
      <c r="F186" s="552" t="n"/>
      <c r="G186" s="552" t="n"/>
      <c r="H186" s="552" t="n"/>
      <c r="I186" s="552" t="n"/>
      <c r="J186" s="552">
        <f>IF(D186="","",ROUNDUP(D186/IF(AND(C186="600 ml",ISNUMBER(SEARCH("NORCAU",B186))),95,IF(AND(C186="600 ml",ISNUMBER(SEARCH("APURATOS",B186))),190,IF(C186="600 ml",95,IF(C186="400 ml",125,IF(C186="200 ml",330,IF(C186="180 ml",240,1)))))),0))</f>
        <v/>
      </c>
      <c r="K186" s="552" t="n"/>
      <c r="L186" s="552">
        <f>IF(H186="","",H186)</f>
        <v/>
      </c>
      <c r="M186" s="552" t="n"/>
      <c r="N186">
        <f>IF(I186="","",I186)</f>
        <v/>
      </c>
    </row>
    <row r="187" ht="15" customHeight="1" s="468">
      <c r="A187" s="638" t="n"/>
      <c r="C187" s="71" t="n"/>
      <c r="D187" s="552" t="n"/>
      <c r="F187" s="552" t="n"/>
      <c r="G187" s="552" t="n"/>
      <c r="H187" s="552" t="n"/>
      <c r="I187" s="552" t="n"/>
      <c r="J187" s="552">
        <f>IF(D187="","",ROUNDUP(D187/IF(AND(C187="600 ml",ISNUMBER(SEARCH("NORCAU",B187))),95,IF(AND(C187="600 ml",ISNUMBER(SEARCH("APURATOS",B187))),190,IF(C187="600 ml",95,IF(C187="400 ml",125,IF(C187="200 ml",330,IF(C187="180 ml",240,1)))))),0))</f>
        <v/>
      </c>
      <c r="K187" s="552" t="n"/>
      <c r="L187" s="552">
        <f>IF(H187="","",H187)</f>
        <v/>
      </c>
      <c r="M187" s="552" t="n"/>
      <c r="N187">
        <f>IF(I187="","",I187)</f>
        <v/>
      </c>
    </row>
    <row r="188" ht="15" customHeight="1" s="468">
      <c r="A188" s="638" t="n"/>
      <c r="C188" s="71" t="n"/>
      <c r="D188" s="552" t="n"/>
      <c r="F188" s="552" t="n"/>
      <c r="G188" s="552" t="n"/>
      <c r="H188" s="552" t="n"/>
      <c r="I188" s="552" t="n"/>
      <c r="J188" s="552">
        <f>IF(D188="","",ROUNDUP(D188/IF(AND(C188="600 ml",ISNUMBER(SEARCH("NORCAU",B188))),95,IF(AND(C188="600 ml",ISNUMBER(SEARCH("APURATOS",B188))),190,IF(C188="600 ml",95,IF(C188="400 ml",125,IF(C188="200 ml",330,IF(C188="180 ml",240,1)))))),0))</f>
        <v/>
      </c>
      <c r="K188" s="552" t="n"/>
      <c r="L188" s="552">
        <f>IF(H188="","",H188)</f>
        <v/>
      </c>
      <c r="M188" s="552" t="n"/>
      <c r="N188">
        <f>IF(I188="","",I188)</f>
        <v/>
      </c>
    </row>
    <row r="189" ht="15" customHeight="1" s="468">
      <c r="A189" s="638" t="n"/>
      <c r="C189" s="71" t="n"/>
      <c r="D189" s="552" t="n"/>
      <c r="F189" s="552" t="n"/>
      <c r="G189" s="552" t="n"/>
      <c r="H189" s="552" t="n"/>
      <c r="I189" s="552" t="n"/>
      <c r="J189" s="552">
        <f>IF(D189="","",ROUNDUP(D189/IF(AND(C189="600 ml",ISNUMBER(SEARCH("NORCAU",B189))),95,IF(AND(C189="600 ml",ISNUMBER(SEARCH("APURATOS",B189))),190,IF(C189="600 ml",95,IF(C189="400 ml",125,IF(C189="200 ml",330,IF(C189="180 ml",240,1)))))),0))</f>
        <v/>
      </c>
      <c r="K189" s="552" t="n"/>
      <c r="L189" s="552">
        <f>IF(H189="","",H189)</f>
        <v/>
      </c>
      <c r="M189" s="552" t="n"/>
      <c r="N189">
        <f>IF(I189="","",I189)</f>
        <v/>
      </c>
    </row>
    <row r="190" ht="15" customHeight="1" s="468">
      <c r="A190" s="638" t="n"/>
      <c r="C190" s="71" t="n"/>
      <c r="D190" s="552" t="n"/>
      <c r="F190" s="552" t="n"/>
      <c r="G190" s="552" t="n"/>
      <c r="H190" s="552" t="n"/>
      <c r="I190" s="552" t="n"/>
      <c r="J190" s="552">
        <f>IF(D190="","",ROUNDUP(D190/IF(AND(C190="600 ml",ISNUMBER(SEARCH("NORCAU",B190))),95,IF(AND(C190="600 ml",ISNUMBER(SEARCH("APURATOS",B190))),190,IF(C190="600 ml",95,IF(C190="400 ml",125,IF(C190="200 ml",330,IF(C190="180 ml",240,1)))))),0))</f>
        <v/>
      </c>
      <c r="K190" s="552" t="n"/>
      <c r="L190" s="552">
        <f>IF(H190="","",H190)</f>
        <v/>
      </c>
      <c r="M190" s="552" t="n"/>
      <c r="N190">
        <f>IF(I190="","",I190)</f>
        <v/>
      </c>
    </row>
    <row r="191" ht="15" customHeight="1" s="468">
      <c r="A191" s="638" t="n"/>
      <c r="C191" s="71" t="n"/>
      <c r="D191" s="552" t="n"/>
      <c r="F191" s="552" t="n"/>
      <c r="G191" s="552" t="n"/>
      <c r="H191" s="552" t="n"/>
      <c r="I191" s="552" t="n"/>
      <c r="J191" s="552">
        <f>IF(D191="","",ROUNDUP(D191/IF(AND(C191="600 ml",ISNUMBER(SEARCH("NORCAU",B191))),95,IF(AND(C191="600 ml",ISNUMBER(SEARCH("APURATOS",B191))),190,IF(C191="600 ml",95,IF(C191="400 ml",125,IF(C191="200 ml",330,IF(C191="180 ml",240,1)))))),0))</f>
        <v/>
      </c>
      <c r="K191" s="552" t="n"/>
      <c r="L191" s="552">
        <f>IF(H191="","",H191)</f>
        <v/>
      </c>
      <c r="M191" s="552" t="n"/>
      <c r="N191">
        <f>IF(I191="","",I191)</f>
        <v/>
      </c>
    </row>
    <row r="192" ht="15" customHeight="1" s="468">
      <c r="A192" s="638" t="n"/>
      <c r="C192" s="71" t="n"/>
      <c r="D192" s="552" t="n"/>
      <c r="F192" s="552" t="n"/>
      <c r="G192" s="552" t="n"/>
      <c r="H192" s="552" t="n"/>
      <c r="I192" s="552" t="n"/>
      <c r="J192" s="552">
        <f>IF(D192="","",ROUNDUP(D192/IF(AND(C192="600 ml",ISNUMBER(SEARCH("NORCAU",B192))),95,IF(AND(C192="600 ml",ISNUMBER(SEARCH("APURATOS",B192))),190,IF(C192="600 ml",95,IF(C192="400 ml",125,IF(C192="200 ml",330,IF(C192="180 ml",240,1)))))),0))</f>
        <v/>
      </c>
      <c r="K192" s="552" t="n"/>
      <c r="L192" s="552">
        <f>IF(H192="","",H192)</f>
        <v/>
      </c>
      <c r="M192" s="552" t="n"/>
      <c r="N192">
        <f>IF(I192="","",I192)</f>
        <v/>
      </c>
    </row>
    <row r="193" ht="15" customHeight="1" s="468">
      <c r="A193" s="638" t="n"/>
      <c r="C193" s="71" t="n"/>
      <c r="D193" s="552" t="n"/>
      <c r="F193" s="552" t="n"/>
      <c r="G193" s="552" t="n"/>
      <c r="H193" s="552" t="n"/>
      <c r="I193" s="552" t="n"/>
      <c r="J193" s="552">
        <f>IF(D193="","",ROUNDUP(D193/IF(AND(C193="600 ml",ISNUMBER(SEARCH("NORCAU",B193))),95,IF(AND(C193="600 ml",ISNUMBER(SEARCH("APURATOS",B193))),190,IF(C193="600 ml",95,IF(C193="400 ml",125,IF(C193="200 ml",330,IF(C193="180 ml",240,1)))))),0))</f>
        <v/>
      </c>
      <c r="K193" s="552" t="n"/>
      <c r="L193" s="552">
        <f>IF(H193="","",H193)</f>
        <v/>
      </c>
      <c r="M193" s="552" t="n"/>
      <c r="N193">
        <f>IF(I193="","",I193)</f>
        <v/>
      </c>
    </row>
    <row r="194" ht="15" customHeight="1" s="468">
      <c r="A194" s="638" t="n"/>
      <c r="C194" s="71" t="n"/>
      <c r="D194" s="552" t="n"/>
      <c r="F194" s="552" t="n"/>
      <c r="G194" s="552" t="n"/>
      <c r="H194" s="552" t="n"/>
      <c r="I194" s="552" t="n"/>
      <c r="J194" s="552">
        <f>IF(D194="","",ROUNDUP(D194/IF(AND(C194="600 ml",ISNUMBER(SEARCH("NORCAU",B194))),95,IF(AND(C194="600 ml",ISNUMBER(SEARCH("APURATOS",B194))),190,IF(C194="600 ml",95,IF(C194="400 ml",125,IF(C194="200 ml",330,IF(C194="180 ml",240,1)))))),0))</f>
        <v/>
      </c>
      <c r="K194" s="552" t="n"/>
      <c r="L194" s="552">
        <f>IF(H194="","",H194)</f>
        <v/>
      </c>
      <c r="M194" s="552" t="n"/>
      <c r="N194">
        <f>IF(I194="","",I194)</f>
        <v/>
      </c>
    </row>
    <row r="195" ht="15" customHeight="1" s="468">
      <c r="A195" s="638" t="n"/>
      <c r="C195" s="71" t="n"/>
      <c r="D195" s="552" t="n"/>
      <c r="F195" s="552" t="n"/>
      <c r="G195" s="552" t="n"/>
      <c r="H195" s="552" t="n"/>
      <c r="I195" s="552" t="n"/>
      <c r="J195" s="552">
        <f>IF(D195="","",ROUNDUP(D195/IF(AND(C195="600 ml",ISNUMBER(SEARCH("NORCAU",B195))),95,IF(AND(C195="600 ml",ISNUMBER(SEARCH("APURATOS",B195))),190,IF(C195="600 ml",95,IF(C195="400 ml",125,IF(C195="200 ml",330,IF(C195="180 ml",240,1)))))),0))</f>
        <v/>
      </c>
      <c r="K195" s="552" t="n"/>
      <c r="L195" s="552">
        <f>IF(H195="","",H195)</f>
        <v/>
      </c>
      <c r="M195" s="552" t="n"/>
      <c r="N195">
        <f>IF(I195="","",I195)</f>
        <v/>
      </c>
    </row>
    <row r="196" ht="15" customHeight="1" s="468">
      <c r="A196" s="638" t="n"/>
      <c r="C196" s="71" t="n"/>
      <c r="D196" s="552" t="n"/>
      <c r="F196" s="552" t="n"/>
      <c r="G196" s="552" t="n"/>
      <c r="H196" s="552" t="n"/>
      <c r="I196" s="552" t="n"/>
      <c r="J196" s="552">
        <f>IF(D196="","",ROUNDUP(D196/IF(AND(C196="600 ml",ISNUMBER(SEARCH("NORCAU",B196))),95,IF(AND(C196="600 ml",ISNUMBER(SEARCH("APURATOS",B196))),190,IF(C196="600 ml",95,IF(C196="400 ml",125,IF(C196="200 ml",330,IF(C196="180 ml",240,1)))))),0))</f>
        <v/>
      </c>
      <c r="K196" s="552" t="n"/>
      <c r="L196" s="552">
        <f>IF(H196="","",H196)</f>
        <v/>
      </c>
      <c r="M196" s="552" t="n"/>
      <c r="N196">
        <f>IF(I196="","",I196)</f>
        <v/>
      </c>
    </row>
    <row r="197" ht="15" customHeight="1" s="468">
      <c r="A197" s="638" t="n"/>
      <c r="C197" s="71" t="n"/>
      <c r="D197" s="552" t="n"/>
      <c r="F197" s="552" t="n"/>
      <c r="G197" s="552" t="n"/>
      <c r="H197" s="552" t="n"/>
      <c r="I197" s="552" t="n"/>
      <c r="J197" s="552">
        <f>IF(D197="","",ROUNDUP(D197/IF(AND(C197="600 ml",ISNUMBER(SEARCH("NORCAU",B197))),95,IF(AND(C197="600 ml",ISNUMBER(SEARCH("APURATOS",B197))),190,IF(C197="600 ml",95,IF(C197="400 ml",125,IF(C197="200 ml",330,IF(C197="180 ml",240,1)))))),0))</f>
        <v/>
      </c>
      <c r="K197" s="552" t="n"/>
      <c r="L197" s="552">
        <f>IF(H197="","",H197)</f>
        <v/>
      </c>
      <c r="M197" s="552" t="n"/>
      <c r="N197">
        <f>IF(I197="","",I197)</f>
        <v/>
      </c>
    </row>
    <row r="198" ht="15" customHeight="1" s="468">
      <c r="A198" s="658" t="n"/>
      <c r="B198" s="640" t="inlineStr">
        <is>
          <t>TOTAL</t>
        </is>
      </c>
      <c r="C198" s="641" t="n"/>
      <c r="D198" s="642">
        <f>IF(J198="","",TEXT(J198,"#,##0"))</f>
        <v/>
      </c>
      <c r="E198" s="643" t="n"/>
      <c r="F198" s="644" t="n"/>
      <c r="G198" s="642">
        <f>IF(K198="","",TEXT(K198,"#,##0"))</f>
        <v/>
      </c>
      <c r="H198" s="642">
        <f>IF(L198="","",TEXT(L198,"#,##0"))</f>
        <v/>
      </c>
      <c r="I198" s="642">
        <f>IF(M198="","",TEXT(M198,"#,##0"))</f>
        <v/>
      </c>
      <c r="J198" s="644">
        <f>SUM(D172:D197)</f>
        <v/>
      </c>
      <c r="K198" s="644">
        <f>SUM(G172:G197)</f>
        <v/>
      </c>
      <c r="L198" s="644">
        <f>SUM(H172:H197)</f>
        <v/>
      </c>
      <c r="M198" s="644">
        <f>SUM(I172:I197)</f>
        <v/>
      </c>
      <c r="N198" s="552">
        <f>IF(I198="","",I198)</f>
        <v/>
      </c>
    </row>
    <row r="199" ht="15" customHeight="1" s="468">
      <c r="A199" s="638" t="n"/>
      <c r="C199" s="71" t="n"/>
      <c r="D199" s="552" t="n"/>
      <c r="F199" s="552" t="n"/>
      <c r="G199" s="552" t="n"/>
      <c r="H199" s="552" t="n"/>
      <c r="I199" s="552" t="n"/>
      <c r="J199" s="552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K199" s="552" t="n"/>
      <c r="L199" s="552">
        <f>IF(H199="","",H199)</f>
        <v/>
      </c>
      <c r="M199" s="552" t="n"/>
      <c r="N199">
        <f>IF(I199="","",I199)</f>
        <v/>
      </c>
    </row>
  </sheetData>
  <mergeCells count="10">
    <mergeCell ref="A2:F2"/>
    <mergeCell ref="G2:I2"/>
    <mergeCell ref="Q145:U148"/>
    <mergeCell ref="P26:S28"/>
    <mergeCell ref="Q154:U157"/>
    <mergeCell ref="P44:S46"/>
    <mergeCell ref="P35:S37"/>
    <mergeCell ref="A1:I1"/>
    <mergeCell ref="P3:S5"/>
    <mergeCell ref="P12:S13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98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F766E"/>
    <outlinePr summaryBelow="1" summaryRight="1"/>
    <pageSetUpPr/>
  </sheetPr>
  <dimension ref="A1:Y30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hidden="1" width="13" customWidth="1" style="468" min="24" max="25"/>
  </cols>
  <sheetData>
    <row r="1" ht="19.5" customHeight="1" s="468">
      <c r="A1" s="675" t="inlineStr">
        <is>
          <t>RESULTADOS E GRÁFICO - JANEIRO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SUM(C9:C30)</f>
        <v/>
      </c>
      <c r="D4" s="152">
        <f>COUNTA(A9:A30)*CONFIG!$B$3</f>
        <v/>
      </c>
      <c r="F4" s="152">
        <f>IFERROR(SUMIFS(C9:C30,A9:A30,"&lt;="&amp;TODAY(),F9:F30,"&lt;&gt;*Feriado*")/COUNTIFS(A9:A30,"&lt;="&amp;TODAY(),F9:F30,"&lt;&gt;*Feriado*"),0)</f>
        <v/>
      </c>
      <c r="H4" s="152">
        <f>IFERROR(MAX(C9:C30),0)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4.25" customHeight="1" s="468">
      <c r="A9" s="676" t="n">
        <v>46023</v>
      </c>
      <c r="B9" s="677" t="n">
        <v>1</v>
      </c>
      <c r="C9" s="678" t="n">
        <v>0</v>
      </c>
      <c r="D9" s="678">
        <f>CONFIG!$B$3</f>
        <v/>
      </c>
      <c r="E9" s="678">
        <f>C9-D9</f>
        <v/>
      </c>
      <c r="F9" s="679" t="inlineStr">
        <is>
          <t>Feriado - Confraternização Universal</t>
        </is>
      </c>
      <c r="X9">
        <f>IF(COUNTIF($F9,"*Feriado*")&gt;0,NA(),$C9)</f>
        <v/>
      </c>
      <c r="Y9">
        <f>IF(COUNTIF($F9,"*Feriado*")&gt;0,NA(),$D9)</f>
        <v/>
      </c>
    </row>
    <row r="10" ht="14.25" customHeight="1" s="468">
      <c r="A10" s="680" t="n">
        <v>46024</v>
      </c>
      <c r="B10" s="681" t="n">
        <v>2</v>
      </c>
      <c r="C10" s="682" t="n">
        <v>0</v>
      </c>
      <c r="D10" s="682">
        <f>CONFIG!$B$3</f>
        <v/>
      </c>
      <c r="E10" s="682">
        <f>C10-D10</f>
        <v/>
      </c>
      <c r="F10" s="683" t="n"/>
      <c r="X10" s="552">
        <f>IF(COUNTIF($F10,"*Feriado*")&gt;0,NA(),$C10)</f>
        <v/>
      </c>
      <c r="Y10" s="552">
        <f>IF(COUNTIF($F10,"*Feriado*")&gt;0,NA(),$D10)</f>
        <v/>
      </c>
    </row>
    <row r="11" ht="14.25" customHeight="1" s="468">
      <c r="A11" s="676" t="n">
        <v>46027</v>
      </c>
      <c r="B11" s="677" t="n">
        <v>3</v>
      </c>
      <c r="C11" s="678">
        <f>'SEMANA JANEIRO'!$M$9</f>
        <v/>
      </c>
      <c r="D11" s="678">
        <f>CONFIG!$B$3</f>
        <v/>
      </c>
      <c r="E11" s="678">
        <f>C11-D11</f>
        <v/>
      </c>
      <c r="F11" s="683" t="n"/>
      <c r="X11" s="552">
        <f>IF(COUNTIF($F11,"*Feriado*")&gt;0,NA(),$C11)</f>
        <v/>
      </c>
      <c r="Y11" s="552">
        <f>IF(COUNTIF($F11,"*Feriado*")&gt;0,NA(),$D11)</f>
        <v/>
      </c>
    </row>
    <row r="12" ht="14.25" customHeight="1" s="468">
      <c r="A12" s="680" t="n">
        <v>46028</v>
      </c>
      <c r="B12" s="681" t="n">
        <v>4</v>
      </c>
      <c r="C12" s="682">
        <f>'SEMANA JANEIRO'!$M$16</f>
        <v/>
      </c>
      <c r="D12" s="682">
        <f>CONFIG!$B$3</f>
        <v/>
      </c>
      <c r="E12" s="682">
        <f>C12-D12</f>
        <v/>
      </c>
      <c r="F12" s="683" t="n"/>
      <c r="X12" s="552">
        <f>IF(COUNTIF($F12,"*Feriado*")&gt;0,NA(),$C12)</f>
        <v/>
      </c>
      <c r="Y12" s="552">
        <f>IF(COUNTIF($F12,"*Feriado*")&gt;0,NA(),$D12)</f>
        <v/>
      </c>
    </row>
    <row r="13" ht="14.25" customHeight="1" s="468">
      <c r="A13" s="676" t="n">
        <v>46029</v>
      </c>
      <c r="B13" s="677" t="n">
        <v>5</v>
      </c>
      <c r="C13" s="678">
        <f>'SEMANA JANEIRO'!$M$24</f>
        <v/>
      </c>
      <c r="D13" s="678">
        <f>CONFIG!$B$3</f>
        <v/>
      </c>
      <c r="E13" s="678">
        <f>C13-D13</f>
        <v/>
      </c>
      <c r="F13" s="683" t="n"/>
      <c r="X13" s="552">
        <f>IF(COUNTIF($F13,"*Feriado*")&gt;0,NA(),$C13)</f>
        <v/>
      </c>
      <c r="Y13" s="552">
        <f>IF(COUNTIF($F13,"*Feriado*")&gt;0,NA(),$D13)</f>
        <v/>
      </c>
    </row>
    <row r="14" ht="14.25" customHeight="1" s="468">
      <c r="A14" s="680" t="n">
        <v>46030</v>
      </c>
      <c r="B14" s="681" t="n">
        <v>6</v>
      </c>
      <c r="C14" s="682">
        <f>'SEMANA JANEIRO'!$M$32</f>
        <v/>
      </c>
      <c r="D14" s="682">
        <f>CONFIG!$B$3</f>
        <v/>
      </c>
      <c r="E14" s="682">
        <f>C14-D14</f>
        <v/>
      </c>
      <c r="F14" s="683" t="n"/>
      <c r="X14" s="552">
        <f>IF(COUNTIF($F14,"*Feriado*")&gt;0,NA(),$C14)</f>
        <v/>
      </c>
      <c r="Y14" s="552">
        <f>IF(COUNTIF($F14,"*Feriado*")&gt;0,NA(),$D14)</f>
        <v/>
      </c>
    </row>
    <row r="15" ht="14.25" customHeight="1" s="468">
      <c r="A15" s="676" t="n">
        <v>46031</v>
      </c>
      <c r="B15" s="677" t="n">
        <v>7</v>
      </c>
      <c r="C15" s="678">
        <f>'SEMANA JANEIRO'!$M$41</f>
        <v/>
      </c>
      <c r="D15" s="678">
        <f>CONFIG!$B$3</f>
        <v/>
      </c>
      <c r="E15" s="678">
        <f>C15-D15</f>
        <v/>
      </c>
      <c r="F15" s="683" t="n"/>
      <c r="X15" s="552">
        <f>IF(COUNTIF($F15,"*Feriado*")&gt;0,NA(),$C15)</f>
        <v/>
      </c>
      <c r="Y15" s="552">
        <f>IF(COUNTIF($F15,"*Feriado*")&gt;0,NA(),$D15)</f>
        <v/>
      </c>
    </row>
    <row r="16" ht="14.25" customHeight="1" s="468">
      <c r="A16" s="680" t="n">
        <v>46034</v>
      </c>
      <c r="B16" s="681" t="n">
        <v>8</v>
      </c>
      <c r="C16" s="682">
        <f>'SEMANA JANEIRO'!$M$49</f>
        <v/>
      </c>
      <c r="D16" s="682">
        <f>CONFIG!$B$3</f>
        <v/>
      </c>
      <c r="E16" s="682">
        <f>C16-D16</f>
        <v/>
      </c>
      <c r="F16" s="683" t="n"/>
      <c r="X16" s="552">
        <f>IF(COUNTIF($F16,"*Feriado*")&gt;0,NA(),$C16)</f>
        <v/>
      </c>
      <c r="Y16" s="552">
        <f>IF(COUNTIF($F16,"*Feriado*")&gt;0,NA(),$D16)</f>
        <v/>
      </c>
    </row>
    <row r="17" ht="14.25" customHeight="1" s="468">
      <c r="A17" s="676" t="n">
        <v>46035</v>
      </c>
      <c r="B17" s="677" t="n">
        <v>9</v>
      </c>
      <c r="C17" s="678">
        <f>'SEMANA JANEIRO'!$M$57</f>
        <v/>
      </c>
      <c r="D17" s="678">
        <f>CONFIG!$B$3</f>
        <v/>
      </c>
      <c r="E17" s="678">
        <f>C17-D17</f>
        <v/>
      </c>
      <c r="F17" s="683" t="n"/>
      <c r="X17" s="552">
        <f>IF(COUNTIF($F17,"*Feriado*")&gt;0,NA(),$C17)</f>
        <v/>
      </c>
      <c r="Y17" s="552">
        <f>IF(COUNTIF($F17,"*Feriado*")&gt;0,NA(),$D17)</f>
        <v/>
      </c>
    </row>
    <row r="18" ht="14.25" customHeight="1" s="468">
      <c r="A18" s="680" t="n">
        <v>46036</v>
      </c>
      <c r="B18" s="681" t="n">
        <v>10</v>
      </c>
      <c r="C18" s="682">
        <f>'SEMANA JANEIRO'!$M$65</f>
        <v/>
      </c>
      <c r="D18" s="682">
        <f>CONFIG!$B$3</f>
        <v/>
      </c>
      <c r="E18" s="682">
        <f>C18-D18</f>
        <v/>
      </c>
      <c r="F18" s="683" t="n"/>
      <c r="X18" s="552">
        <f>IF(COUNTIF($F18,"*Feriado*")&gt;0,NA(),$C18)</f>
        <v/>
      </c>
      <c r="Y18" s="552">
        <f>IF(COUNTIF($F18,"*Feriado*")&gt;0,NA(),$D18)</f>
        <v/>
      </c>
    </row>
    <row r="19" ht="14.25" customHeight="1" s="468">
      <c r="A19" s="676" t="n">
        <v>46037</v>
      </c>
      <c r="B19" s="677" t="n">
        <v>11</v>
      </c>
      <c r="C19" s="678">
        <f>'SEMANA JANEIRO'!$M$74</f>
        <v/>
      </c>
      <c r="D19" s="678">
        <f>CONFIG!$B$3</f>
        <v/>
      </c>
      <c r="E19" s="678">
        <f>C19-D19</f>
        <v/>
      </c>
      <c r="F19" s="683" t="n"/>
      <c r="X19" s="552">
        <f>IF(COUNTIF($F19,"*Feriado*")&gt;0,NA(),$C19)</f>
        <v/>
      </c>
      <c r="Y19" s="552">
        <f>IF(COUNTIF($F19,"*Feriado*")&gt;0,NA(),$D19)</f>
        <v/>
      </c>
    </row>
    <row r="20" ht="14.25" customHeight="1" s="468">
      <c r="A20" s="680" t="n">
        <v>46038</v>
      </c>
      <c r="B20" s="681" t="n">
        <v>12</v>
      </c>
      <c r="C20" s="682">
        <f>'SEMANA JANEIRO'!$M$82</f>
        <v/>
      </c>
      <c r="D20" s="682">
        <f>CONFIG!$B$3</f>
        <v/>
      </c>
      <c r="E20" s="682">
        <f>C20-D20</f>
        <v/>
      </c>
      <c r="F20" s="683" t="n"/>
      <c r="X20" s="552">
        <f>IF(COUNTIF($F20,"*Feriado*")&gt;0,NA(),$C20)</f>
        <v/>
      </c>
      <c r="Y20" s="552">
        <f>IF(COUNTIF($F20,"*Feriado*")&gt;0,NA(),$D20)</f>
        <v/>
      </c>
    </row>
    <row r="21" ht="14.25" customHeight="1" s="468">
      <c r="A21" s="676" t="n">
        <v>46041</v>
      </c>
      <c r="B21" s="677" t="n">
        <v>13</v>
      </c>
      <c r="C21" s="678">
        <f>'SEMANA JANEIRO'!$M$92</f>
        <v/>
      </c>
      <c r="D21" s="678">
        <f>CONFIG!$B$3</f>
        <v/>
      </c>
      <c r="E21" s="678">
        <f>C21-D21</f>
        <v/>
      </c>
      <c r="F21" s="683" t="n"/>
      <c r="X21" s="552">
        <f>IF(COUNTIF($F21,"*Feriado*")&gt;0,NA(),$C21)</f>
        <v/>
      </c>
      <c r="Y21" s="552">
        <f>IF(COUNTIF($F21,"*Feriado*")&gt;0,NA(),$D21)</f>
        <v/>
      </c>
    </row>
    <row r="22" ht="14.25" customHeight="1" s="468">
      <c r="A22" s="680" t="n">
        <v>46042</v>
      </c>
      <c r="B22" s="681" t="n">
        <v>14</v>
      </c>
      <c r="C22" s="682">
        <f>'SEMANA JANEIRO'!$M$102</f>
        <v/>
      </c>
      <c r="D22" s="682">
        <f>CONFIG!$B$3</f>
        <v/>
      </c>
      <c r="E22" s="682">
        <f>C22-D22</f>
        <v/>
      </c>
      <c r="F22" s="683" t="n"/>
      <c r="X22" s="552">
        <f>IF(COUNTIF($F22,"*Feriado*")&gt;0,NA(),$C22)</f>
        <v/>
      </c>
      <c r="Y22" s="552">
        <f>IF(COUNTIF($F22,"*Feriado*")&gt;0,NA(),$D22)</f>
        <v/>
      </c>
    </row>
    <row r="23" ht="14.25" customHeight="1" s="468">
      <c r="A23" s="676" t="n">
        <v>46043</v>
      </c>
      <c r="B23" s="677" t="n">
        <v>15</v>
      </c>
      <c r="C23" s="678" t="n">
        <v>0</v>
      </c>
      <c r="D23" s="678">
        <f>CONFIG!$B$3</f>
        <v/>
      </c>
      <c r="E23" s="678">
        <f>C23-D23</f>
        <v/>
      </c>
      <c r="F23" s="683" t="n"/>
      <c r="X23" s="552">
        <f>IF(COUNTIF($F23,"*Feriado*")&gt;0,NA(),$C23)</f>
        <v/>
      </c>
      <c r="Y23" s="552">
        <f>IF(COUNTIF($F23,"*Feriado*")&gt;0,NA(),$D23)</f>
        <v/>
      </c>
    </row>
    <row r="24" ht="14.25" customHeight="1" s="468">
      <c r="A24" s="680" t="n">
        <v>46044</v>
      </c>
      <c r="B24" s="681" t="n">
        <v>16</v>
      </c>
      <c r="C24" s="682">
        <f>'SEMANA JANEIRO'!$M$120</f>
        <v/>
      </c>
      <c r="D24" s="682">
        <f>CONFIG!$B$3</f>
        <v/>
      </c>
      <c r="E24" s="682">
        <f>C24-D24</f>
        <v/>
      </c>
      <c r="F24" s="683" t="n"/>
      <c r="X24" s="552">
        <f>IF(COUNTIF($F24,"*Feriado*")&gt;0,NA(),$C24)</f>
        <v/>
      </c>
      <c r="Y24" s="552">
        <f>IF(COUNTIF($F24,"*Feriado*")&gt;0,NA(),$D24)</f>
        <v/>
      </c>
    </row>
    <row r="25" ht="14.25" customHeight="1" s="468">
      <c r="A25" s="676" t="n">
        <v>46045</v>
      </c>
      <c r="B25" s="677" t="n">
        <v>17</v>
      </c>
      <c r="C25" s="678" t="n">
        <v>0</v>
      </c>
      <c r="D25" s="678">
        <f>CONFIG!$B$3</f>
        <v/>
      </c>
      <c r="E25" s="678">
        <f>C25-D25</f>
        <v/>
      </c>
      <c r="F25" s="683" t="n"/>
      <c r="X25" s="552">
        <f>IF(COUNTIF($F25,"*Feriado*")&gt;0,NA(),$C25)</f>
        <v/>
      </c>
      <c r="Y25" s="552">
        <f>IF(COUNTIF($F25,"*Feriado*")&gt;0,NA(),$D25)</f>
        <v/>
      </c>
    </row>
    <row r="26" ht="14.25" customHeight="1" s="468">
      <c r="A26" s="680" t="n">
        <v>46048</v>
      </c>
      <c r="B26" s="681" t="n">
        <v>18</v>
      </c>
      <c r="C26" s="682">
        <f>'SEMANA JANEIRO'!$M$142</f>
        <v/>
      </c>
      <c r="D26" s="682">
        <f>CONFIG!$B$3</f>
        <v/>
      </c>
      <c r="E26" s="682">
        <f>C26-D26</f>
        <v/>
      </c>
      <c r="F26" s="683" t="n"/>
      <c r="X26" s="552">
        <f>IF(COUNTIF($F26,"*Feriado*")&gt;0,NA(),$C26)</f>
        <v/>
      </c>
      <c r="Y26" s="552">
        <f>IF(COUNTIF($F26,"*Feriado*")&gt;0,NA(),$D26)</f>
        <v/>
      </c>
    </row>
    <row r="27" ht="14.25" customHeight="1" s="468">
      <c r="A27" s="676" t="n">
        <v>46049</v>
      </c>
      <c r="B27" s="677" t="n">
        <v>19</v>
      </c>
      <c r="C27" s="678">
        <f>'SEMANA JANEIRO'!$M$150</f>
        <v/>
      </c>
      <c r="D27" s="678">
        <f>CONFIG!$B$3</f>
        <v/>
      </c>
      <c r="E27" s="678">
        <f>C27-D27</f>
        <v/>
      </c>
      <c r="F27" s="683" t="n"/>
      <c r="X27" s="552">
        <f>IF(COUNTIF($F27,"*Feriado*")&gt;0,NA(),$C27)</f>
        <v/>
      </c>
      <c r="Y27" s="552">
        <f>IF(COUNTIF($F27,"*Feriado*")&gt;0,NA(),$D27)</f>
        <v/>
      </c>
    </row>
    <row r="28" ht="14.25" customHeight="1" s="468">
      <c r="A28" s="680" t="n">
        <v>46050</v>
      </c>
      <c r="B28" s="681" t="n">
        <v>20</v>
      </c>
      <c r="C28" s="682">
        <f>'SEMANA JANEIRO'!$M$161</f>
        <v/>
      </c>
      <c r="D28" s="682">
        <f>CONFIG!$B$3</f>
        <v/>
      </c>
      <c r="E28" s="682">
        <f>C28-D28</f>
        <v/>
      </c>
      <c r="F28" s="683" t="n"/>
      <c r="X28" s="552">
        <f>IF(COUNTIF($F28,"*Feriado*")&gt;0,NA(),$C28)</f>
        <v/>
      </c>
      <c r="Y28" s="552">
        <f>IF(COUNTIF($F28,"*Feriado*")&gt;0,NA(),$D28)</f>
        <v/>
      </c>
    </row>
    <row r="29" ht="14.25" customHeight="1" s="468">
      <c r="A29" s="676" t="n">
        <v>46051</v>
      </c>
      <c r="B29" s="677" t="n">
        <v>21</v>
      </c>
      <c r="C29" s="678">
        <f>'SEMANA JANEIRO'!$M$169</f>
        <v/>
      </c>
      <c r="D29" s="678">
        <f>CONFIG!$B$3</f>
        <v/>
      </c>
      <c r="E29" s="678">
        <f>C29-D29</f>
        <v/>
      </c>
      <c r="F29" s="683" t="n"/>
      <c r="X29" s="552">
        <f>IF(COUNTIF($F29,"*Feriado*")&gt;0,NA(),$C29)</f>
        <v/>
      </c>
      <c r="Y29" s="552">
        <f>IF(COUNTIF($F29,"*Feriado*")&gt;0,NA(),$D29)</f>
        <v/>
      </c>
    </row>
    <row r="30" ht="14.25" customHeight="1" s="468">
      <c r="A30" s="680" t="n">
        <v>46052</v>
      </c>
      <c r="B30" s="681" t="n">
        <v>22</v>
      </c>
      <c r="C30" s="682">
        <f>'SEMANA JANEIRO'!$M$198</f>
        <v/>
      </c>
      <c r="D30" s="682">
        <f>CONFIG!$B$3</f>
        <v/>
      </c>
      <c r="E30" s="682">
        <f>C30-D30</f>
        <v/>
      </c>
      <c r="F30" s="683" t="n"/>
      <c r="X30" s="552">
        <f>IF(COUNTIF($F30,"*Feriado*")&gt;0,NA(),$C30)</f>
        <v/>
      </c>
      <c r="Y30" s="552">
        <f>IF(COUNTIF($F30,"*Feriado*")&gt;0,NA(),$D30)</f>
        <v/>
      </c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C96B0A"/>
    <outlinePr summaryBelow="1" summaryRight="1"/>
    <pageSetUpPr/>
  </sheetPr>
  <dimension ref="B1:N300"/>
  <sheetViews>
    <sheetView showGridLines="0" zoomScaleNormal="100" workbookViewId="0">
      <selection activeCell="A1" sqref="A1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5" min="14" max="14"/>
  </cols>
  <sheetData>
    <row r="1" ht="21.75" customHeight="1" s="468">
      <c r="B1" s="511" t="inlineStr">
        <is>
          <t>ORDEM DE PRODUÇÃO - FEVEREIRO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179" t="inlineStr">
        <is>
          <t>OP</t>
        </is>
      </c>
      <c r="C3" s="519" t="inlineStr">
        <is>
          <t xml:space="preserve">LOTE </t>
        </is>
      </c>
      <c r="D3" s="454" t="n"/>
      <c r="E3" s="519" t="inlineStr">
        <is>
          <t>LOTE CLIENTE</t>
        </is>
      </c>
      <c r="F3" s="454" t="n"/>
      <c r="G3" s="519" t="inlineStr">
        <is>
          <t>PRODUTO</t>
        </is>
      </c>
      <c r="H3" s="456" t="n"/>
      <c r="I3" s="456" t="n"/>
      <c r="J3" s="454" t="n"/>
      <c r="K3" s="519" t="inlineStr">
        <is>
          <t>CLIENTE</t>
        </is>
      </c>
      <c r="L3" s="454" t="n"/>
      <c r="M3" s="180" t="inlineStr">
        <is>
          <t>QTDE(Kg)</t>
        </is>
      </c>
      <c r="N3" s="417" t="inlineStr">
        <is>
          <t>FABRICAÇÃO</t>
        </is>
      </c>
    </row>
    <row r="4" ht="17.25" customHeight="1" s="468">
      <c r="B4" s="508" t="inlineStr">
        <is>
          <t>2026/031</t>
        </is>
      </c>
      <c r="C4" s="482" t="n">
        <v>26010146</v>
      </c>
      <c r="D4" s="484" t="n"/>
      <c r="E4" s="482" t="inlineStr">
        <is>
          <t>OL 131/32/33/34/35</t>
        </is>
      </c>
      <c r="F4" s="484" t="n"/>
      <c r="G4" s="482" t="inlineStr">
        <is>
          <t>OL 40/20 - 25LTRS</t>
        </is>
      </c>
      <c r="H4" s="483" t="n"/>
      <c r="I4" s="483" t="n"/>
      <c r="J4" s="484" t="n"/>
      <c r="K4" s="482" t="inlineStr">
        <is>
          <t>INDIPAN</t>
        </is>
      </c>
      <c r="L4" s="484" t="n"/>
      <c r="M4" s="10" t="inlineStr">
        <is>
          <t>90 BBs</t>
        </is>
      </c>
      <c r="N4" s="418" t="n">
        <v>46055</v>
      </c>
    </row>
    <row r="5" ht="17.25" customHeight="1" s="468">
      <c r="B5" s="495" t="inlineStr">
        <is>
          <t>2026/032</t>
        </is>
      </c>
      <c r="C5" s="487" t="n">
        <v>26010147</v>
      </c>
      <c r="D5" s="486" t="n"/>
      <c r="E5" s="490" t="n"/>
      <c r="F5" s="486" t="n"/>
      <c r="G5" s="487" t="inlineStr">
        <is>
          <t>UNTA FACIL 400ML</t>
        </is>
      </c>
      <c r="H5" s="488" t="n"/>
      <c r="I5" s="488" t="n"/>
      <c r="J5" s="486" t="n"/>
      <c r="K5" s="487" t="inlineStr">
        <is>
          <t>IN LOCO</t>
        </is>
      </c>
      <c r="L5" s="486" t="n"/>
      <c r="M5" s="16" t="inlineStr">
        <is>
          <t>30.000 LATAS</t>
        </is>
      </c>
      <c r="N5" s="418" t="n">
        <v>46062</v>
      </c>
    </row>
    <row r="6" ht="17.25" customHeight="1" s="468">
      <c r="B6" s="504" t="inlineStr">
        <is>
          <t>2026/033</t>
        </is>
      </c>
      <c r="C6" s="489" t="n">
        <v>26010148</v>
      </c>
      <c r="D6" s="486" t="n"/>
      <c r="E6" s="485" t="n"/>
      <c r="F6" s="486" t="n"/>
      <c r="G6" s="489" t="inlineStr">
        <is>
          <t>UNTA MAIS 400ML</t>
        </is>
      </c>
      <c r="H6" s="488" t="n"/>
      <c r="I6" s="488" t="n"/>
      <c r="J6" s="486" t="n"/>
      <c r="K6" s="489" t="inlineStr">
        <is>
          <t>CASA DO PANIFICADOR</t>
        </is>
      </c>
      <c r="L6" s="486" t="n"/>
      <c r="M6" s="15" t="inlineStr">
        <is>
          <t>2.400 LATAS</t>
        </is>
      </c>
      <c r="N6" s="418" t="n">
        <v>46066</v>
      </c>
    </row>
    <row r="7" ht="17.25" customHeight="1" s="468">
      <c r="B7" s="495" t="inlineStr">
        <is>
          <t>2026/034</t>
        </is>
      </c>
      <c r="C7" s="487" t="n">
        <v>26010149</v>
      </c>
      <c r="D7" s="486" t="n"/>
      <c r="E7" s="490" t="n"/>
      <c r="F7" s="486" t="n"/>
      <c r="G7" s="487" t="inlineStr">
        <is>
          <t>CHEF MASTER 400ML</t>
        </is>
      </c>
      <c r="H7" s="488" t="n"/>
      <c r="I7" s="488" t="n"/>
      <c r="J7" s="486" t="n"/>
      <c r="K7" s="487" t="inlineStr">
        <is>
          <t>REPETECO</t>
        </is>
      </c>
      <c r="L7" s="486" t="n"/>
      <c r="M7" s="11" t="inlineStr">
        <is>
          <t>3.000 LATAS</t>
        </is>
      </c>
      <c r="N7" s="418" t="n">
        <v>46066</v>
      </c>
    </row>
    <row r="8" ht="17.25" customHeight="1" s="468">
      <c r="B8" s="504" t="inlineStr">
        <is>
          <t>2026/035</t>
        </is>
      </c>
      <c r="C8" s="489" t="n">
        <v>26010150</v>
      </c>
      <c r="D8" s="486" t="n"/>
      <c r="E8" s="485" t="n"/>
      <c r="F8" s="486" t="n"/>
      <c r="G8" s="489" t="inlineStr">
        <is>
          <t>BONASSE 400ML</t>
        </is>
      </c>
      <c r="H8" s="488" t="n"/>
      <c r="I8" s="488" t="n"/>
      <c r="J8" s="486" t="n"/>
      <c r="K8" s="489" t="inlineStr">
        <is>
          <t>ROCHAPAN</t>
        </is>
      </c>
      <c r="L8" s="486" t="n"/>
      <c r="M8" s="15" t="inlineStr">
        <is>
          <t>3.000 LATAS</t>
        </is>
      </c>
      <c r="N8" s="418" t="n">
        <v>46066</v>
      </c>
    </row>
    <row r="9" ht="17.25" customHeight="1" s="468">
      <c r="B9" s="495" t="inlineStr">
        <is>
          <t>2026/036</t>
        </is>
      </c>
      <c r="C9" s="487" t="n">
        <v>26010151</v>
      </c>
      <c r="D9" s="486" t="n"/>
      <c r="E9" s="490" t="n"/>
      <c r="F9" s="486" t="n"/>
      <c r="G9" s="487" t="inlineStr">
        <is>
          <t>UNTA FORMA 400ML</t>
        </is>
      </c>
      <c r="H9" s="488" t="n"/>
      <c r="I9" s="488" t="n"/>
      <c r="J9" s="486" t="n"/>
      <c r="K9" s="487" t="inlineStr">
        <is>
          <t>BRICOFLEX</t>
        </is>
      </c>
      <c r="L9" s="486" t="n"/>
      <c r="M9" s="16" t="inlineStr">
        <is>
          <t>1.500 LATAS</t>
        </is>
      </c>
      <c r="N9" s="418" t="n">
        <v>46071</v>
      </c>
    </row>
    <row r="10" ht="17.25" customHeight="1" s="468">
      <c r="B10" s="504" t="inlineStr">
        <is>
          <t>2026/037</t>
        </is>
      </c>
      <c r="C10" s="489" t="n">
        <v>26010152</v>
      </c>
      <c r="D10" s="486" t="n"/>
      <c r="E10" s="485" t="n"/>
      <c r="F10" s="486" t="n"/>
      <c r="G10" s="489" t="inlineStr">
        <is>
          <t>UNTA FORMA 400ML</t>
        </is>
      </c>
      <c r="H10" s="488" t="n"/>
      <c r="I10" s="488" t="n"/>
      <c r="J10" s="486" t="n"/>
      <c r="K10" s="489" t="inlineStr">
        <is>
          <t>TTF</t>
        </is>
      </c>
      <c r="L10" s="486" t="n"/>
      <c r="M10" s="13" t="inlineStr">
        <is>
          <t>1.500 LATAS</t>
        </is>
      </c>
      <c r="N10" s="418" t="n">
        <v>46071</v>
      </c>
    </row>
    <row r="11" ht="17.25" customHeight="1" s="468">
      <c r="B11" s="495" t="inlineStr">
        <is>
          <t>2026/038</t>
        </is>
      </c>
      <c r="C11" s="487" t="n">
        <v>26010153</v>
      </c>
      <c r="D11" s="486" t="n"/>
      <c r="E11" s="490" t="n"/>
      <c r="F11" s="486" t="n"/>
      <c r="G11" s="487" t="inlineStr">
        <is>
          <t>UNTA FORMA 400ML</t>
        </is>
      </c>
      <c r="H11" s="488" t="n"/>
      <c r="I11" s="488" t="n"/>
      <c r="J11" s="486" t="n"/>
      <c r="K11" s="487" t="inlineStr">
        <is>
          <t>DISPAN</t>
        </is>
      </c>
      <c r="L11" s="486" t="n"/>
      <c r="M11" s="16" t="inlineStr">
        <is>
          <t>4.500 LATAS</t>
        </is>
      </c>
      <c r="N11" s="418" t="n">
        <v>46072</v>
      </c>
    </row>
    <row r="12" ht="17.25" customHeight="1" s="468">
      <c r="B12" s="504" t="inlineStr">
        <is>
          <t>2026/039</t>
        </is>
      </c>
      <c r="C12" s="485" t="n"/>
      <c r="D12" s="486" t="n"/>
      <c r="E12" s="489" t="n">
        <v>2631392</v>
      </c>
      <c r="F12" s="486" t="n"/>
      <c r="G12" s="489" t="inlineStr">
        <is>
          <t>DESMOLDANTE CHEF</t>
        </is>
      </c>
      <c r="H12" s="488" t="n"/>
      <c r="I12" s="488" t="n"/>
      <c r="J12" s="486" t="n"/>
      <c r="K12" s="489" t="inlineStr">
        <is>
          <t>ICEBERG</t>
        </is>
      </c>
      <c r="L12" s="486" t="n"/>
      <c r="M12" s="13" t="inlineStr">
        <is>
          <t>27.192 LATAS</t>
        </is>
      </c>
      <c r="N12" s="418" t="n">
        <v>46064</v>
      </c>
    </row>
    <row r="13" ht="18" customHeight="1" s="468">
      <c r="B13" s="495" t="inlineStr">
        <is>
          <t>2026/040</t>
        </is>
      </c>
      <c r="C13" s="487" t="n">
        <v>26010154</v>
      </c>
      <c r="D13" s="486" t="n"/>
      <c r="E13" s="490" t="n"/>
      <c r="F13" s="486" t="n"/>
      <c r="G13" s="487" t="inlineStr">
        <is>
          <t>OL 40</t>
        </is>
      </c>
      <c r="H13" s="488" t="n"/>
      <c r="I13" s="488" t="n"/>
      <c r="J13" s="486" t="n"/>
      <c r="K13" s="487" t="inlineStr">
        <is>
          <t>SMART</t>
        </is>
      </c>
      <c r="L13" s="492" t="n"/>
      <c r="M13" s="11" t="inlineStr">
        <is>
          <t>420 KG</t>
        </is>
      </c>
      <c r="N13" s="418" t="n">
        <v>46058</v>
      </c>
    </row>
    <row r="14" ht="18" customHeight="1" s="468">
      <c r="B14" s="496" t="n"/>
      <c r="C14" s="489" t="n">
        <v>26010155</v>
      </c>
      <c r="D14" s="486" t="n"/>
      <c r="E14" s="485" t="n"/>
      <c r="F14" s="486" t="n"/>
      <c r="G14" s="489" t="inlineStr">
        <is>
          <t>OL 40</t>
        </is>
      </c>
      <c r="H14" s="488" t="n"/>
      <c r="I14" s="488" t="n"/>
      <c r="J14" s="486" t="n"/>
      <c r="K14" s="501" t="n"/>
      <c r="L14" s="502" t="n"/>
      <c r="M14" s="15" t="inlineStr">
        <is>
          <t>420 KG</t>
        </is>
      </c>
      <c r="N14" s="418" t="n">
        <v>46058</v>
      </c>
    </row>
    <row r="15" ht="18" customHeight="1" s="468">
      <c r="B15" s="496" t="n"/>
      <c r="C15" s="487" t="n">
        <v>26010156</v>
      </c>
      <c r="D15" s="486" t="n"/>
      <c r="E15" s="491" t="n"/>
      <c r="F15" s="486" t="n"/>
      <c r="G15" s="487" t="inlineStr">
        <is>
          <t>OL 40</t>
        </is>
      </c>
      <c r="H15" s="488" t="n"/>
      <c r="I15" s="488" t="n"/>
      <c r="J15" s="486" t="n"/>
      <c r="K15" s="501" t="n"/>
      <c r="L15" s="502" t="n"/>
      <c r="M15" s="11" t="inlineStr">
        <is>
          <t>420 KG</t>
        </is>
      </c>
      <c r="N15" s="418" t="n">
        <v>46062</v>
      </c>
    </row>
    <row r="16" ht="18" customHeight="1" s="468">
      <c r="B16" s="496" t="n"/>
      <c r="C16" s="489" t="n">
        <v>26010157</v>
      </c>
      <c r="D16" s="486" t="n"/>
      <c r="E16" s="485" t="n"/>
      <c r="F16" s="486" t="n"/>
      <c r="G16" s="489" t="inlineStr">
        <is>
          <t>OL ABELHA</t>
        </is>
      </c>
      <c r="H16" s="488" t="n"/>
      <c r="I16" s="488" t="n"/>
      <c r="J16" s="486" t="n"/>
      <c r="K16" s="501" t="n"/>
      <c r="L16" s="502" t="n"/>
      <c r="M16" s="15" t="inlineStr">
        <is>
          <t>420 KG</t>
        </is>
      </c>
      <c r="N16" s="418" t="n">
        <v>46058</v>
      </c>
    </row>
    <row r="17" ht="18" customHeight="1" s="468">
      <c r="B17" s="496" t="n"/>
      <c r="C17" s="487" t="n">
        <v>26010158</v>
      </c>
      <c r="D17" s="486" t="n"/>
      <c r="E17" s="490" t="n"/>
      <c r="F17" s="486" t="n"/>
      <c r="G17" s="487" t="inlineStr">
        <is>
          <t>OL ABELHA</t>
        </is>
      </c>
      <c r="H17" s="488" t="n"/>
      <c r="I17" s="488" t="n"/>
      <c r="J17" s="486" t="n"/>
      <c r="K17" s="501" t="n"/>
      <c r="L17" s="502" t="n"/>
      <c r="M17" s="11" t="inlineStr">
        <is>
          <t>420 KG</t>
        </is>
      </c>
      <c r="N17" s="418" t="n">
        <v>46058</v>
      </c>
    </row>
    <row r="18" ht="18" customHeight="1" s="468">
      <c r="B18" s="496" t="n"/>
      <c r="C18" s="489" t="n">
        <v>26010159</v>
      </c>
      <c r="D18" s="486" t="n"/>
      <c r="E18" s="485" t="n"/>
      <c r="F18" s="486" t="n"/>
      <c r="G18" s="489" t="inlineStr">
        <is>
          <t>OL ABELHA</t>
        </is>
      </c>
      <c r="H18" s="488" t="n"/>
      <c r="I18" s="488" t="n"/>
      <c r="J18" s="486" t="n"/>
      <c r="K18" s="501" t="n"/>
      <c r="L18" s="502" t="n"/>
      <c r="M18" s="15" t="inlineStr">
        <is>
          <t>420 KG</t>
        </is>
      </c>
      <c r="N18" s="418" t="n">
        <v>46058</v>
      </c>
    </row>
    <row r="19" ht="18" customHeight="1" s="468">
      <c r="B19" s="496" t="n"/>
      <c r="C19" s="487" t="n">
        <v>26010160</v>
      </c>
      <c r="D19" s="486" t="n"/>
      <c r="E19" s="491" t="n"/>
      <c r="F19" s="486" t="n"/>
      <c r="G19" s="487" t="inlineStr">
        <is>
          <t>OL ABELHA</t>
        </is>
      </c>
      <c r="H19" s="488" t="n"/>
      <c r="I19" s="488" t="n"/>
      <c r="J19" s="486" t="n"/>
      <c r="K19" s="501" t="n"/>
      <c r="L19" s="502" t="n"/>
      <c r="M19" s="11" t="inlineStr">
        <is>
          <t>420 KG</t>
        </is>
      </c>
      <c r="N19" s="418" t="n">
        <v>46058</v>
      </c>
    </row>
    <row r="20" ht="18" customHeight="1" s="468">
      <c r="B20" s="496" t="n"/>
      <c r="C20" s="489" t="n">
        <v>26010161</v>
      </c>
      <c r="D20" s="486" t="n"/>
      <c r="E20" s="485" t="n"/>
      <c r="F20" s="486" t="n"/>
      <c r="G20" s="489" t="inlineStr">
        <is>
          <t>OL 40</t>
        </is>
      </c>
      <c r="H20" s="488" t="n"/>
      <c r="I20" s="488" t="n"/>
      <c r="J20" s="486" t="n"/>
      <c r="K20" s="501" t="n"/>
      <c r="L20" s="502" t="n"/>
      <c r="M20" s="15" t="inlineStr">
        <is>
          <t>420 KG</t>
        </is>
      </c>
      <c r="N20" s="418" t="n">
        <v>46062</v>
      </c>
    </row>
    <row r="21" ht="18" customHeight="1" s="468">
      <c r="B21" s="496" t="n"/>
      <c r="C21" s="487" t="n">
        <v>26010162</v>
      </c>
      <c r="D21" s="486" t="n"/>
      <c r="E21" s="490" t="n"/>
      <c r="F21" s="486" t="n"/>
      <c r="G21" s="487" t="inlineStr">
        <is>
          <t>OL 40</t>
        </is>
      </c>
      <c r="H21" s="488" t="n"/>
      <c r="I21" s="488" t="n"/>
      <c r="J21" s="486" t="n"/>
      <c r="K21" s="501" t="n"/>
      <c r="L21" s="502" t="n"/>
      <c r="M21" s="11" t="inlineStr">
        <is>
          <t>420 KG</t>
        </is>
      </c>
      <c r="N21" s="418" t="n">
        <v>46062</v>
      </c>
    </row>
    <row r="22" ht="18" customHeight="1" s="468">
      <c r="B22" s="496" t="n"/>
      <c r="C22" s="489" t="n">
        <v>26010163</v>
      </c>
      <c r="D22" s="486" t="n"/>
      <c r="E22" s="485" t="n"/>
      <c r="F22" s="486" t="n"/>
      <c r="G22" s="489" t="inlineStr">
        <is>
          <t>OL 40</t>
        </is>
      </c>
      <c r="H22" s="488" t="n"/>
      <c r="I22" s="488" t="n"/>
      <c r="J22" s="486" t="n"/>
      <c r="K22" s="501" t="n"/>
      <c r="L22" s="502" t="n"/>
      <c r="M22" s="15" t="inlineStr">
        <is>
          <t>420 KG</t>
        </is>
      </c>
      <c r="N22" s="418" t="n">
        <v>46062</v>
      </c>
    </row>
    <row r="23" ht="18" customHeight="1" s="468">
      <c r="B23" s="496" t="n"/>
      <c r="C23" s="487" t="n">
        <v>26010164</v>
      </c>
      <c r="D23" s="486" t="n"/>
      <c r="E23" s="490" t="n"/>
      <c r="F23" s="486" t="n"/>
      <c r="G23" s="487" t="inlineStr">
        <is>
          <t>OL 40</t>
        </is>
      </c>
      <c r="H23" s="488" t="n"/>
      <c r="I23" s="488" t="n"/>
      <c r="J23" s="486" t="n"/>
      <c r="K23" s="501" t="n"/>
      <c r="L23" s="502" t="n"/>
      <c r="M23" s="11" t="inlineStr">
        <is>
          <t>420 KG</t>
        </is>
      </c>
      <c r="N23" s="418" t="n">
        <v>46062</v>
      </c>
    </row>
    <row r="24" ht="18" customHeight="1" s="468">
      <c r="B24" s="496" t="n"/>
      <c r="C24" s="489" t="n">
        <v>26010165</v>
      </c>
      <c r="D24" s="486" t="n"/>
      <c r="E24" s="485" t="n"/>
      <c r="F24" s="486" t="n"/>
      <c r="G24" s="489" t="inlineStr">
        <is>
          <t>OL 40</t>
        </is>
      </c>
      <c r="H24" s="488" t="n"/>
      <c r="I24" s="488" t="n"/>
      <c r="J24" s="486" t="n"/>
      <c r="K24" s="501" t="n"/>
      <c r="L24" s="502" t="n"/>
      <c r="M24" s="15" t="inlineStr">
        <is>
          <t>420 KG</t>
        </is>
      </c>
      <c r="N24" s="418" t="n">
        <v>46063</v>
      </c>
    </row>
    <row r="25" ht="18" customHeight="1" s="468">
      <c r="B25" s="496" t="n"/>
      <c r="C25" s="487" t="n">
        <v>26010166</v>
      </c>
      <c r="D25" s="486" t="n"/>
      <c r="E25" s="491" t="n"/>
      <c r="F25" s="486" t="n"/>
      <c r="G25" s="487" t="inlineStr">
        <is>
          <t>OL 40</t>
        </is>
      </c>
      <c r="H25" s="488" t="n"/>
      <c r="I25" s="488" t="n"/>
      <c r="J25" s="486" t="n"/>
      <c r="K25" s="501" t="n"/>
      <c r="L25" s="502" t="n"/>
      <c r="M25" s="11" t="inlineStr">
        <is>
          <t>420 KG</t>
        </is>
      </c>
      <c r="N25" s="418" t="n">
        <v>46063</v>
      </c>
    </row>
    <row r="26" ht="18" customHeight="1" s="468">
      <c r="B26" s="496" t="n"/>
      <c r="C26" s="489" t="n">
        <v>26010167</v>
      </c>
      <c r="D26" s="486" t="n"/>
      <c r="E26" s="500" t="n"/>
      <c r="F26" s="486" t="n"/>
      <c r="G26" s="489" t="inlineStr">
        <is>
          <t>OL 40</t>
        </is>
      </c>
      <c r="H26" s="488" t="n"/>
      <c r="I26" s="488" t="n"/>
      <c r="J26" s="486" t="n"/>
      <c r="K26" s="501" t="n"/>
      <c r="L26" s="502" t="n"/>
      <c r="M26" s="15" t="inlineStr">
        <is>
          <t>420 KG</t>
        </is>
      </c>
      <c r="N26" s="418" t="n">
        <v>46063</v>
      </c>
    </row>
    <row r="27" ht="18" customHeight="1" s="468">
      <c r="B27" s="496" t="n"/>
      <c r="C27" s="487" t="n">
        <v>26010168</v>
      </c>
      <c r="D27" s="486" t="n"/>
      <c r="E27" s="490" t="n"/>
      <c r="F27" s="486" t="n"/>
      <c r="G27" s="487" t="inlineStr">
        <is>
          <t>OL 40</t>
        </is>
      </c>
      <c r="H27" s="488" t="n"/>
      <c r="I27" s="488" t="n"/>
      <c r="J27" s="486" t="n"/>
      <c r="K27" s="501" t="n"/>
      <c r="L27" s="502" t="n"/>
      <c r="M27" s="11" t="inlineStr">
        <is>
          <t>420 KG</t>
        </is>
      </c>
      <c r="N27" s="418" t="n">
        <v>46063</v>
      </c>
    </row>
    <row r="28" ht="18" customHeight="1" s="468">
      <c r="B28" s="496" t="n"/>
      <c r="C28" s="489" t="n">
        <v>26010169</v>
      </c>
      <c r="D28" s="486" t="n"/>
      <c r="E28" s="485" t="n"/>
      <c r="F28" s="486" t="n"/>
      <c r="G28" s="489" t="inlineStr">
        <is>
          <t>OL 40</t>
        </is>
      </c>
      <c r="H28" s="488" t="n"/>
      <c r="I28" s="488" t="n"/>
      <c r="J28" s="486" t="n"/>
      <c r="K28" s="501" t="n"/>
      <c r="L28" s="502" t="n"/>
      <c r="M28" s="15" t="inlineStr">
        <is>
          <t>420 KG</t>
        </is>
      </c>
      <c r="N28" s="418" t="n">
        <v>46063</v>
      </c>
    </row>
    <row r="29" ht="18" customHeight="1" s="468">
      <c r="B29" s="496" t="n"/>
      <c r="C29" s="487" t="n">
        <v>26010170</v>
      </c>
      <c r="D29" s="486" t="n"/>
      <c r="E29" s="490" t="n"/>
      <c r="F29" s="486" t="n"/>
      <c r="G29" s="487" t="inlineStr">
        <is>
          <t>OL 40</t>
        </is>
      </c>
      <c r="H29" s="488" t="n"/>
      <c r="I29" s="488" t="n"/>
      <c r="J29" s="486" t="n"/>
      <c r="K29" s="501" t="n"/>
      <c r="L29" s="502" t="n"/>
      <c r="M29" s="11" t="inlineStr">
        <is>
          <t>420 KG</t>
        </is>
      </c>
      <c r="N29" s="418" t="n">
        <v>46063</v>
      </c>
    </row>
    <row r="30" ht="18" customHeight="1" s="468">
      <c r="B30" s="496" t="n"/>
      <c r="C30" s="489" t="n">
        <v>26010171</v>
      </c>
      <c r="D30" s="486" t="n"/>
      <c r="E30" s="500" t="n"/>
      <c r="F30" s="486" t="n"/>
      <c r="G30" s="489" t="inlineStr">
        <is>
          <t>OL 40</t>
        </is>
      </c>
      <c r="H30" s="488" t="n"/>
      <c r="I30" s="488" t="n"/>
      <c r="J30" s="486" t="n"/>
      <c r="K30" s="501" t="n"/>
      <c r="L30" s="502" t="n"/>
      <c r="M30" s="15" t="inlineStr">
        <is>
          <t>420 KG</t>
        </is>
      </c>
      <c r="N30" s="418" t="n">
        <v>46063</v>
      </c>
    </row>
    <row r="31" ht="18" customHeight="1" s="468">
      <c r="B31" s="497" t="n"/>
      <c r="C31" s="487" t="n">
        <v>26010172</v>
      </c>
      <c r="D31" s="486" t="n"/>
      <c r="E31" s="491" t="n"/>
      <c r="F31" s="486" t="n"/>
      <c r="G31" s="487" t="inlineStr">
        <is>
          <t>OL 40</t>
        </is>
      </c>
      <c r="H31" s="488" t="n"/>
      <c r="I31" s="488" t="n"/>
      <c r="J31" s="486" t="n"/>
      <c r="K31" s="493" t="n"/>
      <c r="L31" s="494" t="n"/>
      <c r="M31" s="11" t="inlineStr">
        <is>
          <t>420 KG</t>
        </is>
      </c>
      <c r="N31" s="418" t="n">
        <v>46064</v>
      </c>
    </row>
    <row r="32" ht="17.25" customHeight="1" s="468">
      <c r="B32" s="504" t="inlineStr">
        <is>
          <t>2026/041</t>
        </is>
      </c>
      <c r="C32" s="489" t="inlineStr">
        <is>
          <t>26010173    30</t>
        </is>
      </c>
      <c r="D32" s="486" t="n"/>
      <c r="E32" s="485" t="n"/>
      <c r="F32" s="486" t="n"/>
      <c r="G32" s="489" t="inlineStr">
        <is>
          <t>LISSE 600ML</t>
        </is>
      </c>
      <c r="H32" s="488" t="n"/>
      <c r="I32" s="488" t="n"/>
      <c r="J32" s="486" t="n"/>
      <c r="K32" s="489" t="inlineStr">
        <is>
          <t>ADIMIX</t>
        </is>
      </c>
      <c r="L32" s="486" t="n"/>
      <c r="M32" s="13" t="inlineStr">
        <is>
          <t>7.980 LATAS</t>
        </is>
      </c>
      <c r="N32" s="418" t="n">
        <v>46084</v>
      </c>
    </row>
    <row r="33" ht="18" customHeight="1" s="468">
      <c r="B33" s="495" t="inlineStr">
        <is>
          <t>2026/042</t>
        </is>
      </c>
      <c r="C33" s="487" t="n">
        <v>26010174</v>
      </c>
      <c r="D33" s="486" t="n"/>
      <c r="E33" s="491" t="n"/>
      <c r="F33" s="486" t="n"/>
      <c r="G33" s="487" t="inlineStr">
        <is>
          <t>OL 40</t>
        </is>
      </c>
      <c r="H33" s="488" t="n"/>
      <c r="I33" s="488" t="n"/>
      <c r="J33" s="486" t="n"/>
      <c r="K33" s="487" t="inlineStr">
        <is>
          <t>SMART</t>
        </is>
      </c>
      <c r="L33" s="492" t="n"/>
      <c r="M33" s="16" t="inlineStr">
        <is>
          <t>420 KG</t>
        </is>
      </c>
      <c r="N33" s="418" t="n">
        <v>46064</v>
      </c>
    </row>
    <row r="34" ht="18" customHeight="1" s="468">
      <c r="B34" s="496" t="n"/>
      <c r="C34" s="489" t="n">
        <v>26010175</v>
      </c>
      <c r="D34" s="486" t="n"/>
      <c r="E34" s="485" t="n"/>
      <c r="F34" s="486" t="n"/>
      <c r="G34" s="489" t="inlineStr">
        <is>
          <t>OL 40</t>
        </is>
      </c>
      <c r="H34" s="488" t="n"/>
      <c r="I34" s="488" t="n"/>
      <c r="J34" s="486" t="n"/>
      <c r="K34" s="501" t="n"/>
      <c r="L34" s="502" t="n"/>
      <c r="M34" s="13" t="inlineStr">
        <is>
          <t>420 KG</t>
        </is>
      </c>
      <c r="N34" s="418" t="n">
        <v>46064</v>
      </c>
    </row>
    <row r="35" ht="18" customHeight="1" s="468">
      <c r="B35" s="496" t="n"/>
      <c r="C35" s="487" t="n">
        <v>26010176</v>
      </c>
      <c r="D35" s="486" t="n"/>
      <c r="E35" s="490" t="n"/>
      <c r="F35" s="486" t="n"/>
      <c r="G35" s="487" t="inlineStr">
        <is>
          <t>OL 40</t>
        </is>
      </c>
      <c r="H35" s="488" t="n"/>
      <c r="I35" s="488" t="n"/>
      <c r="J35" s="486" t="n"/>
      <c r="K35" s="501" t="n"/>
      <c r="L35" s="502" t="n"/>
      <c r="M35" s="16" t="inlineStr">
        <is>
          <t>420 KG</t>
        </is>
      </c>
      <c r="N35" s="418" t="n">
        <v>46064</v>
      </c>
    </row>
    <row r="36" ht="18" customHeight="1" s="468">
      <c r="B36" s="496" t="n"/>
      <c r="C36" s="489" t="n">
        <v>26010177</v>
      </c>
      <c r="D36" s="486" t="n"/>
      <c r="E36" s="485" t="n"/>
      <c r="F36" s="486" t="n"/>
      <c r="G36" s="489" t="inlineStr">
        <is>
          <t>OL 40</t>
        </is>
      </c>
      <c r="H36" s="488" t="n"/>
      <c r="I36" s="488" t="n"/>
      <c r="J36" s="486" t="n"/>
      <c r="K36" s="501" t="n"/>
      <c r="L36" s="502" t="n"/>
      <c r="M36" s="13" t="inlineStr">
        <is>
          <t>420 KG</t>
        </is>
      </c>
      <c r="N36" s="418" t="n">
        <v>46064</v>
      </c>
    </row>
    <row r="37" ht="18" customHeight="1" s="468">
      <c r="B37" s="496" t="n"/>
      <c r="C37" s="487" t="n">
        <v>26010178</v>
      </c>
      <c r="D37" s="486" t="n"/>
      <c r="E37" s="490" t="n"/>
      <c r="F37" s="486" t="n"/>
      <c r="G37" s="487" t="inlineStr">
        <is>
          <t>OL 40</t>
        </is>
      </c>
      <c r="H37" s="488" t="n"/>
      <c r="I37" s="488" t="n"/>
      <c r="J37" s="486" t="n"/>
      <c r="K37" s="501" t="n"/>
      <c r="L37" s="502" t="n"/>
      <c r="M37" s="16" t="inlineStr">
        <is>
          <t>420 KG</t>
        </is>
      </c>
      <c r="N37" s="418" t="n">
        <v>46065</v>
      </c>
    </row>
    <row r="38" ht="18" customHeight="1" s="468">
      <c r="B38" s="496" t="n"/>
      <c r="C38" s="489" t="n">
        <v>26010179</v>
      </c>
      <c r="D38" s="486" t="n"/>
      <c r="E38" s="500" t="n"/>
      <c r="F38" s="486" t="n"/>
      <c r="G38" s="489" t="inlineStr">
        <is>
          <t>OL 40</t>
        </is>
      </c>
      <c r="H38" s="488" t="n"/>
      <c r="I38" s="488" t="n"/>
      <c r="J38" s="486" t="n"/>
      <c r="K38" s="501" t="n"/>
      <c r="L38" s="502" t="n"/>
      <c r="M38" s="13" t="inlineStr">
        <is>
          <t>420 KG</t>
        </is>
      </c>
      <c r="N38" s="418" t="n">
        <v>46065</v>
      </c>
    </row>
    <row r="39" ht="18" customHeight="1" s="468">
      <c r="B39" s="496" t="n"/>
      <c r="C39" s="487" t="n">
        <v>26010180</v>
      </c>
      <c r="D39" s="486" t="n"/>
      <c r="E39" s="491" t="n"/>
      <c r="F39" s="486" t="n"/>
      <c r="G39" s="487" t="inlineStr">
        <is>
          <t>OL 40</t>
        </is>
      </c>
      <c r="H39" s="488" t="n"/>
      <c r="I39" s="488" t="n"/>
      <c r="J39" s="486" t="n"/>
      <c r="K39" s="501" t="n"/>
      <c r="L39" s="502" t="n"/>
      <c r="M39" s="16" t="inlineStr">
        <is>
          <t>420 KG</t>
        </is>
      </c>
      <c r="N39" s="418" t="n">
        <v>46065</v>
      </c>
    </row>
    <row r="40" ht="18" customHeight="1" s="468">
      <c r="B40" s="496" t="n"/>
      <c r="C40" s="489" t="n">
        <v>26010181</v>
      </c>
      <c r="D40" s="486" t="n"/>
      <c r="E40" s="485" t="n"/>
      <c r="F40" s="486" t="n"/>
      <c r="G40" s="489" t="inlineStr">
        <is>
          <t>OL 40</t>
        </is>
      </c>
      <c r="H40" s="488" t="n"/>
      <c r="I40" s="488" t="n"/>
      <c r="J40" s="486" t="n"/>
      <c r="K40" s="501" t="n"/>
      <c r="L40" s="502" t="n"/>
      <c r="M40" s="13" t="inlineStr">
        <is>
          <t>420 KG</t>
        </is>
      </c>
      <c r="N40" s="418" t="n">
        <v>46065</v>
      </c>
    </row>
    <row r="41" ht="18" customHeight="1" s="468">
      <c r="B41" s="496" t="n"/>
      <c r="C41" s="487" t="n">
        <v>26010182</v>
      </c>
      <c r="D41" s="486" t="n"/>
      <c r="E41" s="490" t="n"/>
      <c r="F41" s="486" t="n"/>
      <c r="G41" s="487" t="inlineStr">
        <is>
          <t>OL 40</t>
        </is>
      </c>
      <c r="H41" s="488" t="n"/>
      <c r="I41" s="488" t="n"/>
      <c r="J41" s="486" t="n"/>
      <c r="K41" s="501" t="n"/>
      <c r="L41" s="502" t="n"/>
      <c r="M41" s="16" t="inlineStr">
        <is>
          <t>420 KG</t>
        </is>
      </c>
      <c r="N41" s="418" t="n">
        <v>46065</v>
      </c>
    </row>
    <row r="42" ht="18" customHeight="1" s="468">
      <c r="B42" s="496" t="n"/>
      <c r="C42" s="489" t="n">
        <v>26010183</v>
      </c>
      <c r="D42" s="486" t="n"/>
      <c r="E42" s="485" t="n"/>
      <c r="F42" s="486" t="n"/>
      <c r="G42" s="489" t="inlineStr">
        <is>
          <t>OL 40</t>
        </is>
      </c>
      <c r="H42" s="488" t="n"/>
      <c r="I42" s="488" t="n"/>
      <c r="J42" s="486" t="n"/>
      <c r="K42" s="501" t="n"/>
      <c r="L42" s="502" t="n"/>
      <c r="M42" s="13" t="inlineStr">
        <is>
          <t>420 KG</t>
        </is>
      </c>
      <c r="N42" s="418" t="n">
        <v>46066</v>
      </c>
    </row>
    <row r="43" ht="18" customHeight="1" s="468">
      <c r="B43" s="496" t="n"/>
      <c r="C43" s="487" t="n">
        <v>26010184</v>
      </c>
      <c r="D43" s="486" t="n"/>
      <c r="E43" s="490" t="n"/>
      <c r="F43" s="486" t="n"/>
      <c r="G43" s="487" t="inlineStr">
        <is>
          <t>OL 40</t>
        </is>
      </c>
      <c r="H43" s="488" t="n"/>
      <c r="I43" s="488" t="n"/>
      <c r="J43" s="486" t="n"/>
      <c r="K43" s="501" t="n"/>
      <c r="L43" s="502" t="n"/>
      <c r="M43" s="16" t="inlineStr">
        <is>
          <t>420 KG</t>
        </is>
      </c>
      <c r="N43" s="418" t="n">
        <v>46066</v>
      </c>
    </row>
    <row r="44" ht="18" customHeight="1" s="468">
      <c r="B44" s="496" t="n"/>
      <c r="C44" s="489" t="n">
        <v>26010185</v>
      </c>
      <c r="D44" s="486" t="n"/>
      <c r="E44" s="485" t="n"/>
      <c r="F44" s="486" t="n"/>
      <c r="G44" s="489" t="inlineStr">
        <is>
          <t>OL 40</t>
        </is>
      </c>
      <c r="H44" s="488" t="n"/>
      <c r="I44" s="488" t="n"/>
      <c r="J44" s="486" t="n"/>
      <c r="K44" s="501" t="n"/>
      <c r="L44" s="502" t="n"/>
      <c r="M44" s="13" t="inlineStr">
        <is>
          <t>420 KG</t>
        </is>
      </c>
      <c r="N44" s="418" t="n">
        <v>46066</v>
      </c>
    </row>
    <row r="45" ht="18" customHeight="1" s="468">
      <c r="B45" s="496" t="n"/>
      <c r="C45" s="487" t="n">
        <v>26010186</v>
      </c>
      <c r="D45" s="486" t="n"/>
      <c r="E45" s="491" t="n"/>
      <c r="F45" s="486" t="n"/>
      <c r="G45" s="487" t="inlineStr">
        <is>
          <t>OL 40</t>
        </is>
      </c>
      <c r="H45" s="488" t="n"/>
      <c r="I45" s="488" t="n"/>
      <c r="J45" s="486" t="n"/>
      <c r="K45" s="501" t="n"/>
      <c r="L45" s="502" t="n"/>
      <c r="M45" s="16" t="inlineStr">
        <is>
          <t>420 KG</t>
        </is>
      </c>
      <c r="N45" s="418" t="n">
        <v>46066</v>
      </c>
    </row>
    <row r="46" ht="18" customHeight="1" s="468">
      <c r="B46" s="496" t="n"/>
      <c r="C46" s="489" t="n">
        <v>26010187</v>
      </c>
      <c r="D46" s="486" t="n"/>
      <c r="E46" s="485" t="n"/>
      <c r="F46" s="486" t="n"/>
      <c r="G46" s="489" t="inlineStr">
        <is>
          <t>OL 40 (ORIGINAL)</t>
        </is>
      </c>
      <c r="H46" s="488" t="n"/>
      <c r="I46" s="488" t="n"/>
      <c r="J46" s="486" t="n"/>
      <c r="K46" s="501" t="n"/>
      <c r="L46" s="502" t="n"/>
      <c r="M46" s="13" t="inlineStr">
        <is>
          <t>420 KG</t>
        </is>
      </c>
      <c r="N46" s="418" t="n">
        <v>46065</v>
      </c>
    </row>
    <row r="47" ht="18" customHeight="1" s="468">
      <c r="B47" s="496" t="n"/>
      <c r="C47" s="487" t="n">
        <v>26010188</v>
      </c>
      <c r="D47" s="486" t="n"/>
      <c r="E47" s="490" t="n"/>
      <c r="F47" s="486" t="n"/>
      <c r="G47" s="487" t="inlineStr">
        <is>
          <t>OL 40 (ORIGINAL)</t>
        </is>
      </c>
      <c r="H47" s="488" t="n"/>
      <c r="I47" s="488" t="n"/>
      <c r="J47" s="486" t="n"/>
      <c r="K47" s="501" t="n"/>
      <c r="L47" s="502" t="n"/>
      <c r="M47" s="16" t="inlineStr">
        <is>
          <t>420 KG</t>
        </is>
      </c>
      <c r="N47" s="418" t="n">
        <v>46065</v>
      </c>
    </row>
    <row r="48" ht="18" customHeight="1" s="468">
      <c r="B48" s="496" t="n"/>
      <c r="C48" s="489" t="n">
        <v>26010189</v>
      </c>
      <c r="D48" s="486" t="n"/>
      <c r="E48" s="485" t="n"/>
      <c r="F48" s="486" t="n"/>
      <c r="G48" s="489" t="inlineStr">
        <is>
          <t>OL 40 (ORIGINAL)</t>
        </is>
      </c>
      <c r="H48" s="488" t="n"/>
      <c r="I48" s="488" t="n"/>
      <c r="J48" s="486" t="n"/>
      <c r="K48" s="501" t="n"/>
      <c r="L48" s="502" t="n"/>
      <c r="M48" s="13" t="inlineStr">
        <is>
          <t>420 KG</t>
        </is>
      </c>
      <c r="N48" s="418" t="n">
        <v>46065</v>
      </c>
    </row>
    <row r="49" ht="18" customHeight="1" s="468">
      <c r="B49" s="496" t="n"/>
      <c r="C49" s="487" t="n">
        <v>26010190</v>
      </c>
      <c r="D49" s="486" t="n"/>
      <c r="E49" s="490" t="n"/>
      <c r="F49" s="486" t="n"/>
      <c r="G49" s="487" t="inlineStr">
        <is>
          <t>OL 40 (ORIGINAL)</t>
        </is>
      </c>
      <c r="H49" s="488" t="n"/>
      <c r="I49" s="488" t="n"/>
      <c r="J49" s="486" t="n"/>
      <c r="K49" s="501" t="n"/>
      <c r="L49" s="502" t="n"/>
      <c r="M49" s="16" t="inlineStr">
        <is>
          <t>420 KG</t>
        </is>
      </c>
      <c r="N49" s="418" t="n">
        <v>46065</v>
      </c>
    </row>
    <row r="50" ht="18" customHeight="1" s="468">
      <c r="B50" s="496" t="n"/>
      <c r="C50" s="489" t="n">
        <v>26010191</v>
      </c>
      <c r="D50" s="486" t="n"/>
      <c r="E50" s="485" t="n"/>
      <c r="F50" s="486" t="n"/>
      <c r="G50" s="489" t="inlineStr">
        <is>
          <t>OL 40 (ORIGINAL)</t>
        </is>
      </c>
      <c r="H50" s="488" t="n"/>
      <c r="I50" s="488" t="n"/>
      <c r="J50" s="486" t="n"/>
      <c r="K50" s="501" t="n"/>
      <c r="L50" s="502" t="n"/>
      <c r="M50" s="13" t="inlineStr">
        <is>
          <t>420 KG</t>
        </is>
      </c>
      <c r="N50" s="418" t="n">
        <v>46066</v>
      </c>
    </row>
    <row r="51" ht="18" customHeight="1" s="468">
      <c r="B51" s="496" t="n"/>
      <c r="C51" s="487" t="n">
        <v>26010192</v>
      </c>
      <c r="D51" s="486" t="n"/>
      <c r="E51" s="490" t="n"/>
      <c r="F51" s="486" t="n"/>
      <c r="G51" s="487" t="inlineStr">
        <is>
          <t>OL 40 (ORIGINAL)</t>
        </is>
      </c>
      <c r="H51" s="488" t="n"/>
      <c r="I51" s="488" t="n"/>
      <c r="J51" s="486" t="n"/>
      <c r="K51" s="501" t="n"/>
      <c r="L51" s="502" t="n"/>
      <c r="M51" s="16" t="inlineStr">
        <is>
          <t>420 KG</t>
        </is>
      </c>
      <c r="N51" s="418" t="n">
        <v>46066</v>
      </c>
    </row>
    <row r="52" ht="18" customHeight="1" s="468">
      <c r="B52" s="496" t="n"/>
      <c r="C52" s="489" t="n">
        <v>26010193</v>
      </c>
      <c r="D52" s="486" t="n"/>
      <c r="E52" s="485" t="n"/>
      <c r="F52" s="486" t="n"/>
      <c r="G52" s="489" t="inlineStr">
        <is>
          <t>OL 40 (ORIGINAL)</t>
        </is>
      </c>
      <c r="H52" s="488" t="n"/>
      <c r="I52" s="488" t="n"/>
      <c r="J52" s="486" t="n"/>
      <c r="K52" s="501" t="n"/>
      <c r="L52" s="502" t="n"/>
      <c r="M52" s="13" t="inlineStr">
        <is>
          <t>420 KG</t>
        </is>
      </c>
      <c r="N52" s="418" t="n">
        <v>46066</v>
      </c>
    </row>
    <row r="53" ht="18" customHeight="1" s="468">
      <c r="B53" s="496" t="n"/>
      <c r="C53" s="487" t="n">
        <v>26010194</v>
      </c>
      <c r="D53" s="486" t="n"/>
      <c r="E53" s="490" t="n"/>
      <c r="F53" s="486" t="n"/>
      <c r="G53" s="487" t="inlineStr">
        <is>
          <t>OL 40 (ORIGINAL)</t>
        </is>
      </c>
      <c r="H53" s="488" t="n"/>
      <c r="I53" s="488" t="n"/>
      <c r="J53" s="486" t="n"/>
      <c r="K53" s="501" t="n"/>
      <c r="L53" s="502" t="n"/>
      <c r="M53" s="16" t="inlineStr">
        <is>
          <t>420 KG</t>
        </is>
      </c>
      <c r="N53" s="418" t="n">
        <v>46066</v>
      </c>
    </row>
    <row r="54" ht="18" customHeight="1" s="468">
      <c r="B54" s="496" t="n"/>
      <c r="C54" s="489" t="n">
        <v>26010195</v>
      </c>
      <c r="D54" s="486" t="n"/>
      <c r="E54" s="485" t="n"/>
      <c r="F54" s="486" t="n"/>
      <c r="G54" s="489" t="inlineStr">
        <is>
          <t>OL 40 (ORIGINAL)</t>
        </is>
      </c>
      <c r="H54" s="488" t="n"/>
      <c r="I54" s="488" t="n"/>
      <c r="J54" s="486" t="n"/>
      <c r="K54" s="501" t="n"/>
      <c r="L54" s="502" t="n"/>
      <c r="M54" s="13" t="inlineStr">
        <is>
          <t>420 KG</t>
        </is>
      </c>
      <c r="N54" s="418" t="n">
        <v>46071</v>
      </c>
    </row>
    <row r="55" ht="18" customHeight="1" s="468">
      <c r="B55" s="496" t="n"/>
      <c r="C55" s="487" t="n">
        <v>26010196</v>
      </c>
      <c r="D55" s="486" t="n"/>
      <c r="E55" s="491" t="n"/>
      <c r="F55" s="486" t="n"/>
      <c r="G55" s="487" t="inlineStr">
        <is>
          <t>OL 40 (ORIGINAL)</t>
        </is>
      </c>
      <c r="H55" s="488" t="n"/>
      <c r="I55" s="488" t="n"/>
      <c r="J55" s="486" t="n"/>
      <c r="K55" s="501" t="n"/>
      <c r="L55" s="502" t="n"/>
      <c r="M55" s="16" t="inlineStr">
        <is>
          <t>420 KG</t>
        </is>
      </c>
      <c r="N55" s="418" t="n">
        <v>46071</v>
      </c>
    </row>
    <row r="56" ht="18" customHeight="1" s="468">
      <c r="B56" s="496" t="n"/>
      <c r="C56" s="489" t="n">
        <v>26010197</v>
      </c>
      <c r="D56" s="486" t="n"/>
      <c r="E56" s="485" t="n"/>
      <c r="F56" s="486" t="n"/>
      <c r="G56" s="489" t="inlineStr">
        <is>
          <t>OL 40</t>
        </is>
      </c>
      <c r="H56" s="488" t="n"/>
      <c r="I56" s="488" t="n"/>
      <c r="J56" s="486" t="n"/>
      <c r="K56" s="501" t="n"/>
      <c r="L56" s="502" t="n"/>
      <c r="M56" s="13" t="inlineStr">
        <is>
          <t>420 KG</t>
        </is>
      </c>
      <c r="N56" s="418" t="n">
        <v>46071</v>
      </c>
    </row>
    <row r="57" ht="18" customHeight="1" s="468">
      <c r="B57" s="497" t="n"/>
      <c r="C57" s="487" t="n">
        <v>26010198</v>
      </c>
      <c r="D57" s="486" t="n"/>
      <c r="E57" s="491" t="n"/>
      <c r="F57" s="486" t="n"/>
      <c r="G57" s="487" t="inlineStr">
        <is>
          <t>OL 40</t>
        </is>
      </c>
      <c r="H57" s="488" t="n"/>
      <c r="I57" s="488" t="n"/>
      <c r="J57" s="486" t="n"/>
      <c r="K57" s="493" t="n"/>
      <c r="L57" s="494" t="n"/>
      <c r="M57" s="16" t="inlineStr">
        <is>
          <t>420 KG</t>
        </is>
      </c>
      <c r="N57" s="418" t="n">
        <v>46071</v>
      </c>
    </row>
    <row r="58" ht="17.25" customHeight="1" s="468">
      <c r="B58" s="504" t="inlineStr">
        <is>
          <t>2026/043</t>
        </is>
      </c>
      <c r="C58" s="489" t="n">
        <v>26010199</v>
      </c>
      <c r="D58" s="486" t="n"/>
      <c r="E58" s="485" t="n"/>
      <c r="F58" s="486" t="n"/>
      <c r="G58" s="489" t="inlineStr">
        <is>
          <t>OL 40/20 - 25LTRS</t>
        </is>
      </c>
      <c r="H58" s="488" t="n"/>
      <c r="I58" s="488" t="n"/>
      <c r="J58" s="486" t="n"/>
      <c r="K58" s="489" t="inlineStr">
        <is>
          <t>DISPAN</t>
        </is>
      </c>
      <c r="L58" s="486" t="n"/>
      <c r="M58" s="13" t="inlineStr">
        <is>
          <t>180 BBs</t>
        </is>
      </c>
      <c r="N58" s="418" t="n">
        <v>46065</v>
      </c>
    </row>
    <row r="59" ht="18" customHeight="1" s="468">
      <c r="B59" s="495" t="inlineStr">
        <is>
          <t>2026/044</t>
        </is>
      </c>
      <c r="C59" s="487" t="n">
        <v>26010200</v>
      </c>
      <c r="D59" s="486" t="n"/>
      <c r="E59" s="490" t="n"/>
      <c r="F59" s="486" t="n"/>
      <c r="G59" s="487" t="inlineStr">
        <is>
          <t>OL 40</t>
        </is>
      </c>
      <c r="H59" s="488" t="n"/>
      <c r="I59" s="488" t="n"/>
      <c r="J59" s="486" t="n"/>
      <c r="K59" s="487" t="inlineStr">
        <is>
          <t>SMART</t>
        </is>
      </c>
      <c r="L59" s="492" t="n"/>
      <c r="M59" s="16" t="inlineStr">
        <is>
          <t>420 KG</t>
        </is>
      </c>
      <c r="N59" s="418" t="n">
        <v>46071</v>
      </c>
    </row>
    <row r="60" ht="18" customHeight="1" s="468">
      <c r="B60" s="496" t="n"/>
      <c r="C60" s="489" t="n">
        <v>26010201</v>
      </c>
      <c r="D60" s="486" t="n"/>
      <c r="E60" s="485" t="n"/>
      <c r="F60" s="486" t="n"/>
      <c r="G60" s="489" t="inlineStr">
        <is>
          <t>OL 40</t>
        </is>
      </c>
      <c r="H60" s="488" t="n"/>
      <c r="I60" s="488" t="n"/>
      <c r="J60" s="486" t="n"/>
      <c r="K60" s="501" t="n"/>
      <c r="L60" s="502" t="n"/>
      <c r="M60" s="13" t="inlineStr">
        <is>
          <t>420 KG</t>
        </is>
      </c>
      <c r="N60" s="418" t="n">
        <v>46071</v>
      </c>
    </row>
    <row r="61" ht="18" customHeight="1" s="468">
      <c r="B61" s="496" t="n"/>
      <c r="C61" s="487" t="n">
        <v>26010202</v>
      </c>
      <c r="D61" s="486" t="n"/>
      <c r="E61" s="490" t="n"/>
      <c r="F61" s="486" t="n"/>
      <c r="G61" s="487" t="inlineStr">
        <is>
          <t>OL 40</t>
        </is>
      </c>
      <c r="H61" s="488" t="n"/>
      <c r="I61" s="488" t="n"/>
      <c r="J61" s="486" t="n"/>
      <c r="K61" s="501" t="n"/>
      <c r="L61" s="502" t="n"/>
      <c r="M61" s="16" t="inlineStr">
        <is>
          <t>420 KG</t>
        </is>
      </c>
      <c r="N61" s="418" t="n">
        <v>46072</v>
      </c>
    </row>
    <row r="62" ht="18" customHeight="1" s="468">
      <c r="B62" s="496" t="n"/>
      <c r="C62" s="489" t="n">
        <v>26010203</v>
      </c>
      <c r="D62" s="486" t="n"/>
      <c r="E62" s="485" t="n"/>
      <c r="F62" s="486" t="n"/>
      <c r="G62" s="489" t="inlineStr">
        <is>
          <t>OL 40</t>
        </is>
      </c>
      <c r="H62" s="488" t="n"/>
      <c r="I62" s="488" t="n"/>
      <c r="J62" s="486" t="n"/>
      <c r="K62" s="501" t="n"/>
      <c r="L62" s="502" t="n"/>
      <c r="M62" s="13" t="inlineStr">
        <is>
          <t>420 KG</t>
        </is>
      </c>
      <c r="N62" s="418" t="n">
        <v>46072</v>
      </c>
    </row>
    <row r="63" ht="18" customHeight="1" s="468">
      <c r="B63" s="496" t="n"/>
      <c r="C63" s="487" t="n">
        <v>26010204</v>
      </c>
      <c r="D63" s="486" t="n"/>
      <c r="E63" s="491" t="n"/>
      <c r="F63" s="486" t="n"/>
      <c r="G63" s="487" t="inlineStr">
        <is>
          <t>OL 40</t>
        </is>
      </c>
      <c r="H63" s="488" t="n"/>
      <c r="I63" s="488" t="n"/>
      <c r="J63" s="486" t="n"/>
      <c r="K63" s="501" t="n"/>
      <c r="L63" s="502" t="n"/>
      <c r="M63" s="16" t="inlineStr">
        <is>
          <t>420 KG</t>
        </is>
      </c>
      <c r="N63" s="418" t="n">
        <v>46072</v>
      </c>
    </row>
    <row r="64" ht="18" customHeight="1" s="468">
      <c r="B64" s="496" t="n"/>
      <c r="C64" s="489" t="n">
        <v>26010205</v>
      </c>
      <c r="D64" s="486" t="n"/>
      <c r="E64" s="485" t="n"/>
      <c r="F64" s="486" t="n"/>
      <c r="G64" s="489" t="inlineStr">
        <is>
          <t>OL 40</t>
        </is>
      </c>
      <c r="H64" s="488" t="n"/>
      <c r="I64" s="488" t="n"/>
      <c r="J64" s="486" t="n"/>
      <c r="K64" s="501" t="n"/>
      <c r="L64" s="502" t="n"/>
      <c r="M64" s="13" t="inlineStr">
        <is>
          <t>420 KG</t>
        </is>
      </c>
      <c r="N64" s="418" t="n">
        <v>46072</v>
      </c>
    </row>
    <row r="65" ht="18" customHeight="1" s="468">
      <c r="B65" s="496" t="n"/>
      <c r="C65" s="487" t="n">
        <v>26010206</v>
      </c>
      <c r="D65" s="486" t="n"/>
      <c r="E65" s="490" t="n"/>
      <c r="F65" s="486" t="n"/>
      <c r="G65" s="487" t="inlineStr">
        <is>
          <t>OL 40</t>
        </is>
      </c>
      <c r="H65" s="488" t="n"/>
      <c r="I65" s="488" t="n"/>
      <c r="J65" s="486" t="n"/>
      <c r="K65" s="501" t="n"/>
      <c r="L65" s="502" t="n"/>
      <c r="M65" s="16" t="inlineStr">
        <is>
          <t>420 KG</t>
        </is>
      </c>
      <c r="N65" s="418" t="n">
        <v>46072</v>
      </c>
    </row>
    <row r="66" ht="18" customHeight="1" s="468">
      <c r="B66" s="496" t="n"/>
      <c r="C66" s="489" t="n">
        <v>26010207</v>
      </c>
      <c r="D66" s="486" t="n"/>
      <c r="E66" s="500" t="n"/>
      <c r="F66" s="486" t="n"/>
      <c r="G66" s="489" t="inlineStr">
        <is>
          <t>OL 40</t>
        </is>
      </c>
      <c r="H66" s="488" t="n"/>
      <c r="I66" s="488" t="n"/>
      <c r="J66" s="486" t="n"/>
      <c r="K66" s="501" t="n"/>
      <c r="L66" s="502" t="n"/>
      <c r="M66" s="13" t="inlineStr">
        <is>
          <t>420 KG</t>
        </is>
      </c>
      <c r="N66" s="418" t="n">
        <v>46072</v>
      </c>
    </row>
    <row r="67" ht="18" customHeight="1" s="468">
      <c r="B67" s="496" t="n"/>
      <c r="C67" s="487" t="n">
        <v>26010208</v>
      </c>
      <c r="D67" s="486" t="n"/>
      <c r="E67" s="490" t="n"/>
      <c r="F67" s="486" t="n"/>
      <c r="G67" s="487" t="inlineStr">
        <is>
          <t>OL 40</t>
        </is>
      </c>
      <c r="H67" s="488" t="n"/>
      <c r="I67" s="488" t="n"/>
      <c r="J67" s="486" t="n"/>
      <c r="K67" s="501" t="n"/>
      <c r="L67" s="502" t="n"/>
      <c r="M67" s="16" t="inlineStr">
        <is>
          <t>420 KG</t>
        </is>
      </c>
      <c r="N67" s="418" t="n">
        <v>46080</v>
      </c>
    </row>
    <row r="68" ht="18" customHeight="1" s="468">
      <c r="B68" s="496" t="n"/>
      <c r="C68" s="489" t="n">
        <v>26010209</v>
      </c>
      <c r="D68" s="486" t="n"/>
      <c r="E68" s="485" t="n"/>
      <c r="F68" s="486" t="n"/>
      <c r="G68" s="489" t="inlineStr">
        <is>
          <t>OL 40</t>
        </is>
      </c>
      <c r="H68" s="488" t="n"/>
      <c r="I68" s="488" t="n"/>
      <c r="J68" s="486" t="n"/>
      <c r="K68" s="501" t="n"/>
      <c r="L68" s="502" t="n"/>
      <c r="M68" s="13" t="inlineStr">
        <is>
          <t>420 KG</t>
        </is>
      </c>
      <c r="N68" s="418" t="n">
        <v>46080</v>
      </c>
    </row>
    <row r="69" ht="18" customHeight="1" s="468">
      <c r="B69" s="496" t="n"/>
      <c r="C69" s="487" t="n">
        <v>26010210</v>
      </c>
      <c r="D69" s="486" t="n"/>
      <c r="E69" s="490" t="n"/>
      <c r="F69" s="486" t="n"/>
      <c r="G69" s="487" t="inlineStr">
        <is>
          <t>OL 40</t>
        </is>
      </c>
      <c r="H69" s="488" t="n"/>
      <c r="I69" s="488" t="n"/>
      <c r="J69" s="486" t="n"/>
      <c r="K69" s="501" t="n"/>
      <c r="L69" s="502" t="n"/>
      <c r="M69" s="16" t="inlineStr">
        <is>
          <t>420 KG</t>
        </is>
      </c>
      <c r="N69" s="418" t="n">
        <v>46080</v>
      </c>
    </row>
    <row r="70" ht="18" customHeight="1" s="468">
      <c r="B70" s="496" t="n"/>
      <c r="C70" s="489" t="n">
        <v>26010211</v>
      </c>
      <c r="D70" s="486" t="n"/>
      <c r="E70" s="485" t="n"/>
      <c r="F70" s="486" t="n"/>
      <c r="G70" s="489" t="inlineStr">
        <is>
          <t>OL 40</t>
        </is>
      </c>
      <c r="H70" s="488" t="n"/>
      <c r="I70" s="488" t="n"/>
      <c r="J70" s="486" t="n"/>
      <c r="K70" s="501" t="n"/>
      <c r="L70" s="502" t="n"/>
      <c r="M70" s="13" t="inlineStr">
        <is>
          <t>420 KG</t>
        </is>
      </c>
      <c r="N70" s="418" t="n">
        <v>46080</v>
      </c>
    </row>
    <row r="71" ht="18" customHeight="1" s="468">
      <c r="B71" s="496" t="n"/>
      <c r="C71" s="487" t="n">
        <v>26010212</v>
      </c>
      <c r="D71" s="486" t="n"/>
      <c r="E71" s="490" t="n"/>
      <c r="F71" s="486" t="n"/>
      <c r="G71" s="487" t="inlineStr">
        <is>
          <t>OL 40</t>
        </is>
      </c>
      <c r="H71" s="488" t="n"/>
      <c r="I71" s="488" t="n"/>
      <c r="J71" s="486" t="n"/>
      <c r="K71" s="501" t="n"/>
      <c r="L71" s="502" t="n"/>
      <c r="M71" s="16" t="inlineStr">
        <is>
          <t>420 KG</t>
        </is>
      </c>
      <c r="N71" s="418" t="n">
        <v>46080</v>
      </c>
    </row>
    <row r="72" ht="18" customHeight="1" s="468">
      <c r="B72" s="496" t="n"/>
      <c r="C72" s="489" t="n">
        <v>26010213</v>
      </c>
      <c r="D72" s="486" t="n"/>
      <c r="E72" s="500" t="n"/>
      <c r="F72" s="486" t="n"/>
      <c r="G72" s="489" t="inlineStr">
        <is>
          <t>OL 40</t>
        </is>
      </c>
      <c r="H72" s="488" t="n"/>
      <c r="I72" s="488" t="n"/>
      <c r="J72" s="486" t="n"/>
      <c r="K72" s="501" t="n"/>
      <c r="L72" s="502" t="n"/>
      <c r="M72" s="13" t="inlineStr">
        <is>
          <t>420 KG</t>
        </is>
      </c>
      <c r="N72" s="418" t="n">
        <v>46080</v>
      </c>
    </row>
    <row r="73" ht="18" customHeight="1" s="468">
      <c r="B73" s="496" t="n"/>
      <c r="C73" s="487" t="n">
        <v>26010214</v>
      </c>
      <c r="D73" s="486" t="n"/>
      <c r="E73" s="490" t="n"/>
      <c r="F73" s="486" t="n"/>
      <c r="G73" s="487" t="inlineStr">
        <is>
          <t>OL 40</t>
        </is>
      </c>
      <c r="H73" s="488" t="n"/>
      <c r="I73" s="488" t="n"/>
      <c r="J73" s="486" t="n"/>
      <c r="K73" s="501" t="n"/>
      <c r="L73" s="502" t="n"/>
      <c r="M73" s="16" t="inlineStr">
        <is>
          <t>420 KG</t>
        </is>
      </c>
      <c r="N73" s="418" t="n">
        <v>46083</v>
      </c>
    </row>
    <row r="74" ht="18" customHeight="1" s="468">
      <c r="B74" s="496" t="n"/>
      <c r="C74" s="489" t="n">
        <v>26010215</v>
      </c>
      <c r="D74" s="486" t="n"/>
      <c r="E74" s="485" t="n"/>
      <c r="F74" s="486" t="n"/>
      <c r="G74" s="489" t="inlineStr">
        <is>
          <t>OL 40</t>
        </is>
      </c>
      <c r="H74" s="488" t="n"/>
      <c r="I74" s="488" t="n"/>
      <c r="J74" s="486" t="n"/>
      <c r="K74" s="501" t="n"/>
      <c r="L74" s="502" t="n"/>
      <c r="M74" s="13" t="inlineStr">
        <is>
          <t>420 KG</t>
        </is>
      </c>
      <c r="N74" s="418" t="n">
        <v>46083</v>
      </c>
    </row>
    <row r="75" ht="18" customHeight="1" s="468">
      <c r="B75" s="496" t="n"/>
      <c r="C75" s="487" t="n">
        <v>26010216</v>
      </c>
      <c r="D75" s="486" t="n"/>
      <c r="E75" s="490" t="n"/>
      <c r="F75" s="486" t="n"/>
      <c r="G75" s="487" t="inlineStr">
        <is>
          <t>OL 40</t>
        </is>
      </c>
      <c r="H75" s="488" t="n"/>
      <c r="I75" s="488" t="n"/>
      <c r="J75" s="486" t="n"/>
      <c r="K75" s="501" t="n"/>
      <c r="L75" s="502" t="n"/>
      <c r="M75" s="16" t="inlineStr">
        <is>
          <t>420 KG</t>
        </is>
      </c>
      <c r="N75" s="418" t="n">
        <v>46083</v>
      </c>
    </row>
    <row r="76" ht="18" customHeight="1" s="468">
      <c r="B76" s="496" t="n"/>
      <c r="C76" s="489" t="n">
        <v>26010217</v>
      </c>
      <c r="D76" s="486" t="n"/>
      <c r="E76" s="485" t="n"/>
      <c r="F76" s="486" t="n"/>
      <c r="G76" s="489" t="inlineStr">
        <is>
          <t>OL 40</t>
        </is>
      </c>
      <c r="H76" s="488" t="n"/>
      <c r="I76" s="488" t="n"/>
      <c r="J76" s="486" t="n"/>
      <c r="K76" s="501" t="n"/>
      <c r="L76" s="502" t="n"/>
      <c r="M76" s="13" t="inlineStr">
        <is>
          <t>420 KG</t>
        </is>
      </c>
      <c r="N76" s="418" t="n">
        <v>46083</v>
      </c>
    </row>
    <row r="77" ht="18" customHeight="1" s="468">
      <c r="B77" s="496" t="n"/>
      <c r="C77" s="487" t="n">
        <v>26010218</v>
      </c>
      <c r="D77" s="486" t="n"/>
      <c r="E77" s="490" t="n"/>
      <c r="F77" s="486" t="n"/>
      <c r="G77" s="487" t="inlineStr">
        <is>
          <t>OL 40</t>
        </is>
      </c>
      <c r="H77" s="488" t="n"/>
      <c r="I77" s="488" t="n"/>
      <c r="J77" s="486" t="n"/>
      <c r="K77" s="501" t="n"/>
      <c r="L77" s="502" t="n"/>
      <c r="M77" s="16" t="inlineStr">
        <is>
          <t>420 KG</t>
        </is>
      </c>
      <c r="N77" s="418" t="n">
        <v>46083</v>
      </c>
    </row>
    <row r="78" ht="18" customHeight="1" s="468">
      <c r="B78" s="496" t="n"/>
      <c r="C78" s="489" t="n">
        <v>26010219</v>
      </c>
      <c r="D78" s="486" t="n"/>
      <c r="E78" s="485" t="n"/>
      <c r="F78" s="486" t="n"/>
      <c r="G78" s="489" t="inlineStr">
        <is>
          <t>OL 40</t>
        </is>
      </c>
      <c r="H78" s="488" t="n"/>
      <c r="I78" s="488" t="n"/>
      <c r="J78" s="486" t="n"/>
      <c r="K78" s="501" t="n"/>
      <c r="L78" s="502" t="n"/>
      <c r="M78" s="13" t="inlineStr">
        <is>
          <t>420 KG</t>
        </is>
      </c>
      <c r="N78" s="418" t="n">
        <v>46083</v>
      </c>
    </row>
    <row r="79" ht="18" customHeight="1" s="468">
      <c r="B79" s="496" t="n"/>
      <c r="C79" s="487" t="n">
        <v>26010220</v>
      </c>
      <c r="D79" s="486" t="n"/>
      <c r="E79" s="490" t="n"/>
      <c r="F79" s="486" t="n"/>
      <c r="G79" s="487" t="inlineStr">
        <is>
          <t>OL 40</t>
        </is>
      </c>
      <c r="H79" s="488" t="n"/>
      <c r="I79" s="488" t="n"/>
      <c r="J79" s="486" t="n"/>
      <c r="K79" s="501" t="n"/>
      <c r="L79" s="502" t="n"/>
      <c r="M79" s="16" t="inlineStr">
        <is>
          <t>420 KG</t>
        </is>
      </c>
      <c r="N79" s="418" t="n">
        <v>46083</v>
      </c>
    </row>
    <row r="80" ht="18" customHeight="1" s="468">
      <c r="B80" s="496" t="n"/>
      <c r="C80" s="489" t="n">
        <v>26010221</v>
      </c>
      <c r="D80" s="486" t="n"/>
      <c r="E80" s="500" t="n"/>
      <c r="F80" s="486" t="n"/>
      <c r="G80" s="489" t="inlineStr">
        <is>
          <t>OL 40</t>
        </is>
      </c>
      <c r="H80" s="488" t="n"/>
      <c r="I80" s="488" t="n"/>
      <c r="J80" s="486" t="n"/>
      <c r="K80" s="501" t="n"/>
      <c r="L80" s="502" t="n"/>
      <c r="M80" s="13" t="inlineStr">
        <is>
          <t>420 KG</t>
        </is>
      </c>
      <c r="N80" s="418" t="n">
        <v>46084</v>
      </c>
    </row>
    <row r="81" ht="18" customHeight="1" s="468">
      <c r="B81" s="496" t="n"/>
      <c r="C81" s="487" t="n">
        <v>26010222</v>
      </c>
      <c r="D81" s="486" t="n"/>
      <c r="E81" s="490" t="n"/>
      <c r="F81" s="486" t="n"/>
      <c r="G81" s="487" t="inlineStr">
        <is>
          <t>OL 40</t>
        </is>
      </c>
      <c r="H81" s="488" t="n"/>
      <c r="I81" s="488" t="n"/>
      <c r="J81" s="486" t="n"/>
      <c r="K81" s="501" t="n"/>
      <c r="L81" s="502" t="n"/>
      <c r="M81" s="16" t="inlineStr">
        <is>
          <t>420 KG</t>
        </is>
      </c>
      <c r="N81" s="418" t="n">
        <v>46084</v>
      </c>
    </row>
    <row r="82" ht="18" customHeight="1" s="468">
      <c r="B82" s="496" t="n"/>
      <c r="C82" s="489" t="n">
        <v>26010223</v>
      </c>
      <c r="D82" s="486" t="n"/>
      <c r="E82" s="485" t="n"/>
      <c r="F82" s="486" t="n"/>
      <c r="G82" s="489" t="inlineStr">
        <is>
          <t>OL 40</t>
        </is>
      </c>
      <c r="H82" s="488" t="n"/>
      <c r="I82" s="488" t="n"/>
      <c r="J82" s="486" t="n"/>
      <c r="K82" s="501" t="n"/>
      <c r="L82" s="502" t="n"/>
      <c r="M82" s="13" t="inlineStr">
        <is>
          <t>420 KG</t>
        </is>
      </c>
      <c r="N82" s="418" t="n">
        <v>46084</v>
      </c>
    </row>
    <row r="83" ht="18" customHeight="1" s="468">
      <c r="B83" s="497" t="n"/>
      <c r="C83" s="487" t="n">
        <v>26010224</v>
      </c>
      <c r="D83" s="486" t="n"/>
      <c r="E83" s="491" t="n"/>
      <c r="F83" s="486" t="n"/>
      <c r="G83" s="487" t="inlineStr">
        <is>
          <t>OL 40</t>
        </is>
      </c>
      <c r="H83" s="488" t="n"/>
      <c r="I83" s="488" t="n"/>
      <c r="J83" s="486" t="n"/>
      <c r="K83" s="493" t="n"/>
      <c r="L83" s="494" t="n"/>
      <c r="M83" s="16" t="inlineStr">
        <is>
          <t>420 KG</t>
        </is>
      </c>
      <c r="N83" s="418" t="n">
        <v>46084</v>
      </c>
    </row>
    <row r="84" ht="17.25" customHeight="1" s="468">
      <c r="B84" s="504" t="inlineStr">
        <is>
          <t>2026/045</t>
        </is>
      </c>
      <c r="C84" s="489" t="n">
        <v>26010225</v>
      </c>
      <c r="D84" s="486" t="n"/>
      <c r="E84" s="485" t="n"/>
      <c r="F84" s="486" t="n"/>
      <c r="G84" s="489" t="inlineStr">
        <is>
          <t>UNTA FORMA 180ML</t>
        </is>
      </c>
      <c r="H84" s="488" t="n"/>
      <c r="I84" s="488" t="n"/>
      <c r="J84" s="486" t="n"/>
      <c r="K84" s="489" t="inlineStr">
        <is>
          <t>ADKO</t>
        </is>
      </c>
      <c r="L84" s="486" t="n"/>
      <c r="M84" s="13" t="inlineStr">
        <is>
          <t>2.880 LATAS</t>
        </is>
      </c>
      <c r="N84" s="418" t="n">
        <v>46072</v>
      </c>
    </row>
    <row r="85" ht="17.25" customHeight="1" s="468">
      <c r="B85" s="495" t="inlineStr">
        <is>
          <t>2026/046</t>
        </is>
      </c>
      <c r="C85" s="487" t="n">
        <v>26010226</v>
      </c>
      <c r="D85" s="486" t="n"/>
      <c r="E85" s="490" t="n"/>
      <c r="F85" s="486" t="n"/>
      <c r="G85" s="487" t="inlineStr">
        <is>
          <t>UNTA FACIL 180ML</t>
        </is>
      </c>
      <c r="H85" s="488" t="n"/>
      <c r="I85" s="488" t="n"/>
      <c r="J85" s="486" t="n"/>
      <c r="K85" s="487" t="inlineStr">
        <is>
          <t>IN LOCO</t>
        </is>
      </c>
      <c r="L85" s="486" t="n"/>
      <c r="M85" s="16" t="inlineStr">
        <is>
          <t>5.760 LATAS</t>
        </is>
      </c>
      <c r="N85" s="418" t="n">
        <v>46072</v>
      </c>
    </row>
    <row r="86" ht="18" customHeight="1" s="468">
      <c r="B86" s="504" t="inlineStr">
        <is>
          <t>2026/047</t>
        </is>
      </c>
      <c r="C86" s="489" t="n">
        <v>26040227</v>
      </c>
      <c r="D86" s="486" t="n"/>
      <c r="E86" s="485" t="n"/>
      <c r="F86" s="486" t="n"/>
      <c r="G86" s="489" t="inlineStr">
        <is>
          <t>MANTEIGA DE COCO</t>
        </is>
      </c>
      <c r="H86" s="488" t="n"/>
      <c r="I86" s="488" t="n"/>
      <c r="J86" s="486" t="n"/>
      <c r="K86" s="489" t="inlineStr">
        <is>
          <t>QUALICOCO</t>
        </is>
      </c>
      <c r="L86" s="492" t="n"/>
      <c r="M86" s="13" t="inlineStr">
        <is>
          <t>8.640 LATAS</t>
        </is>
      </c>
      <c r="N86" s="418" t="n">
        <v>46072</v>
      </c>
    </row>
    <row r="87" ht="18" customHeight="1" s="468">
      <c r="B87" s="497" t="n"/>
      <c r="C87" s="487" t="n">
        <v>26040228</v>
      </c>
      <c r="D87" s="486" t="n"/>
      <c r="E87" s="490" t="n"/>
      <c r="F87" s="486" t="n"/>
      <c r="G87" s="487" t="inlineStr">
        <is>
          <t>ÓLEO DE COCO EXTRAVIRGEM</t>
        </is>
      </c>
      <c r="H87" s="488" t="n"/>
      <c r="I87" s="488" t="n"/>
      <c r="J87" s="486" t="n"/>
      <c r="K87" s="493" t="n"/>
      <c r="L87" s="494" t="n"/>
      <c r="M87" s="16" t="inlineStr">
        <is>
          <t>8.640 LATAS</t>
        </is>
      </c>
      <c r="N87" s="418" t="n">
        <v>46076</v>
      </c>
    </row>
    <row r="88" ht="18" customHeight="1" s="468">
      <c r="B88" s="504" t="inlineStr">
        <is>
          <t>2026/048</t>
        </is>
      </c>
      <c r="C88" s="489" t="n">
        <v>26040229</v>
      </c>
      <c r="D88" s="486" t="n"/>
      <c r="E88" s="485" t="n"/>
      <c r="F88" s="486" t="n"/>
      <c r="G88" s="489" t="inlineStr">
        <is>
          <t>ÓLEO DE COCO EXTRAVIRGEM</t>
        </is>
      </c>
      <c r="H88" s="488" t="n"/>
      <c r="I88" s="488" t="n"/>
      <c r="J88" s="486" t="n"/>
      <c r="K88" s="489" t="inlineStr">
        <is>
          <t>SANTO ÓLEO</t>
        </is>
      </c>
      <c r="L88" s="492" t="n"/>
      <c r="M88" s="13" t="inlineStr">
        <is>
          <t>8.640 LATAS</t>
        </is>
      </c>
      <c r="N88" s="418" t="n">
        <v>46077</v>
      </c>
    </row>
    <row r="89" ht="18" customHeight="1" s="468">
      <c r="B89" s="497" t="n"/>
      <c r="C89" s="487" t="n">
        <v>26040230</v>
      </c>
      <c r="D89" s="486" t="n"/>
      <c r="E89" s="490" t="n"/>
      <c r="F89" s="486" t="n"/>
      <c r="G89" s="487" t="inlineStr">
        <is>
          <t>ÓLEO DE COCO SEM SABOR</t>
        </is>
      </c>
      <c r="H89" s="488" t="n"/>
      <c r="I89" s="488" t="n"/>
      <c r="J89" s="486" t="n"/>
      <c r="K89" s="493" t="n"/>
      <c r="L89" s="494" t="n"/>
      <c r="M89" s="16" t="inlineStr">
        <is>
          <t>8.640 LATAS</t>
        </is>
      </c>
      <c r="N89" s="418" t="n">
        <v>46077</v>
      </c>
    </row>
    <row r="90" ht="18" customHeight="1" s="468">
      <c r="B90" s="504" t="inlineStr">
        <is>
          <t>2026/049</t>
        </is>
      </c>
      <c r="C90" s="489" t="n">
        <v>26040231</v>
      </c>
      <c r="D90" s="486" t="n"/>
      <c r="E90" s="485" t="n"/>
      <c r="F90" s="486" t="n"/>
      <c r="G90" s="489" t="inlineStr">
        <is>
          <t>ÓLEO DE COCO EXTRAVIRGEM</t>
        </is>
      </c>
      <c r="H90" s="488" t="n"/>
      <c r="I90" s="488" t="n"/>
      <c r="J90" s="486" t="n"/>
      <c r="K90" s="489" t="inlineStr">
        <is>
          <t>COPRA</t>
        </is>
      </c>
      <c r="L90" s="492" t="n"/>
      <c r="M90" s="13" t="inlineStr">
        <is>
          <t>6.000 LATAS</t>
        </is>
      </c>
      <c r="N90" s="418" t="n">
        <v>46076</v>
      </c>
    </row>
    <row r="91" ht="18" customHeight="1" s="468">
      <c r="B91" s="497" t="n"/>
      <c r="C91" s="487" t="n">
        <v>26040232</v>
      </c>
      <c r="D91" s="486" t="n"/>
      <c r="E91" s="490" t="n"/>
      <c r="F91" s="486" t="n"/>
      <c r="G91" s="487" t="inlineStr">
        <is>
          <t>ÓLEO DE COCO SEM SABOR</t>
        </is>
      </c>
      <c r="H91" s="488" t="n"/>
      <c r="I91" s="488" t="n"/>
      <c r="J91" s="486" t="n"/>
      <c r="K91" s="493" t="n"/>
      <c r="L91" s="494" t="n"/>
      <c r="M91" s="16" t="inlineStr">
        <is>
          <t>7.000 LATAS</t>
        </is>
      </c>
      <c r="N91" s="418" t="n">
        <v>46076</v>
      </c>
    </row>
    <row r="92" ht="18" customHeight="1" s="468">
      <c r="B92" s="181" t="inlineStr">
        <is>
          <t>2026/050</t>
        </is>
      </c>
      <c r="C92" s="489" t="n">
        <v>26030233</v>
      </c>
      <c r="D92" s="486" t="n"/>
      <c r="E92" s="485" t="n"/>
      <c r="F92" s="486" t="n"/>
      <c r="G92" s="489" t="inlineStr">
        <is>
          <t>CORANTE LARANJA</t>
        </is>
      </c>
      <c r="H92" s="488" t="n"/>
      <c r="I92" s="488" t="n"/>
      <c r="J92" s="486" t="n"/>
      <c r="K92" s="489" t="inlineStr">
        <is>
          <t>SMART</t>
        </is>
      </c>
      <c r="L92" s="486" t="n"/>
      <c r="M92" s="15" t="inlineStr">
        <is>
          <t>24 KG</t>
        </is>
      </c>
      <c r="N92" s="418" t="n">
        <v>46072</v>
      </c>
    </row>
    <row r="93" ht="18" customHeight="1" s="468">
      <c r="B93" s="495" t="inlineStr">
        <is>
          <t>2026/051</t>
        </is>
      </c>
      <c r="C93" s="490" t="n"/>
      <c r="D93" s="486" t="n"/>
      <c r="E93" s="487" t="n">
        <v>25030938</v>
      </c>
      <c r="F93" s="486" t="n"/>
      <c r="G93" s="487" t="inlineStr">
        <is>
          <t>CORANTE VERDE</t>
        </is>
      </c>
      <c r="H93" s="488" t="n"/>
      <c r="I93" s="488" t="n"/>
      <c r="J93" s="486" t="n"/>
      <c r="K93" s="487" t="inlineStr">
        <is>
          <t>REPETECO</t>
        </is>
      </c>
      <c r="L93" s="492" t="n"/>
      <c r="M93" s="16" t="inlineStr">
        <is>
          <t>1.440 LATAS</t>
        </is>
      </c>
      <c r="N93" s="418" t="n">
        <v>46078</v>
      </c>
    </row>
    <row r="94" ht="18" customHeight="1" s="468">
      <c r="B94" s="496" t="n"/>
      <c r="C94" s="485" t="n"/>
      <c r="D94" s="486" t="n"/>
      <c r="E94" s="489" t="n">
        <v>26030233</v>
      </c>
      <c r="F94" s="486" t="n"/>
      <c r="G94" s="489" t="inlineStr">
        <is>
          <t>CORANTE LARANJA</t>
        </is>
      </c>
      <c r="H94" s="488" t="n"/>
      <c r="I94" s="488" t="n"/>
      <c r="J94" s="486" t="n"/>
      <c r="K94" s="501" t="n"/>
      <c r="L94" s="502" t="n"/>
      <c r="M94" s="13" t="inlineStr">
        <is>
          <t>1.440 LATAS</t>
        </is>
      </c>
      <c r="N94" s="418" t="n">
        <v>46078</v>
      </c>
    </row>
    <row r="95" ht="18" customHeight="1" s="468">
      <c r="B95" s="496" t="n"/>
      <c r="C95" s="490" t="n"/>
      <c r="D95" s="486" t="n"/>
      <c r="E95" s="487" t="n">
        <v>26030054</v>
      </c>
      <c r="F95" s="486" t="n"/>
      <c r="G95" s="487" t="inlineStr">
        <is>
          <t>CORANTE VERMELHO</t>
        </is>
      </c>
      <c r="H95" s="488" t="n"/>
      <c r="I95" s="488" t="n"/>
      <c r="J95" s="486" t="n"/>
      <c r="K95" s="501" t="n"/>
      <c r="L95" s="502" t="n"/>
      <c r="M95" s="16" t="inlineStr">
        <is>
          <t>1.440 LATAS</t>
        </is>
      </c>
      <c r="N95" s="418" t="n">
        <v>46078</v>
      </c>
    </row>
    <row r="96" ht="18" customHeight="1" s="468">
      <c r="B96" s="497" t="n"/>
      <c r="C96" s="485" t="n"/>
      <c r="D96" s="486" t="n"/>
      <c r="E96" s="489" t="n">
        <v>26030053</v>
      </c>
      <c r="F96" s="486" t="n"/>
      <c r="G96" s="489" t="inlineStr">
        <is>
          <t>CORANTE ROSA</t>
        </is>
      </c>
      <c r="H96" s="488" t="n"/>
      <c r="I96" s="488" t="n"/>
      <c r="J96" s="486" t="n"/>
      <c r="K96" s="493" t="n"/>
      <c r="L96" s="494" t="n"/>
      <c r="M96" s="13" t="inlineStr">
        <is>
          <t>1.440 LATAS</t>
        </is>
      </c>
      <c r="N96" s="418" t="n">
        <v>46078</v>
      </c>
    </row>
    <row r="97" ht="18" customHeight="1" s="468">
      <c r="B97" s="495" t="inlineStr">
        <is>
          <t>2026/052</t>
        </is>
      </c>
      <c r="C97" s="487" t="n">
        <v>26020234</v>
      </c>
      <c r="D97" s="486" t="n"/>
      <c r="E97" s="490" t="n"/>
      <c r="F97" s="486" t="n"/>
      <c r="G97" s="487" t="inlineStr">
        <is>
          <t>ESPUMA DE GENGIBRE</t>
        </is>
      </c>
      <c r="H97" s="488" t="n"/>
      <c r="I97" s="488" t="n"/>
      <c r="J97" s="486" t="n"/>
      <c r="K97" s="487" t="inlineStr">
        <is>
          <t>SMART</t>
        </is>
      </c>
      <c r="L97" s="486" t="n"/>
      <c r="M97" s="16" t="inlineStr">
        <is>
          <t>780 KG</t>
        </is>
      </c>
      <c r="N97" s="418" t="n">
        <v>46079</v>
      </c>
    </row>
    <row r="98" ht="17.25" customHeight="1" s="468">
      <c r="B98" s="504" t="inlineStr">
        <is>
          <t>2026/053</t>
        </is>
      </c>
      <c r="C98" s="485" t="n"/>
      <c r="D98" s="486" t="n"/>
      <c r="E98" s="489" t="n">
        <v>26020234</v>
      </c>
      <c r="F98" s="486" t="n"/>
      <c r="G98" s="489" t="inlineStr">
        <is>
          <t>ESPUMA DE GENGIBRE</t>
        </is>
      </c>
      <c r="H98" s="488" t="n"/>
      <c r="I98" s="488" t="n"/>
      <c r="J98" s="486" t="n"/>
      <c r="K98" s="489" t="inlineStr">
        <is>
          <t>DILUTE</t>
        </is>
      </c>
      <c r="L98" s="486" t="n"/>
      <c r="M98" s="15" t="inlineStr">
        <is>
          <t>3.960 LATAS</t>
        </is>
      </c>
      <c r="N98" s="418" t="n">
        <v>46079</v>
      </c>
    </row>
    <row r="99" ht="17.25" customHeight="1" s="468">
      <c r="B99" s="495" t="inlineStr">
        <is>
          <t>2026/054</t>
        </is>
      </c>
      <c r="C99" s="487" t="n">
        <v>26010235</v>
      </c>
      <c r="D99" s="486" t="n"/>
      <c r="E99" s="490" t="n"/>
      <c r="F99" s="486" t="n"/>
      <c r="G99" s="487" t="inlineStr">
        <is>
          <t>VP 600ML</t>
        </is>
      </c>
      <c r="H99" s="488" t="n"/>
      <c r="I99" s="488" t="n"/>
      <c r="J99" s="486" t="n"/>
      <c r="K99" s="487" t="inlineStr">
        <is>
          <t>VIA PANE</t>
        </is>
      </c>
      <c r="L99" s="486" t="n"/>
      <c r="M99" s="16" t="inlineStr">
        <is>
          <t>1.080 LATAS</t>
        </is>
      </c>
      <c r="N99" s="418" t="n">
        <v>46080</v>
      </c>
    </row>
    <row r="100" ht="17.25" customHeight="1" s="468">
      <c r="B100" s="504" t="inlineStr">
        <is>
          <t>2026/055</t>
        </is>
      </c>
      <c r="C100" s="489" t="n">
        <v>26010236</v>
      </c>
      <c r="D100" s="486" t="n"/>
      <c r="E100" s="485" t="n"/>
      <c r="F100" s="486" t="n"/>
      <c r="G100" s="489" t="inlineStr">
        <is>
          <t>UNTA FACIL 600ML</t>
        </is>
      </c>
      <c r="H100" s="488" t="n"/>
      <c r="I100" s="488" t="n"/>
      <c r="J100" s="486" t="n"/>
      <c r="K100" s="489" t="inlineStr">
        <is>
          <t>IN LOCO</t>
        </is>
      </c>
      <c r="L100" s="486" t="n"/>
      <c r="M100" s="15" t="inlineStr">
        <is>
          <t>15.960 LATAS</t>
        </is>
      </c>
      <c r="N100" s="418" t="n">
        <v>46080</v>
      </c>
    </row>
    <row r="101" ht="17.25" customHeight="1" s="468">
      <c r="B101" s="495" t="inlineStr">
        <is>
          <t>2026/056</t>
        </is>
      </c>
      <c r="C101" s="490" t="n"/>
      <c r="D101" s="486" t="n"/>
      <c r="E101" s="487" t="n">
        <v>26010118</v>
      </c>
      <c r="F101" s="486" t="n"/>
      <c r="G101" s="487" t="inlineStr">
        <is>
          <t>DESTAK 600ML</t>
        </is>
      </c>
      <c r="H101" s="488" t="n"/>
      <c r="I101" s="488" t="n"/>
      <c r="J101" s="486" t="n"/>
      <c r="K101" s="487" t="inlineStr">
        <is>
          <t>PURATOS</t>
        </is>
      </c>
      <c r="L101" s="486" t="n"/>
      <c r="M101" s="16" t="inlineStr">
        <is>
          <t>7.980 LATAS</t>
        </is>
      </c>
      <c r="N101" s="418" t="n">
        <v>46083</v>
      </c>
    </row>
    <row r="102" ht="17.25" customHeight="1" s="468">
      <c r="B102" s="18" t="n"/>
      <c r="C102" s="485" t="n"/>
      <c r="D102" s="486" t="n"/>
      <c r="E102" s="485" t="n"/>
      <c r="F102" s="486" t="n"/>
      <c r="G102" s="485" t="n"/>
      <c r="H102" s="488" t="n"/>
      <c r="I102" s="488" t="n"/>
      <c r="J102" s="486" t="n"/>
      <c r="K102" s="485" t="n"/>
      <c r="L102" s="486" t="n"/>
      <c r="M102" s="19" t="n"/>
      <c r="N102" s="417" t="n"/>
    </row>
    <row r="103" ht="17.25" customHeight="1" s="468">
      <c r="B103" s="20" t="n"/>
      <c r="C103" s="490" t="n"/>
      <c r="D103" s="486" t="n"/>
      <c r="E103" s="490" t="n"/>
      <c r="F103" s="486" t="n"/>
      <c r="G103" s="490" t="n"/>
      <c r="H103" s="488" t="n"/>
      <c r="I103" s="488" t="n"/>
      <c r="J103" s="486" t="n"/>
      <c r="K103" s="490" t="n"/>
      <c r="L103" s="486" t="n"/>
      <c r="M103" s="21" t="n"/>
      <c r="N103" s="417" t="n"/>
    </row>
    <row r="104" ht="17.25" customHeight="1" s="468">
      <c r="B104" s="18" t="n"/>
      <c r="C104" s="485" t="n"/>
      <c r="D104" s="486" t="n"/>
      <c r="E104" s="485" t="n"/>
      <c r="F104" s="486" t="n"/>
      <c r="G104" s="485" t="n"/>
      <c r="H104" s="488" t="n"/>
      <c r="I104" s="488" t="n"/>
      <c r="J104" s="486" t="n"/>
      <c r="K104" s="485" t="n"/>
      <c r="L104" s="486" t="n"/>
      <c r="M104" s="19" t="n"/>
      <c r="N104" s="417" t="n"/>
    </row>
    <row r="105" ht="17.25" customHeight="1" s="468">
      <c r="B105" s="20" t="n"/>
      <c r="C105" s="490" t="n"/>
      <c r="D105" s="486" t="n"/>
      <c r="E105" s="490" t="n"/>
      <c r="F105" s="486" t="n"/>
      <c r="G105" s="490" t="n"/>
      <c r="H105" s="488" t="n"/>
      <c r="I105" s="488" t="n"/>
      <c r="J105" s="486" t="n"/>
      <c r="K105" s="490" t="n"/>
      <c r="L105" s="486" t="n"/>
      <c r="M105" s="23" t="n"/>
      <c r="N105" s="417" t="n"/>
    </row>
    <row r="106" ht="17.25" customHeight="1" s="468">
      <c r="B106" s="18" t="n"/>
      <c r="C106" s="485" t="n"/>
      <c r="D106" s="486" t="n"/>
      <c r="E106" s="485" t="n"/>
      <c r="F106" s="486" t="n"/>
      <c r="G106" s="485" t="n"/>
      <c r="H106" s="488" t="n"/>
      <c r="I106" s="488" t="n"/>
      <c r="J106" s="486" t="n"/>
      <c r="K106" s="485" t="n"/>
      <c r="L106" s="486" t="n"/>
      <c r="M106" s="19" t="n"/>
      <c r="N106" s="417" t="n"/>
    </row>
    <row r="107" ht="17.25" customHeight="1" s="468">
      <c r="B107" s="20" t="n"/>
      <c r="C107" s="490" t="n"/>
      <c r="D107" s="486" t="n"/>
      <c r="E107" s="490" t="n"/>
      <c r="F107" s="486" t="n"/>
      <c r="G107" s="490" t="n"/>
      <c r="H107" s="488" t="n"/>
      <c r="I107" s="488" t="n"/>
      <c r="J107" s="486" t="n"/>
      <c r="K107" s="490" t="n"/>
      <c r="L107" s="486" t="n"/>
      <c r="M107" s="21" t="n"/>
      <c r="N107" s="417" t="n"/>
    </row>
    <row r="108" ht="17.25" customHeight="1" s="468">
      <c r="B108" s="18" t="n"/>
      <c r="C108" s="485" t="n"/>
      <c r="D108" s="486" t="n"/>
      <c r="E108" s="485" t="n"/>
      <c r="F108" s="486" t="n"/>
      <c r="G108" s="485" t="n"/>
      <c r="H108" s="488" t="n"/>
      <c r="I108" s="488" t="n"/>
      <c r="J108" s="486" t="n"/>
      <c r="K108" s="485" t="n"/>
      <c r="L108" s="486" t="n"/>
      <c r="M108" s="19" t="n"/>
      <c r="N108" s="417" t="n"/>
    </row>
    <row r="109" ht="17.25" customHeight="1" s="468">
      <c r="B109" s="20" t="n"/>
      <c r="C109" s="490" t="n"/>
      <c r="D109" s="486" t="n"/>
      <c r="E109" s="490" t="n"/>
      <c r="F109" s="486" t="n"/>
      <c r="G109" s="490" t="n"/>
      <c r="H109" s="488" t="n"/>
      <c r="I109" s="488" t="n"/>
      <c r="J109" s="486" t="n"/>
      <c r="K109" s="490" t="n"/>
      <c r="L109" s="486" t="n"/>
      <c r="M109" s="21" t="n"/>
      <c r="N109" s="417" t="n"/>
    </row>
    <row r="110" ht="17.25" customHeight="1" s="468">
      <c r="B110" s="18" t="n"/>
      <c r="C110" s="485" t="n"/>
      <c r="D110" s="486" t="n"/>
      <c r="E110" s="485" t="n"/>
      <c r="F110" s="486" t="n"/>
      <c r="G110" s="485" t="n"/>
      <c r="H110" s="488" t="n"/>
      <c r="I110" s="488" t="n"/>
      <c r="J110" s="486" t="n"/>
      <c r="K110" s="485" t="n"/>
      <c r="L110" s="486" t="n"/>
      <c r="M110" s="22" t="n"/>
      <c r="N110" s="417" t="n"/>
    </row>
    <row r="111" ht="17.25" customHeight="1" s="468">
      <c r="B111" s="20" t="n"/>
      <c r="C111" s="490" t="n"/>
      <c r="D111" s="486" t="n"/>
      <c r="E111" s="490" t="n"/>
      <c r="F111" s="486" t="n"/>
      <c r="G111" s="490" t="n"/>
      <c r="H111" s="488" t="n"/>
      <c r="I111" s="488" t="n"/>
      <c r="J111" s="486" t="n"/>
      <c r="K111" s="490" t="n"/>
      <c r="L111" s="486" t="n"/>
      <c r="M111" s="21" t="n"/>
      <c r="N111" s="417" t="n"/>
    </row>
    <row r="112" ht="17.25" customHeight="1" s="468">
      <c r="B112" s="18" t="n"/>
      <c r="C112" s="485" t="n"/>
      <c r="D112" s="486" t="n"/>
      <c r="E112" s="485" t="n"/>
      <c r="F112" s="486" t="n"/>
      <c r="G112" s="485" t="n"/>
      <c r="H112" s="488" t="n"/>
      <c r="I112" s="488" t="n"/>
      <c r="J112" s="486" t="n"/>
      <c r="K112" s="485" t="n"/>
      <c r="L112" s="486" t="n"/>
      <c r="M112" s="19" t="n"/>
      <c r="N112" s="417" t="n"/>
    </row>
    <row r="113" ht="17.25" customHeight="1" s="468">
      <c r="B113" s="20" t="n"/>
      <c r="C113" s="490" t="n"/>
      <c r="D113" s="486" t="n"/>
      <c r="E113" s="490" t="n"/>
      <c r="F113" s="486" t="n"/>
      <c r="G113" s="490" t="n"/>
      <c r="H113" s="488" t="n"/>
      <c r="I113" s="488" t="n"/>
      <c r="J113" s="486" t="n"/>
      <c r="K113" s="490" t="n"/>
      <c r="L113" s="486" t="n"/>
      <c r="M113" s="21" t="n"/>
      <c r="N113" s="417" t="n"/>
    </row>
    <row r="114" ht="17.25" customHeight="1" s="468">
      <c r="B114" s="18" t="n"/>
      <c r="C114" s="485" t="n"/>
      <c r="D114" s="486" t="n"/>
      <c r="E114" s="485" t="n"/>
      <c r="F114" s="486" t="n"/>
      <c r="G114" s="485" t="n"/>
      <c r="H114" s="488" t="n"/>
      <c r="I114" s="488" t="n"/>
      <c r="J114" s="486" t="n"/>
      <c r="K114" s="485" t="n"/>
      <c r="L114" s="486" t="n"/>
      <c r="M114" s="19" t="n"/>
      <c r="N114" s="417" t="n"/>
    </row>
    <row r="115" ht="17.25" customHeight="1" s="468">
      <c r="B115" s="20" t="n"/>
      <c r="C115" s="490" t="n"/>
      <c r="D115" s="486" t="n"/>
      <c r="E115" s="490" t="n"/>
      <c r="F115" s="486" t="n"/>
      <c r="G115" s="490" t="n"/>
      <c r="H115" s="488" t="n"/>
      <c r="I115" s="488" t="n"/>
      <c r="J115" s="486" t="n"/>
      <c r="K115" s="490" t="n"/>
      <c r="L115" s="486" t="n"/>
      <c r="M115" s="23" t="n"/>
      <c r="N115" s="417" t="n"/>
    </row>
    <row r="116" ht="17.25" customHeight="1" s="468">
      <c r="B116" s="18" t="n"/>
      <c r="C116" s="485" t="n"/>
      <c r="D116" s="486" t="n"/>
      <c r="E116" s="485" t="n"/>
      <c r="F116" s="486" t="n"/>
      <c r="G116" s="485" t="n"/>
      <c r="H116" s="488" t="n"/>
      <c r="I116" s="488" t="n"/>
      <c r="J116" s="486" t="n"/>
      <c r="K116" s="485" t="n"/>
      <c r="L116" s="486" t="n"/>
      <c r="M116" s="19" t="n"/>
      <c r="N116" s="417" t="n"/>
    </row>
    <row r="117" ht="17.25" customHeight="1" s="468">
      <c r="B117" s="20" t="n"/>
      <c r="C117" s="490" t="n"/>
      <c r="D117" s="486" t="n"/>
      <c r="E117" s="490" t="n"/>
      <c r="F117" s="486" t="n"/>
      <c r="G117" s="490" t="n"/>
      <c r="H117" s="488" t="n"/>
      <c r="I117" s="488" t="n"/>
      <c r="J117" s="486" t="n"/>
      <c r="K117" s="490" t="n"/>
      <c r="L117" s="486" t="n"/>
      <c r="M117" s="21" t="n"/>
      <c r="N117" s="417" t="n"/>
    </row>
    <row r="118" ht="17.25" customHeight="1" s="468">
      <c r="B118" s="18" t="n"/>
      <c r="C118" s="485" t="n"/>
      <c r="D118" s="486" t="n"/>
      <c r="E118" s="485" t="n"/>
      <c r="F118" s="486" t="n"/>
      <c r="G118" s="485" t="n"/>
      <c r="H118" s="488" t="n"/>
      <c r="I118" s="488" t="n"/>
      <c r="J118" s="486" t="n"/>
      <c r="K118" s="485" t="n"/>
      <c r="L118" s="486" t="n"/>
      <c r="M118" s="19" t="n"/>
      <c r="N118" s="417" t="n"/>
    </row>
    <row r="119" ht="17.25" customHeight="1" s="468">
      <c r="B119" s="20" t="n"/>
      <c r="C119" s="490" t="n"/>
      <c r="D119" s="486" t="n"/>
      <c r="E119" s="490" t="n"/>
      <c r="F119" s="486" t="n"/>
      <c r="G119" s="490" t="n"/>
      <c r="H119" s="488" t="n"/>
      <c r="I119" s="488" t="n"/>
      <c r="J119" s="486" t="n"/>
      <c r="K119" s="490" t="n"/>
      <c r="L119" s="486" t="n"/>
      <c r="M119" s="21" t="n"/>
      <c r="N119" s="417" t="n"/>
    </row>
    <row r="120" ht="17.25" customHeight="1" s="468">
      <c r="B120" s="18" t="n"/>
      <c r="C120" s="485" t="n"/>
      <c r="D120" s="486" t="n"/>
      <c r="E120" s="485" t="n"/>
      <c r="F120" s="486" t="n"/>
      <c r="G120" s="485" t="n"/>
      <c r="H120" s="488" t="n"/>
      <c r="I120" s="488" t="n"/>
      <c r="J120" s="486" t="n"/>
      <c r="K120" s="485" t="n"/>
      <c r="L120" s="486" t="n"/>
      <c r="M120" s="22" t="n"/>
      <c r="N120" s="417" t="n"/>
    </row>
    <row r="121" ht="17.25" customHeight="1" s="468">
      <c r="B121" s="20" t="n"/>
      <c r="C121" s="490" t="n"/>
      <c r="D121" s="486" t="n"/>
      <c r="E121" s="490" t="n"/>
      <c r="F121" s="486" t="n"/>
      <c r="G121" s="490" t="n"/>
      <c r="H121" s="488" t="n"/>
      <c r="I121" s="488" t="n"/>
      <c r="J121" s="486" t="n"/>
      <c r="K121" s="490" t="n"/>
      <c r="L121" s="486" t="n"/>
      <c r="M121" s="21" t="n"/>
      <c r="N121" s="417" t="n"/>
    </row>
    <row r="122" ht="17.25" customHeight="1" s="468">
      <c r="B122" s="18" t="n"/>
      <c r="C122" s="485" t="n"/>
      <c r="D122" s="486" t="n"/>
      <c r="E122" s="485" t="n"/>
      <c r="F122" s="486" t="n"/>
      <c r="G122" s="485" t="n"/>
      <c r="H122" s="488" t="n"/>
      <c r="I122" s="488" t="n"/>
      <c r="J122" s="486" t="n"/>
      <c r="K122" s="485" t="n"/>
      <c r="L122" s="486" t="n"/>
      <c r="M122" s="19" t="n"/>
      <c r="N122" s="417" t="n"/>
    </row>
    <row r="123" ht="17.25" customHeight="1" s="468">
      <c r="B123" s="20" t="n"/>
      <c r="C123" s="490" t="n"/>
      <c r="D123" s="486" t="n"/>
      <c r="E123" s="490" t="n"/>
      <c r="F123" s="486" t="n"/>
      <c r="G123" s="490" t="n"/>
      <c r="H123" s="488" t="n"/>
      <c r="I123" s="488" t="n"/>
      <c r="J123" s="486" t="n"/>
      <c r="K123" s="490" t="n"/>
      <c r="L123" s="486" t="n"/>
      <c r="M123" s="21" t="n"/>
      <c r="N123" s="417" t="n"/>
    </row>
    <row r="124" ht="17.25" customHeight="1" s="468">
      <c r="B124" s="18" t="n"/>
      <c r="C124" s="485" t="n"/>
      <c r="D124" s="486" t="n"/>
      <c r="E124" s="485" t="n"/>
      <c r="F124" s="486" t="n"/>
      <c r="G124" s="485" t="n"/>
      <c r="H124" s="488" t="n"/>
      <c r="I124" s="488" t="n"/>
      <c r="J124" s="486" t="n"/>
      <c r="K124" s="485" t="n"/>
      <c r="L124" s="486" t="n"/>
      <c r="M124" s="19" t="n"/>
      <c r="N124" s="417" t="n"/>
    </row>
    <row r="125" ht="17.25" customHeight="1" s="468">
      <c r="B125" s="20" t="n"/>
      <c r="C125" s="490" t="n"/>
      <c r="D125" s="486" t="n"/>
      <c r="E125" s="490" t="n"/>
      <c r="F125" s="486" t="n"/>
      <c r="G125" s="490" t="n"/>
      <c r="H125" s="488" t="n"/>
      <c r="I125" s="488" t="n"/>
      <c r="J125" s="486" t="n"/>
      <c r="K125" s="490" t="n"/>
      <c r="L125" s="486" t="n"/>
      <c r="M125" s="23" t="n"/>
      <c r="N125" s="417" t="n"/>
    </row>
    <row r="126" ht="17.25" customHeight="1" s="468">
      <c r="B126" s="18" t="n"/>
      <c r="C126" s="485" t="n"/>
      <c r="D126" s="486" t="n"/>
      <c r="E126" s="485" t="n"/>
      <c r="F126" s="486" t="n"/>
      <c r="G126" s="485" t="n"/>
      <c r="H126" s="488" t="n"/>
      <c r="I126" s="488" t="n"/>
      <c r="J126" s="486" t="n"/>
      <c r="K126" s="485" t="n"/>
      <c r="L126" s="486" t="n"/>
      <c r="M126" s="19" t="n"/>
      <c r="N126" s="417" t="n"/>
    </row>
    <row r="127" ht="17.25" customHeight="1" s="468">
      <c r="B127" s="20" t="n"/>
      <c r="C127" s="490" t="n"/>
      <c r="D127" s="486" t="n"/>
      <c r="E127" s="490" t="n"/>
      <c r="F127" s="486" t="n"/>
      <c r="G127" s="490" t="n"/>
      <c r="H127" s="488" t="n"/>
      <c r="I127" s="488" t="n"/>
      <c r="J127" s="486" t="n"/>
      <c r="K127" s="490" t="n"/>
      <c r="L127" s="486" t="n"/>
      <c r="M127" s="21" t="n"/>
      <c r="N127" s="417" t="n"/>
    </row>
    <row r="128" ht="17.25" customHeight="1" s="468">
      <c r="B128" s="18" t="n"/>
      <c r="C128" s="485" t="n"/>
      <c r="D128" s="486" t="n"/>
      <c r="E128" s="485" t="n"/>
      <c r="F128" s="486" t="n"/>
      <c r="G128" s="485" t="n"/>
      <c r="H128" s="488" t="n"/>
      <c r="I128" s="488" t="n"/>
      <c r="J128" s="486" t="n"/>
      <c r="K128" s="485" t="n"/>
      <c r="L128" s="486" t="n"/>
      <c r="M128" s="19" t="n"/>
      <c r="N128" s="417" t="n"/>
    </row>
    <row r="129" ht="17.25" customHeight="1" s="468">
      <c r="B129" s="20" t="n"/>
      <c r="C129" s="490" t="n"/>
      <c r="D129" s="486" t="n"/>
      <c r="E129" s="490" t="n"/>
      <c r="F129" s="486" t="n"/>
      <c r="G129" s="490" t="n"/>
      <c r="H129" s="488" t="n"/>
      <c r="I129" s="488" t="n"/>
      <c r="J129" s="486" t="n"/>
      <c r="K129" s="490" t="n"/>
      <c r="L129" s="486" t="n"/>
      <c r="M129" s="21" t="n"/>
      <c r="N129" s="417" t="n"/>
    </row>
    <row r="130" ht="17.25" customHeight="1" s="468">
      <c r="B130" s="18" t="n"/>
      <c r="C130" s="485" t="n"/>
      <c r="D130" s="486" t="n"/>
      <c r="E130" s="485" t="n"/>
      <c r="F130" s="486" t="n"/>
      <c r="G130" s="485" t="n"/>
      <c r="H130" s="488" t="n"/>
      <c r="I130" s="488" t="n"/>
      <c r="J130" s="486" t="n"/>
      <c r="K130" s="485" t="n"/>
      <c r="L130" s="486" t="n"/>
      <c r="M130" s="22" t="n"/>
      <c r="N130" s="417" t="n"/>
    </row>
    <row r="131" ht="17.25" customHeight="1" s="468">
      <c r="B131" s="20" t="n"/>
      <c r="C131" s="490" t="n"/>
      <c r="D131" s="486" t="n"/>
      <c r="E131" s="490" t="n"/>
      <c r="F131" s="486" t="n"/>
      <c r="G131" s="490" t="n"/>
      <c r="H131" s="488" t="n"/>
      <c r="I131" s="488" t="n"/>
      <c r="J131" s="486" t="n"/>
      <c r="K131" s="490" t="n"/>
      <c r="L131" s="486" t="n"/>
      <c r="M131" s="21" t="n"/>
      <c r="N131" s="417" t="n"/>
    </row>
    <row r="132" ht="17.25" customHeight="1" s="468">
      <c r="B132" s="18" t="n"/>
      <c r="C132" s="485" t="n"/>
      <c r="D132" s="486" t="n"/>
      <c r="E132" s="485" t="n"/>
      <c r="F132" s="486" t="n"/>
      <c r="G132" s="485" t="n"/>
      <c r="H132" s="488" t="n"/>
      <c r="I132" s="488" t="n"/>
      <c r="J132" s="486" t="n"/>
      <c r="K132" s="485" t="n"/>
      <c r="L132" s="486" t="n"/>
      <c r="M132" s="19" t="n"/>
      <c r="N132" s="417" t="n"/>
    </row>
    <row r="133" ht="17.25" customHeight="1" s="468">
      <c r="B133" s="20" t="n"/>
      <c r="C133" s="490" t="n"/>
      <c r="D133" s="486" t="n"/>
      <c r="E133" s="490" t="n"/>
      <c r="F133" s="486" t="n"/>
      <c r="G133" s="490" t="n"/>
      <c r="H133" s="488" t="n"/>
      <c r="I133" s="488" t="n"/>
      <c r="J133" s="486" t="n"/>
      <c r="K133" s="490" t="n"/>
      <c r="L133" s="486" t="n"/>
      <c r="M133" s="21" t="n"/>
      <c r="N133" s="417" t="n"/>
    </row>
    <row r="134" ht="17.25" customHeight="1" s="468">
      <c r="B134" s="18" t="n"/>
      <c r="C134" s="485" t="n"/>
      <c r="D134" s="486" t="n"/>
      <c r="E134" s="485" t="n"/>
      <c r="F134" s="486" t="n"/>
      <c r="G134" s="485" t="n"/>
      <c r="H134" s="488" t="n"/>
      <c r="I134" s="488" t="n"/>
      <c r="J134" s="486" t="n"/>
      <c r="K134" s="485" t="n"/>
      <c r="L134" s="486" t="n"/>
      <c r="M134" s="19" t="n"/>
      <c r="N134" s="417" t="n"/>
    </row>
    <row r="135" ht="17.25" customHeight="1" s="468">
      <c r="B135" s="20" t="n"/>
      <c r="C135" s="490" t="n"/>
      <c r="D135" s="486" t="n"/>
      <c r="E135" s="490" t="n"/>
      <c r="F135" s="486" t="n"/>
      <c r="G135" s="490" t="n"/>
      <c r="H135" s="488" t="n"/>
      <c r="I135" s="488" t="n"/>
      <c r="J135" s="486" t="n"/>
      <c r="K135" s="490" t="n"/>
      <c r="L135" s="486" t="n"/>
      <c r="M135" s="23" t="n"/>
      <c r="N135" s="417" t="n"/>
    </row>
    <row r="136" ht="17.25" customHeight="1" s="468">
      <c r="B136" s="18" t="n"/>
      <c r="C136" s="485" t="n"/>
      <c r="D136" s="486" t="n"/>
      <c r="E136" s="485" t="n"/>
      <c r="F136" s="486" t="n"/>
      <c r="G136" s="485" t="n"/>
      <c r="H136" s="488" t="n"/>
      <c r="I136" s="488" t="n"/>
      <c r="J136" s="486" t="n"/>
      <c r="K136" s="485" t="n"/>
      <c r="L136" s="486" t="n"/>
      <c r="M136" s="19" t="n"/>
      <c r="N136" s="417" t="n"/>
    </row>
    <row r="137" ht="17.25" customHeight="1" s="468">
      <c r="B137" s="20" t="n"/>
      <c r="C137" s="490" t="n"/>
      <c r="D137" s="486" t="n"/>
      <c r="E137" s="490" t="n"/>
      <c r="F137" s="486" t="n"/>
      <c r="G137" s="490" t="n"/>
      <c r="H137" s="488" t="n"/>
      <c r="I137" s="488" t="n"/>
      <c r="J137" s="486" t="n"/>
      <c r="K137" s="490" t="n"/>
      <c r="L137" s="486" t="n"/>
      <c r="M137" s="21" t="n"/>
      <c r="N137" s="417" t="n"/>
    </row>
    <row r="138" ht="17.25" customHeight="1" s="468">
      <c r="B138" s="18" t="n"/>
      <c r="C138" s="485" t="n"/>
      <c r="D138" s="486" t="n"/>
      <c r="E138" s="485" t="n"/>
      <c r="F138" s="486" t="n"/>
      <c r="G138" s="485" t="n"/>
      <c r="H138" s="488" t="n"/>
      <c r="I138" s="488" t="n"/>
      <c r="J138" s="486" t="n"/>
      <c r="K138" s="485" t="n"/>
      <c r="L138" s="486" t="n"/>
      <c r="M138" s="19" t="n"/>
      <c r="N138" s="417" t="n"/>
    </row>
    <row r="139" ht="17.25" customHeight="1" s="468">
      <c r="B139" s="20" t="n"/>
      <c r="C139" s="490" t="n"/>
      <c r="D139" s="486" t="n"/>
      <c r="E139" s="490" t="n"/>
      <c r="F139" s="486" t="n"/>
      <c r="G139" s="490" t="n"/>
      <c r="H139" s="488" t="n"/>
      <c r="I139" s="488" t="n"/>
      <c r="J139" s="486" t="n"/>
      <c r="K139" s="490" t="n"/>
      <c r="L139" s="486" t="n"/>
      <c r="M139" s="21" t="n"/>
      <c r="N139" s="417" t="n"/>
    </row>
    <row r="140" ht="17.25" customHeight="1" s="468">
      <c r="B140" s="18" t="n"/>
      <c r="C140" s="485" t="n"/>
      <c r="D140" s="486" t="n"/>
      <c r="E140" s="485" t="n"/>
      <c r="F140" s="486" t="n"/>
      <c r="G140" s="485" t="n"/>
      <c r="H140" s="488" t="n"/>
      <c r="I140" s="488" t="n"/>
      <c r="J140" s="486" t="n"/>
      <c r="K140" s="485" t="n"/>
      <c r="L140" s="486" t="n"/>
      <c r="M140" s="22" t="n"/>
      <c r="N140" s="417" t="n"/>
    </row>
    <row r="141" ht="17.25" customHeight="1" s="468">
      <c r="B141" s="182" t="n"/>
      <c r="C141" s="520" t="n"/>
      <c r="D141" s="507" t="n"/>
      <c r="E141" s="520" t="n"/>
      <c r="F141" s="507" t="n"/>
      <c r="G141" s="520" t="n"/>
      <c r="H141" s="509" t="n"/>
      <c r="I141" s="509" t="n"/>
      <c r="J141" s="507" t="n"/>
      <c r="K141" s="520" t="n"/>
      <c r="L141" s="507" t="n"/>
      <c r="M141" s="183" t="n"/>
      <c r="N141" s="417" t="n"/>
    </row>
    <row r="142" ht="18" customHeight="1" s="468">
      <c r="N142" s="420" t="n"/>
    </row>
    <row r="143" ht="18" customHeight="1" s="468">
      <c r="N143" s="420" t="n"/>
    </row>
    <row r="144" ht="18" customHeight="1" s="468">
      <c r="N144" s="420" t="n"/>
    </row>
    <row r="145" ht="18" customHeight="1" s="468">
      <c r="N145" s="420" t="n"/>
    </row>
    <row r="146" ht="18" customHeight="1" s="468">
      <c r="N146" s="420" t="n"/>
    </row>
    <row r="147" ht="18" customHeight="1" s="468">
      <c r="N147" s="420" t="n"/>
    </row>
    <row r="148" ht="18" customHeight="1" s="468">
      <c r="N148" s="420" t="n"/>
    </row>
    <row r="149" ht="18" customHeight="1" s="468">
      <c r="N149" s="420" t="n"/>
    </row>
    <row r="150" ht="18" customHeight="1" s="468">
      <c r="N150" s="420" t="n"/>
    </row>
    <row r="151" ht="18" customHeight="1" s="468">
      <c r="N151" s="420" t="n"/>
    </row>
    <row r="152" ht="18" customHeight="1" s="468">
      <c r="N152" s="420" t="n"/>
    </row>
    <row r="153" ht="18" customHeight="1" s="468">
      <c r="N153" s="420" t="n"/>
    </row>
    <row r="154" ht="18" customHeight="1" s="468">
      <c r="N154" s="420" t="n"/>
    </row>
    <row r="155" ht="18" customHeight="1" s="468">
      <c r="N155" s="420" t="n"/>
    </row>
    <row r="156" ht="18" customHeight="1" s="468">
      <c r="N156" s="420" t="n"/>
    </row>
    <row r="157" ht="18" customHeight="1" s="468">
      <c r="N157" s="420" t="n"/>
    </row>
    <row r="158" ht="18" customHeight="1" s="468">
      <c r="N158" s="420" t="n"/>
    </row>
    <row r="159" ht="18" customHeight="1" s="468">
      <c r="N159" s="420" t="n"/>
    </row>
    <row r="160" ht="18" customHeight="1" s="468">
      <c r="N160" s="420" t="n"/>
    </row>
    <row r="161" ht="18" customHeight="1" s="468">
      <c r="N161" s="420" t="n"/>
    </row>
    <row r="162" ht="18" customHeight="1" s="468">
      <c r="N162" s="420" t="n"/>
    </row>
    <row r="163" ht="18" customHeight="1" s="468">
      <c r="N163" s="420" t="n"/>
    </row>
    <row r="164" ht="18" customHeight="1" s="468">
      <c r="N164" s="420" t="n"/>
    </row>
    <row r="165" ht="18" customHeight="1" s="468">
      <c r="N165" s="420" t="n"/>
    </row>
    <row r="166" ht="18" customHeight="1" s="468">
      <c r="N166" s="420" t="n"/>
    </row>
    <row r="167" ht="18" customHeight="1" s="468">
      <c r="N167" s="420" t="n"/>
    </row>
    <row r="168" ht="18" customHeight="1" s="468">
      <c r="N168" s="420" t="n"/>
    </row>
    <row r="169" ht="18" customHeight="1" s="468">
      <c r="N169" s="420" t="n"/>
    </row>
    <row r="170" ht="18" customHeight="1" s="468">
      <c r="N170" s="420" t="n"/>
    </row>
    <row r="171" ht="18" customHeight="1" s="468">
      <c r="N171" s="420" t="n"/>
    </row>
    <row r="172" ht="18" customHeight="1" s="468">
      <c r="N172" s="420" t="n"/>
    </row>
    <row r="173" ht="18" customHeight="1" s="468">
      <c r="N173" s="420" t="n"/>
    </row>
    <row r="174" ht="18" customHeight="1" s="468">
      <c r="N174" s="420" t="n"/>
    </row>
    <row r="175" ht="18" customHeight="1" s="468">
      <c r="N175" s="420" t="n"/>
    </row>
    <row r="176" ht="18" customHeight="1" s="468">
      <c r="N176" s="420" t="n"/>
    </row>
    <row r="177" ht="18" customHeight="1" s="468">
      <c r="N177" s="420" t="n"/>
    </row>
    <row r="178" ht="18" customHeight="1" s="468">
      <c r="N178" s="420" t="n"/>
    </row>
    <row r="179" ht="18" customHeight="1" s="468">
      <c r="N179" s="420" t="n"/>
    </row>
    <row r="180" ht="18" customHeight="1" s="468">
      <c r="N180" s="420" t="n"/>
    </row>
    <row r="181" ht="18" customHeight="1" s="468">
      <c r="N181" s="420" t="n"/>
    </row>
    <row r="182" ht="18" customHeight="1" s="468">
      <c r="N182" s="420" t="n"/>
    </row>
    <row r="183" ht="18" customHeight="1" s="468">
      <c r="N183" s="420" t="n"/>
    </row>
    <row r="184" ht="18" customHeight="1" s="468">
      <c r="N184" s="420" t="n"/>
    </row>
    <row r="185" ht="18" customHeight="1" s="468">
      <c r="N185" s="420" t="n"/>
    </row>
    <row r="186" ht="18" customHeight="1" s="468">
      <c r="N186" s="420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8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8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8" customHeight="1" s="468">
      <c r="N295" s="420" t="n"/>
    </row>
    <row r="296" ht="18" customHeight="1" s="468">
      <c r="N296" s="420" t="n"/>
    </row>
    <row r="297" ht="18" customHeight="1" s="468">
      <c r="N297" s="420" t="n"/>
    </row>
    <row r="298" ht="18" customHeight="1" s="468">
      <c r="N298" s="420" t="n"/>
    </row>
    <row r="299" ht="18" customHeight="1" s="468">
      <c r="N299" s="420" t="n"/>
    </row>
    <row r="300" ht="18" customHeight="1" s="468">
      <c r="N300" s="420" t="n"/>
    </row>
  </sheetData>
  <mergeCells count="492">
    <mergeCell ref="C15:D15"/>
    <mergeCell ref="G4:J4"/>
    <mergeCell ref="E71:F71"/>
    <mergeCell ref="K104:L104"/>
    <mergeCell ref="G135:J135"/>
    <mergeCell ref="C107:D107"/>
    <mergeCell ref="C79:D79"/>
    <mergeCell ref="E8:F8"/>
    <mergeCell ref="E79:F79"/>
    <mergeCell ref="C73:D73"/>
    <mergeCell ref="E73:F73"/>
    <mergeCell ref="C121:D121"/>
    <mergeCell ref="E137:F137"/>
    <mergeCell ref="K99:L99"/>
    <mergeCell ref="G82:J82"/>
    <mergeCell ref="G57:J57"/>
    <mergeCell ref="G128:J128"/>
    <mergeCell ref="K101:L101"/>
    <mergeCell ref="G121:J121"/>
    <mergeCell ref="C28:D28"/>
    <mergeCell ref="E53:F53"/>
    <mergeCell ref="C3:D3"/>
    <mergeCell ref="G58:J58"/>
    <mergeCell ref="E3:F3"/>
    <mergeCell ref="K92:L92"/>
    <mergeCell ref="G123:J123"/>
    <mergeCell ref="C92:D92"/>
    <mergeCell ref="E117:F117"/>
    <mergeCell ref="G110:J110"/>
    <mergeCell ref="E55:F55"/>
    <mergeCell ref="C30:D30"/>
    <mergeCell ref="B90:B91"/>
    <mergeCell ref="C5:D5"/>
    <mergeCell ref="E67:F67"/>
    <mergeCell ref="E5:F5"/>
    <mergeCell ref="C97:D97"/>
    <mergeCell ref="E48:F48"/>
    <mergeCell ref="G75:J75"/>
    <mergeCell ref="G12:J12"/>
    <mergeCell ref="K106:L106"/>
    <mergeCell ref="K105:L105"/>
    <mergeCell ref="G70:J70"/>
    <mergeCell ref="K120:L120"/>
    <mergeCell ref="C123:D123"/>
    <mergeCell ref="G7:J7"/>
    <mergeCell ref="K107:L107"/>
    <mergeCell ref="C110:D110"/>
    <mergeCell ref="E110:F110"/>
    <mergeCell ref="E16:F16"/>
    <mergeCell ref="E76:F76"/>
    <mergeCell ref="C18:D18"/>
    <mergeCell ref="E18:F18"/>
    <mergeCell ref="G65:J65"/>
    <mergeCell ref="C34:D34"/>
    <mergeCell ref="G129:J129"/>
    <mergeCell ref="G25:J25"/>
    <mergeCell ref="E92:F92"/>
    <mergeCell ref="C128:D128"/>
    <mergeCell ref="C113:D113"/>
    <mergeCell ref="G60:J60"/>
    <mergeCell ref="G131:J131"/>
    <mergeCell ref="C29:D29"/>
    <mergeCell ref="C100:D100"/>
    <mergeCell ref="E29:F29"/>
    <mergeCell ref="C94:D94"/>
    <mergeCell ref="C65:D65"/>
    <mergeCell ref="E94:F94"/>
    <mergeCell ref="C44:D44"/>
    <mergeCell ref="E69:F69"/>
    <mergeCell ref="C31:D31"/>
    <mergeCell ref="C80:D80"/>
    <mergeCell ref="E31:F31"/>
    <mergeCell ref="C129:D129"/>
    <mergeCell ref="E6:F6"/>
    <mergeCell ref="E77:F77"/>
    <mergeCell ref="E133:F133"/>
    <mergeCell ref="E108:F108"/>
    <mergeCell ref="G126:J126"/>
    <mergeCell ref="C95:D95"/>
    <mergeCell ref="E95:F95"/>
    <mergeCell ref="E89:F89"/>
    <mergeCell ref="K97:L97"/>
    <mergeCell ref="G13:J13"/>
    <mergeCell ref="G78:J78"/>
    <mergeCell ref="E72:F72"/>
    <mergeCell ref="K128:L128"/>
    <mergeCell ref="C131:D131"/>
    <mergeCell ref="G15:J15"/>
    <mergeCell ref="G80:J80"/>
    <mergeCell ref="C49:D49"/>
    <mergeCell ref="K121:L121"/>
    <mergeCell ref="C24:D24"/>
    <mergeCell ref="G79:J79"/>
    <mergeCell ref="E24:F24"/>
    <mergeCell ref="G73:J73"/>
    <mergeCell ref="C42:D42"/>
    <mergeCell ref="E42:F42"/>
    <mergeCell ref="C126:D126"/>
    <mergeCell ref="E17:F17"/>
    <mergeCell ref="K123:L123"/>
    <mergeCell ref="E88:F88"/>
    <mergeCell ref="C88:D88"/>
    <mergeCell ref="C26:D26"/>
    <mergeCell ref="K110:L110"/>
    <mergeCell ref="E82:F82"/>
    <mergeCell ref="E126:F126"/>
    <mergeCell ref="E19:F19"/>
    <mergeCell ref="C117:D117"/>
    <mergeCell ref="C55:D55"/>
    <mergeCell ref="K12:L12"/>
    <mergeCell ref="C115:D115"/>
    <mergeCell ref="C52:D52"/>
    <mergeCell ref="C39:D39"/>
    <mergeCell ref="G28:J28"/>
    <mergeCell ref="G3:J3"/>
    <mergeCell ref="K103:L103"/>
    <mergeCell ref="C81:D81"/>
    <mergeCell ref="C37:D37"/>
    <mergeCell ref="G92:J92"/>
    <mergeCell ref="E37:F37"/>
    <mergeCell ref="G30:J30"/>
    <mergeCell ref="E97:F97"/>
    <mergeCell ref="G5:J5"/>
    <mergeCell ref="E109:F109"/>
    <mergeCell ref="E47:F47"/>
    <mergeCell ref="E139:F139"/>
    <mergeCell ref="B86:B87"/>
    <mergeCell ref="E111:F111"/>
    <mergeCell ref="K129:L129"/>
    <mergeCell ref="C63:D63"/>
    <mergeCell ref="C134:D134"/>
    <mergeCell ref="E63:F63"/>
    <mergeCell ref="G81:J81"/>
    <mergeCell ref="C50:D50"/>
    <mergeCell ref="K131:L131"/>
    <mergeCell ref="K58:L58"/>
    <mergeCell ref="C138:D138"/>
    <mergeCell ref="C76:D76"/>
    <mergeCell ref="C27:D27"/>
    <mergeCell ref="E27:F27"/>
    <mergeCell ref="C119:D119"/>
    <mergeCell ref="E119:F119"/>
    <mergeCell ref="E116:F116"/>
    <mergeCell ref="E91:F91"/>
    <mergeCell ref="G18:J18"/>
    <mergeCell ref="E85:F85"/>
    <mergeCell ref="G34:J34"/>
    <mergeCell ref="E22:F22"/>
    <mergeCell ref="E93:F93"/>
    <mergeCell ref="E122:F122"/>
    <mergeCell ref="G113:J113"/>
    <mergeCell ref="G29:J29"/>
    <mergeCell ref="C45:D45"/>
    <mergeCell ref="G100:J100"/>
    <mergeCell ref="G94:J94"/>
    <mergeCell ref="B93:B96"/>
    <mergeCell ref="G44:J44"/>
    <mergeCell ref="C109:D109"/>
    <mergeCell ref="E38:F38"/>
    <mergeCell ref="C47:D47"/>
    <mergeCell ref="G31:J31"/>
    <mergeCell ref="G102:J102"/>
    <mergeCell ref="K119:L119"/>
    <mergeCell ref="G77:J77"/>
    <mergeCell ref="C40:D40"/>
    <mergeCell ref="E40:F40"/>
    <mergeCell ref="E104:F104"/>
    <mergeCell ref="G97:J97"/>
    <mergeCell ref="C71:D71"/>
    <mergeCell ref="C8:D8"/>
    <mergeCell ref="G49:J49"/>
    <mergeCell ref="K10:L10"/>
    <mergeCell ref="C66:D66"/>
    <mergeCell ref="G24:J24"/>
    <mergeCell ref="E66:F66"/>
    <mergeCell ref="K124:L124"/>
    <mergeCell ref="C53:D53"/>
    <mergeCell ref="C102:D102"/>
    <mergeCell ref="K3:L3"/>
    <mergeCell ref="C77:D77"/>
    <mergeCell ref="G88:J88"/>
    <mergeCell ref="C68:D68"/>
    <mergeCell ref="G26:J26"/>
    <mergeCell ref="E130:F130"/>
    <mergeCell ref="E68:F68"/>
    <mergeCell ref="K86:L87"/>
    <mergeCell ref="C141:D141"/>
    <mergeCell ref="K5:L5"/>
    <mergeCell ref="E141:F141"/>
    <mergeCell ref="E135:F135"/>
    <mergeCell ref="G90:J90"/>
    <mergeCell ref="E132:F132"/>
    <mergeCell ref="E107:F107"/>
    <mergeCell ref="G115:J115"/>
    <mergeCell ref="C59:D59"/>
    <mergeCell ref="E59:F59"/>
    <mergeCell ref="C46:D46"/>
    <mergeCell ref="C21:D21"/>
    <mergeCell ref="E46:F46"/>
    <mergeCell ref="K8:L8"/>
    <mergeCell ref="G39:J39"/>
    <mergeCell ref="C61:D61"/>
    <mergeCell ref="G116:J116"/>
    <mergeCell ref="E61:F61"/>
    <mergeCell ref="C48:D48"/>
    <mergeCell ref="C23:D23"/>
    <mergeCell ref="G103:J103"/>
    <mergeCell ref="G37:J37"/>
    <mergeCell ref="C125:D125"/>
    <mergeCell ref="E54:F54"/>
    <mergeCell ref="E125:F125"/>
    <mergeCell ref="G118:J118"/>
    <mergeCell ref="E41:F41"/>
    <mergeCell ref="E112:F112"/>
    <mergeCell ref="E56:F56"/>
    <mergeCell ref="E43:F43"/>
    <mergeCell ref="C74:D74"/>
    <mergeCell ref="G63:J63"/>
    <mergeCell ref="G134:J134"/>
    <mergeCell ref="G50:J50"/>
    <mergeCell ref="C16:D16"/>
    <mergeCell ref="B88:B89"/>
    <mergeCell ref="E138:F138"/>
    <mergeCell ref="C103:D103"/>
    <mergeCell ref="K100:L100"/>
    <mergeCell ref="G52:J52"/>
    <mergeCell ref="C9:D9"/>
    <mergeCell ref="K140:L140"/>
    <mergeCell ref="C118:D118"/>
    <mergeCell ref="E9:F9"/>
    <mergeCell ref="G27:J27"/>
    <mergeCell ref="G98:J98"/>
    <mergeCell ref="K102:L102"/>
    <mergeCell ref="C11:D11"/>
    <mergeCell ref="E11:F11"/>
    <mergeCell ref="G93:J93"/>
    <mergeCell ref="C96:D96"/>
    <mergeCell ref="G124:J124"/>
    <mergeCell ref="C87:D87"/>
    <mergeCell ref="G45:J45"/>
    <mergeCell ref="C6:D6"/>
    <mergeCell ref="C62:D62"/>
    <mergeCell ref="E62:F62"/>
    <mergeCell ref="G55:J55"/>
    <mergeCell ref="C98:D98"/>
    <mergeCell ref="G109:J109"/>
    <mergeCell ref="C89:D89"/>
    <mergeCell ref="G47:J47"/>
    <mergeCell ref="K113:L113"/>
    <mergeCell ref="C116:D116"/>
    <mergeCell ref="C64:D64"/>
    <mergeCell ref="G119:J119"/>
    <mergeCell ref="E64:F64"/>
    <mergeCell ref="G46:J46"/>
    <mergeCell ref="G40:J40"/>
    <mergeCell ref="E51:F51"/>
    <mergeCell ref="G111:J111"/>
    <mergeCell ref="E128:F128"/>
    <mergeCell ref="C93:D93"/>
    <mergeCell ref="G71:J71"/>
    <mergeCell ref="E65:F65"/>
    <mergeCell ref="K59:L83"/>
    <mergeCell ref="G8:J8"/>
    <mergeCell ref="K115:L115"/>
    <mergeCell ref="C17:D17"/>
    <mergeCell ref="G10:J10"/>
    <mergeCell ref="G66:J66"/>
    <mergeCell ref="G137:J137"/>
    <mergeCell ref="G53:J53"/>
    <mergeCell ref="K141:L141"/>
    <mergeCell ref="K116:L116"/>
    <mergeCell ref="C19:D19"/>
    <mergeCell ref="G74:J74"/>
    <mergeCell ref="E75:F75"/>
    <mergeCell ref="G68:J68"/>
    <mergeCell ref="C111:D111"/>
    <mergeCell ref="G139:J139"/>
    <mergeCell ref="G114:J114"/>
    <mergeCell ref="C83:D83"/>
    <mergeCell ref="K118:L118"/>
    <mergeCell ref="E12:F12"/>
    <mergeCell ref="C14:D14"/>
    <mergeCell ref="E14:F14"/>
    <mergeCell ref="K32:L32"/>
    <mergeCell ref="K134:L134"/>
    <mergeCell ref="C137:D137"/>
    <mergeCell ref="G21:J21"/>
    <mergeCell ref="C124:D124"/>
    <mergeCell ref="G67:J67"/>
    <mergeCell ref="G61:J61"/>
    <mergeCell ref="K13:L31"/>
    <mergeCell ref="G48:J48"/>
    <mergeCell ref="G23:J23"/>
    <mergeCell ref="E90:F90"/>
    <mergeCell ref="C90:D90"/>
    <mergeCell ref="C139:D139"/>
    <mergeCell ref="G125:J125"/>
    <mergeCell ref="K98:L98"/>
    <mergeCell ref="C132:D132"/>
    <mergeCell ref="G112:J112"/>
    <mergeCell ref="G62:J62"/>
    <mergeCell ref="G127:J127"/>
    <mergeCell ref="E25:F25"/>
    <mergeCell ref="E58:F58"/>
    <mergeCell ref="C108:D108"/>
    <mergeCell ref="K9:L9"/>
    <mergeCell ref="G16:J16"/>
    <mergeCell ref="E83:F83"/>
    <mergeCell ref="G76:J76"/>
    <mergeCell ref="G138:J138"/>
    <mergeCell ref="C20:D20"/>
    <mergeCell ref="K126:L126"/>
    <mergeCell ref="K11:L11"/>
    <mergeCell ref="E20:F20"/>
    <mergeCell ref="G9:J9"/>
    <mergeCell ref="C85:D85"/>
    <mergeCell ref="G140:J140"/>
    <mergeCell ref="K109:L109"/>
    <mergeCell ref="C112:D112"/>
    <mergeCell ref="C133:D133"/>
    <mergeCell ref="C84:D84"/>
    <mergeCell ref="E13:F13"/>
    <mergeCell ref="C22:D22"/>
    <mergeCell ref="E84:F84"/>
    <mergeCell ref="G11:J11"/>
    <mergeCell ref="E78:F78"/>
    <mergeCell ref="C127:D127"/>
    <mergeCell ref="C114:D114"/>
    <mergeCell ref="K111:L111"/>
    <mergeCell ref="E114:F114"/>
    <mergeCell ref="E15:F15"/>
    <mergeCell ref="E86:F86"/>
    <mergeCell ref="C51:D51"/>
    <mergeCell ref="E80:F80"/>
    <mergeCell ref="C38:D38"/>
    <mergeCell ref="G87:J87"/>
    <mergeCell ref="E81:F81"/>
    <mergeCell ref="C140:D140"/>
    <mergeCell ref="K137:L137"/>
    <mergeCell ref="G95:J95"/>
    <mergeCell ref="G89:J89"/>
    <mergeCell ref="G64:J64"/>
    <mergeCell ref="E106:F106"/>
    <mergeCell ref="C33:D33"/>
    <mergeCell ref="K139:L139"/>
    <mergeCell ref="C104:D104"/>
    <mergeCell ref="E33:F33"/>
    <mergeCell ref="G51:J51"/>
    <mergeCell ref="B33:B57"/>
    <mergeCell ref="K114:L114"/>
    <mergeCell ref="C35:D35"/>
    <mergeCell ref="E35:F35"/>
    <mergeCell ref="C10:D10"/>
    <mergeCell ref="E10:F10"/>
    <mergeCell ref="C99:D99"/>
    <mergeCell ref="E28:F28"/>
    <mergeCell ref="E74:F74"/>
    <mergeCell ref="G42:J42"/>
    <mergeCell ref="K130:L130"/>
    <mergeCell ref="E30:F30"/>
    <mergeCell ref="G17:J17"/>
    <mergeCell ref="C130:D130"/>
    <mergeCell ref="K117:L117"/>
    <mergeCell ref="B59:B83"/>
    <mergeCell ref="K132:L132"/>
    <mergeCell ref="C135:D135"/>
    <mergeCell ref="G141:J141"/>
    <mergeCell ref="G19:J19"/>
    <mergeCell ref="C122:D122"/>
    <mergeCell ref="G6:J6"/>
    <mergeCell ref="C72:D72"/>
    <mergeCell ref="K125:L125"/>
    <mergeCell ref="G83:J83"/>
    <mergeCell ref="K112:L112"/>
    <mergeCell ref="C136:D136"/>
    <mergeCell ref="K127:L127"/>
    <mergeCell ref="E21:F21"/>
    <mergeCell ref="G14:J14"/>
    <mergeCell ref="E129:F129"/>
    <mergeCell ref="E23:F23"/>
    <mergeCell ref="G32:J32"/>
    <mergeCell ref="E131:F131"/>
    <mergeCell ref="E87:F87"/>
    <mergeCell ref="C54:D54"/>
    <mergeCell ref="G72:J72"/>
    <mergeCell ref="K138:L138"/>
    <mergeCell ref="C41:D41"/>
    <mergeCell ref="G96:J96"/>
    <mergeCell ref="C56:D56"/>
    <mergeCell ref="G136:J136"/>
    <mergeCell ref="C105:D105"/>
    <mergeCell ref="E34:F34"/>
    <mergeCell ref="C43:D43"/>
    <mergeCell ref="E105:F105"/>
    <mergeCell ref="E99:F99"/>
    <mergeCell ref="B13:B31"/>
    <mergeCell ref="C120:D120"/>
    <mergeCell ref="E49:F49"/>
    <mergeCell ref="C36:D36"/>
    <mergeCell ref="K93:L96"/>
    <mergeCell ref="E36:F36"/>
    <mergeCell ref="E101:F101"/>
    <mergeCell ref="E113:F113"/>
    <mergeCell ref="E100:F100"/>
    <mergeCell ref="C67:D67"/>
    <mergeCell ref="E136:F136"/>
    <mergeCell ref="E115:F115"/>
    <mergeCell ref="G108:J108"/>
    <mergeCell ref="E102:F102"/>
    <mergeCell ref="C69:D69"/>
    <mergeCell ref="K133:L133"/>
    <mergeCell ref="G20:J20"/>
    <mergeCell ref="G91:J91"/>
    <mergeCell ref="G85:J85"/>
    <mergeCell ref="K33:L57"/>
    <mergeCell ref="E127:F127"/>
    <mergeCell ref="C4:D4"/>
    <mergeCell ref="G84:J84"/>
    <mergeCell ref="K135:L135"/>
    <mergeCell ref="E4:F4"/>
    <mergeCell ref="G22:J22"/>
    <mergeCell ref="K122:L122"/>
    <mergeCell ref="G86:J86"/>
    <mergeCell ref="C60:D60"/>
    <mergeCell ref="G38:J38"/>
    <mergeCell ref="E26:F26"/>
    <mergeCell ref="E124:F124"/>
    <mergeCell ref="C91:D91"/>
    <mergeCell ref="E120:F120"/>
    <mergeCell ref="C82:D82"/>
    <mergeCell ref="C57:D57"/>
    <mergeCell ref="G33:J33"/>
    <mergeCell ref="K6:L6"/>
    <mergeCell ref="G104:J104"/>
    <mergeCell ref="E50:F50"/>
    <mergeCell ref="E121:F121"/>
    <mergeCell ref="C86:D86"/>
    <mergeCell ref="K90:L91"/>
    <mergeCell ref="G35:J35"/>
    <mergeCell ref="C58:D58"/>
    <mergeCell ref="E52:F52"/>
    <mergeCell ref="E123:F123"/>
    <mergeCell ref="E39:F39"/>
    <mergeCell ref="G99:J99"/>
    <mergeCell ref="E44:F44"/>
    <mergeCell ref="E103:F103"/>
    <mergeCell ref="C75:D75"/>
    <mergeCell ref="G59:J59"/>
    <mergeCell ref="G130:J130"/>
    <mergeCell ref="G117:J117"/>
    <mergeCell ref="E118:F118"/>
    <mergeCell ref="B1:N2"/>
    <mergeCell ref="C12:D12"/>
    <mergeCell ref="G132:J132"/>
    <mergeCell ref="G122:J122"/>
    <mergeCell ref="K136:L136"/>
    <mergeCell ref="G101:J101"/>
    <mergeCell ref="C70:D70"/>
    <mergeCell ref="E70:F70"/>
    <mergeCell ref="C106:D106"/>
    <mergeCell ref="K88:L89"/>
    <mergeCell ref="E57:F57"/>
    <mergeCell ref="K7:L7"/>
    <mergeCell ref="C32:D32"/>
    <mergeCell ref="C7:D7"/>
    <mergeCell ref="E32:F32"/>
    <mergeCell ref="E7:F7"/>
    <mergeCell ref="E134:F134"/>
    <mergeCell ref="E96:F96"/>
    <mergeCell ref="C101:D101"/>
    <mergeCell ref="E98:F98"/>
    <mergeCell ref="K108:L108"/>
    <mergeCell ref="G54:J54"/>
    <mergeCell ref="G41:J41"/>
    <mergeCell ref="E140:F140"/>
    <mergeCell ref="G106:J106"/>
    <mergeCell ref="G56:J56"/>
    <mergeCell ref="K85:L85"/>
    <mergeCell ref="C25:D25"/>
    <mergeCell ref="G105:J105"/>
    <mergeCell ref="G43:J43"/>
    <mergeCell ref="K84:L84"/>
    <mergeCell ref="E60:F60"/>
    <mergeCell ref="G120:J120"/>
    <mergeCell ref="G36:J36"/>
    <mergeCell ref="G107:J107"/>
    <mergeCell ref="E45:F45"/>
    <mergeCell ref="G69:J69"/>
    <mergeCell ref="C13:D13"/>
    <mergeCell ref="K4:L4"/>
    <mergeCell ref="C78:D78"/>
    <mergeCell ref="G133:J13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2F3A4A"/>
    <outlinePr summaryBelow="1" summaryRight="1"/>
    <pageSetUpPr/>
  </sheetPr>
  <dimension ref="A1:S199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25" customHeight="1"/>
  <cols>
    <col width="16" customWidth="1" style="522" min="1" max="1"/>
    <col width="24" customWidth="1" style="468" min="2" max="2"/>
    <col width="12" customWidth="1" style="468" min="3" max="3"/>
    <col width="14" customWidth="1" style="468" min="4" max="6"/>
    <col width="8" customWidth="1" style="468" min="5" max="5"/>
    <col width="13" customWidth="1" style="468" min="6" max="6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  <col hidden="1" width="14" customWidth="1" style="468" min="14" max="14"/>
    <col hidden="1" width="13" customWidth="1" style="468" min="15" max="15"/>
    <col width="45" customWidth="1" style="468" min="16" max="16"/>
    <col width="13" customWidth="1" style="468" min="17" max="21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4.25" customHeight="1" s="468">
      <c r="A2" s="630" t="inlineStr">
        <is>
          <t>Preencha produto, embalagem e caixas. As demais colunas ajudam a leitura diária.</t>
        </is>
      </c>
      <c r="G2" t="inlineStr">
        <is>
          <t>Legenda: verde = acima da meta • vermelho = abaixo da meta</t>
        </is>
      </c>
      <c r="P2" s="29" t="inlineStr">
        <is>
          <t>Pallet PBR: 600ml=95 | 400ml=125 | 200ml=330 | 180ml=240 cx</t>
        </is>
      </c>
    </row>
    <row r="3" ht="19.5" customHeight="1" s="468">
      <c r="A3" s="631" t="n">
        <v>46055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  <c r="N3" s="36" t="n"/>
    </row>
    <row r="4" ht="14.25" customHeight="1" s="468">
      <c r="A4" s="634" t="n"/>
      <c r="B4" s="38" t="n"/>
      <c r="C4" s="39" t="n"/>
      <c r="D4" s="40" t="n"/>
      <c r="E4" s="41" t="n"/>
      <c r="F4" s="552" t="n"/>
      <c r="G4" s="40" t="n"/>
      <c r="H4" s="43" t="n"/>
      <c r="I4" s="44" t="n"/>
      <c r="J4" s="40" t="n"/>
      <c r="K4" s="552" t="n"/>
      <c r="L4" s="43">
        <f>IF(H4="","",H4)</f>
        <v/>
      </c>
      <c r="M4" s="552" t="n"/>
      <c r="N4" s="44">
        <f>IF(I4="","",I4)</f>
        <v/>
      </c>
    </row>
    <row r="5" ht="14.25" customHeight="1" s="468">
      <c r="A5" s="635" t="n">
        <v>600</v>
      </c>
      <c r="B5" s="47" t="inlineStr">
        <is>
          <t>ALLBREAD</t>
        </is>
      </c>
      <c r="C5" s="48" t="n">
        <v>600</v>
      </c>
      <c r="D5" s="49">
        <f>'SEMANA JANEIRO'!D174-'SEMANA JANEIRO'!L174</f>
        <v/>
      </c>
      <c r="E5" s="50" t="inlineStr">
        <is>
          <t>CX</t>
        </is>
      </c>
      <c r="F5" s="552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49">
        <f>IFERROR(ROUNDUP(D5/F5,0),"")</f>
        <v/>
      </c>
      <c r="H5" s="52" t="n">
        <v>438</v>
      </c>
      <c r="I5" s="53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636">
        <f>IF(D5="","",ROUNDUP(D5/IF(AND(C5="600 ml",ISNUMBER(SEARCH("NORCAU",B5))),95,IF(AND(C5="600 ml",ISNUMBER(SEARCH("APURATOS",B5))),190,IF(C5="600 ml",95,IF(C5="400 ml",125,IF(C5="200 ml",330,IF(C5="180 ml",240,1)))))),0))</f>
        <v/>
      </c>
      <c r="K5" s="552" t="n"/>
      <c r="L5" s="55">
        <f>IF(H5="","",H5)</f>
        <v/>
      </c>
      <c r="M5" s="637" t="n"/>
      <c r="N5" s="57">
        <f>IF(I5="","",I5)</f>
        <v/>
      </c>
    </row>
    <row r="6" ht="14.25" customHeight="1" s="468">
      <c r="A6" s="638" t="n"/>
      <c r="B6" s="38" t="inlineStr">
        <is>
          <t>UNTA FACIL</t>
        </is>
      </c>
      <c r="C6" s="39" t="n">
        <v>600</v>
      </c>
      <c r="D6" s="40" t="n">
        <v>1330</v>
      </c>
      <c r="E6" s="41" t="inlineStr">
        <is>
          <t>CX</t>
        </is>
      </c>
      <c r="F6" s="552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40">
        <f>IFERROR(ROUNDUP(D6/F6,0),"")</f>
        <v/>
      </c>
      <c r="H6" s="43" t="n">
        <v>506</v>
      </c>
      <c r="I6" s="44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40">
        <f>IF(D6="","",ROUNDUP(D6/IF(AND(C6="600 ml",ISNUMBER(SEARCH("NORCAU",B6))),95,IF(AND(C6="600 ml",ISNUMBER(SEARCH("APURATOS",B6))),190,IF(C6="600 ml",95,IF(C6="400 ml",125,IF(C6="200 ml",330,IF(C6="180 ml",240,1)))))),0))</f>
        <v/>
      </c>
      <c r="K6" s="552" t="n"/>
      <c r="L6" s="43">
        <f>IF(H6="","",H6)</f>
        <v/>
      </c>
      <c r="M6" s="637" t="n"/>
      <c r="N6" s="44">
        <f>IF(I6="","",I6)</f>
        <v/>
      </c>
    </row>
    <row r="7" ht="14.25" customHeight="1" s="468">
      <c r="A7" s="634" t="n"/>
      <c r="B7" s="47" t="n"/>
      <c r="C7" s="48" t="n"/>
      <c r="D7" s="49" t="n"/>
      <c r="E7" s="50" t="inlineStr">
        <is>
          <t>CX</t>
        </is>
      </c>
      <c r="F7" s="552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49">
        <f>IFERROR(ROUNDUP(D7/F7,0),"")</f>
        <v/>
      </c>
      <c r="H7" s="52" t="n"/>
      <c r="I7" s="53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636">
        <f>IF(D7="","",ROUNDUP(D7/IF(AND(C7="600 ml",ISNUMBER(SEARCH("NORCAU",B7))),95,IF(AND(C7="600 ml",ISNUMBER(SEARCH("APURATOS",B7))),190,IF(C7="600 ml",95,IF(C7="400 ml",125,IF(C7="200 ml",330,IF(C7="180 ml",240,1)))))),0))</f>
        <v/>
      </c>
      <c r="K7" s="552" t="n"/>
      <c r="L7" s="55">
        <f>IF(H7="","",H7)</f>
        <v/>
      </c>
      <c r="M7" s="552" t="n"/>
      <c r="N7" s="57">
        <f>IF(I7="","",I7)</f>
        <v/>
      </c>
    </row>
    <row r="8" ht="14.25" customHeight="1" s="468">
      <c r="A8" s="634" t="n"/>
      <c r="B8" s="38" t="n"/>
      <c r="C8" s="39" t="n"/>
      <c r="D8" s="40" t="n"/>
      <c r="E8" s="41" t="n"/>
      <c r="F8" s="552" t="n"/>
      <c r="G8" s="40" t="n"/>
      <c r="H8" s="43" t="n"/>
      <c r="I8" s="44" t="n"/>
      <c r="J8" s="40">
        <f>IF(D8="","",ROUNDUP(D8/IF(AND(C8="600 ml",ISNUMBER(SEARCH("NORCAU",B8))),95,IF(AND(C8="600 ml",ISNUMBER(SEARCH("APURATOS",B8))),190,IF(C8="600 ml",95,IF(C8="400 ml",125,IF(C8="200 ml",330,IF(C8="180 ml",240,1)))))),0))</f>
        <v/>
      </c>
      <c r="K8" s="552" t="n"/>
      <c r="L8" s="43">
        <f>IF(H8="","",H8)</f>
        <v/>
      </c>
      <c r="M8" s="552" t="n"/>
      <c r="N8" s="44">
        <f>IF(I8="","",I8)</f>
        <v/>
      </c>
    </row>
    <row r="9" ht="14.25" customHeight="1" s="468">
      <c r="A9" s="639" t="n"/>
      <c r="B9" s="640" t="inlineStr">
        <is>
          <t>TOTAL</t>
        </is>
      </c>
      <c r="C9" s="641" t="n"/>
      <c r="D9" s="642">
        <f>IF(J9="","",TEXT(J9,"#,##0"))</f>
        <v/>
      </c>
      <c r="E9" s="643" t="n"/>
      <c r="F9" s="644" t="n"/>
      <c r="G9" s="642">
        <f>IF(K9="","",TEXT(K9,"#,##0"))</f>
        <v/>
      </c>
      <c r="H9" s="642">
        <f>IF(L9="","",TEXT(L9,"#,##0"))</f>
        <v/>
      </c>
      <c r="I9" s="642">
        <f>IF(M9="","",TEXT(M9,"#,##0"))</f>
        <v/>
      </c>
      <c r="J9" s="645">
        <f>SUM(D4:D8)</f>
        <v/>
      </c>
      <c r="K9" s="644">
        <f>SUM(G4:G8)</f>
        <v/>
      </c>
      <c r="L9" s="645">
        <f>SUM(H4:H8)</f>
        <v/>
      </c>
      <c r="M9" s="644">
        <f>SUM(I4:I8)</f>
        <v/>
      </c>
      <c r="N9" s="69">
        <f>IF(I9="","",I9)</f>
        <v/>
      </c>
      <c r="O9">
        <f>SUM(N5:N8)</f>
        <v/>
      </c>
    </row>
    <row r="10" ht="14.25" customHeight="1" s="468">
      <c r="A10" s="638" t="n"/>
      <c r="B10" s="70" t="n"/>
      <c r="C10" s="71" t="n"/>
      <c r="D10" s="552" t="n"/>
      <c r="F10" s="552" t="n"/>
      <c r="G10" s="552" t="n"/>
      <c r="H10" s="552" t="n"/>
      <c r="I10" s="552" t="n"/>
      <c r="J10" s="552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K10" s="552" t="n"/>
      <c r="L10" s="552">
        <f>IF(H10="","",H10)</f>
        <v/>
      </c>
      <c r="M10" s="552" t="n"/>
      <c r="N10">
        <f>IF(I10="","",I10)</f>
        <v/>
      </c>
    </row>
    <row r="11" ht="19.5" customHeight="1" s="468">
      <c r="A11" s="646" t="n">
        <v>46056</v>
      </c>
      <c r="B11" s="30" t="inlineStr">
        <is>
          <t>PRODUTO</t>
        </is>
      </c>
      <c r="C11" s="31" t="inlineStr">
        <is>
          <t>EMBALAGEM</t>
        </is>
      </c>
      <c r="D11" s="647" t="inlineStr">
        <is>
          <t>CAIXAS</t>
        </is>
      </c>
      <c r="E11" s="32" t="inlineStr">
        <is>
          <t>UN</t>
        </is>
      </c>
      <c r="F11" s="648" t="inlineStr">
        <is>
          <t>CX/PALLET</t>
        </is>
      </c>
      <c r="G11" s="647" t="inlineStr">
        <is>
          <t>PALLETS (PBR)</t>
        </is>
      </c>
      <c r="H11" s="647" t="inlineStr">
        <is>
          <t>REAL (CX)</t>
        </is>
      </c>
      <c r="I11" s="649" t="inlineStr">
        <is>
          <t>TOTAL LATAS</t>
        </is>
      </c>
      <c r="J11" s="650" t="n"/>
      <c r="K11" s="650" t="n"/>
      <c r="L11" s="651" t="n"/>
      <c r="M11" s="650" t="n"/>
      <c r="N11" s="36" t="n"/>
    </row>
    <row r="12" ht="15" customHeight="1" s="468">
      <c r="A12" s="634" t="n"/>
      <c r="B12" s="38" t="n"/>
      <c r="C12" s="39" t="n"/>
      <c r="D12" s="40" t="n"/>
      <c r="E12" s="41" t="n"/>
      <c r="F12" s="552" t="n"/>
      <c r="G12" s="40" t="n"/>
      <c r="H12" s="43" t="n"/>
      <c r="I12" s="44" t="n"/>
      <c r="J12" s="40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K12" s="552" t="n"/>
      <c r="L12" s="43">
        <f>IF(H12="","",H12)</f>
        <v/>
      </c>
      <c r="M12" s="552" t="n"/>
      <c r="N12" s="44">
        <f>IF(I12="","",I12)</f>
        <v/>
      </c>
      <c r="P12" s="516" t="inlineStr">
        <is>
          <t>PARAMOS ÀS 11:20, GÁS ACABOU. VOLTAMOS 15:00.</t>
        </is>
      </c>
      <c r="Q12" s="462" t="n"/>
      <c r="R12" s="462" t="n"/>
      <c r="S12" s="463" t="n"/>
    </row>
    <row r="13" ht="14.25" customHeight="1" s="468">
      <c r="A13" s="635" t="n">
        <v>600</v>
      </c>
      <c r="B13" s="47" t="inlineStr">
        <is>
          <t>UNTA FACIL</t>
        </is>
      </c>
      <c r="C13" s="48" t="n">
        <v>600</v>
      </c>
      <c r="D13" s="49">
        <f>D6-L6</f>
        <v/>
      </c>
      <c r="E13" s="50" t="inlineStr">
        <is>
          <t>CX</t>
        </is>
      </c>
      <c r="F13" s="552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49">
        <f>IFERROR(ROUNDUP(D13/F13,0),"")</f>
        <v/>
      </c>
      <c r="H13" s="52" t="n">
        <v>702</v>
      </c>
      <c r="I13" s="53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636">
        <f>IF(D13="","",ROUNDUP(D13/IF(AND(C13="600 ml",ISNUMBER(SEARCH("NORCAU",B13))),95,IF(AND(C13="600 ml",ISNUMBER(SEARCH("APURATOS",B13))),190,IF(C13="600 ml",95,IF(C13="400 ml",125,IF(C13="200 ml",330,IF(C13="180 ml",240,1)))))),0))</f>
        <v/>
      </c>
      <c r="K13" s="552" t="n"/>
      <c r="L13" s="55">
        <f>IF(H13="","",H13)</f>
        <v/>
      </c>
      <c r="M13" s="637" t="n"/>
      <c r="N13" s="57">
        <f>IF(I13="","",I13)</f>
        <v/>
      </c>
      <c r="P13" s="523" t="n"/>
      <c r="S13" s="514" t="n"/>
    </row>
    <row r="14" ht="14.25" customHeight="1" s="468">
      <c r="A14" s="638" t="n"/>
      <c r="B14" s="38" t="n"/>
      <c r="C14" s="39" t="n"/>
      <c r="D14" s="40" t="n"/>
      <c r="E14" s="41" t="inlineStr">
        <is>
          <t>CX</t>
        </is>
      </c>
      <c r="F14" s="552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40">
        <f>IFERROR(ROUNDUP(D14/F14,0),"")</f>
        <v/>
      </c>
      <c r="H14" s="43" t="n"/>
      <c r="I14" s="44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40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K14" s="552" t="n"/>
      <c r="L14" s="43">
        <f>IF(H14="","",H14)</f>
        <v/>
      </c>
      <c r="M14" s="637" t="n"/>
      <c r="N14" s="44">
        <f>IF(I14="","",I14)</f>
        <v/>
      </c>
      <c r="P14" s="464" t="n"/>
      <c r="Q14" s="465" t="n"/>
      <c r="R14" s="465" t="n"/>
      <c r="S14" s="466" t="n"/>
    </row>
    <row r="15" ht="14.25" customHeight="1" s="468">
      <c r="A15" s="634" t="n"/>
      <c r="B15" s="47" t="n"/>
      <c r="C15" s="48" t="n"/>
      <c r="D15" s="49" t="n"/>
      <c r="E15" s="50" t="inlineStr">
        <is>
          <t>CX</t>
        </is>
      </c>
      <c r="F15" s="552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49">
        <f>IFERROR(ROUNDUP(D15/F15,0),"")</f>
        <v/>
      </c>
      <c r="H15" s="52" t="n"/>
      <c r="I15" s="53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636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K15" s="552" t="n"/>
      <c r="L15" s="55">
        <f>IF(H15="","",H15)</f>
        <v/>
      </c>
      <c r="M15" s="552" t="n"/>
      <c r="N15" s="57">
        <f>IF(I15="","",I15)</f>
        <v/>
      </c>
    </row>
    <row r="16" ht="14.25" customHeight="1" s="468">
      <c r="A16" s="634" t="n"/>
      <c r="B16" s="38" t="n"/>
      <c r="C16" s="39" t="n"/>
      <c r="D16" s="40" t="n"/>
      <c r="E16" s="41" t="n"/>
      <c r="F16" s="552" t="n"/>
      <c r="G16" s="40" t="n"/>
      <c r="H16" s="43" t="n"/>
      <c r="I16" s="44" t="n"/>
      <c r="J16" s="40">
        <f>IF(D16="","",ROUNDUP(D16/IF(AND(C16="600 ml",ISNUMBER(SEARCH("NORCAU",B16))),95,IF(AND(C16="600 ml",ISNUMBER(SEARCH("APURATOS",B16))),190,IF(C16="600 ml",95,IF(C16="400 ml",125,IF(C16="200 ml",330,IF(C16="180 ml",240,1)))))),0))</f>
        <v/>
      </c>
      <c r="K16" s="552" t="n"/>
      <c r="L16" s="43">
        <f>IF(H16="","",H16)</f>
        <v/>
      </c>
      <c r="M16" s="552" t="n"/>
      <c r="N16" s="44">
        <f>IF(I16="","",I16)</f>
        <v/>
      </c>
    </row>
    <row r="17" ht="14.25" customHeight="1" s="468">
      <c r="A17" s="639" t="n"/>
      <c r="B17" s="640" t="inlineStr">
        <is>
          <t>TOTAL</t>
        </is>
      </c>
      <c r="C17" s="641" t="n"/>
      <c r="D17" s="642">
        <f>IF(J17="","",TEXT(J17,"#,##0"))</f>
        <v/>
      </c>
      <c r="E17" s="643" t="n"/>
      <c r="F17" s="644" t="n"/>
      <c r="G17" s="642">
        <f>IF(K17="","",TEXT(K17,"#,##0"))</f>
        <v/>
      </c>
      <c r="H17" s="642">
        <f>IF(L17="","",TEXT(L17,"#,##0"))</f>
        <v/>
      </c>
      <c r="I17" s="642">
        <f>IF(M17="","",TEXT(M17,"#,##0"))</f>
        <v/>
      </c>
      <c r="J17" s="645">
        <f>SUM(D12:D16)</f>
        <v/>
      </c>
      <c r="K17" s="644">
        <f>SUM(G12:G16)</f>
        <v/>
      </c>
      <c r="L17" s="645">
        <f>SUM(H12:H16)</f>
        <v/>
      </c>
      <c r="M17" s="644">
        <f>SUM(I12:I16)</f>
        <v/>
      </c>
      <c r="N17" s="69">
        <f>IF(I17="","",I17)</f>
        <v/>
      </c>
      <c r="O17">
        <f>SUM(N13:N16)</f>
        <v/>
      </c>
    </row>
    <row r="18" ht="14.25" customHeight="1" s="468">
      <c r="A18" s="638" t="n"/>
      <c r="B18" s="82" t="n"/>
      <c r="C18" s="83" t="n"/>
      <c r="D18" s="650" t="n"/>
      <c r="E18" s="462" t="n"/>
      <c r="F18" s="650" t="n"/>
      <c r="G18" s="650" t="n"/>
      <c r="H18" s="650" t="n"/>
      <c r="I18" s="656" t="n"/>
      <c r="J18" s="552">
        <f>IF(D18="","",ROUNDUP(D18/IF(AND(C18="600 ml",ISNUMBER(SEARCH("NORCAU",B18))),95,IF(AND(C18="600 ml",ISNUMBER(SEARCH("APURATOS",B18))),190,IF(C18="600 ml",95,IF(C18="400 ml",125,IF(C18="200 ml",330,IF(C18="180 ml",240,1)))))),0))</f>
        <v/>
      </c>
      <c r="K18" s="552" t="n"/>
      <c r="L18" s="552">
        <f>IF(H18="","",H18)</f>
        <v/>
      </c>
      <c r="M18" s="552" t="n"/>
      <c r="N18">
        <f>IF(I18="","",I18)</f>
        <v/>
      </c>
    </row>
    <row r="19" ht="19.5" customHeight="1" s="468">
      <c r="A19" s="646" t="n">
        <v>46057</v>
      </c>
      <c r="B19" s="30" t="inlineStr">
        <is>
          <t>PRODUTO</t>
        </is>
      </c>
      <c r="C19" s="31" t="inlineStr">
        <is>
          <t>EMBALAGEM</t>
        </is>
      </c>
      <c r="D19" s="647" t="inlineStr">
        <is>
          <t>CAIXAS</t>
        </is>
      </c>
      <c r="E19" s="32" t="inlineStr">
        <is>
          <t>UN</t>
        </is>
      </c>
      <c r="F19" s="648" t="inlineStr">
        <is>
          <t>CX/PALLET</t>
        </is>
      </c>
      <c r="G19" s="647" t="inlineStr">
        <is>
          <t>PALLETS (PBR)</t>
        </is>
      </c>
      <c r="H19" s="647" t="inlineStr">
        <is>
          <t>REAL (CX)</t>
        </is>
      </c>
      <c r="I19" s="649" t="inlineStr">
        <is>
          <t>TOTAL LATAS</t>
        </is>
      </c>
      <c r="J19" s="650" t="n"/>
      <c r="K19" s="650" t="n"/>
      <c r="L19" s="651" t="n"/>
      <c r="M19" s="650" t="n"/>
      <c r="N19" s="36" t="n"/>
    </row>
    <row r="20" ht="15" customHeight="1" s="468">
      <c r="A20" s="634" t="n"/>
      <c r="B20" s="38" t="n"/>
      <c r="C20" s="39" t="n"/>
      <c r="D20" s="40" t="n"/>
      <c r="E20" s="41" t="n"/>
      <c r="F20" s="552" t="n"/>
      <c r="G20" s="40" t="n"/>
      <c r="H20" s="43" t="n"/>
      <c r="I20" s="44" t="n"/>
      <c r="J20" s="40">
        <f>IF(D20="","",ROUNDUP(D20/IF(AND(C20="600 ml",ISNUMBER(SEARCH("NORCAU",B20))),95,IF(AND(C20="600 ml",ISNUMBER(SEARCH("APURATOS",B20))),190,IF(C20="600 ml",95,IF(C20="400 ml",125,IF(C20="200 ml",330,IF(C20="180 ml",240,1)))))),0))</f>
        <v/>
      </c>
      <c r="K20" s="552" t="n"/>
      <c r="L20" s="43">
        <f>IF(H20="","",H20)</f>
        <v/>
      </c>
      <c r="M20" s="552" t="n"/>
      <c r="N20" s="44">
        <f>IF(I20="","",I20)</f>
        <v/>
      </c>
      <c r="P20" s="516" t="inlineStr">
        <is>
          <t>PARAMOS ÀS 10:00, GÁS ACABOU. VOLTAMOS 13:00.</t>
        </is>
      </c>
      <c r="Q20" s="462" t="n"/>
      <c r="R20" s="462" t="n"/>
      <c r="S20" s="463" t="n"/>
    </row>
    <row r="21" ht="14.25" customHeight="1" s="468">
      <c r="A21" s="635" t="n">
        <v>600</v>
      </c>
      <c r="B21" s="47" t="inlineStr">
        <is>
          <t>UNTA FACIL</t>
        </is>
      </c>
      <c r="C21" s="48" t="n">
        <v>600</v>
      </c>
      <c r="D21" s="49">
        <f>D13-L13</f>
        <v/>
      </c>
      <c r="E21" s="50" t="inlineStr">
        <is>
          <t>CX</t>
        </is>
      </c>
      <c r="F21" s="552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49">
        <f>IFERROR(ROUNDUP(D21/F21,0),"")</f>
        <v/>
      </c>
      <c r="H21" s="52" t="n">
        <v>139</v>
      </c>
      <c r="I21" s="53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636">
        <f>IF(D21="","",ROUNDUP(D21/IF(AND(C21="600 ml",ISNUMBER(SEARCH("NORCAU",B21))),95,IF(AND(C21="600 ml",ISNUMBER(SEARCH("APURATOS",B21))),190,IF(C21="600 ml",95,IF(C21="400 ml",125,IF(C21="200 ml",330,IF(C21="180 ml",240,1)))))),0))</f>
        <v/>
      </c>
      <c r="K21" s="552" t="n"/>
      <c r="L21" s="55">
        <f>IF(H21="","",H21)</f>
        <v/>
      </c>
      <c r="M21" s="637" t="n"/>
      <c r="N21" s="57">
        <f>IF(I21="","",I21)</f>
        <v/>
      </c>
      <c r="P21" s="523" t="n"/>
      <c r="S21" s="514" t="n"/>
    </row>
    <row r="22" ht="14.25" customHeight="1" s="468">
      <c r="A22" s="638" t="n"/>
      <c r="B22" s="38" t="inlineStr">
        <is>
          <t>PURATOS</t>
        </is>
      </c>
      <c r="C22" s="39" t="n">
        <v>600</v>
      </c>
      <c r="D22" s="40" t="n">
        <v>1330</v>
      </c>
      <c r="E22" s="41" t="inlineStr">
        <is>
          <t>CX</t>
        </is>
      </c>
      <c r="F22" s="552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40">
        <f>IFERROR(ROUNDUP(D22/F22,0),"")</f>
        <v/>
      </c>
      <c r="H22" s="43" t="n">
        <v>1055</v>
      </c>
      <c r="I22" s="44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40">
        <f>IF(D22="","",ROUNDUP(D22/IF(AND(C22="600 ml",ISNUMBER(SEARCH("NORCAU",B22))),95,IF(AND(C22="600 ml",ISNUMBER(SEARCH("APURATOS",B22))),190,IF(C22="600 ml",95,IF(C22="400 ml",125,IF(C22="200 ml",330,IF(C22="180 ml",240,1)))))),0))</f>
        <v/>
      </c>
      <c r="K22" s="552" t="n"/>
      <c r="L22" s="43">
        <f>IF(H22="","",H22)</f>
        <v/>
      </c>
      <c r="M22" s="637" t="n"/>
      <c r="N22" s="44">
        <f>IF(I22="","",I22)</f>
        <v/>
      </c>
      <c r="P22" s="464" t="n"/>
      <c r="Q22" s="465" t="n"/>
      <c r="R22" s="465" t="n"/>
      <c r="S22" s="466" t="n"/>
    </row>
    <row r="23" ht="14.25" customHeight="1" s="468">
      <c r="A23" s="634" t="n"/>
      <c r="B23" s="47" t="n"/>
      <c r="C23" s="48" t="n"/>
      <c r="D23" s="49" t="n"/>
      <c r="E23" s="50" t="inlineStr">
        <is>
          <t>CX</t>
        </is>
      </c>
      <c r="F23" s="552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49">
        <f>IFERROR(ROUNDUP(D23/F23,0),"")</f>
        <v/>
      </c>
      <c r="H23" s="52" t="n"/>
      <c r="I23" s="53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636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K23" s="552" t="n"/>
      <c r="L23" s="55">
        <f>IF(H23="","",H23)</f>
        <v/>
      </c>
      <c r="M23" s="552" t="n"/>
      <c r="N23" s="57">
        <f>IF(I23="","",I23)</f>
        <v/>
      </c>
    </row>
    <row r="24" ht="14.25" customHeight="1" s="468">
      <c r="A24" s="634" t="n"/>
      <c r="B24" s="38" t="n"/>
      <c r="C24" s="39" t="n"/>
      <c r="D24" s="40" t="n"/>
      <c r="E24" s="41" t="n"/>
      <c r="F24" s="552" t="n"/>
      <c r="G24" s="40" t="n"/>
      <c r="H24" s="43" t="n"/>
      <c r="I24" s="44" t="n"/>
      <c r="J24" s="40">
        <f>IF(D24="","",ROUNDUP(D24/IF(AND(C24="600 ml",ISNUMBER(SEARCH("NORCAU",B24))),95,IF(AND(C24="600 ml",ISNUMBER(SEARCH("APURATOS",B24))),190,IF(C24="600 ml",95,IF(C24="400 ml",125,IF(C24="200 ml",330,IF(C24="180 ml",240,1)))))),0))</f>
        <v/>
      </c>
      <c r="K24" s="552" t="n"/>
      <c r="L24" s="43">
        <f>IF(H24="","",H24)</f>
        <v/>
      </c>
      <c r="M24" s="552" t="n"/>
      <c r="N24" s="44">
        <f>IF(I24="","",I24)</f>
        <v/>
      </c>
    </row>
    <row r="25" ht="14.25" customHeight="1" s="468">
      <c r="A25" s="639" t="n"/>
      <c r="B25" s="640" t="inlineStr">
        <is>
          <t>TOTAL</t>
        </is>
      </c>
      <c r="C25" s="641" t="n"/>
      <c r="D25" s="642">
        <f>IF(J25="","",TEXT(J25,"#,##0"))</f>
        <v/>
      </c>
      <c r="E25" s="643" t="n"/>
      <c r="F25" s="644" t="n"/>
      <c r="G25" s="642">
        <f>IF(K25="","",TEXT(K25,"#,##0"))</f>
        <v/>
      </c>
      <c r="H25" s="642">
        <f>IF(L25="","",TEXT(L25,"#,##0"))</f>
        <v/>
      </c>
      <c r="I25" s="642">
        <f>IF(M25="","",TEXT(M25,"#,##0"))</f>
        <v/>
      </c>
      <c r="J25" s="645">
        <f>SUM(D20:D24)</f>
        <v/>
      </c>
      <c r="K25" s="644">
        <f>SUM(G20:G24)</f>
        <v/>
      </c>
      <c r="L25" s="645">
        <f>SUM(H20:H24)</f>
        <v/>
      </c>
      <c r="M25" s="644">
        <f>SUM(I20:I24)</f>
        <v/>
      </c>
      <c r="N25" s="69">
        <f>IF(I25="","",I25)</f>
        <v/>
      </c>
      <c r="O25">
        <f>SUM(N21:N24)</f>
        <v/>
      </c>
    </row>
    <row r="26" ht="14.25" customHeight="1" s="468">
      <c r="A26" s="638" t="n"/>
      <c r="B26" s="70" t="n"/>
      <c r="C26" s="71" t="n"/>
      <c r="D26" s="552" t="n"/>
      <c r="F26" s="552" t="n"/>
      <c r="G26" s="552" t="n"/>
      <c r="H26" s="552" t="n"/>
      <c r="I26" s="552" t="n"/>
      <c r="J26" s="552">
        <f>IF(D26="","",ROUNDUP(D26/IF(AND(C26="600 ml",ISNUMBER(SEARCH("NORCAU",B26))),95,IF(AND(C26="600 ml",ISNUMBER(SEARCH("APURATOS",B26))),190,IF(C26="600 ml",95,IF(C26="400 ml",125,IF(C26="200 ml",330,IF(C26="180 ml",240,1)))))),0))</f>
        <v/>
      </c>
      <c r="K26" s="552" t="n"/>
      <c r="L26" s="552">
        <f>IF(H26="","",H26)</f>
        <v/>
      </c>
      <c r="M26" s="552" t="n"/>
      <c r="N26">
        <f>IF(I26="","",I26)</f>
        <v/>
      </c>
    </row>
    <row r="27" ht="19.5" customHeight="1" s="468">
      <c r="A27" s="646" t="n">
        <v>46058</v>
      </c>
      <c r="B27" s="30" t="inlineStr">
        <is>
          <t>PRODUTO</t>
        </is>
      </c>
      <c r="C27" s="31" t="inlineStr">
        <is>
          <t>EMBALAGEM</t>
        </is>
      </c>
      <c r="D27" s="647" t="inlineStr">
        <is>
          <t>CAIXAS</t>
        </is>
      </c>
      <c r="E27" s="32" t="inlineStr">
        <is>
          <t>UN</t>
        </is>
      </c>
      <c r="F27" s="648" t="inlineStr">
        <is>
          <t>CX/PALLET</t>
        </is>
      </c>
      <c r="G27" s="647" t="inlineStr">
        <is>
          <t>PALLETS (PBR)</t>
        </is>
      </c>
      <c r="H27" s="647" t="inlineStr">
        <is>
          <t>REAL (CX)</t>
        </is>
      </c>
      <c r="I27" s="649" t="inlineStr">
        <is>
          <t>TOTAL LATAS</t>
        </is>
      </c>
      <c r="J27" s="650" t="n"/>
      <c r="K27" s="650" t="n"/>
      <c r="L27" s="651" t="n"/>
      <c r="M27" s="650" t="n"/>
      <c r="N27" s="36" t="n"/>
    </row>
    <row r="28" ht="15" customHeight="1" s="468">
      <c r="A28" s="634" t="n"/>
      <c r="B28" s="38" t="n"/>
      <c r="C28" s="39" t="n"/>
      <c r="D28" s="40" t="n"/>
      <c r="E28" s="41" t="n"/>
      <c r="F28" s="552" t="n"/>
      <c r="G28" s="40" t="n"/>
      <c r="H28" s="43" t="n"/>
      <c r="I28" s="44" t="n"/>
      <c r="J28" s="40">
        <f>IF(D28="","",ROUNDUP(D28/IF(AND(C28="600 ml",ISNUMBER(SEARCH("NORCAU",B28))),95,IF(AND(C28="600 ml",ISNUMBER(SEARCH("APURATOS",B28))),190,IF(C28="600 ml",95,IF(C28="400 ml",125,IF(C28="200 ml",330,IF(C28="180 ml",240,1)))))),0))</f>
        <v/>
      </c>
      <c r="K28" s="552" t="n"/>
      <c r="L28" s="43">
        <f>IF(H28="","",H28)</f>
        <v/>
      </c>
      <c r="M28" s="552" t="n"/>
      <c r="N28" s="44">
        <f>IF(I28="","",I28)</f>
        <v/>
      </c>
      <c r="P28" s="516" t="inlineStr">
        <is>
          <t>PARAMOS ÀS 13:30, AS DUAS BOMBAS DE GÁS PARARAM.</t>
        </is>
      </c>
      <c r="Q28" s="462" t="n"/>
      <c r="R28" s="462" t="n"/>
      <c r="S28" s="463" t="n"/>
    </row>
    <row r="29" ht="15" customHeight="1" s="468">
      <c r="A29" s="635" t="n">
        <v>600</v>
      </c>
      <c r="B29" s="47" t="inlineStr">
        <is>
          <t>PURATOS</t>
        </is>
      </c>
      <c r="C29" s="48" t="n">
        <v>600</v>
      </c>
      <c r="D29" s="49">
        <f>D22-L22</f>
        <v/>
      </c>
      <c r="E29" s="50" t="inlineStr">
        <is>
          <t>CX</t>
        </is>
      </c>
      <c r="F29" s="552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49">
        <f>IFERROR(ROUNDUP(D29/F29,0),"")</f>
        <v/>
      </c>
      <c r="H29" s="52" t="n">
        <v>357</v>
      </c>
      <c r="I29" s="53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636">
        <f>IF(D29="","",ROUNDUP(D29/IF(AND(C29="600 ml",ISNUMBER(SEARCH("NORCAU",B29))),95,IF(AND(C29="600 ml",ISNUMBER(SEARCH("APURATOS",B29))),190,IF(C29="600 ml",95,IF(C29="400 ml",125,IF(C29="200 ml",330,IF(C29="180 ml",240,1)))))),0))</f>
        <v/>
      </c>
      <c r="K29" s="552" t="n"/>
      <c r="L29" s="55">
        <f>IF(H29="","",H29)</f>
        <v/>
      </c>
      <c r="M29" s="637" t="n"/>
      <c r="N29" s="57">
        <f>IF(I29="","",I29)</f>
        <v/>
      </c>
      <c r="P29" s="523" t="n"/>
      <c r="S29" s="514" t="n"/>
    </row>
    <row r="30" ht="15" customHeight="1" s="468">
      <c r="A30" s="638" t="n"/>
      <c r="B30" s="38" t="inlineStr">
        <is>
          <t>ITAIQUARA</t>
        </is>
      </c>
      <c r="C30" s="39" t="n">
        <v>600</v>
      </c>
      <c r="D30" s="40" t="n">
        <v>190</v>
      </c>
      <c r="E30" s="41" t="inlineStr">
        <is>
          <t>CX</t>
        </is>
      </c>
      <c r="F30" s="552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40">
        <f>IFERROR(ROUNDUP(D30/F30,0),"")</f>
        <v/>
      </c>
      <c r="H30" s="43" t="n">
        <v>117</v>
      </c>
      <c r="I30" s="44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40">
        <f>IF(D30="","",ROUNDUP(D30/IF(AND(C30="600 ml",ISNUMBER(SEARCH("NORCAU",B30))),95,IF(AND(C30="600 ml",ISNUMBER(SEARCH("APURATOS",B30))),190,IF(C30="600 ml",95,IF(C30="400 ml",125,IF(C30="200 ml",330,IF(C30="180 ml",240,1)))))),0))</f>
        <v/>
      </c>
      <c r="K30" s="552" t="n"/>
      <c r="L30" s="43">
        <f>IF(H30="","",H30)</f>
        <v/>
      </c>
      <c r="M30" s="637" t="n"/>
      <c r="N30" s="44">
        <f>IF(I30="","",I30)</f>
        <v/>
      </c>
      <c r="P30" s="464" t="n"/>
      <c r="Q30" s="465" t="n"/>
      <c r="R30" s="465" t="n"/>
      <c r="S30" s="466" t="n"/>
    </row>
    <row r="31" ht="14.25" customHeight="1" s="468">
      <c r="A31" s="634" t="n"/>
      <c r="B31" s="47" t="inlineStr">
        <is>
          <t>VIA PANE</t>
        </is>
      </c>
      <c r="C31" s="48" t="n">
        <v>600</v>
      </c>
      <c r="D31" s="49" t="n">
        <v>100</v>
      </c>
      <c r="E31" s="50" t="inlineStr">
        <is>
          <t>CX</t>
        </is>
      </c>
      <c r="F31" s="552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49">
        <f>IFERROR(ROUNDUP(D31/F31,0),"")</f>
        <v/>
      </c>
      <c r="H31" s="52" t="n">
        <v>101</v>
      </c>
      <c r="I31" s="53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636">
        <f>IF(D31="","",ROUNDUP(D31/IF(AND(C31="600 ml",ISNUMBER(SEARCH("NORCAU",B31))),95,IF(AND(C31="600 ml",ISNUMBER(SEARCH("APURATOS",B31))),190,IF(C31="600 ml",95,IF(C31="400 ml",125,IF(C31="200 ml",330,IF(C31="180 ml",240,1)))))),0))</f>
        <v/>
      </c>
      <c r="K31" s="552" t="n"/>
      <c r="L31" s="55">
        <f>IF(H31="","",H31)</f>
        <v/>
      </c>
      <c r="M31" s="637" t="n"/>
      <c r="N31" s="57">
        <f>IF(I31="","",I31)</f>
        <v/>
      </c>
      <c r="O31" s="552" t="n"/>
    </row>
    <row r="32" ht="14.25" customHeight="1" s="468">
      <c r="A32" s="634" t="n"/>
      <c r="B32" s="38" t="inlineStr">
        <is>
          <t>ECO UNTA FACIL</t>
        </is>
      </c>
      <c r="C32" s="39" t="n">
        <v>600</v>
      </c>
      <c r="D32" s="40" t="n">
        <v>440</v>
      </c>
      <c r="E32" s="41" t="inlineStr">
        <is>
          <t>CX</t>
        </is>
      </c>
      <c r="F32" s="552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40">
        <f>IFERROR(ROUNDUP(D32/F32,0),"")</f>
        <v/>
      </c>
      <c r="H32" s="43" t="n">
        <v>169</v>
      </c>
      <c r="I32" s="44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40">
        <f>IF(D32="","",ROUNDUP(D32/IF(AND(C32="600 ml",ISNUMBER(SEARCH("NORCAU",B32))),95,IF(AND(C32="600 ml",ISNUMBER(SEARCH("APURATOS",B32))),190,IF(C32="600 ml",95,IF(C32="400 ml",125,IF(C32="200 ml",330,IF(C32="180 ml",240,1)))))),0))</f>
        <v/>
      </c>
      <c r="K32" s="552" t="n"/>
      <c r="L32" s="43">
        <f>IF(H32="","",H32)</f>
        <v/>
      </c>
      <c r="M32" s="637" t="n"/>
      <c r="N32" s="44">
        <f>IF(I32="","",I32)</f>
        <v/>
      </c>
      <c r="O32" s="552" t="n"/>
    </row>
    <row r="33" ht="14.25" customHeight="1" s="468">
      <c r="A33" s="634" t="n"/>
      <c r="B33" s="47" t="n"/>
      <c r="C33" s="48" t="n"/>
      <c r="D33" s="49" t="n"/>
      <c r="E33" s="50" t="inlineStr">
        <is>
          <t>CX</t>
        </is>
      </c>
      <c r="F33" s="552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/>
      </c>
      <c r="G33" s="49">
        <f>IFERROR(ROUNDUP(D33/F33,0),"")</f>
        <v/>
      </c>
      <c r="H33" s="52" t="n"/>
      <c r="I33" s="53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/>
      </c>
      <c r="J33" s="636">
        <f>IF(D33="","",ROUNDUP(D33/IF(AND(C33="600 ml",ISNUMBER(SEARCH("NORCAU",B33))),95,IF(AND(C33="600 ml",ISNUMBER(SEARCH("APURATOS",B33))),190,IF(C33="600 ml",95,IF(C33="400 ml",125,IF(C33="200 ml",330,IF(C33="180 ml",240,1)))))),0))</f>
        <v/>
      </c>
      <c r="K33" s="552" t="n"/>
      <c r="L33" s="55">
        <f>IF(H33="","",H33)</f>
        <v/>
      </c>
      <c r="M33" s="552" t="n"/>
      <c r="N33" s="57">
        <f>IF(I33="","",I33)</f>
        <v/>
      </c>
    </row>
    <row r="34" ht="14.25" customHeight="1" s="468">
      <c r="A34" s="634" t="n"/>
      <c r="B34" s="88" t="n"/>
      <c r="C34" s="71" t="n"/>
      <c r="D34" s="552" t="n"/>
      <c r="F34" s="552" t="n"/>
      <c r="G34" s="552" t="n"/>
      <c r="H34" s="637" t="n"/>
      <c r="I34" s="657" t="n"/>
      <c r="J34" s="552">
        <f>IF(D34="","",ROUNDUP(D34/IF(AND(C34="600 ml",ISNUMBER(SEARCH("NORCAU",B34))),95,IF(AND(C34="600 ml",ISNUMBER(SEARCH("APURATOS",B34))),190,IF(C34="600 ml",95,IF(C34="400 ml",125,IF(C34="200 ml",330,IF(C34="180 ml",240,1)))))),0))</f>
        <v/>
      </c>
      <c r="K34" s="552" t="n"/>
      <c r="L34" s="637">
        <f>IF(H34="","",H34)</f>
        <v/>
      </c>
      <c r="M34" s="552" t="n"/>
      <c r="N34" s="514">
        <f>IF(I34="","",I34)</f>
        <v/>
      </c>
    </row>
    <row r="35" ht="14.25" customHeight="1" s="468">
      <c r="A35" s="639" t="n"/>
      <c r="B35" s="640" t="inlineStr">
        <is>
          <t>TOTAL</t>
        </is>
      </c>
      <c r="C35" s="641" t="n"/>
      <c r="D35" s="642">
        <f>IF(J35="","",TEXT(J35,"#,##0"))</f>
        <v/>
      </c>
      <c r="E35" s="643" t="n"/>
      <c r="F35" s="644" t="n"/>
      <c r="G35" s="642">
        <f>IF(K35="","",TEXT(K35,"#,##0"))</f>
        <v/>
      </c>
      <c r="H35" s="642">
        <f>IF(L35="","",TEXT(L35,"#,##0"))</f>
        <v/>
      </c>
      <c r="I35" s="642">
        <f>IF(M35="","",TEXT(M35,"#,##0"))</f>
        <v/>
      </c>
      <c r="J35" s="644">
        <f>SUM(D28:D34)</f>
        <v/>
      </c>
      <c r="K35" s="644">
        <f>SUM(G28:G34)</f>
        <v/>
      </c>
      <c r="L35" s="644">
        <f>SUM(H28:H34)</f>
        <v/>
      </c>
      <c r="M35" s="644">
        <f>SUM(I28:I34)</f>
        <v/>
      </c>
      <c r="N35" s="90">
        <f>IF(I35="","",I35)</f>
        <v/>
      </c>
      <c r="O35">
        <f>SUM(N29:N34)</f>
        <v/>
      </c>
    </row>
    <row r="36" ht="14.25" customHeight="1" s="468">
      <c r="A36" s="638" t="n"/>
      <c r="B36" s="70" t="n"/>
      <c r="C36" s="71" t="n"/>
      <c r="D36" s="552" t="n"/>
      <c r="F36" s="552" t="n"/>
      <c r="G36" s="552" t="n"/>
      <c r="H36" s="552" t="n"/>
      <c r="I36" s="552" t="n"/>
      <c r="J36" s="552">
        <f>IF(D36="","",ROUNDUP(D36/IF(AND(C36="600 ml",ISNUMBER(SEARCH("NORCAU",B36))),95,IF(AND(C36="600 ml",ISNUMBER(SEARCH("APURATOS",B36))),190,IF(C36="600 ml",95,IF(C36="400 ml",125,IF(C36="200 ml",330,IF(C36="180 ml",240,1)))))),0))</f>
        <v/>
      </c>
      <c r="K36" s="552" t="n"/>
      <c r="L36" s="552">
        <f>IF(H36="","",H36)</f>
        <v/>
      </c>
      <c r="M36" s="552" t="n"/>
      <c r="N36">
        <f>IF(I36="","",I36)</f>
        <v/>
      </c>
    </row>
    <row r="37" ht="19.5" customHeight="1" s="468">
      <c r="A37" s="646" t="n">
        <v>46059</v>
      </c>
      <c r="B37" s="30" t="inlineStr">
        <is>
          <t>PRODUTO</t>
        </is>
      </c>
      <c r="C37" s="31" t="inlineStr">
        <is>
          <t>EMBALAGEM</t>
        </is>
      </c>
      <c r="D37" s="647" t="inlineStr">
        <is>
          <t>CAIXAS</t>
        </is>
      </c>
      <c r="E37" s="32" t="inlineStr">
        <is>
          <t>UN</t>
        </is>
      </c>
      <c r="F37" s="648" t="inlineStr">
        <is>
          <t>CX/PALLET</t>
        </is>
      </c>
      <c r="G37" s="647" t="inlineStr">
        <is>
          <t>PALLETS (PBR)</t>
        </is>
      </c>
      <c r="H37" s="647" t="inlineStr">
        <is>
          <t>REAL (CX)</t>
        </is>
      </c>
      <c r="I37" s="649" t="inlineStr">
        <is>
          <t>TOTAL LATAS</t>
        </is>
      </c>
      <c r="J37" s="650" t="n"/>
      <c r="K37" s="650" t="n"/>
      <c r="L37" s="651" t="n"/>
      <c r="M37" s="650" t="n"/>
      <c r="N37" s="36" t="n"/>
    </row>
    <row r="38" ht="14.25" customHeight="1" s="468">
      <c r="A38" s="634" t="n"/>
      <c r="B38" s="38" t="n"/>
      <c r="C38" s="39" t="n"/>
      <c r="D38" s="40" t="n"/>
      <c r="E38" s="41" t="n"/>
      <c r="F38" s="552" t="n"/>
      <c r="G38" s="40" t="n"/>
      <c r="H38" s="43" t="n"/>
      <c r="I38" s="44" t="n"/>
      <c r="J38" s="40">
        <f>IF(D38="","",ROUNDUP(D38/IF(AND(C38="600 ml",ISNUMBER(SEARCH("NORCAU",B38))),95,IF(AND(C38="600 ml",ISNUMBER(SEARCH("APURATOS",B38))),190,IF(C38="600 ml",95,IF(C38="400 ml",125,IF(C38="200 ml",330,IF(C38="180 ml",240,1)))))),0))</f>
        <v/>
      </c>
      <c r="K38" s="552" t="n"/>
      <c r="L38" s="43">
        <f>IF(H38="","",H38)</f>
        <v/>
      </c>
      <c r="M38" s="552" t="n"/>
      <c r="N38" s="44">
        <f>IF(I38="","",I38)</f>
        <v/>
      </c>
    </row>
    <row r="39" ht="15" customHeight="1" s="468">
      <c r="A39" s="635" t="n">
        <v>600</v>
      </c>
      <c r="B39" s="47" t="n"/>
      <c r="C39" s="48" t="n"/>
      <c r="D39" s="49" t="n"/>
      <c r="E39" s="50" t="inlineStr">
        <is>
          <t>CX</t>
        </is>
      </c>
      <c r="F39" s="552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49">
        <f>IFERROR(ROUNDUP(D39/F39,0),"")</f>
        <v/>
      </c>
      <c r="H39" s="52" t="n"/>
      <c r="I39" s="53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636">
        <f>IF(D39="","",ROUNDUP(D39/IF(AND(C39="600 ml",ISNUMBER(SEARCH("NORCAU",B39))),95,IF(AND(C39="600 ml",ISNUMBER(SEARCH("APURATOS",B39))),190,IF(C39="600 ml",95,IF(C39="400 ml",125,IF(C39="200 ml",330,IF(C39="180 ml",240,1)))))),0))</f>
        <v/>
      </c>
      <c r="K39" s="552" t="n"/>
      <c r="L39" s="55">
        <f>IF(H39="","",H39)</f>
        <v/>
      </c>
      <c r="M39" s="637" t="n"/>
      <c r="N39" s="57">
        <f>IF(I39="","",I39)</f>
        <v/>
      </c>
      <c r="P39" s="516" t="inlineStr">
        <is>
          <t>PARADOS ATÉ CONSERTAREM AS BOMBAS DE GÁS.</t>
        </is>
      </c>
      <c r="Q39" s="462" t="n"/>
      <c r="R39" s="462" t="n"/>
      <c r="S39" s="463" t="n"/>
    </row>
    <row r="40" ht="14.25" customHeight="1" s="468">
      <c r="A40" s="638" t="n"/>
      <c r="B40" s="38" t="n"/>
      <c r="C40" s="39" t="n"/>
      <c r="D40" s="40" t="n"/>
      <c r="E40" s="41" t="inlineStr">
        <is>
          <t>CX</t>
        </is>
      </c>
      <c r="F40" s="552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40">
        <f>IFERROR(ROUNDUP(D40/F40,0),"")</f>
        <v/>
      </c>
      <c r="H40" s="43" t="n"/>
      <c r="I40" s="44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40">
        <f>IF(D40="","",ROUNDUP(D40/IF(AND(C40="600 ml",ISNUMBER(SEARCH("NORCAU",B40))),95,IF(AND(C40="600 ml",ISNUMBER(SEARCH("APURATOS",B40))),190,IF(C40="600 ml",95,IF(C40="400 ml",125,IF(C40="200 ml",330,IF(C40="180 ml",240,1)))))),0))</f>
        <v/>
      </c>
      <c r="K40" s="552" t="n"/>
      <c r="L40" s="43">
        <f>IF(H40="","",H40)</f>
        <v/>
      </c>
      <c r="M40" s="637" t="n"/>
      <c r="N40" s="44">
        <f>IF(I40="","",I40)</f>
        <v/>
      </c>
      <c r="P40" s="523" t="n"/>
      <c r="S40" s="514" t="n"/>
    </row>
    <row r="41" ht="14.25" customHeight="1" s="468">
      <c r="A41" s="634" t="n"/>
      <c r="B41" s="47" t="n"/>
      <c r="C41" s="48" t="n"/>
      <c r="D41" s="49" t="n"/>
      <c r="E41" s="50" t="inlineStr">
        <is>
          <t>CX</t>
        </is>
      </c>
      <c r="F41" s="552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49">
        <f>IFERROR(ROUNDUP(D41/F41,0),"")</f>
        <v/>
      </c>
      <c r="H41" s="52" t="n"/>
      <c r="I41" s="53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/>
      </c>
      <c r="J41" s="636">
        <f>IF(D41="","",ROUNDUP(D41/IF(AND(C41="600 ml",ISNUMBER(SEARCH("NORCAU",B41))),95,IF(AND(C41="600 ml",ISNUMBER(SEARCH("APURATOS",B41))),190,IF(C41="600 ml",95,IF(C41="400 ml",125,IF(C41="200 ml",330,IF(C41="180 ml",240,1)))))),0))</f>
        <v/>
      </c>
      <c r="K41" s="552" t="n"/>
      <c r="L41" s="55">
        <f>IF(H41="","",H41)</f>
        <v/>
      </c>
      <c r="M41" s="552" t="n"/>
      <c r="N41" s="57">
        <f>IF(I41="","",I41)</f>
        <v/>
      </c>
      <c r="P41" s="464" t="n"/>
      <c r="Q41" s="465" t="n"/>
      <c r="R41" s="465" t="n"/>
      <c r="S41" s="466" t="n"/>
    </row>
    <row r="42" ht="14.25" customHeight="1" s="468">
      <c r="A42" s="634" t="n"/>
      <c r="B42" s="38" t="n"/>
      <c r="C42" s="39" t="n"/>
      <c r="D42" s="40" t="n"/>
      <c r="E42" s="41" t="inlineStr">
        <is>
          <t>CX</t>
        </is>
      </c>
      <c r="F42" s="552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/>
      </c>
      <c r="G42" s="40">
        <f>IFERROR(ROUNDUP(D42/F42,0),"")</f>
        <v/>
      </c>
      <c r="H42" s="43" t="n"/>
      <c r="I42" s="44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/>
      </c>
      <c r="J42" s="40">
        <f>IF(D42="","",ROUNDUP(D42/IF(AND(C42="600 ml",ISNUMBER(SEARCH("NORCAU",B42))),95,IF(AND(C42="600 ml",ISNUMBER(SEARCH("APURATOS",B42))),190,IF(C42="600 ml",95,IF(C42="400 ml",125,IF(C42="200 ml",330,IF(C42="180 ml",240,1)))))),0))</f>
        <v/>
      </c>
      <c r="K42" s="552" t="n"/>
      <c r="L42" s="43">
        <f>IF(H42="","",H42)</f>
        <v/>
      </c>
      <c r="M42" s="552" t="n"/>
      <c r="N42" s="44">
        <f>IF(I42="","",I42)</f>
        <v/>
      </c>
    </row>
    <row r="43" ht="14.25" customHeight="1" s="468">
      <c r="A43" s="634" t="n"/>
      <c r="B43" s="47" t="n"/>
      <c r="C43" s="48" t="n"/>
      <c r="D43" s="49" t="n"/>
      <c r="E43" s="50" t="n"/>
      <c r="F43" s="552" t="n"/>
      <c r="G43" s="49" t="n"/>
      <c r="H43" s="52" t="n"/>
      <c r="I43" s="53" t="n"/>
      <c r="J43" s="636">
        <f>IF(D43="","",ROUNDUP(D43/IF(AND(C43="600 ml",ISNUMBER(SEARCH("NORCAU",B43))),95,IF(AND(C43="600 ml",ISNUMBER(SEARCH("APURATOS",B43))),190,IF(C43="600 ml",95,IF(C43="400 ml",125,IF(C43="200 ml",330,IF(C43="180 ml",240,1)))))),0))</f>
        <v/>
      </c>
      <c r="K43" s="552" t="n"/>
      <c r="L43" s="55">
        <f>IF(H43="","",H43)</f>
        <v/>
      </c>
      <c r="M43" s="552" t="n"/>
      <c r="N43" s="57">
        <f>IF(I43="","",I43)</f>
        <v/>
      </c>
    </row>
    <row r="44" ht="14.25" customHeight="1" s="468">
      <c r="A44" s="639" t="n"/>
      <c r="B44" s="640" t="inlineStr">
        <is>
          <t>TOTAL</t>
        </is>
      </c>
      <c r="C44" s="641" t="n"/>
      <c r="D44" s="642">
        <f>IF(J44="","",TEXT(J44,"#,##0"))</f>
        <v/>
      </c>
      <c r="E44" s="643" t="n"/>
      <c r="F44" s="644" t="n"/>
      <c r="G44" s="642">
        <f>IF(K44="","",TEXT(K44,"#,##0"))</f>
        <v/>
      </c>
      <c r="H44" s="642">
        <f>IF(L44="","",TEXT(L44,"#,##0"))</f>
        <v/>
      </c>
      <c r="I44" s="642">
        <f>IF(M44="","",TEXT(M44,"#,##0"))</f>
        <v/>
      </c>
      <c r="J44" s="644">
        <f>SUM(D38:D43)</f>
        <v/>
      </c>
      <c r="K44" s="644">
        <f>SUM(G38:G43)</f>
        <v/>
      </c>
      <c r="L44" s="644">
        <f>SUM(H38:H43)</f>
        <v/>
      </c>
      <c r="M44" s="644">
        <f>SUM(I38:I43)</f>
        <v/>
      </c>
      <c r="N44" s="90">
        <f>IF(I44="","",I44)</f>
        <v/>
      </c>
      <c r="O44">
        <f>SUM(N39:N43)</f>
        <v/>
      </c>
    </row>
    <row r="45" ht="14.25" customHeight="1" s="468">
      <c r="A45" s="638" t="n"/>
      <c r="B45" s="70" t="n"/>
      <c r="C45" s="71" t="n"/>
      <c r="D45" s="552" t="n"/>
      <c r="F45" s="552" t="n"/>
      <c r="G45" s="552" t="n"/>
      <c r="H45" s="552" t="n"/>
      <c r="I45" s="552" t="n"/>
      <c r="J45" s="552">
        <f>IF(D45="","",ROUNDUP(D45/IF(AND(C45="600 ml",ISNUMBER(SEARCH("NORCAU",B45))),95,IF(AND(C45="600 ml",ISNUMBER(SEARCH("APURATOS",B45))),190,IF(C45="600 ml",95,IF(C45="400 ml",125,IF(C45="200 ml",330,IF(C45="180 ml",240,1)))))),0))</f>
        <v/>
      </c>
      <c r="K45" s="552" t="n"/>
      <c r="L45" s="552">
        <f>IF(H45="","",H45)</f>
        <v/>
      </c>
      <c r="M45" s="552" t="n"/>
      <c r="N45">
        <f>IF(I45="","",I45)</f>
        <v/>
      </c>
    </row>
    <row r="46" ht="19.5" customHeight="1" s="468">
      <c r="A46" s="646" t="n">
        <v>46062</v>
      </c>
      <c r="B46" s="30" t="inlineStr">
        <is>
          <t>PRODUTO</t>
        </is>
      </c>
      <c r="C46" s="31" t="inlineStr">
        <is>
          <t>EMBALAGEM</t>
        </is>
      </c>
      <c r="D46" s="647" t="inlineStr">
        <is>
          <t>CAIXAS</t>
        </is>
      </c>
      <c r="E46" s="32" t="inlineStr">
        <is>
          <t>UN</t>
        </is>
      </c>
      <c r="F46" s="648" t="inlineStr">
        <is>
          <t>CX/PALLET</t>
        </is>
      </c>
      <c r="G46" s="647" t="inlineStr">
        <is>
          <t>PALLETS (PBR)</t>
        </is>
      </c>
      <c r="H46" s="647" t="inlineStr">
        <is>
          <t>REAL (CX)</t>
        </is>
      </c>
      <c r="I46" s="649" t="inlineStr">
        <is>
          <t>TOTAL LATAS</t>
        </is>
      </c>
      <c r="J46" s="650" t="n"/>
      <c r="K46" s="650" t="n"/>
      <c r="L46" s="651" t="n"/>
      <c r="M46" s="650" t="n"/>
      <c r="N46" s="36" t="n"/>
    </row>
    <row r="47" ht="14.25" customHeight="1" s="468">
      <c r="A47" s="634" t="n"/>
      <c r="B47" s="96" t="n"/>
      <c r="C47" s="97" t="n"/>
      <c r="D47" s="98" t="n"/>
      <c r="E47" s="99" t="n"/>
      <c r="F47" s="552" t="n"/>
      <c r="G47" s="98" t="n"/>
      <c r="H47" s="101" t="n"/>
      <c r="I47" s="102" t="n"/>
      <c r="J47" s="636">
        <f>IF(D47="","",ROUNDUP(D47/IF(AND(C47="600 ml",ISNUMBER(SEARCH("NORCAU",B47))),95,IF(AND(C47="600 ml",ISNUMBER(SEARCH("APURATOS",B47))),190,IF(C47="600 ml",95,IF(C47="400 ml",125,IF(C47="200 ml",330,IF(C47="180 ml",240,1)))))),0))</f>
        <v/>
      </c>
      <c r="K47" s="552" t="n"/>
      <c r="L47" s="55">
        <f>IF(H47="","",H47)</f>
        <v/>
      </c>
      <c r="M47" s="552" t="n"/>
      <c r="N47" s="57">
        <f>IF(I47="","",I47)</f>
        <v/>
      </c>
    </row>
    <row r="48" ht="14.25" customHeight="1" s="468">
      <c r="A48" s="635" t="inlineStr">
        <is>
          <t>600 / 400</t>
        </is>
      </c>
      <c r="B48" s="47" t="inlineStr">
        <is>
          <t>ECO UNTA FACIL</t>
        </is>
      </c>
      <c r="C48" s="48" t="n">
        <v>600</v>
      </c>
      <c r="D48" s="49" t="n">
        <v>271</v>
      </c>
      <c r="E48" s="50" t="inlineStr">
        <is>
          <t>CX</t>
        </is>
      </c>
      <c r="F48" s="552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49">
        <f>IFERROR(ROUNDUP(D48/F48,0),"")</f>
        <v/>
      </c>
      <c r="H48" s="52" t="n">
        <v>266</v>
      </c>
      <c r="I48" s="53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40">
        <f>IF(D48="","",ROUNDUP(D48/IF(AND(C48="600 ml",ISNUMBER(SEARCH("NORCAU",B48))),95,IF(AND(C48="600 ml",ISNUMBER(SEARCH("APURATOS",B48))),190,IF(C48="600 ml",95,IF(C48="400 ml",125,IF(C48="200 ml",330,IF(C48="180 ml",240,1)))))),0))</f>
        <v/>
      </c>
      <c r="K48" s="552" t="n"/>
      <c r="L48" s="43">
        <f>IF(H48="","",H48)</f>
        <v/>
      </c>
      <c r="M48" s="637" t="n"/>
      <c r="N48" s="44">
        <f>IF(I48="","",I48)</f>
        <v/>
      </c>
    </row>
    <row r="49" ht="14.25" customHeight="1" s="468">
      <c r="A49" s="638" t="n"/>
      <c r="B49" s="96" t="inlineStr">
        <is>
          <t>ITAIQUARA</t>
        </is>
      </c>
      <c r="C49" s="97" t="n">
        <v>600</v>
      </c>
      <c r="D49" s="98" t="n">
        <v>73</v>
      </c>
      <c r="E49" s="99" t="inlineStr">
        <is>
          <t>CX</t>
        </is>
      </c>
      <c r="F49" s="552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/>
      </c>
      <c r="G49" s="98">
        <f>IFERROR(ROUNDUP(D49/F49,0),"")</f>
        <v/>
      </c>
      <c r="H49" s="101" t="n">
        <v>76</v>
      </c>
      <c r="I49" s="102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/>
      </c>
      <c r="J49" s="636">
        <f>IF(D49="","",ROUNDUP(D49/IF(AND(C49="600 ml",ISNUMBER(SEARCH("NORCAU",B49))),95,IF(AND(C49="600 ml",ISNUMBER(SEARCH("APURATOS",B49))),190,IF(C49="600 ml",95,IF(C49="400 ml",125,IF(C49="200 ml",330,IF(C49="180 ml",240,1)))))),0))</f>
        <v/>
      </c>
      <c r="K49" s="552" t="n"/>
      <c r="L49" s="55">
        <f>IF(H49="","",H49)</f>
        <v/>
      </c>
      <c r="M49" s="637" t="n"/>
      <c r="N49" s="57">
        <f>IF(I49="","",I49)</f>
        <v/>
      </c>
    </row>
    <row r="50" ht="14.25" customHeight="1" s="468">
      <c r="A50" s="634" t="n"/>
      <c r="B50" s="47" t="inlineStr">
        <is>
          <t>UNTA FACIL</t>
        </is>
      </c>
      <c r="C50" s="48" t="n">
        <v>400</v>
      </c>
      <c r="D50" s="49" t="n">
        <v>2500</v>
      </c>
      <c r="E50" s="50" t="inlineStr">
        <is>
          <t>CX</t>
        </is>
      </c>
      <c r="F50" s="552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/>
      </c>
      <c r="G50" s="49">
        <f>IFERROR(ROUNDUP(D50/F50,0),"")</f>
        <v/>
      </c>
      <c r="H50" s="52" t="n">
        <v>869</v>
      </c>
      <c r="I50" s="53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/>
      </c>
      <c r="J50" s="40">
        <f>IF(D50="","",ROUNDUP(D50/IF(AND(C50="600 ml",ISNUMBER(SEARCH("NORCAU",B50))),95,IF(AND(C50="600 ml",ISNUMBER(SEARCH("APURATOS",B50))),190,IF(C50="600 ml",95,IF(C50="400 ml",125,IF(C50="200 ml",330,IF(C50="180 ml",240,1)))))),0))</f>
        <v/>
      </c>
      <c r="K50" s="552" t="n"/>
      <c r="L50" s="43">
        <f>IF(H50="","",H50)</f>
        <v/>
      </c>
      <c r="M50" s="552" t="n"/>
      <c r="N50" s="44">
        <f>IF(I50="","",I50)</f>
        <v/>
      </c>
    </row>
    <row r="51" ht="14.25" customHeight="1" s="468">
      <c r="A51" s="634" t="n"/>
      <c r="B51" s="96" t="n"/>
      <c r="C51" s="97" t="n"/>
      <c r="D51" s="98" t="n"/>
      <c r="E51" s="99" t="inlineStr">
        <is>
          <t>CX</t>
        </is>
      </c>
      <c r="F51" s="552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98">
        <f>IFERROR(ROUNDUP(D51/F51,0),"")</f>
        <v/>
      </c>
      <c r="H51" s="101" t="n"/>
      <c r="I51" s="102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636">
        <f>IF(D51="","",ROUNDUP(D51/IF(AND(C51="600 ml",ISNUMBER(SEARCH("NORCAU",B51))),95,IF(AND(C51="600 ml",ISNUMBER(SEARCH("APURATOS",B51))),190,IF(C51="600 ml",95,IF(C51="400 ml",125,IF(C51="200 ml",330,IF(C51="180 ml",240,1)))))),0))</f>
        <v/>
      </c>
      <c r="K51" s="552" t="n"/>
      <c r="L51" s="55">
        <f>IF(H51="","",H51)</f>
        <v/>
      </c>
      <c r="M51" s="552" t="n"/>
      <c r="N51" s="57">
        <f>IF(I51="","",I51)</f>
        <v/>
      </c>
    </row>
    <row r="52" ht="14.25" customHeight="1" s="468">
      <c r="A52" s="634" t="n"/>
      <c r="B52" s="47" t="n"/>
      <c r="C52" s="48" t="n"/>
      <c r="D52" s="49" t="n"/>
      <c r="E52" s="50" t="n"/>
      <c r="F52" s="659" t="n"/>
      <c r="G52" s="49" t="n"/>
      <c r="H52" s="52" t="n"/>
      <c r="I52" s="53" t="n"/>
      <c r="J52" s="40">
        <f>IF(D52="","",ROUNDUP(D52/IF(AND(C52="600 ml",ISNUMBER(SEARCH("NORCAU",B52))),95,IF(AND(C52="600 ml",ISNUMBER(SEARCH("APURATOS",B52))),190,IF(C52="600 ml",95,IF(C52="400 ml",125,IF(C52="200 ml",330,IF(C52="180 ml",240,1)))))),0))</f>
        <v/>
      </c>
      <c r="K52" s="552" t="n"/>
      <c r="L52" s="43">
        <f>IF(H52="","",H52)</f>
        <v/>
      </c>
      <c r="M52" s="552" t="n"/>
      <c r="N52" s="44">
        <f>IF(I52="","",I52)</f>
        <v/>
      </c>
    </row>
    <row r="53" ht="14.25" customHeight="1" s="468">
      <c r="A53" s="639" t="n"/>
      <c r="B53" s="640" t="inlineStr">
        <is>
          <t>TOTAL</t>
        </is>
      </c>
      <c r="C53" s="641" t="n"/>
      <c r="D53" s="642">
        <f>IF(J53="","",TEXT(J53,"#,##0"))</f>
        <v/>
      </c>
      <c r="E53" s="643" t="n"/>
      <c r="F53" s="644" t="n"/>
      <c r="G53" s="642">
        <f>IF(K53="","",TEXT(K53,"#,##0"))</f>
        <v/>
      </c>
      <c r="H53" s="642">
        <f>IF(L53="","",TEXT(L53,"#,##0"))</f>
        <v/>
      </c>
      <c r="I53" s="642">
        <f>IF(M53="","",TEXT(M53,"#,##0"))</f>
        <v/>
      </c>
      <c r="J53" s="644">
        <f>SUM(D47:D52)</f>
        <v/>
      </c>
      <c r="K53" s="644">
        <f>SUM(G47:G52)</f>
        <v/>
      </c>
      <c r="L53" s="644">
        <f>SUM(H47:H52)</f>
        <v/>
      </c>
      <c r="M53" s="644">
        <f>SUM(I47:I52)</f>
        <v/>
      </c>
      <c r="N53" s="90">
        <f>IF(I53="","",I53)</f>
        <v/>
      </c>
      <c r="O53">
        <f>SUM(N48:N52)</f>
        <v/>
      </c>
    </row>
    <row r="54" ht="14.25" customHeight="1" s="468">
      <c r="A54" s="638" t="n"/>
      <c r="B54" s="70" t="n"/>
      <c r="C54" s="71" t="n"/>
      <c r="D54" s="552" t="n"/>
      <c r="F54" s="552" t="n"/>
      <c r="G54" s="552" t="n"/>
      <c r="H54" s="552" t="n"/>
      <c r="I54" s="552" t="n"/>
      <c r="J54" s="552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K54" s="552" t="n"/>
      <c r="L54" s="552">
        <f>IF(H54="","",H54)</f>
        <v/>
      </c>
      <c r="M54" s="552" t="n"/>
      <c r="N54">
        <f>IF(I54="","",I54)</f>
        <v/>
      </c>
    </row>
    <row r="55" ht="19.5" customHeight="1" s="468">
      <c r="A55" s="646" t="n">
        <v>46063</v>
      </c>
      <c r="B55" s="30" t="inlineStr">
        <is>
          <t>PRODUTO</t>
        </is>
      </c>
      <c r="C55" s="31" t="inlineStr">
        <is>
          <t>EMBALAGEM</t>
        </is>
      </c>
      <c r="D55" s="647" t="inlineStr">
        <is>
          <t>CAIXAS</t>
        </is>
      </c>
      <c r="E55" s="32" t="inlineStr">
        <is>
          <t>UN</t>
        </is>
      </c>
      <c r="F55" s="648" t="inlineStr">
        <is>
          <t>CX/PALLET</t>
        </is>
      </c>
      <c r="G55" s="647" t="inlineStr">
        <is>
          <t>PALLETS (PBR)</t>
        </is>
      </c>
      <c r="H55" s="647" t="inlineStr">
        <is>
          <t>REAL (CX)</t>
        </is>
      </c>
      <c r="I55" s="649" t="inlineStr">
        <is>
          <t>TOTAL LATAS</t>
        </is>
      </c>
      <c r="J55" s="650" t="n"/>
      <c r="K55" s="650" t="n"/>
      <c r="L55" s="651" t="n"/>
      <c r="M55" s="650" t="n"/>
      <c r="N55" s="36" t="n"/>
    </row>
    <row r="56" ht="15" customHeight="1" s="468">
      <c r="A56" s="634" t="n"/>
      <c r="B56" s="38" t="n"/>
      <c r="C56" s="39" t="n"/>
      <c r="D56" s="40" t="n"/>
      <c r="E56" s="41" t="n"/>
      <c r="F56" s="552" t="n"/>
      <c r="G56" s="40" t="n"/>
      <c r="H56" s="43" t="n"/>
      <c r="I56" s="44" t="n"/>
      <c r="J56" s="40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K56" s="552" t="n"/>
      <c r="L56" s="43">
        <f>IF(H56="","",H56)</f>
        <v/>
      </c>
      <c r="M56" s="552" t="n"/>
      <c r="N56" s="44">
        <f>IF(I56="","",I56)</f>
        <v/>
      </c>
      <c r="P56" s="516" t="inlineStr">
        <is>
          <t>PARAMOS A PRODUÇÃO 14:15. O GÁS SÓ VOLTARÁ AMANHÃ.</t>
        </is>
      </c>
      <c r="Q56" s="462" t="n"/>
      <c r="R56" s="462" t="n"/>
      <c r="S56" s="463" t="n"/>
    </row>
    <row r="57" ht="14.25" customHeight="1" s="468">
      <c r="A57" s="635" t="n">
        <v>400</v>
      </c>
      <c r="B57" s="47" t="inlineStr">
        <is>
          <t>UNTA FACIL</t>
        </is>
      </c>
      <c r="C57" s="48" t="n">
        <v>400</v>
      </c>
      <c r="D57" s="49">
        <f>D50-L50</f>
        <v/>
      </c>
      <c r="E57" s="50" t="inlineStr">
        <is>
          <t>CX</t>
        </is>
      </c>
      <c r="F57" s="552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/>
      </c>
      <c r="G57" s="49">
        <f>IFERROR(ROUNDUP(D57/F57,0),"")</f>
        <v/>
      </c>
      <c r="H57" s="52" t="n">
        <v>1027</v>
      </c>
      <c r="I57" s="53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/>
      </c>
      <c r="J57" s="636">
        <f>IF(D57="","",ROUNDUP(D57/IF(AND(C57="600 ml",ISNUMBER(SEARCH("NORCAU",B57))),95,IF(AND(C57="600 ml",ISNUMBER(SEARCH("APURATOS",B57))),190,IF(C57="600 ml",95,IF(C57="400 ml",125,IF(C57="200 ml",330,IF(C57="180 ml",240,1)))))),0))</f>
        <v/>
      </c>
      <c r="K57" s="552" t="n"/>
      <c r="L57" s="55">
        <f>IF(H57="","",H57)</f>
        <v/>
      </c>
      <c r="M57" s="637" t="n"/>
      <c r="N57" s="57">
        <f>IF(I57="","",I57)</f>
        <v/>
      </c>
      <c r="P57" s="523" t="n"/>
      <c r="S57" s="514" t="n"/>
    </row>
    <row r="58" ht="14.25" customHeight="1" s="468">
      <c r="A58" s="638" t="n"/>
      <c r="B58" s="38" t="n"/>
      <c r="C58" s="39" t="n"/>
      <c r="D58" s="40" t="n"/>
      <c r="E58" s="41" t="inlineStr">
        <is>
          <t>CX</t>
        </is>
      </c>
      <c r="F58" s="552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40">
        <f>IFERROR(ROUNDUP(D58/F58,0),"")</f>
        <v/>
      </c>
      <c r="H58" s="43" t="n"/>
      <c r="I58" s="44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  <c r="J58" s="40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K58" s="552" t="n"/>
      <c r="L58" s="43">
        <f>IF(H58="","",H58)</f>
        <v/>
      </c>
      <c r="M58" s="637" t="n"/>
      <c r="N58" s="44">
        <f>IF(I58="","",I58)</f>
        <v/>
      </c>
      <c r="P58" s="464" t="n"/>
      <c r="Q58" s="465" t="n"/>
      <c r="R58" s="465" t="n"/>
      <c r="S58" s="466" t="n"/>
    </row>
    <row r="59" ht="14.25" customHeight="1" s="468">
      <c r="A59" s="634" t="n"/>
      <c r="B59" s="47" t="n"/>
      <c r="C59" s="48" t="n"/>
      <c r="D59" s="49" t="n"/>
      <c r="E59" s="50" t="inlineStr">
        <is>
          <t>CX</t>
        </is>
      </c>
      <c r="F59" s="552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49">
        <f>IFERROR(ROUNDUP(D59/F59,0),"")</f>
        <v/>
      </c>
      <c r="H59" s="52" t="n"/>
      <c r="I59" s="53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  <c r="J59" s="636">
        <f>IF(D59="","",ROUNDUP(D59/IF(AND(C59="600 ml",ISNUMBER(SEARCH("NORCAU",B59))),95,IF(AND(C59="600 ml",ISNUMBER(SEARCH("APURATOS",B59))),190,IF(C59="600 ml",95,IF(C59="400 ml",125,IF(C59="200 ml",330,IF(C59="180 ml",240,1)))))),0))</f>
        <v/>
      </c>
      <c r="K59" s="552" t="n"/>
      <c r="L59" s="55">
        <f>IF(H59="","",H59)</f>
        <v/>
      </c>
      <c r="M59" s="552" t="n"/>
      <c r="N59" s="57">
        <f>IF(I59="","",I59)</f>
        <v/>
      </c>
    </row>
    <row r="60" ht="14.25" customHeight="1" s="468">
      <c r="A60" s="634" t="n"/>
      <c r="B60" s="38" t="n"/>
      <c r="C60" s="39" t="n"/>
      <c r="D60" s="40" t="n"/>
      <c r="E60" s="41" t="n"/>
      <c r="F60" s="552" t="n"/>
      <c r="G60" s="40" t="n"/>
      <c r="H60" s="43" t="n"/>
      <c r="I60" s="44" t="n"/>
      <c r="J60" s="40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K60" s="552" t="n"/>
      <c r="L60" s="43">
        <f>IF(H60="","",H60)</f>
        <v/>
      </c>
      <c r="M60" s="552" t="n"/>
      <c r="N60" s="44">
        <f>IF(I60="","",I60)</f>
        <v/>
      </c>
    </row>
    <row r="61" ht="14.25" customHeight="1" s="468">
      <c r="A61" s="639" t="n"/>
      <c r="B61" s="640" t="inlineStr">
        <is>
          <t>TOTAL</t>
        </is>
      </c>
      <c r="C61" s="641" t="n"/>
      <c r="D61" s="642">
        <f>IF(J61="","",TEXT(J61,"#,##0"))</f>
        <v/>
      </c>
      <c r="E61" s="643" t="n"/>
      <c r="F61" s="644" t="n"/>
      <c r="G61" s="642">
        <f>IF(K61="","",TEXT(K61,"#,##0"))</f>
        <v/>
      </c>
      <c r="H61" s="642">
        <f>IF(L61="","",TEXT(L61,"#,##0"))</f>
        <v/>
      </c>
      <c r="I61" s="642">
        <f>IF(M61="","",TEXT(M61,"#,##0"))</f>
        <v/>
      </c>
      <c r="J61" s="645">
        <f>SUM(D56:D60)</f>
        <v/>
      </c>
      <c r="K61" s="644">
        <f>SUM(G56:G60)</f>
        <v/>
      </c>
      <c r="L61" s="645">
        <f>SUM(H56:H60)</f>
        <v/>
      </c>
      <c r="M61" s="644">
        <f>SUM(I56:I60)</f>
        <v/>
      </c>
      <c r="N61" s="69">
        <f>IF(I61="","",I61)</f>
        <v/>
      </c>
      <c r="O61">
        <f>SUM(N57:N60)</f>
        <v/>
      </c>
    </row>
    <row r="62" ht="14.25" customHeight="1" s="468">
      <c r="A62" s="638" t="n"/>
      <c r="B62" s="70" t="n"/>
      <c r="C62" s="71" t="n"/>
      <c r="D62" s="552" t="n"/>
      <c r="F62" s="552" t="n"/>
      <c r="G62" s="552" t="n"/>
      <c r="H62" s="552" t="n"/>
      <c r="I62" s="552" t="n"/>
      <c r="J62" s="552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K62" s="552" t="n"/>
      <c r="L62" s="552">
        <f>IF(H62="","",H62)</f>
        <v/>
      </c>
      <c r="M62" s="552" t="n"/>
      <c r="N62">
        <f>IF(I62="","",I62)</f>
        <v/>
      </c>
    </row>
    <row r="63" ht="19.5" customHeight="1" s="468">
      <c r="A63" s="646" t="n">
        <v>46064</v>
      </c>
      <c r="B63" s="30" t="inlineStr">
        <is>
          <t>PRODUTO</t>
        </is>
      </c>
      <c r="C63" s="31" t="inlineStr">
        <is>
          <t>EMBALAGEM</t>
        </is>
      </c>
      <c r="D63" s="647" t="inlineStr">
        <is>
          <t>CAIXAS</t>
        </is>
      </c>
      <c r="E63" s="32" t="inlineStr">
        <is>
          <t>UN</t>
        </is>
      </c>
      <c r="F63" s="648" t="inlineStr">
        <is>
          <t>CX/PALLET</t>
        </is>
      </c>
      <c r="G63" s="647" t="inlineStr">
        <is>
          <t>PALLETS (PBR)</t>
        </is>
      </c>
      <c r="H63" s="647" t="inlineStr">
        <is>
          <t>REAL (CX)</t>
        </is>
      </c>
      <c r="I63" s="649" t="inlineStr">
        <is>
          <t>TOTAL LATAS</t>
        </is>
      </c>
      <c r="J63" s="650" t="n"/>
      <c r="K63" s="650" t="n"/>
      <c r="L63" s="651" t="n"/>
      <c r="M63" s="650" t="n"/>
      <c r="N63" s="36" t="n"/>
    </row>
    <row r="64" ht="15" customHeight="1" s="468">
      <c r="A64" s="634" t="n"/>
      <c r="B64" s="38" t="n"/>
      <c r="C64" s="39" t="n"/>
      <c r="D64" s="40" t="n"/>
      <c r="E64" s="41" t="n"/>
      <c r="F64" s="552" t="n"/>
      <c r="G64" s="40" t="n"/>
      <c r="H64" s="43" t="n"/>
      <c r="I64" s="44" t="n"/>
      <c r="J64" s="40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K64" s="552" t="n"/>
      <c r="L64" s="43">
        <f>IF(H64="","",H64)</f>
        <v/>
      </c>
      <c r="M64" s="552" t="n"/>
      <c r="N64" s="44">
        <f>IF(I64="","",I64)</f>
        <v/>
      </c>
      <c r="P64" s="516" t="inlineStr">
        <is>
          <t>O GÁS CHEGOU ERAM 07:45.</t>
        </is>
      </c>
      <c r="Q64" s="462" t="n"/>
      <c r="R64" s="462" t="n"/>
      <c r="S64" s="463" t="n"/>
    </row>
    <row r="65" ht="14.25" customHeight="1" s="468">
      <c r="A65" s="635" t="n">
        <v>400</v>
      </c>
      <c r="B65" s="47" t="inlineStr">
        <is>
          <t>UNTA FACIL</t>
        </is>
      </c>
      <c r="C65" s="48" t="n">
        <v>400</v>
      </c>
      <c r="D65" s="49">
        <f>D57-L57</f>
        <v/>
      </c>
      <c r="E65" s="50" t="inlineStr">
        <is>
          <t>CX</t>
        </is>
      </c>
      <c r="F65" s="552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/>
      </c>
      <c r="G65" s="49">
        <f>IFERROR(ROUNDUP(D65/F65,0),"")</f>
        <v/>
      </c>
      <c r="H65" s="52" t="n">
        <v>611</v>
      </c>
      <c r="I65" s="53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/>
      </c>
      <c r="J65" s="636">
        <f>IF(D65="","",ROUNDUP(D65/IF(AND(C65="600 ml",ISNUMBER(SEARCH("NORCAU",B65))),95,IF(AND(C65="600 ml",ISNUMBER(SEARCH("APURATOS",B65))),190,IF(C65="600 ml",95,IF(C65="400 ml",125,IF(C65="200 ml",330,IF(C65="180 ml",240,1)))))),0))</f>
        <v/>
      </c>
      <c r="K65" s="552" t="n"/>
      <c r="L65" s="55">
        <f>IF(H65="","",H65)</f>
        <v/>
      </c>
      <c r="M65" s="637" t="n"/>
      <c r="N65" s="57">
        <f>IF(I65="","",I65)</f>
        <v/>
      </c>
      <c r="P65" s="523" t="n"/>
      <c r="S65" s="514" t="n"/>
    </row>
    <row r="66" ht="14.25" customHeight="1" s="468">
      <c r="A66" s="638" t="n"/>
      <c r="B66" s="38" t="inlineStr">
        <is>
          <t>ICEBERG CHEF</t>
        </is>
      </c>
      <c r="C66" s="39" t="n">
        <v>400</v>
      </c>
      <c r="D66" s="40" t="n">
        <v>2310</v>
      </c>
      <c r="E66" s="41" t="inlineStr">
        <is>
          <t>CX</t>
        </is>
      </c>
      <c r="F66" s="552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/>
      </c>
      <c r="G66" s="40">
        <f>IFERROR(ROUNDUP(D66/F66,0),"")</f>
        <v/>
      </c>
      <c r="H66" s="43" t="n">
        <v>600</v>
      </c>
      <c r="I66" s="44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/>
      </c>
      <c r="J66" s="40">
        <f>IF(D66="","",ROUNDUP(D66/IF(AND(C66="600 ml",ISNUMBER(SEARCH("NORCAU",B66))),95,IF(AND(C66="600 ml",ISNUMBER(SEARCH("APURATOS",B66))),190,IF(C66="600 ml",95,IF(C66="400 ml",125,IF(C66="200 ml",330,IF(C66="180 ml",240,1)))))),0))</f>
        <v/>
      </c>
      <c r="K66" s="552" t="n"/>
      <c r="L66" s="43">
        <f>IF(H66="","",H66)</f>
        <v/>
      </c>
      <c r="M66" s="637" t="n"/>
      <c r="N66" s="44">
        <f>IF(I66="","",I66)</f>
        <v/>
      </c>
      <c r="P66" s="464" t="n"/>
      <c r="Q66" s="465" t="n"/>
      <c r="R66" s="465" t="n"/>
      <c r="S66" s="466" t="n"/>
    </row>
    <row r="67" ht="14.25" customHeight="1" s="468">
      <c r="A67" s="634" t="n"/>
      <c r="B67" s="47" t="n"/>
      <c r="C67" s="48" t="n"/>
      <c r="D67" s="49" t="n"/>
      <c r="E67" s="50" t="inlineStr">
        <is>
          <t>CX</t>
        </is>
      </c>
      <c r="F67" s="552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49">
        <f>IFERROR(ROUNDUP(D67/F67,0),"")</f>
        <v/>
      </c>
      <c r="H67" s="52" t="n"/>
      <c r="I67" s="53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  <c r="J67" s="636">
        <f>IF(D67="","",ROUNDUP(D67/IF(AND(C67="600 ml",ISNUMBER(SEARCH("NORCAU",B67))),95,IF(AND(C67="600 ml",ISNUMBER(SEARCH("APURATOS",B67))),190,IF(C67="600 ml",95,IF(C67="400 ml",125,IF(C67="200 ml",330,IF(C67="180 ml",240,1)))))),0))</f>
        <v/>
      </c>
      <c r="K67" s="552" t="n"/>
      <c r="L67" s="55">
        <f>IF(H67="","",H67)</f>
        <v/>
      </c>
      <c r="M67" s="552" t="n"/>
      <c r="N67" s="57">
        <f>IF(I67="","",I67)</f>
        <v/>
      </c>
    </row>
    <row r="68" ht="14.25" customHeight="1" s="468">
      <c r="A68" s="634" t="n"/>
      <c r="B68" s="38" t="n"/>
      <c r="C68" s="39" t="n"/>
      <c r="D68" s="40" t="n"/>
      <c r="E68" s="41" t="n"/>
      <c r="F68" s="552" t="n"/>
      <c r="G68" s="40" t="n"/>
      <c r="H68" s="43" t="n"/>
      <c r="I68" s="44" t="n"/>
      <c r="J68" s="40">
        <f>IF(D68="","",ROUNDUP(D68/IF(AND(C68="600 ml",ISNUMBER(SEARCH("NORCAU",B68))),95,IF(AND(C68="600 ml",ISNUMBER(SEARCH("APURATOS",B68))),190,IF(C68="600 ml",95,IF(C68="400 ml",125,IF(C68="200 ml",330,IF(C68="180 ml",240,1)))))),0))</f>
        <v/>
      </c>
      <c r="K68" s="552" t="n"/>
      <c r="L68" s="43">
        <f>IF(H68="","",H68)</f>
        <v/>
      </c>
      <c r="M68" s="552" t="n"/>
      <c r="N68" s="44">
        <f>IF(I68="","",I68)</f>
        <v/>
      </c>
    </row>
    <row r="69" ht="14.25" customHeight="1" s="468">
      <c r="A69" s="639" t="n"/>
      <c r="B69" s="640" t="inlineStr">
        <is>
          <t>TOTAL</t>
        </is>
      </c>
      <c r="C69" s="641" t="n"/>
      <c r="D69" s="642">
        <f>IF(J69="","",TEXT(J69,"#,##0"))</f>
        <v/>
      </c>
      <c r="E69" s="643" t="n"/>
      <c r="F69" s="644" t="n"/>
      <c r="G69" s="642">
        <f>IF(K69="","",TEXT(K69,"#,##0"))</f>
        <v/>
      </c>
      <c r="H69" s="642">
        <f>IF(L69="","",TEXT(L69,"#,##0"))</f>
        <v/>
      </c>
      <c r="I69" s="642">
        <f>IF(M69="","",TEXT(M69,"#,##0"))</f>
        <v/>
      </c>
      <c r="J69" s="645">
        <f>SUM(D64:D68)</f>
        <v/>
      </c>
      <c r="K69" s="644">
        <f>SUM(G64:G68)</f>
        <v/>
      </c>
      <c r="L69" s="645">
        <f>SUM(H64:H68)</f>
        <v/>
      </c>
      <c r="M69" s="644">
        <f>SUM(I64:I68)</f>
        <v/>
      </c>
      <c r="N69" s="69">
        <f>IF(I69="","",I69)</f>
        <v/>
      </c>
      <c r="O69">
        <f>SUM(N65:N68)</f>
        <v/>
      </c>
    </row>
    <row r="70" ht="14.25" customHeight="1" s="468">
      <c r="A70" s="638" t="n"/>
      <c r="B70" s="70" t="n"/>
      <c r="C70" s="71" t="n"/>
      <c r="D70" s="552" t="n"/>
      <c r="F70" s="552" t="n"/>
      <c r="G70" s="552" t="n"/>
      <c r="H70" s="552" t="n"/>
      <c r="I70" s="552" t="n"/>
      <c r="J70" s="552">
        <f>IF(D70="","",ROUNDUP(D70/IF(AND(C70="600 ml",ISNUMBER(SEARCH("NORCAU",B70))),95,IF(AND(C70="600 ml",ISNUMBER(SEARCH("APURATOS",B70))),190,IF(C70="600 ml",95,IF(C70="400 ml",125,IF(C70="200 ml",330,IF(C70="180 ml",240,1)))))),0))</f>
        <v/>
      </c>
      <c r="K70" s="552" t="n"/>
      <c r="L70" s="552">
        <f>IF(H70="","",H70)</f>
        <v/>
      </c>
      <c r="M70" s="552" t="n"/>
      <c r="N70">
        <f>IF(I70="","",I70)</f>
        <v/>
      </c>
    </row>
    <row r="71" ht="19.5" customHeight="1" s="468">
      <c r="A71" s="646" t="n">
        <v>46065</v>
      </c>
      <c r="B71" s="30" t="inlineStr">
        <is>
          <t>PRODUTO</t>
        </is>
      </c>
      <c r="C71" s="31" t="inlineStr">
        <is>
          <t>EMBALAGEM</t>
        </is>
      </c>
      <c r="D71" s="647" t="inlineStr">
        <is>
          <t>CAIXAS</t>
        </is>
      </c>
      <c r="E71" s="32" t="inlineStr">
        <is>
          <t>UN</t>
        </is>
      </c>
      <c r="F71" s="648" t="inlineStr">
        <is>
          <t>CX/PALLET</t>
        </is>
      </c>
      <c r="G71" s="647" t="inlineStr">
        <is>
          <t>PALLETS (PBR)</t>
        </is>
      </c>
      <c r="H71" s="647" t="inlineStr">
        <is>
          <t>REAL (CX)</t>
        </is>
      </c>
      <c r="I71" s="649" t="inlineStr">
        <is>
          <t>TOTAL LATAS</t>
        </is>
      </c>
      <c r="J71" s="650" t="n"/>
      <c r="K71" s="650" t="n"/>
      <c r="L71" s="651" t="n"/>
      <c r="M71" s="650" t="n"/>
      <c r="N71" s="36" t="n"/>
    </row>
    <row r="72" ht="14.25" customHeight="1" s="468">
      <c r="A72" s="634" t="n"/>
      <c r="B72" s="38" t="n"/>
      <c r="C72" s="39" t="n"/>
      <c r="D72" s="40" t="n"/>
      <c r="E72" s="41" t="n"/>
      <c r="F72" s="552" t="n"/>
      <c r="G72" s="40" t="n"/>
      <c r="H72" s="43" t="n"/>
      <c r="I72" s="44" t="n"/>
      <c r="J72" s="40">
        <f>IF(D72="","",ROUNDUP(D72/IF(AND(C72="600 ml",ISNUMBER(SEARCH("NORCAU",B72))),95,IF(AND(C72="600 ml",ISNUMBER(SEARCH("APURATOS",B72))),190,IF(C72="600 ml",95,IF(C72="400 ml",125,IF(C72="200 ml",330,IF(C72="180 ml",240,1)))))),0))</f>
        <v/>
      </c>
      <c r="K72" s="552" t="n"/>
      <c r="L72" s="43">
        <f>IF(H72="","",H72)</f>
        <v/>
      </c>
      <c r="M72" s="552" t="n"/>
      <c r="N72" s="44">
        <f>IF(I72="","",I72)</f>
        <v/>
      </c>
    </row>
    <row r="73" ht="14.25" customHeight="1" s="468">
      <c r="A73" s="635" t="n">
        <v>400</v>
      </c>
      <c r="B73" s="47" t="inlineStr">
        <is>
          <t>ICEBERG CHEF</t>
        </is>
      </c>
      <c r="C73" s="48" t="n">
        <v>400</v>
      </c>
      <c r="D73" s="49">
        <f>D66-L66</f>
        <v/>
      </c>
      <c r="E73" s="50" t="inlineStr">
        <is>
          <t>CX</t>
        </is>
      </c>
      <c r="F73" s="552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/>
      </c>
      <c r="G73" s="49">
        <f>IFERROR(ROUNDUP(D73/F73,0),"")</f>
        <v/>
      </c>
      <c r="H73" s="52" t="n">
        <v>1431</v>
      </c>
      <c r="I73" s="53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/>
      </c>
      <c r="J73" s="636">
        <f>IF(D73="","",ROUNDUP(D73/IF(AND(C73="600 ml",ISNUMBER(SEARCH("NORCAU",B73))),95,IF(AND(C73="600 ml",ISNUMBER(SEARCH("APURATOS",B73))),190,IF(C73="600 ml",95,IF(C73="400 ml",125,IF(C73="200 ml",330,IF(C73="180 ml",240,1)))))),0))</f>
        <v/>
      </c>
      <c r="K73" s="552" t="n"/>
      <c r="L73" s="55">
        <f>IF(H73="","",H73)</f>
        <v/>
      </c>
      <c r="M73" s="637" t="n"/>
      <c r="N73" s="57">
        <f>IF(I73="","",I73)</f>
        <v/>
      </c>
    </row>
    <row r="74" ht="14.25" customHeight="1" s="468">
      <c r="A74" s="638" t="n"/>
      <c r="B74" s="38" t="n"/>
      <c r="C74" s="39" t="n"/>
      <c r="D74" s="40" t="n"/>
      <c r="E74" s="41" t="inlineStr">
        <is>
          <t>CX</t>
        </is>
      </c>
      <c r="F74" s="552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40">
        <f>IFERROR(ROUNDUP(D74/F74,0),"")</f>
        <v/>
      </c>
      <c r="H74" s="43" t="n"/>
      <c r="I74" s="44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  <c r="J74" s="40">
        <f>IF(D74="","",ROUNDUP(D74/IF(AND(C74="600 ml",ISNUMBER(SEARCH("NORCAU",B74))),95,IF(AND(C74="600 ml",ISNUMBER(SEARCH("APURATOS",B74))),190,IF(C74="600 ml",95,IF(C74="400 ml",125,IF(C74="200 ml",330,IF(C74="180 ml",240,1)))))),0))</f>
        <v/>
      </c>
      <c r="K74" s="552" t="n"/>
      <c r="L74" s="43">
        <f>IF(H74="","",H74)</f>
        <v/>
      </c>
      <c r="M74" s="637" t="n"/>
      <c r="N74" s="44">
        <f>IF(I74="","",I74)</f>
        <v/>
      </c>
    </row>
    <row r="75" ht="14.25" customHeight="1" s="468">
      <c r="A75" s="634" t="n"/>
      <c r="B75" s="47" t="n"/>
      <c r="C75" s="48" t="n"/>
      <c r="D75" s="49" t="n"/>
      <c r="E75" s="50" t="inlineStr">
        <is>
          <t>CX</t>
        </is>
      </c>
      <c r="F75" s="552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49">
        <f>IFERROR(ROUNDUP(D75/F75,0),"")</f>
        <v/>
      </c>
      <c r="H75" s="52" t="n"/>
      <c r="I75" s="53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  <c r="J75" s="636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K75" s="552" t="n"/>
      <c r="L75" s="55">
        <f>IF(H75="","",H75)</f>
        <v/>
      </c>
      <c r="M75" s="552" t="n"/>
      <c r="N75" s="57">
        <f>IF(I75="","",I75)</f>
        <v/>
      </c>
    </row>
    <row r="76" ht="14.25" customHeight="1" s="468">
      <c r="A76" s="634" t="n"/>
      <c r="B76" s="38" t="n"/>
      <c r="C76" s="39" t="n"/>
      <c r="D76" s="40" t="n"/>
      <c r="E76" s="41" t="n"/>
      <c r="F76" s="552" t="n"/>
      <c r="G76" s="40" t="n"/>
      <c r="H76" s="43" t="n"/>
      <c r="I76" s="44" t="n"/>
      <c r="J76" s="40">
        <f>IF(D76="","",ROUNDUP(D76/IF(AND(C76="600 ml",ISNUMBER(SEARCH("NORCAU",B76))),95,IF(AND(C76="600 ml",ISNUMBER(SEARCH("APURATOS",B76))),190,IF(C76="600 ml",95,IF(C76="400 ml",125,IF(C76="200 ml",330,IF(C76="180 ml",240,1)))))),0))</f>
        <v/>
      </c>
      <c r="K76" s="552" t="n"/>
      <c r="L76" s="43">
        <f>IF(H76="","",H76)</f>
        <v/>
      </c>
      <c r="M76" s="552" t="n"/>
      <c r="N76" s="44">
        <f>IF(I76="","",I76)</f>
        <v/>
      </c>
    </row>
    <row r="77" ht="14.25" customHeight="1" s="468">
      <c r="A77" s="639" t="n"/>
      <c r="B77" s="640" t="inlineStr">
        <is>
          <t>TOTAL</t>
        </is>
      </c>
      <c r="C77" s="641" t="n"/>
      <c r="D77" s="642">
        <f>IF(J77="","",TEXT(J77,"#,##0"))</f>
        <v/>
      </c>
      <c r="E77" s="643" t="n"/>
      <c r="F77" s="644" t="n"/>
      <c r="G77" s="642">
        <f>IF(K77="","",TEXT(K77,"#,##0"))</f>
        <v/>
      </c>
      <c r="H77" s="642">
        <f>IF(L77="","",TEXT(L77,"#,##0"))</f>
        <v/>
      </c>
      <c r="I77" s="642">
        <f>IF(M77="","",TEXT(M77,"#,##0"))</f>
        <v/>
      </c>
      <c r="J77" s="645">
        <f>SUM(D72:D76)</f>
        <v/>
      </c>
      <c r="K77" s="644">
        <f>SUM(G72:G76)</f>
        <v/>
      </c>
      <c r="L77" s="645">
        <f>SUM(H72:H76)</f>
        <v/>
      </c>
      <c r="M77" s="644">
        <f>SUM(I72:I76)</f>
        <v/>
      </c>
      <c r="N77" s="69">
        <f>IF(I77="","",I77)</f>
        <v/>
      </c>
      <c r="O77">
        <f>SUM(N73:N76)</f>
        <v/>
      </c>
    </row>
    <row r="78" ht="14.25" customHeight="1" s="468">
      <c r="A78" s="638" t="n"/>
      <c r="B78" s="70" t="n"/>
      <c r="C78" s="71" t="n"/>
      <c r="D78" s="552" t="n"/>
      <c r="F78" s="552" t="n"/>
      <c r="G78" s="552" t="n"/>
      <c r="H78" s="552" t="n"/>
      <c r="I78" s="552" t="n"/>
      <c r="J78" s="552">
        <f>IF(D78="","",ROUNDUP(D78/IF(AND(C78="600 ml",ISNUMBER(SEARCH("NORCAU",B78))),95,IF(AND(C78="600 ml",ISNUMBER(SEARCH("APURATOS",B78))),190,IF(C78="600 ml",95,IF(C78="400 ml",125,IF(C78="200 ml",330,IF(C78="180 ml",240,1)))))),0))</f>
        <v/>
      </c>
      <c r="K78" s="552" t="n"/>
      <c r="L78" s="552">
        <f>IF(H78="","",H78)</f>
        <v/>
      </c>
      <c r="M78" s="552" t="n"/>
      <c r="N78">
        <f>IF(I78="","",I78)</f>
        <v/>
      </c>
    </row>
    <row r="79" ht="19.5" customHeight="1" s="468">
      <c r="A79" s="646" t="n">
        <v>46066</v>
      </c>
      <c r="B79" s="30" t="inlineStr">
        <is>
          <t>PRODUTO</t>
        </is>
      </c>
      <c r="C79" s="31" t="inlineStr">
        <is>
          <t>EMBALAGEM</t>
        </is>
      </c>
      <c r="D79" s="647" t="inlineStr">
        <is>
          <t>CAIXAS</t>
        </is>
      </c>
      <c r="E79" s="32" t="inlineStr">
        <is>
          <t>UN</t>
        </is>
      </c>
      <c r="F79" s="648" t="inlineStr">
        <is>
          <t>CX/PALLET</t>
        </is>
      </c>
      <c r="G79" s="647" t="inlineStr">
        <is>
          <t>PALLETS (PBR)</t>
        </is>
      </c>
      <c r="H79" s="647" t="inlineStr">
        <is>
          <t>REAL (CX)</t>
        </is>
      </c>
      <c r="I79" s="649" t="inlineStr">
        <is>
          <t>TOTAL LATAS</t>
        </is>
      </c>
      <c r="J79" s="650" t="n"/>
      <c r="K79" s="650" t="n"/>
      <c r="L79" s="651" t="n"/>
      <c r="M79" s="650" t="n"/>
      <c r="N79" s="36" t="n"/>
    </row>
    <row r="80" ht="14.25" customHeight="1" s="468">
      <c r="A80" s="634" t="n"/>
      <c r="B80" s="38" t="n"/>
      <c r="C80" s="39" t="n"/>
      <c r="D80" s="40" t="n"/>
      <c r="E80" s="41" t="n"/>
      <c r="F80" s="552" t="n"/>
      <c r="G80" s="40" t="n"/>
      <c r="H80" s="43" t="n"/>
      <c r="I80" s="44" t="n"/>
      <c r="J80" s="40">
        <f>IF(D80="","",ROUNDUP(D80/IF(AND(C80="600 ml",ISNUMBER(SEARCH("NORCAU",B80))),95,IF(AND(C80="600 ml",ISNUMBER(SEARCH("APURATOS",B80))),190,IF(C80="600 ml",95,IF(C80="400 ml",125,IF(C80="200 ml",330,IF(C80="180 ml",240,1)))))),0))</f>
        <v/>
      </c>
      <c r="K80" s="552" t="n"/>
      <c r="L80" s="43">
        <f>IF(H80="","",H80)</f>
        <v/>
      </c>
      <c r="M80" s="552" t="n"/>
      <c r="N80" s="44">
        <f>IF(I80="","",I80)</f>
        <v/>
      </c>
    </row>
    <row r="81" ht="15" customHeight="1" s="468">
      <c r="A81" s="635" t="n">
        <v>400</v>
      </c>
      <c r="B81" s="47" t="inlineStr">
        <is>
          <t>ICEBERG CHEF</t>
        </is>
      </c>
      <c r="C81" s="48" t="n">
        <v>400</v>
      </c>
      <c r="D81" s="49">
        <f>D73-L73</f>
        <v/>
      </c>
      <c r="E81" s="50" t="inlineStr">
        <is>
          <t>CX</t>
        </is>
      </c>
      <c r="F81" s="552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49">
        <f>IFERROR(ROUNDUP(D81/F81,0),"")</f>
        <v/>
      </c>
      <c r="H81" s="52" t="n">
        <v>287</v>
      </c>
      <c r="I81" s="53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  <c r="J81" s="636">
        <f>IF(D81="","",ROUNDUP(D81/IF(AND(C81="600 ml",ISNUMBER(SEARCH("NORCAU",B81))),95,IF(AND(C81="600 ml",ISNUMBER(SEARCH("APURATOS",B81))),190,IF(C81="600 ml",95,IF(C81="400 ml",125,IF(C81="200 ml",330,IF(C81="180 ml",240,1)))))),0))</f>
        <v/>
      </c>
      <c r="K81" s="552" t="n"/>
      <c r="L81" s="55">
        <f>IF(H81="","",H81)</f>
        <v/>
      </c>
      <c r="M81" s="637" t="n"/>
      <c r="N81" s="57">
        <f>IF(I81="","",I81)</f>
        <v/>
      </c>
      <c r="P81" s="516" t="inlineStr">
        <is>
          <t>PARAMOS 14:00 POIS O MOTOR DA ESTEIRA PRINCIPAL QUEBROU.</t>
        </is>
      </c>
      <c r="Q81" s="462" t="n"/>
      <c r="R81" s="462" t="n"/>
      <c r="S81" s="463" t="n"/>
    </row>
    <row r="82" ht="14.25" customHeight="1" s="468">
      <c r="A82" s="638" t="n"/>
      <c r="B82" s="38" t="inlineStr">
        <is>
          <t>CASA PANIFICADOR</t>
        </is>
      </c>
      <c r="C82" s="39" t="n">
        <v>400</v>
      </c>
      <c r="D82" s="40" t="n">
        <v>200</v>
      </c>
      <c r="E82" s="41" t="inlineStr">
        <is>
          <t>CX</t>
        </is>
      </c>
      <c r="F82" s="552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40">
        <f>IFERROR(ROUNDUP(D82/F82,0),"")</f>
        <v/>
      </c>
      <c r="H82" s="43" t="n">
        <v>202</v>
      </c>
      <c r="I82" s="44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  <c r="J82" s="40">
        <f>IF(D82="","",ROUNDUP(D82/IF(AND(C82="600 ml",ISNUMBER(SEARCH("NORCAU",B82))),95,IF(AND(C82="600 ml",ISNUMBER(SEARCH("APURATOS",B82))),190,IF(C82="600 ml",95,IF(C82="400 ml",125,IF(C82="200 ml",330,IF(C82="180 ml",240,1)))))),0))</f>
        <v/>
      </c>
      <c r="K82" s="552" t="n"/>
      <c r="L82" s="43">
        <f>IF(H82="","",H82)</f>
        <v/>
      </c>
      <c r="M82" s="637" t="n"/>
      <c r="N82" s="44">
        <f>IF(I82="","",I82)</f>
        <v/>
      </c>
      <c r="P82" s="523" t="n"/>
      <c r="S82" s="514" t="n"/>
    </row>
    <row r="83" ht="14.25" customHeight="1" s="468">
      <c r="A83" s="634" t="n"/>
      <c r="B83" s="47" t="inlineStr">
        <is>
          <t>REPETECO CHEF</t>
        </is>
      </c>
      <c r="C83" s="48" t="n">
        <v>400</v>
      </c>
      <c r="D83" s="49" t="n">
        <v>250</v>
      </c>
      <c r="E83" s="50" t="inlineStr">
        <is>
          <t>CX</t>
        </is>
      </c>
      <c r="F83" s="552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/>
      </c>
      <c r="G83" s="49">
        <f>IFERROR(ROUNDUP(D83/F83,0),"")</f>
        <v/>
      </c>
      <c r="H83" s="52" t="n">
        <v>252</v>
      </c>
      <c r="I83" s="53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/>
      </c>
      <c r="J83" s="636">
        <f>IF(D83="","",ROUNDUP(D83/IF(AND(C83="600 ml",ISNUMBER(SEARCH("NORCAU",B83))),95,IF(AND(C83="600 ml",ISNUMBER(SEARCH("APURATOS",B83))),190,IF(C83="600 ml",95,IF(C83="400 ml",125,IF(C83="200 ml",330,IF(C83="180 ml",240,1)))))),0))</f>
        <v/>
      </c>
      <c r="K83" s="552" t="n"/>
      <c r="L83" s="55">
        <f>IF(H83="","",H83)</f>
        <v/>
      </c>
      <c r="M83" s="552" t="n"/>
      <c r="N83" s="57">
        <f>IF(I83="","",I83)</f>
        <v/>
      </c>
      <c r="P83" s="464" t="n"/>
      <c r="Q83" s="465" t="n"/>
      <c r="R83" s="465" t="n"/>
      <c r="S83" s="466" t="n"/>
    </row>
    <row r="84" ht="14.25" customHeight="1" s="468">
      <c r="A84" s="634" t="n"/>
      <c r="B84" s="38" t="inlineStr">
        <is>
          <t>ROCHAPAN</t>
        </is>
      </c>
      <c r="C84" s="39" t="n">
        <v>400</v>
      </c>
      <c r="D84" s="40" t="n">
        <v>250</v>
      </c>
      <c r="E84" s="41" t="inlineStr">
        <is>
          <t>CX</t>
        </is>
      </c>
      <c r="F84" s="552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40">
        <f>IFERROR(ROUNDUP(D84/F84,0),"")</f>
        <v/>
      </c>
      <c r="H84" s="43" t="n">
        <v>61</v>
      </c>
      <c r="I84" s="44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40">
        <f>IF(D84="","",ROUNDUP(D84/IF(AND(C84="600 ml",ISNUMBER(SEARCH("NORCAU",B84))),95,IF(AND(C84="600 ml",ISNUMBER(SEARCH("APURATOS",B84))),190,IF(C84="600 ml",95,IF(C84="400 ml",125,IF(C84="200 ml",330,IF(C84="180 ml",240,1)))))),0))</f>
        <v/>
      </c>
      <c r="K84" s="552" t="n"/>
      <c r="L84" s="43">
        <f>IF(H84="","",H84)</f>
        <v/>
      </c>
      <c r="M84" s="552" t="n"/>
      <c r="N84" s="44">
        <f>IF(I84="","",I84)</f>
        <v/>
      </c>
    </row>
    <row r="85" ht="14.25" customHeight="1" s="468">
      <c r="A85" s="634" t="n"/>
      <c r="B85" s="47" t="inlineStr">
        <is>
          <t>BRICOFLEX</t>
        </is>
      </c>
      <c r="C85" s="48" t="n">
        <v>400</v>
      </c>
      <c r="D85" s="49" t="n">
        <v>125</v>
      </c>
      <c r="E85" s="50" t="inlineStr">
        <is>
          <t>CX</t>
        </is>
      </c>
      <c r="F85" s="552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49">
        <f>IFERROR(ROUNDUP(D85/F85,0),"")</f>
        <v/>
      </c>
      <c r="H85" s="52" t="n"/>
      <c r="I85" s="53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636">
        <f>IF(D85="","",ROUNDUP(D85/IF(AND(C85="600 ml",ISNUMBER(SEARCH("NORCAU",B85))),95,IF(AND(C85="600 ml",ISNUMBER(SEARCH("APURATOS",B85))),190,IF(C85="600 ml",95,IF(C85="400 ml",125,IF(C85="200 ml",330,IF(C85="180 ml",240,1)))))),0))</f>
        <v/>
      </c>
      <c r="K85" s="552" t="n"/>
      <c r="L85" s="55">
        <f>IF(H85="","",H85)</f>
        <v/>
      </c>
      <c r="M85" s="552" t="n"/>
      <c r="N85" s="57">
        <f>IF(I85="","",I85)</f>
        <v/>
      </c>
    </row>
    <row r="86" ht="14.25" customHeight="1" s="468">
      <c r="A86" s="634" t="n"/>
      <c r="B86" s="88" t="inlineStr">
        <is>
          <t>TTF</t>
        </is>
      </c>
      <c r="C86" s="71" t="n">
        <v>400</v>
      </c>
      <c r="D86" s="552" t="n">
        <v>125</v>
      </c>
      <c r="E86" t="inlineStr">
        <is>
          <t>CX</t>
        </is>
      </c>
      <c r="F86" s="552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552">
        <f>IFERROR(ROUNDUP(D86/F86,0),"")</f>
        <v/>
      </c>
      <c r="H86" s="637" t="n"/>
      <c r="I86" s="657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552">
        <f>IF(D86="","",ROUNDUP(D86/IF(AND(C86="600 ml",ISNUMBER(SEARCH("NORCAU",B86))),95,IF(AND(C86="600 ml",ISNUMBER(SEARCH("APURATOS",B86))),190,IF(C86="600 ml",95,IF(C86="400 ml",125,IF(C86="200 ml",330,IF(C86="180 ml",240,1)))))),0))</f>
        <v/>
      </c>
      <c r="K86" s="552" t="n"/>
      <c r="L86" s="637">
        <f>IF(H86="","",H86)</f>
        <v/>
      </c>
      <c r="M86" s="552" t="n"/>
      <c r="N86" s="514">
        <f>IF(I86="","",I86)</f>
        <v/>
      </c>
    </row>
    <row r="87" ht="14.25" customHeight="1" s="468">
      <c r="A87" s="634" t="n"/>
      <c r="B87" s="47" t="n"/>
      <c r="C87" s="110" t="n"/>
      <c r="D87" s="659" t="n"/>
      <c r="E87" s="108" t="inlineStr">
        <is>
          <t>CX</t>
        </is>
      </c>
      <c r="F87" s="552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659">
        <f>IFERROR(ROUNDUP(D87/F87,0),"")</f>
        <v/>
      </c>
      <c r="H87" s="661" t="n"/>
      <c r="I87" s="662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552">
        <f>IF(D87="","",ROUNDUP(D87/IF(AND(C87="600 ml",ISNUMBER(SEARCH("NORCAU",B87))),95,IF(AND(C87="600 ml",ISNUMBER(SEARCH("APURATOS",B87))),190,IF(C87="600 ml",95,IF(C87="400 ml",125,IF(C87="200 ml",330,IF(C87="180 ml",240,1)))))),0))</f>
        <v/>
      </c>
      <c r="K87" s="552" t="n"/>
      <c r="L87" s="637">
        <f>IF(H87="","",H87)</f>
        <v/>
      </c>
      <c r="M87" s="552" t="n"/>
      <c r="N87" s="514">
        <f>IF(I87="","",I87)</f>
        <v/>
      </c>
    </row>
    <row r="88" ht="14.25" customHeight="1" s="468">
      <c r="A88" s="634" t="n"/>
      <c r="B88" s="88" t="n"/>
      <c r="C88" s="71" t="n"/>
      <c r="D88" s="552" t="n"/>
      <c r="F88" s="552" t="n"/>
      <c r="G88" s="552" t="n"/>
      <c r="H88" s="637" t="n"/>
      <c r="I88" s="657" t="n"/>
      <c r="J88" s="552">
        <f>IF(D88="","",ROUNDUP(D88/IF(AND(C88="600 ml",ISNUMBER(SEARCH("NORCAU",B88))),95,IF(AND(C88="600 ml",ISNUMBER(SEARCH("APURATOS",B88))),190,IF(C88="600 ml",95,IF(C88="400 ml",125,IF(C88="200 ml",330,IF(C88="180 ml",240,1)))))),0))</f>
        <v/>
      </c>
      <c r="K88" s="552" t="n"/>
      <c r="L88" s="637">
        <f>IF(H88="","",H88)</f>
        <v/>
      </c>
      <c r="M88" s="552" t="n"/>
      <c r="N88" s="514">
        <f>IF(I88="","",I88)</f>
        <v/>
      </c>
    </row>
    <row r="89" ht="14.25" customHeight="1" s="468">
      <c r="A89" s="639" t="n"/>
      <c r="B89" s="640" t="inlineStr">
        <is>
          <t>TOTAL</t>
        </is>
      </c>
      <c r="C89" s="641" t="n"/>
      <c r="D89" s="642">
        <f>IF(J89="","",TEXT(J89,"#,##0"))</f>
        <v/>
      </c>
      <c r="E89" s="643" t="n"/>
      <c r="F89" s="644" t="n"/>
      <c r="G89" s="642">
        <f>IF(K89="","",TEXT(K89,"#,##0"))</f>
        <v/>
      </c>
      <c r="H89" s="642">
        <f>IF(L89="","",TEXT(L89,"#,##0"))</f>
        <v/>
      </c>
      <c r="I89" s="642">
        <f>IF(M89="","",TEXT(M89,"#,##0"))</f>
        <v/>
      </c>
      <c r="J89" s="644">
        <f>SUM(D80:D88)</f>
        <v/>
      </c>
      <c r="K89" s="644">
        <f>SUM(G80:G88)</f>
        <v/>
      </c>
      <c r="L89" s="644">
        <f>SUM(H80:H88)</f>
        <v/>
      </c>
      <c r="M89" s="644">
        <f>SUM(I80:I88)</f>
        <v/>
      </c>
      <c r="N89" s="90">
        <f>IF(I89="","",I89)</f>
        <v/>
      </c>
      <c r="O89">
        <f>SUM(N81:N88)</f>
        <v/>
      </c>
    </row>
    <row r="90" ht="14.25" customHeight="1" s="468">
      <c r="A90" s="638" t="n"/>
      <c r="B90" s="70" t="n"/>
      <c r="C90" s="71" t="n"/>
      <c r="D90" s="552" t="n"/>
      <c r="F90" s="552" t="n"/>
      <c r="G90" s="552" t="n"/>
      <c r="H90" s="552" t="n"/>
      <c r="I90" s="552" t="n"/>
      <c r="J90" s="552">
        <f>IF(D90="","",ROUNDUP(D90/IF(AND(C90="600 ml",ISNUMBER(SEARCH("NORCAU",B90))),95,IF(AND(C90="600 ml",ISNUMBER(SEARCH("APURATOS",B90))),190,IF(C90="600 ml",95,IF(C90="400 ml",125,IF(C90="200 ml",330,IF(C90="180 ml",240,1)))))),0))</f>
        <v/>
      </c>
      <c r="K90" s="552" t="n"/>
      <c r="L90" s="552">
        <f>IF(H90="","",H90)</f>
        <v/>
      </c>
      <c r="M90" s="552" t="n"/>
      <c r="N90">
        <f>IF(I90="","",I90)</f>
        <v/>
      </c>
    </row>
    <row r="91" ht="19.5" customHeight="1" s="468">
      <c r="A91" s="646" t="n">
        <v>46071</v>
      </c>
      <c r="B91" s="30" t="inlineStr">
        <is>
          <t>PRODUTO</t>
        </is>
      </c>
      <c r="C91" s="31" t="inlineStr">
        <is>
          <t>EMBALAGEM</t>
        </is>
      </c>
      <c r="D91" s="647" t="inlineStr">
        <is>
          <t>CAIXAS</t>
        </is>
      </c>
      <c r="E91" s="32" t="inlineStr">
        <is>
          <t>UN</t>
        </is>
      </c>
      <c r="F91" s="648" t="inlineStr">
        <is>
          <t>CX/PALLET</t>
        </is>
      </c>
      <c r="G91" s="647" t="inlineStr">
        <is>
          <t>PALLETS (PBR)</t>
        </is>
      </c>
      <c r="H91" s="647" t="inlineStr">
        <is>
          <t>REAL (CX)</t>
        </is>
      </c>
      <c r="I91" s="649" t="inlineStr">
        <is>
          <t>TOTAL LATAS</t>
        </is>
      </c>
      <c r="J91" s="650" t="n"/>
      <c r="K91" s="650" t="n"/>
      <c r="L91" s="651" t="n"/>
      <c r="M91" s="650" t="n"/>
      <c r="N91" s="36" t="n"/>
    </row>
    <row r="92" ht="14.25" customHeight="1" s="468">
      <c r="A92" s="634" t="n"/>
      <c r="B92" s="38" t="n"/>
      <c r="C92" s="39" t="n"/>
      <c r="D92" s="40" t="n"/>
      <c r="E92" s="41" t="n"/>
      <c r="F92" s="552" t="n"/>
      <c r="G92" s="40" t="n"/>
      <c r="H92" s="43" t="n"/>
      <c r="I92" s="44" t="n"/>
      <c r="J92" s="40">
        <f>IF(D92="","",ROUNDUP(D92/IF(AND(C92="600 ml",ISNUMBER(SEARCH("NORCAU",B92))),95,IF(AND(C92="600 ml",ISNUMBER(SEARCH("APURATOS",B92))),190,IF(C92="600 ml",95,IF(C92="400 ml",125,IF(C92="200 ml",330,IF(C92="180 ml",240,1)))))),0))</f>
        <v/>
      </c>
      <c r="K92" s="552" t="n"/>
      <c r="L92" s="43">
        <f>IF(H92="","",H92)</f>
        <v/>
      </c>
      <c r="M92" s="552" t="n"/>
      <c r="N92" s="44">
        <f>IF(I92="","",I92)</f>
        <v/>
      </c>
    </row>
    <row r="93" ht="15" customHeight="1" s="468">
      <c r="A93" s="635" t="n">
        <v>400</v>
      </c>
      <c r="B93" s="47" t="inlineStr">
        <is>
          <t>ROCHAPAN</t>
        </is>
      </c>
      <c r="C93" s="48" t="n">
        <v>400</v>
      </c>
      <c r="D93" s="49">
        <f>D84-L84</f>
        <v/>
      </c>
      <c r="E93" s="50" t="inlineStr">
        <is>
          <t>CX</t>
        </is>
      </c>
      <c r="F93" s="552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49">
        <f>IFERROR(ROUNDUP(D93/F93,0),"")</f>
        <v/>
      </c>
      <c r="H93" s="52" t="n">
        <v>192</v>
      </c>
      <c r="I93" s="53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636">
        <f>IF(D93="","",ROUNDUP(D93/IF(AND(C93="600 ml",ISNUMBER(SEARCH("NORCAU",B93))),95,IF(AND(C93="600 ml",ISNUMBER(SEARCH("APURATOS",B93))),190,IF(C93="600 ml",95,IF(C93="400 ml",125,IF(C93="200 ml",330,IF(C93="180 ml",240,1)))))),0))</f>
        <v/>
      </c>
      <c r="K93" s="552" t="n"/>
      <c r="L93" s="55">
        <f>IF(H93="","",H93)</f>
        <v/>
      </c>
      <c r="M93" s="552" t="n"/>
      <c r="N93" s="57">
        <f>IF(I93="","",I93)</f>
        <v/>
      </c>
      <c r="P93" s="516" t="inlineStr">
        <is>
          <t>VOLTAMOS 13:00 APÓS A TROCA DO MOTOR DA ESTEIRA.</t>
        </is>
      </c>
      <c r="Q93" s="462" t="n"/>
      <c r="R93" s="462" t="n"/>
      <c r="S93" s="463" t="n"/>
    </row>
    <row r="94" ht="14.25" customHeight="1" s="468">
      <c r="A94" s="638" t="n"/>
      <c r="B94" s="38" t="inlineStr">
        <is>
          <t>BRICOFLEX</t>
        </is>
      </c>
      <c r="C94" s="39" t="n">
        <v>400</v>
      </c>
      <c r="D94" s="40" t="n">
        <v>125</v>
      </c>
      <c r="E94" s="41" t="inlineStr">
        <is>
          <t>CX</t>
        </is>
      </c>
      <c r="F94" s="552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40">
        <f>IFERROR(ROUNDUP(D94/F94,0),"")</f>
        <v/>
      </c>
      <c r="H94" s="43" t="n">
        <v>229</v>
      </c>
      <c r="I94" s="44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40">
        <f>IF(D94="","",ROUNDUP(D94/IF(AND(C94="600 ml",ISNUMBER(SEARCH("NORCAU",B94))),95,IF(AND(C94="600 ml",ISNUMBER(SEARCH("APURATOS",B94))),190,IF(C94="600 ml",95,IF(C94="400 ml",125,IF(C94="200 ml",330,IF(C94="180 ml",240,1)))))),0))</f>
        <v/>
      </c>
      <c r="K94" s="552" t="n"/>
      <c r="L94" s="43">
        <f>IF(H94="","",H94)</f>
        <v/>
      </c>
      <c r="M94" s="552" t="n"/>
      <c r="N94" s="44">
        <f>IF(I94="","",I94)</f>
        <v/>
      </c>
      <c r="P94" s="523" t="n"/>
      <c r="S94" s="514" t="n"/>
    </row>
    <row r="95" ht="14.25" customHeight="1" s="468">
      <c r="A95" s="638" t="n"/>
      <c r="B95" s="47" t="inlineStr">
        <is>
          <t>TTF</t>
        </is>
      </c>
      <c r="C95" s="48" t="n">
        <v>400</v>
      </c>
      <c r="D95" s="49" t="n">
        <v>125</v>
      </c>
      <c r="E95" s="50" t="inlineStr">
        <is>
          <t>CX</t>
        </is>
      </c>
      <c r="F95" s="552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49">
        <f>IFERROR(ROUNDUP(D95/F95,0),"")</f>
        <v/>
      </c>
      <c r="H95" s="52" t="n">
        <v>18</v>
      </c>
      <c r="I95" s="53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636">
        <f>IF(D95="","",ROUNDUP(D95/IF(AND(C95="600 ml",ISNUMBER(SEARCH("NORCAU",B95))),95,IF(AND(C95="600 ml",ISNUMBER(SEARCH("APURATOS",B95))),190,IF(C95="600 ml",95,IF(C95="400 ml",125,IF(C95="200 ml",330,IF(C95="180 ml",240,1)))))),0))</f>
        <v/>
      </c>
      <c r="K95" s="552" t="n"/>
      <c r="L95" s="55">
        <f>IF(H95="","",H95)</f>
        <v/>
      </c>
      <c r="M95" s="552" t="n"/>
      <c r="N95" s="57">
        <f>IF(I95="","",I95)</f>
        <v/>
      </c>
      <c r="P95" s="464" t="n"/>
      <c r="Q95" s="465" t="n"/>
      <c r="R95" s="465" t="n"/>
      <c r="S95" s="466" t="n"/>
    </row>
    <row r="96" ht="14.25" customHeight="1" s="468">
      <c r="A96" s="638" t="n"/>
      <c r="B96" s="38" t="n"/>
      <c r="C96" s="39" t="n"/>
      <c r="D96" s="40" t="n"/>
      <c r="E96" s="41" t="inlineStr">
        <is>
          <t>CX</t>
        </is>
      </c>
      <c r="F96" s="552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40">
        <f>IFERROR(ROUNDUP(D96/F96,0),"")</f>
        <v/>
      </c>
      <c r="H96" s="43" t="n"/>
      <c r="I96" s="44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40">
        <f>IF(D96="","",ROUNDUP(D96/IF(AND(C96="600 ml",ISNUMBER(SEARCH("NORCAU",B96))),95,IF(AND(C96="600 ml",ISNUMBER(SEARCH("APURATOS",B96))),190,IF(C96="600 ml",95,IF(C96="400 ml",125,IF(C96="200 ml",330,IF(C96="180 ml",240,1)))))),0))</f>
        <v/>
      </c>
      <c r="K96" s="552" t="n"/>
      <c r="L96" s="43">
        <f>IF(H96="","",H96)</f>
        <v/>
      </c>
      <c r="M96" s="637" t="n"/>
      <c r="N96" s="44">
        <f>IF(I96="","",I96)</f>
        <v/>
      </c>
    </row>
    <row r="97" ht="14.25" customHeight="1" s="468">
      <c r="A97" s="634" t="n"/>
      <c r="B97" s="47" t="n"/>
      <c r="C97" s="48" t="n"/>
      <c r="D97" s="49" t="n"/>
      <c r="E97" s="50" t="inlineStr">
        <is>
          <t>CX</t>
        </is>
      </c>
      <c r="F97" s="552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49">
        <f>IFERROR(ROUNDUP(D97/F97,0),"")</f>
        <v/>
      </c>
      <c r="H97" s="52" t="n"/>
      <c r="I97" s="53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636">
        <f>IF(D97="","",ROUNDUP(D97/IF(AND(C97="600 ml",ISNUMBER(SEARCH("NORCAU",B97))),95,IF(AND(C97="600 ml",ISNUMBER(SEARCH("APURATOS",B97))),190,IF(C97="600 ml",95,IF(C97="400 ml",125,IF(C97="200 ml",330,IF(C97="180 ml",240,1)))))),0))</f>
        <v/>
      </c>
      <c r="K97" s="552" t="n"/>
      <c r="L97" s="55">
        <f>IF(H97="","",H97)</f>
        <v/>
      </c>
      <c r="M97" s="552" t="n"/>
      <c r="N97" s="57">
        <f>IF(I97="","",I97)</f>
        <v/>
      </c>
    </row>
    <row r="98" ht="14.25" customHeight="1" s="468">
      <c r="A98" s="634" t="n"/>
      <c r="B98" s="88" t="n"/>
      <c r="C98" s="71" t="n"/>
      <c r="D98" s="552" t="n"/>
      <c r="F98" s="552" t="n"/>
      <c r="G98" s="552" t="n"/>
      <c r="H98" s="637" t="n"/>
      <c r="I98" s="657" t="n"/>
      <c r="J98" s="552">
        <f>IF(D98="","",ROUNDUP(D98/IF(AND(C98="600 ml",ISNUMBER(SEARCH("NORCAU",B98))),95,IF(AND(C98="600 ml",ISNUMBER(SEARCH("APURATOS",B98))),190,IF(C98="600 ml",95,IF(C98="400 ml",125,IF(C98="200 ml",330,IF(C98="180 ml",240,1)))))),0))</f>
        <v/>
      </c>
      <c r="K98" s="552" t="n"/>
      <c r="L98" s="637">
        <f>IF(H98="","",H98)</f>
        <v/>
      </c>
      <c r="M98" s="552" t="n"/>
      <c r="N98" s="514">
        <f>IF(I98="","",I98)</f>
        <v/>
      </c>
    </row>
    <row r="99" ht="14.25" customHeight="1" s="468">
      <c r="A99" s="639" t="n"/>
      <c r="B99" s="640" t="inlineStr">
        <is>
          <t>TOTAL</t>
        </is>
      </c>
      <c r="C99" s="641" t="n"/>
      <c r="D99" s="642">
        <f>IF(J99="","",TEXT(J99,"#,##0"))</f>
        <v/>
      </c>
      <c r="E99" s="643" t="n"/>
      <c r="F99" s="644" t="n"/>
      <c r="G99" s="642">
        <f>IF(K99="","",TEXT(K99,"#,##0"))</f>
        <v/>
      </c>
      <c r="H99" s="642">
        <f>IF(L99="","",TEXT(L99,"#,##0"))</f>
        <v/>
      </c>
      <c r="I99" s="642">
        <f>IF(M99="","",TEXT(M99,"#,##0"))</f>
        <v/>
      </c>
      <c r="J99" s="644">
        <f>SUM(D92:D98)</f>
        <v/>
      </c>
      <c r="K99" s="644">
        <f>SUM(G92:G98)</f>
        <v/>
      </c>
      <c r="L99" s="644">
        <f>SUM(H92:H98)</f>
        <v/>
      </c>
      <c r="M99" s="644">
        <f>SUM(I92:I98)</f>
        <v/>
      </c>
      <c r="N99" s="90">
        <f>IF(I99="","",I99)</f>
        <v/>
      </c>
      <c r="O99">
        <f>SUM(N93:N98)</f>
        <v/>
      </c>
    </row>
    <row r="100" ht="14.25" customHeight="1" s="468">
      <c r="A100" s="638" t="n"/>
      <c r="B100" s="70" t="n"/>
      <c r="C100" s="71" t="n"/>
      <c r="D100" s="552" t="n"/>
      <c r="F100" s="552" t="n"/>
      <c r="G100" s="552" t="n"/>
      <c r="H100" s="552" t="n"/>
      <c r="I100" s="552" t="n"/>
      <c r="J100" s="552">
        <f>IF(D100="","",ROUNDUP(D100/IF(AND(C100="600 ml",ISNUMBER(SEARCH("NORCAU",B100))),95,IF(AND(C100="600 ml",ISNUMBER(SEARCH("APURATOS",B100))),190,IF(C100="600 ml",95,IF(C100="400 ml",125,IF(C100="200 ml",330,IF(C100="180 ml",240,1)))))),0))</f>
        <v/>
      </c>
      <c r="K100" s="552" t="n"/>
      <c r="L100" s="552">
        <f>IF(H100="","",H100)</f>
        <v/>
      </c>
      <c r="M100" s="552" t="n"/>
      <c r="N100">
        <f>IF(I100="","",I100)</f>
        <v/>
      </c>
    </row>
    <row r="101" ht="19.5" customHeight="1" s="468">
      <c r="A101" s="646" t="n">
        <v>46072</v>
      </c>
      <c r="B101" s="113" t="inlineStr">
        <is>
          <t>PRODUTO</t>
        </is>
      </c>
      <c r="C101" s="114" t="inlineStr">
        <is>
          <t>EMBALAGEM</t>
        </is>
      </c>
      <c r="D101" s="663" t="inlineStr">
        <is>
          <t>CAIXAS</t>
        </is>
      </c>
      <c r="E101" s="115" t="inlineStr">
        <is>
          <t>UN</t>
        </is>
      </c>
      <c r="F101" s="648" t="inlineStr">
        <is>
          <t>CX/PALLET</t>
        </is>
      </c>
      <c r="G101" s="663" t="inlineStr">
        <is>
          <t>PALLETS (PBR)</t>
        </is>
      </c>
      <c r="H101" s="663" t="inlineStr">
        <is>
          <t>REAL (CX)</t>
        </is>
      </c>
      <c r="I101" s="663" t="inlineStr">
        <is>
          <t>TOTAL LATAS</t>
        </is>
      </c>
      <c r="J101" s="650" t="n"/>
      <c r="K101" s="650" t="n"/>
      <c r="L101" s="651" t="n"/>
      <c r="M101" s="650" t="n"/>
      <c r="N101" s="36" t="n"/>
    </row>
    <row r="102" ht="14.25" customHeight="1" s="468">
      <c r="A102" s="634" t="n"/>
      <c r="B102" s="38" t="n"/>
      <c r="C102" s="39" t="n"/>
      <c r="D102" s="40" t="n"/>
      <c r="E102" s="41" t="n"/>
      <c r="F102" s="552" t="n"/>
      <c r="G102" s="40" t="n"/>
      <c r="H102" s="43" t="n"/>
      <c r="I102" s="44" t="n"/>
      <c r="J102" s="40">
        <f>IF(D102="","",ROUNDUP(D102/IF(AND(C102="600 ml",ISNUMBER(SEARCH("NORCAU",B102))),95,IF(AND(C102="600 ml",ISNUMBER(SEARCH("APURATOS",B102))),190,IF(C102="600 ml",95,IF(C102="400 ml",125,IF(C102="200 ml",330,IF(C102="180 ml",240,1)))))),0))</f>
        <v/>
      </c>
      <c r="K102" s="552" t="n"/>
      <c r="L102" s="43">
        <f>IF(H102="","",H102)</f>
        <v/>
      </c>
      <c r="M102" s="552" t="n"/>
      <c r="N102" s="44">
        <f>IF(I102="","",I102)</f>
        <v/>
      </c>
    </row>
    <row r="103" ht="14.25" customHeight="1" s="468">
      <c r="A103" s="664" t="inlineStr">
        <is>
          <t>400 / 180</t>
        </is>
      </c>
      <c r="B103" s="47" t="inlineStr">
        <is>
          <t>TTF</t>
        </is>
      </c>
      <c r="C103" s="48" t="n">
        <v>400</v>
      </c>
      <c r="D103" s="49">
        <f>D95-L95</f>
        <v/>
      </c>
      <c r="E103" s="50" t="inlineStr">
        <is>
          <t>CX</t>
        </is>
      </c>
      <c r="F103" s="552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49">
        <f>IFERROR(ROUNDUP(D103/F103,0),"")</f>
        <v/>
      </c>
      <c r="H103" s="52" t="n">
        <v>109</v>
      </c>
      <c r="I103" s="53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636">
        <f>IF(D103="","",ROUNDUP(D103/IF(AND(C103="600 ml",ISNUMBER(SEARCH("NORCAU",B103))),95,IF(AND(C103="600 ml",ISNUMBER(SEARCH("APURATOS",B103))),190,IF(C103="600 ml",95,IF(C103="400 ml",125,IF(C103="200 ml",330,IF(C103="180 ml",240,1)))))),0))</f>
        <v/>
      </c>
      <c r="K103" s="552" t="n"/>
      <c r="L103" s="55">
        <f>IF(H103="","",H103)</f>
        <v/>
      </c>
      <c r="M103" s="637" t="n"/>
      <c r="N103" s="57">
        <f>IF(I103="","",I103)</f>
        <v/>
      </c>
    </row>
    <row r="104" ht="14.25" customHeight="1" s="468">
      <c r="A104" s="665" t="n"/>
      <c r="B104" s="38" t="inlineStr">
        <is>
          <t>DISPAN</t>
        </is>
      </c>
      <c r="C104" s="39" t="n">
        <v>400</v>
      </c>
      <c r="D104" s="40" t="n">
        <v>375</v>
      </c>
      <c r="E104" s="41" t="inlineStr">
        <is>
          <t>CX</t>
        </is>
      </c>
      <c r="F104" s="552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40">
        <f>IFERROR(ROUNDUP(D104/F104,0),"")</f>
        <v/>
      </c>
      <c r="H104" s="43" t="n">
        <v>378</v>
      </c>
      <c r="I104" s="44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40">
        <f>IF(D104="","",ROUNDUP(D104/IF(AND(C104="600 ml",ISNUMBER(SEARCH("NORCAU",B104))),95,IF(AND(C104="600 ml",ISNUMBER(SEARCH("APURATOS",B104))),190,IF(C104="600 ml",95,IF(C104="400 ml",125,IF(C104="200 ml",330,IF(C104="180 ml",240,1)))))),0))</f>
        <v/>
      </c>
      <c r="K104" s="552" t="n"/>
      <c r="L104" s="43">
        <f>IF(H104="","",H104)</f>
        <v/>
      </c>
      <c r="M104" s="637" t="n"/>
      <c r="N104" s="44">
        <f>IF(I104="","",I104)</f>
        <v/>
      </c>
    </row>
    <row r="105" ht="14.25" customHeight="1" s="468">
      <c r="A105" s="665" t="n"/>
      <c r="B105" s="47" t="inlineStr">
        <is>
          <t>ADKO</t>
        </is>
      </c>
      <c r="C105" s="48" t="n">
        <v>180</v>
      </c>
      <c r="D105" s="49" t="n">
        <v>240</v>
      </c>
      <c r="E105" s="50" t="inlineStr">
        <is>
          <t>CX</t>
        </is>
      </c>
      <c r="F105" s="552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49">
        <f>IFERROR(ROUNDUP(D105/F105,0),"")</f>
        <v/>
      </c>
      <c r="H105" s="52" t="n">
        <v>240</v>
      </c>
      <c r="I105" s="53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  <c r="J105" s="636">
        <f>IF(D105="","",ROUNDUP(D105/IF(AND(C105="600 ml",ISNUMBER(SEARCH("NORCAU",B105))),95,IF(AND(C105="600 ml",ISNUMBER(SEARCH("APURATOS",B105))),190,IF(C105="600 ml",95,IF(C105="400 ml",125,IF(C105="200 ml",330,IF(C105="180 ml",240,1)))))),0))</f>
        <v/>
      </c>
      <c r="K105" s="552" t="n"/>
      <c r="L105" s="55">
        <f>IF(H105="","",H105)</f>
        <v/>
      </c>
      <c r="M105" s="552" t="n"/>
      <c r="N105" s="57">
        <f>IF(I105="","",I105)</f>
        <v/>
      </c>
    </row>
    <row r="106" ht="14.25" customHeight="1" s="468">
      <c r="A106" s="665" t="n"/>
      <c r="B106" s="38" t="inlineStr">
        <is>
          <t>UNTA FACIL</t>
        </is>
      </c>
      <c r="C106" s="39" t="n">
        <v>180</v>
      </c>
      <c r="D106" s="40" t="n">
        <v>480</v>
      </c>
      <c r="E106" s="41" t="inlineStr">
        <is>
          <t>CX</t>
        </is>
      </c>
      <c r="F106" s="552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40">
        <f>IFERROR(ROUNDUP(D106/F106,0),"")</f>
        <v/>
      </c>
      <c r="H106" s="43" t="n">
        <v>256</v>
      </c>
      <c r="I106" s="44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  <c r="J106" s="40">
        <f>IF(D106="","",ROUNDUP(D106/IF(AND(C106="600 ml",ISNUMBER(SEARCH("NORCAU",B106))),95,IF(AND(C106="600 ml",ISNUMBER(SEARCH("APURATOS",B106))),190,IF(C106="600 ml",95,IF(C106="400 ml",125,IF(C106="200 ml",330,IF(C106="180 ml",240,1)))))),0))</f>
        <v/>
      </c>
      <c r="K106" s="552" t="n"/>
      <c r="L106" s="43">
        <f>IF(H106="","",H106)</f>
        <v/>
      </c>
      <c r="M106" s="637" t="n"/>
      <c r="N106" s="44">
        <f>IF(I106="","",I106)</f>
        <v/>
      </c>
    </row>
    <row r="107" ht="14.25" customHeight="1" s="468">
      <c r="A107" s="634" t="n"/>
      <c r="B107" s="47" t="n"/>
      <c r="C107" s="48" t="n"/>
      <c r="D107" s="49" t="n"/>
      <c r="E107" s="50" t="inlineStr">
        <is>
          <t>CX</t>
        </is>
      </c>
      <c r="F107" s="659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49">
        <f>IFERROR(ROUNDUP(D107/F107,0),"")</f>
        <v/>
      </c>
      <c r="H107" s="52" t="n"/>
      <c r="I107" s="53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636">
        <f>IF(D107="","",ROUNDUP(D107/IF(AND(C107="600 ml",ISNUMBER(SEARCH("NORCAU",B107))),95,IF(AND(C107="600 ml",ISNUMBER(SEARCH("APURATOS",B107))),190,IF(C107="600 ml",95,IF(C107="400 ml",125,IF(C107="200 ml",330,IF(C107="180 ml",240,1)))))),0))</f>
        <v/>
      </c>
      <c r="K107" s="552" t="n"/>
      <c r="L107" s="55">
        <f>IF(H107="","",H107)</f>
        <v/>
      </c>
      <c r="M107" s="552" t="n"/>
      <c r="N107" s="57">
        <f>IF(I107="","",I107)</f>
        <v/>
      </c>
    </row>
    <row r="108" ht="14.25" customHeight="1" s="468">
      <c r="A108" s="634" t="n"/>
      <c r="B108" s="88" t="n"/>
      <c r="C108" s="71" t="n"/>
      <c r="D108" s="552" t="n"/>
      <c r="F108" s="552" t="n"/>
      <c r="G108" s="552" t="n"/>
      <c r="H108" s="637" t="n"/>
      <c r="I108" s="657" t="n"/>
      <c r="J108" s="552">
        <f>IF(D108="","",ROUNDUP(D108/IF(AND(C108="600 ml",ISNUMBER(SEARCH("NORCAU",B108))),95,IF(AND(C108="600 ml",ISNUMBER(SEARCH("APURATOS",B108))),190,IF(C108="600 ml",95,IF(C108="400 ml",125,IF(C108="200 ml",330,IF(C108="180 ml",240,1)))))),0))</f>
        <v/>
      </c>
      <c r="K108" s="552" t="n"/>
      <c r="L108" s="637">
        <f>IF(H108="","",H108)</f>
        <v/>
      </c>
      <c r="M108" s="552" t="n"/>
      <c r="N108" s="514">
        <f>IF(I108="","",I108)</f>
        <v/>
      </c>
    </row>
    <row r="109" ht="14.25" customHeight="1" s="468">
      <c r="A109" s="639" t="n"/>
      <c r="B109" s="640" t="inlineStr">
        <is>
          <t>TOTAL</t>
        </is>
      </c>
      <c r="C109" s="641" t="n"/>
      <c r="D109" s="642">
        <f>IF(J109="","",TEXT(J109,"#,##0"))</f>
        <v/>
      </c>
      <c r="E109" s="643" t="n"/>
      <c r="F109" s="644" t="n"/>
      <c r="G109" s="642">
        <f>IF(K109="","",TEXT(K109,"#,##0"))</f>
        <v/>
      </c>
      <c r="H109" s="642">
        <f>IF(L109="","",TEXT(L109,"#,##0"))</f>
        <v/>
      </c>
      <c r="I109" s="642">
        <f>IF(M109="","",TEXT(M109,"#,##0"))</f>
        <v/>
      </c>
      <c r="J109" s="644">
        <f>SUM(D102:D108)</f>
        <v/>
      </c>
      <c r="K109" s="644">
        <f>SUM(G102:G108)</f>
        <v/>
      </c>
      <c r="L109" s="644">
        <f>SUM(H102:H108)</f>
        <v/>
      </c>
      <c r="M109" s="644">
        <f>SUM(I102:I108)</f>
        <v/>
      </c>
      <c r="N109" s="90">
        <f>IF(I109="","",I109)</f>
        <v/>
      </c>
      <c r="O109">
        <f>SUM(N103:N108)</f>
        <v/>
      </c>
    </row>
    <row r="110" ht="14.25" customHeight="1" s="468">
      <c r="A110" s="638" t="n"/>
      <c r="B110" s="70" t="n"/>
      <c r="C110" s="71" t="n"/>
      <c r="D110" s="552" t="n"/>
      <c r="F110" s="552" t="n"/>
      <c r="G110" s="552" t="n"/>
      <c r="H110" s="552" t="n"/>
      <c r="I110" s="552" t="n"/>
      <c r="J110" s="552">
        <f>IF(D110="","",ROUNDUP(D110/IF(AND(C110="600 ml",ISNUMBER(SEARCH("NORCAU",B110))),95,IF(AND(C110="600 ml",ISNUMBER(SEARCH("APURATOS",B110))),190,IF(C110="600 ml",95,IF(C110="400 ml",125,IF(C110="200 ml",330,IF(C110="180 ml",240,1)))))),0))</f>
        <v/>
      </c>
      <c r="K110" s="552" t="n"/>
      <c r="L110" s="552">
        <f>IF(H110="","",H110)</f>
        <v/>
      </c>
      <c r="M110" s="552" t="n"/>
      <c r="N110">
        <f>IF(I110="","",I110)</f>
        <v/>
      </c>
    </row>
    <row r="111" ht="19.5" customHeight="1" s="468">
      <c r="A111" s="646" t="n">
        <v>46073</v>
      </c>
      <c r="B111" s="30" t="inlineStr">
        <is>
          <t>PRODUTO</t>
        </is>
      </c>
      <c r="C111" s="31" t="inlineStr">
        <is>
          <t>EMBALAGEM</t>
        </is>
      </c>
      <c r="D111" s="647" t="inlineStr">
        <is>
          <t>CAIXAS</t>
        </is>
      </c>
      <c r="E111" s="32" t="inlineStr">
        <is>
          <t>UN</t>
        </is>
      </c>
      <c r="F111" s="648" t="inlineStr">
        <is>
          <t>CX/PALLET</t>
        </is>
      </c>
      <c r="G111" s="647" t="inlineStr">
        <is>
          <t>PALLETS (PBR)</t>
        </is>
      </c>
      <c r="H111" s="647" t="inlineStr">
        <is>
          <t>REAL (CX)</t>
        </is>
      </c>
      <c r="I111" s="649" t="inlineStr">
        <is>
          <t>TOTAL LATAS</t>
        </is>
      </c>
      <c r="J111" s="650" t="n"/>
      <c r="K111" s="650" t="n"/>
      <c r="L111" s="651" t="n"/>
      <c r="M111" s="650" t="n"/>
      <c r="N111" s="36" t="n"/>
    </row>
    <row r="112" ht="14.25" customHeight="1" s="468">
      <c r="A112" s="634" t="n"/>
      <c r="B112" s="38" t="n"/>
      <c r="C112" s="39" t="n"/>
      <c r="D112" s="40" t="n"/>
      <c r="E112" s="41" t="n"/>
      <c r="F112" s="552" t="n"/>
      <c r="G112" s="40" t="n"/>
      <c r="H112" s="43" t="n"/>
      <c r="I112" s="44" t="n"/>
      <c r="J112" s="40">
        <f>IF(D112="","",ROUNDUP(D112/IF(AND(C112="600 ml",ISNUMBER(SEARCH("NORCAU",B112))),95,IF(AND(C112="600 ml",ISNUMBER(SEARCH("APURATOS",B112))),190,IF(C112="600 ml",95,IF(C112="400 ml",125,IF(C112="200 ml",330,IF(C112="180 ml",240,1)))))),0))</f>
        <v/>
      </c>
      <c r="K112" s="552" t="n"/>
      <c r="L112" s="43">
        <f>IF(H112="","",H112)</f>
        <v/>
      </c>
      <c r="M112" s="552" t="n"/>
      <c r="N112" s="44">
        <f>IF(I112="","",I112)</f>
        <v/>
      </c>
    </row>
    <row r="113" ht="14.25" customHeight="1" s="468">
      <c r="A113" s="635" t="inlineStr">
        <is>
          <t>COCO</t>
        </is>
      </c>
      <c r="B113" s="47" t="inlineStr">
        <is>
          <t>UNTA FACIL</t>
        </is>
      </c>
      <c r="C113" s="48" t="n">
        <v>180</v>
      </c>
      <c r="D113" s="49">
        <f>D106-L106</f>
        <v/>
      </c>
      <c r="E113" s="50" t="inlineStr">
        <is>
          <t>CX</t>
        </is>
      </c>
      <c r="F113" s="552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49">
        <f>IFERROR(ROUNDUP(D113/F113,0),"")</f>
        <v/>
      </c>
      <c r="H113" s="52" t="n">
        <v>226</v>
      </c>
      <c r="I113" s="53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  <c r="J113" s="636">
        <f>IF(D113="","",ROUNDUP(D113/IF(AND(C113="600 ml",ISNUMBER(SEARCH("NORCAU",B113))),95,IF(AND(C113="600 ml",ISNUMBER(SEARCH("APURATOS",B113))),190,IF(C113="600 ml",95,IF(C113="400 ml",125,IF(C113="200 ml",330,IF(C113="180 ml",240,1)))))),0))</f>
        <v/>
      </c>
      <c r="K113" s="552" t="n"/>
      <c r="L113" s="55">
        <f>IF(H113="","",H113)</f>
        <v/>
      </c>
      <c r="M113" s="637" t="n"/>
      <c r="N113" s="57">
        <f>IF(I113="","",I113)</f>
        <v/>
      </c>
    </row>
    <row r="114" ht="14.25" customHeight="1" s="468">
      <c r="A114" s="638" t="n"/>
      <c r="B114" s="38" t="inlineStr">
        <is>
          <t>QUALICOCO MANTEIGA</t>
        </is>
      </c>
      <c r="C114" s="39" t="n">
        <v>100</v>
      </c>
      <c r="D114" s="40" t="n">
        <v>720</v>
      </c>
      <c r="E114" s="41" t="inlineStr">
        <is>
          <t>CX</t>
        </is>
      </c>
      <c r="F114" s="552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40">
        <f>IFERROR(ROUNDUP(D114/F114,0),"")</f>
        <v/>
      </c>
      <c r="H114" s="43" t="n">
        <v>721</v>
      </c>
      <c r="I114" s="44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  <c r="J114" s="40">
        <f>IF(D114="","",ROUNDUP(D114/IF(AND(C114="600 ml",ISNUMBER(SEARCH("NORCAU",B114))),95,IF(AND(C114="600 ml",ISNUMBER(SEARCH("APURATOS",B114))),190,IF(C114="600 ml",95,IF(C114="400 ml",125,IF(C114="200 ml",330,IF(C114="180 ml",240,1)))))),0))</f>
        <v/>
      </c>
      <c r="K114" s="552" t="n"/>
      <c r="L114" s="43">
        <f>IF(H114="","",H114)</f>
        <v/>
      </c>
      <c r="M114" s="637" t="n"/>
      <c r="N114" s="44">
        <f>IF(I114="","",I114)</f>
        <v/>
      </c>
    </row>
    <row r="115" ht="14.25" customHeight="1" s="468">
      <c r="A115" s="634" t="n"/>
      <c r="B115" s="47" t="inlineStr">
        <is>
          <t>QUALICOCO EXTRAVIRGEM</t>
        </is>
      </c>
      <c r="C115" s="48" t="n">
        <v>100</v>
      </c>
      <c r="D115" s="49" t="n">
        <v>720</v>
      </c>
      <c r="E115" s="50" t="inlineStr">
        <is>
          <t>CX</t>
        </is>
      </c>
      <c r="F115" s="552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49">
        <f>IFERROR(ROUNDUP(D115/F115,0),"")</f>
        <v/>
      </c>
      <c r="H115" s="52" t="n">
        <v>150</v>
      </c>
      <c r="I115" s="53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  <c r="J115" s="636">
        <f>IF(D115="","",ROUNDUP(D115/IF(AND(C115="600 ml",ISNUMBER(SEARCH("NORCAU",B115))),95,IF(AND(C115="600 ml",ISNUMBER(SEARCH("APURATOS",B115))),190,IF(C115="600 ml",95,IF(C115="400 ml",125,IF(C115="200 ml",330,IF(C115="180 ml",240,1)))))),0))</f>
        <v/>
      </c>
      <c r="K115" s="552" t="n"/>
      <c r="L115" s="55">
        <f>IF(H115="","",H115)</f>
        <v/>
      </c>
      <c r="M115" s="552" t="n"/>
      <c r="N115" s="57">
        <f>IF(I115="","",I115)</f>
        <v/>
      </c>
    </row>
    <row r="116" ht="14.25" customHeight="1" s="468">
      <c r="A116" s="634" t="n"/>
      <c r="B116" s="38" t="n"/>
      <c r="C116" s="39" t="n"/>
      <c r="D116" s="40" t="n"/>
      <c r="E116" s="41" t="inlineStr">
        <is>
          <t>CX</t>
        </is>
      </c>
      <c r="F116" s="552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40">
        <f>IFERROR(ROUNDUP(D116/F116,0),"")</f>
        <v/>
      </c>
      <c r="H116" s="43" t="n"/>
      <c r="I116" s="44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40">
        <f>IF(D116="","",ROUNDUP(D116/IF(AND(C116="600 ml",ISNUMBER(SEARCH("NORCAU",B116))),95,IF(AND(C116="600 ml",ISNUMBER(SEARCH("APURATOS",B116))),190,IF(C116="600 ml",95,IF(C116="400 ml",125,IF(C116="200 ml",330,IF(C116="180 ml",240,1)))))),0))</f>
        <v/>
      </c>
      <c r="K116" s="552" t="n"/>
      <c r="L116" s="43">
        <f>IF(H116="","",H116)</f>
        <v/>
      </c>
      <c r="M116" s="552" t="n"/>
      <c r="N116" s="44">
        <f>IF(I116="","",I116)</f>
        <v/>
      </c>
    </row>
    <row r="117" ht="14.25" customHeight="1" s="468">
      <c r="A117" s="634" t="n"/>
      <c r="B117" s="47" t="n"/>
      <c r="C117" s="48" t="n"/>
      <c r="D117" s="49" t="n"/>
      <c r="E117" s="50" t="n"/>
      <c r="F117" s="552" t="n"/>
      <c r="G117" s="49" t="n"/>
      <c r="H117" s="52" t="n"/>
      <c r="I117" s="53" t="n"/>
      <c r="J117" s="636">
        <f>IF(D117="","",ROUNDUP(D117/IF(AND(C117="600 ml",ISNUMBER(SEARCH("NORCAU",B117))),95,IF(AND(C117="600 ml",ISNUMBER(SEARCH("APURATOS",B117))),190,IF(C117="600 ml",95,IF(C117="400 ml",125,IF(C117="200 ml",330,IF(C117="180 ml",240,1)))))),0))</f>
        <v/>
      </c>
      <c r="K117" s="552" t="n"/>
      <c r="L117" s="55">
        <f>IF(H117="","",H117)</f>
        <v/>
      </c>
      <c r="M117" s="552" t="n"/>
      <c r="N117" s="57">
        <f>IF(I117="","",I117)</f>
        <v/>
      </c>
    </row>
    <row r="118" ht="14.25" customHeight="1" s="468">
      <c r="A118" s="639" t="n"/>
      <c r="B118" s="640" t="inlineStr">
        <is>
          <t>TOTAL</t>
        </is>
      </c>
      <c r="C118" s="641" t="n"/>
      <c r="D118" s="642">
        <f>IF(J118="","",TEXT(J118,"#,##0"))</f>
        <v/>
      </c>
      <c r="E118" s="643" t="n"/>
      <c r="F118" s="644" t="n"/>
      <c r="G118" s="642">
        <f>IF(K118="","",TEXT(K118,"#,##0"))</f>
        <v/>
      </c>
      <c r="H118" s="642">
        <f>IF(L118="","",TEXT(L118,"#,##0"))</f>
        <v/>
      </c>
      <c r="I118" s="642">
        <f>IF(M118="","",TEXT(M118,"#,##0"))</f>
        <v/>
      </c>
      <c r="J118" s="644">
        <f>SUM(D112:D117)</f>
        <v/>
      </c>
      <c r="K118" s="644">
        <f>SUM(G112:G117)</f>
        <v/>
      </c>
      <c r="L118" s="644">
        <f>SUM(H112:H117)</f>
        <v/>
      </c>
      <c r="M118" s="644">
        <f>SUM(I112:I117)</f>
        <v/>
      </c>
      <c r="N118" s="90">
        <f>IF(I118="","",I118)</f>
        <v/>
      </c>
      <c r="O118">
        <f>SUM(N113:N117)</f>
        <v/>
      </c>
    </row>
    <row r="119" ht="14.25" customHeight="1" s="468">
      <c r="A119" s="638" t="n"/>
      <c r="B119" s="70" t="n"/>
      <c r="C119" s="71" t="n"/>
      <c r="D119" s="552" t="n"/>
      <c r="F119" s="552" t="n"/>
      <c r="G119" s="552" t="n"/>
      <c r="H119" s="552" t="n"/>
      <c r="I119" s="552" t="n"/>
      <c r="J119" s="552">
        <f>IF(D119="","",ROUNDUP(D119/IF(AND(C119="600 ml",ISNUMBER(SEARCH("NORCAU",B119))),95,IF(AND(C119="600 ml",ISNUMBER(SEARCH("APURATOS",B119))),190,IF(C119="600 ml",95,IF(C119="400 ml",125,IF(C119="200 ml",330,IF(C119="180 ml",240,1)))))),0))</f>
        <v/>
      </c>
      <c r="K119" s="552" t="n"/>
      <c r="L119" s="552">
        <f>IF(H119="","",H119)</f>
        <v/>
      </c>
      <c r="M119" s="552" t="n"/>
      <c r="N119">
        <f>IF(I119="","",I119)</f>
        <v/>
      </c>
    </row>
    <row r="120" ht="19.5" customHeight="1" s="468">
      <c r="A120" s="646" t="n">
        <v>46076</v>
      </c>
      <c r="B120" s="30" t="inlineStr">
        <is>
          <t>PRODUTO</t>
        </is>
      </c>
      <c r="C120" s="31" t="inlineStr">
        <is>
          <t>EMBALAGEM</t>
        </is>
      </c>
      <c r="D120" s="647" t="inlineStr">
        <is>
          <t>CAIXAS</t>
        </is>
      </c>
      <c r="E120" s="32" t="inlineStr">
        <is>
          <t>UN</t>
        </is>
      </c>
      <c r="F120" s="648" t="inlineStr">
        <is>
          <t>CX/PALLET</t>
        </is>
      </c>
      <c r="G120" s="647" t="inlineStr">
        <is>
          <t>PALLETS (PBR)</t>
        </is>
      </c>
      <c r="H120" s="647" t="inlineStr">
        <is>
          <t>REAL (CX)</t>
        </is>
      </c>
      <c r="I120" s="649" t="inlineStr">
        <is>
          <t>TOTAL LATAS</t>
        </is>
      </c>
      <c r="J120" s="650" t="n"/>
      <c r="K120" s="650" t="n"/>
      <c r="L120" s="651" t="n"/>
      <c r="M120" s="650" t="n"/>
      <c r="N120" s="36" t="n"/>
    </row>
    <row r="121" ht="14.25" customHeight="1" s="468">
      <c r="A121" s="634" t="n"/>
      <c r="B121" s="96" t="n"/>
      <c r="C121" s="97" t="n"/>
      <c r="D121" s="98" t="n"/>
      <c r="E121" s="99" t="n"/>
      <c r="F121" s="552" t="n"/>
      <c r="G121" s="98" t="n"/>
      <c r="H121" s="101" t="n"/>
      <c r="I121" s="102" t="n"/>
      <c r="J121" s="636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K121" s="552" t="n"/>
      <c r="L121" s="55">
        <f>IF(H121="","",H121)</f>
        <v/>
      </c>
      <c r="M121" s="552" t="n"/>
      <c r="N121" s="57">
        <f>IF(I121="","",I121)</f>
        <v/>
      </c>
    </row>
    <row r="122" ht="14.25" customHeight="1" s="468">
      <c r="A122" s="635" t="inlineStr">
        <is>
          <t>COCO</t>
        </is>
      </c>
      <c r="B122" s="47" t="inlineStr">
        <is>
          <t>QUALICOCO EXTRAVIRGEM</t>
        </is>
      </c>
      <c r="C122" s="48" t="n">
        <v>100</v>
      </c>
      <c r="D122" s="49">
        <f>D115-L115</f>
        <v/>
      </c>
      <c r="E122" s="50" t="inlineStr">
        <is>
          <t>CX</t>
        </is>
      </c>
      <c r="F122" s="552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49">
        <f>IFERROR(ROUNDUP(D122/F122,0),"")</f>
        <v/>
      </c>
      <c r="H122" s="52" t="n">
        <v>332</v>
      </c>
      <c r="I122" s="53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  <c r="J122" s="40">
        <f>IF(D122="","",ROUNDUP(D122/IF(AND(C122="600 ml",ISNUMBER(SEARCH("NORCAU",B122))),95,IF(AND(C122="600 ml",ISNUMBER(SEARCH("APURATOS",B122))),190,IF(C122="600 ml",95,IF(C122="400 ml",125,IF(C122="200 ml",330,IF(C122="180 ml",240,1)))))),0))</f>
        <v/>
      </c>
      <c r="K122" s="552" t="n"/>
      <c r="L122" s="43">
        <f>IF(H122="","",H122)</f>
        <v/>
      </c>
      <c r="M122" s="637" t="n"/>
      <c r="N122" s="44">
        <f>IF(I122="","",I122)</f>
        <v/>
      </c>
    </row>
    <row r="123" ht="14.25" customHeight="1" s="468">
      <c r="A123" s="638" t="n"/>
      <c r="B123" s="96" t="inlineStr">
        <is>
          <t>COPRA EXTRAVIRGEM</t>
        </is>
      </c>
      <c r="C123" s="97" t="n">
        <v>100</v>
      </c>
      <c r="D123" s="98" t="n">
        <v>502</v>
      </c>
      <c r="E123" s="99" t="inlineStr">
        <is>
          <t>CX</t>
        </is>
      </c>
      <c r="F123" s="552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98">
        <f>IFERROR(ROUNDUP(D123/F123,0),"")</f>
        <v/>
      </c>
      <c r="H123" s="101" t="n">
        <v>502</v>
      </c>
      <c r="I123" s="102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  <c r="J123" s="636">
        <f>IF(D123="","",ROUNDUP(D123/IF(AND(C123="600 ml",ISNUMBER(SEARCH("NORCAU",B123))),95,IF(AND(C123="600 ml",ISNUMBER(SEARCH("APURATOS",B123))),190,IF(C123="600 ml",95,IF(C123="400 ml",125,IF(C123="200 ml",330,IF(C123="180 ml",240,1)))))),0))</f>
        <v/>
      </c>
      <c r="K123" s="552" t="n"/>
      <c r="L123" s="55">
        <f>IF(H123="","",H123)</f>
        <v/>
      </c>
      <c r="M123" s="637" t="n"/>
      <c r="N123" s="57">
        <f>IF(I123="","",I123)</f>
        <v/>
      </c>
    </row>
    <row r="124" ht="14.25" customHeight="1" s="468">
      <c r="A124" s="634" t="n"/>
      <c r="B124" s="47" t="inlineStr">
        <is>
          <t>COPRA SEM SABOR</t>
        </is>
      </c>
      <c r="C124" s="48" t="n">
        <v>100</v>
      </c>
      <c r="D124" s="49" t="n">
        <v>580</v>
      </c>
      <c r="E124" s="50" t="inlineStr">
        <is>
          <t>CX</t>
        </is>
      </c>
      <c r="F124" s="552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49">
        <f>IFERROR(ROUNDUP(D124/F124,0),"")</f>
        <v/>
      </c>
      <c r="H124" s="52" t="n">
        <v>490</v>
      </c>
      <c r="I124" s="53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40">
        <f>IF(D124="","",ROUNDUP(D124/IF(AND(C124="600 ml",ISNUMBER(SEARCH("NORCAU",B124))),95,IF(AND(C124="600 ml",ISNUMBER(SEARCH("APURATOS",B124))),190,IF(C124="600 ml",95,IF(C124="400 ml",125,IF(C124="200 ml",330,IF(C124="180 ml",240,1)))))),0))</f>
        <v/>
      </c>
      <c r="K124" s="552" t="n"/>
      <c r="L124" s="43">
        <f>IF(H124="","",H124)</f>
        <v/>
      </c>
      <c r="M124" s="552" t="n"/>
      <c r="N124" s="44">
        <f>IF(I124="","",I124)</f>
        <v/>
      </c>
    </row>
    <row r="125" ht="14.25" customHeight="1" s="468">
      <c r="A125" s="634" t="n"/>
      <c r="B125" s="96" t="n"/>
      <c r="C125" s="97" t="n"/>
      <c r="D125" s="98" t="n"/>
      <c r="E125" s="99" t="n"/>
      <c r="F125" s="552" t="n"/>
      <c r="G125" s="98" t="n"/>
      <c r="H125" s="101" t="n"/>
      <c r="I125" s="102" t="n"/>
      <c r="J125" s="636">
        <f>IF(D125="","",ROUNDUP(D125/IF(AND(C125="600 ml",ISNUMBER(SEARCH("NORCAU",B125))),95,IF(AND(C125="600 ml",ISNUMBER(SEARCH("APURATOS",B125))),190,IF(C125="600 ml",95,IF(C125="400 ml",125,IF(C125="200 ml",330,IF(C125="180 ml",240,1)))))),0))</f>
        <v/>
      </c>
      <c r="K125" s="552" t="n"/>
      <c r="L125" s="55">
        <f>IF(H125="","",H125)</f>
        <v/>
      </c>
      <c r="M125" s="552" t="n"/>
      <c r="N125" s="57">
        <f>IF(I125="","",I125)</f>
        <v/>
      </c>
    </row>
    <row r="126" ht="14.25" customHeight="1" s="468">
      <c r="A126" s="639" t="n"/>
      <c r="B126" s="640" t="inlineStr">
        <is>
          <t>TOTAL</t>
        </is>
      </c>
      <c r="C126" s="641" t="n"/>
      <c r="D126" s="642">
        <f>IF(J126="","",TEXT(J126,"#,##0"))</f>
        <v/>
      </c>
      <c r="E126" s="643" t="n"/>
      <c r="F126" s="644" t="n"/>
      <c r="G126" s="642">
        <f>IF(K126="","",TEXT(K126,"#,##0"))</f>
        <v/>
      </c>
      <c r="H126" s="642">
        <f>IF(L126="","",TEXT(L126,"#,##0"))</f>
        <v/>
      </c>
      <c r="I126" s="642">
        <f>IF(M126="","",TEXT(M126,"#,##0"))</f>
        <v/>
      </c>
      <c r="J126" s="645">
        <f>SUM(D121:D125)</f>
        <v/>
      </c>
      <c r="K126" s="644">
        <f>SUM(G121:G125)</f>
        <v/>
      </c>
      <c r="L126" s="645">
        <f>SUM(H121:H125)</f>
        <v/>
      </c>
      <c r="M126" s="644">
        <f>SUM(I121:I125)</f>
        <v/>
      </c>
      <c r="N126" s="127">
        <f>IF(I126="","",I126)</f>
        <v/>
      </c>
      <c r="O126">
        <f>SUM(N122:N125)</f>
        <v/>
      </c>
    </row>
    <row r="127" ht="14.25" customHeight="1" s="468">
      <c r="A127" s="638" t="n"/>
      <c r="B127" s="70" t="n"/>
      <c r="C127" s="71" t="n"/>
      <c r="D127" s="552" t="n"/>
      <c r="F127" s="552" t="n"/>
      <c r="G127" s="552" t="n"/>
      <c r="H127" s="552" t="n"/>
      <c r="I127" s="552" t="n"/>
      <c r="J127" s="552">
        <f>IF(D127="","",ROUNDUP(D127/IF(AND(C127="600 ml",ISNUMBER(SEARCH("NORCAU",B127))),95,IF(AND(C127="600 ml",ISNUMBER(SEARCH("APURATOS",B127))),190,IF(C127="600 ml",95,IF(C127="400 ml",125,IF(C127="200 ml",330,IF(C127="180 ml",240,1)))))),0))</f>
        <v/>
      </c>
      <c r="K127" s="552" t="n"/>
      <c r="L127" s="552">
        <f>IF(H127="","",H127)</f>
        <v/>
      </c>
      <c r="M127" s="552" t="n"/>
      <c r="N127">
        <f>IF(I127="","",I127)</f>
        <v/>
      </c>
    </row>
    <row r="128" ht="19.5" customHeight="1" s="468">
      <c r="A128" s="646" t="n">
        <v>46077</v>
      </c>
      <c r="B128" s="30" t="inlineStr">
        <is>
          <t>PRODUTO</t>
        </is>
      </c>
      <c r="C128" s="31" t="inlineStr">
        <is>
          <t>EMBALAGEM</t>
        </is>
      </c>
      <c r="D128" s="647" t="inlineStr">
        <is>
          <t>CAIXAS</t>
        </is>
      </c>
      <c r="E128" s="32" t="inlineStr">
        <is>
          <t>UN</t>
        </is>
      </c>
      <c r="F128" s="648" t="inlineStr">
        <is>
          <t>CX/PALLET</t>
        </is>
      </c>
      <c r="G128" s="647" t="inlineStr">
        <is>
          <t>PALLETS (PBR)</t>
        </is>
      </c>
      <c r="H128" s="647" t="inlineStr">
        <is>
          <t>REAL (CX)</t>
        </is>
      </c>
      <c r="I128" s="649" t="inlineStr">
        <is>
          <t>TOTAL LATAS</t>
        </is>
      </c>
      <c r="J128" s="650" t="n"/>
      <c r="K128" s="650" t="n"/>
      <c r="L128" s="651" t="n"/>
      <c r="M128" s="650" t="n"/>
      <c r="N128" s="36" t="n"/>
    </row>
    <row r="129" ht="14.25" customHeight="1" s="468">
      <c r="A129" s="634" t="n"/>
      <c r="B129" s="96" t="n"/>
      <c r="C129" s="97" t="n"/>
      <c r="D129" s="98" t="n"/>
      <c r="E129" s="99" t="n"/>
      <c r="F129" s="552" t="n"/>
      <c r="G129" s="98" t="n"/>
      <c r="H129" s="101" t="n"/>
      <c r="I129" s="102" t="n"/>
      <c r="J129" s="636">
        <f>IF(D129="","",ROUNDUP(D129/IF(AND(C129="600 ml",ISNUMBER(SEARCH("NORCAU",B129))),95,IF(AND(C129="600 ml",ISNUMBER(SEARCH("APURATOS",B129))),190,IF(C129="600 ml",95,IF(C129="400 ml",125,IF(C129="200 ml",330,IF(C129="180 ml",240,1)))))),0))</f>
        <v/>
      </c>
      <c r="K129" s="552" t="n"/>
      <c r="L129" s="55">
        <f>IF(H129="","",H129)</f>
        <v/>
      </c>
      <c r="M129" s="552" t="n"/>
      <c r="N129" s="57">
        <f>IF(I129="","",I129)</f>
        <v/>
      </c>
    </row>
    <row r="130" ht="14.25" customHeight="1" s="468">
      <c r="A130" s="635" t="inlineStr">
        <is>
          <t>COCO</t>
        </is>
      </c>
      <c r="B130" s="47" t="inlineStr">
        <is>
          <t>COPRA SEM SABOR</t>
        </is>
      </c>
      <c r="C130" s="48" t="n">
        <v>100</v>
      </c>
      <c r="D130" s="49">
        <f>D124-L124</f>
        <v/>
      </c>
      <c r="E130" s="50" t="inlineStr">
        <is>
          <t>CX</t>
        </is>
      </c>
      <c r="F130" s="552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49">
        <f>IFERROR(ROUNDUP(D130/F130,0),"")</f>
        <v/>
      </c>
      <c r="H130" s="52" t="n">
        <v>97</v>
      </c>
      <c r="I130" s="53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  <c r="J130" s="40">
        <f>IF(D130="","",ROUNDUP(D130/IF(AND(C130="600 ml",ISNUMBER(SEARCH("NORCAU",B130))),95,IF(AND(C130="600 ml",ISNUMBER(SEARCH("APURATOS",B130))),190,IF(C130="600 ml",95,IF(C130="400 ml",125,IF(C130="200 ml",330,IF(C130="180 ml",240,1)))))),0))</f>
        <v/>
      </c>
      <c r="K130" s="552" t="n"/>
      <c r="L130" s="43">
        <f>IF(H130="","",H130)</f>
        <v/>
      </c>
      <c r="M130" s="637" t="n"/>
      <c r="N130" s="44">
        <f>IF(I130="","",I130)</f>
        <v/>
      </c>
    </row>
    <row r="131" ht="14.25" customHeight="1" s="468">
      <c r="A131" s="638" t="n"/>
      <c r="B131" s="96" t="inlineStr">
        <is>
          <t>SANTO ÓLEO SEM SABOR</t>
        </is>
      </c>
      <c r="C131" s="97" t="n">
        <v>100</v>
      </c>
      <c r="D131" s="98" t="n">
        <v>500</v>
      </c>
      <c r="E131" s="99" t="inlineStr">
        <is>
          <t>CX</t>
        </is>
      </c>
      <c r="F131" s="552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98">
        <f>IFERROR(ROUNDUP(D131/F131,0),"")</f>
        <v/>
      </c>
      <c r="H131" s="101" t="n">
        <v>505</v>
      </c>
      <c r="I131" s="102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  <c r="J131" s="636">
        <f>IF(D131="","",ROUNDUP(D131/IF(AND(C131="600 ml",ISNUMBER(SEARCH("NORCAU",B131))),95,IF(AND(C131="600 ml",ISNUMBER(SEARCH("APURATOS",B131))),190,IF(C131="600 ml",95,IF(C131="400 ml",125,IF(C131="200 ml",330,IF(C131="180 ml",240,1)))))),0))</f>
        <v/>
      </c>
      <c r="K131" s="552" t="n"/>
      <c r="L131" s="55">
        <f>IF(H131="","",H131)</f>
        <v/>
      </c>
      <c r="M131" s="637" t="n"/>
      <c r="N131" s="57">
        <f>IF(I131="","",I131)</f>
        <v/>
      </c>
    </row>
    <row r="132" ht="14.25" customHeight="1" s="468">
      <c r="A132" s="634" t="n"/>
      <c r="B132" s="47" t="inlineStr">
        <is>
          <t>SANTO ÓLEO EXTRA VIRGEM</t>
        </is>
      </c>
      <c r="C132" s="48" t="n">
        <v>100</v>
      </c>
      <c r="D132" s="49" t="n">
        <v>500</v>
      </c>
      <c r="E132" s="50" t="inlineStr">
        <is>
          <t>CX</t>
        </is>
      </c>
      <c r="F132" s="552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49">
        <f>IFERROR(ROUNDUP(D132/F132,0),"")</f>
        <v/>
      </c>
      <c r="H132" s="52" t="n">
        <v>459</v>
      </c>
      <c r="I132" s="53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40">
        <f>IF(D132="","",ROUNDUP(D132/IF(AND(C132="600 ml",ISNUMBER(SEARCH("NORCAU",B132))),95,IF(AND(C132="600 ml",ISNUMBER(SEARCH("APURATOS",B132))),190,IF(C132="600 ml",95,IF(C132="400 ml",125,IF(C132="200 ml",330,IF(C132="180 ml",240,1)))))),0))</f>
        <v/>
      </c>
      <c r="K132" s="552" t="n"/>
      <c r="L132" s="43">
        <f>IF(H132="","",H132)</f>
        <v/>
      </c>
      <c r="M132" s="552" t="n"/>
      <c r="N132" s="44">
        <f>IF(I132="","",I132)</f>
        <v/>
      </c>
    </row>
    <row r="133" ht="14.25" customHeight="1" s="468">
      <c r="A133" s="634" t="n"/>
      <c r="B133" s="96" t="n"/>
      <c r="C133" s="97" t="n"/>
      <c r="D133" s="98" t="n"/>
      <c r="E133" s="99" t="inlineStr">
        <is>
          <t>CX</t>
        </is>
      </c>
      <c r="F133" s="552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98">
        <f>IFERROR(ROUNDUP(D133/F133,0),"")</f>
        <v/>
      </c>
      <c r="H133" s="101" t="n"/>
      <c r="I133" s="102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636">
        <f>IF(D133="","",ROUNDUP(D133/IF(AND(C133="600 ml",ISNUMBER(SEARCH("NORCAU",B133))),95,IF(AND(C133="600 ml",ISNUMBER(SEARCH("APURATOS",B133))),190,IF(C133="600 ml",95,IF(C133="400 ml",125,IF(C133="200 ml",330,IF(C133="180 ml",240,1)))))),0))</f>
        <v/>
      </c>
      <c r="K133" s="552" t="n"/>
      <c r="L133" s="55">
        <f>IF(H133="","",H133)</f>
        <v/>
      </c>
      <c r="M133" s="552" t="n"/>
      <c r="N133" s="57">
        <f>IF(I133="","",I133)</f>
        <v/>
      </c>
    </row>
    <row r="134" ht="14.25" customHeight="1" s="468">
      <c r="A134" s="634" t="n"/>
      <c r="B134" s="47" t="n"/>
      <c r="C134" s="48" t="n"/>
      <c r="D134" s="49" t="n"/>
      <c r="E134" s="50" t="n"/>
      <c r="F134" s="552" t="n"/>
      <c r="G134" s="49" t="n"/>
      <c r="H134" s="52" t="n"/>
      <c r="I134" s="53" t="n"/>
      <c r="J134" s="40">
        <f>IF(D134="","",ROUNDUP(D134/IF(AND(C134="600 ml",ISNUMBER(SEARCH("NORCAU",B134))),95,IF(AND(C134="600 ml",ISNUMBER(SEARCH("APURATOS",B134))),190,IF(C134="600 ml",95,IF(C134="400 ml",125,IF(C134="200 ml",330,IF(C134="180 ml",240,1)))))),0))</f>
        <v/>
      </c>
      <c r="K134" s="552" t="n"/>
      <c r="L134" s="43">
        <f>IF(H134="","",H134)</f>
        <v/>
      </c>
      <c r="M134" s="552" t="n"/>
      <c r="N134" s="44">
        <f>IF(I134="","",I134)</f>
        <v/>
      </c>
    </row>
    <row r="135" ht="14.25" customHeight="1" s="468">
      <c r="A135" s="639" t="n"/>
      <c r="B135" s="640" t="inlineStr">
        <is>
          <t>TOTAL</t>
        </is>
      </c>
      <c r="C135" s="641" t="n"/>
      <c r="D135" s="642">
        <f>IF(J135="","",TEXT(J135,"#,##0"))</f>
        <v/>
      </c>
      <c r="E135" s="643" t="n"/>
      <c r="F135" s="644" t="n"/>
      <c r="G135" s="642">
        <f>IF(K135="","",TEXT(K135,"#,##0"))</f>
        <v/>
      </c>
      <c r="H135" s="642">
        <f>IF(L135="","",TEXT(L135,"#,##0"))</f>
        <v/>
      </c>
      <c r="I135" s="642">
        <f>IF(M135="","",TEXT(M135,"#,##0"))</f>
        <v/>
      </c>
      <c r="J135" s="644">
        <f>SUM(D129:D134)</f>
        <v/>
      </c>
      <c r="K135" s="644">
        <f>SUM(G129:G134)</f>
        <v/>
      </c>
      <c r="L135" s="644">
        <f>SUM(H129:H134)</f>
        <v/>
      </c>
      <c r="M135" s="644">
        <f>SUM(I129:I134)</f>
        <v/>
      </c>
      <c r="N135" s="90">
        <f>IF(I135="","",I135)</f>
        <v/>
      </c>
      <c r="O135">
        <f>SUM(N130:N134)</f>
        <v/>
      </c>
    </row>
    <row r="136" ht="14.25" customHeight="1" s="468">
      <c r="A136" s="638" t="n"/>
      <c r="B136" s="70" t="n"/>
      <c r="C136" s="71" t="n"/>
      <c r="D136" s="552" t="n"/>
      <c r="F136" s="552" t="n"/>
      <c r="G136" s="552" t="n"/>
      <c r="H136" s="552" t="n"/>
      <c r="I136" s="552" t="n"/>
      <c r="J136" s="552">
        <f>IF(D136="","",ROUNDUP(D136/IF(AND(C136="600 ml",ISNUMBER(SEARCH("NORCAU",B136))),95,IF(AND(C136="600 ml",ISNUMBER(SEARCH("APURATOS",B136))),190,IF(C136="600 ml",95,IF(C136="400 ml",125,IF(C136="200 ml",330,IF(C136="180 ml",240,1)))))),0))</f>
        <v/>
      </c>
      <c r="K136" s="552" t="n"/>
      <c r="L136" s="552">
        <f>IF(H136="","",H136)</f>
        <v/>
      </c>
      <c r="M136" s="552" t="n"/>
      <c r="N136">
        <f>IF(I136="","",I136)</f>
        <v/>
      </c>
    </row>
    <row r="137" ht="19.5" customHeight="1" s="468">
      <c r="A137" s="646" t="n">
        <v>46078</v>
      </c>
      <c r="B137" s="30" t="inlineStr">
        <is>
          <t>PRODUTO</t>
        </is>
      </c>
      <c r="C137" s="31" t="inlineStr">
        <is>
          <t>EMBALAGEM</t>
        </is>
      </c>
      <c r="D137" s="647" t="inlineStr">
        <is>
          <t>CAIXAS</t>
        </is>
      </c>
      <c r="E137" s="32" t="inlineStr">
        <is>
          <t>UN</t>
        </is>
      </c>
      <c r="F137" s="648" t="inlineStr">
        <is>
          <t>CX/PALLET</t>
        </is>
      </c>
      <c r="G137" s="647" t="inlineStr">
        <is>
          <t>PALLETS (PBR)</t>
        </is>
      </c>
      <c r="H137" s="647" t="inlineStr">
        <is>
          <t>REAL (CX)</t>
        </is>
      </c>
      <c r="I137" s="649" t="inlineStr">
        <is>
          <t>TOTAL LATAS</t>
        </is>
      </c>
      <c r="J137" s="650" t="n"/>
      <c r="K137" s="650" t="n"/>
      <c r="L137" s="651" t="n"/>
      <c r="M137" s="650" t="n"/>
      <c r="N137" s="36" t="n"/>
    </row>
    <row r="138" ht="14.25" customHeight="1" s="468">
      <c r="A138" s="634" t="n"/>
      <c r="B138" s="38" t="n"/>
      <c r="C138" s="39" t="n"/>
      <c r="D138" s="40" t="n"/>
      <c r="E138" s="41" t="n"/>
      <c r="F138" s="552" t="n"/>
      <c r="G138" s="40" t="n"/>
      <c r="H138" s="43" t="n"/>
      <c r="I138" s="44" t="n"/>
      <c r="J138" s="40">
        <f>IF(D138="","",ROUNDUP(D138/IF(AND(C138="600 ml",ISNUMBER(SEARCH("NORCAU",B138))),95,IF(AND(C138="600 ml",ISNUMBER(SEARCH("APURATOS",B138))),190,IF(C138="600 ml",95,IF(C138="400 ml",125,IF(C138="200 ml",330,IF(C138="180 ml",240,1)))))),0))</f>
        <v/>
      </c>
      <c r="K138" s="552" t="n"/>
      <c r="L138" s="43">
        <f>IF(H138="","",H138)</f>
        <v/>
      </c>
      <c r="M138" s="552" t="n"/>
      <c r="N138" s="44">
        <f>IF(I138="","",I138)</f>
        <v/>
      </c>
    </row>
    <row r="139" ht="14.25" customHeight="1" s="468">
      <c r="A139" s="635" t="inlineStr">
        <is>
          <t>CORANTE</t>
        </is>
      </c>
      <c r="B139" s="47" t="inlineStr">
        <is>
          <t>SANTO ÓLEO EXTRA VIRGEM</t>
        </is>
      </c>
      <c r="C139" s="48" t="n">
        <v>100</v>
      </c>
      <c r="D139" s="49" t="n">
        <v>36</v>
      </c>
      <c r="E139" s="50" t="inlineStr">
        <is>
          <t>CX</t>
        </is>
      </c>
      <c r="F139" s="552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49">
        <f>IFERROR(ROUNDUP(D139/F139,0),"")</f>
        <v/>
      </c>
      <c r="H139" s="52" t="n">
        <v>36</v>
      </c>
      <c r="I139" s="53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  <c r="J139" s="636">
        <f>IF(D139="","",ROUNDUP(D139/IF(AND(C139="600 ml",ISNUMBER(SEARCH("NORCAU",B139))),95,IF(AND(C139="600 ml",ISNUMBER(SEARCH("APURATOS",B139))),190,IF(C139="600 ml",95,IF(C139="400 ml",125,IF(C139="200 ml",330,IF(C139="180 ml",240,1)))))),0))</f>
        <v/>
      </c>
      <c r="K139" s="552" t="n"/>
      <c r="L139" s="55">
        <f>IF(H139="","",H139)</f>
        <v/>
      </c>
      <c r="M139" s="637" t="n"/>
      <c r="N139" s="57">
        <f>IF(I139="","",I139)</f>
        <v/>
      </c>
    </row>
    <row r="140" ht="14.25" customHeight="1" s="468">
      <c r="A140" s="638" t="n"/>
      <c r="B140" s="38" t="inlineStr">
        <is>
          <t>CORANTE AZUL INLOCO</t>
        </is>
      </c>
      <c r="C140" s="39" t="n">
        <v>70</v>
      </c>
      <c r="D140" s="40" t="n">
        <v>240</v>
      </c>
      <c r="E140" s="41" t="inlineStr">
        <is>
          <t>CX</t>
        </is>
      </c>
      <c r="F140" s="552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40">
        <f>IFERROR(ROUNDUP(D140/F140,0),"")</f>
        <v/>
      </c>
      <c r="H140" s="43" t="n">
        <v>238</v>
      </c>
      <c r="I140" s="44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40">
        <f>IF(D140="","",ROUNDUP(D140/IF(AND(C140="600 ml",ISNUMBER(SEARCH("NORCAU",B140))),95,IF(AND(C140="600 ml",ISNUMBER(SEARCH("APURATOS",B140))),190,IF(C140="600 ml",95,IF(C140="400 ml",125,IF(C140="200 ml",330,IF(C140="180 ml",240,1)))))),0))</f>
        <v/>
      </c>
      <c r="K140" s="552" t="n"/>
      <c r="L140" s="43">
        <f>IF(H140="","",H140)</f>
        <v/>
      </c>
      <c r="M140" s="637" t="n"/>
      <c r="N140" s="44">
        <f>IF(I140="","",I140)</f>
        <v/>
      </c>
    </row>
    <row r="141" ht="14.25" customHeight="1" s="468">
      <c r="A141" s="634" t="n"/>
      <c r="B141" s="47" t="inlineStr">
        <is>
          <t>CORANTE VERDE REPETECO</t>
        </is>
      </c>
      <c r="C141" s="48" t="n">
        <v>70</v>
      </c>
      <c r="D141" s="49" t="n">
        <v>120</v>
      </c>
      <c r="E141" s="50" t="inlineStr">
        <is>
          <t>CX</t>
        </is>
      </c>
      <c r="F141" s="552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49">
        <f>IFERROR(ROUNDUP(D141/F141,0),"")</f>
        <v/>
      </c>
      <c r="H141" s="52" t="n">
        <v>122</v>
      </c>
      <c r="I141" s="53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636">
        <f>IF(D141="","",ROUNDUP(D141/IF(AND(C141="600 ml",ISNUMBER(SEARCH("NORCAU",B141))),95,IF(AND(C141="600 ml",ISNUMBER(SEARCH("APURATOS",B141))),190,IF(C141="600 ml",95,IF(C141="400 ml",125,IF(C141="200 ml",330,IF(C141="180 ml",240,1)))))),0))</f>
        <v/>
      </c>
      <c r="K141" s="552" t="n"/>
      <c r="L141" s="55">
        <f>IF(H141="","",H141)</f>
        <v/>
      </c>
      <c r="M141" s="552" t="n"/>
      <c r="N141" s="57">
        <f>IF(I141="","",I141)</f>
        <v/>
      </c>
    </row>
    <row r="142" ht="14.25" customHeight="1" s="468">
      <c r="A142" s="634" t="n"/>
      <c r="B142" s="38" t="inlineStr">
        <is>
          <t>CORANTE LARANJA REPETECO</t>
        </is>
      </c>
      <c r="C142" s="39" t="n">
        <v>70</v>
      </c>
      <c r="D142" s="40" t="n">
        <v>120</v>
      </c>
      <c r="E142" s="41" t="inlineStr">
        <is>
          <t>CX</t>
        </is>
      </c>
      <c r="F142" s="552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40">
        <f>IFERROR(ROUNDUP(D142/F142,0),"")</f>
        <v/>
      </c>
      <c r="H142" s="43" t="n">
        <v>122</v>
      </c>
      <c r="I142" s="44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40">
        <f>IF(D142="","",ROUNDUP(D142/IF(AND(C142="600 ml",ISNUMBER(SEARCH("NORCAU",B142))),95,IF(AND(C142="600 ml",ISNUMBER(SEARCH("APURATOS",B142))),190,IF(C142="600 ml",95,IF(C142="400 ml",125,IF(C142="200 ml",330,IF(C142="180 ml",240,1)))))),0))</f>
        <v/>
      </c>
      <c r="K142" s="552" t="n"/>
      <c r="L142" s="43">
        <f>IF(H142="","",H142)</f>
        <v/>
      </c>
      <c r="M142" s="552" t="n"/>
      <c r="N142" s="44">
        <f>IF(I142="","",I142)</f>
        <v/>
      </c>
    </row>
    <row r="143" ht="14.25" customHeight="1" s="468">
      <c r="A143" s="634" t="n"/>
      <c r="B143" s="47" t="inlineStr">
        <is>
          <t>CORANTE VERMELHO REPETECO</t>
        </is>
      </c>
      <c r="C143" s="48" t="n">
        <v>70</v>
      </c>
      <c r="D143" s="49" t="n">
        <v>120</v>
      </c>
      <c r="E143" s="50" t="inlineStr">
        <is>
          <t>CX</t>
        </is>
      </c>
      <c r="F143" s="552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49">
        <f>IFERROR(ROUNDUP(D143/F143,0),"")</f>
        <v/>
      </c>
      <c r="H143" s="52" t="n">
        <v>122</v>
      </c>
      <c r="I143" s="53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636">
        <f>IF(D143="","",ROUNDUP(D143/IF(AND(C143="600 ml",ISNUMBER(SEARCH("NORCAU",B143))),95,IF(AND(C143="600 ml",ISNUMBER(SEARCH("APURATOS",B143))),190,IF(C143="600 ml",95,IF(C143="400 ml",125,IF(C143="200 ml",330,IF(C143="180 ml",240,1)))))),0))</f>
        <v/>
      </c>
      <c r="K143" s="552" t="n"/>
      <c r="L143" s="55">
        <f>IF(H143="","",H143)</f>
        <v/>
      </c>
      <c r="M143" s="552" t="n"/>
      <c r="N143" s="57">
        <f>IF(I143="","",I143)</f>
        <v/>
      </c>
    </row>
    <row r="144" ht="14.25" customHeight="1" s="468">
      <c r="A144" s="634" t="n"/>
      <c r="B144" s="88" t="inlineStr">
        <is>
          <t>CORANTE ROSA REPETECO</t>
        </is>
      </c>
      <c r="C144" s="97" t="n">
        <v>70</v>
      </c>
      <c r="D144" s="671" t="n">
        <v>120</v>
      </c>
      <c r="E144" s="128" t="inlineStr">
        <is>
          <t>CX</t>
        </is>
      </c>
      <c r="F144" s="552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552">
        <f>IFERROR(ROUNDUP(D144/F144,0),"")</f>
        <v/>
      </c>
      <c r="H144" s="672" t="n">
        <v>121</v>
      </c>
      <c r="I144" s="673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671">
        <f>IF(D144="","",ROUNDUP(D144/IF(AND(C144="600 ml",ISNUMBER(SEARCH("NORCAU",B144))),95,IF(AND(C144="600 ml",ISNUMBER(SEARCH("APURATOS",B144))),190,IF(C144="600 ml",95,IF(C144="400 ml",125,IF(C144="200 ml",330,IF(C144="180 ml",240,1)))))),0))</f>
        <v/>
      </c>
      <c r="K144" s="552" t="n"/>
      <c r="L144" s="672">
        <f>IF(H144="","",H144)</f>
        <v/>
      </c>
      <c r="M144" s="552" t="n"/>
      <c r="N144" s="130">
        <f>IF(I144="","",I144)</f>
        <v/>
      </c>
    </row>
    <row r="145" ht="14.25" customHeight="1" s="468">
      <c r="A145" s="634" t="n"/>
      <c r="B145" s="47" t="n"/>
      <c r="C145" s="48" t="n"/>
      <c r="D145" s="49" t="n"/>
      <c r="E145" s="50" t="inlineStr">
        <is>
          <t>CX</t>
        </is>
      </c>
      <c r="F145" s="552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49">
        <f>IFERROR(ROUNDUP(D145/F145,0),"")</f>
        <v/>
      </c>
      <c r="H145" s="661" t="n"/>
      <c r="I145" s="53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  <c r="J145" s="636">
        <f>IF(D145="","",ROUNDUP(D145/IF(AND(C145="600 ml",ISNUMBER(SEARCH("NORCAU",B145))),95,IF(AND(C145="600 ml",ISNUMBER(SEARCH("APURATOS",B145))),190,IF(C145="600 ml",95,IF(C145="400 ml",125,IF(C145="200 ml",330,IF(C145="180 ml",240,1)))))),0))</f>
        <v/>
      </c>
      <c r="K145" s="552" t="n"/>
      <c r="L145" s="637">
        <f>IF(H145="","",H145)</f>
        <v/>
      </c>
      <c r="M145" s="552" t="n"/>
      <c r="N145" s="130">
        <f>IF(I145="","",I145)</f>
        <v/>
      </c>
    </row>
    <row r="146" ht="14.25" customHeight="1" s="468">
      <c r="A146" s="634" t="n"/>
      <c r="B146" s="88" t="n"/>
      <c r="C146" s="71" t="n"/>
      <c r="D146" s="552" t="n"/>
      <c r="F146" s="552" t="n"/>
      <c r="G146" s="552" t="n"/>
      <c r="H146" s="637" t="n"/>
      <c r="I146" s="657" t="n"/>
      <c r="J146" s="552">
        <f>IF(D146="","",ROUNDUP(D146/IF(AND(C146="600 ml",ISNUMBER(SEARCH("NORCAU",B146))),95,IF(AND(C146="600 ml",ISNUMBER(SEARCH("APURATOS",B146))),190,IF(C146="600 ml",95,IF(C146="400 ml",125,IF(C146="200 ml",330,IF(C146="180 ml",240,1)))))),0))</f>
        <v/>
      </c>
      <c r="K146" s="552" t="n"/>
      <c r="L146" s="637">
        <f>IF(H146="","",H146)</f>
        <v/>
      </c>
      <c r="M146" s="552" t="n"/>
      <c r="N146" s="514">
        <f>IF(I146="","",I146)</f>
        <v/>
      </c>
    </row>
    <row r="147" ht="14.25" customHeight="1" s="468">
      <c r="A147" s="658" t="n"/>
      <c r="B147" s="640" t="inlineStr">
        <is>
          <t>TOTAL</t>
        </is>
      </c>
      <c r="C147" s="641" t="n"/>
      <c r="D147" s="642">
        <f>IF(J147="","",TEXT(J147,"#,##0"))</f>
        <v/>
      </c>
      <c r="E147" s="643" t="n"/>
      <c r="F147" s="644" t="n"/>
      <c r="G147" s="642">
        <f>IF(K147="","",TEXT(K147,"#,##0"))</f>
        <v/>
      </c>
      <c r="H147" s="642">
        <f>IF(L147="","",TEXT(L147,"#,##0"))</f>
        <v/>
      </c>
      <c r="I147" s="642">
        <f>IF(M147="","",TEXT(M147,"#,##0"))</f>
        <v/>
      </c>
      <c r="J147" s="644">
        <f>SUM(D138:D146)</f>
        <v/>
      </c>
      <c r="K147" s="644">
        <f>SUM(G138:G146)</f>
        <v/>
      </c>
      <c r="L147" s="644">
        <f>SUM(H138:H146)</f>
        <v/>
      </c>
      <c r="M147" s="644">
        <f>SUM(I138:I146)</f>
        <v/>
      </c>
      <c r="N147" s="90">
        <f>IF(I147="","",I147)</f>
        <v/>
      </c>
      <c r="O147">
        <f>SUM(N139:N146)</f>
        <v/>
      </c>
    </row>
    <row r="148" ht="14.25" customHeight="1" s="468">
      <c r="A148" s="638" t="n"/>
      <c r="B148" s="70" t="n"/>
      <c r="C148" s="71" t="n"/>
      <c r="D148" s="552" t="n"/>
      <c r="F148" s="552" t="n"/>
      <c r="G148" s="552" t="n"/>
      <c r="H148" s="552" t="n"/>
      <c r="I148" s="552" t="n"/>
      <c r="J148" s="552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K148" s="552" t="n"/>
      <c r="L148" s="552">
        <f>IF(H148="","",H148)</f>
        <v/>
      </c>
      <c r="M148" s="552" t="n"/>
      <c r="N148">
        <f>IF(I148="","",I148)</f>
        <v/>
      </c>
    </row>
    <row r="149" ht="19.5" customHeight="1" s="468">
      <c r="A149" s="646" t="n">
        <v>46079</v>
      </c>
      <c r="B149" s="30" t="inlineStr">
        <is>
          <t>PRODUTO</t>
        </is>
      </c>
      <c r="C149" s="31" t="inlineStr">
        <is>
          <t>EMBALAGEM</t>
        </is>
      </c>
      <c r="D149" s="647" t="inlineStr">
        <is>
          <t>CAIXAS</t>
        </is>
      </c>
      <c r="E149" s="32" t="inlineStr">
        <is>
          <t>UN</t>
        </is>
      </c>
      <c r="F149" s="648" t="inlineStr">
        <is>
          <t>CX/PALLET</t>
        </is>
      </c>
      <c r="G149" s="647" t="inlineStr">
        <is>
          <t>PALLETS (PBR)</t>
        </is>
      </c>
      <c r="H149" s="647" t="inlineStr">
        <is>
          <t>REAL (CX)</t>
        </is>
      </c>
      <c r="I149" s="649" t="inlineStr">
        <is>
          <t>TOTAL LATAS</t>
        </is>
      </c>
      <c r="J149" s="650" t="n"/>
      <c r="K149" s="650" t="n"/>
      <c r="L149" s="651" t="n"/>
      <c r="M149" s="650" t="n"/>
      <c r="N149" s="36" t="n"/>
    </row>
    <row r="150" ht="14.25" customHeight="1" s="468">
      <c r="A150" s="634" t="n"/>
      <c r="B150" s="38" t="n"/>
      <c r="C150" s="39" t="n"/>
      <c r="D150" s="40" t="n"/>
      <c r="E150" s="41" t="n"/>
      <c r="F150" s="552" t="n"/>
      <c r="G150" s="40" t="n"/>
      <c r="H150" s="43" t="n"/>
      <c r="I150" s="44" t="n"/>
      <c r="J150" s="40">
        <f>IF(D150="","",ROUNDUP(D150/IF(AND(C150="600 ml",ISNUMBER(SEARCH("NORCAU",B150))),95,IF(AND(C150="600 ml",ISNUMBER(SEARCH("APURATOS",B150))),190,IF(C150="600 ml",95,IF(C150="400 ml",125,IF(C150="200 ml",330,IF(C150="180 ml",240,1)))))),0))</f>
        <v/>
      </c>
      <c r="K150" s="552" t="n"/>
      <c r="L150" s="43">
        <f>IF(H150="","",H150)</f>
        <v/>
      </c>
      <c r="M150" s="552" t="n"/>
      <c r="N150" s="44">
        <f>IF(I150="","",I150)</f>
        <v/>
      </c>
    </row>
    <row r="151" ht="14.25" customHeight="1" s="468">
      <c r="A151" s="635" t="inlineStr">
        <is>
          <t>ESPUMA</t>
        </is>
      </c>
      <c r="B151" s="47" t="inlineStr">
        <is>
          <t>ESPUMA FRUTAS VERMELHAS</t>
        </is>
      </c>
      <c r="C151" s="48" t="n">
        <v>200</v>
      </c>
      <c r="D151" s="49" t="n">
        <v>1420</v>
      </c>
      <c r="E151" s="50" t="inlineStr">
        <is>
          <t>CX</t>
        </is>
      </c>
      <c r="F151" s="552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49">
        <f>IFERROR(ROUNDUP(D151/F151,0),"")</f>
        <v/>
      </c>
      <c r="H151" s="52" t="n">
        <v>1430</v>
      </c>
      <c r="I151" s="53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636">
        <f>IF(D151="","",ROUNDUP(D151/IF(AND(C151="600 ml",ISNUMBER(SEARCH("NORCAU",B151))),95,IF(AND(C151="600 ml",ISNUMBER(SEARCH("APURATOS",B151))),190,IF(C151="600 ml",95,IF(C151="400 ml",125,IF(C151="200 ml",330,IF(C151="180 ml",240,1)))))),0))</f>
        <v/>
      </c>
      <c r="K151" s="552" t="n"/>
      <c r="L151" s="55">
        <f>IF(H151="","",H151)</f>
        <v/>
      </c>
      <c r="M151" s="637" t="n"/>
      <c r="N151" s="57">
        <f>IF(I151="","",I151)</f>
        <v/>
      </c>
    </row>
    <row r="152" ht="14.25" customHeight="1" s="468">
      <c r="A152" s="638" t="n"/>
      <c r="B152" s="38" t="inlineStr">
        <is>
          <t>GENGIBRE</t>
        </is>
      </c>
      <c r="C152" s="39" t="n">
        <v>200</v>
      </c>
      <c r="D152" s="40" t="n">
        <v>660</v>
      </c>
      <c r="E152" s="41" t="inlineStr">
        <is>
          <t>CX</t>
        </is>
      </c>
      <c r="F152" s="552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40">
        <f>IFERROR(ROUNDUP(D152/F152,0),"")</f>
        <v/>
      </c>
      <c r="H152" s="43" t="n">
        <v>701</v>
      </c>
      <c r="I152" s="44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40">
        <f>IF(D152="","",ROUNDUP(D152/IF(AND(C152="600 ml",ISNUMBER(SEARCH("NORCAU",B152))),95,IF(AND(C152="600 ml",ISNUMBER(SEARCH("APURATOS",B152))),190,IF(C152="600 ml",95,IF(C152="400 ml",125,IF(C152="200 ml",330,IF(C152="180 ml",240,1)))))),0))</f>
        <v/>
      </c>
      <c r="K152" s="552" t="n"/>
      <c r="L152" s="43">
        <f>IF(H152="","",H152)</f>
        <v/>
      </c>
      <c r="M152" s="637" t="n"/>
      <c r="N152" s="44">
        <f>IF(I152="","",I152)</f>
        <v/>
      </c>
    </row>
    <row r="153" ht="14.25" customHeight="1" s="468">
      <c r="A153" s="634" t="n"/>
      <c r="B153" s="47" t="n"/>
      <c r="C153" s="48" t="n"/>
      <c r="D153" s="49" t="n"/>
      <c r="E153" s="50" t="inlineStr">
        <is>
          <t>CX</t>
        </is>
      </c>
      <c r="F153" s="552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49">
        <f>IFERROR(ROUNDUP(D153/F153,0),"")</f>
        <v/>
      </c>
      <c r="H153" s="52" t="n"/>
      <c r="I153" s="53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636">
        <f>IF(D153="","",ROUNDUP(D153/IF(AND(C153="600 ml",ISNUMBER(SEARCH("NORCAU",B153))),95,IF(AND(C153="600 ml",ISNUMBER(SEARCH("APURATOS",B153))),190,IF(C153="600 ml",95,IF(C153="400 ml",125,IF(C153="200 ml",330,IF(C153="180 ml",240,1)))))),0))</f>
        <v/>
      </c>
      <c r="K153" s="552" t="n"/>
      <c r="L153" s="55">
        <f>IF(H153="","",H153)</f>
        <v/>
      </c>
      <c r="M153" s="552" t="n"/>
      <c r="N153" s="57">
        <f>IF(I153="","",I153)</f>
        <v/>
      </c>
    </row>
    <row r="154" ht="14.25" customHeight="1" s="468">
      <c r="A154" s="634" t="n"/>
      <c r="B154" s="38" t="n"/>
      <c r="C154" s="39" t="n"/>
      <c r="D154" s="40" t="n"/>
      <c r="E154" s="41" t="inlineStr">
        <is>
          <t>CX</t>
        </is>
      </c>
      <c r="F154" s="552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40">
        <f>IFERROR(ROUNDUP(D154/F154,0),"")</f>
        <v/>
      </c>
      <c r="H154" s="43" t="n"/>
      <c r="I154" s="44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40">
        <f>IF(D154="","",ROUNDUP(D154/IF(AND(C154="600 ml",ISNUMBER(SEARCH("NORCAU",B154))),95,IF(AND(C154="600 ml",ISNUMBER(SEARCH("APURATOS",B154))),190,IF(C154="600 ml",95,IF(C154="400 ml",125,IF(C154="200 ml",330,IF(C154="180 ml",240,1)))))),0))</f>
        <v/>
      </c>
      <c r="K154" s="552" t="n"/>
      <c r="L154" s="43">
        <f>IF(H154="","",H154)</f>
        <v/>
      </c>
      <c r="M154" s="552" t="n"/>
      <c r="N154" s="44">
        <f>IF(I154="","",I154)</f>
        <v/>
      </c>
    </row>
    <row r="155" ht="14.25" customHeight="1" s="468">
      <c r="A155" s="634" t="n"/>
      <c r="B155" s="47" t="n"/>
      <c r="C155" s="48" t="n"/>
      <c r="D155" s="49" t="n"/>
      <c r="E155" s="50" t="n"/>
      <c r="F155" s="552" t="n"/>
      <c r="G155" s="49" t="n"/>
      <c r="H155" s="52" t="n"/>
      <c r="I155" s="53" t="n"/>
      <c r="J155" s="636">
        <f>IF(D155="","",ROUNDUP(D155/IF(AND(C155="600 ml",ISNUMBER(SEARCH("NORCAU",B155))),95,IF(AND(C155="600 ml",ISNUMBER(SEARCH("APURATOS",B155))),190,IF(C155="600 ml",95,IF(C155="400 ml",125,IF(C155="200 ml",330,IF(C155="180 ml",240,1)))))),0))</f>
        <v/>
      </c>
      <c r="K155" s="552" t="n"/>
      <c r="L155" s="55">
        <f>IF(H155="","",H155)</f>
        <v/>
      </c>
      <c r="M155" s="552" t="n"/>
      <c r="N155" s="57">
        <f>IF(I155="","",I155)</f>
        <v/>
      </c>
    </row>
    <row r="156" ht="14.25" customHeight="1" s="468">
      <c r="A156" s="639" t="n"/>
      <c r="B156" s="640" t="inlineStr">
        <is>
          <t>TOTAL</t>
        </is>
      </c>
      <c r="C156" s="641" t="n"/>
      <c r="D156" s="642">
        <f>IF(J156="","",TEXT(J156,"#,##0"))</f>
        <v/>
      </c>
      <c r="E156" s="643" t="n"/>
      <c r="F156" s="644" t="n"/>
      <c r="G156" s="642">
        <f>IF(K156="","",TEXT(K156,"#,##0"))</f>
        <v/>
      </c>
      <c r="H156" s="642">
        <f>IF(L156="","",TEXT(L156,"#,##0"))</f>
        <v/>
      </c>
      <c r="I156" s="642">
        <f>IF(M156="","",TEXT(M156,"#,##0"))</f>
        <v/>
      </c>
      <c r="J156" s="644">
        <f>SUM(D150:D155)</f>
        <v/>
      </c>
      <c r="K156" s="644">
        <f>SUM(G150:G155)</f>
        <v/>
      </c>
      <c r="L156" s="644">
        <f>SUM(H150:H155)</f>
        <v/>
      </c>
      <c r="M156" s="644">
        <f>SUM(I150:I155)</f>
        <v/>
      </c>
      <c r="N156" s="90">
        <f>IF(I156="","",I156)</f>
        <v/>
      </c>
      <c r="O156">
        <f>SUM(N151:N155)</f>
        <v/>
      </c>
    </row>
    <row r="157" ht="14.25" customHeight="1" s="468">
      <c r="A157" s="638" t="n"/>
      <c r="B157" s="70" t="n"/>
      <c r="C157" s="71" t="n"/>
      <c r="D157" s="552" t="n"/>
      <c r="F157" s="552" t="n"/>
      <c r="G157" s="552" t="n"/>
      <c r="H157" s="552" t="n"/>
      <c r="I157" s="552" t="n"/>
      <c r="J157" s="552">
        <f>IF(D157="","",ROUNDUP(D157/IF(AND(C157="600 ml",ISNUMBER(SEARCH("NORCAU",B157))),95,IF(AND(C157="600 ml",ISNUMBER(SEARCH("APURATOS",B157))),190,IF(C157="600 ml",95,IF(C157="400 ml",125,IF(C157="200 ml",330,IF(C157="180 ml",240,1)))))),0))</f>
        <v/>
      </c>
      <c r="K157" s="552" t="n"/>
      <c r="L157" s="552">
        <f>IF(H157="","",H157)</f>
        <v/>
      </c>
      <c r="M157" s="552" t="n"/>
      <c r="N157">
        <f>IF(I157="","",I157)</f>
        <v/>
      </c>
    </row>
    <row r="158" ht="19.5" customHeight="1" s="468">
      <c r="A158" s="646" t="n">
        <v>46080</v>
      </c>
      <c r="B158" s="30" t="inlineStr">
        <is>
          <t>PRODUTO</t>
        </is>
      </c>
      <c r="C158" s="31" t="inlineStr">
        <is>
          <t>EMBALAGEM</t>
        </is>
      </c>
      <c r="D158" s="647" t="inlineStr">
        <is>
          <t>CAIXAS</t>
        </is>
      </c>
      <c r="E158" s="32" t="inlineStr">
        <is>
          <t>UN</t>
        </is>
      </c>
      <c r="F158" s="648" t="inlineStr">
        <is>
          <t>CX/PALLET</t>
        </is>
      </c>
      <c r="G158" s="647" t="inlineStr">
        <is>
          <t>PALLETS (PBR)</t>
        </is>
      </c>
      <c r="H158" s="647" t="inlineStr">
        <is>
          <t>REAL (CX)</t>
        </is>
      </c>
      <c r="I158" s="649" t="inlineStr">
        <is>
          <t>TOTAL LATAS</t>
        </is>
      </c>
      <c r="J158" s="650" t="n"/>
      <c r="K158" s="650" t="n"/>
      <c r="L158" s="651" t="n"/>
      <c r="M158" s="650" t="n"/>
      <c r="N158" s="36" t="n"/>
    </row>
    <row r="159" ht="14.25" customHeight="1" s="468">
      <c r="A159" s="634" t="n"/>
      <c r="B159" s="96" t="n"/>
      <c r="C159" s="97" t="n"/>
      <c r="D159" s="98" t="n"/>
      <c r="E159" s="99" t="n"/>
      <c r="F159" s="552" t="n"/>
      <c r="G159" s="98" t="n"/>
      <c r="H159" s="101" t="n"/>
      <c r="I159" s="102" t="n"/>
      <c r="J159" s="636">
        <f>IF(D159="","",ROUNDUP(D159/IF(AND(C159="600 ml",ISNUMBER(SEARCH("NORCAU",B159))),95,IF(AND(C159="600 ml",ISNUMBER(SEARCH("APURATOS",B159))),190,IF(C159="600 ml",95,IF(C159="400 ml",125,IF(C159="200 ml",330,IF(C159="180 ml",240,1)))))),0))</f>
        <v/>
      </c>
      <c r="K159" s="552" t="n"/>
      <c r="L159" s="55">
        <f>IF(H159="","",H159)</f>
        <v/>
      </c>
      <c r="M159" s="552" t="n"/>
      <c r="N159" s="57">
        <f>IF(I159="","",I159)</f>
        <v/>
      </c>
    </row>
    <row r="160" ht="14.25" customHeight="1" s="468">
      <c r="A160" s="635" t="n">
        <v>600</v>
      </c>
      <c r="B160" s="47" t="inlineStr">
        <is>
          <t>VIA PANE</t>
        </is>
      </c>
      <c r="C160" s="48" t="n">
        <v>600</v>
      </c>
      <c r="D160" s="49" t="n">
        <v>90</v>
      </c>
      <c r="E160" s="50" t="inlineStr">
        <is>
          <t>CX</t>
        </is>
      </c>
      <c r="F160" s="552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49">
        <f>IFERROR(ROUNDUP(D160/F160,0),"")</f>
        <v/>
      </c>
      <c r="H160" s="52" t="n">
        <v>91</v>
      </c>
      <c r="I160" s="53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40">
        <f>IF(D160="","",ROUNDUP(D160/IF(AND(C160="600 ml",ISNUMBER(SEARCH("NORCAU",B160))),95,IF(AND(C160="600 ml",ISNUMBER(SEARCH("APURATOS",B160))),190,IF(C160="600 ml",95,IF(C160="400 ml",125,IF(C160="200 ml",330,IF(C160="180 ml",240,1)))))),0))</f>
        <v/>
      </c>
      <c r="K160" s="552" t="n"/>
      <c r="L160" s="43">
        <f>IF(H160="","",H160)</f>
        <v/>
      </c>
      <c r="M160" s="637" t="n"/>
      <c r="N160" s="44">
        <f>IF(I160="","",I160)</f>
        <v/>
      </c>
    </row>
    <row r="161" ht="14.25" customHeight="1" s="468">
      <c r="A161" s="638" t="n"/>
      <c r="B161" s="96" t="inlineStr">
        <is>
          <t>UNTA FACIL</t>
        </is>
      </c>
      <c r="C161" s="97" t="n">
        <v>600</v>
      </c>
      <c r="D161" s="98" t="n">
        <v>1330</v>
      </c>
      <c r="E161" s="99" t="inlineStr">
        <is>
          <t>CX</t>
        </is>
      </c>
      <c r="F161" s="552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98">
        <f>IFERROR(ROUNDUP(D161/F161,0),"")</f>
        <v/>
      </c>
      <c r="H161" s="101" t="n">
        <v>545</v>
      </c>
      <c r="I161" s="102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  <c r="J161" s="636">
        <f>IF(D161="","",ROUNDUP(D161/IF(AND(C161="600 ml",ISNUMBER(SEARCH("NORCAU",B161))),95,IF(AND(C161="600 ml",ISNUMBER(SEARCH("APURATOS",B161))),190,IF(C161="600 ml",95,IF(C161="400 ml",125,IF(C161="200 ml",330,IF(C161="180 ml",240,1)))))),0))</f>
        <v/>
      </c>
      <c r="K161" s="552" t="n"/>
      <c r="L161" s="55">
        <f>IF(H161="","",H161)</f>
        <v/>
      </c>
      <c r="M161" s="637" t="n"/>
      <c r="N161" s="57">
        <f>IF(I161="","",I161)</f>
        <v/>
      </c>
    </row>
    <row r="162" ht="14.25" customHeight="1" s="468">
      <c r="A162" s="634" t="n"/>
      <c r="B162" s="38" t="n"/>
      <c r="C162" s="39" t="n"/>
      <c r="D162" s="40" t="n"/>
      <c r="E162" s="41" t="inlineStr">
        <is>
          <t>CX</t>
        </is>
      </c>
      <c r="F162" s="552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40">
        <f>IFERROR(ROUNDUP(D162/F162,0),"")</f>
        <v/>
      </c>
      <c r="H162" s="43" t="n"/>
      <c r="I162" s="44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40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K162" s="552" t="n"/>
      <c r="L162" s="43">
        <f>IF(H162="","",H162)</f>
        <v/>
      </c>
      <c r="M162" s="552" t="n"/>
      <c r="N162" s="44">
        <f>IF(I162="","",I162)</f>
        <v/>
      </c>
    </row>
    <row r="163" ht="14.25" customHeight="1" s="468">
      <c r="A163" s="634" t="n"/>
      <c r="B163" s="47" t="n"/>
      <c r="C163" s="48" t="n"/>
      <c r="D163" s="49" t="n"/>
      <c r="E163" s="50" t="n"/>
      <c r="F163" s="552" t="n"/>
      <c r="G163" s="49" t="n"/>
      <c r="H163" s="52" t="n"/>
      <c r="I163" s="53" t="n"/>
      <c r="J163" s="636">
        <f>IF(D163="","",ROUNDUP(D163/IF(AND(C163="600 ml",ISNUMBER(SEARCH("NORCAU",B163))),95,IF(AND(C163="600 ml",ISNUMBER(SEARCH("APURATOS",B163))),190,IF(C163="600 ml",95,IF(C163="400 ml",125,IF(C163="200 ml",330,IF(C163="180 ml",240,1)))))),0))</f>
        <v/>
      </c>
      <c r="K163" s="552" t="n"/>
      <c r="L163" s="55">
        <f>IF(H163="","",H163)</f>
        <v/>
      </c>
      <c r="M163" s="552" t="n"/>
      <c r="N163" s="57">
        <f>IF(I163="","",I163)</f>
        <v/>
      </c>
    </row>
    <row r="164" ht="14.25" customHeight="1" s="468">
      <c r="A164" s="639" t="n"/>
      <c r="B164" s="640" t="inlineStr">
        <is>
          <t>TOTAL</t>
        </is>
      </c>
      <c r="C164" s="641" t="n"/>
      <c r="D164" s="642">
        <f>IF(J164="","",TEXT(J164,"#,##0"))</f>
        <v/>
      </c>
      <c r="E164" s="643" t="n"/>
      <c r="F164" s="644" t="n"/>
      <c r="G164" s="642">
        <f>IF(K164="","",TEXT(K164,"#,##0"))</f>
        <v/>
      </c>
      <c r="H164" s="642">
        <f>IF(L164="","",TEXT(L164,"#,##0"))</f>
        <v/>
      </c>
      <c r="I164" s="642">
        <f>IF(M164="","",TEXT(M164,"#,##0"))</f>
        <v/>
      </c>
      <c r="J164" s="645">
        <f>SUM(D159:D163)</f>
        <v/>
      </c>
      <c r="K164" s="644">
        <f>SUM(G159:G163)</f>
        <v/>
      </c>
      <c r="L164" s="645">
        <f>SUM(H159:H163)</f>
        <v/>
      </c>
      <c r="M164" s="644">
        <f>SUM(I159:I163)</f>
        <v/>
      </c>
      <c r="N164" s="127">
        <f>IF(I164="","",I164)</f>
        <v/>
      </c>
      <c r="O164">
        <f>SUM(N160:N163)</f>
        <v/>
      </c>
    </row>
    <row r="165" ht="14.25" customHeight="1" s="468">
      <c r="A165" s="638" t="n"/>
      <c r="B165" s="70" t="n"/>
      <c r="C165" s="71" t="n"/>
      <c r="D165" s="552" t="n"/>
      <c r="F165" s="552" t="n"/>
      <c r="G165" s="552" t="n"/>
      <c r="H165" s="552" t="n"/>
      <c r="I165" s="552" t="n"/>
      <c r="J165" s="552">
        <f>IF(D165="","",ROUNDUP(D165/IF(AND(C165="600 ml",ISNUMBER(SEARCH("NORCAU",B165))),95,IF(AND(C165="600 ml",ISNUMBER(SEARCH("APURATOS",B165))),190,IF(C165="600 ml",95,IF(C165="400 ml",125,IF(C165="200 ml",330,IF(C165="180 ml",240,1)))))),0))</f>
        <v/>
      </c>
      <c r="K165" s="552" t="n"/>
      <c r="L165" s="552">
        <f>IF(H165="","",H165)</f>
        <v/>
      </c>
      <c r="M165" s="552" t="n"/>
      <c r="N165">
        <f>IF(I165="","",I165)</f>
        <v/>
      </c>
    </row>
    <row r="166" ht="14.25" customHeight="1" s="468">
      <c r="A166" s="634" t="n"/>
      <c r="B166" s="82" t="n"/>
      <c r="C166" s="83" t="n"/>
      <c r="D166" s="650" t="n"/>
      <c r="E166" s="462" t="n"/>
      <c r="F166" s="648" t="inlineStr">
        <is>
          <t>HORA</t>
        </is>
      </c>
      <c r="G166" s="650" t="n"/>
      <c r="H166" s="674" t="inlineStr">
        <is>
          <t>REAL</t>
        </is>
      </c>
      <c r="I166" s="656" t="n"/>
      <c r="J166" s="648">
        <f>IF(D166="","",ROUNDUP(D166/IF(AND(C166="600 ml",ISNUMBER(SEARCH("NORCAU",B166))),95,IF(AND(C166="600 ml",ISNUMBER(SEARCH("APURATOS",B166))),190,IF(C166="600 ml",95,IF(C166="400 ml",125,IF(C166="200 ml",330,IF(C166="180 ml",240,1)))))),0))</f>
        <v/>
      </c>
      <c r="K166" s="650" t="n"/>
      <c r="L166" s="674">
        <f>IF(H166="","",H166)</f>
        <v/>
      </c>
      <c r="M166" s="650" t="n"/>
      <c r="N166" s="463">
        <f>IF(I166="","",I166)</f>
        <v/>
      </c>
    </row>
    <row r="167" ht="14.25" customHeight="1" s="468">
      <c r="A167" s="634" t="n"/>
      <c r="B167" s="88" t="n"/>
      <c r="C167" s="71" t="n"/>
      <c r="D167" s="552" t="n"/>
      <c r="F167" s="552" t="n"/>
      <c r="G167" s="552" t="n"/>
      <c r="H167" s="637" t="n"/>
      <c r="I167" s="657" t="n"/>
      <c r="J167" s="552">
        <f>IF(D167="","",ROUNDUP(D167/IF(AND(C167="600 ml",ISNUMBER(SEARCH("NORCAU",B167))),95,IF(AND(C167="600 ml",ISNUMBER(SEARCH("APURATOS",B167))),190,IF(C167="600 ml",95,IF(C167="400 ml",125,IF(C167="200 ml",330,IF(C167="180 ml",240,1)))))),0))</f>
        <v/>
      </c>
      <c r="K167" s="552" t="n"/>
      <c r="L167" s="637">
        <f>IF(H167="","",H167)</f>
        <v/>
      </c>
      <c r="M167" s="552" t="n"/>
      <c r="N167" s="514">
        <f>IF(I167="","",I167)</f>
        <v/>
      </c>
    </row>
    <row r="168" ht="14.25" customHeight="1" s="468">
      <c r="A168" s="634" t="n"/>
      <c r="B168" s="88" t="n"/>
      <c r="C168" s="71" t="n"/>
      <c r="D168" s="552" t="n"/>
      <c r="E168" t="inlineStr">
        <is>
          <t>CX</t>
        </is>
      </c>
      <c r="F168" s="552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552">
        <f>IFERROR(ROUNDUP(D168/F168,0),"")</f>
        <v/>
      </c>
      <c r="H168" s="637" t="n"/>
      <c r="I168" s="657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>
        <f>IF(D168="","",ROUNDUP(D168/IF(AND(C168="600 ml",ISNUMBER(SEARCH("NORCAU",B168))),95,IF(AND(C168="600 ml",ISNUMBER(SEARCH("APURATOS",B168))),190,IF(C168="600 ml",95,IF(C168="400 ml",125,IF(C168="200 ml",330,IF(C168="180 ml",240,1)))))),0))</f>
        <v/>
      </c>
      <c r="K168" s="552" t="n"/>
      <c r="L168" s="637">
        <f>IF(H168="","",H168)</f>
        <v/>
      </c>
      <c r="M168" s="637" t="n"/>
      <c r="N168" s="514">
        <f>IF(I168="","",I168)</f>
        <v/>
      </c>
    </row>
    <row r="169" ht="14.25" customHeight="1" s="468">
      <c r="A169" s="634" t="n"/>
      <c r="B169" s="88" t="n"/>
      <c r="C169" s="71" t="n"/>
      <c r="D169" s="552" t="n"/>
      <c r="E169" t="inlineStr">
        <is>
          <t>CX</t>
        </is>
      </c>
      <c r="F169" s="552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552">
        <f>IFERROR(ROUNDUP(D169/F169,0),"")</f>
        <v/>
      </c>
      <c r="H169" s="637" t="n"/>
      <c r="I169" s="657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J169" s="552">
        <f>IF(D169="","",ROUNDUP(D169/IF(AND(C169="600 ml",ISNUMBER(SEARCH("NORCAU",B169))),95,IF(AND(C169="600 ml",ISNUMBER(SEARCH("APURATOS",B169))),190,IF(C169="600 ml",95,IF(C169="400 ml",125,IF(C169="200 ml",330,IF(C169="180 ml",240,1)))))),0))</f>
        <v/>
      </c>
      <c r="K169" s="552" t="n"/>
      <c r="L169" s="637">
        <f>IF(H169="","",H169)</f>
        <v/>
      </c>
      <c r="M169" s="637" t="n"/>
      <c r="N169" s="514">
        <f>IF(I169="","",I169)</f>
        <v/>
      </c>
    </row>
    <row r="170" ht="14.25" customHeight="1" s="468">
      <c r="A170" s="634" t="n"/>
      <c r="B170" s="88" t="n"/>
      <c r="C170" s="71" t="n"/>
      <c r="D170" s="552" t="n"/>
      <c r="E170" t="inlineStr">
        <is>
          <t>CX</t>
        </is>
      </c>
      <c r="F170" s="552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552">
        <f>IFERROR(ROUNDUP(D170/F170,0),"")</f>
        <v/>
      </c>
      <c r="H170" s="637" t="n"/>
      <c r="I170" s="657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J170" s="552">
        <f>IF(D170="","",ROUNDUP(D170/IF(AND(C170="600 ml",ISNUMBER(SEARCH("NORCAU",B170))),95,IF(AND(C170="600 ml",ISNUMBER(SEARCH("APURATOS",B170))),190,IF(C170="600 ml",95,IF(C170="400 ml",125,IF(C170="200 ml",330,IF(C170="180 ml",240,1)))))),0))</f>
        <v/>
      </c>
      <c r="K170" s="552" t="n"/>
      <c r="L170" s="637">
        <f>IF(H170="","",H170)</f>
        <v/>
      </c>
      <c r="M170" s="552" t="n"/>
      <c r="N170" s="514">
        <f>IF(I170="","",I170)</f>
        <v/>
      </c>
    </row>
    <row r="171" ht="14.25" customHeight="1" s="468">
      <c r="A171" s="634" t="n"/>
      <c r="B171" s="88" t="n"/>
      <c r="C171" s="71" t="n"/>
      <c r="D171" s="552" t="n"/>
      <c r="F171" s="552" t="n"/>
      <c r="G171" s="552" t="n"/>
      <c r="H171" s="637" t="n"/>
      <c r="I171" s="657" t="n"/>
      <c r="J171" s="552">
        <f>IF(D171="","",ROUNDUP(D171/IF(AND(C171="600 ml",ISNUMBER(SEARCH("NORCAU",B171))),95,IF(AND(C171="600 ml",ISNUMBER(SEARCH("APURATOS",B171))),190,IF(C171="600 ml",95,IF(C171="400 ml",125,IF(C171="200 ml",330,IF(C171="180 ml",240,1)))))),0))</f>
        <v/>
      </c>
      <c r="K171" s="552" t="n"/>
      <c r="L171" s="637">
        <f>IF(H171="","",H171)</f>
        <v/>
      </c>
      <c r="M171" s="552" t="n"/>
      <c r="N171" s="514">
        <f>IF(I171="","",I171)</f>
        <v/>
      </c>
    </row>
    <row r="172" ht="14.25" customHeight="1" s="468">
      <c r="A172" s="634" t="n"/>
      <c r="B172" s="138" t="n"/>
      <c r="C172" s="139" t="n"/>
      <c r="D172" s="655" t="n"/>
      <c r="E172" s="465" t="n"/>
      <c r="F172" s="655" t="n"/>
      <c r="G172" s="655" t="n"/>
      <c r="H172" s="89" t="n"/>
      <c r="I172" s="90" t="n"/>
      <c r="J172" s="655">
        <f>IF(D172="","",ROUNDUP(D172/IF(AND(C172="600 ml",ISNUMBER(SEARCH("NORCAU",B172))),95,IF(AND(C172="600 ml",ISNUMBER(SEARCH("APURATOS",B172))),190,IF(C172="600 ml",95,IF(C172="400 ml",125,IF(C172="200 ml",330,IF(C172="180 ml",240,1)))))),0))</f>
        <v/>
      </c>
      <c r="K172" s="655" t="n"/>
      <c r="L172" s="89">
        <f>IF(H172="","",H172)</f>
        <v/>
      </c>
      <c r="M172" s="655" t="n"/>
      <c r="N172" s="466">
        <f>IF(I172="","",I172)</f>
        <v/>
      </c>
      <c r="O172">
        <f>SUM(N168:N171)</f>
        <v/>
      </c>
    </row>
    <row r="173" ht="14.25" customHeight="1" s="468">
      <c r="A173" s="638" t="n"/>
      <c r="B173" s="70" t="n"/>
      <c r="C173" s="71" t="n"/>
      <c r="D173" s="552" t="n"/>
      <c r="F173" s="552" t="n"/>
      <c r="G173" s="552" t="n"/>
      <c r="H173" s="552" t="n"/>
      <c r="I173" s="552" t="n"/>
      <c r="J173" s="552">
        <f>IF(D173="","",ROUNDUP(D173/IF(AND(C173="600 ml",ISNUMBER(SEARCH("NORCAU",B173))),95,IF(AND(C173="600 ml",ISNUMBER(SEARCH("APURATOS",B173))),190,IF(C173="600 ml",95,IF(C173="400 ml",125,IF(C173="200 ml",330,IF(C173="180 ml",240,1)))))),0))</f>
        <v/>
      </c>
      <c r="K173" s="552" t="n"/>
      <c r="L173" s="552">
        <f>IF(H173="","",H173)</f>
        <v/>
      </c>
      <c r="M173" s="552" t="n"/>
      <c r="N173">
        <f>IF(I173="","",I173)</f>
        <v/>
      </c>
    </row>
    <row r="174" ht="14.25" customHeight="1" s="468">
      <c r="A174" s="634" t="n"/>
      <c r="B174" s="82" t="n"/>
      <c r="C174" s="83" t="n"/>
      <c r="D174" s="650" t="n"/>
      <c r="E174" s="462" t="n"/>
      <c r="F174" s="648" t="inlineStr">
        <is>
          <t>HORA</t>
        </is>
      </c>
      <c r="G174" s="650" t="n"/>
      <c r="H174" s="674" t="inlineStr">
        <is>
          <t>REAL</t>
        </is>
      </c>
      <c r="I174" s="656" t="n"/>
      <c r="J174" s="648">
        <f>IF(D174="","",ROUNDUP(D174/IF(AND(C174="600 ml",ISNUMBER(SEARCH("NORCAU",B174))),95,IF(AND(C174="600 ml",ISNUMBER(SEARCH("APURATOS",B174))),190,IF(C174="600 ml",95,IF(C174="400 ml",125,IF(C174="200 ml",330,IF(C174="180 ml",240,1)))))),0))</f>
        <v/>
      </c>
      <c r="K174" s="650" t="n"/>
      <c r="L174" s="674">
        <f>IF(H174="","",H174)</f>
        <v/>
      </c>
      <c r="M174" s="650" t="n"/>
      <c r="N174" s="463">
        <f>IF(I174="","",I174)</f>
        <v/>
      </c>
    </row>
    <row r="175" ht="14.25" customHeight="1" s="468">
      <c r="A175" s="634" t="n"/>
      <c r="B175" s="88" t="n"/>
      <c r="C175" s="71" t="n"/>
      <c r="D175" s="552" t="n"/>
      <c r="F175" s="552" t="n"/>
      <c r="G175" s="552" t="n"/>
      <c r="H175" s="637" t="n"/>
      <c r="I175" s="657" t="n"/>
      <c r="J175" s="552">
        <f>IF(D175="","",ROUNDUP(D175/IF(AND(C175="600 ml",ISNUMBER(SEARCH("NORCAU",B175))),95,IF(AND(C175="600 ml",ISNUMBER(SEARCH("APURATOS",B175))),190,IF(C175="600 ml",95,IF(C175="400 ml",125,IF(C175="200 ml",330,IF(C175="180 ml",240,1)))))),0))</f>
        <v/>
      </c>
      <c r="K175" s="552" t="n"/>
      <c r="L175" s="637">
        <f>IF(H175="","",H175)</f>
        <v/>
      </c>
      <c r="M175" s="552" t="n"/>
      <c r="N175" s="514">
        <f>IF(I175="","",I175)</f>
        <v/>
      </c>
    </row>
    <row r="176" ht="14.25" customHeight="1" s="468">
      <c r="A176" s="634" t="n"/>
      <c r="B176" s="88" t="n"/>
      <c r="C176" s="71" t="n"/>
      <c r="D176" s="552" t="n"/>
      <c r="E176" t="inlineStr">
        <is>
          <t>CX</t>
        </is>
      </c>
      <c r="F176" s="552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552">
        <f>IFERROR(ROUNDUP(D176/F176,0),"")</f>
        <v/>
      </c>
      <c r="H176" s="637" t="n"/>
      <c r="I176" s="657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>
        <f>IF(D176="","",ROUNDUP(D176/IF(AND(C176="600 ml",ISNUMBER(SEARCH("NORCAU",B176))),95,IF(AND(C176="600 ml",ISNUMBER(SEARCH("APURATOS",B176))),190,IF(C176="600 ml",95,IF(C176="400 ml",125,IF(C176="200 ml",330,IF(C176="180 ml",240,1)))))),0))</f>
        <v/>
      </c>
      <c r="K176" s="552" t="n"/>
      <c r="L176" s="637">
        <f>IF(H176="","",H176)</f>
        <v/>
      </c>
      <c r="M176" s="637" t="n"/>
      <c r="N176" s="514">
        <f>IF(I176="","",I176)</f>
        <v/>
      </c>
    </row>
    <row r="177" ht="14.25" customHeight="1" s="468">
      <c r="A177" s="634" t="n"/>
      <c r="B177" s="88" t="n"/>
      <c r="C177" s="71" t="n"/>
      <c r="D177" s="552" t="n"/>
      <c r="E177" t="inlineStr">
        <is>
          <t>CX</t>
        </is>
      </c>
      <c r="F177" s="552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552">
        <f>IFERROR(ROUNDUP(D177/F177,0),"")</f>
        <v/>
      </c>
      <c r="H177" s="637" t="n"/>
      <c r="I177" s="657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J177" s="552">
        <f>IF(D177="","",ROUNDUP(D177/IF(AND(C177="600 ml",ISNUMBER(SEARCH("NORCAU",B177))),95,IF(AND(C177="600 ml",ISNUMBER(SEARCH("APURATOS",B177))),190,IF(C177="600 ml",95,IF(C177="400 ml",125,IF(C177="200 ml",330,IF(C177="180 ml",240,1)))))),0))</f>
        <v/>
      </c>
      <c r="K177" s="552" t="n"/>
      <c r="L177" s="637">
        <f>IF(H177="","",H177)</f>
        <v/>
      </c>
      <c r="M177" s="637" t="n"/>
      <c r="N177" s="514">
        <f>IF(I177="","",I177)</f>
        <v/>
      </c>
    </row>
    <row r="178" ht="14.25" customHeight="1" s="468">
      <c r="A178" s="634" t="n"/>
      <c r="B178" s="88" t="n"/>
      <c r="C178" s="71" t="n"/>
      <c r="D178" s="552" t="n"/>
      <c r="E178" t="inlineStr">
        <is>
          <t>CX</t>
        </is>
      </c>
      <c r="F178" s="552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552">
        <f>IFERROR(ROUNDUP(D178/F178,0),"")</f>
        <v/>
      </c>
      <c r="H178" s="637" t="n"/>
      <c r="I178" s="657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J178" s="552">
        <f>IF(D178="","",ROUNDUP(D178/IF(AND(C178="600 ml",ISNUMBER(SEARCH("NORCAU",B178))),95,IF(AND(C178="600 ml",ISNUMBER(SEARCH("APURATOS",B178))),190,IF(C178="600 ml",95,IF(C178="400 ml",125,IF(C178="200 ml",330,IF(C178="180 ml",240,1)))))),0))</f>
        <v/>
      </c>
      <c r="K178" s="552" t="n"/>
      <c r="L178" s="637">
        <f>IF(H178="","",H178)</f>
        <v/>
      </c>
      <c r="M178" s="552" t="n"/>
      <c r="N178" s="514">
        <f>IF(I178="","",I178)</f>
        <v/>
      </c>
    </row>
    <row r="179" ht="14.25" customHeight="1" s="468">
      <c r="A179" s="634" t="n"/>
      <c r="B179" s="88" t="n"/>
      <c r="C179" s="71" t="n"/>
      <c r="D179" s="552" t="n"/>
      <c r="F179" s="552" t="n"/>
      <c r="G179" s="552" t="n"/>
      <c r="H179" s="637" t="n"/>
      <c r="I179" s="657" t="n"/>
      <c r="J179" s="552">
        <f>IF(D179="","",ROUNDUP(D179/IF(AND(C179="600 ml",ISNUMBER(SEARCH("NORCAU",B179))),95,IF(AND(C179="600 ml",ISNUMBER(SEARCH("APURATOS",B179))),190,IF(C179="600 ml",95,IF(C179="400 ml",125,IF(C179="200 ml",330,IF(C179="180 ml",240,1)))))),0))</f>
        <v/>
      </c>
      <c r="K179" s="552" t="n"/>
      <c r="L179" s="637">
        <f>IF(H179="","",H179)</f>
        <v/>
      </c>
      <c r="M179" s="552" t="n"/>
      <c r="N179" s="514">
        <f>IF(I179="","",I179)</f>
        <v/>
      </c>
    </row>
    <row r="180" ht="14.25" customHeight="1" s="468">
      <c r="A180" s="634" t="n"/>
      <c r="B180" s="138" t="n"/>
      <c r="C180" s="139" t="n"/>
      <c r="D180" s="655" t="n"/>
      <c r="E180" s="465" t="n"/>
      <c r="F180" s="655" t="n"/>
      <c r="G180" s="655" t="n"/>
      <c r="H180" s="89" t="n"/>
      <c r="I180" s="90" t="n"/>
      <c r="J180" s="655">
        <f>IF(D180="","",ROUNDUP(D180/IF(AND(C180="600 ml",ISNUMBER(SEARCH("NORCAU",B180))),95,IF(AND(C180="600 ml",ISNUMBER(SEARCH("APURATOS",B180))),190,IF(C180="600 ml",95,IF(C180="400 ml",125,IF(C180="200 ml",330,IF(C180="180 ml",240,1)))))),0))</f>
        <v/>
      </c>
      <c r="K180" s="655" t="n"/>
      <c r="L180" s="89">
        <f>IF(H180="","",H180)</f>
        <v/>
      </c>
      <c r="M180" s="655" t="n"/>
      <c r="N180" s="466">
        <f>IF(I180="","",I180)</f>
        <v/>
      </c>
      <c r="O180">
        <f>SUM(N176:N179)</f>
        <v/>
      </c>
    </row>
    <row r="181" ht="14.25" customHeight="1" s="468">
      <c r="A181" s="638" t="n"/>
      <c r="B181" s="70" t="n"/>
      <c r="C181" s="71" t="n"/>
      <c r="D181" s="552" t="n"/>
      <c r="F181" s="552" t="n"/>
      <c r="G181" s="552" t="n"/>
      <c r="H181" s="552" t="n"/>
      <c r="I181" s="552" t="n"/>
      <c r="J181" s="552">
        <f>IF(D181="","",ROUNDUP(D181/IF(AND(C181="600 ml",ISNUMBER(SEARCH("NORCAU",B181))),95,IF(AND(C181="600 ml",ISNUMBER(SEARCH("APURATOS",B181))),190,IF(C181="600 ml",95,IF(C181="400 ml",125,IF(C181="200 ml",330,IF(C181="180 ml",240,1)))))),0))</f>
        <v/>
      </c>
      <c r="K181" s="552" t="n"/>
      <c r="L181" s="552">
        <f>IF(H181="","",H181)</f>
        <v/>
      </c>
      <c r="M181" s="552" t="n"/>
      <c r="N181">
        <f>IF(I181="","",I181)</f>
        <v/>
      </c>
    </row>
    <row r="182" ht="14.25" customHeight="1" s="468">
      <c r="A182" s="638" t="n"/>
      <c r="B182" s="70" t="n"/>
      <c r="C182" s="71" t="n"/>
      <c r="D182" s="552" t="n"/>
      <c r="F182" s="552" t="n"/>
      <c r="G182" s="552" t="n"/>
      <c r="H182" s="552" t="n"/>
      <c r="I182" s="552" t="n"/>
      <c r="J182" s="552">
        <f>IF(D182="","",ROUNDUP(D182/IF(AND(C182="600 ml",ISNUMBER(SEARCH("NORCAU",B182))),95,IF(AND(C182="600 ml",ISNUMBER(SEARCH("APURATOS",B182))),190,IF(C182="600 ml",95,IF(C182="400 ml",125,IF(C182="200 ml",330,IF(C182="180 ml",240,1)))))),0))</f>
        <v/>
      </c>
      <c r="K182" s="552" t="n"/>
      <c r="L182" s="552">
        <f>IF(H182="","",H182)</f>
        <v/>
      </c>
      <c r="M182" s="552" t="n"/>
      <c r="N182">
        <f>IF(I182="","",I182)</f>
        <v/>
      </c>
      <c r="O182">
        <f>SUM(O1:O180)</f>
        <v/>
      </c>
    </row>
    <row r="183" ht="15" customHeight="1" s="468">
      <c r="A183" s="638" t="n"/>
      <c r="C183" s="71" t="n"/>
      <c r="D183" s="552" t="n"/>
      <c r="F183" s="552" t="n"/>
      <c r="G183" s="552" t="n"/>
      <c r="H183" s="552" t="n"/>
      <c r="I183" s="552" t="n"/>
      <c r="J183" s="552">
        <f>IF(D183="","",ROUNDUP(D183/IF(AND(C183="600 ml",ISNUMBER(SEARCH("NORCAU",B183))),95,IF(AND(C183="600 ml",ISNUMBER(SEARCH("APURATOS",B183))),190,IF(C183="600 ml",95,IF(C183="400 ml",125,IF(C183="200 ml",330,IF(C183="180 ml",240,1)))))),0))</f>
        <v/>
      </c>
      <c r="K183" s="552" t="n"/>
      <c r="L183" s="552">
        <f>IF(H183="","",H183)</f>
        <v/>
      </c>
      <c r="M183" s="552" t="n"/>
      <c r="N183">
        <f>IF(I183="","",I183)</f>
        <v/>
      </c>
    </row>
    <row r="184" ht="15" customHeight="1" s="468">
      <c r="A184" s="638" t="n"/>
      <c r="C184" s="71" t="n"/>
      <c r="D184" s="552" t="n"/>
      <c r="F184" s="552" t="n"/>
      <c r="G184" s="552" t="n"/>
      <c r="H184" s="552" t="n"/>
      <c r="I184" s="552" t="n"/>
      <c r="J184" s="552">
        <f>IF(D184="","",ROUNDUP(D184/IF(AND(C184="600 ml",ISNUMBER(SEARCH("NORCAU",B184))),95,IF(AND(C184="600 ml",ISNUMBER(SEARCH("APURATOS",B184))),190,IF(C184="600 ml",95,IF(C184="400 ml",125,IF(C184="200 ml",330,IF(C184="180 ml",240,1)))))),0))</f>
        <v/>
      </c>
      <c r="K184" s="552" t="n"/>
      <c r="L184" s="552">
        <f>IF(H184="","",H184)</f>
        <v/>
      </c>
      <c r="M184" s="552" t="n"/>
      <c r="N184">
        <f>IF(I184="","",I184)</f>
        <v/>
      </c>
    </row>
    <row r="185" ht="15" customHeight="1" s="468">
      <c r="A185" s="638" t="n"/>
      <c r="C185" s="71" t="n"/>
      <c r="D185" s="552" t="n"/>
      <c r="F185" s="552" t="n"/>
      <c r="G185" s="552" t="n"/>
      <c r="H185" s="552" t="n"/>
      <c r="I185" s="552" t="n"/>
      <c r="J185" s="552">
        <f>IF(D185="","",ROUNDUP(D185/IF(AND(C185="600 ml",ISNUMBER(SEARCH("NORCAU",B185))),95,IF(AND(C185="600 ml",ISNUMBER(SEARCH("APURATOS",B185))),190,IF(C185="600 ml",95,IF(C185="400 ml",125,IF(C185="200 ml",330,IF(C185="180 ml",240,1)))))),0))</f>
        <v/>
      </c>
      <c r="K185" s="552" t="n"/>
      <c r="L185" s="552">
        <f>IF(H185="","",H185)</f>
        <v/>
      </c>
      <c r="M185" s="552" t="n"/>
      <c r="N185">
        <f>IF(I185="","",I185)</f>
        <v/>
      </c>
    </row>
    <row r="186" ht="15" customHeight="1" s="468">
      <c r="A186" s="638" t="n"/>
      <c r="C186" s="71" t="n"/>
      <c r="D186" s="552" t="n"/>
      <c r="F186" s="552" t="n"/>
      <c r="G186" s="552" t="n"/>
      <c r="H186" s="552" t="n"/>
      <c r="I186" s="552" t="n"/>
      <c r="J186" s="552">
        <f>IF(D186="","",ROUNDUP(D186/IF(AND(C186="600 ml",ISNUMBER(SEARCH("NORCAU",B186))),95,IF(AND(C186="600 ml",ISNUMBER(SEARCH("APURATOS",B186))),190,IF(C186="600 ml",95,IF(C186="400 ml",125,IF(C186="200 ml",330,IF(C186="180 ml",240,1)))))),0))</f>
        <v/>
      </c>
      <c r="K186" s="552" t="n"/>
      <c r="L186" s="552">
        <f>IF(H186="","",H186)</f>
        <v/>
      </c>
      <c r="M186" s="552" t="n"/>
      <c r="N186">
        <f>IF(I186="","",I186)</f>
        <v/>
      </c>
    </row>
    <row r="187" ht="15" customHeight="1" s="468">
      <c r="A187" s="638" t="n"/>
      <c r="C187" s="71" t="n"/>
      <c r="D187" s="552" t="n"/>
      <c r="F187" s="552" t="n"/>
      <c r="G187" s="552" t="n"/>
      <c r="H187" s="552" t="n"/>
      <c r="I187" s="552" t="n"/>
      <c r="J187" s="552">
        <f>IF(D187="","",ROUNDUP(D187/IF(AND(C187="600 ml",ISNUMBER(SEARCH("NORCAU",B187))),95,IF(AND(C187="600 ml",ISNUMBER(SEARCH("APURATOS",B187))),190,IF(C187="600 ml",95,IF(C187="400 ml",125,IF(C187="200 ml",330,IF(C187="180 ml",240,1)))))),0))</f>
        <v/>
      </c>
      <c r="K187" s="552" t="n"/>
      <c r="L187" s="552">
        <f>IF(H187="","",H187)</f>
        <v/>
      </c>
      <c r="M187" s="552" t="n"/>
      <c r="N187">
        <f>IF(I187="","",I187)</f>
        <v/>
      </c>
    </row>
    <row r="188" ht="15" customHeight="1" s="468">
      <c r="A188" s="638" t="n"/>
      <c r="C188" s="71" t="n"/>
      <c r="D188" s="552" t="n"/>
      <c r="F188" s="552" t="n"/>
      <c r="G188" s="552" t="n"/>
      <c r="H188" s="552" t="n"/>
      <c r="I188" s="552" t="n"/>
      <c r="J188" s="552">
        <f>IF(D188="","",ROUNDUP(D188/IF(AND(C188="600 ml",ISNUMBER(SEARCH("NORCAU",B188))),95,IF(AND(C188="600 ml",ISNUMBER(SEARCH("APURATOS",B188))),190,IF(C188="600 ml",95,IF(C188="400 ml",125,IF(C188="200 ml",330,IF(C188="180 ml",240,1)))))),0))</f>
        <v/>
      </c>
      <c r="K188" s="552" t="n"/>
      <c r="L188" s="552">
        <f>IF(H188="","",H188)</f>
        <v/>
      </c>
      <c r="M188" s="552" t="n"/>
      <c r="N188">
        <f>IF(I188="","",I188)</f>
        <v/>
      </c>
    </row>
    <row r="189" ht="15" customHeight="1" s="468">
      <c r="A189" s="638" t="n"/>
      <c r="C189" s="71" t="n"/>
      <c r="D189" s="552" t="n"/>
      <c r="F189" s="552" t="n"/>
      <c r="G189" s="552" t="n"/>
      <c r="H189" s="552" t="n"/>
      <c r="I189" s="552" t="n"/>
      <c r="J189" s="552">
        <f>IF(D189="","",ROUNDUP(D189/IF(AND(C189="600 ml",ISNUMBER(SEARCH("NORCAU",B189))),95,IF(AND(C189="600 ml",ISNUMBER(SEARCH("APURATOS",B189))),190,IF(C189="600 ml",95,IF(C189="400 ml",125,IF(C189="200 ml",330,IF(C189="180 ml",240,1)))))),0))</f>
        <v/>
      </c>
      <c r="K189" s="552" t="n"/>
      <c r="L189" s="552">
        <f>IF(H189="","",H189)</f>
        <v/>
      </c>
      <c r="M189" s="552" t="n"/>
      <c r="N189">
        <f>IF(I189="","",I189)</f>
        <v/>
      </c>
    </row>
    <row r="190" ht="15" customHeight="1" s="468">
      <c r="A190" s="638" t="n"/>
      <c r="C190" s="71" t="n"/>
      <c r="D190" s="552" t="n"/>
      <c r="F190" s="552" t="n"/>
      <c r="G190" s="552" t="n"/>
      <c r="H190" s="552" t="n"/>
      <c r="I190" s="552" t="n"/>
      <c r="J190" s="552">
        <f>IF(D190="","",ROUNDUP(D190/IF(AND(C190="600 ml",ISNUMBER(SEARCH("NORCAU",B190))),95,IF(AND(C190="600 ml",ISNUMBER(SEARCH("APURATOS",B190))),190,IF(C190="600 ml",95,IF(C190="400 ml",125,IF(C190="200 ml",330,IF(C190="180 ml",240,1)))))),0))</f>
        <v/>
      </c>
      <c r="K190" s="552" t="n"/>
      <c r="L190" s="552">
        <f>IF(H190="","",H190)</f>
        <v/>
      </c>
      <c r="M190" s="552" t="n"/>
      <c r="N190">
        <f>IF(I190="","",I190)</f>
        <v/>
      </c>
    </row>
    <row r="191" ht="15" customHeight="1" s="468">
      <c r="A191" s="638" t="n"/>
      <c r="C191" s="71" t="n"/>
      <c r="D191" s="552" t="n"/>
      <c r="F191" s="552" t="n"/>
      <c r="G191" s="552" t="n"/>
      <c r="H191" s="552" t="n"/>
      <c r="I191" s="552" t="n"/>
      <c r="J191" s="552">
        <f>IF(D191="","",ROUNDUP(D191/IF(AND(C191="600 ml",ISNUMBER(SEARCH("NORCAU",B191))),95,IF(AND(C191="600 ml",ISNUMBER(SEARCH("APURATOS",B191))),190,IF(C191="600 ml",95,IF(C191="400 ml",125,IF(C191="200 ml",330,IF(C191="180 ml",240,1)))))),0))</f>
        <v/>
      </c>
      <c r="K191" s="552" t="n"/>
      <c r="L191" s="552">
        <f>IF(H191="","",H191)</f>
        <v/>
      </c>
      <c r="M191" s="552" t="n"/>
      <c r="N191">
        <f>IF(I191="","",I191)</f>
        <v/>
      </c>
    </row>
    <row r="192" ht="15" customHeight="1" s="468">
      <c r="A192" s="638" t="n"/>
      <c r="C192" s="71" t="n"/>
      <c r="D192" s="552" t="n"/>
      <c r="F192" s="552" t="n"/>
      <c r="G192" s="552" t="n"/>
      <c r="H192" s="552" t="n"/>
      <c r="I192" s="552" t="n"/>
      <c r="J192" s="552">
        <f>IF(D192="","",ROUNDUP(D192/IF(AND(C192="600 ml",ISNUMBER(SEARCH("NORCAU",B192))),95,IF(AND(C192="600 ml",ISNUMBER(SEARCH("APURATOS",B192))),190,IF(C192="600 ml",95,IF(C192="400 ml",125,IF(C192="200 ml",330,IF(C192="180 ml",240,1)))))),0))</f>
        <v/>
      </c>
      <c r="K192" s="552" t="n"/>
      <c r="L192" s="552">
        <f>IF(H192="","",H192)</f>
        <v/>
      </c>
      <c r="M192" s="552" t="n"/>
      <c r="N192">
        <f>IF(I192="","",I192)</f>
        <v/>
      </c>
    </row>
    <row r="193" ht="15" customHeight="1" s="468">
      <c r="A193" s="638" t="n"/>
      <c r="C193" s="71" t="n"/>
      <c r="D193" s="552" t="n"/>
      <c r="F193" s="552" t="n"/>
      <c r="G193" s="552" t="n"/>
      <c r="H193" s="552" t="n"/>
      <c r="I193" s="552" t="n"/>
      <c r="J193" s="552">
        <f>IF(D193="","",ROUNDUP(D193/IF(AND(C193="600 ml",ISNUMBER(SEARCH("NORCAU",B193))),95,IF(AND(C193="600 ml",ISNUMBER(SEARCH("APURATOS",B193))),190,IF(C193="600 ml",95,IF(C193="400 ml",125,IF(C193="200 ml",330,IF(C193="180 ml",240,1)))))),0))</f>
        <v/>
      </c>
      <c r="K193" s="552" t="n"/>
      <c r="L193" s="552">
        <f>IF(H193="","",H193)</f>
        <v/>
      </c>
      <c r="M193" s="552" t="n"/>
      <c r="N193">
        <f>IF(I193="","",I193)</f>
        <v/>
      </c>
    </row>
    <row r="194" ht="15" customHeight="1" s="468">
      <c r="A194" s="638" t="n"/>
      <c r="C194" s="71" t="n"/>
      <c r="D194" s="552" t="n"/>
      <c r="F194" s="552" t="n"/>
      <c r="G194" s="552" t="n"/>
      <c r="H194" s="552" t="n"/>
      <c r="I194" s="552" t="n"/>
      <c r="J194" s="552">
        <f>IF(D194="","",ROUNDUP(D194/IF(AND(C194="600 ml",ISNUMBER(SEARCH("NORCAU",B194))),95,IF(AND(C194="600 ml",ISNUMBER(SEARCH("APURATOS",B194))),190,IF(C194="600 ml",95,IF(C194="400 ml",125,IF(C194="200 ml",330,IF(C194="180 ml",240,1)))))),0))</f>
        <v/>
      </c>
      <c r="K194" s="552" t="n"/>
      <c r="L194" s="552">
        <f>IF(H194="","",H194)</f>
        <v/>
      </c>
      <c r="M194" s="552" t="n"/>
      <c r="N194">
        <f>IF(I194="","",I194)</f>
        <v/>
      </c>
    </row>
    <row r="195" ht="15" customHeight="1" s="468">
      <c r="A195" s="638" t="n"/>
      <c r="C195" s="71" t="n"/>
      <c r="D195" s="552" t="n"/>
      <c r="F195" s="552" t="n"/>
      <c r="G195" s="552" t="n"/>
      <c r="H195" s="552" t="n"/>
      <c r="I195" s="552" t="n"/>
      <c r="J195" s="552">
        <f>IF(D195="","",ROUNDUP(D195/IF(AND(C195="600 ml",ISNUMBER(SEARCH("NORCAU",B195))),95,IF(AND(C195="600 ml",ISNUMBER(SEARCH("APURATOS",B195))),190,IF(C195="600 ml",95,IF(C195="400 ml",125,IF(C195="200 ml",330,IF(C195="180 ml",240,1)))))),0))</f>
        <v/>
      </c>
      <c r="K195" s="552" t="n"/>
      <c r="L195" s="552">
        <f>IF(H195="","",H195)</f>
        <v/>
      </c>
      <c r="M195" s="552" t="n"/>
      <c r="N195">
        <f>IF(I195="","",I195)</f>
        <v/>
      </c>
    </row>
    <row r="196" ht="15" customHeight="1" s="468">
      <c r="A196" s="638" t="n"/>
      <c r="C196" s="71" t="n"/>
      <c r="D196" s="552" t="n"/>
      <c r="F196" s="552" t="n"/>
      <c r="G196" s="552" t="n"/>
      <c r="H196" s="552" t="n"/>
      <c r="I196" s="552" t="n"/>
      <c r="J196" s="552">
        <f>IF(D196="","",ROUNDUP(D196/IF(AND(C196="600 ml",ISNUMBER(SEARCH("NORCAU",B196))),95,IF(AND(C196="600 ml",ISNUMBER(SEARCH("APURATOS",B196))),190,IF(C196="600 ml",95,IF(C196="400 ml",125,IF(C196="200 ml",330,IF(C196="180 ml",240,1)))))),0))</f>
        <v/>
      </c>
      <c r="K196" s="552" t="n"/>
      <c r="L196" s="552">
        <f>IF(H196="","",H196)</f>
        <v/>
      </c>
      <c r="M196" s="552" t="n"/>
      <c r="N196">
        <f>IF(I196="","",I196)</f>
        <v/>
      </c>
    </row>
    <row r="197" ht="15" customHeight="1" s="468">
      <c r="A197" s="638" t="n"/>
      <c r="C197" s="71" t="n"/>
      <c r="D197" s="552" t="n"/>
      <c r="F197" s="552" t="n"/>
      <c r="G197" s="552" t="n"/>
      <c r="H197" s="552" t="n"/>
      <c r="I197" s="552" t="n"/>
      <c r="J197" s="552">
        <f>IF(D197="","",ROUNDUP(D197/IF(AND(C197="600 ml",ISNUMBER(SEARCH("NORCAU",B197))),95,IF(AND(C197="600 ml",ISNUMBER(SEARCH("APURATOS",B197))),190,IF(C197="600 ml",95,IF(C197="400 ml",125,IF(C197="200 ml",330,IF(C197="180 ml",240,1)))))),0))</f>
        <v/>
      </c>
      <c r="K197" s="552" t="n"/>
      <c r="L197" s="552">
        <f>IF(H197="","",H197)</f>
        <v/>
      </c>
      <c r="M197" s="552" t="n"/>
      <c r="N197">
        <f>IF(I197="","",I197)</f>
        <v/>
      </c>
    </row>
    <row r="198" ht="15" customHeight="1" s="468">
      <c r="A198" s="658" t="n"/>
      <c r="B198" s="640" t="inlineStr">
        <is>
          <t>TOTAL</t>
        </is>
      </c>
      <c r="C198" s="641" t="n"/>
      <c r="D198" s="642">
        <f>IF(J198="","",TEXT(J198,"#,##0"))</f>
        <v/>
      </c>
      <c r="E198" s="643" t="n"/>
      <c r="F198" s="644" t="n"/>
      <c r="G198" s="642">
        <f>IF(K198="","",TEXT(K198,"#,##0"))</f>
        <v/>
      </c>
      <c r="H198" s="642">
        <f>IF(L198="","",TEXT(L198,"#,##0"))</f>
        <v/>
      </c>
      <c r="I198" s="642">
        <f>IF(M198="","",TEXT(M198,"#,##0"))</f>
        <v/>
      </c>
      <c r="J198" s="644">
        <f>SUM(D159:D197)</f>
        <v/>
      </c>
      <c r="K198" s="644">
        <f>SUM(G159:G197)</f>
        <v/>
      </c>
      <c r="L198" s="644">
        <f>SUM(H159:H197)</f>
        <v/>
      </c>
      <c r="M198" s="644">
        <f>SUM(I159:I197)</f>
        <v/>
      </c>
      <c r="N198" s="552">
        <f>IF(I198="","",I198)</f>
        <v/>
      </c>
    </row>
    <row r="199" ht="15" customHeight="1" s="468">
      <c r="A199" s="638" t="n"/>
      <c r="C199" s="71" t="n"/>
      <c r="D199" s="552" t="n"/>
      <c r="F199" s="552" t="n"/>
      <c r="G199" s="552" t="n"/>
      <c r="H199" s="552" t="n"/>
      <c r="I199" s="552" t="n"/>
      <c r="J199" s="552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K199" s="552" t="n"/>
      <c r="L199" s="552">
        <f>IF(H199="","",H199)</f>
        <v/>
      </c>
      <c r="M199" s="552" t="n"/>
      <c r="N199">
        <f>IF(I199="","",I199)</f>
        <v/>
      </c>
    </row>
  </sheetData>
  <mergeCells count="29">
    <mergeCell ref="A48:A49"/>
    <mergeCell ref="P39:S41"/>
    <mergeCell ref="A103:A106"/>
    <mergeCell ref="P28:S30"/>
    <mergeCell ref="P93:S95"/>
    <mergeCell ref="A2:F2"/>
    <mergeCell ref="A65:A66"/>
    <mergeCell ref="P12:S14"/>
    <mergeCell ref="A139:A140"/>
    <mergeCell ref="P64:S66"/>
    <mergeCell ref="A113:A114"/>
    <mergeCell ref="P20:S22"/>
    <mergeCell ref="A151:A152"/>
    <mergeCell ref="A21:A22"/>
    <mergeCell ref="A5:A6"/>
    <mergeCell ref="A57:A58"/>
    <mergeCell ref="A13:A14"/>
    <mergeCell ref="A122:A123"/>
    <mergeCell ref="A160:A161"/>
    <mergeCell ref="A29:A30"/>
    <mergeCell ref="A81:A82"/>
    <mergeCell ref="P56:S58"/>
    <mergeCell ref="P81:S83"/>
    <mergeCell ref="A130:A131"/>
    <mergeCell ref="A93:A96"/>
    <mergeCell ref="G2:I2"/>
    <mergeCell ref="A39:A40"/>
    <mergeCell ref="A1:I1"/>
    <mergeCell ref="A73:A74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98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F766E"/>
    <outlinePr summaryBelow="1" summaryRight="1"/>
    <pageSetUpPr/>
  </sheetPr>
  <dimension ref="A1:Y30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hidden="1" width="13" customWidth="1" style="468" min="24" max="25"/>
  </cols>
  <sheetData>
    <row r="1" ht="19.5" customHeight="1" s="468">
      <c r="A1" s="675" t="inlineStr">
        <is>
          <t>RESULTADOS E GRÁFICO - FEVEREIRO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SUM(C9:C30)</f>
        <v/>
      </c>
      <c r="D4" s="152">
        <f>COUNTA(A9:A30)*CONFIG!$B$3</f>
        <v/>
      </c>
      <c r="F4" s="152">
        <f>IFERROR(SUMIFS(C9:C28,A9:A28,"&lt;="&amp;TODAY(),F9:F28,"&lt;&gt;*Feriado*")/COUNTIFS(A9:A28,"&lt;="&amp;TODAY(),F9:F28,"&lt;&gt;*Feriado*"),0)</f>
        <v/>
      </c>
      <c r="H4" s="152">
        <f>IFERROR(MAX(C9:C30),0)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4.25" customHeight="1" s="468">
      <c r="A9" s="676" t="n">
        <v>46055</v>
      </c>
      <c r="B9" s="677" t="n">
        <v>1</v>
      </c>
      <c r="C9" s="678">
        <f>'SEMANA FEVEREIRO'!$M$9</f>
        <v/>
      </c>
      <c r="D9" s="678">
        <f>CONFIG!$B$3</f>
        <v/>
      </c>
      <c r="E9" s="678">
        <f>C9-D9</f>
        <v/>
      </c>
      <c r="F9" s="683" t="n"/>
      <c r="X9" s="552">
        <f>IF(COUNTIF($F9,"*Feriado*")&gt;0,NA(),$C9)</f>
        <v/>
      </c>
      <c r="Y9" s="552">
        <f>IF(COUNTIF($F9,"*Feriado*")&gt;0,NA(),$D9)</f>
        <v/>
      </c>
    </row>
    <row r="10" ht="14.25" customHeight="1" s="468">
      <c r="A10" s="680" t="n">
        <v>46056</v>
      </c>
      <c r="B10" s="681" t="n">
        <v>2</v>
      </c>
      <c r="C10" s="682">
        <f>'SEMANA FEVEREIRO'!$M$17</f>
        <v/>
      </c>
      <c r="D10" s="682">
        <f>CONFIG!$B$3</f>
        <v/>
      </c>
      <c r="E10" s="682">
        <f>C10-D10</f>
        <v/>
      </c>
      <c r="F10" s="683" t="n"/>
      <c r="X10" s="552">
        <f>IF(COUNTIF($F10,"*Feriado*")&gt;0,NA(),$C10)</f>
        <v/>
      </c>
      <c r="Y10" s="552">
        <f>IF(COUNTIF($F10,"*Feriado*")&gt;0,NA(),$D10)</f>
        <v/>
      </c>
    </row>
    <row r="11" ht="14.25" customHeight="1" s="468">
      <c r="A11" s="676" t="n">
        <v>46057</v>
      </c>
      <c r="B11" s="677" t="n">
        <v>3</v>
      </c>
      <c r="C11" s="678">
        <f>'SEMANA FEVEREIRO'!$M$25</f>
        <v/>
      </c>
      <c r="D11" s="678">
        <f>CONFIG!$B$3</f>
        <v/>
      </c>
      <c r="E11" s="678">
        <f>C11-D11</f>
        <v/>
      </c>
      <c r="F11" s="683" t="n"/>
      <c r="X11" s="552">
        <f>IF(COUNTIF($F11,"*Feriado*")&gt;0,NA(),$C11)</f>
        <v/>
      </c>
      <c r="Y11" s="552">
        <f>IF(COUNTIF($F11,"*Feriado*")&gt;0,NA(),$D11)</f>
        <v/>
      </c>
    </row>
    <row r="12" ht="14.25" customHeight="1" s="468">
      <c r="A12" s="680" t="n">
        <v>46058</v>
      </c>
      <c r="B12" s="681" t="n">
        <v>4</v>
      </c>
      <c r="C12" s="682">
        <f>'SEMANA FEVEREIRO'!$M$35</f>
        <v/>
      </c>
      <c r="D12" s="682">
        <f>CONFIG!$B$3</f>
        <v/>
      </c>
      <c r="E12" s="682">
        <f>C12-D12</f>
        <v/>
      </c>
      <c r="F12" s="683" t="n"/>
      <c r="X12" s="552">
        <f>IF(COUNTIF($F12,"*Feriado*")&gt;0,NA(),$C12)</f>
        <v/>
      </c>
      <c r="Y12" s="552">
        <f>IF(COUNTIF($F12,"*Feriado*")&gt;0,NA(),$D12)</f>
        <v/>
      </c>
    </row>
    <row r="13" ht="14.25" customHeight="1" s="468">
      <c r="A13" s="676" t="n">
        <v>46059</v>
      </c>
      <c r="B13" s="677" t="n">
        <v>5</v>
      </c>
      <c r="C13" s="678">
        <f>'SEMANA FEVEREIRO'!$M$44</f>
        <v/>
      </c>
      <c r="D13" s="678">
        <f>CONFIG!$B$3</f>
        <v/>
      </c>
      <c r="E13" s="678">
        <f>C13-D13</f>
        <v/>
      </c>
      <c r="F13" s="683" t="n"/>
      <c r="X13" s="552">
        <f>IF(COUNTIF($F13,"*Feriado*")&gt;0,NA(),$C13)</f>
        <v/>
      </c>
      <c r="Y13" s="552">
        <f>IF(COUNTIF($F13,"*Feriado*")&gt;0,NA(),$D13)</f>
        <v/>
      </c>
    </row>
    <row r="14" ht="14.25" customHeight="1" s="468">
      <c r="A14" s="680" t="n">
        <v>46062</v>
      </c>
      <c r="B14" s="681" t="n">
        <v>6</v>
      </c>
      <c r="C14" s="682">
        <f>'SEMANA FEVEREIRO'!$M$53</f>
        <v/>
      </c>
      <c r="D14" s="682">
        <f>CONFIG!$B$3</f>
        <v/>
      </c>
      <c r="E14" s="682">
        <f>C14-D14</f>
        <v/>
      </c>
      <c r="F14" s="683" t="n"/>
      <c r="X14" s="552">
        <f>IF(COUNTIF($F14,"*Feriado*")&gt;0,NA(),$C14)</f>
        <v/>
      </c>
      <c r="Y14" s="552">
        <f>IF(COUNTIF($F14,"*Feriado*")&gt;0,NA(),$D14)</f>
        <v/>
      </c>
    </row>
    <row r="15" ht="14.25" customHeight="1" s="468">
      <c r="A15" s="676" t="n">
        <v>46063</v>
      </c>
      <c r="B15" s="677" t="n">
        <v>7</v>
      </c>
      <c r="C15" s="678">
        <f>'SEMANA FEVEREIRO'!$M$61</f>
        <v/>
      </c>
      <c r="D15" s="678">
        <f>CONFIG!$B$3</f>
        <v/>
      </c>
      <c r="E15" s="678">
        <f>C15-D15</f>
        <v/>
      </c>
      <c r="F15" s="683" t="n"/>
      <c r="X15" s="552">
        <f>IF(COUNTIF($F15,"*Feriado*")&gt;0,NA(),$C15)</f>
        <v/>
      </c>
      <c r="Y15" s="552">
        <f>IF(COUNTIF($F15,"*Feriado*")&gt;0,NA(),$D15)</f>
        <v/>
      </c>
    </row>
    <row r="16" ht="14.25" customHeight="1" s="468">
      <c r="A16" s="680" t="n">
        <v>46064</v>
      </c>
      <c r="B16" s="681" t="n">
        <v>8</v>
      </c>
      <c r="C16" s="682">
        <f>'SEMANA FEVEREIRO'!$M$69</f>
        <v/>
      </c>
      <c r="D16" s="682">
        <f>CONFIG!$B$3</f>
        <v/>
      </c>
      <c r="E16" s="682">
        <f>C16-D16</f>
        <v/>
      </c>
      <c r="F16" s="683" t="n"/>
      <c r="X16" s="552">
        <f>IF(COUNTIF($F16,"*Feriado*")&gt;0,NA(),$C16)</f>
        <v/>
      </c>
      <c r="Y16" s="552">
        <f>IF(COUNTIF($F16,"*Feriado*")&gt;0,NA(),$D16)</f>
        <v/>
      </c>
    </row>
    <row r="17" ht="14.25" customHeight="1" s="468">
      <c r="A17" s="676" t="n">
        <v>46065</v>
      </c>
      <c r="B17" s="677" t="n">
        <v>9</v>
      </c>
      <c r="C17" s="678">
        <f>'SEMANA FEVEREIRO'!$M$77</f>
        <v/>
      </c>
      <c r="D17" s="678">
        <f>CONFIG!$B$3</f>
        <v/>
      </c>
      <c r="E17" s="678">
        <f>C17-D17</f>
        <v/>
      </c>
      <c r="F17" s="683" t="n"/>
      <c r="X17" s="552">
        <f>IF(COUNTIF($F17,"*Feriado*")&gt;0,NA(),$C17)</f>
        <v/>
      </c>
      <c r="Y17" s="552">
        <f>IF(COUNTIF($F17,"*Feriado*")&gt;0,NA(),$D17)</f>
        <v/>
      </c>
    </row>
    <row r="18" ht="14.25" customHeight="1" s="468">
      <c r="A18" s="680" t="n">
        <v>46066</v>
      </c>
      <c r="B18" s="681" t="n">
        <v>10</v>
      </c>
      <c r="C18" s="682">
        <f>'SEMANA FEVEREIRO'!$M$89</f>
        <v/>
      </c>
      <c r="D18" s="682">
        <f>CONFIG!$B$3</f>
        <v/>
      </c>
      <c r="E18" s="682">
        <f>C18-D18</f>
        <v/>
      </c>
      <c r="F18" s="683" t="n"/>
      <c r="X18" s="552">
        <f>IF(COUNTIF($F18,"*Feriado*")&gt;0,NA(),$C18)</f>
        <v/>
      </c>
      <c r="Y18" s="552">
        <f>IF(COUNTIF($F18,"*Feriado*")&gt;0,NA(),$D18)</f>
        <v/>
      </c>
    </row>
    <row r="19" ht="14.25" customHeight="1" s="468">
      <c r="A19" s="676" t="n">
        <v>46069</v>
      </c>
      <c r="B19" s="677" t="n">
        <v>11</v>
      </c>
      <c r="C19" s="678" t="n">
        <v>0</v>
      </c>
      <c r="D19" s="678">
        <f>CONFIG!$B$3</f>
        <v/>
      </c>
      <c r="E19" s="678">
        <f>C19-D19</f>
        <v/>
      </c>
      <c r="F19" s="683" t="n"/>
      <c r="X19" s="552">
        <f>IF(COUNTIF($F19,"*Feriado*")&gt;0,NA(),$C19)</f>
        <v/>
      </c>
      <c r="Y19" s="552">
        <f>IF(COUNTIF($F19,"*Feriado*")&gt;0,NA(),$D19)</f>
        <v/>
      </c>
    </row>
    <row r="20" ht="14.25" customHeight="1" s="468">
      <c r="A20" s="680" t="n">
        <v>46070</v>
      </c>
      <c r="B20" s="681" t="n">
        <v>12</v>
      </c>
      <c r="C20" s="682" t="n">
        <v>0</v>
      </c>
      <c r="D20" s="682">
        <f>CONFIG!$B$3</f>
        <v/>
      </c>
      <c r="E20" s="682">
        <f>C20-D20</f>
        <v/>
      </c>
      <c r="F20" s="683" t="n"/>
      <c r="X20" s="552">
        <f>IF(COUNTIF($F20,"*Feriado*")&gt;0,NA(),$C20)</f>
        <v/>
      </c>
      <c r="Y20" s="552">
        <f>IF(COUNTIF($F20,"*Feriado*")&gt;0,NA(),$D20)</f>
        <v/>
      </c>
    </row>
    <row r="21" ht="14.25" customHeight="1" s="468">
      <c r="A21" s="676" t="n">
        <v>46071</v>
      </c>
      <c r="B21" s="677" t="n">
        <v>13</v>
      </c>
      <c r="C21" s="678">
        <f>'SEMANA FEVEREIRO'!$M$99</f>
        <v/>
      </c>
      <c r="D21" s="678">
        <f>CONFIG!$B$3</f>
        <v/>
      </c>
      <c r="E21" s="678">
        <f>C21-D21</f>
        <v/>
      </c>
      <c r="F21" s="683" t="n"/>
      <c r="X21" s="552">
        <f>IF(COUNTIF($F21,"*Feriado*")&gt;0,NA(),$C21)</f>
        <v/>
      </c>
      <c r="Y21" s="552">
        <f>IF(COUNTIF($F21,"*Feriado*")&gt;0,NA(),$D21)</f>
        <v/>
      </c>
    </row>
    <row r="22" ht="14.25" customHeight="1" s="468">
      <c r="A22" s="680" t="n">
        <v>46072</v>
      </c>
      <c r="B22" s="681" t="n">
        <v>14</v>
      </c>
      <c r="C22" s="682">
        <f>'SEMANA FEVEREIRO'!$M$109</f>
        <v/>
      </c>
      <c r="D22" s="682">
        <f>CONFIG!$B$3</f>
        <v/>
      </c>
      <c r="E22" s="682">
        <f>C22-D22</f>
        <v/>
      </c>
      <c r="F22" s="683" t="n"/>
      <c r="X22" s="552">
        <f>IF(COUNTIF($F22,"*Feriado*")&gt;0,NA(),$C22)</f>
        <v/>
      </c>
      <c r="Y22" s="552">
        <f>IF(COUNTIF($F22,"*Feriado*")&gt;0,NA(),$D22)</f>
        <v/>
      </c>
    </row>
    <row r="23" ht="14.25" customHeight="1" s="468">
      <c r="A23" s="676" t="n">
        <v>46073</v>
      </c>
      <c r="B23" s="677" t="n">
        <v>15</v>
      </c>
      <c r="C23" s="678">
        <f>'SEMANA FEVEREIRO'!$M$118</f>
        <v/>
      </c>
      <c r="D23" s="678">
        <f>CONFIG!$B$3</f>
        <v/>
      </c>
      <c r="E23" s="678">
        <f>C23-D23</f>
        <v/>
      </c>
      <c r="F23" s="683" t="n"/>
      <c r="X23" s="552">
        <f>IF(COUNTIF($F23,"*Feriado*")&gt;0,NA(),$C23)</f>
        <v/>
      </c>
      <c r="Y23" s="552">
        <f>IF(COUNTIF($F23,"*Feriado*")&gt;0,NA(),$D23)</f>
        <v/>
      </c>
    </row>
    <row r="24" ht="14.25" customHeight="1" s="468">
      <c r="A24" s="680" t="n">
        <v>46076</v>
      </c>
      <c r="B24" s="681" t="n">
        <v>16</v>
      </c>
      <c r="C24" s="682">
        <f>'SEMANA FEVEREIRO'!$M$126</f>
        <v/>
      </c>
      <c r="D24" s="682">
        <f>CONFIG!$B$3</f>
        <v/>
      </c>
      <c r="E24" s="682">
        <f>C24-D24</f>
        <v/>
      </c>
      <c r="F24" s="683" t="n"/>
      <c r="X24" s="552">
        <f>IF(COUNTIF($F24,"*Feriado*")&gt;0,NA(),$C24)</f>
        <v/>
      </c>
      <c r="Y24" s="552">
        <f>IF(COUNTIF($F24,"*Feriado*")&gt;0,NA(),$D24)</f>
        <v/>
      </c>
    </row>
    <row r="25" ht="14.25" customHeight="1" s="468">
      <c r="A25" s="676" t="n">
        <v>46077</v>
      </c>
      <c r="B25" s="677" t="n">
        <v>17</v>
      </c>
      <c r="C25" s="678">
        <f>'SEMANA FEVEREIRO'!$M$135</f>
        <v/>
      </c>
      <c r="D25" s="678">
        <f>CONFIG!$B$3</f>
        <v/>
      </c>
      <c r="E25" s="678">
        <f>C25-D25</f>
        <v/>
      </c>
      <c r="F25" s="683" t="n"/>
      <c r="X25" s="552">
        <f>IF(COUNTIF($F25,"*Feriado*")&gt;0,NA(),$C25)</f>
        <v/>
      </c>
      <c r="Y25" s="552">
        <f>IF(COUNTIF($F25,"*Feriado*")&gt;0,NA(),$D25)</f>
        <v/>
      </c>
    </row>
    <row r="26" ht="14.25" customHeight="1" s="468">
      <c r="A26" s="680" t="n">
        <v>46078</v>
      </c>
      <c r="B26" s="681" t="n">
        <v>18</v>
      </c>
      <c r="C26" s="682">
        <f>'SEMANA FEVEREIRO'!$M$147</f>
        <v/>
      </c>
      <c r="D26" s="682">
        <f>CONFIG!$B$3</f>
        <v/>
      </c>
      <c r="E26" s="682">
        <f>C26-D26</f>
        <v/>
      </c>
      <c r="F26" s="683" t="n"/>
      <c r="X26" s="552">
        <f>IF(COUNTIF($F26,"*Feriado*")&gt;0,NA(),$C26)</f>
        <v/>
      </c>
      <c r="Y26" s="552">
        <f>IF(COUNTIF($F26,"*Feriado*")&gt;0,NA(),$D26)</f>
        <v/>
      </c>
    </row>
    <row r="27" ht="14.25" customHeight="1" s="468">
      <c r="A27" s="676" t="n">
        <v>46079</v>
      </c>
      <c r="B27" s="677" t="n">
        <v>19</v>
      </c>
      <c r="C27" s="678">
        <f>'SEMANA FEVEREIRO'!$M$156</f>
        <v/>
      </c>
      <c r="D27" s="678">
        <f>CONFIG!$B$3</f>
        <v/>
      </c>
      <c r="E27" s="678">
        <f>C27-D27</f>
        <v/>
      </c>
      <c r="F27" s="683" t="n"/>
      <c r="X27" s="552">
        <f>IF(COUNTIF($F27,"*Feriado*")&gt;0,NA(),$C27)</f>
        <v/>
      </c>
      <c r="Y27" s="552">
        <f>IF(COUNTIF($F27,"*Feriado*")&gt;0,NA(),$D27)</f>
        <v/>
      </c>
    </row>
    <row r="28" ht="14.25" customHeight="1" s="468">
      <c r="A28" s="680" t="n">
        <v>46080</v>
      </c>
      <c r="B28" s="681" t="n">
        <v>20</v>
      </c>
      <c r="C28" s="682">
        <f>'SEMANA FEVEREIRO'!$M$164</f>
        <v/>
      </c>
      <c r="D28" s="682">
        <f>CONFIG!$B$3</f>
        <v/>
      </c>
      <c r="E28" s="682">
        <f>C28-D28</f>
        <v/>
      </c>
      <c r="F28" s="683" t="n"/>
      <c r="X28" s="552">
        <f>IF(COUNTIF($F28,"*Feriado*")&gt;0,NA(),$C28)</f>
        <v/>
      </c>
      <c r="Y28" s="552">
        <f>IF(COUNTIF($F28,"*Feriado*")&gt;0,NA(),$D28)</f>
        <v/>
      </c>
    </row>
    <row r="29" ht="14.25" customHeight="1" s="468">
      <c r="A29" s="680" t="n"/>
      <c r="B29" s="684" t="n"/>
      <c r="C29" s="682" t="n"/>
      <c r="D29" s="682" t="n"/>
      <c r="E29" s="682" t="n"/>
      <c r="F29" s="683" t="n"/>
    </row>
    <row r="30" ht="14.25" customHeight="1" s="468">
      <c r="A30" s="680" t="n"/>
      <c r="B30" s="684" t="n"/>
      <c r="C30" s="682" t="n"/>
      <c r="D30" s="682" t="n"/>
      <c r="E30" s="682" t="n"/>
      <c r="F30" s="683" t="n"/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C96B0A"/>
    <outlinePr summaryBelow="1" summaryRight="1"/>
    <pageSetUpPr/>
  </sheetPr>
  <dimension ref="B1:O300"/>
  <sheetViews>
    <sheetView showGridLines="0" topLeftCell="A131" zoomScaleNormal="100" workbookViewId="0">
      <selection activeCell="M135" sqref="M135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201" min="14" max="14"/>
    <col width="10.5546875" customWidth="1" style="468" min="15" max="15"/>
  </cols>
  <sheetData>
    <row r="1" ht="21.75" customHeight="1" s="468">
      <c r="B1" s="511" t="inlineStr">
        <is>
          <t>ORDEM DE PRODUÇÃO - MARÇO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511" t="inlineStr">
        <is>
          <t>OP</t>
        </is>
      </c>
      <c r="C3" s="511" t="inlineStr">
        <is>
          <t xml:space="preserve">LOTE </t>
        </is>
      </c>
      <c r="D3" s="513" t="n"/>
      <c r="E3" s="511" t="inlineStr">
        <is>
          <t>LOTE CLIENTE</t>
        </is>
      </c>
      <c r="F3" s="513" t="n"/>
      <c r="G3" s="511" t="inlineStr">
        <is>
          <t>PRODUTO</t>
        </is>
      </c>
      <c r="H3" s="456" t="n"/>
      <c r="I3" s="456" t="n"/>
      <c r="J3" s="513" t="n"/>
      <c r="K3" s="511" t="inlineStr">
        <is>
          <t>CLIENTE</t>
        </is>
      </c>
      <c r="L3" s="513" t="n"/>
      <c r="M3" s="511" t="inlineStr">
        <is>
          <t>QTDE(Kg)</t>
        </is>
      </c>
      <c r="N3" s="511" t="inlineStr">
        <is>
          <t>FABRICAÇÃO</t>
        </is>
      </c>
    </row>
    <row r="4" ht="17.25" customHeight="1" s="468">
      <c r="B4" s="528" t="inlineStr">
        <is>
          <t>2026/057</t>
        </is>
      </c>
      <c r="C4" s="528" t="n">
        <v>26010237</v>
      </c>
      <c r="D4" s="513" t="n"/>
      <c r="E4" s="529" t="n"/>
      <c r="F4" s="513" t="n"/>
      <c r="G4" s="528" t="inlineStr">
        <is>
          <t>ITAIQUARA 600ML</t>
        </is>
      </c>
      <c r="H4" s="456" t="n"/>
      <c r="I4" s="456" t="n"/>
      <c r="J4" s="513" t="n"/>
      <c r="K4" s="528" t="inlineStr">
        <is>
          <t>ITAIQUARA</t>
        </is>
      </c>
      <c r="L4" s="513" t="n"/>
      <c r="M4" s="204" t="inlineStr">
        <is>
          <t>3.420 LATAS</t>
        </is>
      </c>
      <c r="N4" s="418" t="n">
        <v>46085</v>
      </c>
    </row>
    <row r="5" ht="17.25" customHeight="1" s="468">
      <c r="B5" s="528" t="inlineStr">
        <is>
          <t>2026/058</t>
        </is>
      </c>
      <c r="C5" s="528" t="n">
        <v>26010238</v>
      </c>
      <c r="D5" s="513" t="n"/>
      <c r="E5" s="529" t="n"/>
      <c r="F5" s="513" t="n"/>
      <c r="G5" s="528" t="inlineStr">
        <is>
          <t>TTF ABELHA 600ML</t>
        </is>
      </c>
      <c r="H5" s="456" t="n"/>
      <c r="I5" s="456" t="n"/>
      <c r="J5" s="513" t="n"/>
      <c r="K5" s="528" t="inlineStr">
        <is>
          <t>TTF</t>
        </is>
      </c>
      <c r="L5" s="513" t="n"/>
      <c r="M5" s="528" t="inlineStr">
        <is>
          <t>2.880 LATAS</t>
        </is>
      </c>
      <c r="N5" s="418" t="n">
        <v>46085</v>
      </c>
    </row>
    <row r="6" ht="17.25" customHeight="1" s="468">
      <c r="B6" s="528" t="inlineStr">
        <is>
          <t>2026/059</t>
        </is>
      </c>
      <c r="C6" s="528" t="n">
        <v>26010239</v>
      </c>
      <c r="D6" s="513" t="n"/>
      <c r="E6" s="529" t="n"/>
      <c r="F6" s="513" t="n"/>
      <c r="G6" s="528" t="inlineStr">
        <is>
          <t>UNTA FACIL ECO 600ML</t>
        </is>
      </c>
      <c r="H6" s="456" t="n"/>
      <c r="I6" s="456" t="n"/>
      <c r="J6" s="513" t="n"/>
      <c r="K6" s="528" t="inlineStr">
        <is>
          <t>IN LOCO</t>
        </is>
      </c>
      <c r="L6" s="513" t="n"/>
      <c r="M6" s="204" t="inlineStr">
        <is>
          <t>3.696 LATAS</t>
        </is>
      </c>
      <c r="N6" s="418" t="n">
        <v>46086</v>
      </c>
    </row>
    <row r="7" ht="17.25" customHeight="1" s="468">
      <c r="B7" s="528" t="inlineStr">
        <is>
          <t>2026/060</t>
        </is>
      </c>
      <c r="C7" s="528" t="n">
        <v>26040240</v>
      </c>
      <c r="D7" s="513" t="n"/>
      <c r="E7" s="529" t="n"/>
      <c r="F7" s="513" t="n"/>
      <c r="G7" s="528" t="inlineStr">
        <is>
          <t>ÓLEO DE COCO 200ML</t>
        </is>
      </c>
      <c r="H7" s="456" t="n"/>
      <c r="I7" s="456" t="n"/>
      <c r="J7" s="513" t="n"/>
      <c r="K7" s="528" t="inlineStr">
        <is>
          <t>SANTO ÓLEO</t>
        </is>
      </c>
      <c r="L7" s="513" t="n"/>
      <c r="M7" s="204" t="inlineStr">
        <is>
          <t>5.960 LATAS</t>
        </is>
      </c>
      <c r="N7" s="418" t="n">
        <v>46100</v>
      </c>
    </row>
    <row r="8" ht="17.25" customHeight="1" s="468">
      <c r="B8" s="528" t="inlineStr">
        <is>
          <t>2026/061</t>
        </is>
      </c>
      <c r="C8" s="528" t="n">
        <v>26040241</v>
      </c>
      <c r="D8" s="513" t="n"/>
      <c r="E8" s="529" t="n"/>
      <c r="F8" s="513" t="n"/>
      <c r="G8" s="528" t="inlineStr">
        <is>
          <t>ÓLEO DE COCO EXTRAVIRGEM</t>
        </is>
      </c>
      <c r="H8" s="456" t="n"/>
      <c r="I8" s="456" t="n"/>
      <c r="J8" s="513" t="n"/>
      <c r="K8" s="528" t="inlineStr">
        <is>
          <t>CARREFOUR</t>
        </is>
      </c>
      <c r="L8" s="513" t="n"/>
      <c r="M8" s="204" t="inlineStr">
        <is>
          <t>2.880 LATAS</t>
        </is>
      </c>
      <c r="N8" s="418" t="n">
        <v>46087</v>
      </c>
    </row>
    <row r="9" ht="18" customHeight="1" s="468">
      <c r="B9" s="528" t="inlineStr">
        <is>
          <t>2026/062</t>
        </is>
      </c>
      <c r="C9" s="528" t="n">
        <v>26040242</v>
      </c>
      <c r="D9" s="513" t="n"/>
      <c r="E9" s="529" t="n"/>
      <c r="F9" s="513" t="n"/>
      <c r="G9" s="528" t="inlineStr">
        <is>
          <t>ÓLEO DE COCO EXTRAVIRGEM TAEQ</t>
        </is>
      </c>
      <c r="H9" s="456" t="n"/>
      <c r="I9" s="456" t="n"/>
      <c r="J9" s="513" t="n"/>
      <c r="K9" s="528" t="inlineStr">
        <is>
          <t>PÃO DE AÇUCAR</t>
        </is>
      </c>
      <c r="L9" s="463" t="n"/>
      <c r="M9" s="204" t="inlineStr">
        <is>
          <t>2.880 LATAS</t>
        </is>
      </c>
      <c r="N9" s="418" t="n">
        <v>46087</v>
      </c>
    </row>
    <row r="10" ht="18" customHeight="1" s="468">
      <c r="B10" s="531" t="n"/>
      <c r="C10" s="528" t="n">
        <v>26010243</v>
      </c>
      <c r="D10" s="513" t="n"/>
      <c r="E10" s="529" t="n"/>
      <c r="F10" s="513" t="n"/>
      <c r="G10" s="528" t="inlineStr">
        <is>
          <t>UNTA FORMA 180ML QUALITÁ</t>
        </is>
      </c>
      <c r="H10" s="456" t="n"/>
      <c r="I10" s="456" t="n"/>
      <c r="J10" s="513" t="n"/>
      <c r="K10" s="464" t="n"/>
      <c r="L10" s="466" t="n"/>
      <c r="M10" s="204" t="inlineStr">
        <is>
          <t>2.880 LATAS</t>
        </is>
      </c>
      <c r="N10" s="418" t="n">
        <v>46086</v>
      </c>
    </row>
    <row r="11" ht="18" customHeight="1" s="468">
      <c r="B11" s="528" t="inlineStr">
        <is>
          <t>2026/063</t>
        </is>
      </c>
      <c r="C11" s="528" t="n">
        <v>26010245</v>
      </c>
      <c r="D11" s="513" t="n"/>
      <c r="E11" s="525" t="n"/>
      <c r="F11" s="513" t="n"/>
      <c r="G11" s="528" t="inlineStr">
        <is>
          <t>OL 40</t>
        </is>
      </c>
      <c r="H11" s="456" t="n"/>
      <c r="I11" s="456" t="n"/>
      <c r="J11" s="513" t="n"/>
      <c r="K11" s="528" t="inlineStr">
        <is>
          <t>SMART</t>
        </is>
      </c>
      <c r="L11" s="463" t="n"/>
      <c r="M11" s="528" t="inlineStr">
        <is>
          <t>420 KG</t>
        </is>
      </c>
      <c r="N11" s="418" t="n">
        <v>46084</v>
      </c>
    </row>
    <row r="12" ht="18" customHeight="1" s="468">
      <c r="B12" s="530" t="n"/>
      <c r="C12" s="528" t="n">
        <v>26010246</v>
      </c>
      <c r="D12" s="513" t="n"/>
      <c r="E12" s="529" t="n"/>
      <c r="F12" s="513" t="n"/>
      <c r="G12" s="528" t="inlineStr">
        <is>
          <t>OL 40</t>
        </is>
      </c>
      <c r="H12" s="456" t="n"/>
      <c r="I12" s="456" t="n"/>
      <c r="J12" s="513" t="n"/>
      <c r="K12" s="523" t="n"/>
      <c r="L12" s="514" t="n"/>
      <c r="M12" s="528" t="inlineStr">
        <is>
          <t>420 KG</t>
        </is>
      </c>
      <c r="N12" s="418" t="n">
        <v>46084</v>
      </c>
    </row>
    <row r="13" ht="18" customHeight="1" s="468">
      <c r="B13" s="530" t="n"/>
      <c r="C13" s="528" t="n">
        <v>26010247</v>
      </c>
      <c r="D13" s="513" t="n"/>
      <c r="E13" s="529" t="n"/>
      <c r="F13" s="513" t="n"/>
      <c r="G13" s="528" t="inlineStr">
        <is>
          <t>OL 40</t>
        </is>
      </c>
      <c r="H13" s="456" t="n"/>
      <c r="I13" s="456" t="n"/>
      <c r="J13" s="513" t="n"/>
      <c r="K13" s="523" t="n"/>
      <c r="L13" s="514" t="n"/>
      <c r="M13" s="528" t="inlineStr">
        <is>
          <t>420 KG</t>
        </is>
      </c>
      <c r="N13" s="418" t="n">
        <v>46084</v>
      </c>
    </row>
    <row r="14" ht="18" customHeight="1" s="468">
      <c r="B14" s="530" t="n"/>
      <c r="C14" s="528" t="n">
        <v>26010248</v>
      </c>
      <c r="D14" s="513" t="n"/>
      <c r="E14" s="529" t="n"/>
      <c r="F14" s="513" t="n"/>
      <c r="G14" s="528" t="inlineStr">
        <is>
          <t>OL 40</t>
        </is>
      </c>
      <c r="H14" s="456" t="n"/>
      <c r="I14" s="456" t="n"/>
      <c r="J14" s="513" t="n"/>
      <c r="K14" s="523" t="n"/>
      <c r="L14" s="514" t="n"/>
      <c r="M14" s="528" t="inlineStr">
        <is>
          <t>420 KG</t>
        </is>
      </c>
      <c r="N14" s="418" t="n">
        <v>46084</v>
      </c>
    </row>
    <row r="15" ht="18" customHeight="1" s="468">
      <c r="B15" s="530" t="n"/>
      <c r="C15" s="528" t="n">
        <v>26010249</v>
      </c>
      <c r="D15" s="513" t="n"/>
      <c r="E15" s="529" t="n"/>
      <c r="F15" s="513" t="n"/>
      <c r="G15" s="528" t="inlineStr">
        <is>
          <t>OL 40</t>
        </is>
      </c>
      <c r="H15" s="456" t="n"/>
      <c r="I15" s="456" t="n"/>
      <c r="J15" s="513" t="n"/>
      <c r="K15" s="523" t="n"/>
      <c r="L15" s="514" t="n"/>
      <c r="M15" s="528" t="inlineStr">
        <is>
          <t>420 KG</t>
        </is>
      </c>
      <c r="N15" s="418" t="n">
        <v>46085</v>
      </c>
    </row>
    <row r="16" ht="18" customHeight="1" s="468">
      <c r="B16" s="530" t="n"/>
      <c r="C16" s="528" t="n">
        <v>26010250</v>
      </c>
      <c r="D16" s="513" t="n"/>
      <c r="E16" s="529" t="n"/>
      <c r="F16" s="513" t="n"/>
      <c r="G16" s="528" t="inlineStr">
        <is>
          <t>OL 40</t>
        </is>
      </c>
      <c r="H16" s="456" t="n"/>
      <c r="I16" s="456" t="n"/>
      <c r="J16" s="513" t="n"/>
      <c r="K16" s="523" t="n"/>
      <c r="L16" s="514" t="n"/>
      <c r="M16" s="528" t="inlineStr">
        <is>
          <t>420 KG</t>
        </is>
      </c>
      <c r="N16" s="418" t="n">
        <v>46085</v>
      </c>
    </row>
    <row r="17" ht="18" customHeight="1" s="468">
      <c r="B17" s="530" t="n"/>
      <c r="C17" s="528" t="n">
        <v>26010251</v>
      </c>
      <c r="D17" s="513" t="n"/>
      <c r="E17" s="529" t="n"/>
      <c r="F17" s="513" t="n"/>
      <c r="G17" s="528" t="inlineStr">
        <is>
          <t>OL 40</t>
        </is>
      </c>
      <c r="H17" s="456" t="n"/>
      <c r="I17" s="456" t="n"/>
      <c r="J17" s="513" t="n"/>
      <c r="K17" s="523" t="n"/>
      <c r="L17" s="514" t="n"/>
      <c r="M17" s="528" t="inlineStr">
        <is>
          <t>420 KG</t>
        </is>
      </c>
      <c r="N17" s="418" t="n">
        <v>46085</v>
      </c>
    </row>
    <row r="18" ht="18" customHeight="1" s="468">
      <c r="B18" s="530" t="n"/>
      <c r="C18" s="528" t="n">
        <v>26010252</v>
      </c>
      <c r="D18" s="513" t="n"/>
      <c r="E18" s="535" t="n"/>
      <c r="F18" s="513" t="n"/>
      <c r="G18" s="528" t="inlineStr">
        <is>
          <t>OL 40</t>
        </is>
      </c>
      <c r="H18" s="456" t="n"/>
      <c r="I18" s="456" t="n"/>
      <c r="J18" s="513" t="n"/>
      <c r="K18" s="523" t="n"/>
      <c r="L18" s="514" t="n"/>
      <c r="M18" s="528" t="inlineStr">
        <is>
          <t>420 KG</t>
        </is>
      </c>
      <c r="N18" s="418" t="n">
        <v>46086</v>
      </c>
    </row>
    <row r="19" ht="18" customHeight="1" s="468">
      <c r="B19" s="530" t="n"/>
      <c r="C19" s="528" t="n">
        <v>26010253</v>
      </c>
      <c r="D19" s="513" t="n"/>
      <c r="E19" s="525" t="n"/>
      <c r="F19" s="513" t="n"/>
      <c r="G19" s="528" t="inlineStr">
        <is>
          <t>OL 40</t>
        </is>
      </c>
      <c r="H19" s="456" t="n"/>
      <c r="I19" s="456" t="n"/>
      <c r="J19" s="513" t="n"/>
      <c r="K19" s="523" t="n"/>
      <c r="L19" s="514" t="n"/>
      <c r="M19" s="528" t="inlineStr">
        <is>
          <t>420 KG</t>
        </is>
      </c>
      <c r="N19" s="418" t="n">
        <v>46086</v>
      </c>
    </row>
    <row r="20" ht="18" customHeight="1" s="468">
      <c r="B20" s="530" t="n"/>
      <c r="C20" s="528" t="n">
        <v>26010254</v>
      </c>
      <c r="D20" s="513" t="n"/>
      <c r="E20" s="529" t="n"/>
      <c r="F20" s="513" t="n"/>
      <c r="G20" s="528" t="inlineStr">
        <is>
          <t>OL ABELHA</t>
        </is>
      </c>
      <c r="H20" s="456" t="n"/>
      <c r="I20" s="456" t="n"/>
      <c r="J20" s="513" t="n"/>
      <c r="K20" s="523" t="n"/>
      <c r="L20" s="514" t="n"/>
      <c r="M20" s="528" t="inlineStr">
        <is>
          <t>420 KG</t>
        </is>
      </c>
      <c r="N20" s="418" t="n">
        <v>46085</v>
      </c>
    </row>
    <row r="21" ht="18" customHeight="1" s="468">
      <c r="B21" s="530" t="n"/>
      <c r="C21" s="528" t="n">
        <v>26010255</v>
      </c>
      <c r="D21" s="513" t="n"/>
      <c r="E21" s="529" t="n"/>
      <c r="F21" s="513" t="n"/>
      <c r="G21" s="528" t="inlineStr">
        <is>
          <t>OL ABELHA</t>
        </is>
      </c>
      <c r="H21" s="456" t="n"/>
      <c r="I21" s="456" t="n"/>
      <c r="J21" s="513" t="n"/>
      <c r="K21" s="523" t="n"/>
      <c r="L21" s="514" t="n"/>
      <c r="M21" s="528" t="inlineStr">
        <is>
          <t>420 KG</t>
        </is>
      </c>
      <c r="N21" s="418" t="n">
        <v>46085</v>
      </c>
    </row>
    <row r="22" ht="18" customHeight="1" s="468">
      <c r="B22" s="530" t="n"/>
      <c r="C22" s="528" t="n">
        <v>26010256</v>
      </c>
      <c r="D22" s="513" t="n"/>
      <c r="E22" s="529" t="n"/>
      <c r="F22" s="513" t="n"/>
      <c r="G22" s="528" t="inlineStr">
        <is>
          <t>OL ABELHA</t>
        </is>
      </c>
      <c r="H22" s="456" t="n"/>
      <c r="I22" s="456" t="n"/>
      <c r="J22" s="513" t="n"/>
      <c r="K22" s="523" t="n"/>
      <c r="L22" s="514" t="n"/>
      <c r="M22" s="528" t="inlineStr">
        <is>
          <t>420 KG</t>
        </is>
      </c>
      <c r="N22" s="418" t="n">
        <v>46085</v>
      </c>
    </row>
    <row r="23" ht="18" customHeight="1" s="468">
      <c r="B23" s="530" t="n"/>
      <c r="C23" s="528" t="n">
        <v>26010257</v>
      </c>
      <c r="D23" s="513" t="n"/>
      <c r="E23" s="529" t="n"/>
      <c r="F23" s="513" t="n"/>
      <c r="G23" s="528" t="inlineStr">
        <is>
          <t>OL ABELHA</t>
        </is>
      </c>
      <c r="H23" s="456" t="n"/>
      <c r="I23" s="456" t="n"/>
      <c r="J23" s="513" t="n"/>
      <c r="K23" s="523" t="n"/>
      <c r="L23" s="514" t="n"/>
      <c r="M23" s="528" t="inlineStr">
        <is>
          <t>420 KG</t>
        </is>
      </c>
      <c r="N23" s="418" t="n">
        <v>46085</v>
      </c>
    </row>
    <row r="24" ht="18" customHeight="1" s="468">
      <c r="B24" s="530" t="n"/>
      <c r="C24" s="528" t="n">
        <v>26010258</v>
      </c>
      <c r="D24" s="513" t="n"/>
      <c r="E24" s="525" t="n"/>
      <c r="F24" s="513" t="n"/>
      <c r="G24" s="528" t="inlineStr">
        <is>
          <t>OL ABELHA</t>
        </is>
      </c>
      <c r="H24" s="456" t="n"/>
      <c r="I24" s="456" t="n"/>
      <c r="J24" s="513" t="n"/>
      <c r="K24" s="523" t="n"/>
      <c r="L24" s="514" t="n"/>
      <c r="M24" s="528" t="inlineStr">
        <is>
          <t>420 KG</t>
        </is>
      </c>
      <c r="N24" s="418" t="n">
        <v>46086</v>
      </c>
    </row>
    <row r="25" ht="18" customHeight="1" s="468">
      <c r="B25" s="530" t="n"/>
      <c r="C25" s="528" t="n">
        <v>26010259</v>
      </c>
      <c r="D25" s="513" t="n"/>
      <c r="E25" s="525" t="n"/>
      <c r="F25" s="513" t="n"/>
      <c r="G25" s="528" t="inlineStr">
        <is>
          <t>OL ABELHA</t>
        </is>
      </c>
      <c r="H25" s="456" t="n"/>
      <c r="I25" s="456" t="n"/>
      <c r="J25" s="513" t="n"/>
      <c r="K25" s="523" t="n"/>
      <c r="L25" s="514" t="n"/>
      <c r="M25" s="528" t="inlineStr">
        <is>
          <t>420 KG</t>
        </is>
      </c>
      <c r="N25" s="418" t="n">
        <v>46086</v>
      </c>
    </row>
    <row r="26" ht="18" customHeight="1" s="468">
      <c r="B26" s="530" t="n"/>
      <c r="C26" s="528" t="n">
        <v>26010260</v>
      </c>
      <c r="D26" s="513" t="n"/>
      <c r="E26" s="535" t="n"/>
      <c r="F26" s="513" t="n"/>
      <c r="G26" s="528" t="inlineStr">
        <is>
          <t>OL 40</t>
        </is>
      </c>
      <c r="H26" s="456" t="n"/>
      <c r="I26" s="456" t="n"/>
      <c r="J26" s="513" t="n"/>
      <c r="K26" s="523" t="n"/>
      <c r="L26" s="514" t="n"/>
      <c r="M26" s="528" t="inlineStr">
        <is>
          <t>420 KG</t>
        </is>
      </c>
      <c r="N26" s="418" t="n">
        <v>46086</v>
      </c>
    </row>
    <row r="27" ht="18" customHeight="1" s="468">
      <c r="B27" s="530" t="n"/>
      <c r="C27" s="528" t="n">
        <v>26010261</v>
      </c>
      <c r="D27" s="513" t="n"/>
      <c r="E27" s="529" t="n"/>
      <c r="F27" s="513" t="n"/>
      <c r="G27" s="528" t="inlineStr">
        <is>
          <t>OL 40</t>
        </is>
      </c>
      <c r="H27" s="456" t="n"/>
      <c r="I27" s="456" t="n"/>
      <c r="J27" s="513" t="n"/>
      <c r="K27" s="523" t="n"/>
      <c r="L27" s="514" t="n"/>
      <c r="M27" s="528" t="inlineStr">
        <is>
          <t>420 KG</t>
        </is>
      </c>
      <c r="N27" s="418" t="n">
        <v>46086</v>
      </c>
    </row>
    <row r="28" ht="18" customHeight="1" s="468">
      <c r="B28" s="530" t="n"/>
      <c r="C28" s="528" t="n">
        <v>26010262</v>
      </c>
      <c r="D28" s="513" t="n"/>
      <c r="E28" s="529" t="n"/>
      <c r="F28" s="513" t="n"/>
      <c r="G28" s="528" t="inlineStr">
        <is>
          <t>OL 40</t>
        </is>
      </c>
      <c r="H28" s="456" t="n"/>
      <c r="I28" s="456" t="n"/>
      <c r="J28" s="513" t="n"/>
      <c r="K28" s="523" t="n"/>
      <c r="L28" s="514" t="n"/>
      <c r="M28" s="528" t="inlineStr">
        <is>
          <t>420 KG</t>
        </is>
      </c>
      <c r="N28" s="418" t="n">
        <v>46090</v>
      </c>
    </row>
    <row r="29" ht="18" customHeight="1" s="468">
      <c r="B29" s="530" t="n"/>
      <c r="C29" s="528" t="n">
        <v>26010263</v>
      </c>
      <c r="D29" s="513" t="n"/>
      <c r="E29" s="529" t="n"/>
      <c r="F29" s="513" t="n"/>
      <c r="G29" s="528" t="inlineStr">
        <is>
          <t>OL 40</t>
        </is>
      </c>
      <c r="H29" s="456" t="n"/>
      <c r="I29" s="456" t="n"/>
      <c r="J29" s="513" t="n"/>
      <c r="K29" s="523" t="n"/>
      <c r="L29" s="514" t="n"/>
      <c r="M29" s="528" t="inlineStr">
        <is>
          <t>420 KG</t>
        </is>
      </c>
      <c r="N29" s="418" t="n">
        <v>46090</v>
      </c>
    </row>
    <row r="30" ht="18" customHeight="1" s="468">
      <c r="B30" s="530" t="n"/>
      <c r="C30" s="528" t="n">
        <v>26010264</v>
      </c>
      <c r="D30" s="513" t="n"/>
      <c r="E30" s="529" t="n"/>
      <c r="F30" s="513" t="n"/>
      <c r="G30" s="528" t="inlineStr">
        <is>
          <t>OL 40</t>
        </is>
      </c>
      <c r="H30" s="456" t="n"/>
      <c r="I30" s="456" t="n"/>
      <c r="J30" s="513" t="n"/>
      <c r="K30" s="523" t="n"/>
      <c r="L30" s="514" t="n"/>
      <c r="M30" s="528" t="inlineStr">
        <is>
          <t>420 KG</t>
        </is>
      </c>
      <c r="N30" s="418" t="n">
        <v>46090</v>
      </c>
    </row>
    <row r="31" ht="18" customHeight="1" s="468">
      <c r="B31" s="530" t="n"/>
      <c r="C31" s="528" t="n">
        <v>26010265</v>
      </c>
      <c r="D31" s="513" t="n"/>
      <c r="E31" s="529" t="n"/>
      <c r="F31" s="513" t="n"/>
      <c r="G31" s="528" t="inlineStr">
        <is>
          <t>OL 40</t>
        </is>
      </c>
      <c r="H31" s="456" t="n"/>
      <c r="I31" s="456" t="n"/>
      <c r="J31" s="513" t="n"/>
      <c r="K31" s="523" t="n"/>
      <c r="L31" s="514" t="n"/>
      <c r="M31" s="528" t="inlineStr">
        <is>
          <t>420 KG</t>
        </is>
      </c>
      <c r="N31" s="418" t="n">
        <v>46090</v>
      </c>
    </row>
    <row r="32" ht="18" customHeight="1" s="468">
      <c r="B32" s="530" t="n"/>
      <c r="C32" s="528" t="n">
        <v>26010266</v>
      </c>
      <c r="D32" s="513" t="n"/>
      <c r="E32" s="529" t="n"/>
      <c r="F32" s="513" t="n"/>
      <c r="G32" s="528" t="inlineStr">
        <is>
          <t>OL 40</t>
        </is>
      </c>
      <c r="H32" s="456" t="n"/>
      <c r="I32" s="456" t="n"/>
      <c r="J32" s="513" t="n"/>
      <c r="K32" s="523" t="n"/>
      <c r="L32" s="514" t="n"/>
      <c r="M32" s="528" t="inlineStr">
        <is>
          <t>420 KG</t>
        </is>
      </c>
      <c r="N32" s="418" t="n">
        <v>46090</v>
      </c>
    </row>
    <row r="33" ht="18" customHeight="1" s="468">
      <c r="B33" s="530" t="n"/>
      <c r="C33" s="528" t="n">
        <v>26010267</v>
      </c>
      <c r="D33" s="513" t="n"/>
      <c r="E33" s="529" t="n"/>
      <c r="F33" s="513" t="n"/>
      <c r="G33" s="528" t="inlineStr">
        <is>
          <t>OL 40</t>
        </is>
      </c>
      <c r="H33" s="456" t="n"/>
      <c r="I33" s="456" t="n"/>
      <c r="J33" s="513" t="n"/>
      <c r="K33" s="523" t="n"/>
      <c r="L33" s="514" t="n"/>
      <c r="M33" s="528" t="inlineStr">
        <is>
          <t>420 KG</t>
        </is>
      </c>
      <c r="N33" s="418" t="n">
        <v>46090</v>
      </c>
    </row>
    <row r="34" ht="18" customHeight="1" s="468">
      <c r="B34" s="530" t="n"/>
      <c r="C34" s="528" t="n">
        <v>26010268</v>
      </c>
      <c r="D34" s="513" t="n"/>
      <c r="E34" s="529" t="n"/>
      <c r="F34" s="513" t="n"/>
      <c r="G34" s="528" t="inlineStr">
        <is>
          <t>OL 40</t>
        </is>
      </c>
      <c r="H34" s="456" t="n"/>
      <c r="I34" s="456" t="n"/>
      <c r="J34" s="513" t="n"/>
      <c r="K34" s="523" t="n"/>
      <c r="L34" s="514" t="n"/>
      <c r="M34" s="528" t="inlineStr">
        <is>
          <t>420 KG</t>
        </is>
      </c>
      <c r="N34" s="418" t="n">
        <v>46090</v>
      </c>
    </row>
    <row r="35" ht="18" customHeight="1" s="468">
      <c r="B35" s="531" t="n"/>
      <c r="C35" s="528" t="n">
        <v>26010269</v>
      </c>
      <c r="D35" s="513" t="n"/>
      <c r="E35" s="525" t="n"/>
      <c r="F35" s="513" t="n"/>
      <c r="G35" s="528" t="inlineStr">
        <is>
          <t>OL 40</t>
        </is>
      </c>
      <c r="H35" s="456" t="n"/>
      <c r="I35" s="456" t="n"/>
      <c r="J35" s="513" t="n"/>
      <c r="K35" s="464" t="n"/>
      <c r="L35" s="466" t="n"/>
      <c r="M35" s="528" t="inlineStr">
        <is>
          <t>420 KG</t>
        </is>
      </c>
      <c r="N35" s="418" t="n">
        <v>46090</v>
      </c>
    </row>
    <row r="36" ht="17.25" customHeight="1" s="468">
      <c r="B36" s="528" t="inlineStr">
        <is>
          <t>2026/064</t>
        </is>
      </c>
      <c r="C36" s="528" t="n">
        <v>26010244</v>
      </c>
      <c r="D36" s="513" t="n"/>
      <c r="E36" s="529" t="n"/>
      <c r="F36" s="513" t="n"/>
      <c r="G36" s="528" t="inlineStr">
        <is>
          <t>UNTA FACIL 180ML</t>
        </is>
      </c>
      <c r="H36" s="456" t="n"/>
      <c r="I36" s="456" t="n"/>
      <c r="J36" s="513" t="n"/>
      <c r="K36" s="528" t="inlineStr">
        <is>
          <t>IN LOCO</t>
        </is>
      </c>
      <c r="L36" s="513" t="n"/>
      <c r="M36" s="528" t="inlineStr">
        <is>
          <t>8.640 LATAS</t>
        </is>
      </c>
      <c r="N36" s="418" t="n">
        <v>46086</v>
      </c>
    </row>
    <row r="37" ht="17.25" customHeight="1" s="468">
      <c r="B37" s="528" t="inlineStr">
        <is>
          <t>2026/065</t>
        </is>
      </c>
      <c r="C37" s="528" t="n">
        <v>26010270</v>
      </c>
      <c r="D37" s="513" t="n"/>
      <c r="E37" s="529" t="n"/>
      <c r="F37" s="513" t="n"/>
      <c r="G37" s="528" t="inlineStr">
        <is>
          <t>DONA JURA 400ML</t>
        </is>
      </c>
      <c r="H37" s="456" t="n"/>
      <c r="I37" s="456" t="n"/>
      <c r="J37" s="513" t="n"/>
      <c r="K37" s="528" t="inlineStr">
        <is>
          <t>CACAU FOODS</t>
        </is>
      </c>
      <c r="L37" s="513" t="n"/>
      <c r="M37" s="528" t="inlineStr">
        <is>
          <t>24.720 LATAS</t>
        </is>
      </c>
      <c r="N37" s="418" t="n">
        <v>46090</v>
      </c>
    </row>
    <row r="38" ht="17.25" customHeight="1" s="468">
      <c r="B38" s="528" t="inlineStr">
        <is>
          <t>2026/066</t>
        </is>
      </c>
      <c r="C38" s="528" t="n">
        <v>26010271</v>
      </c>
      <c r="D38" s="513" t="n"/>
      <c r="E38" s="529" t="n"/>
      <c r="F38" s="513" t="n"/>
      <c r="G38" s="528" t="inlineStr">
        <is>
          <t>BONASSE 400ML</t>
        </is>
      </c>
      <c r="H38" s="456" t="n"/>
      <c r="I38" s="456" t="n"/>
      <c r="J38" s="513" t="n"/>
      <c r="K38" s="528" t="inlineStr">
        <is>
          <t>ROCHAPAN</t>
        </is>
      </c>
      <c r="L38" s="513" t="n"/>
      <c r="M38" s="528" t="inlineStr">
        <is>
          <t>3.000 LATAS</t>
        </is>
      </c>
      <c r="N38" s="418" t="n">
        <v>46091</v>
      </c>
    </row>
    <row r="39" ht="17.25" customHeight="1" s="468">
      <c r="B39" s="528" t="inlineStr">
        <is>
          <t>2026/067</t>
        </is>
      </c>
      <c r="C39" s="528" t="n">
        <v>26010272</v>
      </c>
      <c r="D39" s="513" t="n"/>
      <c r="E39" s="529" t="n"/>
      <c r="F39" s="513" t="n"/>
      <c r="G39" s="528" t="inlineStr">
        <is>
          <t>CELEBRATE 400ML</t>
        </is>
      </c>
      <c r="H39" s="456" t="n"/>
      <c r="I39" s="456" t="n"/>
      <c r="J39" s="513" t="n"/>
      <c r="K39" s="528" t="inlineStr">
        <is>
          <t>BRILHART</t>
        </is>
      </c>
      <c r="L39" s="513" t="n"/>
      <c r="M39" s="528" t="inlineStr">
        <is>
          <t>3.000 LATAS</t>
        </is>
      </c>
      <c r="N39" s="418" t="n">
        <v>46091</v>
      </c>
    </row>
    <row r="40" ht="17.25" customHeight="1" s="468">
      <c r="B40" s="528" t="inlineStr">
        <is>
          <t>2026/068</t>
        </is>
      </c>
      <c r="C40" s="528" t="n">
        <v>26010273</v>
      </c>
      <c r="D40" s="513" t="n"/>
      <c r="E40" s="529" t="n"/>
      <c r="F40" s="513" t="n"/>
      <c r="G40" s="528" t="inlineStr">
        <is>
          <t>UNTA FACIL 400ML</t>
        </is>
      </c>
      <c r="H40" s="456" t="n"/>
      <c r="I40" s="456" t="n"/>
      <c r="J40" s="513" t="n"/>
      <c r="K40" s="528" t="inlineStr">
        <is>
          <t>IN LOCO</t>
        </is>
      </c>
      <c r="L40" s="513" t="n"/>
      <c r="M40" s="528" t="inlineStr">
        <is>
          <t>42.000 LATAS</t>
        </is>
      </c>
      <c r="N40" s="418" t="n">
        <v>46094</v>
      </c>
      <c r="O40" s="561" t="inlineStr">
        <is>
          <t>21 PALLETS</t>
        </is>
      </c>
    </row>
    <row r="41" ht="17.25" customHeight="1" s="468">
      <c r="B41" s="528" t="inlineStr">
        <is>
          <t>2026/069</t>
        </is>
      </c>
      <c r="C41" s="537" t="n"/>
      <c r="D41" s="513" t="n"/>
      <c r="E41" s="528" t="n">
        <v>2632170</v>
      </c>
      <c r="F41" s="513" t="n"/>
      <c r="G41" s="528" t="inlineStr">
        <is>
          <t>CHEF DESMOLDANTE 400ML</t>
        </is>
      </c>
      <c r="H41" s="456" t="n"/>
      <c r="I41" s="456" t="n"/>
      <c r="J41" s="513" t="n"/>
      <c r="K41" s="528" t="inlineStr">
        <is>
          <t>ICEBERG</t>
        </is>
      </c>
      <c r="L41" s="513" t="n"/>
      <c r="M41" s="528" t="inlineStr">
        <is>
          <t>27.720 LATAS</t>
        </is>
      </c>
      <c r="N41" s="418" t="n">
        <v>46097</v>
      </c>
    </row>
    <row r="42" ht="17.25" customHeight="1" s="468">
      <c r="B42" s="528" t="inlineStr">
        <is>
          <t>2026/070</t>
        </is>
      </c>
      <c r="C42" s="528" t="n">
        <v>26010274</v>
      </c>
      <c r="D42" s="513" t="n"/>
      <c r="E42" s="529" t="n"/>
      <c r="F42" s="513" t="n"/>
      <c r="G42" s="528" t="inlineStr">
        <is>
          <t>UNTA FORMA GRILL 400ML</t>
        </is>
      </c>
      <c r="H42" s="456" t="n"/>
      <c r="I42" s="456" t="n"/>
      <c r="J42" s="513" t="n"/>
      <c r="K42" s="528" t="inlineStr">
        <is>
          <t>FESTPAN</t>
        </is>
      </c>
      <c r="L42" s="513" t="n"/>
      <c r="M42" s="204" t="inlineStr">
        <is>
          <t>18.900 LATAS</t>
        </is>
      </c>
      <c r="N42" s="418" t="n">
        <v>46091</v>
      </c>
    </row>
    <row r="43" ht="17.25" customHeight="1" s="468">
      <c r="B43" s="528" t="inlineStr">
        <is>
          <t>2026/071</t>
        </is>
      </c>
      <c r="C43" s="528" t="n">
        <v>26010275</v>
      </c>
      <c r="D43" s="513" t="n"/>
      <c r="E43" s="529" t="n"/>
      <c r="F43" s="513" t="n"/>
      <c r="G43" s="528" t="inlineStr">
        <is>
          <t>UNTA FORMA 400ML</t>
        </is>
      </c>
      <c r="H43" s="456" t="n"/>
      <c r="I43" s="456" t="n"/>
      <c r="J43" s="513" t="n"/>
      <c r="K43" s="528" t="inlineStr">
        <is>
          <t>CASA DO PANIFICADOR</t>
        </is>
      </c>
      <c r="L43" s="513" t="n"/>
      <c r="M43" s="528" t="inlineStr">
        <is>
          <t>2.400 LATAS</t>
        </is>
      </c>
      <c r="N43" s="418" t="n">
        <v>46100</v>
      </c>
    </row>
    <row r="44" ht="17.25" customHeight="1" s="468">
      <c r="B44" s="528" t="inlineStr">
        <is>
          <t>2026/072</t>
        </is>
      </c>
      <c r="C44" s="528" t="n">
        <v>26010276</v>
      </c>
      <c r="D44" s="513" t="n"/>
      <c r="E44" s="528" t="inlineStr">
        <is>
          <t>OL 277</t>
        </is>
      </c>
      <c r="F44" s="513" t="n"/>
      <c r="G44" s="528" t="inlineStr">
        <is>
          <t>UNTA FACIL AZEITE 180ML</t>
        </is>
      </c>
      <c r="H44" s="456" t="n"/>
      <c r="I44" s="456" t="n"/>
      <c r="J44" s="513" t="n"/>
      <c r="K44" s="528" t="inlineStr">
        <is>
          <t>IN LOCO</t>
        </is>
      </c>
      <c r="L44" s="513" t="n"/>
      <c r="M44" s="204" t="inlineStr">
        <is>
          <t>2.880 LATAS</t>
        </is>
      </c>
      <c r="N44" s="418" t="n">
        <v>46086</v>
      </c>
    </row>
    <row r="45" ht="17.25" customHeight="1" s="468">
      <c r="B45" s="528" t="inlineStr">
        <is>
          <t>2026/073</t>
        </is>
      </c>
      <c r="C45" s="528" t="n">
        <v>26010277</v>
      </c>
      <c r="D45" s="513" t="n"/>
      <c r="E45" s="528" t="inlineStr">
        <is>
          <t>OL 246</t>
        </is>
      </c>
      <c r="F45" s="513" t="n"/>
      <c r="G45" s="528" t="inlineStr">
        <is>
          <t>OL AZEITE</t>
        </is>
      </c>
      <c r="H45" s="456" t="n"/>
      <c r="I45" s="456" t="n"/>
      <c r="J45" s="513" t="n"/>
      <c r="K45" s="528" t="inlineStr">
        <is>
          <t>SMART</t>
        </is>
      </c>
      <c r="L45" s="513" t="n"/>
      <c r="M45" s="528" t="inlineStr">
        <is>
          <t>265 KG</t>
        </is>
      </c>
      <c r="N45" s="418" t="n">
        <v>46084</v>
      </c>
    </row>
    <row r="46" ht="17.25" customHeight="1" s="468">
      <c r="B46" s="528" t="inlineStr">
        <is>
          <t>2026/074</t>
        </is>
      </c>
      <c r="C46" s="528" t="n">
        <v>26060278</v>
      </c>
      <c r="D46" s="513" t="n"/>
      <c r="E46" s="529" t="n"/>
      <c r="F46" s="513" t="n"/>
      <c r="G46" s="528" t="inlineStr">
        <is>
          <t>AL 10 CONCENTRADO</t>
        </is>
      </c>
      <c r="H46" s="456" t="n"/>
      <c r="I46" s="456" t="n"/>
      <c r="J46" s="513" t="n"/>
      <c r="K46" s="528" t="inlineStr">
        <is>
          <t>SMART</t>
        </is>
      </c>
      <c r="L46" s="513" t="n"/>
      <c r="M46" s="204" t="inlineStr">
        <is>
          <t>1.293  KG</t>
        </is>
      </c>
      <c r="N46" s="418" t="n">
        <v>46086</v>
      </c>
    </row>
    <row r="47" ht="17.25" customHeight="1" s="468">
      <c r="B47" s="528" t="inlineStr">
        <is>
          <t>2026/075</t>
        </is>
      </c>
      <c r="C47" s="528" t="n">
        <v>26060279</v>
      </c>
      <c r="D47" s="513" t="n"/>
      <c r="E47" s="528" t="inlineStr">
        <is>
          <t>AL 278</t>
        </is>
      </c>
      <c r="F47" s="513" t="n"/>
      <c r="G47" s="528" t="inlineStr">
        <is>
          <t>AL 10 - 25LTRS</t>
        </is>
      </c>
      <c r="H47" s="456" t="n"/>
      <c r="I47" s="456" t="n"/>
      <c r="J47" s="513" t="n"/>
      <c r="K47" s="528" t="inlineStr">
        <is>
          <t>MATEUS</t>
        </is>
      </c>
      <c r="L47" s="513" t="n"/>
      <c r="M47" s="528" t="inlineStr">
        <is>
          <t>60 BBs</t>
        </is>
      </c>
      <c r="N47" s="418" t="n">
        <v>46086</v>
      </c>
    </row>
    <row r="48" ht="17.25" customHeight="1" s="468">
      <c r="B48" s="528" t="inlineStr">
        <is>
          <t>2026/076</t>
        </is>
      </c>
      <c r="C48" s="528" t="n">
        <v>26010280</v>
      </c>
      <c r="D48" s="513" t="n"/>
      <c r="E48" s="529" t="n"/>
      <c r="F48" s="513" t="n"/>
      <c r="G48" s="528" t="inlineStr">
        <is>
          <t>UNTA FACIL ECO 400ML</t>
        </is>
      </c>
      <c r="H48" s="456" t="n"/>
      <c r="I48" s="456" t="n"/>
      <c r="J48" s="513" t="n"/>
      <c r="K48" s="528" t="inlineStr">
        <is>
          <t>IN LOCO</t>
        </is>
      </c>
      <c r="L48" s="513" t="n"/>
      <c r="M48" s="528" t="inlineStr">
        <is>
          <t>2.304 LATAS</t>
        </is>
      </c>
      <c r="N48" s="418" t="n">
        <v>46087</v>
      </c>
    </row>
    <row r="49" ht="18" customHeight="1" s="468">
      <c r="B49" s="528" t="inlineStr">
        <is>
          <t>2026/077</t>
        </is>
      </c>
      <c r="C49" s="528" t="n">
        <v>26010281</v>
      </c>
      <c r="D49" s="513" t="n"/>
      <c r="E49" s="529" t="n"/>
      <c r="F49" s="513" t="n"/>
      <c r="G49" s="528" t="inlineStr">
        <is>
          <t>OL 40</t>
        </is>
      </c>
      <c r="H49" s="456" t="n"/>
      <c r="I49" s="456" t="n"/>
      <c r="J49" s="513" t="n"/>
      <c r="K49" s="528" t="inlineStr">
        <is>
          <t>SMART</t>
        </is>
      </c>
      <c r="L49" s="463" t="n"/>
      <c r="M49" s="528" t="inlineStr">
        <is>
          <t>420 KG</t>
        </is>
      </c>
      <c r="N49" s="418" t="n">
        <v>46091</v>
      </c>
    </row>
    <row r="50" ht="18" customHeight="1" s="468">
      <c r="B50" s="530" t="n"/>
      <c r="C50" s="528" t="n">
        <v>26010282</v>
      </c>
      <c r="D50" s="513" t="n"/>
      <c r="E50" s="529" t="n"/>
      <c r="F50" s="513" t="n"/>
      <c r="G50" s="528" t="inlineStr">
        <is>
          <t>OL 40</t>
        </is>
      </c>
      <c r="H50" s="456" t="n"/>
      <c r="I50" s="456" t="n"/>
      <c r="J50" s="513" t="n"/>
      <c r="K50" s="523" t="n"/>
      <c r="L50" s="514" t="n"/>
      <c r="M50" s="528" t="inlineStr">
        <is>
          <t>420 KG</t>
        </is>
      </c>
      <c r="N50" s="418" t="n">
        <v>46091</v>
      </c>
    </row>
    <row r="51" ht="18" customHeight="1" s="468">
      <c r="B51" s="530" t="n"/>
      <c r="C51" s="528" t="n">
        <v>26010283</v>
      </c>
      <c r="D51" s="513" t="n"/>
      <c r="E51" s="525" t="n"/>
      <c r="F51" s="513" t="n"/>
      <c r="G51" s="528" t="inlineStr">
        <is>
          <t>OL 40</t>
        </is>
      </c>
      <c r="H51" s="456" t="n"/>
      <c r="I51" s="456" t="n"/>
      <c r="J51" s="513" t="n"/>
      <c r="K51" s="523" t="n"/>
      <c r="L51" s="514" t="n"/>
      <c r="M51" s="528" t="inlineStr">
        <is>
          <t>420 KG</t>
        </is>
      </c>
      <c r="N51" s="418" t="n">
        <v>46091</v>
      </c>
    </row>
    <row r="52" ht="18" customHeight="1" s="468">
      <c r="B52" s="530" t="n"/>
      <c r="C52" s="528" t="n">
        <v>26010284</v>
      </c>
      <c r="D52" s="513" t="n"/>
      <c r="E52" s="525" t="n"/>
      <c r="F52" s="513" t="n"/>
      <c r="G52" s="528" t="inlineStr">
        <is>
          <t>OL 40</t>
        </is>
      </c>
      <c r="H52" s="456" t="n"/>
      <c r="I52" s="456" t="n"/>
      <c r="J52" s="513" t="n"/>
      <c r="K52" s="523" t="n"/>
      <c r="L52" s="514" t="n"/>
      <c r="M52" s="528" t="inlineStr">
        <is>
          <t>420 KG</t>
        </is>
      </c>
      <c r="N52" s="418" t="n">
        <v>46091</v>
      </c>
    </row>
    <row r="53" ht="18" customHeight="1" s="468">
      <c r="B53" s="530" t="n"/>
      <c r="C53" s="528" t="n">
        <v>26010285</v>
      </c>
      <c r="D53" s="513" t="n"/>
      <c r="E53" s="529" t="n"/>
      <c r="F53" s="513" t="n"/>
      <c r="G53" s="528" t="inlineStr">
        <is>
          <t>OL 40</t>
        </is>
      </c>
      <c r="H53" s="456" t="n"/>
      <c r="I53" s="456" t="n"/>
      <c r="J53" s="513" t="n"/>
      <c r="K53" s="523" t="n"/>
      <c r="L53" s="514" t="n"/>
      <c r="M53" s="528" t="inlineStr">
        <is>
          <t>420 KG</t>
        </is>
      </c>
      <c r="N53" s="418" t="n">
        <v>46091</v>
      </c>
    </row>
    <row r="54" ht="18" customHeight="1" s="468">
      <c r="B54" s="530" t="n"/>
      <c r="C54" s="528" t="n">
        <v>26010286</v>
      </c>
      <c r="D54" s="513" t="n"/>
      <c r="E54" s="529" t="n"/>
      <c r="F54" s="513" t="n"/>
      <c r="G54" s="528" t="inlineStr">
        <is>
          <t>OL 40</t>
        </is>
      </c>
      <c r="H54" s="456" t="n"/>
      <c r="I54" s="456" t="n"/>
      <c r="J54" s="513" t="n"/>
      <c r="K54" s="523" t="n"/>
      <c r="L54" s="514" t="n"/>
      <c r="M54" s="528" t="inlineStr">
        <is>
          <t>420 KG</t>
        </is>
      </c>
      <c r="N54" s="418" t="n">
        <v>46091</v>
      </c>
    </row>
    <row r="55" ht="18" customHeight="1" s="468">
      <c r="B55" s="530" t="n"/>
      <c r="C55" s="528" t="n">
        <v>26010287</v>
      </c>
      <c r="D55" s="513" t="n"/>
      <c r="E55" s="529" t="n"/>
      <c r="F55" s="513" t="n"/>
      <c r="G55" s="528" t="inlineStr">
        <is>
          <t>OL 40</t>
        </is>
      </c>
      <c r="H55" s="456" t="n"/>
      <c r="I55" s="456" t="n"/>
      <c r="J55" s="513" t="n"/>
      <c r="K55" s="523" t="n"/>
      <c r="L55" s="514" t="n"/>
      <c r="M55" s="528" t="inlineStr">
        <is>
          <t>420 KG</t>
        </is>
      </c>
      <c r="N55" s="418" t="n">
        <v>46092</v>
      </c>
    </row>
    <row r="56" ht="18" customHeight="1" s="468">
      <c r="B56" s="530" t="n"/>
      <c r="C56" s="528" t="n">
        <v>26010288</v>
      </c>
      <c r="D56" s="513" t="n"/>
      <c r="E56" s="529" t="n"/>
      <c r="F56" s="513" t="n"/>
      <c r="G56" s="528" t="inlineStr">
        <is>
          <t>OL 40</t>
        </is>
      </c>
      <c r="H56" s="456" t="n"/>
      <c r="I56" s="456" t="n"/>
      <c r="J56" s="513" t="n"/>
      <c r="K56" s="523" t="n"/>
      <c r="L56" s="514" t="n"/>
      <c r="M56" s="528" t="inlineStr">
        <is>
          <t>420 KG</t>
        </is>
      </c>
      <c r="N56" s="418" t="n">
        <v>46092</v>
      </c>
    </row>
    <row r="57" ht="18" customHeight="1" s="468">
      <c r="B57" s="530" t="n"/>
      <c r="C57" s="528" t="n">
        <v>26010289</v>
      </c>
      <c r="D57" s="513" t="n"/>
      <c r="E57" s="529" t="n"/>
      <c r="F57" s="513" t="n"/>
      <c r="G57" s="528" t="inlineStr">
        <is>
          <t>OL 40</t>
        </is>
      </c>
      <c r="H57" s="456" t="n"/>
      <c r="I57" s="456" t="n"/>
      <c r="J57" s="513" t="n"/>
      <c r="K57" s="523" t="n"/>
      <c r="L57" s="514" t="n"/>
      <c r="M57" s="528" t="inlineStr">
        <is>
          <t>420 KG</t>
        </is>
      </c>
      <c r="N57" s="418" t="n">
        <v>46092</v>
      </c>
    </row>
    <row r="58" ht="18" customHeight="1" s="468">
      <c r="B58" s="530" t="n"/>
      <c r="C58" s="528" t="n">
        <v>26010290</v>
      </c>
      <c r="D58" s="513" t="n"/>
      <c r="E58" s="529" t="n"/>
      <c r="F58" s="513" t="n"/>
      <c r="G58" s="528" t="inlineStr">
        <is>
          <t>OL 40</t>
        </is>
      </c>
      <c r="H58" s="456" t="n"/>
      <c r="I58" s="456" t="n"/>
      <c r="J58" s="513" t="n"/>
      <c r="K58" s="523" t="n"/>
      <c r="L58" s="514" t="n"/>
      <c r="M58" s="528" t="inlineStr">
        <is>
          <t>420 KG</t>
        </is>
      </c>
      <c r="N58" s="418" t="n">
        <v>46092</v>
      </c>
    </row>
    <row r="59" ht="18" customHeight="1" s="468">
      <c r="B59" s="530" t="n"/>
      <c r="C59" s="528" t="n">
        <v>26010291</v>
      </c>
      <c r="D59" s="513" t="n"/>
      <c r="E59" s="529" t="n"/>
      <c r="F59" s="513" t="n"/>
      <c r="G59" s="528" t="inlineStr">
        <is>
          <t>OL 40</t>
        </is>
      </c>
      <c r="H59" s="456" t="n"/>
      <c r="I59" s="456" t="n"/>
      <c r="J59" s="513" t="n"/>
      <c r="K59" s="523" t="n"/>
      <c r="L59" s="514" t="n"/>
      <c r="M59" s="528" t="inlineStr">
        <is>
          <t>420 KG</t>
        </is>
      </c>
      <c r="N59" s="418" t="n">
        <v>46092</v>
      </c>
    </row>
    <row r="60" ht="18" customHeight="1" s="468">
      <c r="B60" s="530" t="n"/>
      <c r="C60" s="528" t="n">
        <v>26010292</v>
      </c>
      <c r="D60" s="513" t="n"/>
      <c r="E60" s="525" t="n"/>
      <c r="F60" s="513" t="n"/>
      <c r="G60" s="528" t="inlineStr">
        <is>
          <t>OL 40</t>
        </is>
      </c>
      <c r="H60" s="456" t="n"/>
      <c r="I60" s="456" t="n"/>
      <c r="J60" s="513" t="n"/>
      <c r="K60" s="523" t="n"/>
      <c r="L60" s="514" t="n"/>
      <c r="M60" s="528" t="inlineStr">
        <is>
          <t>420 KG</t>
        </is>
      </c>
      <c r="N60" s="418" t="n">
        <v>46092</v>
      </c>
    </row>
    <row r="61" ht="18" customHeight="1" s="468">
      <c r="B61" s="530" t="n"/>
      <c r="C61" s="528" t="n">
        <v>26010293</v>
      </c>
      <c r="D61" s="513" t="n"/>
      <c r="E61" s="529" t="n"/>
      <c r="F61" s="513" t="n"/>
      <c r="G61" s="528" t="inlineStr">
        <is>
          <t>OL 40</t>
        </is>
      </c>
      <c r="H61" s="456" t="n"/>
      <c r="I61" s="456" t="n"/>
      <c r="J61" s="513" t="n"/>
      <c r="K61" s="523" t="n"/>
      <c r="L61" s="514" t="n"/>
      <c r="M61" s="528" t="inlineStr">
        <is>
          <t>420 KG</t>
        </is>
      </c>
      <c r="N61" s="418" t="n">
        <v>46093</v>
      </c>
    </row>
    <row r="62" ht="18" customHeight="1" s="468">
      <c r="B62" s="530" t="n"/>
      <c r="C62" s="528" t="n">
        <v>26010294</v>
      </c>
      <c r="D62" s="513" t="n"/>
      <c r="E62" s="529" t="n"/>
      <c r="F62" s="513" t="n"/>
      <c r="G62" s="528" t="inlineStr">
        <is>
          <t>OL 40</t>
        </is>
      </c>
      <c r="H62" s="456" t="n"/>
      <c r="I62" s="456" t="n"/>
      <c r="J62" s="513" t="n"/>
      <c r="K62" s="523" t="n"/>
      <c r="L62" s="514" t="n"/>
      <c r="M62" s="528" t="inlineStr">
        <is>
          <t>420 KG</t>
        </is>
      </c>
      <c r="N62" s="418" t="n">
        <v>46093</v>
      </c>
    </row>
    <row r="63" ht="18" customHeight="1" s="468">
      <c r="B63" s="530" t="n"/>
      <c r="C63" s="528" t="n">
        <v>26010295</v>
      </c>
      <c r="D63" s="513" t="n"/>
      <c r="E63" s="529" t="n"/>
      <c r="F63" s="513" t="n"/>
      <c r="G63" s="528" t="inlineStr">
        <is>
          <t>OL 40</t>
        </is>
      </c>
      <c r="H63" s="456" t="n"/>
      <c r="I63" s="456" t="n"/>
      <c r="J63" s="513" t="n"/>
      <c r="K63" s="523" t="n"/>
      <c r="L63" s="514" t="n"/>
      <c r="M63" s="528" t="inlineStr">
        <is>
          <t>420 KG</t>
        </is>
      </c>
      <c r="N63" s="418" t="n">
        <v>46093</v>
      </c>
    </row>
    <row r="64" ht="18" customHeight="1" s="468">
      <c r="B64" s="530" t="n"/>
      <c r="C64" s="528" t="n">
        <v>26010296</v>
      </c>
      <c r="D64" s="513" t="n"/>
      <c r="E64" s="529" t="n"/>
      <c r="F64" s="513" t="n"/>
      <c r="G64" s="528" t="inlineStr">
        <is>
          <t>OL 40</t>
        </is>
      </c>
      <c r="H64" s="456" t="n"/>
      <c r="I64" s="456" t="n"/>
      <c r="J64" s="513" t="n"/>
      <c r="K64" s="523" t="n"/>
      <c r="L64" s="514" t="n"/>
      <c r="M64" s="528" t="inlineStr">
        <is>
          <t>420 KG</t>
        </is>
      </c>
      <c r="N64" s="418" t="n">
        <v>46093</v>
      </c>
    </row>
    <row r="65" ht="18" customHeight="1" s="468">
      <c r="B65" s="530" t="n"/>
      <c r="C65" s="528" t="n">
        <v>26010297</v>
      </c>
      <c r="D65" s="513" t="n"/>
      <c r="E65" s="529" t="n"/>
      <c r="F65" s="513" t="n"/>
      <c r="G65" s="528" t="inlineStr">
        <is>
          <t>OL 40</t>
        </is>
      </c>
      <c r="H65" s="456" t="n"/>
      <c r="I65" s="456" t="n"/>
      <c r="J65" s="513" t="n"/>
      <c r="K65" s="523" t="n"/>
      <c r="L65" s="514" t="n"/>
      <c r="M65" s="528" t="inlineStr">
        <is>
          <t>420 KG</t>
        </is>
      </c>
      <c r="N65" s="418" t="n">
        <v>46093</v>
      </c>
    </row>
    <row r="66" ht="18" customHeight="1" s="468">
      <c r="B66" s="530" t="n"/>
      <c r="C66" s="528" t="n">
        <v>26010298</v>
      </c>
      <c r="D66" s="513" t="n"/>
      <c r="E66" s="525" t="n"/>
      <c r="F66" s="513" t="n"/>
      <c r="G66" s="528" t="inlineStr">
        <is>
          <t>OL 40</t>
        </is>
      </c>
      <c r="H66" s="456" t="n"/>
      <c r="I66" s="456" t="n"/>
      <c r="J66" s="513" t="n"/>
      <c r="K66" s="523" t="n"/>
      <c r="L66" s="514" t="n"/>
      <c r="M66" s="528" t="inlineStr">
        <is>
          <t>420 KG</t>
        </is>
      </c>
      <c r="N66" s="418" t="n">
        <v>46093</v>
      </c>
    </row>
    <row r="67" ht="18" customHeight="1" s="468">
      <c r="B67" s="530" t="n"/>
      <c r="C67" s="528" t="n">
        <v>26010299</v>
      </c>
      <c r="D67" s="513" t="n"/>
      <c r="E67" s="529" t="n"/>
      <c r="F67" s="513" t="n"/>
      <c r="G67" s="528" t="inlineStr">
        <is>
          <t>OL 40</t>
        </is>
      </c>
      <c r="H67" s="456" t="n"/>
      <c r="I67" s="456" t="n"/>
      <c r="J67" s="513" t="n"/>
      <c r="K67" s="523" t="n"/>
      <c r="L67" s="514" t="n"/>
      <c r="M67" s="528" t="inlineStr">
        <is>
          <t>420 KG</t>
        </is>
      </c>
      <c r="N67" s="418" t="n">
        <v>46094</v>
      </c>
    </row>
    <row r="68" ht="18" customHeight="1" s="468">
      <c r="B68" s="530" t="n"/>
      <c r="C68" s="528" t="n">
        <v>26010300</v>
      </c>
      <c r="D68" s="513" t="n"/>
      <c r="E68" s="525" t="n"/>
      <c r="F68" s="513" t="n"/>
      <c r="G68" s="528" t="inlineStr">
        <is>
          <t>OL 40</t>
        </is>
      </c>
      <c r="H68" s="456" t="n"/>
      <c r="I68" s="456" t="n"/>
      <c r="J68" s="513" t="n"/>
      <c r="K68" s="523" t="n"/>
      <c r="L68" s="514" t="n"/>
      <c r="M68" s="528" t="inlineStr">
        <is>
          <t>420 KG</t>
        </is>
      </c>
      <c r="N68" s="418" t="n">
        <v>46094</v>
      </c>
    </row>
    <row r="69" ht="18" customHeight="1" s="468">
      <c r="B69" s="530" t="n"/>
      <c r="C69" s="528" t="n">
        <v>26010301</v>
      </c>
      <c r="D69" s="513" t="n"/>
      <c r="E69" s="529" t="n"/>
      <c r="F69" s="513" t="n"/>
      <c r="G69" s="528" t="inlineStr">
        <is>
          <t>OL 40</t>
        </is>
      </c>
      <c r="H69" s="456" t="n"/>
      <c r="I69" s="456" t="n"/>
      <c r="J69" s="513" t="n"/>
      <c r="K69" s="523" t="n"/>
      <c r="L69" s="514" t="n"/>
      <c r="M69" s="528" t="inlineStr">
        <is>
          <t>420 KG</t>
        </is>
      </c>
      <c r="N69" s="418" t="n">
        <v>46094</v>
      </c>
    </row>
    <row r="70" ht="18" customHeight="1" s="468">
      <c r="B70" s="530" t="n"/>
      <c r="C70" s="528" t="n">
        <v>26010302</v>
      </c>
      <c r="D70" s="513" t="n"/>
      <c r="E70" s="529" t="n"/>
      <c r="F70" s="513" t="n"/>
      <c r="G70" s="528" t="inlineStr">
        <is>
          <t>OL 40</t>
        </is>
      </c>
      <c r="H70" s="456" t="n"/>
      <c r="I70" s="456" t="n"/>
      <c r="J70" s="513" t="n"/>
      <c r="K70" s="523" t="n"/>
      <c r="L70" s="514" t="n"/>
      <c r="M70" s="528" t="inlineStr">
        <is>
          <t>420 KG</t>
        </is>
      </c>
      <c r="N70" s="418" t="n">
        <v>46094</v>
      </c>
    </row>
    <row r="71" ht="18" customHeight="1" s="468">
      <c r="B71" s="530" t="n"/>
      <c r="C71" s="528" t="n">
        <v>26010303</v>
      </c>
      <c r="D71" s="513" t="n"/>
      <c r="E71" s="529" t="n"/>
      <c r="F71" s="513" t="n"/>
      <c r="G71" s="528" t="inlineStr">
        <is>
          <t>OL 40</t>
        </is>
      </c>
      <c r="H71" s="456" t="n"/>
      <c r="I71" s="456" t="n"/>
      <c r="J71" s="513" t="n"/>
      <c r="K71" s="523" t="n"/>
      <c r="L71" s="514" t="n"/>
      <c r="M71" s="528" t="inlineStr">
        <is>
          <t>420 KG</t>
        </is>
      </c>
      <c r="N71" s="418" t="n">
        <v>46094</v>
      </c>
    </row>
    <row r="72" ht="18" customHeight="1" s="468">
      <c r="B72" s="530" t="n"/>
      <c r="C72" s="528" t="n">
        <v>26010304</v>
      </c>
      <c r="D72" s="513" t="n"/>
      <c r="E72" s="525" t="n"/>
      <c r="F72" s="513" t="n"/>
      <c r="G72" s="528" t="inlineStr">
        <is>
          <t>OL 40</t>
        </is>
      </c>
      <c r="H72" s="456" t="n"/>
      <c r="I72" s="456" t="n"/>
      <c r="J72" s="513" t="n"/>
      <c r="K72" s="523" t="n"/>
      <c r="L72" s="514" t="n"/>
      <c r="M72" s="528" t="inlineStr">
        <is>
          <t>420 KG</t>
        </is>
      </c>
      <c r="N72" s="418" t="n">
        <v>46097</v>
      </c>
    </row>
    <row r="73" ht="18" customHeight="1" s="468">
      <c r="B73" s="531" t="n"/>
      <c r="C73" s="528" t="n">
        <v>26010305</v>
      </c>
      <c r="D73" s="513" t="n"/>
      <c r="E73" s="529" t="n"/>
      <c r="F73" s="513" t="n"/>
      <c r="G73" s="528" t="inlineStr">
        <is>
          <t>OL 40</t>
        </is>
      </c>
      <c r="H73" s="456" t="n"/>
      <c r="I73" s="456" t="n"/>
      <c r="J73" s="513" t="n"/>
      <c r="K73" s="464" t="n"/>
      <c r="L73" s="466" t="n"/>
      <c r="M73" s="528" t="inlineStr">
        <is>
          <t>420 KG</t>
        </is>
      </c>
      <c r="N73" s="418" t="n">
        <v>46097</v>
      </c>
    </row>
    <row r="74" ht="18" customHeight="1" s="468">
      <c r="B74" s="528" t="inlineStr">
        <is>
          <t>2026/078</t>
        </is>
      </c>
      <c r="C74" s="528" t="n">
        <v>26010306</v>
      </c>
      <c r="D74" s="513" t="n"/>
      <c r="E74" s="529" t="n"/>
      <c r="F74" s="513" t="n"/>
      <c r="G74" s="528" t="inlineStr">
        <is>
          <t>DESTAK 5L</t>
        </is>
      </c>
      <c r="H74" s="456" t="n"/>
      <c r="I74" s="456" t="n"/>
      <c r="J74" s="513" t="n"/>
      <c r="K74" s="528" t="inlineStr">
        <is>
          <t>PURATOS</t>
        </is>
      </c>
      <c r="L74" s="463" t="n"/>
      <c r="M74" s="528" t="inlineStr">
        <is>
          <t>3.500 KG</t>
        </is>
      </c>
      <c r="N74" s="418" t="n">
        <v>46101</v>
      </c>
    </row>
    <row r="75" ht="18" customHeight="1" s="468">
      <c r="B75" s="530" t="n"/>
      <c r="C75" s="528" t="n">
        <v>26010307</v>
      </c>
      <c r="D75" s="513" t="n"/>
      <c r="E75" s="529" t="n"/>
      <c r="F75" s="513" t="n"/>
      <c r="G75" s="528" t="inlineStr">
        <is>
          <t>DESTAK 5L</t>
        </is>
      </c>
      <c r="H75" s="456" t="n"/>
      <c r="I75" s="456" t="n"/>
      <c r="J75" s="513" t="n"/>
      <c r="K75" s="523" t="n"/>
      <c r="L75" s="514" t="n"/>
      <c r="M75" s="528" t="inlineStr">
        <is>
          <t>3.500 KG</t>
        </is>
      </c>
      <c r="N75" s="418" t="n">
        <v>46104</v>
      </c>
    </row>
    <row r="76" ht="18" customHeight="1" s="468">
      <c r="B76" s="530" t="n"/>
      <c r="C76" s="528" t="n">
        <v>26010308</v>
      </c>
      <c r="D76" s="513" t="n"/>
      <c r="E76" s="529" t="n"/>
      <c r="F76" s="513" t="n"/>
      <c r="G76" s="528" t="inlineStr">
        <is>
          <t>DESTAK 5L</t>
        </is>
      </c>
      <c r="H76" s="456" t="n"/>
      <c r="I76" s="456" t="n"/>
      <c r="J76" s="513" t="n"/>
      <c r="K76" s="523" t="n"/>
      <c r="L76" s="514" t="n"/>
      <c r="M76" s="528" t="inlineStr">
        <is>
          <t>3.500 KG</t>
        </is>
      </c>
      <c r="N76" s="418" t="n">
        <v>46105</v>
      </c>
    </row>
    <row r="77" ht="18" customHeight="1" s="468">
      <c r="B77" s="530" t="n"/>
      <c r="C77" s="528" t="n">
        <v>26010309</v>
      </c>
      <c r="D77" s="513" t="n"/>
      <c r="E77" s="529" t="n"/>
      <c r="F77" s="513" t="n"/>
      <c r="G77" s="528" t="inlineStr">
        <is>
          <t>DESTAK 5L</t>
        </is>
      </c>
      <c r="H77" s="456" t="n"/>
      <c r="I77" s="456" t="n"/>
      <c r="J77" s="513" t="n"/>
      <c r="K77" s="523" t="n"/>
      <c r="L77" s="514" t="n"/>
      <c r="M77" s="528" t="inlineStr">
        <is>
          <t>3.500 KG</t>
        </is>
      </c>
      <c r="N77" s="418" t="n">
        <v>46106</v>
      </c>
    </row>
    <row r="78" ht="18" customHeight="1" s="468">
      <c r="B78" s="530" t="n"/>
      <c r="C78" s="528" t="n">
        <v>26010310</v>
      </c>
      <c r="D78" s="513" t="n"/>
      <c r="E78" s="529" t="n"/>
      <c r="F78" s="513" t="n"/>
      <c r="G78" s="528" t="inlineStr">
        <is>
          <t>DESTAK 5L</t>
        </is>
      </c>
      <c r="H78" s="456" t="n"/>
      <c r="I78" s="456" t="n"/>
      <c r="J78" s="513" t="n"/>
      <c r="K78" s="523" t="n"/>
      <c r="L78" s="514" t="n"/>
      <c r="M78" s="528" t="inlineStr">
        <is>
          <t>3.500 KG</t>
        </is>
      </c>
      <c r="N78" s="418" t="n">
        <v>46107</v>
      </c>
    </row>
    <row r="79" ht="18" customHeight="1" s="468">
      <c r="B79" s="531" t="n"/>
      <c r="C79" s="528" t="n">
        <v>26010311</v>
      </c>
      <c r="D79" s="513" t="n"/>
      <c r="E79" s="529" t="n"/>
      <c r="F79" s="513" t="n"/>
      <c r="G79" s="528" t="inlineStr">
        <is>
          <t>DESTAK 5L</t>
        </is>
      </c>
      <c r="H79" s="456" t="n"/>
      <c r="I79" s="456" t="n"/>
      <c r="J79" s="513" t="n"/>
      <c r="K79" s="464" t="n"/>
      <c r="L79" s="466" t="n"/>
      <c r="M79" s="528" t="inlineStr">
        <is>
          <t>3.500 KG</t>
        </is>
      </c>
      <c r="N79" s="418" t="n">
        <v>46120</v>
      </c>
    </row>
    <row r="80" ht="18" customHeight="1" s="468">
      <c r="B80" s="528" t="inlineStr">
        <is>
          <t>2026/079</t>
        </is>
      </c>
      <c r="C80" s="528" t="n">
        <v>26010312</v>
      </c>
      <c r="D80" s="513" t="n"/>
      <c r="E80" s="525" t="n"/>
      <c r="F80" s="513" t="n"/>
      <c r="G80" s="528" t="inlineStr">
        <is>
          <t>OL 40</t>
        </is>
      </c>
      <c r="H80" s="456" t="n"/>
      <c r="I80" s="456" t="n"/>
      <c r="J80" s="513" t="n"/>
      <c r="K80" s="528" t="inlineStr">
        <is>
          <t>SMART</t>
        </is>
      </c>
      <c r="L80" s="463" t="n"/>
      <c r="M80" s="528" t="inlineStr">
        <is>
          <t>420 KG</t>
        </is>
      </c>
      <c r="N80" s="418" t="n">
        <v>46097</v>
      </c>
    </row>
    <row r="81" ht="18" customHeight="1" s="468">
      <c r="B81" s="530" t="n"/>
      <c r="C81" s="528" t="n">
        <v>26010313</v>
      </c>
      <c r="D81" s="513" t="n"/>
      <c r="E81" s="529" t="n"/>
      <c r="F81" s="513" t="n"/>
      <c r="G81" s="528" t="inlineStr">
        <is>
          <t>OL 40</t>
        </is>
      </c>
      <c r="H81" s="456" t="n"/>
      <c r="I81" s="456" t="n"/>
      <c r="J81" s="513" t="n"/>
      <c r="K81" s="523" t="n"/>
      <c r="L81" s="514" t="n"/>
      <c r="M81" s="528" t="inlineStr">
        <is>
          <t>420 KG</t>
        </is>
      </c>
      <c r="N81" s="418" t="n">
        <v>46097</v>
      </c>
    </row>
    <row r="82" ht="18" customHeight="1" s="468">
      <c r="B82" s="530" t="n"/>
      <c r="C82" s="528" t="n">
        <v>26010314</v>
      </c>
      <c r="D82" s="513" t="n"/>
      <c r="E82" s="529" t="n"/>
      <c r="F82" s="513" t="n"/>
      <c r="G82" s="528" t="inlineStr">
        <is>
          <t>OL 40</t>
        </is>
      </c>
      <c r="H82" s="456" t="n"/>
      <c r="I82" s="456" t="n"/>
      <c r="J82" s="513" t="n"/>
      <c r="K82" s="523" t="n"/>
      <c r="L82" s="514" t="n"/>
      <c r="M82" s="528" t="inlineStr">
        <is>
          <t>420 KG</t>
        </is>
      </c>
      <c r="N82" s="418" t="n">
        <v>46097</v>
      </c>
    </row>
    <row r="83" ht="18" customHeight="1" s="468">
      <c r="B83" s="530" t="n"/>
      <c r="C83" s="528" t="n">
        <v>26010315</v>
      </c>
      <c r="D83" s="513" t="n"/>
      <c r="E83" s="529" t="n"/>
      <c r="F83" s="513" t="n"/>
      <c r="G83" s="528" t="inlineStr">
        <is>
          <t>OL 40</t>
        </is>
      </c>
      <c r="H83" s="456" t="n"/>
      <c r="I83" s="456" t="n"/>
      <c r="J83" s="513" t="n"/>
      <c r="K83" s="523" t="n"/>
      <c r="L83" s="514" t="n"/>
      <c r="M83" s="528" t="inlineStr">
        <is>
          <t>420 KG</t>
        </is>
      </c>
      <c r="N83" s="418" t="n">
        <v>46097</v>
      </c>
    </row>
    <row r="84" ht="18" customHeight="1" s="468">
      <c r="B84" s="530" t="n"/>
      <c r="C84" s="528" t="n">
        <v>26010316</v>
      </c>
      <c r="D84" s="513" t="n"/>
      <c r="E84" s="529" t="n"/>
      <c r="F84" s="513" t="n"/>
      <c r="G84" s="528" t="inlineStr">
        <is>
          <t>OL 40</t>
        </is>
      </c>
      <c r="H84" s="456" t="n"/>
      <c r="I84" s="456" t="n"/>
      <c r="J84" s="513" t="n"/>
      <c r="K84" s="523" t="n"/>
      <c r="L84" s="514" t="n"/>
      <c r="M84" s="528" t="inlineStr">
        <is>
          <t>420 KG</t>
        </is>
      </c>
      <c r="N84" s="418" t="n">
        <v>46098</v>
      </c>
    </row>
    <row r="85" ht="18" customHeight="1" s="468">
      <c r="B85" s="530" t="n"/>
      <c r="C85" s="528" t="n">
        <v>26010317</v>
      </c>
      <c r="D85" s="513" t="n"/>
      <c r="E85" s="529" t="n"/>
      <c r="F85" s="513" t="n"/>
      <c r="G85" s="528" t="inlineStr">
        <is>
          <t>OL 40</t>
        </is>
      </c>
      <c r="H85" s="456" t="n"/>
      <c r="I85" s="456" t="n"/>
      <c r="J85" s="513" t="n"/>
      <c r="K85" s="523" t="n"/>
      <c r="L85" s="514" t="n"/>
      <c r="M85" s="528" t="inlineStr">
        <is>
          <t>420 KG</t>
        </is>
      </c>
      <c r="N85" s="418" t="n">
        <v>46098</v>
      </c>
    </row>
    <row r="86" ht="18" customHeight="1" s="468">
      <c r="B86" s="530" t="n"/>
      <c r="C86" s="528" t="n">
        <v>26010318</v>
      </c>
      <c r="D86" s="513" t="n"/>
      <c r="E86" s="525" t="n"/>
      <c r="F86" s="513" t="n"/>
      <c r="G86" s="528" t="inlineStr">
        <is>
          <t>OL 40</t>
        </is>
      </c>
      <c r="H86" s="456" t="n"/>
      <c r="I86" s="456" t="n"/>
      <c r="J86" s="513" t="n"/>
      <c r="K86" s="523" t="n"/>
      <c r="L86" s="514" t="n"/>
      <c r="M86" s="528" t="inlineStr">
        <is>
          <t>420 KG</t>
        </is>
      </c>
      <c r="N86" s="418" t="n">
        <v>46098</v>
      </c>
    </row>
    <row r="87" ht="18" customHeight="1" s="468">
      <c r="B87" s="530" t="n"/>
      <c r="C87" s="528" t="n">
        <v>26010319</v>
      </c>
      <c r="D87" s="513" t="n"/>
      <c r="E87" s="529" t="n"/>
      <c r="F87" s="513" t="n"/>
      <c r="G87" s="528" t="inlineStr">
        <is>
          <t>OL 40</t>
        </is>
      </c>
      <c r="H87" s="456" t="n"/>
      <c r="I87" s="456" t="n"/>
      <c r="J87" s="513" t="n"/>
      <c r="K87" s="523" t="n"/>
      <c r="L87" s="514" t="n"/>
      <c r="M87" s="528" t="inlineStr">
        <is>
          <t>420 KG</t>
        </is>
      </c>
      <c r="N87" s="418" t="n">
        <v>46098</v>
      </c>
    </row>
    <row r="88" ht="18" customHeight="1" s="468">
      <c r="B88" s="530" t="n"/>
      <c r="C88" s="528" t="n">
        <v>26010320</v>
      </c>
      <c r="D88" s="513" t="n"/>
      <c r="E88" s="529" t="n"/>
      <c r="F88" s="513" t="n"/>
      <c r="G88" s="528" t="inlineStr">
        <is>
          <t>OL 40</t>
        </is>
      </c>
      <c r="H88" s="456" t="n"/>
      <c r="I88" s="456" t="n"/>
      <c r="J88" s="513" t="n"/>
      <c r="K88" s="523" t="n"/>
      <c r="L88" s="514" t="n"/>
      <c r="M88" s="528" t="inlineStr">
        <is>
          <t>420 KG</t>
        </is>
      </c>
      <c r="N88" s="418" t="n">
        <v>46098</v>
      </c>
    </row>
    <row r="89" ht="18" customHeight="1" s="468">
      <c r="B89" s="530" t="n"/>
      <c r="C89" s="528" t="n">
        <v>26010321</v>
      </c>
      <c r="D89" s="513" t="n"/>
      <c r="E89" s="529" t="n"/>
      <c r="F89" s="513" t="n"/>
      <c r="G89" s="528" t="inlineStr">
        <is>
          <t>OL 40</t>
        </is>
      </c>
      <c r="H89" s="456" t="n"/>
      <c r="I89" s="456" t="n"/>
      <c r="J89" s="513" t="n"/>
      <c r="K89" s="523" t="n"/>
      <c r="L89" s="514" t="n"/>
      <c r="M89" s="528" t="inlineStr">
        <is>
          <t>420 KG</t>
        </is>
      </c>
      <c r="N89" s="418" t="n">
        <v>46098</v>
      </c>
    </row>
    <row r="90" ht="18" customHeight="1" s="468">
      <c r="B90" s="530" t="n"/>
      <c r="C90" s="528" t="n">
        <v>26010322</v>
      </c>
      <c r="D90" s="513" t="n"/>
      <c r="E90" s="525" t="n"/>
      <c r="F90" s="513" t="n"/>
      <c r="G90" s="528" t="inlineStr">
        <is>
          <t>OL 40</t>
        </is>
      </c>
      <c r="H90" s="456" t="n"/>
      <c r="I90" s="456" t="n"/>
      <c r="J90" s="513" t="n"/>
      <c r="K90" s="523" t="n"/>
      <c r="L90" s="514" t="n"/>
      <c r="M90" s="528" t="inlineStr">
        <is>
          <t>420 KG</t>
        </is>
      </c>
      <c r="N90" s="418" t="n">
        <v>46098</v>
      </c>
    </row>
    <row r="91" ht="18" customHeight="1" s="468">
      <c r="B91" s="530" t="n"/>
      <c r="C91" s="528" t="n">
        <v>26010323</v>
      </c>
      <c r="D91" s="513" t="n"/>
      <c r="E91" s="529" t="n"/>
      <c r="F91" s="513" t="n"/>
      <c r="G91" s="528" t="inlineStr">
        <is>
          <t>OL 40 (MANTEIGA)</t>
        </is>
      </c>
      <c r="H91" s="456" t="n"/>
      <c r="I91" s="456" t="n"/>
      <c r="J91" s="513" t="n"/>
      <c r="K91" s="523" t="n"/>
      <c r="L91" s="514" t="n"/>
      <c r="M91" s="528" t="inlineStr">
        <is>
          <t>420 KG</t>
        </is>
      </c>
      <c r="N91" s="418" t="n">
        <v>46099</v>
      </c>
    </row>
    <row r="92" ht="18" customHeight="1" s="468">
      <c r="B92" s="530" t="n"/>
      <c r="C92" s="528" t="n">
        <v>26010324</v>
      </c>
      <c r="D92" s="513" t="n"/>
      <c r="E92" s="529" t="n"/>
      <c r="F92" s="513" t="n"/>
      <c r="G92" s="528" t="inlineStr">
        <is>
          <t>OL 40 (MANTEIGA)</t>
        </is>
      </c>
      <c r="H92" s="456" t="n"/>
      <c r="I92" s="456" t="n"/>
      <c r="J92" s="513" t="n"/>
      <c r="K92" s="523" t="n"/>
      <c r="L92" s="514" t="n"/>
      <c r="M92" s="528" t="inlineStr">
        <is>
          <t>420 KG</t>
        </is>
      </c>
      <c r="N92" s="418" t="n">
        <v>46099</v>
      </c>
    </row>
    <row r="93" ht="18" customHeight="1" s="468">
      <c r="B93" s="530" t="n"/>
      <c r="C93" s="528" t="n">
        <v>26010325</v>
      </c>
      <c r="D93" s="513" t="n"/>
      <c r="E93" s="529" t="n"/>
      <c r="F93" s="513" t="n"/>
      <c r="G93" s="528" t="inlineStr">
        <is>
          <t>OL 40 (MANTEIGA)</t>
        </is>
      </c>
      <c r="H93" s="456" t="n"/>
      <c r="I93" s="456" t="n"/>
      <c r="J93" s="513" t="n"/>
      <c r="K93" s="523" t="n"/>
      <c r="L93" s="514" t="n"/>
      <c r="M93" s="528" t="inlineStr">
        <is>
          <t>420 KG</t>
        </is>
      </c>
      <c r="N93" s="418" t="n">
        <v>46099</v>
      </c>
    </row>
    <row r="94" ht="18" customHeight="1" s="468">
      <c r="B94" s="530" t="n"/>
      <c r="C94" s="528" t="n">
        <v>26010326</v>
      </c>
      <c r="D94" s="513" t="n"/>
      <c r="E94" s="529" t="n"/>
      <c r="F94" s="513" t="n"/>
      <c r="G94" s="528" t="inlineStr">
        <is>
          <t>OL 40 (MANTEIGA)</t>
        </is>
      </c>
      <c r="H94" s="456" t="n"/>
      <c r="I94" s="456" t="n"/>
      <c r="J94" s="513" t="n"/>
      <c r="K94" s="523" t="n"/>
      <c r="L94" s="514" t="n"/>
      <c r="M94" s="528" t="inlineStr">
        <is>
          <t>420 KG</t>
        </is>
      </c>
      <c r="N94" s="418" t="n">
        <v>46099</v>
      </c>
    </row>
    <row r="95" ht="18" customHeight="1" s="468">
      <c r="B95" s="530" t="n"/>
      <c r="C95" s="528" t="n">
        <v>26010327</v>
      </c>
      <c r="D95" s="513" t="n"/>
      <c r="E95" s="529" t="n"/>
      <c r="F95" s="513" t="n"/>
      <c r="G95" s="528" t="inlineStr">
        <is>
          <t>OL 40</t>
        </is>
      </c>
      <c r="H95" s="456" t="n"/>
      <c r="I95" s="456" t="n"/>
      <c r="J95" s="513" t="n"/>
      <c r="K95" s="523" t="n"/>
      <c r="L95" s="514" t="n"/>
      <c r="M95" s="528" t="inlineStr">
        <is>
          <t>420 KG</t>
        </is>
      </c>
      <c r="N95" s="418" t="n">
        <v>46099</v>
      </c>
    </row>
    <row r="96" ht="18" customHeight="1" s="468">
      <c r="B96" s="530" t="n"/>
      <c r="C96" s="528" t="n">
        <v>26010328</v>
      </c>
      <c r="D96" s="513" t="n"/>
      <c r="E96" s="529" t="n"/>
      <c r="F96" s="513" t="n"/>
      <c r="G96" s="528" t="inlineStr">
        <is>
          <t>OL 40</t>
        </is>
      </c>
      <c r="H96" s="456" t="n"/>
      <c r="I96" s="456" t="n"/>
      <c r="J96" s="513" t="n"/>
      <c r="K96" s="523" t="n"/>
      <c r="L96" s="514" t="n"/>
      <c r="M96" s="528" t="inlineStr">
        <is>
          <t>420 KG</t>
        </is>
      </c>
      <c r="N96" s="418" t="n">
        <v>46099</v>
      </c>
    </row>
    <row r="97" ht="18" customHeight="1" s="468">
      <c r="B97" s="530" t="n"/>
      <c r="C97" s="528" t="n">
        <v>26010329</v>
      </c>
      <c r="D97" s="513" t="n"/>
      <c r="E97" s="529" t="n"/>
      <c r="F97" s="513" t="n"/>
      <c r="G97" s="528" t="inlineStr">
        <is>
          <t>OL 40</t>
        </is>
      </c>
      <c r="H97" s="456" t="n"/>
      <c r="I97" s="456" t="n"/>
      <c r="J97" s="513" t="n"/>
      <c r="K97" s="523" t="n"/>
      <c r="L97" s="514" t="n"/>
      <c r="M97" s="528" t="inlineStr">
        <is>
          <t>420 KG</t>
        </is>
      </c>
      <c r="N97" s="418" t="n">
        <v>46100</v>
      </c>
    </row>
    <row r="98" ht="18" customHeight="1" s="468">
      <c r="B98" s="530" t="n"/>
      <c r="C98" s="528" t="n">
        <v>26010330</v>
      </c>
      <c r="D98" s="513" t="n"/>
      <c r="E98" s="525" t="n"/>
      <c r="F98" s="513" t="n"/>
      <c r="G98" s="528" t="inlineStr">
        <is>
          <t>OL 40</t>
        </is>
      </c>
      <c r="H98" s="456" t="n"/>
      <c r="I98" s="456" t="n"/>
      <c r="J98" s="513" t="n"/>
      <c r="K98" s="523" t="n"/>
      <c r="L98" s="514" t="n"/>
      <c r="M98" s="528" t="inlineStr">
        <is>
          <t>420 KG</t>
        </is>
      </c>
      <c r="N98" s="418" t="n">
        <v>46100</v>
      </c>
    </row>
    <row r="99" ht="18" customHeight="1" s="468">
      <c r="B99" s="530" t="n"/>
      <c r="C99" s="528" t="n">
        <v>26010331</v>
      </c>
      <c r="D99" s="513" t="n"/>
      <c r="E99" s="529" t="n"/>
      <c r="F99" s="513" t="n"/>
      <c r="G99" s="528" t="inlineStr">
        <is>
          <t>OL 40</t>
        </is>
      </c>
      <c r="H99" s="456" t="n"/>
      <c r="I99" s="456" t="n"/>
      <c r="J99" s="513" t="n"/>
      <c r="K99" s="523" t="n"/>
      <c r="L99" s="514" t="n"/>
      <c r="M99" s="528" t="inlineStr">
        <is>
          <t>420 KG</t>
        </is>
      </c>
      <c r="N99" s="418" t="n">
        <v>46101</v>
      </c>
    </row>
    <row r="100" ht="18" customHeight="1" s="468">
      <c r="B100" s="530" t="n"/>
      <c r="C100" s="528" t="n">
        <v>26010332</v>
      </c>
      <c r="D100" s="513" t="n"/>
      <c r="E100" s="525" t="n"/>
      <c r="F100" s="513" t="n"/>
      <c r="G100" s="528" t="inlineStr">
        <is>
          <t>OL 40</t>
        </is>
      </c>
      <c r="H100" s="456" t="n"/>
      <c r="I100" s="456" t="n"/>
      <c r="J100" s="513" t="n"/>
      <c r="K100" s="523" t="n"/>
      <c r="L100" s="514" t="n"/>
      <c r="M100" s="528" t="inlineStr">
        <is>
          <t>420 KG</t>
        </is>
      </c>
      <c r="N100" s="418" t="n">
        <v>46101</v>
      </c>
    </row>
    <row r="101" ht="18" customHeight="1" s="468">
      <c r="B101" s="530" t="n"/>
      <c r="C101" s="528" t="n">
        <v>26010333</v>
      </c>
      <c r="D101" s="513" t="n"/>
      <c r="E101" s="529" t="n"/>
      <c r="F101" s="513" t="n"/>
      <c r="G101" s="528" t="inlineStr">
        <is>
          <t>OL 40</t>
        </is>
      </c>
      <c r="H101" s="456" t="n"/>
      <c r="I101" s="456" t="n"/>
      <c r="J101" s="513" t="n"/>
      <c r="K101" s="523" t="n"/>
      <c r="L101" s="514" t="n"/>
      <c r="M101" s="528" t="inlineStr">
        <is>
          <t>420 KG</t>
        </is>
      </c>
      <c r="N101" s="418" t="n">
        <v>46101</v>
      </c>
    </row>
    <row r="102" ht="18" customHeight="1" s="468">
      <c r="B102" s="530" t="n"/>
      <c r="C102" s="528" t="n">
        <v>26010334</v>
      </c>
      <c r="D102" s="513" t="n"/>
      <c r="E102" s="529" t="n"/>
      <c r="F102" s="513" t="n"/>
      <c r="G102" s="528" t="inlineStr">
        <is>
          <t>OL 40</t>
        </is>
      </c>
      <c r="H102" s="456" t="n"/>
      <c r="I102" s="456" t="n"/>
      <c r="J102" s="513" t="n"/>
      <c r="K102" s="523" t="n"/>
      <c r="L102" s="514" t="n"/>
      <c r="M102" s="528" t="inlineStr">
        <is>
          <t>420 KG</t>
        </is>
      </c>
      <c r="N102" s="418" t="n">
        <v>46101</v>
      </c>
    </row>
    <row r="103" ht="18" customHeight="1" s="468">
      <c r="B103" s="530" t="n"/>
      <c r="C103" s="528" t="n">
        <v>26010335</v>
      </c>
      <c r="D103" s="513" t="n"/>
      <c r="E103" s="529" t="n"/>
      <c r="F103" s="513" t="n"/>
      <c r="G103" s="528" t="inlineStr">
        <is>
          <t>OL 40</t>
        </is>
      </c>
      <c r="H103" s="456" t="n"/>
      <c r="I103" s="456" t="n"/>
      <c r="J103" s="513" t="n"/>
      <c r="K103" s="523" t="n"/>
      <c r="L103" s="514" t="n"/>
      <c r="M103" s="528" t="inlineStr">
        <is>
          <t>420 KG</t>
        </is>
      </c>
      <c r="N103" s="418" t="n">
        <v>46101</v>
      </c>
    </row>
    <row r="104" ht="18" customHeight="1" s="468">
      <c r="B104" s="530" t="n"/>
      <c r="C104" s="528" t="n">
        <v>26010336</v>
      </c>
      <c r="D104" s="513" t="n"/>
      <c r="E104" s="525" t="n"/>
      <c r="F104" s="513" t="n"/>
      <c r="G104" s="528" t="inlineStr">
        <is>
          <t>OL 40</t>
        </is>
      </c>
      <c r="H104" s="456" t="n"/>
      <c r="I104" s="456" t="n"/>
      <c r="J104" s="513" t="n"/>
      <c r="K104" s="523" t="n"/>
      <c r="L104" s="514" t="n"/>
      <c r="M104" s="528" t="inlineStr">
        <is>
          <t>420 KG</t>
        </is>
      </c>
      <c r="N104" s="418" t="n">
        <v>46101</v>
      </c>
    </row>
    <row r="105" ht="18" customHeight="1" s="468">
      <c r="B105" s="531" t="n"/>
      <c r="C105" s="528" t="n">
        <v>26010337</v>
      </c>
      <c r="D105" s="513" t="n"/>
      <c r="E105" s="529" t="n"/>
      <c r="F105" s="513" t="n"/>
      <c r="G105" s="528" t="inlineStr">
        <is>
          <t>OL MANTEIGA</t>
        </is>
      </c>
      <c r="H105" s="456" t="n"/>
      <c r="I105" s="456" t="n"/>
      <c r="J105" s="513" t="n"/>
      <c r="K105" s="464" t="n"/>
      <c r="L105" s="466" t="n"/>
      <c r="M105" s="528" t="inlineStr">
        <is>
          <t>1.680 KG</t>
        </is>
      </c>
      <c r="N105" s="418" t="n">
        <v>46099</v>
      </c>
    </row>
    <row r="106" ht="17.25" customHeight="1" s="468">
      <c r="B106" s="528" t="inlineStr">
        <is>
          <t>2026/080</t>
        </is>
      </c>
      <c r="C106" s="528" t="n">
        <v>26010338</v>
      </c>
      <c r="D106" s="513" t="n"/>
      <c r="E106" s="529" t="n"/>
      <c r="F106" s="513" t="n"/>
      <c r="G106" s="528" t="inlineStr">
        <is>
          <t>UNTA FLEX 400ML</t>
        </is>
      </c>
      <c r="H106" s="456" t="n"/>
      <c r="I106" s="456" t="n"/>
      <c r="J106" s="513" t="n"/>
      <c r="K106" s="528" t="inlineStr">
        <is>
          <t>AP VIOLA</t>
        </is>
      </c>
      <c r="L106" s="513" t="n"/>
      <c r="M106" s="528" t="inlineStr">
        <is>
          <t>9.000 LATAS</t>
        </is>
      </c>
      <c r="N106" s="418" t="n">
        <v>46099</v>
      </c>
    </row>
    <row r="107" ht="18" customHeight="1" s="468">
      <c r="B107" s="528" t="inlineStr">
        <is>
          <t>2026/081</t>
        </is>
      </c>
      <c r="C107" s="528" t="n">
        <v>26010339</v>
      </c>
      <c r="D107" s="513" t="n"/>
      <c r="E107" s="529" t="n"/>
      <c r="F107" s="513" t="n"/>
      <c r="G107" s="528" t="inlineStr">
        <is>
          <t>OL 40</t>
        </is>
      </c>
      <c r="H107" s="456" t="n"/>
      <c r="I107" s="456" t="n"/>
      <c r="J107" s="513" t="n"/>
      <c r="K107" s="528" t="inlineStr">
        <is>
          <t>SMART</t>
        </is>
      </c>
      <c r="L107" s="463" t="n"/>
      <c r="M107" s="528" t="inlineStr">
        <is>
          <t>420 KG</t>
        </is>
      </c>
      <c r="N107" s="418" t="n">
        <v>46101</v>
      </c>
    </row>
    <row r="108" ht="18" customHeight="1" s="468">
      <c r="B108" s="530" t="n"/>
      <c r="C108" s="528" t="n">
        <v>26010340</v>
      </c>
      <c r="D108" s="513" t="n"/>
      <c r="E108" s="529" t="n"/>
      <c r="F108" s="513" t="n"/>
      <c r="G108" s="528" t="inlineStr">
        <is>
          <t>OL 40</t>
        </is>
      </c>
      <c r="H108" s="456" t="n"/>
      <c r="I108" s="456" t="n"/>
      <c r="J108" s="513" t="n"/>
      <c r="K108" s="523" t="n"/>
      <c r="L108" s="514" t="n"/>
      <c r="M108" s="528" t="inlineStr">
        <is>
          <t>420 KG</t>
        </is>
      </c>
      <c r="N108" s="418" t="n">
        <v>46101</v>
      </c>
    </row>
    <row r="109" ht="18" customHeight="1" s="468">
      <c r="B109" s="530" t="n"/>
      <c r="C109" s="528" t="n">
        <v>26010341</v>
      </c>
      <c r="D109" s="513" t="n"/>
      <c r="E109" s="529" t="n"/>
      <c r="F109" s="513" t="n"/>
      <c r="G109" s="528" t="inlineStr">
        <is>
          <t>OL 40</t>
        </is>
      </c>
      <c r="H109" s="456" t="n"/>
      <c r="I109" s="456" t="n"/>
      <c r="J109" s="513" t="n"/>
      <c r="K109" s="523" t="n"/>
      <c r="L109" s="514" t="n"/>
      <c r="M109" s="528" t="inlineStr">
        <is>
          <t>420 KG</t>
        </is>
      </c>
      <c r="N109" s="418" t="n">
        <v>46104</v>
      </c>
    </row>
    <row r="110" ht="18" customHeight="1" s="468">
      <c r="B110" s="530" t="n"/>
      <c r="C110" s="528" t="n">
        <v>26010342</v>
      </c>
      <c r="D110" s="513" t="n"/>
      <c r="E110" s="525" t="n"/>
      <c r="F110" s="513" t="n"/>
      <c r="G110" s="528" t="inlineStr">
        <is>
          <t>OL 40</t>
        </is>
      </c>
      <c r="H110" s="456" t="n"/>
      <c r="I110" s="456" t="n"/>
      <c r="J110" s="513" t="n"/>
      <c r="K110" s="523" t="n"/>
      <c r="L110" s="514" t="n"/>
      <c r="M110" s="528" t="inlineStr">
        <is>
          <t>420 KG</t>
        </is>
      </c>
      <c r="N110" s="418" t="n">
        <v>46104</v>
      </c>
    </row>
    <row r="111" ht="18" customHeight="1" s="468">
      <c r="B111" s="530" t="n"/>
      <c r="C111" s="528" t="n">
        <v>26010343</v>
      </c>
      <c r="D111" s="513" t="n"/>
      <c r="E111" s="529" t="n"/>
      <c r="F111" s="513" t="n"/>
      <c r="G111" s="528" t="inlineStr">
        <is>
          <t>OL 40</t>
        </is>
      </c>
      <c r="H111" s="456" t="n"/>
      <c r="I111" s="456" t="n"/>
      <c r="J111" s="513" t="n"/>
      <c r="K111" s="523" t="n"/>
      <c r="L111" s="514" t="n"/>
      <c r="M111" s="528" t="inlineStr">
        <is>
          <t>420 KG</t>
        </is>
      </c>
      <c r="N111" s="418" t="n">
        <v>46104</v>
      </c>
    </row>
    <row r="112" ht="18" customHeight="1" s="468">
      <c r="B112" s="530" t="n"/>
      <c r="C112" s="528" t="n">
        <v>26010344</v>
      </c>
      <c r="D112" s="513" t="n"/>
      <c r="E112" s="529" t="n"/>
      <c r="F112" s="513" t="n"/>
      <c r="G112" s="528" t="inlineStr">
        <is>
          <t>OL 40</t>
        </is>
      </c>
      <c r="H112" s="456" t="n"/>
      <c r="I112" s="456" t="n"/>
      <c r="J112" s="513" t="n"/>
      <c r="K112" s="523" t="n"/>
      <c r="L112" s="514" t="n"/>
      <c r="M112" s="528" t="inlineStr">
        <is>
          <t>420 KG</t>
        </is>
      </c>
      <c r="N112" s="418" t="n">
        <v>46104</v>
      </c>
    </row>
    <row r="113" ht="18" customHeight="1" s="468">
      <c r="B113" s="530" t="n"/>
      <c r="C113" s="528" t="n">
        <v>26010345</v>
      </c>
      <c r="D113" s="513" t="n"/>
      <c r="E113" s="529" t="n"/>
      <c r="F113" s="513" t="n"/>
      <c r="G113" s="528" t="inlineStr">
        <is>
          <t>OL 40</t>
        </is>
      </c>
      <c r="H113" s="456" t="n"/>
      <c r="I113" s="456" t="n"/>
      <c r="J113" s="513" t="n"/>
      <c r="K113" s="523" t="n"/>
      <c r="L113" s="514" t="n"/>
      <c r="M113" s="528" t="inlineStr">
        <is>
          <t>420 KG</t>
        </is>
      </c>
      <c r="N113" s="418" t="n">
        <v>46104</v>
      </c>
    </row>
    <row r="114" ht="18" customHeight="1" s="468">
      <c r="B114" s="530" t="n"/>
      <c r="C114" s="528" t="n">
        <v>26010346</v>
      </c>
      <c r="D114" s="513" t="n"/>
      <c r="E114" s="529" t="n"/>
      <c r="F114" s="513" t="n"/>
      <c r="G114" s="528" t="inlineStr">
        <is>
          <t>OL 40</t>
        </is>
      </c>
      <c r="H114" s="456" t="n"/>
      <c r="I114" s="456" t="n"/>
      <c r="J114" s="513" t="n"/>
      <c r="K114" s="523" t="n"/>
      <c r="L114" s="514" t="n"/>
      <c r="M114" s="528" t="inlineStr">
        <is>
          <t>420 KG</t>
        </is>
      </c>
      <c r="N114" s="418" t="n">
        <v>46104</v>
      </c>
    </row>
    <row r="115" ht="18" customHeight="1" s="468">
      <c r="B115" s="530" t="n"/>
      <c r="C115" s="528" t="n">
        <v>26010347</v>
      </c>
      <c r="D115" s="513" t="n"/>
      <c r="E115" s="529" t="n"/>
      <c r="F115" s="513" t="n"/>
      <c r="G115" s="528" t="inlineStr">
        <is>
          <t>OL 40</t>
        </is>
      </c>
      <c r="H115" s="456" t="n"/>
      <c r="I115" s="456" t="n"/>
      <c r="J115" s="513" t="n"/>
      <c r="K115" s="523" t="n"/>
      <c r="L115" s="514" t="n"/>
      <c r="M115" s="528" t="inlineStr">
        <is>
          <t>420 KG</t>
        </is>
      </c>
      <c r="N115" s="418" t="n">
        <v>46105</v>
      </c>
    </row>
    <row r="116" ht="18" customHeight="1" s="468">
      <c r="B116" s="530" t="n"/>
      <c r="C116" s="528" t="n">
        <v>26010348</v>
      </c>
      <c r="D116" s="513" t="n"/>
      <c r="E116" s="533" t="n"/>
      <c r="F116" s="513" t="n"/>
      <c r="G116" s="528" t="inlineStr">
        <is>
          <t>OL 40</t>
        </is>
      </c>
      <c r="H116" s="456" t="n"/>
      <c r="I116" s="456" t="n"/>
      <c r="J116" s="513" t="n"/>
      <c r="K116" s="523" t="n"/>
      <c r="L116" s="514" t="n"/>
      <c r="M116" s="528" t="inlineStr">
        <is>
          <t>420 KG</t>
        </is>
      </c>
      <c r="N116" s="418" t="n">
        <v>46105</v>
      </c>
    </row>
    <row r="117" ht="18" customHeight="1" s="468">
      <c r="B117" s="530" t="n"/>
      <c r="C117" s="528" t="n">
        <v>26010349</v>
      </c>
      <c r="D117" s="513" t="n"/>
      <c r="E117" s="529" t="n"/>
      <c r="F117" s="513" t="n"/>
      <c r="G117" s="528" t="inlineStr">
        <is>
          <t>OL 40</t>
        </is>
      </c>
      <c r="H117" s="456" t="n"/>
      <c r="I117" s="456" t="n"/>
      <c r="J117" s="513" t="n"/>
      <c r="K117" s="523" t="n"/>
      <c r="L117" s="514" t="n"/>
      <c r="M117" s="528" t="inlineStr">
        <is>
          <t>420 KG</t>
        </is>
      </c>
      <c r="N117" s="418" t="n">
        <v>46105</v>
      </c>
    </row>
    <row r="118" ht="18" customHeight="1" s="468">
      <c r="B118" s="530" t="n"/>
      <c r="C118" s="528" t="n">
        <v>26010350</v>
      </c>
      <c r="D118" s="513" t="n"/>
      <c r="E118" s="529" t="n"/>
      <c r="F118" s="513" t="n"/>
      <c r="G118" s="528" t="inlineStr">
        <is>
          <t>OL 40</t>
        </is>
      </c>
      <c r="H118" s="456" t="n"/>
      <c r="I118" s="456" t="n"/>
      <c r="J118" s="513" t="n"/>
      <c r="K118" s="523" t="n"/>
      <c r="L118" s="514" t="n"/>
      <c r="M118" s="528" t="inlineStr">
        <is>
          <t>420 KG</t>
        </is>
      </c>
      <c r="N118" s="418" t="n">
        <v>46105</v>
      </c>
    </row>
    <row r="119" ht="18" customHeight="1" s="468">
      <c r="B119" s="530" t="n"/>
      <c r="C119" s="528" t="n">
        <v>26010351</v>
      </c>
      <c r="D119" s="513" t="n"/>
      <c r="E119" s="529" t="n"/>
      <c r="F119" s="513" t="n"/>
      <c r="G119" s="528" t="inlineStr">
        <is>
          <t>OL 40</t>
        </is>
      </c>
      <c r="H119" s="456" t="n"/>
      <c r="I119" s="456" t="n"/>
      <c r="J119" s="513" t="n"/>
      <c r="K119" s="523" t="n"/>
      <c r="L119" s="514" t="n"/>
      <c r="M119" s="528" t="inlineStr">
        <is>
          <t>420 KG</t>
        </is>
      </c>
      <c r="N119" s="418" t="n">
        <v>46105</v>
      </c>
    </row>
    <row r="120" ht="18" customHeight="1" s="468">
      <c r="B120" s="530" t="n"/>
      <c r="C120" s="528" t="n">
        <v>26010352</v>
      </c>
      <c r="D120" s="513" t="n"/>
      <c r="E120" s="538" t="n"/>
      <c r="F120" s="513" t="n"/>
      <c r="G120" s="528" t="inlineStr">
        <is>
          <t>OL 40</t>
        </is>
      </c>
      <c r="H120" s="456" t="n"/>
      <c r="I120" s="456" t="n"/>
      <c r="J120" s="513" t="n"/>
      <c r="K120" s="523" t="n"/>
      <c r="L120" s="514" t="n"/>
      <c r="M120" s="528" t="inlineStr">
        <is>
          <t>420 KG</t>
        </is>
      </c>
      <c r="N120" s="418" t="n">
        <v>46105</v>
      </c>
    </row>
    <row r="121" ht="18" customHeight="1" s="468">
      <c r="B121" s="530" t="n"/>
      <c r="C121" s="528" t="n">
        <v>26010353</v>
      </c>
      <c r="D121" s="513" t="n"/>
      <c r="E121" s="529" t="n"/>
      <c r="F121" s="513" t="n"/>
      <c r="G121" s="528" t="inlineStr">
        <is>
          <t>OL 40</t>
        </is>
      </c>
      <c r="H121" s="456" t="n"/>
      <c r="I121" s="456" t="n"/>
      <c r="J121" s="513" t="n"/>
      <c r="K121" s="523" t="n"/>
      <c r="L121" s="514" t="n"/>
      <c r="M121" s="528" t="inlineStr">
        <is>
          <t>420 KG</t>
        </is>
      </c>
      <c r="N121" s="418" t="n">
        <v>46106</v>
      </c>
    </row>
    <row r="122" ht="18" customHeight="1" s="468">
      <c r="B122" s="530" t="n"/>
      <c r="C122" s="528" t="n">
        <v>26010354</v>
      </c>
      <c r="D122" s="513" t="n"/>
      <c r="E122" s="529" t="n"/>
      <c r="F122" s="513" t="n"/>
      <c r="G122" s="528" t="inlineStr">
        <is>
          <t>OL 40</t>
        </is>
      </c>
      <c r="H122" s="456" t="n"/>
      <c r="I122" s="456" t="n"/>
      <c r="J122" s="513" t="n"/>
      <c r="K122" s="523" t="n"/>
      <c r="L122" s="514" t="n"/>
      <c r="M122" s="528" t="inlineStr">
        <is>
          <t>420 KG</t>
        </is>
      </c>
      <c r="N122" s="418" t="n">
        <v>46106</v>
      </c>
    </row>
    <row r="123" ht="18" customHeight="1" s="468">
      <c r="B123" s="530" t="n"/>
      <c r="C123" s="528" t="n">
        <v>26010355</v>
      </c>
      <c r="D123" s="513" t="n"/>
      <c r="E123" s="529" t="n"/>
      <c r="F123" s="513" t="n"/>
      <c r="G123" s="528" t="inlineStr">
        <is>
          <t>OL 40</t>
        </is>
      </c>
      <c r="H123" s="456" t="n"/>
      <c r="I123" s="456" t="n"/>
      <c r="J123" s="513" t="n"/>
      <c r="K123" s="523" t="n"/>
      <c r="L123" s="514" t="n"/>
      <c r="M123" s="528" t="inlineStr">
        <is>
          <t>420 KG</t>
        </is>
      </c>
      <c r="N123" s="418" t="n">
        <v>46111</v>
      </c>
    </row>
    <row r="124" ht="18" customHeight="1" s="468">
      <c r="B124" s="530" t="n"/>
      <c r="C124" s="528" t="n">
        <v>26010356</v>
      </c>
      <c r="D124" s="513" t="n"/>
      <c r="E124" s="529" t="n"/>
      <c r="F124" s="513" t="n"/>
      <c r="G124" s="528" t="inlineStr">
        <is>
          <t>OL 40</t>
        </is>
      </c>
      <c r="H124" s="456" t="n"/>
      <c r="I124" s="456" t="n"/>
      <c r="J124" s="513" t="n"/>
      <c r="K124" s="523" t="n"/>
      <c r="L124" s="514" t="n"/>
      <c r="M124" s="528" t="inlineStr">
        <is>
          <t>420 KG</t>
        </is>
      </c>
      <c r="N124" s="418" t="n">
        <v>46112</v>
      </c>
    </row>
    <row r="125" ht="18" customHeight="1" s="468">
      <c r="B125" s="530" t="n"/>
      <c r="C125" s="528" t="n">
        <v>26010357</v>
      </c>
      <c r="D125" s="513" t="n"/>
      <c r="E125" s="529" t="n"/>
      <c r="F125" s="513" t="n"/>
      <c r="G125" s="528" t="inlineStr">
        <is>
          <t>OL 40</t>
        </is>
      </c>
      <c r="H125" s="456" t="n"/>
      <c r="I125" s="456" t="n"/>
      <c r="J125" s="513" t="n"/>
      <c r="K125" s="523" t="n"/>
      <c r="L125" s="514" t="n"/>
      <c r="M125" s="528" t="inlineStr">
        <is>
          <t>420 KG</t>
        </is>
      </c>
      <c r="N125" s="418" t="n">
        <v>46112</v>
      </c>
    </row>
    <row r="126" ht="18" customHeight="1" s="468">
      <c r="B126" s="530" t="n"/>
      <c r="C126" s="528" t="n">
        <v>26010358</v>
      </c>
      <c r="D126" s="513" t="n"/>
      <c r="E126" s="529" t="n"/>
      <c r="F126" s="513" t="n"/>
      <c r="G126" s="528" t="inlineStr">
        <is>
          <t>OL 40</t>
        </is>
      </c>
      <c r="H126" s="456" t="n"/>
      <c r="I126" s="456" t="n"/>
      <c r="J126" s="513" t="n"/>
      <c r="K126" s="523" t="n"/>
      <c r="L126" s="514" t="n"/>
      <c r="M126" s="528" t="inlineStr">
        <is>
          <t>420 KG</t>
        </is>
      </c>
      <c r="N126" s="418" t="n">
        <v>46112</v>
      </c>
    </row>
    <row r="127" ht="18" customHeight="1" s="468">
      <c r="B127" s="530" t="n"/>
      <c r="C127" s="528" t="n">
        <v>26010359</v>
      </c>
      <c r="D127" s="513" t="n"/>
      <c r="E127" s="529" t="n"/>
      <c r="F127" s="513" t="n"/>
      <c r="G127" s="528" t="inlineStr">
        <is>
          <t>OL 40</t>
        </is>
      </c>
      <c r="H127" s="456" t="n"/>
      <c r="I127" s="456" t="n"/>
      <c r="J127" s="513" t="n"/>
      <c r="K127" s="523" t="n"/>
      <c r="L127" s="514" t="n"/>
      <c r="M127" s="528" t="inlineStr">
        <is>
          <t>420 KG</t>
        </is>
      </c>
      <c r="N127" s="418" t="n">
        <v>46120</v>
      </c>
    </row>
    <row r="128" ht="18" customHeight="1" s="468">
      <c r="B128" s="530" t="n"/>
      <c r="C128" s="528" t="n">
        <v>26010360</v>
      </c>
      <c r="D128" s="513" t="n"/>
      <c r="E128" s="534" t="n"/>
      <c r="F128" s="513" t="n"/>
      <c r="G128" s="528" t="inlineStr">
        <is>
          <t>OL 40</t>
        </is>
      </c>
      <c r="H128" s="456" t="n"/>
      <c r="I128" s="456" t="n"/>
      <c r="J128" s="513" t="n"/>
      <c r="K128" s="523" t="n"/>
      <c r="L128" s="514" t="n"/>
      <c r="M128" s="528" t="inlineStr">
        <is>
          <t>420 KG</t>
        </is>
      </c>
      <c r="N128" s="418" t="n">
        <v>46120</v>
      </c>
    </row>
    <row r="129" ht="18" customHeight="1" s="468">
      <c r="B129" s="530" t="n"/>
      <c r="C129" s="528" t="n">
        <v>26010361</v>
      </c>
      <c r="D129" s="513" t="n"/>
      <c r="E129" s="529" t="n"/>
      <c r="F129" s="513" t="n"/>
      <c r="G129" s="528" t="inlineStr">
        <is>
          <t>OL 40</t>
        </is>
      </c>
      <c r="H129" s="456" t="n"/>
      <c r="I129" s="456" t="n"/>
      <c r="J129" s="513" t="n"/>
      <c r="K129" s="523" t="n"/>
      <c r="L129" s="514" t="n"/>
      <c r="M129" s="528" t="inlineStr">
        <is>
          <t>420 KG</t>
        </is>
      </c>
      <c r="N129" s="418" t="n">
        <v>46120</v>
      </c>
    </row>
    <row r="130" ht="18" customHeight="1" s="468">
      <c r="B130" s="530" t="n"/>
      <c r="C130" s="528" t="n">
        <v>26010362</v>
      </c>
      <c r="D130" s="513" t="n"/>
      <c r="E130" s="529" t="n"/>
      <c r="F130" s="513" t="n"/>
      <c r="G130" s="528" t="inlineStr">
        <is>
          <t>OL 40</t>
        </is>
      </c>
      <c r="H130" s="456" t="n"/>
      <c r="I130" s="456" t="n"/>
      <c r="J130" s="513" t="n"/>
      <c r="K130" s="523" t="n"/>
      <c r="L130" s="514" t="n"/>
      <c r="M130" s="528" t="inlineStr">
        <is>
          <t>420 KG</t>
        </is>
      </c>
      <c r="N130" s="418" t="n">
        <v>46120</v>
      </c>
    </row>
    <row r="131" ht="18" customHeight="1" s="468">
      <c r="B131" s="531" t="n"/>
      <c r="C131" s="528" t="n">
        <v>26010363</v>
      </c>
      <c r="D131" s="513" t="n"/>
      <c r="E131" s="536" t="inlineStr">
        <is>
          <t>...</t>
        </is>
      </c>
      <c r="F131" s="513" t="n"/>
      <c r="G131" s="528" t="inlineStr">
        <is>
          <t>OL 40</t>
        </is>
      </c>
      <c r="H131" s="456" t="n"/>
      <c r="I131" s="456" t="n"/>
      <c r="J131" s="513" t="n"/>
      <c r="K131" s="464" t="n"/>
      <c r="L131" s="466" t="n"/>
      <c r="M131" s="528" t="inlineStr">
        <is>
          <t>420 KG</t>
        </is>
      </c>
      <c r="N131" s="418" t="n">
        <v>46120</v>
      </c>
    </row>
    <row r="132" ht="17.25" customHeight="1" s="468">
      <c r="B132" s="528" t="inlineStr">
        <is>
          <t>2026/082</t>
        </is>
      </c>
      <c r="C132" s="528" t="n">
        <v>26010364</v>
      </c>
      <c r="D132" s="513" t="n"/>
      <c r="E132" s="529" t="n"/>
      <c r="F132" s="513" t="n"/>
      <c r="G132" s="528" t="inlineStr">
        <is>
          <t>NORCAU 600ML</t>
        </is>
      </c>
      <c r="H132" s="456" t="n"/>
      <c r="I132" s="456" t="n"/>
      <c r="J132" s="513" t="n"/>
      <c r="K132" s="528" t="inlineStr">
        <is>
          <t>PURATOS</t>
        </is>
      </c>
      <c r="L132" s="513" t="n"/>
      <c r="M132" s="528" t="inlineStr">
        <is>
          <t>13.680 LATAS</t>
        </is>
      </c>
      <c r="N132" s="418" t="n">
        <v>46100</v>
      </c>
    </row>
    <row r="133" ht="17.25" customHeight="1" s="468">
      <c r="B133" s="528" t="inlineStr">
        <is>
          <t>2026/083</t>
        </is>
      </c>
      <c r="C133" s="528" t="inlineStr">
        <is>
          <t>26010365 49</t>
        </is>
      </c>
      <c r="D133" s="513" t="n"/>
      <c r="E133" s="529" t="n"/>
      <c r="F133" s="513" t="n"/>
      <c r="G133" s="529" t="inlineStr">
        <is>
          <t>LISSE</t>
        </is>
      </c>
      <c r="H133" s="456" t="n"/>
      <c r="I133" s="456" t="n"/>
      <c r="J133" s="513" t="n"/>
      <c r="K133" s="529" t="inlineStr">
        <is>
          <t>ADIMIX</t>
        </is>
      </c>
      <c r="L133" s="513" t="n"/>
      <c r="M133" s="529" t="inlineStr">
        <is>
          <t>7.980 LATAS</t>
        </is>
      </c>
      <c r="N133" s="418" t="n">
        <v>46104</v>
      </c>
    </row>
    <row r="134" ht="17.25" customHeight="1" s="468">
      <c r="B134" s="528" t="inlineStr">
        <is>
          <t>2026/084</t>
        </is>
      </c>
      <c r="C134" s="528" t="n">
        <v>26010366</v>
      </c>
      <c r="D134" s="513" t="n"/>
      <c r="E134" s="529" t="n"/>
      <c r="F134" s="513" t="n"/>
      <c r="G134" s="529" t="inlineStr">
        <is>
          <t>ALL BREAD 600ML</t>
        </is>
      </c>
      <c r="H134" s="456" t="n"/>
      <c r="I134" s="456" t="n"/>
      <c r="J134" s="513" t="n"/>
      <c r="K134" s="529" t="inlineStr">
        <is>
          <t>ALL BREAD</t>
        </is>
      </c>
      <c r="L134" s="513" t="n"/>
      <c r="M134" s="529" t="inlineStr">
        <is>
          <t>4.608 LATAS</t>
        </is>
      </c>
      <c r="N134" s="418" t="n">
        <v>46106</v>
      </c>
    </row>
    <row r="135" ht="17.25" customHeight="1" s="468">
      <c r="B135" s="528" t="inlineStr">
        <is>
          <t>2026/085</t>
        </is>
      </c>
      <c r="C135" s="529" t="n">
        <v>26010367</v>
      </c>
      <c r="D135" s="513" t="n"/>
      <c r="E135" s="529" t="n"/>
      <c r="F135" s="513" t="n"/>
      <c r="G135" s="529" t="inlineStr">
        <is>
          <t>UNTA FACIL 600ML</t>
        </is>
      </c>
      <c r="H135" s="456" t="n"/>
      <c r="I135" s="456" t="n"/>
      <c r="J135" s="513" t="n"/>
      <c r="K135" s="529" t="inlineStr">
        <is>
          <t>IN LOCO</t>
        </is>
      </c>
      <c r="L135" s="513" t="n"/>
      <c r="M135" s="529" t="inlineStr">
        <is>
          <t>7.980 LATAS</t>
        </is>
      </c>
      <c r="N135" s="418" t="n">
        <v>46133</v>
      </c>
    </row>
    <row r="136" ht="17.25" customHeight="1" s="468">
      <c r="B136" s="532" t="inlineStr">
        <is>
          <t>2026/086</t>
        </is>
      </c>
      <c r="C136" s="529" t="n">
        <v>26010368</v>
      </c>
      <c r="D136" s="513" t="n"/>
      <c r="E136" s="529" t="n"/>
      <c r="F136" s="513" t="n"/>
      <c r="G136" s="529" t="inlineStr">
        <is>
          <t>CORANTE AMARELO</t>
        </is>
      </c>
      <c r="H136" s="456" t="n"/>
      <c r="I136" s="456" t="n"/>
      <c r="J136" s="513" t="n"/>
      <c r="K136" s="529" t="inlineStr">
        <is>
          <t>SMART</t>
        </is>
      </c>
      <c r="L136" s="463" t="n"/>
      <c r="M136" s="529" t="inlineStr">
        <is>
          <t>81 KG</t>
        </is>
      </c>
      <c r="N136" s="418" t="n">
        <v>46106</v>
      </c>
    </row>
    <row r="137" ht="17.25" customHeight="1" s="468">
      <c r="B137" s="530" t="n"/>
      <c r="C137" s="529" t="n">
        <v>26030369</v>
      </c>
      <c r="D137" s="513" t="n"/>
      <c r="E137" s="529" t="n"/>
      <c r="F137" s="513" t="n"/>
      <c r="G137" s="529" t="inlineStr">
        <is>
          <t>CORANTE VERDE</t>
        </is>
      </c>
      <c r="H137" s="456" t="n"/>
      <c r="I137" s="456" t="n"/>
      <c r="J137" s="513" t="n"/>
      <c r="K137" s="523" t="n"/>
      <c r="L137" s="514" t="n"/>
      <c r="M137" s="529" t="inlineStr">
        <is>
          <t>41 KG</t>
        </is>
      </c>
      <c r="N137" s="418" t="n">
        <v>46106</v>
      </c>
    </row>
    <row r="138" ht="17.25" customHeight="1" s="468">
      <c r="B138" s="530" t="n"/>
      <c r="C138" s="529" t="n">
        <v>26030370</v>
      </c>
      <c r="D138" s="513" t="n"/>
      <c r="E138" s="529" t="n"/>
      <c r="F138" s="513" t="n"/>
      <c r="G138" s="529" t="inlineStr">
        <is>
          <t>CORANTE AZUL</t>
        </is>
      </c>
      <c r="H138" s="456" t="n"/>
      <c r="I138" s="456" t="n"/>
      <c r="J138" s="513" t="n"/>
      <c r="K138" s="523" t="n"/>
      <c r="L138" s="514" t="n"/>
      <c r="M138" s="207" t="inlineStr">
        <is>
          <t>25 KG</t>
        </is>
      </c>
      <c r="N138" s="418" t="n">
        <v>46106</v>
      </c>
    </row>
    <row r="139" ht="17.25" customHeight="1" s="468">
      <c r="B139" s="530" t="n"/>
      <c r="C139" s="529" t="n">
        <v>26030371</v>
      </c>
      <c r="D139" s="513" t="n"/>
      <c r="E139" s="529" t="n"/>
      <c r="F139" s="513" t="n"/>
      <c r="G139" s="529" t="inlineStr">
        <is>
          <t>CORANTE ROSA</t>
        </is>
      </c>
      <c r="H139" s="456" t="n"/>
      <c r="I139" s="456" t="n"/>
      <c r="J139" s="513" t="n"/>
      <c r="K139" s="523" t="n"/>
      <c r="L139" s="514" t="n"/>
      <c r="M139" s="529" t="inlineStr">
        <is>
          <t>81 KG</t>
        </is>
      </c>
      <c r="N139" s="418" t="n">
        <v>46106</v>
      </c>
    </row>
    <row r="140" ht="17.25" customHeight="1" s="468">
      <c r="B140" s="531" t="n"/>
      <c r="C140" s="529" t="n">
        <v>26030372</v>
      </c>
      <c r="D140" s="513" t="n"/>
      <c r="E140" s="529" t="n"/>
      <c r="F140" s="513" t="n"/>
      <c r="G140" s="529" t="inlineStr">
        <is>
          <t>CORANTE VERMELHO</t>
        </is>
      </c>
      <c r="H140" s="456" t="n"/>
      <c r="I140" s="456" t="n"/>
      <c r="J140" s="513" t="n"/>
      <c r="K140" s="464" t="n"/>
      <c r="L140" s="466" t="n"/>
      <c r="M140" s="529" t="inlineStr">
        <is>
          <t>41 KG</t>
        </is>
      </c>
      <c r="N140" s="418" t="n">
        <v>46106</v>
      </c>
    </row>
    <row r="141" ht="17.25" customHeight="1" s="468">
      <c r="B141" s="532" t="inlineStr">
        <is>
          <t>2026/87</t>
        </is>
      </c>
      <c r="C141" s="529" t="n">
        <v>26040373</v>
      </c>
      <c r="D141" s="513" t="n"/>
      <c r="E141" s="529" t="n"/>
      <c r="F141" s="513" t="n"/>
      <c r="G141" s="529" t="inlineStr">
        <is>
          <t>ÓLEO DE COCO SEM SABOR</t>
        </is>
      </c>
      <c r="H141" s="456" t="n"/>
      <c r="I141" s="456" t="n"/>
      <c r="J141" s="513" t="n"/>
      <c r="K141" s="529" t="inlineStr">
        <is>
          <t>COPRA</t>
        </is>
      </c>
      <c r="L141" s="463" t="n"/>
      <c r="M141" s="529" t="inlineStr">
        <is>
          <t>27.420 LATAS</t>
        </is>
      </c>
      <c r="N141" s="418" t="n">
        <v>46106</v>
      </c>
    </row>
    <row r="142" ht="17.25" customHeight="1" s="468">
      <c r="B142" s="531" t="n"/>
      <c r="C142" s="528" t="n">
        <v>26040374</v>
      </c>
      <c r="D142" s="513" t="n"/>
      <c r="E142" s="529" t="n"/>
      <c r="F142" s="513" t="n"/>
      <c r="G142" s="529" t="inlineStr">
        <is>
          <t>ÓLEO DE COCO EXTRAVIRGEM</t>
        </is>
      </c>
      <c r="H142" s="456" t="n"/>
      <c r="I142" s="456" t="n"/>
      <c r="J142" s="513" t="n"/>
      <c r="K142" s="464" t="n"/>
      <c r="L142" s="466" t="n"/>
      <c r="M142" s="529" t="inlineStr">
        <is>
          <t>10.020 LATAS</t>
        </is>
      </c>
      <c r="N142" s="418" t="n">
        <v>46108</v>
      </c>
    </row>
    <row r="143" ht="17.25" customHeight="1" s="468">
      <c r="B143" s="532" t="inlineStr">
        <is>
          <t>2026/088</t>
        </is>
      </c>
      <c r="C143" s="529" t="n">
        <v>26010375</v>
      </c>
      <c r="D143" s="513" t="n"/>
      <c r="E143" s="529" t="n"/>
      <c r="F143" s="513" t="n"/>
      <c r="G143" s="529" t="inlineStr">
        <is>
          <t>UNTA FORMA 180ML</t>
        </is>
      </c>
      <c r="H143" s="456" t="n"/>
      <c r="I143" s="456" t="n"/>
      <c r="J143" s="513" t="n"/>
      <c r="K143" s="529" t="inlineStr">
        <is>
          <t>ADKO</t>
        </is>
      </c>
      <c r="L143" s="513" t="n"/>
      <c r="M143" s="529" t="inlineStr">
        <is>
          <t>5.760 LATAS</t>
        </is>
      </c>
      <c r="N143" s="418" t="n">
        <v>46112</v>
      </c>
    </row>
    <row r="144" ht="17.25" customHeight="1" s="468">
      <c r="B144" s="532" t="inlineStr">
        <is>
          <t>2026/089</t>
        </is>
      </c>
      <c r="C144" s="529" t="n">
        <v>26020376</v>
      </c>
      <c r="D144" s="513" t="n"/>
      <c r="E144" s="529" t="n"/>
      <c r="F144" s="513" t="n"/>
      <c r="G144" s="529" t="inlineStr">
        <is>
          <t>ESPUMA DE GENGIBRE</t>
        </is>
      </c>
      <c r="H144" s="456" t="n"/>
      <c r="I144" s="456" t="n"/>
      <c r="J144" s="513" t="n"/>
      <c r="K144" s="529" t="inlineStr">
        <is>
          <t>SMART</t>
        </is>
      </c>
      <c r="L144" s="463" t="n"/>
      <c r="M144" s="529" t="inlineStr">
        <is>
          <t>3.115 KG</t>
        </is>
      </c>
      <c r="N144" s="418" t="n">
        <v>46111</v>
      </c>
    </row>
    <row r="145" ht="17.25" customHeight="1" s="468">
      <c r="B145" s="530" t="n"/>
      <c r="C145" s="529" t="n">
        <v>26020377</v>
      </c>
      <c r="D145" s="513" t="n"/>
      <c r="E145" s="529" t="n"/>
      <c r="F145" s="513" t="n"/>
      <c r="G145" s="529" t="inlineStr">
        <is>
          <t>ESPUMA DE MAÇA VERDE</t>
        </is>
      </c>
      <c r="H145" s="456" t="n"/>
      <c r="I145" s="456" t="n"/>
      <c r="J145" s="513" t="n"/>
      <c r="K145" s="523" t="n"/>
      <c r="L145" s="514" t="n"/>
      <c r="M145" s="207" t="inlineStr">
        <is>
          <t>390 KG</t>
        </is>
      </c>
      <c r="N145" s="418" t="n">
        <v>46114</v>
      </c>
    </row>
    <row r="146" ht="17.25" customHeight="1" s="468">
      <c r="B146" s="530" t="n"/>
      <c r="C146" s="529" t="n">
        <v>26020378</v>
      </c>
      <c r="D146" s="513" t="n"/>
      <c r="E146" s="529" t="n"/>
      <c r="F146" s="513" t="n"/>
      <c r="G146" s="529" t="inlineStr">
        <is>
          <t>ESPUMA DE LIMÃO</t>
        </is>
      </c>
      <c r="H146" s="456" t="n"/>
      <c r="I146" s="456" t="n"/>
      <c r="J146" s="513" t="n"/>
      <c r="K146" s="523" t="n"/>
      <c r="L146" s="514" t="n"/>
      <c r="M146" s="207" t="inlineStr">
        <is>
          <t>390 KG</t>
        </is>
      </c>
      <c r="N146" s="418" t="n">
        <v>46118</v>
      </c>
    </row>
    <row r="147" ht="17.25" customHeight="1" s="468">
      <c r="B147" s="530" t="n"/>
      <c r="C147" s="529" t="n">
        <v>26020379</v>
      </c>
      <c r="D147" s="513" t="n"/>
      <c r="E147" s="529" t="n"/>
      <c r="F147" s="513" t="n"/>
      <c r="G147" s="529" t="inlineStr">
        <is>
          <t>ESPUMA DE LIMÃO SICILIANO</t>
        </is>
      </c>
      <c r="H147" s="456" t="n"/>
      <c r="I147" s="456" t="n"/>
      <c r="J147" s="513" t="n"/>
      <c r="K147" s="523" t="n"/>
      <c r="L147" s="514" t="n"/>
      <c r="M147" s="207" t="inlineStr">
        <is>
          <t>390 KG</t>
        </is>
      </c>
      <c r="N147" s="418" t="n">
        <v>46118</v>
      </c>
    </row>
    <row r="148" ht="17.25" customHeight="1" s="468">
      <c r="B148" s="530" t="n"/>
      <c r="C148" s="529" t="n">
        <v>26020380</v>
      </c>
      <c r="D148" s="513" t="n"/>
      <c r="E148" s="529" t="n"/>
      <c r="F148" s="513" t="n"/>
      <c r="G148" s="529" t="inlineStr">
        <is>
          <t>ESPUMA DE BANANA</t>
        </is>
      </c>
      <c r="H148" s="456" t="n"/>
      <c r="I148" s="456" t="n"/>
      <c r="J148" s="513" t="n"/>
      <c r="K148" s="523" t="n"/>
      <c r="L148" s="514" t="n"/>
      <c r="M148" s="207" t="inlineStr">
        <is>
          <t>390 KG</t>
        </is>
      </c>
      <c r="N148" s="418" t="n">
        <v>46118</v>
      </c>
    </row>
    <row r="149" ht="17.25" customHeight="1" s="468">
      <c r="B149" s="530" t="n"/>
      <c r="C149" s="529" t="n">
        <v>26020381</v>
      </c>
      <c r="D149" s="513" t="n"/>
      <c r="E149" s="529" t="n"/>
      <c r="F149" s="513" t="n"/>
      <c r="G149" s="529" t="inlineStr">
        <is>
          <t>ESPUMA DE TANGERINA</t>
        </is>
      </c>
      <c r="H149" s="456" t="n"/>
      <c r="I149" s="456" t="n"/>
      <c r="J149" s="513" t="n"/>
      <c r="K149" s="523" t="n"/>
      <c r="L149" s="514" t="n"/>
      <c r="M149" s="207" t="inlineStr">
        <is>
          <t>390 KG</t>
        </is>
      </c>
      <c r="N149" s="418" t="n">
        <v>46118</v>
      </c>
    </row>
    <row r="150" ht="17.25" customHeight="1" s="468">
      <c r="B150" s="530" t="n"/>
      <c r="C150" s="529" t="n">
        <v>26020382</v>
      </c>
      <c r="D150" s="513" t="n"/>
      <c r="E150" s="529" t="n"/>
      <c r="F150" s="513" t="n"/>
      <c r="G150" s="529" t="inlineStr">
        <is>
          <t>ESPUMA DE MORANGO</t>
        </is>
      </c>
      <c r="H150" s="456" t="n"/>
      <c r="I150" s="456" t="n"/>
      <c r="J150" s="513" t="n"/>
      <c r="K150" s="523" t="n"/>
      <c r="L150" s="514" t="n"/>
      <c r="M150" s="529" t="inlineStr">
        <is>
          <t>780 KG</t>
        </is>
      </c>
      <c r="N150" s="418" t="n">
        <v>46118</v>
      </c>
    </row>
    <row r="151" ht="17.25" customHeight="1" s="468">
      <c r="B151" s="531" t="n"/>
      <c r="C151" s="529" t="n">
        <v>26020383</v>
      </c>
      <c r="D151" s="513" t="n"/>
      <c r="E151" s="529" t="n"/>
      <c r="F151" s="513" t="n"/>
      <c r="G151" s="529" t="inlineStr">
        <is>
          <t>ESPUMA DE FRUTAS VERMELHAS</t>
        </is>
      </c>
      <c r="H151" s="456" t="n"/>
      <c r="I151" s="456" t="n"/>
      <c r="J151" s="513" t="n"/>
      <c r="K151" s="464" t="n"/>
      <c r="L151" s="466" t="n"/>
      <c r="M151" s="529" t="inlineStr">
        <is>
          <t>780 KG</t>
        </is>
      </c>
      <c r="N151" s="418" t="n">
        <v>46119</v>
      </c>
    </row>
    <row r="152" ht="17.25" customHeight="1" s="468">
      <c r="B152" s="532" t="inlineStr">
        <is>
          <t>2026/090</t>
        </is>
      </c>
      <c r="C152" s="529" t="n"/>
      <c r="D152" s="513" t="n"/>
      <c r="E152" s="529" t="n">
        <v>26030368</v>
      </c>
      <c r="F152" s="513" t="n"/>
      <c r="G152" s="529" t="inlineStr">
        <is>
          <t>CORANTE AMARELO</t>
        </is>
      </c>
      <c r="H152" s="456" t="n"/>
      <c r="I152" s="456" t="n"/>
      <c r="J152" s="513" t="n"/>
      <c r="K152" s="529" t="inlineStr">
        <is>
          <t>REPETECO</t>
        </is>
      </c>
      <c r="L152" s="463" t="n"/>
      <c r="M152" s="529" t="inlineStr">
        <is>
          <t>2.880 LATAS</t>
        </is>
      </c>
      <c r="N152" s="418" t="n">
        <v>46112</v>
      </c>
    </row>
    <row r="153" ht="17.25" customHeight="1" s="468">
      <c r="B153" s="530" t="n"/>
      <c r="C153" s="529" t="n"/>
      <c r="D153" s="513" t="n"/>
      <c r="E153" s="529" t="n">
        <v>26030370</v>
      </c>
      <c r="F153" s="513" t="n"/>
      <c r="G153" s="529" t="inlineStr">
        <is>
          <t>CORANTE AZUL</t>
        </is>
      </c>
      <c r="H153" s="456" t="n"/>
      <c r="I153" s="456" t="n"/>
      <c r="J153" s="513" t="n"/>
      <c r="K153" s="523" t="n"/>
      <c r="L153" s="514" t="n"/>
      <c r="M153" s="207" t="inlineStr">
        <is>
          <t>1.440 LATAS</t>
        </is>
      </c>
      <c r="N153" s="418" t="n">
        <v>46113</v>
      </c>
    </row>
    <row r="154" ht="17.25" customHeight="1" s="468">
      <c r="B154" s="530" t="n"/>
      <c r="C154" s="529" t="n"/>
      <c r="D154" s="513" t="n"/>
      <c r="E154" s="529" t="n">
        <v>26030371</v>
      </c>
      <c r="F154" s="513" t="n"/>
      <c r="G154" s="529" t="inlineStr">
        <is>
          <t>CONRANTE ROSA</t>
        </is>
      </c>
      <c r="H154" s="456" t="n"/>
      <c r="I154" s="456" t="n"/>
      <c r="J154" s="513" t="n"/>
      <c r="K154" s="523" t="n"/>
      <c r="L154" s="514" t="n"/>
      <c r="M154" s="529" t="inlineStr">
        <is>
          <t>2.880 LATAS</t>
        </is>
      </c>
      <c r="N154" s="418" t="n">
        <v>46113</v>
      </c>
    </row>
    <row r="155" ht="18" customHeight="1" s="468">
      <c r="B155" s="531" t="n"/>
      <c r="C155" s="529" t="n"/>
      <c r="D155" s="513" t="n"/>
      <c r="E155" s="529" t="n">
        <v>26030052</v>
      </c>
      <c r="F155" s="513" t="n"/>
      <c r="G155" s="529" t="inlineStr">
        <is>
          <t>CORANTE VIOLETA</t>
        </is>
      </c>
      <c r="H155" s="456" t="n"/>
      <c r="I155" s="456" t="n"/>
      <c r="J155" s="513" t="n"/>
      <c r="K155" s="464" t="n"/>
      <c r="L155" s="466" t="n"/>
      <c r="M155" s="207" t="inlineStr">
        <is>
          <t>960 LATAS</t>
        </is>
      </c>
      <c r="N155" s="418" t="n">
        <v>46113</v>
      </c>
    </row>
    <row r="156" ht="18" customHeight="1" s="468">
      <c r="B156" s="532" t="inlineStr">
        <is>
          <t>2026/091</t>
        </is>
      </c>
      <c r="C156" s="529" t="n"/>
      <c r="D156" s="513" t="n"/>
      <c r="E156" s="529" t="n">
        <v>26030368</v>
      </c>
      <c r="F156" s="513" t="n"/>
      <c r="G156" s="529" t="inlineStr">
        <is>
          <t>CORANTE AMARELO</t>
        </is>
      </c>
      <c r="H156" s="456" t="n"/>
      <c r="I156" s="456" t="n"/>
      <c r="J156" s="513" t="n"/>
      <c r="K156" s="529" t="inlineStr">
        <is>
          <t>IN LOCO</t>
        </is>
      </c>
      <c r="L156" s="463" t="n"/>
      <c r="M156" s="529" t="inlineStr">
        <is>
          <t>2.880 LATAS</t>
        </is>
      </c>
      <c r="N156" s="418" t="n">
        <v>46112</v>
      </c>
    </row>
    <row r="157" ht="18" customHeight="1" s="468">
      <c r="B157" s="530" t="n"/>
      <c r="C157" s="529" t="n"/>
      <c r="D157" s="513" t="n"/>
      <c r="E157" s="529" t="n">
        <v>26030369</v>
      </c>
      <c r="F157" s="513" t="n"/>
      <c r="G157" s="529" t="inlineStr">
        <is>
          <t>CORANTE VERDE</t>
        </is>
      </c>
      <c r="H157" s="456" t="n"/>
      <c r="I157" s="456" t="n"/>
      <c r="J157" s="513" t="n"/>
      <c r="K157" s="523" t="n"/>
      <c r="L157" s="514" t="n"/>
      <c r="M157" s="207" t="inlineStr">
        <is>
          <t>2.880 LATAS</t>
        </is>
      </c>
      <c r="N157" s="418" t="n">
        <v>46113</v>
      </c>
    </row>
    <row r="158" ht="18" customHeight="1" s="468">
      <c r="B158" s="530" t="n"/>
      <c r="C158" s="529" t="n"/>
      <c r="D158" s="513" t="n"/>
      <c r="E158" s="529" t="n">
        <v>26030371</v>
      </c>
      <c r="F158" s="513" t="n"/>
      <c r="G158" s="529" t="inlineStr">
        <is>
          <t>CORANTE ROSA</t>
        </is>
      </c>
      <c r="H158" s="456" t="n"/>
      <c r="I158" s="456" t="n"/>
      <c r="J158" s="513" t="n"/>
      <c r="K158" s="523" t="n"/>
      <c r="L158" s="514" t="n"/>
      <c r="M158" s="529" t="inlineStr">
        <is>
          <t>2.880 LATAS</t>
        </is>
      </c>
      <c r="N158" s="418" t="n">
        <v>46113</v>
      </c>
    </row>
    <row r="159" ht="18" customHeight="1" s="468">
      <c r="B159" s="531" t="n"/>
      <c r="C159" s="529" t="n"/>
      <c r="D159" s="513" t="n"/>
      <c r="E159" s="529" t="n">
        <v>26030372</v>
      </c>
      <c r="F159" s="513" t="n"/>
      <c r="G159" s="529" t="inlineStr">
        <is>
          <t>CORANTE VERMELHO</t>
        </is>
      </c>
      <c r="H159" s="456" t="n"/>
      <c r="I159" s="456" t="n"/>
      <c r="J159" s="513" t="n"/>
      <c r="K159" s="464" t="n"/>
      <c r="L159" s="466" t="n"/>
      <c r="M159" s="207" t="inlineStr">
        <is>
          <t>2.880 LATAS</t>
        </is>
      </c>
      <c r="N159" s="418" t="n">
        <v>46113</v>
      </c>
    </row>
    <row r="160" ht="18" customHeight="1" s="468">
      <c r="B160" s="208" t="n"/>
      <c r="C160" s="526" t="n"/>
      <c r="D160" s="513" t="n"/>
      <c r="E160" s="526" t="n"/>
      <c r="F160" s="513" t="n"/>
      <c r="G160" s="526" t="n"/>
      <c r="H160" s="456" t="n"/>
      <c r="I160" s="456" t="n"/>
      <c r="J160" s="513" t="n"/>
      <c r="K160" s="526" t="n"/>
      <c r="L160" s="513" t="n"/>
      <c r="M160" s="526" t="n"/>
      <c r="N160" s="417" t="n"/>
    </row>
    <row r="161" ht="18" customHeight="1" s="468">
      <c r="B161" s="210" t="n"/>
      <c r="C161" s="527" t="n"/>
      <c r="D161" s="513" t="n"/>
      <c r="E161" s="527" t="n"/>
      <c r="F161" s="513" t="n"/>
      <c r="G161" s="527" t="n"/>
      <c r="H161" s="456" t="n"/>
      <c r="I161" s="456" t="n"/>
      <c r="J161" s="513" t="n"/>
      <c r="K161" s="527" t="n"/>
      <c r="L161" s="513" t="n"/>
      <c r="M161" s="211" t="n"/>
      <c r="N161" s="417" t="n"/>
    </row>
    <row r="162" ht="18" customHeight="1" s="468">
      <c r="B162" s="208" t="n"/>
      <c r="C162" s="526" t="n"/>
      <c r="D162" s="513" t="n"/>
      <c r="E162" s="526" t="n"/>
      <c r="F162" s="513" t="n"/>
      <c r="G162" s="526" t="n"/>
      <c r="H162" s="456" t="n"/>
      <c r="I162" s="456" t="n"/>
      <c r="J162" s="513" t="n"/>
      <c r="K162" s="526" t="n"/>
      <c r="L162" s="513" t="n"/>
      <c r="M162" s="526" t="n"/>
      <c r="N162" s="417" t="n"/>
    </row>
    <row r="163" ht="18" customHeight="1" s="468">
      <c r="B163" s="210" t="n"/>
      <c r="C163" s="527" t="n"/>
      <c r="D163" s="513" t="n"/>
      <c r="E163" s="527" t="n"/>
      <c r="F163" s="513" t="n"/>
      <c r="G163" s="527" t="n"/>
      <c r="H163" s="456" t="n"/>
      <c r="I163" s="456" t="n"/>
      <c r="J163" s="513" t="n"/>
      <c r="K163" s="527" t="n"/>
      <c r="L163" s="513" t="n"/>
      <c r="M163" s="211" t="n"/>
      <c r="N163" s="417" t="n"/>
    </row>
    <row r="164" ht="18" customHeight="1" s="468">
      <c r="B164" s="208" t="n"/>
      <c r="C164" s="526" t="n"/>
      <c r="D164" s="513" t="n"/>
      <c r="E164" s="526" t="n"/>
      <c r="F164" s="513" t="n"/>
      <c r="G164" s="526" t="n"/>
      <c r="H164" s="456" t="n"/>
      <c r="I164" s="456" t="n"/>
      <c r="J164" s="513" t="n"/>
      <c r="K164" s="526" t="n"/>
      <c r="L164" s="513" t="n"/>
      <c r="M164" s="526" t="n"/>
      <c r="N164" s="417" t="n"/>
    </row>
    <row r="165" ht="18" customHeight="1" s="468">
      <c r="B165" s="210" t="n"/>
      <c r="C165" s="527" t="n"/>
      <c r="D165" s="513" t="n"/>
      <c r="E165" s="527" t="n"/>
      <c r="F165" s="513" t="n"/>
      <c r="G165" s="527" t="n"/>
      <c r="H165" s="456" t="n"/>
      <c r="I165" s="456" t="n"/>
      <c r="J165" s="513" t="n"/>
      <c r="K165" s="527" t="n"/>
      <c r="L165" s="513" t="n"/>
      <c r="M165" s="211" t="n"/>
      <c r="N165" s="417" t="n"/>
    </row>
    <row r="166" ht="18" customHeight="1" s="468">
      <c r="B166" s="208" t="n"/>
      <c r="C166" s="526" t="n"/>
      <c r="D166" s="513" t="n"/>
      <c r="E166" s="526" t="n"/>
      <c r="F166" s="513" t="n"/>
      <c r="G166" s="526" t="n"/>
      <c r="H166" s="456" t="n"/>
      <c r="I166" s="456" t="n"/>
      <c r="J166" s="513" t="n"/>
      <c r="K166" s="526" t="n"/>
      <c r="L166" s="513" t="n"/>
      <c r="M166" s="526" t="n"/>
      <c r="N166" s="417" t="n"/>
    </row>
    <row r="167" ht="18" customHeight="1" s="468">
      <c r="B167" s="210" t="n"/>
      <c r="C167" s="527" t="n"/>
      <c r="D167" s="513" t="n"/>
      <c r="E167" s="527" t="n"/>
      <c r="F167" s="513" t="n"/>
      <c r="G167" s="527" t="n"/>
      <c r="H167" s="456" t="n"/>
      <c r="I167" s="456" t="n"/>
      <c r="J167" s="513" t="n"/>
      <c r="K167" s="527" t="n"/>
      <c r="L167" s="513" t="n"/>
      <c r="M167" s="211" t="n"/>
      <c r="N167" s="417" t="n"/>
    </row>
    <row r="168" ht="18" customHeight="1" s="468">
      <c r="B168" s="208" t="n"/>
      <c r="C168" s="526" t="n"/>
      <c r="D168" s="513" t="n"/>
      <c r="E168" s="526" t="n"/>
      <c r="F168" s="513" t="n"/>
      <c r="G168" s="526" t="n"/>
      <c r="H168" s="456" t="n"/>
      <c r="I168" s="456" t="n"/>
      <c r="J168" s="513" t="n"/>
      <c r="K168" s="526" t="n"/>
      <c r="L168" s="513" t="n"/>
      <c r="M168" s="526" t="n"/>
      <c r="N168" s="417" t="n"/>
    </row>
    <row r="169" ht="18" customHeight="1" s="468">
      <c r="N169" s="420" t="n"/>
    </row>
    <row r="170" ht="18" customHeight="1" s="468">
      <c r="N170" s="420" t="n"/>
    </row>
    <row r="171" ht="18" customHeight="1" s="468">
      <c r="N171" s="420" t="n"/>
    </row>
    <row r="172" ht="18" customHeight="1" s="468">
      <c r="N172" s="420" t="n"/>
    </row>
    <row r="173" ht="18" customHeight="1" s="468">
      <c r="N173" s="420" t="n"/>
    </row>
    <row r="174" ht="18" customHeight="1" s="468">
      <c r="N174" s="420" t="n"/>
    </row>
    <row r="175" ht="18" customHeight="1" s="468">
      <c r="N175" s="420" t="n"/>
    </row>
    <row r="176" ht="18" customHeight="1" s="468">
      <c r="N176" s="420" t="n"/>
    </row>
    <row r="177" ht="18" customHeight="1" s="468">
      <c r="N177" s="420" t="n"/>
    </row>
    <row r="178" ht="18" customHeight="1" s="468">
      <c r="N178" s="420" t="n"/>
    </row>
    <row r="179" ht="18" customHeight="1" s="468">
      <c r="N179" s="420" t="n"/>
    </row>
    <row r="180" ht="18" customHeight="1" s="468">
      <c r="N180" s="420" t="n"/>
    </row>
    <row r="181" ht="18" customHeight="1" s="468">
      <c r="N181" s="420" t="n"/>
    </row>
    <row r="182" ht="18" customHeight="1" s="468">
      <c r="N182" s="420" t="n"/>
    </row>
    <row r="183" ht="18" customHeight="1" s="468">
      <c r="N183" s="420" t="n"/>
    </row>
    <row r="184" ht="18" customHeight="1" s="468">
      <c r="N184" s="420" t="n"/>
    </row>
    <row r="185" ht="18" customHeight="1" s="468">
      <c r="N185" s="420" t="n"/>
    </row>
    <row r="186" ht="18" customHeight="1" s="468">
      <c r="N186" s="420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5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5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5" customHeight="1" s="468">
      <c r="N295" s="420" t="n"/>
    </row>
    <row r="296" ht="15" customHeight="1" s="468">
      <c r="N296" s="420" t="n"/>
    </row>
    <row r="297" ht="15" customHeight="1" s="468">
      <c r="N297" s="420" t="n"/>
    </row>
    <row r="298" ht="15" customHeight="1" s="468">
      <c r="N298" s="420" t="n"/>
    </row>
    <row r="299" ht="15" customHeight="1" s="468">
      <c r="N299" s="420" t="n"/>
    </row>
    <row r="300" ht="15" customHeight="1" s="468">
      <c r="N300" s="420" t="n"/>
    </row>
  </sheetData>
  <mergeCells count="555">
    <mergeCell ref="K49:L73"/>
    <mergeCell ref="C15:D15"/>
    <mergeCell ref="G4:J4"/>
    <mergeCell ref="E71:F71"/>
    <mergeCell ref="E142:F142"/>
    <mergeCell ref="C107:D107"/>
    <mergeCell ref="G135:J135"/>
    <mergeCell ref="C79:D79"/>
    <mergeCell ref="E8:F8"/>
    <mergeCell ref="E79:F79"/>
    <mergeCell ref="C73:D73"/>
    <mergeCell ref="E73:F73"/>
    <mergeCell ref="C121:D121"/>
    <mergeCell ref="E137:F137"/>
    <mergeCell ref="C148:D148"/>
    <mergeCell ref="E148:F148"/>
    <mergeCell ref="E166:F166"/>
    <mergeCell ref="G82:J82"/>
    <mergeCell ref="G57:J57"/>
    <mergeCell ref="G128:J128"/>
    <mergeCell ref="E168:F168"/>
    <mergeCell ref="G146:J146"/>
    <mergeCell ref="G121:J121"/>
    <mergeCell ref="C28:D28"/>
    <mergeCell ref="E53:F53"/>
    <mergeCell ref="C3:D3"/>
    <mergeCell ref="G58:J58"/>
    <mergeCell ref="E3:F3"/>
    <mergeCell ref="G123:J123"/>
    <mergeCell ref="C92:D92"/>
    <mergeCell ref="C30:D30"/>
    <mergeCell ref="G110:J110"/>
    <mergeCell ref="E55:F55"/>
    <mergeCell ref="E117:F117"/>
    <mergeCell ref="C5:D5"/>
    <mergeCell ref="E67:F67"/>
    <mergeCell ref="E5:F5"/>
    <mergeCell ref="C97:D97"/>
    <mergeCell ref="E48:F48"/>
    <mergeCell ref="G75:J75"/>
    <mergeCell ref="E161:F161"/>
    <mergeCell ref="G12:J12"/>
    <mergeCell ref="K41:L41"/>
    <mergeCell ref="K106:L106"/>
    <mergeCell ref="G70:J70"/>
    <mergeCell ref="K43:L43"/>
    <mergeCell ref="C123:D123"/>
    <mergeCell ref="G7:J7"/>
    <mergeCell ref="C110:D110"/>
    <mergeCell ref="E110:F110"/>
    <mergeCell ref="K152:L155"/>
    <mergeCell ref="E16:F16"/>
    <mergeCell ref="E76:F76"/>
    <mergeCell ref="C18:D18"/>
    <mergeCell ref="E18:F18"/>
    <mergeCell ref="G65:J65"/>
    <mergeCell ref="C34:D34"/>
    <mergeCell ref="G154:J154"/>
    <mergeCell ref="G129:J129"/>
    <mergeCell ref="G25:J25"/>
    <mergeCell ref="B49:B73"/>
    <mergeCell ref="E92:F92"/>
    <mergeCell ref="C128:D128"/>
    <mergeCell ref="C113:D113"/>
    <mergeCell ref="G60:J60"/>
    <mergeCell ref="G131:J131"/>
    <mergeCell ref="C29:D29"/>
    <mergeCell ref="C100:D100"/>
    <mergeCell ref="E29:F29"/>
    <mergeCell ref="C94:D94"/>
    <mergeCell ref="C65:D65"/>
    <mergeCell ref="E94:F94"/>
    <mergeCell ref="K44:L44"/>
    <mergeCell ref="C44:D44"/>
    <mergeCell ref="E69:F69"/>
    <mergeCell ref="C142:D142"/>
    <mergeCell ref="C31:D31"/>
    <mergeCell ref="C80:D80"/>
    <mergeCell ref="E31:F31"/>
    <mergeCell ref="C129:D129"/>
    <mergeCell ref="E158:F158"/>
    <mergeCell ref="E6:F6"/>
    <mergeCell ref="E77:F77"/>
    <mergeCell ref="E133:F133"/>
    <mergeCell ref="E108:F108"/>
    <mergeCell ref="G126:J126"/>
    <mergeCell ref="C95:D95"/>
    <mergeCell ref="E95:F95"/>
    <mergeCell ref="E89:F89"/>
    <mergeCell ref="E162:F162"/>
    <mergeCell ref="G13:J13"/>
    <mergeCell ref="G78:J78"/>
    <mergeCell ref="E72:F72"/>
    <mergeCell ref="E164:F164"/>
    <mergeCell ref="C131:D131"/>
    <mergeCell ref="G15:J15"/>
    <mergeCell ref="G142:J142"/>
    <mergeCell ref="G80:J80"/>
    <mergeCell ref="C49:D49"/>
    <mergeCell ref="C24:D24"/>
    <mergeCell ref="G79:J79"/>
    <mergeCell ref="E24:F24"/>
    <mergeCell ref="G73:J73"/>
    <mergeCell ref="G144:J144"/>
    <mergeCell ref="C42:D42"/>
    <mergeCell ref="E42:F42"/>
    <mergeCell ref="C88:D88"/>
    <mergeCell ref="E17:F17"/>
    <mergeCell ref="C126:D126"/>
    <mergeCell ref="C26:D26"/>
    <mergeCell ref="E88:F88"/>
    <mergeCell ref="E126:F126"/>
    <mergeCell ref="E82:F82"/>
    <mergeCell ref="E19:F19"/>
    <mergeCell ref="C117:D117"/>
    <mergeCell ref="C55:D55"/>
    <mergeCell ref="G155:J155"/>
    <mergeCell ref="C115:D115"/>
    <mergeCell ref="G157:J157"/>
    <mergeCell ref="C52:D52"/>
    <mergeCell ref="K39:L39"/>
    <mergeCell ref="C150:D150"/>
    <mergeCell ref="C39:D39"/>
    <mergeCell ref="C144:D144"/>
    <mergeCell ref="G28:J28"/>
    <mergeCell ref="K74:L79"/>
    <mergeCell ref="G3:J3"/>
    <mergeCell ref="C81:D81"/>
    <mergeCell ref="C37:D37"/>
    <mergeCell ref="G92:J92"/>
    <mergeCell ref="E159:F159"/>
    <mergeCell ref="E37:F37"/>
    <mergeCell ref="G30:J30"/>
    <mergeCell ref="E97:F97"/>
    <mergeCell ref="G5:J5"/>
    <mergeCell ref="E109:F109"/>
    <mergeCell ref="E47:F47"/>
    <mergeCell ref="B156:B159"/>
    <mergeCell ref="K167:L167"/>
    <mergeCell ref="C145:D145"/>
    <mergeCell ref="E145:F145"/>
    <mergeCell ref="E139:F139"/>
    <mergeCell ref="E111:F111"/>
    <mergeCell ref="G150:J150"/>
    <mergeCell ref="C63:D63"/>
    <mergeCell ref="C134:D134"/>
    <mergeCell ref="E63:F63"/>
    <mergeCell ref="G81:J81"/>
    <mergeCell ref="C50:D50"/>
    <mergeCell ref="G145:J145"/>
    <mergeCell ref="C163:D163"/>
    <mergeCell ref="C138:D138"/>
    <mergeCell ref="C76:D76"/>
    <mergeCell ref="G160:J160"/>
    <mergeCell ref="C27:D27"/>
    <mergeCell ref="E27:F27"/>
    <mergeCell ref="C119:D119"/>
    <mergeCell ref="G147:J147"/>
    <mergeCell ref="E119:F119"/>
    <mergeCell ref="E116:F116"/>
    <mergeCell ref="E91:F91"/>
    <mergeCell ref="G18:J18"/>
    <mergeCell ref="E85:F85"/>
    <mergeCell ref="C158:D158"/>
    <mergeCell ref="G34:J34"/>
    <mergeCell ref="E22:F22"/>
    <mergeCell ref="E93:F93"/>
    <mergeCell ref="G163:J163"/>
    <mergeCell ref="E122:F122"/>
    <mergeCell ref="G113:J113"/>
    <mergeCell ref="G29:J29"/>
    <mergeCell ref="C45:D45"/>
    <mergeCell ref="G100:J100"/>
    <mergeCell ref="G94:J94"/>
    <mergeCell ref="G165:J165"/>
    <mergeCell ref="G44:J44"/>
    <mergeCell ref="C109:D109"/>
    <mergeCell ref="E38:F38"/>
    <mergeCell ref="G31:J31"/>
    <mergeCell ref="E147:F147"/>
    <mergeCell ref="G102:J102"/>
    <mergeCell ref="G158:J158"/>
    <mergeCell ref="C47:D47"/>
    <mergeCell ref="C147:D147"/>
    <mergeCell ref="G77:J77"/>
    <mergeCell ref="C40:D40"/>
    <mergeCell ref="E40:F40"/>
    <mergeCell ref="E104:F104"/>
    <mergeCell ref="G97:J97"/>
    <mergeCell ref="C71:D71"/>
    <mergeCell ref="C8:D8"/>
    <mergeCell ref="C165:D165"/>
    <mergeCell ref="G49:J49"/>
    <mergeCell ref="C66:D66"/>
    <mergeCell ref="G24:J24"/>
    <mergeCell ref="E66:F66"/>
    <mergeCell ref="C53:D53"/>
    <mergeCell ref="C102:D102"/>
    <mergeCell ref="K3:L3"/>
    <mergeCell ref="C77:D77"/>
    <mergeCell ref="G88:J88"/>
    <mergeCell ref="C68:D68"/>
    <mergeCell ref="G26:J26"/>
    <mergeCell ref="E130:F130"/>
    <mergeCell ref="E68:F68"/>
    <mergeCell ref="C166:D166"/>
    <mergeCell ref="C160:D160"/>
    <mergeCell ref="E160:F160"/>
    <mergeCell ref="K5:L5"/>
    <mergeCell ref="C141:D141"/>
    <mergeCell ref="E141:F141"/>
    <mergeCell ref="E135:F135"/>
    <mergeCell ref="G90:J90"/>
    <mergeCell ref="E132:F132"/>
    <mergeCell ref="E107:F107"/>
    <mergeCell ref="C143:D143"/>
    <mergeCell ref="E143:F143"/>
    <mergeCell ref="G115:J115"/>
    <mergeCell ref="C59:D59"/>
    <mergeCell ref="B9:B10"/>
    <mergeCell ref="E59:F59"/>
    <mergeCell ref="C46:D46"/>
    <mergeCell ref="C21:D21"/>
    <mergeCell ref="E46:F46"/>
    <mergeCell ref="K8:L8"/>
    <mergeCell ref="G39:J39"/>
    <mergeCell ref="G166:J166"/>
    <mergeCell ref="C61:D61"/>
    <mergeCell ref="G116:J116"/>
    <mergeCell ref="E61:F61"/>
    <mergeCell ref="C48:D48"/>
    <mergeCell ref="C23:D23"/>
    <mergeCell ref="G103:J103"/>
    <mergeCell ref="G37:J37"/>
    <mergeCell ref="K136:L140"/>
    <mergeCell ref="K160:L160"/>
    <mergeCell ref="C125:D125"/>
    <mergeCell ref="E54:F54"/>
    <mergeCell ref="B74:B79"/>
    <mergeCell ref="E125:F125"/>
    <mergeCell ref="G118:J118"/>
    <mergeCell ref="C161:D161"/>
    <mergeCell ref="B141:B142"/>
    <mergeCell ref="E41:F41"/>
    <mergeCell ref="E112:F112"/>
    <mergeCell ref="G167:J167"/>
    <mergeCell ref="E56:F56"/>
    <mergeCell ref="C154:D154"/>
    <mergeCell ref="E43:F43"/>
    <mergeCell ref="C156:D156"/>
    <mergeCell ref="C74:D74"/>
    <mergeCell ref="G63:J63"/>
    <mergeCell ref="K36:L36"/>
    <mergeCell ref="G134:J134"/>
    <mergeCell ref="K163:L163"/>
    <mergeCell ref="G50:J50"/>
    <mergeCell ref="C16:D16"/>
    <mergeCell ref="K11:L35"/>
    <mergeCell ref="C103:D103"/>
    <mergeCell ref="E138:F138"/>
    <mergeCell ref="K165:L165"/>
    <mergeCell ref="C168:D168"/>
    <mergeCell ref="G52:J52"/>
    <mergeCell ref="C9:D9"/>
    <mergeCell ref="C118:D118"/>
    <mergeCell ref="G27:J27"/>
    <mergeCell ref="E9:F9"/>
    <mergeCell ref="G98:J98"/>
    <mergeCell ref="C167:D167"/>
    <mergeCell ref="E167:F167"/>
    <mergeCell ref="C11:D11"/>
    <mergeCell ref="E11:F11"/>
    <mergeCell ref="B11:B35"/>
    <mergeCell ref="G93:J93"/>
    <mergeCell ref="K80:L105"/>
    <mergeCell ref="G124:J124"/>
    <mergeCell ref="C96:D96"/>
    <mergeCell ref="C87:D87"/>
    <mergeCell ref="G45:J45"/>
    <mergeCell ref="C6:D6"/>
    <mergeCell ref="C62:D62"/>
    <mergeCell ref="E62:F62"/>
    <mergeCell ref="G55:J55"/>
    <mergeCell ref="C98:D98"/>
    <mergeCell ref="G109:J109"/>
    <mergeCell ref="C89:D89"/>
    <mergeCell ref="G47:J47"/>
    <mergeCell ref="C116:D116"/>
    <mergeCell ref="C64:D64"/>
    <mergeCell ref="G119:J119"/>
    <mergeCell ref="E64:F64"/>
    <mergeCell ref="C162:D162"/>
    <mergeCell ref="G46:J46"/>
    <mergeCell ref="G40:J40"/>
    <mergeCell ref="E51:F51"/>
    <mergeCell ref="G111:J111"/>
    <mergeCell ref="E156:F156"/>
    <mergeCell ref="E153:F153"/>
    <mergeCell ref="E128:F128"/>
    <mergeCell ref="C93:D93"/>
    <mergeCell ref="E155:F155"/>
    <mergeCell ref="C164:D164"/>
    <mergeCell ref="G71:J71"/>
    <mergeCell ref="E65:F65"/>
    <mergeCell ref="E157:F157"/>
    <mergeCell ref="G8:J8"/>
    <mergeCell ref="K42:L42"/>
    <mergeCell ref="C17:D17"/>
    <mergeCell ref="G10:J10"/>
    <mergeCell ref="G66:J66"/>
    <mergeCell ref="G137:J137"/>
    <mergeCell ref="K166:L166"/>
    <mergeCell ref="G53:J53"/>
    <mergeCell ref="C19:D19"/>
    <mergeCell ref="G74:J74"/>
    <mergeCell ref="E75:F75"/>
    <mergeCell ref="G68:J68"/>
    <mergeCell ref="K37:L37"/>
    <mergeCell ref="C111:D111"/>
    <mergeCell ref="B136:B140"/>
    <mergeCell ref="K168:L168"/>
    <mergeCell ref="E146:F146"/>
    <mergeCell ref="G139:J139"/>
    <mergeCell ref="G114:J114"/>
    <mergeCell ref="K143:L143"/>
    <mergeCell ref="C83:D83"/>
    <mergeCell ref="E12:F12"/>
    <mergeCell ref="G168:J168"/>
    <mergeCell ref="C14:D14"/>
    <mergeCell ref="G143:J143"/>
    <mergeCell ref="E14:F14"/>
    <mergeCell ref="K134:L134"/>
    <mergeCell ref="C137:D137"/>
    <mergeCell ref="G21:J21"/>
    <mergeCell ref="C124:D124"/>
    <mergeCell ref="G67:J67"/>
    <mergeCell ref="G61:J61"/>
    <mergeCell ref="C90:D90"/>
    <mergeCell ref="G48:J48"/>
    <mergeCell ref="G23:J23"/>
    <mergeCell ref="E90:F90"/>
    <mergeCell ref="C139:D139"/>
    <mergeCell ref="G125:J125"/>
    <mergeCell ref="C132:D132"/>
    <mergeCell ref="G112:J112"/>
    <mergeCell ref="E154:F154"/>
    <mergeCell ref="G62:J62"/>
    <mergeCell ref="G127:J127"/>
    <mergeCell ref="E25:F25"/>
    <mergeCell ref="E58:F58"/>
    <mergeCell ref="C108:D108"/>
    <mergeCell ref="G16:J16"/>
    <mergeCell ref="E83:F83"/>
    <mergeCell ref="K45:L45"/>
    <mergeCell ref="G76:J76"/>
    <mergeCell ref="G138:J138"/>
    <mergeCell ref="C20:D20"/>
    <mergeCell ref="E20:F20"/>
    <mergeCell ref="G9:J9"/>
    <mergeCell ref="C85:D85"/>
    <mergeCell ref="C112:D112"/>
    <mergeCell ref="G140:J140"/>
    <mergeCell ref="K47:L47"/>
    <mergeCell ref="C133:D133"/>
    <mergeCell ref="C84:D84"/>
    <mergeCell ref="E13:F13"/>
    <mergeCell ref="C127:D127"/>
    <mergeCell ref="E84:F84"/>
    <mergeCell ref="K46:L46"/>
    <mergeCell ref="G11:J11"/>
    <mergeCell ref="K40:L40"/>
    <mergeCell ref="C22:D22"/>
    <mergeCell ref="E78:F78"/>
    <mergeCell ref="C114:D114"/>
    <mergeCell ref="E149:F149"/>
    <mergeCell ref="E114:F114"/>
    <mergeCell ref="K156:L159"/>
    <mergeCell ref="E15:F15"/>
    <mergeCell ref="E86:F86"/>
    <mergeCell ref="C51:D51"/>
    <mergeCell ref="E80:F80"/>
    <mergeCell ref="E144:F144"/>
    <mergeCell ref="C38:D38"/>
    <mergeCell ref="G87:J87"/>
    <mergeCell ref="E81:F81"/>
    <mergeCell ref="B80:B105"/>
    <mergeCell ref="K162:L162"/>
    <mergeCell ref="C140:D140"/>
    <mergeCell ref="G95:J95"/>
    <mergeCell ref="G89:J89"/>
    <mergeCell ref="G64:J64"/>
    <mergeCell ref="E106:F106"/>
    <mergeCell ref="C33:D33"/>
    <mergeCell ref="K164:L164"/>
    <mergeCell ref="C104:D104"/>
    <mergeCell ref="E33:F33"/>
    <mergeCell ref="G51:J51"/>
    <mergeCell ref="G153:J153"/>
    <mergeCell ref="B152:B155"/>
    <mergeCell ref="C35:D35"/>
    <mergeCell ref="G164:J164"/>
    <mergeCell ref="E35:F35"/>
    <mergeCell ref="C10:D10"/>
    <mergeCell ref="E10:F10"/>
    <mergeCell ref="C99:D99"/>
    <mergeCell ref="E28:F28"/>
    <mergeCell ref="E74:F74"/>
    <mergeCell ref="G42:J42"/>
    <mergeCell ref="E30:F30"/>
    <mergeCell ref="G17:J17"/>
    <mergeCell ref="C130:D130"/>
    <mergeCell ref="C135:D135"/>
    <mergeCell ref="K132:L132"/>
    <mergeCell ref="G141:J141"/>
    <mergeCell ref="G19:J19"/>
    <mergeCell ref="K48:L48"/>
    <mergeCell ref="C159:D159"/>
    <mergeCell ref="C122:D122"/>
    <mergeCell ref="G6:J6"/>
    <mergeCell ref="C153:D153"/>
    <mergeCell ref="C72:D72"/>
    <mergeCell ref="G83:J83"/>
    <mergeCell ref="C136:D136"/>
    <mergeCell ref="E21:F21"/>
    <mergeCell ref="G14:J14"/>
    <mergeCell ref="B144:B151"/>
    <mergeCell ref="E129:F129"/>
    <mergeCell ref="E23:F23"/>
    <mergeCell ref="G32:J32"/>
    <mergeCell ref="G159:J159"/>
    <mergeCell ref="E131:F131"/>
    <mergeCell ref="E87:F87"/>
    <mergeCell ref="C54:D54"/>
    <mergeCell ref="G72:J72"/>
    <mergeCell ref="C41:D41"/>
    <mergeCell ref="C146:D146"/>
    <mergeCell ref="G96:J96"/>
    <mergeCell ref="G161:J161"/>
    <mergeCell ref="C56:D56"/>
    <mergeCell ref="G136:J136"/>
    <mergeCell ref="C105:D105"/>
    <mergeCell ref="E34:F34"/>
    <mergeCell ref="C43:D43"/>
    <mergeCell ref="E105:F105"/>
    <mergeCell ref="E99:F99"/>
    <mergeCell ref="C120:D120"/>
    <mergeCell ref="E49:F49"/>
    <mergeCell ref="C36:D36"/>
    <mergeCell ref="E36:F36"/>
    <mergeCell ref="E163:F163"/>
    <mergeCell ref="G156:J156"/>
    <mergeCell ref="E101:F101"/>
    <mergeCell ref="B107:B131"/>
    <mergeCell ref="E113:F113"/>
    <mergeCell ref="C149:D149"/>
    <mergeCell ref="E100:F100"/>
    <mergeCell ref="C67:D67"/>
    <mergeCell ref="E136:F136"/>
    <mergeCell ref="E115:F115"/>
    <mergeCell ref="G108:J108"/>
    <mergeCell ref="E102:F102"/>
    <mergeCell ref="C69:D69"/>
    <mergeCell ref="K133:L133"/>
    <mergeCell ref="G20:J20"/>
    <mergeCell ref="G91:J91"/>
    <mergeCell ref="G85:J85"/>
    <mergeCell ref="E127:F127"/>
    <mergeCell ref="C4:D4"/>
    <mergeCell ref="G84:J84"/>
    <mergeCell ref="K135:L135"/>
    <mergeCell ref="E4:F4"/>
    <mergeCell ref="G22:J22"/>
    <mergeCell ref="G149:J149"/>
    <mergeCell ref="G86:J86"/>
    <mergeCell ref="G151:J151"/>
    <mergeCell ref="C60:D60"/>
    <mergeCell ref="G38:J38"/>
    <mergeCell ref="E26:F26"/>
    <mergeCell ref="E124:F124"/>
    <mergeCell ref="C91:D91"/>
    <mergeCell ref="E120:F120"/>
    <mergeCell ref="C82:D82"/>
    <mergeCell ref="G162:J162"/>
    <mergeCell ref="C57:D57"/>
    <mergeCell ref="C155:D155"/>
    <mergeCell ref="G148:J148"/>
    <mergeCell ref="G33:J33"/>
    <mergeCell ref="K6:L6"/>
    <mergeCell ref="G104:J104"/>
    <mergeCell ref="E50:F50"/>
    <mergeCell ref="E121:F121"/>
    <mergeCell ref="C86:D86"/>
    <mergeCell ref="C157:D157"/>
    <mergeCell ref="K144:L151"/>
    <mergeCell ref="C151:D151"/>
    <mergeCell ref="G35:J35"/>
    <mergeCell ref="E151:F151"/>
    <mergeCell ref="C58:D58"/>
    <mergeCell ref="E52:F52"/>
    <mergeCell ref="E123:F123"/>
    <mergeCell ref="E150:F150"/>
    <mergeCell ref="E39:F39"/>
    <mergeCell ref="K141:L142"/>
    <mergeCell ref="G99:J99"/>
    <mergeCell ref="E44:F44"/>
    <mergeCell ref="C152:D152"/>
    <mergeCell ref="E103:F103"/>
    <mergeCell ref="E152:F152"/>
    <mergeCell ref="G59:J59"/>
    <mergeCell ref="C75:D75"/>
    <mergeCell ref="G130:J130"/>
    <mergeCell ref="E118:F118"/>
    <mergeCell ref="G117:J117"/>
    <mergeCell ref="B1:N2"/>
    <mergeCell ref="C12:D12"/>
    <mergeCell ref="G132:J132"/>
    <mergeCell ref="K161:L161"/>
    <mergeCell ref="G122:J122"/>
    <mergeCell ref="G101:J101"/>
    <mergeCell ref="C70:D70"/>
    <mergeCell ref="E70:F70"/>
    <mergeCell ref="C106:D106"/>
    <mergeCell ref="K107:L131"/>
    <mergeCell ref="E57:F57"/>
    <mergeCell ref="K7:L7"/>
    <mergeCell ref="C32:D32"/>
    <mergeCell ref="C7:D7"/>
    <mergeCell ref="E32:F32"/>
    <mergeCell ref="E7:F7"/>
    <mergeCell ref="E134:F134"/>
    <mergeCell ref="G152:J152"/>
    <mergeCell ref="E96:F96"/>
    <mergeCell ref="C101:D101"/>
    <mergeCell ref="E98:F98"/>
    <mergeCell ref="G54:J54"/>
    <mergeCell ref="E165:F165"/>
    <mergeCell ref="G41:J41"/>
    <mergeCell ref="E140:F140"/>
    <mergeCell ref="G106:J106"/>
    <mergeCell ref="G56:J56"/>
    <mergeCell ref="C25:D25"/>
    <mergeCell ref="G105:J105"/>
    <mergeCell ref="G43:J43"/>
    <mergeCell ref="E60:F60"/>
    <mergeCell ref="G120:J120"/>
    <mergeCell ref="G36:J36"/>
    <mergeCell ref="G107:J107"/>
    <mergeCell ref="K9:L10"/>
    <mergeCell ref="E45:F45"/>
    <mergeCell ref="K38:L38"/>
    <mergeCell ref="G69:J69"/>
    <mergeCell ref="C13:D13"/>
    <mergeCell ref="K4:L4"/>
    <mergeCell ref="C78:D78"/>
    <mergeCell ref="G133:J13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2F3A4A"/>
    <outlinePr summaryBelow="1" summaryRight="1"/>
    <pageSetUpPr/>
  </sheetPr>
  <dimension ref="A1:Q199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25" customHeight="1"/>
  <cols>
    <col width="16" customWidth="1" style="522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6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  <col hidden="1" width="45" customWidth="1" style="468" min="14" max="14"/>
    <col hidden="1" width="13" customWidth="1" style="468" min="15" max="15"/>
    <col width="13" customWidth="1" style="468" min="16" max="17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4.25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  <c r="N2" s="212" t="inlineStr">
        <is>
          <t>Pallet PBR: 600ml=95 | 400ml=125 | 200ml=330 | 180ml=240 cx</t>
        </is>
      </c>
      <c r="P2" s="29" t="n"/>
    </row>
    <row r="3" ht="15" customHeight="1" s="468">
      <c r="A3" s="631" t="n">
        <v>46083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  <c r="N3" s="36" t="n"/>
    </row>
    <row r="4" ht="21" customHeight="1" s="468">
      <c r="A4" s="685" t="n"/>
      <c r="B4" s="218" t="inlineStr">
        <is>
          <t>UNTA FACIL</t>
        </is>
      </c>
      <c r="C4" s="219" t="n">
        <v>600</v>
      </c>
      <c r="D4" s="220">
        <f>'SEMANA FEVEREIRO'!D160-'SEMANA FEVEREIRO'!L160</f>
        <v/>
      </c>
      <c r="E4" s="221" t="inlineStr">
        <is>
          <t>CX</t>
        </is>
      </c>
      <c r="F4" s="68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20">
        <f>IFERROR(ROUNDUP(D4/F4,0),"")</f>
        <v/>
      </c>
      <c r="H4" s="224" t="n">
        <v>802</v>
      </c>
      <c r="I4" s="220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40" t="n"/>
      <c r="K4" s="552" t="n"/>
      <c r="L4" s="43" t="n"/>
      <c r="M4" s="552" t="n"/>
      <c r="N4" s="44" t="n"/>
    </row>
    <row r="5" ht="21" customHeight="1" s="468">
      <c r="A5" s="685" t="n"/>
      <c r="B5" s="218" t="inlineStr">
        <is>
          <t>DESTAK</t>
        </is>
      </c>
      <c r="C5" s="219" t="n">
        <v>600</v>
      </c>
      <c r="D5" s="220" t="n">
        <v>1330</v>
      </c>
      <c r="E5" s="221" t="inlineStr">
        <is>
          <t>CX</t>
        </is>
      </c>
      <c r="F5" s="68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20">
        <f>IFERROR(ROUNDUP(D5/F5,0),"")</f>
        <v/>
      </c>
      <c r="H5" s="224" t="n">
        <v>197</v>
      </c>
      <c r="I5" s="22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636" t="n"/>
      <c r="K5" s="552" t="n"/>
      <c r="L5" s="55" t="n"/>
      <c r="M5" s="637" t="n"/>
      <c r="N5" s="57" t="n"/>
    </row>
    <row r="6" ht="21" customHeight="1" s="468">
      <c r="A6" s="685" t="n"/>
      <c r="B6" s="218" t="n"/>
      <c r="C6" s="219" t="n"/>
      <c r="D6" s="220" t="n"/>
      <c r="E6" s="221" t="inlineStr">
        <is>
          <t>CX</t>
        </is>
      </c>
      <c r="F6" s="68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20">
        <f>IFERROR(ROUNDUP(D6/F6,0),"")</f>
        <v/>
      </c>
      <c r="H6" s="224" t="n"/>
      <c r="I6" s="220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40" t="n"/>
      <c r="K6" s="552" t="n"/>
      <c r="L6" s="43" t="n"/>
      <c r="M6" s="637" t="n"/>
      <c r="N6" s="44" t="n"/>
    </row>
    <row r="7" ht="21" customHeight="1" s="468">
      <c r="A7" s="685" t="n"/>
      <c r="B7" s="218" t="n"/>
      <c r="C7" s="219" t="n"/>
      <c r="D7" s="220" t="n"/>
      <c r="E7" s="221" t="inlineStr">
        <is>
          <t>CX</t>
        </is>
      </c>
      <c r="F7" s="68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20">
        <f>IFERROR(ROUNDUP(D7/F7,0),"")</f>
        <v/>
      </c>
      <c r="H7" s="224" t="n"/>
      <c r="I7" s="220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636" t="n"/>
      <c r="K7" s="552" t="n"/>
      <c r="L7" s="55" t="n"/>
      <c r="M7" s="552" t="n"/>
      <c r="N7" s="57" t="n"/>
    </row>
    <row r="8" ht="21" customHeight="1" s="468">
      <c r="A8" s="685" t="n"/>
      <c r="B8" s="218" t="n"/>
      <c r="C8" s="219" t="n"/>
      <c r="D8" s="220" t="n"/>
      <c r="E8" s="221" t="inlineStr">
        <is>
          <t>CX</t>
        </is>
      </c>
      <c r="F8" s="68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20">
        <f>IFERROR(ROUNDUP(D8/F8,0),"")</f>
        <v/>
      </c>
      <c r="H8" s="224" t="n"/>
      <c r="I8" s="220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40" t="n"/>
      <c r="K8" s="552" t="n"/>
      <c r="L8" s="43" t="n"/>
      <c r="M8" s="552" t="n"/>
      <c r="N8" s="44" t="n"/>
    </row>
    <row r="9" ht="21" customHeight="1" s="468">
      <c r="A9" s="685" t="n"/>
      <c r="B9" s="218" t="n"/>
      <c r="C9" s="219" t="n"/>
      <c r="D9" s="220" t="n"/>
      <c r="E9" s="221" t="inlineStr">
        <is>
          <t>CX</t>
        </is>
      </c>
      <c r="F9" s="686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220">
        <f>IFERROR(ROUNDUP(D9/F9,0),"")</f>
        <v/>
      </c>
      <c r="H9" s="224" t="n"/>
      <c r="I9" s="220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  <c r="J9" s="654" t="n"/>
      <c r="K9" s="655" t="n"/>
      <c r="L9" s="68" t="n"/>
      <c r="M9" s="655" t="n"/>
      <c r="N9" s="69" t="n"/>
    </row>
    <row r="10" ht="15" customHeight="1" s="468">
      <c r="A10" s="658" t="n"/>
      <c r="B10" s="640" t="inlineStr">
        <is>
          <t>TOTAL</t>
        </is>
      </c>
      <c r="C10" s="667" t="n"/>
      <c r="D10" s="642">
        <f>IF(J10="","",TEXT(J10,"#,##0"))</f>
        <v/>
      </c>
      <c r="E10" s="668" t="n"/>
      <c r="F10" s="644" t="n"/>
      <c r="G10" s="642">
        <f>IF(K10="","",TEXT(K10,"#,##0"))</f>
        <v/>
      </c>
      <c r="H10" s="642">
        <f>IF(L10="","",TEXT(L10,"#,##0"))</f>
        <v/>
      </c>
      <c r="I10" s="642">
        <f>IF(M10="","",TEXT(M10,"#,##0"))</f>
        <v/>
      </c>
      <c r="J10" s="644">
        <f>SUM(D4:D9)</f>
        <v/>
      </c>
      <c r="K10" s="644">
        <f>SUM(G4:G9)</f>
        <v/>
      </c>
      <c r="L10" s="644">
        <f>SUM(H4:H9)</f>
        <v/>
      </c>
      <c r="M10" s="644">
        <f>SUM(I4:I9)</f>
        <v/>
      </c>
    </row>
    <row r="11" ht="6" customHeight="1" s="468">
      <c r="A11" s="638" t="n"/>
      <c r="C11" s="71" t="n"/>
      <c r="D11" s="552" t="n"/>
      <c r="F11" s="552" t="n"/>
      <c r="G11" s="552" t="n"/>
      <c r="H11" s="552" t="n"/>
      <c r="I11" s="552" t="n"/>
      <c r="J11" s="650" t="n"/>
      <c r="K11" s="650" t="n"/>
      <c r="L11" s="651" t="n"/>
      <c r="M11" s="650" t="n"/>
      <c r="N11" s="36" t="n"/>
    </row>
    <row r="12" ht="15" customHeight="1" s="468">
      <c r="A12" s="646" t="n">
        <v>46084</v>
      </c>
      <c r="B12" s="213" t="inlineStr">
        <is>
          <t>PRODUTO</t>
        </is>
      </c>
      <c r="C12" s="214" t="inlineStr">
        <is>
          <t>EMBALAGEM</t>
        </is>
      </c>
      <c r="D12" s="244" t="inlineStr">
        <is>
          <t>CAIXAS</t>
        </is>
      </c>
      <c r="E12" s="215" t="inlineStr">
        <is>
          <t>UN</t>
        </is>
      </c>
      <c r="F12" s="687" t="inlineStr">
        <is>
          <t>CX/PALLET</t>
        </is>
      </c>
      <c r="G12" s="244" t="inlineStr">
        <is>
          <t>PALLETS (PBR)</t>
        </is>
      </c>
      <c r="H12" s="244" t="inlineStr">
        <is>
          <t>REAL (CX)</t>
        </is>
      </c>
      <c r="I12" s="244" t="inlineStr">
        <is>
          <t>TOTAL LATAS</t>
        </is>
      </c>
      <c r="J12" s="40" t="n"/>
      <c r="K12" s="552" t="n"/>
      <c r="L12" s="43" t="n"/>
      <c r="M12" s="552" t="n"/>
      <c r="N12" s="44" t="n"/>
    </row>
    <row r="13" ht="21" customHeight="1" s="468">
      <c r="A13" s="685" t="n"/>
      <c r="B13" s="218" t="inlineStr">
        <is>
          <t>DESTAK</t>
        </is>
      </c>
      <c r="C13" s="219" t="n">
        <v>600</v>
      </c>
      <c r="D13" s="220">
        <f>D6-J6</f>
        <v/>
      </c>
      <c r="E13" s="221" t="inlineStr">
        <is>
          <t>CX</t>
        </is>
      </c>
      <c r="F13" s="68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20">
        <f>IFERROR(ROUNDUP(D13/F13,0),"")</f>
        <v/>
      </c>
      <c r="H13" s="224" t="n">
        <v>1133</v>
      </c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636" t="n"/>
      <c r="K13" s="552" t="n"/>
      <c r="L13" s="55" t="n"/>
      <c r="M13" s="637" t="n"/>
      <c r="N13" s="539" t="inlineStr">
        <is>
          <t>PARAMOS 11:35 PRO FALTA DE GAS. VOLTAMOS ERAM 15:30.</t>
        </is>
      </c>
      <c r="Q13" s="514" t="n"/>
    </row>
    <row r="14" ht="21" customHeight="1" s="468">
      <c r="A14" s="685" t="n"/>
      <c r="B14" s="218" t="inlineStr">
        <is>
          <t>ADIMIX</t>
        </is>
      </c>
      <c r="C14" s="219" t="n">
        <v>600</v>
      </c>
      <c r="D14" s="220" t="n">
        <v>665</v>
      </c>
      <c r="E14" s="221" t="inlineStr">
        <is>
          <t>CX</t>
        </is>
      </c>
      <c r="F14" s="68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20">
        <f>IFERROR(ROUNDUP(D14/F14,0),"")</f>
        <v/>
      </c>
      <c r="H14" s="224" t="n">
        <v>196</v>
      </c>
      <c r="I14" s="220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40" t="n"/>
      <c r="K14" s="552" t="n"/>
      <c r="L14" s="43" t="n"/>
      <c r="M14" s="637" t="n"/>
      <c r="Q14" s="514" t="n"/>
    </row>
    <row r="15" ht="21" customHeight="1" s="468">
      <c r="A15" s="685" t="n"/>
      <c r="B15" s="218" t="n"/>
      <c r="C15" s="219" t="n"/>
      <c r="D15" s="220" t="n"/>
      <c r="E15" s="221" t="inlineStr">
        <is>
          <t>CX</t>
        </is>
      </c>
      <c r="F15" s="686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20">
        <f>IFERROR(ROUNDUP(D15/F15,0),"")</f>
        <v/>
      </c>
      <c r="H15" s="224" t="n"/>
      <c r="I15" s="220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636" t="n"/>
      <c r="K15" s="552" t="n"/>
      <c r="L15" s="55" t="n"/>
      <c r="M15" s="552" t="n"/>
      <c r="Q15" s="514" t="n"/>
    </row>
    <row r="16" ht="21" customHeight="1" s="468">
      <c r="A16" s="685" t="n"/>
      <c r="B16" s="218" t="n"/>
      <c r="C16" s="219" t="n"/>
      <c r="D16" s="220" t="n"/>
      <c r="E16" s="221" t="inlineStr">
        <is>
          <t>CX</t>
        </is>
      </c>
      <c r="F16" s="686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20">
        <f>IFERROR(ROUNDUP(D16/F16,0),"")</f>
        <v/>
      </c>
      <c r="H16" s="224" t="n"/>
      <c r="I16" s="220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40" t="n"/>
      <c r="K16" s="552" t="n"/>
      <c r="L16" s="43" t="n"/>
      <c r="M16" s="552" t="n"/>
      <c r="Q16" s="514" t="n"/>
    </row>
    <row r="17" ht="21" customHeight="1" s="468">
      <c r="A17" s="685" t="n"/>
      <c r="B17" s="218" t="n"/>
      <c r="C17" s="219" t="n"/>
      <c r="D17" s="220" t="n"/>
      <c r="E17" s="221" t="inlineStr">
        <is>
          <t>CX</t>
        </is>
      </c>
      <c r="F17" s="686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220">
        <f>IFERROR(ROUNDUP(D17/F17,0),"")</f>
        <v/>
      </c>
      <c r="H17" s="224" t="n"/>
      <c r="I17" s="220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  <c r="J17" s="654" t="n"/>
      <c r="K17" s="655" t="n"/>
      <c r="L17" s="68" t="n"/>
      <c r="M17" s="655" t="n"/>
      <c r="N17" s="69" t="n"/>
    </row>
    <row r="18" ht="21" customHeight="1" s="468">
      <c r="A18" s="685" t="n"/>
      <c r="B18" s="218" t="n"/>
      <c r="C18" s="219" t="n"/>
      <c r="D18" s="220" t="n"/>
      <c r="E18" s="221" t="inlineStr">
        <is>
          <t>CX</t>
        </is>
      </c>
      <c r="F18" s="686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/>
      </c>
      <c r="G18" s="220">
        <f>IFERROR(ROUNDUP(D18/F18,0),"")</f>
        <v/>
      </c>
      <c r="H18" s="224" t="n"/>
      <c r="I18" s="220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/>
      </c>
      <c r="J18" s="552" t="n"/>
      <c r="K18" s="552" t="n"/>
      <c r="L18" s="552" t="n"/>
      <c r="M18" s="552" t="n"/>
    </row>
    <row r="19" ht="15" customHeight="1" s="468">
      <c r="A19" s="658" t="n"/>
      <c r="B19" s="640" t="inlineStr">
        <is>
          <t>TOTAL</t>
        </is>
      </c>
      <c r="C19" s="667" t="n"/>
      <c r="D19" s="642">
        <f>IF(J19="","",TEXT(J19,"#,##0"))</f>
        <v/>
      </c>
      <c r="E19" s="668" t="n"/>
      <c r="F19" s="644" t="n"/>
      <c r="G19" s="642">
        <f>IF(K19="","",TEXT(K19,"#,##0"))</f>
        <v/>
      </c>
      <c r="H19" s="642">
        <f>IF(L19="","",TEXT(L19,"#,##0"))</f>
        <v/>
      </c>
      <c r="I19" s="642">
        <f>IF(M19="","",TEXT(M19,"#,##0"))</f>
        <v/>
      </c>
      <c r="J19" s="644">
        <f>SUM(D13:D18)</f>
        <v/>
      </c>
      <c r="K19" s="644">
        <f>SUM(G13:G18)</f>
        <v/>
      </c>
      <c r="L19" s="642">
        <f>SUM(H13:H18)</f>
        <v/>
      </c>
      <c r="M19" s="644">
        <f>SUM(I13:I18)</f>
        <v/>
      </c>
      <c r="N19" s="36" t="n"/>
    </row>
    <row r="20" ht="6" customHeight="1" s="468">
      <c r="A20" s="638" t="n"/>
      <c r="C20" s="71" t="n"/>
      <c r="D20" s="552" t="n"/>
      <c r="F20" s="552" t="n"/>
      <c r="G20" s="552" t="n"/>
      <c r="H20" s="552" t="n"/>
      <c r="I20" s="552" t="n"/>
      <c r="J20" s="40" t="n"/>
      <c r="K20" s="552" t="n"/>
      <c r="L20" s="43" t="n"/>
      <c r="M20" s="552" t="n"/>
      <c r="N20" s="44" t="n"/>
      <c r="P20" s="516" t="n"/>
      <c r="Q20" s="462" t="n"/>
    </row>
    <row r="21" ht="15" customHeight="1" s="468">
      <c r="A21" s="646" t="n">
        <v>46085</v>
      </c>
      <c r="B21" s="213" t="inlineStr">
        <is>
          <t>PRODUTO</t>
        </is>
      </c>
      <c r="C21" s="214" t="inlineStr">
        <is>
          <t>EMBALAGEM</t>
        </is>
      </c>
      <c r="D21" s="244" t="inlineStr">
        <is>
          <t>CAIXAS</t>
        </is>
      </c>
      <c r="E21" s="215" t="inlineStr">
        <is>
          <t>UN</t>
        </is>
      </c>
      <c r="F21" s="687" t="inlineStr">
        <is>
          <t>CX/PALLET</t>
        </is>
      </c>
      <c r="G21" s="244" t="inlineStr">
        <is>
          <t>PALLETS (PBR)</t>
        </is>
      </c>
      <c r="H21" s="244" t="inlineStr">
        <is>
          <t>REAL (CX)</t>
        </is>
      </c>
      <c r="I21" s="244" t="inlineStr">
        <is>
          <t>TOTAL LATAS</t>
        </is>
      </c>
      <c r="J21" s="636" t="n"/>
      <c r="K21" s="552" t="n"/>
      <c r="L21" s="55" t="n"/>
      <c r="M21" s="637" t="n"/>
      <c r="N21" s="57" t="n"/>
      <c r="P21" s="523" t="n"/>
    </row>
    <row r="22" ht="21" customHeight="1" s="468">
      <c r="A22" s="685" t="n"/>
      <c r="B22" s="218" t="inlineStr">
        <is>
          <t>ADIMIX</t>
        </is>
      </c>
      <c r="C22" s="219" t="n">
        <v>600</v>
      </c>
      <c r="D22" s="220">
        <f>D15-J15</f>
        <v/>
      </c>
      <c r="E22" s="221" t="inlineStr">
        <is>
          <t>CX</t>
        </is>
      </c>
      <c r="F22" s="686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20">
        <f>IFERROR(ROUNDUP(D22/F22,0),"")</f>
        <v/>
      </c>
      <c r="H22" s="224" t="n">
        <v>469</v>
      </c>
      <c r="I22" s="220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40" t="n"/>
      <c r="K22" s="552" t="n"/>
      <c r="L22" s="43" t="n"/>
      <c r="M22" s="637" t="n"/>
      <c r="N22" s="44" t="n"/>
      <c r="P22" s="464" t="n"/>
      <c r="Q22" s="465" t="n"/>
    </row>
    <row r="23" ht="21" customHeight="1" s="468">
      <c r="A23" s="685" t="n"/>
      <c r="B23" s="218" t="inlineStr">
        <is>
          <t>ITAIQUARA</t>
        </is>
      </c>
      <c r="C23" s="219" t="n">
        <v>600</v>
      </c>
      <c r="D23" s="220" t="n">
        <v>285</v>
      </c>
      <c r="E23" s="221" t="inlineStr">
        <is>
          <t>CX</t>
        </is>
      </c>
      <c r="F23" s="686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20">
        <f>IFERROR(ROUNDUP(D23/F23,0),"")</f>
        <v/>
      </c>
      <c r="H23" s="224" t="n">
        <v>288</v>
      </c>
      <c r="I23" s="220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636" t="n"/>
      <c r="K23" s="552" t="n"/>
      <c r="L23" s="55" t="n"/>
      <c r="M23" s="552" t="n"/>
      <c r="N23" s="57" t="n"/>
    </row>
    <row r="24" ht="21" customHeight="1" s="468">
      <c r="A24" s="685" t="n"/>
      <c r="B24" s="218" t="inlineStr">
        <is>
          <t>TTF MEL</t>
        </is>
      </c>
      <c r="C24" s="219" t="n">
        <v>600</v>
      </c>
      <c r="D24" s="220" t="n">
        <v>240</v>
      </c>
      <c r="E24" s="221" t="inlineStr">
        <is>
          <t>CX</t>
        </is>
      </c>
      <c r="F24" s="686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20">
        <f>IFERROR(ROUNDUP(D24/F24,0),"")</f>
        <v/>
      </c>
      <c r="H24" s="224" t="n">
        <v>199</v>
      </c>
      <c r="I24" s="220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40" t="n"/>
      <c r="K24" s="552" t="n"/>
      <c r="L24" s="43" t="n"/>
      <c r="M24" s="552" t="n"/>
      <c r="N24" s="44" t="n"/>
    </row>
    <row r="25" ht="21" customHeight="1" s="468">
      <c r="A25" s="685" t="n"/>
      <c r="B25" s="218" t="n"/>
      <c r="C25" s="219" t="n"/>
      <c r="D25" s="220" t="n"/>
      <c r="E25" s="221" t="inlineStr">
        <is>
          <t>CX</t>
        </is>
      </c>
      <c r="F25" s="686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220">
        <f>IFERROR(ROUNDUP(D25/F25,0),"")</f>
        <v/>
      </c>
      <c r="H25" s="224" t="n"/>
      <c r="I25" s="220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  <c r="J25" s="654" t="n"/>
      <c r="K25" s="655" t="n"/>
      <c r="L25" s="68" t="n"/>
      <c r="M25" s="655" t="n"/>
      <c r="N25" s="69" t="n"/>
    </row>
    <row r="26" ht="21" customHeight="1" s="468">
      <c r="A26" s="685" t="n"/>
      <c r="B26" s="218" t="n"/>
      <c r="C26" s="219" t="n"/>
      <c r="D26" s="220" t="n"/>
      <c r="E26" s="221" t="inlineStr">
        <is>
          <t>CX</t>
        </is>
      </c>
      <c r="F26" s="686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220">
        <f>IFERROR(ROUNDUP(D26/F26,0),"")</f>
        <v/>
      </c>
      <c r="H26" s="224" t="n"/>
      <c r="I26" s="220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  <c r="J26" s="552" t="n"/>
      <c r="K26" s="552" t="n"/>
      <c r="L26" s="552" t="n"/>
      <c r="M26" s="552" t="n"/>
    </row>
    <row r="27" ht="21" customHeight="1" s="468">
      <c r="A27" s="685" t="n"/>
      <c r="B27" s="218" t="n"/>
      <c r="C27" s="219" t="n"/>
      <c r="D27" s="220" t="n"/>
      <c r="E27" s="221" t="inlineStr">
        <is>
          <t>CX</t>
        </is>
      </c>
      <c r="F27" s="686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220">
        <f>IFERROR(ROUNDUP(D27/F27,0),"")</f>
        <v/>
      </c>
      <c r="H27" s="224" t="n"/>
      <c r="I27" s="220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  <c r="J27" s="650" t="n"/>
      <c r="K27" s="650" t="n"/>
      <c r="L27" s="651" t="n"/>
      <c r="M27" s="650" t="n"/>
      <c r="N27" s="36" t="n"/>
    </row>
    <row r="28" ht="15" customHeight="1" s="468">
      <c r="A28" s="658" t="n"/>
      <c r="B28" s="640" t="inlineStr">
        <is>
          <t>TOTAL</t>
        </is>
      </c>
      <c r="C28" s="667" t="n"/>
      <c r="D28" s="642">
        <f>IF(J28="","",TEXT(J28,"#,##0"))</f>
        <v/>
      </c>
      <c r="E28" s="668" t="n"/>
      <c r="F28" s="644" t="n"/>
      <c r="G28" s="642">
        <f>IF(K28="","",TEXT(K28,"#,##0"))</f>
        <v/>
      </c>
      <c r="H28" s="642">
        <f>IF(L28="","",TEXT(L28,"#,##0"))</f>
        <v/>
      </c>
      <c r="I28" s="642">
        <f>IF(M28="","",TEXT(M28,"#,##0"))</f>
        <v/>
      </c>
      <c r="J28" s="645">
        <f>SUM(D22:D27)</f>
        <v/>
      </c>
      <c r="K28" s="644">
        <f>SUM(G22:G27)</f>
        <v/>
      </c>
      <c r="L28" s="645">
        <f>SUM(H22:H27)</f>
        <v/>
      </c>
      <c r="M28" s="644">
        <f>SUM(I22:I27)</f>
        <v/>
      </c>
      <c r="N28" s="44" t="n"/>
      <c r="P28" s="516" t="n"/>
      <c r="Q28" s="462" t="n"/>
    </row>
    <row r="29" ht="6" customHeight="1" s="468">
      <c r="A29" s="638" t="n"/>
      <c r="C29" s="71" t="n"/>
      <c r="D29" s="552" t="n"/>
      <c r="F29" s="552" t="n"/>
      <c r="G29" s="552" t="n"/>
      <c r="H29" s="552" t="n"/>
      <c r="I29" s="552" t="n"/>
      <c r="J29" s="636" t="n"/>
      <c r="K29" s="552" t="n"/>
      <c r="L29" s="55" t="n"/>
      <c r="M29" s="637" t="n"/>
      <c r="N29" s="57" t="n"/>
      <c r="P29" s="523" t="n"/>
    </row>
    <row r="30" ht="15" customHeight="1" s="468">
      <c r="A30" s="646" t="n">
        <v>46086</v>
      </c>
      <c r="B30" s="213" t="inlineStr">
        <is>
          <t>PRODUTO</t>
        </is>
      </c>
      <c r="C30" s="214" t="inlineStr">
        <is>
          <t>EMBALAGEM</t>
        </is>
      </c>
      <c r="D30" s="244" t="inlineStr">
        <is>
          <t>CAIXAS</t>
        </is>
      </c>
      <c r="E30" s="215" t="inlineStr">
        <is>
          <t>UN</t>
        </is>
      </c>
      <c r="F30" s="687" t="inlineStr">
        <is>
          <t>CX/PALLET</t>
        </is>
      </c>
      <c r="G30" s="244" t="inlineStr">
        <is>
          <t>PALLETS (PBR)</t>
        </is>
      </c>
      <c r="H30" s="244" t="inlineStr">
        <is>
          <t>REAL (CX)</t>
        </is>
      </c>
      <c r="I30" s="244" t="inlineStr">
        <is>
          <t>TOTAL LATAS</t>
        </is>
      </c>
      <c r="J30" s="40" t="n"/>
      <c r="K30" s="552" t="n"/>
      <c r="L30" s="43" t="n"/>
      <c r="M30" s="637" t="n"/>
      <c r="N30" s="44" t="n"/>
      <c r="P30" s="464" t="n"/>
      <c r="Q30" s="465" t="n"/>
    </row>
    <row r="31" ht="21" customHeight="1" s="468">
      <c r="A31" s="685" t="n"/>
      <c r="B31" s="218" t="inlineStr">
        <is>
          <t>TTF MEL</t>
        </is>
      </c>
      <c r="C31" s="219" t="n">
        <v>600</v>
      </c>
      <c r="D31" s="220">
        <f>D23-J23</f>
        <v/>
      </c>
      <c r="E31" s="221" t="inlineStr">
        <is>
          <t>CX</t>
        </is>
      </c>
      <c r="F31" s="68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20">
        <f>IFERROR(ROUNDUP(D31/F31,0),"")</f>
        <v/>
      </c>
      <c r="H31" s="224" t="n">
        <v>42</v>
      </c>
      <c r="I31" s="220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636" t="n"/>
      <c r="K31" s="552" t="n"/>
      <c r="L31" s="55" t="n"/>
      <c r="M31" s="637" t="n"/>
      <c r="N31" s="57" t="n"/>
      <c r="O31" s="552" t="n"/>
    </row>
    <row r="32" ht="21" customHeight="1" s="468">
      <c r="A32" s="685" t="n"/>
      <c r="B32" s="218" t="inlineStr">
        <is>
          <t>UNTA FACIL ECO</t>
        </is>
      </c>
      <c r="C32" s="219" t="n">
        <v>600</v>
      </c>
      <c r="D32" s="220" t="n">
        <v>308</v>
      </c>
      <c r="E32" s="221" t="inlineStr">
        <is>
          <t>CX</t>
        </is>
      </c>
      <c r="F32" s="68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20">
        <f>IFERROR(ROUNDUP(D32/F32,0),"")</f>
        <v/>
      </c>
      <c r="H32" s="224" t="n">
        <v>307</v>
      </c>
      <c r="I32" s="220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40" t="n"/>
      <c r="K32" s="552" t="n"/>
      <c r="L32" s="43" t="n"/>
      <c r="M32" s="637" t="n"/>
      <c r="N32" s="44" t="n"/>
      <c r="O32" s="552" t="n"/>
    </row>
    <row r="33" ht="21" customHeight="1" s="468">
      <c r="A33" s="685" t="n"/>
      <c r="B33" s="218" t="inlineStr">
        <is>
          <t>UNTA FORMA QUALITA</t>
        </is>
      </c>
      <c r="C33" s="219" t="n">
        <v>180</v>
      </c>
      <c r="D33" s="220" t="n">
        <v>240</v>
      </c>
      <c r="E33" s="221" t="inlineStr">
        <is>
          <t>CX</t>
        </is>
      </c>
      <c r="F33" s="686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/>
      </c>
      <c r="G33" s="220">
        <f>IFERROR(ROUNDUP(D33/F33,0),"")</f>
        <v/>
      </c>
      <c r="H33" s="224" t="n">
        <v>242</v>
      </c>
      <c r="I33" s="220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/>
      </c>
      <c r="J33" s="636" t="n"/>
      <c r="K33" s="552" t="n"/>
      <c r="L33" s="55" t="n"/>
      <c r="M33" s="552" t="n"/>
      <c r="N33" s="57" t="n"/>
    </row>
    <row r="34" ht="21" customHeight="1" s="468">
      <c r="A34" s="685" t="n"/>
      <c r="B34" s="218" t="inlineStr">
        <is>
          <t>UNTA FACIL</t>
        </is>
      </c>
      <c r="C34" s="219" t="n">
        <v>180</v>
      </c>
      <c r="D34" s="220" t="n">
        <v>240</v>
      </c>
      <c r="E34" s="221" t="inlineStr">
        <is>
          <t>CX</t>
        </is>
      </c>
      <c r="F34" s="686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/>
      </c>
      <c r="G34" s="220">
        <f>IFERROR(ROUNDUP(D34/F34,0),"")</f>
        <v/>
      </c>
      <c r="H34" s="224" t="n">
        <v>276</v>
      </c>
      <c r="I34" s="220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/>
      </c>
      <c r="J34" s="552" t="n"/>
      <c r="K34" s="552" t="n"/>
      <c r="L34" s="637" t="n"/>
      <c r="M34" s="552" t="n"/>
      <c r="N34" s="514" t="n"/>
    </row>
    <row r="35" ht="21" customHeight="1" s="468">
      <c r="A35" s="685" t="n"/>
      <c r="B35" s="218" t="inlineStr">
        <is>
          <t>UNTA FACIL AZEITE</t>
        </is>
      </c>
      <c r="C35" s="219" t="n">
        <v>180</v>
      </c>
      <c r="D35" s="220" t="n">
        <v>240</v>
      </c>
      <c r="E35" s="221" t="inlineStr">
        <is>
          <t>CX</t>
        </is>
      </c>
      <c r="F35" s="686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/>
      </c>
      <c r="G35" s="220">
        <f>IFERROR(ROUNDUP(D35/F35,0),"")</f>
        <v/>
      </c>
      <c r="H35" s="224" t="n">
        <v>242</v>
      </c>
      <c r="I35" s="220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/>
      </c>
      <c r="J35" s="655" t="n"/>
      <c r="K35" s="655" t="n"/>
      <c r="L35" s="89" t="n"/>
      <c r="M35" s="655" t="n"/>
      <c r="N35" s="90" t="n"/>
    </row>
    <row r="36" ht="21" customHeight="1" s="468">
      <c r="A36" s="685" t="n"/>
      <c r="B36" s="218" t="n"/>
      <c r="C36" s="219" t="n"/>
      <c r="D36" s="220" t="n"/>
      <c r="E36" s="221" t="inlineStr">
        <is>
          <t>CX</t>
        </is>
      </c>
      <c r="F36" s="68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20">
        <f>IFERROR(ROUNDUP(D36/F36,0),"")</f>
        <v/>
      </c>
      <c r="H36" s="224" t="n"/>
      <c r="I36" s="220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552" t="n"/>
      <c r="K36" s="552" t="n"/>
      <c r="L36" s="552" t="n"/>
      <c r="M36" s="552" t="n"/>
    </row>
    <row r="37" ht="15" customHeight="1" s="468">
      <c r="A37" s="658" t="n"/>
      <c r="B37" s="640" t="inlineStr">
        <is>
          <t>TOTAL</t>
        </is>
      </c>
      <c r="C37" s="667" t="n"/>
      <c r="D37" s="642">
        <f>IF(J37="","",TEXT(J37,"#,##0"))</f>
        <v/>
      </c>
      <c r="E37" s="668" t="n"/>
      <c r="F37" s="644" t="n"/>
      <c r="G37" s="642">
        <f>IF(K37="","",TEXT(K37,"#,##0"))</f>
        <v/>
      </c>
      <c r="H37" s="642">
        <f>IF(L37="","",TEXT(L37,"#,##0"))</f>
        <v/>
      </c>
      <c r="I37" s="642">
        <f>IF(M37="","",TEXT(M37,"#,##0"))</f>
        <v/>
      </c>
      <c r="J37" s="644">
        <f>SUM(D31:D36)</f>
        <v/>
      </c>
      <c r="K37" s="644">
        <f>SUM(G31:G36)</f>
        <v/>
      </c>
      <c r="L37" s="642">
        <f>SUM(H31:H36)</f>
        <v/>
      </c>
      <c r="M37" s="644">
        <f>SUM(I31:I36)</f>
        <v/>
      </c>
      <c r="N37" s="36" t="n"/>
    </row>
    <row r="38" ht="6" customHeight="1" s="468">
      <c r="A38" s="638" t="n"/>
      <c r="C38" s="71" t="n"/>
      <c r="D38" s="552" t="n"/>
      <c r="F38" s="552" t="n"/>
      <c r="G38" s="552" t="n"/>
      <c r="H38" s="552" t="n"/>
      <c r="I38" s="552" t="n"/>
      <c r="J38" s="40" t="n"/>
      <c r="K38" s="552" t="n"/>
      <c r="L38" s="43" t="n"/>
      <c r="M38" s="552" t="n"/>
      <c r="N38" s="44" t="n"/>
    </row>
    <row r="39" ht="15" customHeight="1" s="468">
      <c r="A39" s="646" t="n">
        <v>46087</v>
      </c>
      <c r="B39" s="213" t="inlineStr">
        <is>
          <t>PRODUTO</t>
        </is>
      </c>
      <c r="C39" s="214" t="inlineStr">
        <is>
          <t>EMBALAGEM</t>
        </is>
      </c>
      <c r="D39" s="244" t="inlineStr">
        <is>
          <t>CAIXAS</t>
        </is>
      </c>
      <c r="E39" s="215" t="inlineStr">
        <is>
          <t>UN</t>
        </is>
      </c>
      <c r="F39" s="687" t="inlineStr">
        <is>
          <t>CX/PALLET</t>
        </is>
      </c>
      <c r="G39" s="244" t="inlineStr">
        <is>
          <t>PALLETS (PBR)</t>
        </is>
      </c>
      <c r="H39" s="244" t="inlineStr">
        <is>
          <t>REAL (CX)</t>
        </is>
      </c>
      <c r="I39" s="244" t="inlineStr">
        <is>
          <t>TOTAL LATAS</t>
        </is>
      </c>
      <c r="J39" s="636" t="n"/>
      <c r="K39" s="552" t="n"/>
      <c r="L39" s="55" t="n"/>
      <c r="M39" s="637" t="n"/>
      <c r="N39" s="57" t="n"/>
      <c r="P39" s="516" t="n"/>
      <c r="Q39" s="462" t="n"/>
    </row>
    <row r="40" ht="21" customHeight="1" s="468">
      <c r="A40" s="685" t="n"/>
      <c r="B40" s="218" t="inlineStr">
        <is>
          <t>OLEO DE COCO CARREFOUR</t>
        </is>
      </c>
      <c r="C40" s="219" t="n">
        <v>120</v>
      </c>
      <c r="D40" s="220" t="n">
        <v>240</v>
      </c>
      <c r="E40" s="221" t="inlineStr">
        <is>
          <t>CX</t>
        </is>
      </c>
      <c r="F40" s="68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20">
        <f>IFERROR(ROUNDUP(D40/F40,0),"")</f>
        <v/>
      </c>
      <c r="H40" s="224" t="n">
        <v>241</v>
      </c>
      <c r="I40" s="220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40" t="n"/>
      <c r="K40" s="552" t="n"/>
      <c r="L40" s="43" t="n"/>
      <c r="M40" s="637" t="n"/>
      <c r="N40" s="539">
        <f>+L46*12</f>
        <v/>
      </c>
      <c r="Q40" s="514" t="n"/>
    </row>
    <row r="41" ht="21" customHeight="1" s="468">
      <c r="A41" s="685" t="n"/>
      <c r="B41" s="218" t="inlineStr">
        <is>
          <t>OLEO DE COCO TEAQ</t>
        </is>
      </c>
      <c r="C41" s="219" t="n">
        <v>120</v>
      </c>
      <c r="D41" s="220" t="n">
        <v>240</v>
      </c>
      <c r="E41" s="221" t="inlineStr">
        <is>
          <t>CX</t>
        </is>
      </c>
      <c r="F41" s="686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220">
        <f>IFERROR(ROUNDUP(D41/F41,0),"")</f>
        <v/>
      </c>
      <c r="H41" s="224" t="n">
        <v>242</v>
      </c>
      <c r="I41" s="220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/>
      </c>
      <c r="J41" s="636" t="n"/>
      <c r="K41" s="552" t="n"/>
      <c r="L41" s="55" t="n"/>
      <c r="M41" s="552" t="n"/>
      <c r="Q41" s="514" t="n"/>
    </row>
    <row r="42" ht="21" customHeight="1" s="468">
      <c r="A42" s="685" t="n"/>
      <c r="B42" s="218" t="inlineStr">
        <is>
          <t xml:space="preserve">UNTA FACIL ECO </t>
        </is>
      </c>
      <c r="C42" s="219" t="n">
        <v>400</v>
      </c>
      <c r="D42" s="220" t="n">
        <v>193</v>
      </c>
      <c r="E42" s="221" t="inlineStr">
        <is>
          <t>CX</t>
        </is>
      </c>
      <c r="F42" s="686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/>
      </c>
      <c r="G42" s="220">
        <f>IFERROR(ROUNDUP(D42/F42,0),"")</f>
        <v/>
      </c>
      <c r="H42" s="224" t="n">
        <v>192</v>
      </c>
      <c r="I42" s="220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/>
      </c>
      <c r="J42" s="40" t="n"/>
      <c r="K42" s="552" t="n"/>
      <c r="L42" s="43" t="n"/>
      <c r="M42" s="552" t="n"/>
      <c r="Q42" s="514" t="n"/>
    </row>
    <row r="43" ht="21" customHeight="1" s="468">
      <c r="A43" s="685" t="n"/>
      <c r="B43" s="218" t="inlineStr">
        <is>
          <t>DONA JURA</t>
        </is>
      </c>
      <c r="C43" s="219" t="n">
        <v>400</v>
      </c>
      <c r="D43" s="220" t="n">
        <v>2060</v>
      </c>
      <c r="E43" s="221" t="inlineStr">
        <is>
          <t>CX</t>
        </is>
      </c>
      <c r="F43" s="686">
        <f>IF($B43="","",IF(SUMIFS(CONFIG_PALLETS!$C:$C,CONFIG_PALLETS!$A:$A,TRIM($B43),CONFIG_PALLETS!$B:$B,$C43&amp;" ml")&gt;0,SUMIFS(CONFIG_PALLETS!$C:$C,CONFIG_PALLETS!$A:$A,TRIM($B43),CONFIG_PALLETS!$B:$B,$C43&amp;" ml"),IF(SUMIFS(CONFIG_PALLETS!$C:$C,CONFIG_PALLETS!$A:$A,"GERAL",CONFIG_PALLETS!$B:$B,$C43&amp;" ml")&gt;0,SUMIFS(CONFIG_PALLETS!$C:$C,CONFIG_PALLETS!$A:$A,"GERAL",CONFIG_PALLETS!$B:$B,$C43&amp;" ml"),"")))</f>
        <v/>
      </c>
      <c r="G43" s="220">
        <f>IFERROR(ROUNDUP(D43/F43,0),"")</f>
        <v/>
      </c>
      <c r="H43" s="224" t="n">
        <v>270</v>
      </c>
      <c r="I43" s="220">
        <f>IF(H43="","",H43*IF(SUMIFS(CONFIG_PALLETS!$D:$D,CONFIG_PALLETS!$A:$A,IF(ISNUMBER(SEARCH("ESPUMA",$B43)),"ESPUMA",IF(OR(ISNUMBER(SEARCH("OLEO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ml")&gt;0,SUMIFS(CONFIG_PALLETS!$D:$D,CONFIG_PALLETS!$A:$A,IF(ISNUMBER(SEARCH("ESPUMA",$B43)),"ESPUMA",IF(OR(ISNUMBER(SEARCH("OLEO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ml"),IF(SUMIFS(CONFIG_PALLETS!$D:$D,CONFIG_PALLETS!$A:$A,"GERAL",CONFIG_PALLETS!$B:$B,$C43&amp;" ml")&gt;0,SUMIFS(CONFIG_PALLETS!$D:$D,CONFIG_PALLETS!$A:$A,"GERAL",CONFIG_PALLETS!$B:$B,$C43&amp;" ml"),12)))</f>
        <v/>
      </c>
      <c r="J43" s="636" t="n"/>
      <c r="K43" s="552" t="n"/>
      <c r="L43" s="55" t="n"/>
      <c r="M43" s="552" t="n"/>
      <c r="Q43" s="514" t="n"/>
    </row>
    <row r="44" ht="21" customHeight="1" s="468">
      <c r="A44" s="685" t="n"/>
      <c r="B44" s="218" t="n"/>
      <c r="C44" s="219" t="n"/>
      <c r="D44" s="220" t="n"/>
      <c r="E44" s="221" t="inlineStr">
        <is>
          <t>CX</t>
        </is>
      </c>
      <c r="F44" s="686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20">
        <f>IFERROR(ROUNDUP(D44/F44,0),"")</f>
        <v/>
      </c>
      <c r="H44" s="224" t="n"/>
      <c r="I44" s="220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655" t="n"/>
      <c r="K44" s="655" t="n"/>
      <c r="L44" s="89" t="n"/>
      <c r="M44" s="655" t="n"/>
      <c r="N44" s="90" t="n"/>
    </row>
    <row r="45" ht="21" customHeight="1" s="468">
      <c r="A45" s="685" t="n"/>
      <c r="B45" s="218" t="n"/>
      <c r="C45" s="219" t="n"/>
      <c r="D45" s="220" t="n"/>
      <c r="E45" s="221" t="inlineStr">
        <is>
          <t>CX</t>
        </is>
      </c>
      <c r="F45" s="68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20">
        <f>IFERROR(ROUNDUP(D45/F45,0),"")</f>
        <v/>
      </c>
      <c r="H45" s="224" t="n"/>
      <c r="I45" s="220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552" t="n"/>
      <c r="K45" s="552" t="n"/>
      <c r="L45" s="552" t="n"/>
      <c r="M45" s="552" t="n"/>
    </row>
    <row r="46" ht="15" customHeight="1" s="468">
      <c r="A46" s="658" t="n"/>
      <c r="B46" s="640" t="inlineStr">
        <is>
          <t>TOTAL</t>
        </is>
      </c>
      <c r="C46" s="667" t="n"/>
      <c r="D46" s="642">
        <f>IF(J46="","",TEXT(J46,"#,##0"))</f>
        <v/>
      </c>
      <c r="E46" s="668" t="n"/>
      <c r="F46" s="644" t="n"/>
      <c r="G46" s="642">
        <f>IF(K46="","",TEXT(K46,"#,##0"))</f>
        <v/>
      </c>
      <c r="H46" s="642">
        <f>IF(L46="","",TEXT(L46,"#,##0"))</f>
        <v/>
      </c>
      <c r="I46" s="642">
        <f>IF(M46="","",TEXT(M46,"#,##0"))</f>
        <v/>
      </c>
      <c r="J46" s="644">
        <f>SUM(D40:D45)</f>
        <v/>
      </c>
      <c r="K46" s="644">
        <f>SUM(G40:G45)</f>
        <v/>
      </c>
      <c r="L46" s="642">
        <f>SUM(H40:H45)</f>
        <v/>
      </c>
      <c r="M46" s="644">
        <f>SUM(I40:I45)</f>
        <v/>
      </c>
      <c r="N46" s="36" t="n"/>
    </row>
    <row r="47" ht="6" customHeight="1" s="468">
      <c r="A47" s="638" t="n"/>
      <c r="C47" s="71" t="n"/>
      <c r="D47" s="552" t="n"/>
      <c r="F47" s="552" t="n"/>
      <c r="G47" s="552" t="n"/>
      <c r="H47" s="552" t="n"/>
      <c r="I47" s="552" t="n"/>
      <c r="J47" s="636" t="n"/>
      <c r="K47" s="552" t="n"/>
      <c r="L47" s="55" t="n"/>
      <c r="M47" s="552" t="n"/>
      <c r="N47" s="57" t="n"/>
    </row>
    <row r="48" ht="15" customHeight="1" s="468">
      <c r="A48" s="646" t="n">
        <v>46090</v>
      </c>
      <c r="B48" s="213" t="inlineStr">
        <is>
          <t>PRODUTO</t>
        </is>
      </c>
      <c r="C48" s="214" t="inlineStr">
        <is>
          <t>EMBALAGEM</t>
        </is>
      </c>
      <c r="D48" s="244" t="inlineStr">
        <is>
          <t>CAIXAS</t>
        </is>
      </c>
      <c r="E48" s="215" t="inlineStr">
        <is>
          <t>UN</t>
        </is>
      </c>
      <c r="F48" s="687" t="inlineStr">
        <is>
          <t>CX/PALLET</t>
        </is>
      </c>
      <c r="G48" s="244" t="inlineStr">
        <is>
          <t>PALLETS (PBR)</t>
        </is>
      </c>
      <c r="H48" s="244" t="inlineStr">
        <is>
          <t>REAL (CX)</t>
        </is>
      </c>
      <c r="I48" s="244" t="inlineStr">
        <is>
          <t>TOTAL LATAS</t>
        </is>
      </c>
      <c r="J48" s="40" t="n"/>
      <c r="K48" s="552" t="n"/>
      <c r="L48" s="43" t="n"/>
      <c r="M48" s="637" t="n"/>
      <c r="N48" s="44" t="n"/>
    </row>
    <row r="49" ht="21" customHeight="1" s="468">
      <c r="A49" s="685" t="n"/>
      <c r="B49" s="218" t="inlineStr">
        <is>
          <t>DONA JURA</t>
        </is>
      </c>
      <c r="C49" s="219" t="n">
        <v>400</v>
      </c>
      <c r="D49" s="220" t="n">
        <v>2060</v>
      </c>
      <c r="E49" s="221" t="inlineStr">
        <is>
          <t>CX</t>
        </is>
      </c>
      <c r="F49" s="686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/>
      </c>
      <c r="G49" s="220">
        <f>IFERROR(ROUNDUP(D49/F49,0),"")</f>
        <v/>
      </c>
      <c r="H49" s="224" t="n">
        <v>1278</v>
      </c>
      <c r="I49" s="220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/>
      </c>
      <c r="J49" s="636" t="n"/>
      <c r="K49" s="552" t="n"/>
      <c r="L49" s="55" t="n"/>
      <c r="M49" s="637" t="n"/>
      <c r="N49" s="57" t="n"/>
    </row>
    <row r="50" ht="21" customHeight="1" s="468">
      <c r="A50" s="685" t="n"/>
      <c r="B50" s="218" t="n"/>
      <c r="C50" s="219" t="n"/>
      <c r="D50" s="220" t="n"/>
      <c r="E50" s="221" t="inlineStr">
        <is>
          <t>CX</t>
        </is>
      </c>
      <c r="F50" s="686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/>
      </c>
      <c r="G50" s="220">
        <f>IFERROR(ROUNDUP(D50/F50,0),"")</f>
        <v/>
      </c>
      <c r="H50" s="224" t="n"/>
      <c r="I50" s="220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/>
      </c>
      <c r="J50" s="40" t="n"/>
      <c r="K50" s="552" t="n"/>
      <c r="L50" s="43" t="n"/>
      <c r="M50" s="552" t="n"/>
      <c r="N50" s="44" t="n"/>
    </row>
    <row r="51" ht="21" customHeight="1" s="468">
      <c r="A51" s="685" t="n"/>
      <c r="B51" s="218" t="n"/>
      <c r="C51" s="219" t="n"/>
      <c r="D51" s="220" t="n"/>
      <c r="E51" s="221" t="inlineStr">
        <is>
          <t>CX</t>
        </is>
      </c>
      <c r="F51" s="686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220">
        <f>IFERROR(ROUNDUP(D51/F51,0),"")</f>
        <v/>
      </c>
      <c r="H51" s="224" t="n"/>
      <c r="I51" s="220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636" t="n"/>
      <c r="K51" s="552" t="n"/>
      <c r="L51" s="55" t="n"/>
      <c r="M51" s="552" t="n"/>
      <c r="N51" s="57" t="n"/>
    </row>
    <row r="52" ht="21" customHeight="1" s="468">
      <c r="A52" s="685" t="n"/>
      <c r="B52" s="218" t="n"/>
      <c r="C52" s="219" t="n"/>
      <c r="D52" s="220" t="n"/>
      <c r="E52" s="221" t="inlineStr">
        <is>
          <t>CX</t>
        </is>
      </c>
      <c r="F52" s="686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20">
        <f>IFERROR(ROUNDUP(D52/F52,0),"")</f>
        <v/>
      </c>
      <c r="H52" s="224" t="n"/>
      <c r="I52" s="220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40" t="n"/>
      <c r="K52" s="552" t="n"/>
      <c r="L52" s="43" t="n"/>
      <c r="M52" s="552" t="n"/>
      <c r="N52" s="44" t="n"/>
    </row>
    <row r="53" ht="21" customHeight="1" s="468">
      <c r="A53" s="685" t="n"/>
      <c r="B53" s="218" t="n"/>
      <c r="C53" s="219" t="n"/>
      <c r="D53" s="220" t="n"/>
      <c r="E53" s="221" t="inlineStr">
        <is>
          <t>CX</t>
        </is>
      </c>
      <c r="F53" s="68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20">
        <f>IFERROR(ROUNDUP(D53/F53,0),"")</f>
        <v/>
      </c>
      <c r="H53" s="224" t="n"/>
      <c r="I53" s="220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655" t="n"/>
      <c r="K53" s="655" t="n"/>
      <c r="L53" s="89" t="n"/>
      <c r="M53" s="655" t="n"/>
      <c r="N53" s="90" t="n"/>
    </row>
    <row r="54" ht="21" customHeight="1" s="468">
      <c r="A54" s="685" t="n"/>
      <c r="B54" s="218" t="n"/>
      <c r="C54" s="219" t="n"/>
      <c r="D54" s="220" t="n"/>
      <c r="E54" s="221" t="inlineStr">
        <is>
          <t>CX</t>
        </is>
      </c>
      <c r="F54" s="686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20">
        <f>IFERROR(ROUNDUP(D54/F54,0),"")</f>
        <v/>
      </c>
      <c r="H54" s="224" t="n"/>
      <c r="I54" s="220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552" t="n"/>
      <c r="K54" s="552" t="n"/>
      <c r="L54" s="552" t="n"/>
      <c r="M54" s="552" t="n"/>
    </row>
    <row r="55" ht="15" customHeight="1" s="468">
      <c r="A55" s="658" t="n"/>
      <c r="B55" s="640" t="inlineStr">
        <is>
          <t>TOTAL</t>
        </is>
      </c>
      <c r="C55" s="667" t="n"/>
      <c r="D55" s="642">
        <f>IF(J55="","",TEXT(J55,"#,##0"))</f>
        <v/>
      </c>
      <c r="E55" s="668" t="n"/>
      <c r="F55" s="644" t="n"/>
      <c r="G55" s="642">
        <f>IF(K55="","",TEXT(K55,"#,##0"))</f>
        <v/>
      </c>
      <c r="H55" s="642">
        <f>IF(L55="","",TEXT(L55,"#,##0"))</f>
        <v/>
      </c>
      <c r="I55" s="642">
        <f>IF(M55="","",TEXT(M55,"#,##0"))</f>
        <v/>
      </c>
      <c r="J55" s="644">
        <f>SUM(D49:D54)</f>
        <v/>
      </c>
      <c r="K55" s="644">
        <f>SUM(G49:G54)</f>
        <v/>
      </c>
      <c r="L55" s="642">
        <f>SUM(H49:H54)</f>
        <v/>
      </c>
      <c r="M55" s="644">
        <f>SUM(I49:I54)</f>
        <v/>
      </c>
      <c r="N55" s="36" t="n"/>
    </row>
    <row r="56" ht="6" customHeight="1" s="468">
      <c r="A56" s="638" t="n"/>
      <c r="C56" s="71" t="n"/>
      <c r="D56" s="552" t="n"/>
      <c r="F56" s="552" t="n"/>
      <c r="G56" s="552" t="n"/>
      <c r="H56" s="552" t="n"/>
      <c r="I56" s="552" t="n"/>
      <c r="J56" s="40" t="n"/>
      <c r="K56" s="552" t="n"/>
      <c r="L56" s="43" t="n"/>
      <c r="M56" s="552" t="n"/>
      <c r="N56" s="44" t="n"/>
      <c r="P56" s="516" t="n"/>
      <c r="Q56" s="462" t="n"/>
    </row>
    <row r="57" ht="15" customHeight="1" s="468">
      <c r="A57" s="646" t="n">
        <v>46091</v>
      </c>
      <c r="B57" s="213" t="inlineStr">
        <is>
          <t>PRODUTO</t>
        </is>
      </c>
      <c r="C57" s="214" t="inlineStr">
        <is>
          <t>EMBALAGEM</t>
        </is>
      </c>
      <c r="D57" s="244" t="inlineStr">
        <is>
          <t>CAIXAS</t>
        </is>
      </c>
      <c r="E57" s="215" t="inlineStr">
        <is>
          <t>UN</t>
        </is>
      </c>
      <c r="F57" s="687" t="inlineStr">
        <is>
          <t>CX/PALLET</t>
        </is>
      </c>
      <c r="G57" s="244" t="inlineStr">
        <is>
          <t>PALLETS (PBR)</t>
        </is>
      </c>
      <c r="H57" s="244" t="inlineStr">
        <is>
          <t>REAL (CX)</t>
        </is>
      </c>
      <c r="I57" s="244" t="inlineStr">
        <is>
          <t>TOTAL LATAS</t>
        </is>
      </c>
      <c r="J57" s="636" t="n"/>
      <c r="K57" s="552" t="n"/>
      <c r="L57" s="55" t="n"/>
      <c r="M57" s="637" t="n"/>
      <c r="N57" s="57" t="n"/>
      <c r="P57" s="523" t="n"/>
    </row>
    <row r="58" ht="21" customHeight="1" s="468">
      <c r="A58" s="685" t="n"/>
      <c r="B58" s="218" t="inlineStr">
        <is>
          <t>DONA JURA</t>
        </is>
      </c>
      <c r="C58" s="219" t="n">
        <v>400</v>
      </c>
      <c r="D58" s="220" t="n">
        <v>526</v>
      </c>
      <c r="E58" s="221" t="inlineStr">
        <is>
          <t>CX</t>
        </is>
      </c>
      <c r="F58" s="686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220">
        <f>IFERROR(ROUNDUP(D58/F58,0),"")</f>
        <v/>
      </c>
      <c r="H58" s="224" t="n">
        <v>526</v>
      </c>
      <c r="I58" s="220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  <c r="J58" s="40" t="n"/>
      <c r="K58" s="552" t="n"/>
      <c r="L58" s="43" t="n"/>
      <c r="M58" s="637" t="n"/>
      <c r="N58" s="539" t="inlineStr">
        <is>
          <t>PARAMOS 16:00 POR FALTA DE GÁS.</t>
        </is>
      </c>
      <c r="Q58" s="514" t="n"/>
    </row>
    <row r="59" ht="21" customHeight="1" s="468">
      <c r="A59" s="685" t="n"/>
      <c r="B59" s="218" t="inlineStr">
        <is>
          <t>ROCHAPAN BONASSE</t>
        </is>
      </c>
      <c r="C59" s="219" t="n">
        <v>400</v>
      </c>
      <c r="D59" s="220" t="n">
        <v>251</v>
      </c>
      <c r="E59" s="221" t="inlineStr">
        <is>
          <t>CX</t>
        </is>
      </c>
      <c r="F59" s="686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220">
        <f>IFERROR(ROUNDUP(D59/F59,0),"")</f>
        <v/>
      </c>
      <c r="H59" s="224" t="n">
        <v>251</v>
      </c>
      <c r="I59" s="220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  <c r="J59" s="636" t="n"/>
      <c r="K59" s="552" t="n"/>
      <c r="L59" s="55" t="n"/>
      <c r="M59" s="552" t="n"/>
      <c r="Q59" s="514" t="n"/>
    </row>
    <row r="60" ht="21" customHeight="1" s="468">
      <c r="A60" s="685" t="n"/>
      <c r="B60" s="218" t="inlineStr">
        <is>
          <t>CELEBRATE</t>
        </is>
      </c>
      <c r="C60" s="219" t="n">
        <v>400</v>
      </c>
      <c r="D60" s="220" t="n">
        <v>252</v>
      </c>
      <c r="E60" s="221" t="inlineStr">
        <is>
          <t>CX</t>
        </is>
      </c>
      <c r="F60" s="68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20">
        <f>IFERROR(ROUNDUP(D60/F60,0),"")</f>
        <v/>
      </c>
      <c r="H60" s="224" t="n">
        <v>252</v>
      </c>
      <c r="I60" s="220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  <c r="J60" s="40" t="n"/>
      <c r="K60" s="552" t="n"/>
      <c r="L60" s="43" t="n"/>
      <c r="M60" s="552" t="n"/>
      <c r="Q60" s="514" t="n"/>
    </row>
    <row r="61" ht="21" customHeight="1" s="468">
      <c r="A61" s="685" t="n"/>
      <c r="B61" s="218" t="inlineStr">
        <is>
          <t>FESTPAN</t>
        </is>
      </c>
      <c r="C61" s="219" t="n">
        <v>400</v>
      </c>
      <c r="D61" s="220" t="n">
        <v>1575</v>
      </c>
      <c r="E61" s="221" t="inlineStr">
        <is>
          <t>CX</t>
        </is>
      </c>
      <c r="F61" s="68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20">
        <f>IFERROR(ROUNDUP(D61/F61,0),"")</f>
        <v/>
      </c>
      <c r="H61" s="224" t="n">
        <v>69</v>
      </c>
      <c r="I61" s="220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654" t="n"/>
      <c r="K61" s="655" t="n"/>
      <c r="L61" s="68" t="n"/>
      <c r="M61" s="655" t="n"/>
      <c r="Q61" s="514" t="n"/>
    </row>
    <row r="62" ht="21" customHeight="1" s="468">
      <c r="A62" s="685" t="n"/>
      <c r="B62" s="218" t="n"/>
      <c r="C62" s="219" t="n"/>
      <c r="D62" s="220" t="n"/>
      <c r="E62" s="221" t="inlineStr">
        <is>
          <t>CX</t>
        </is>
      </c>
      <c r="F62" s="686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20">
        <f>IFERROR(ROUNDUP(D62/F62,0),"")</f>
        <v/>
      </c>
      <c r="H62" s="224" t="n"/>
      <c r="I62" s="220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 t="n"/>
      <c r="K62" s="552" t="n"/>
      <c r="L62" s="552" t="n"/>
      <c r="M62" s="552" t="n"/>
    </row>
    <row r="63" ht="21" customHeight="1" s="468">
      <c r="A63" s="685" t="n"/>
      <c r="B63" s="218" t="n"/>
      <c r="C63" s="219" t="n"/>
      <c r="D63" s="220" t="n"/>
      <c r="E63" s="221" t="inlineStr">
        <is>
          <t>CX</t>
        </is>
      </c>
      <c r="F63" s="68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20">
        <f>IFERROR(ROUNDUP(D63/F63,0),"")</f>
        <v/>
      </c>
      <c r="H63" s="224" t="n"/>
      <c r="I63" s="220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650" t="n"/>
      <c r="K63" s="650" t="n"/>
      <c r="L63" s="651" t="n"/>
      <c r="M63" s="650" t="n"/>
      <c r="N63" s="36" t="n"/>
    </row>
    <row r="64" ht="15" customHeight="1" s="468">
      <c r="A64" s="658" t="n"/>
      <c r="B64" s="640" t="inlineStr">
        <is>
          <t>TOTAL</t>
        </is>
      </c>
      <c r="C64" s="667" t="n"/>
      <c r="D64" s="642">
        <f>IF(J64="","",TEXT(J64,"#,##0"))</f>
        <v/>
      </c>
      <c r="E64" s="668" t="n"/>
      <c r="F64" s="644" t="n"/>
      <c r="G64" s="642">
        <f>IF(K64="","",TEXT(K64,"#,##0"))</f>
        <v/>
      </c>
      <c r="H64" s="642">
        <f>IF(L64="","",TEXT(L64,"#,##0"))</f>
        <v/>
      </c>
      <c r="I64" s="642">
        <f>IF(M64="","",TEXT(M64,"#,##0"))</f>
        <v/>
      </c>
      <c r="J64" s="645">
        <f>SUM(D58:D63)</f>
        <v/>
      </c>
      <c r="K64" s="644">
        <f>SUM(G58:G63)</f>
        <v/>
      </c>
      <c r="L64" s="645">
        <f>SUM(H58:H63)</f>
        <v/>
      </c>
      <c r="M64" s="644">
        <f>SUM(I58:I63)</f>
        <v/>
      </c>
      <c r="N64" s="44" t="n"/>
      <c r="P64" s="516" t="n"/>
      <c r="Q64" s="462" t="n"/>
    </row>
    <row r="65" ht="6" customHeight="1" s="468">
      <c r="A65" s="638" t="n"/>
      <c r="C65" s="71" t="n"/>
      <c r="D65" s="552" t="n"/>
      <c r="F65" s="552" t="n"/>
      <c r="G65" s="552" t="n"/>
      <c r="H65" s="552" t="n"/>
      <c r="I65" s="552" t="n"/>
      <c r="J65" s="636" t="n"/>
      <c r="K65" s="552" t="n"/>
      <c r="L65" s="55" t="n"/>
      <c r="M65" s="637" t="n"/>
      <c r="N65" s="57" t="n"/>
      <c r="P65" s="523" t="n"/>
    </row>
    <row r="66" ht="15" customHeight="1" s="468">
      <c r="A66" s="646" t="n">
        <v>46092</v>
      </c>
      <c r="B66" s="213" t="inlineStr">
        <is>
          <t>PRODUTO</t>
        </is>
      </c>
      <c r="C66" s="214" t="inlineStr">
        <is>
          <t>EMBALAGEM</t>
        </is>
      </c>
      <c r="D66" s="244" t="inlineStr">
        <is>
          <t>CAIXAS</t>
        </is>
      </c>
      <c r="E66" s="215" t="inlineStr">
        <is>
          <t>UN</t>
        </is>
      </c>
      <c r="F66" s="687" t="inlineStr">
        <is>
          <t>CX/PALLET</t>
        </is>
      </c>
      <c r="G66" s="244" t="inlineStr">
        <is>
          <t>PALLETS (PBR)</t>
        </is>
      </c>
      <c r="H66" s="244" t="inlineStr">
        <is>
          <t>REAL (CX)</t>
        </is>
      </c>
      <c r="I66" s="244" t="inlineStr">
        <is>
          <t>TOTAL LATAS</t>
        </is>
      </c>
      <c r="J66" s="40" t="n"/>
      <c r="K66" s="552" t="n"/>
      <c r="L66" s="43" t="n"/>
      <c r="M66" s="637" t="n"/>
      <c r="N66" s="44" t="n"/>
      <c r="P66" s="464" t="n"/>
      <c r="Q66" s="465" t="n"/>
    </row>
    <row r="67" ht="21" customHeight="1" s="468">
      <c r="A67" s="685" t="n"/>
      <c r="B67" s="218" t="inlineStr">
        <is>
          <t>FESTPAN</t>
        </is>
      </c>
      <c r="C67" s="219" t="n">
        <v>400</v>
      </c>
      <c r="D67" s="220">
        <f>D60-J60</f>
        <v/>
      </c>
      <c r="E67" s="221" t="inlineStr">
        <is>
          <t>CX</t>
        </is>
      </c>
      <c r="F67" s="686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220">
        <f>IFERROR(ROUNDUP(D67/F67,0),"")</f>
        <v/>
      </c>
      <c r="H67" s="224" t="n">
        <v>1144</v>
      </c>
      <c r="I67" s="220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  <c r="J67" s="636" t="n"/>
      <c r="K67" s="552" t="n"/>
      <c r="L67" s="55" t="n"/>
      <c r="M67" s="552" t="n"/>
      <c r="N67" s="57" t="n"/>
    </row>
    <row r="68" ht="21" customHeight="1" s="468">
      <c r="A68" s="685" t="n"/>
      <c r="B68" s="218" t="n"/>
      <c r="C68" s="219" t="n"/>
      <c r="D68" s="220" t="n"/>
      <c r="E68" s="221" t="inlineStr">
        <is>
          <t>CX</t>
        </is>
      </c>
      <c r="F68" s="686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20">
        <f>IFERROR(ROUNDUP(D68/F68,0),"")</f>
        <v/>
      </c>
      <c r="H68" s="224" t="n"/>
      <c r="I68" s="220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40" t="n"/>
      <c r="K68" s="552" t="n"/>
      <c r="L68" s="43" t="n"/>
      <c r="M68" s="552" t="n"/>
      <c r="N68" s="44" t="n"/>
    </row>
    <row r="69" ht="21" customHeight="1" s="468">
      <c r="A69" s="685" t="n"/>
      <c r="B69" s="218" t="n"/>
      <c r="C69" s="219" t="n"/>
      <c r="D69" s="220" t="n"/>
      <c r="E69" s="221" t="inlineStr">
        <is>
          <t>CX</t>
        </is>
      </c>
      <c r="F69" s="68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20">
        <f>IFERROR(ROUNDUP(D69/F69,0),"")</f>
        <v/>
      </c>
      <c r="H69" s="224" t="n"/>
      <c r="I69" s="220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654" t="n"/>
      <c r="K69" s="655" t="n"/>
      <c r="L69" s="68" t="n"/>
      <c r="M69" s="655" t="n"/>
      <c r="N69" s="69" t="n"/>
    </row>
    <row r="70" ht="21" customHeight="1" s="468">
      <c r="A70" s="685" t="n"/>
      <c r="B70" s="218" t="n"/>
      <c r="C70" s="219" t="n"/>
      <c r="D70" s="220" t="n"/>
      <c r="E70" s="221" t="inlineStr">
        <is>
          <t>CX</t>
        </is>
      </c>
      <c r="F70" s="686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20">
        <f>IFERROR(ROUNDUP(D70/F70,0),"")</f>
        <v/>
      </c>
      <c r="H70" s="224" t="n"/>
      <c r="I70" s="22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552" t="n"/>
      <c r="K70" s="552" t="n"/>
      <c r="L70" s="552" t="n"/>
      <c r="M70" s="552" t="n"/>
    </row>
    <row r="71" ht="21" customHeight="1" s="468">
      <c r="A71" s="685" t="n"/>
      <c r="B71" s="218" t="n"/>
      <c r="C71" s="219" t="n"/>
      <c r="D71" s="220" t="n"/>
      <c r="E71" s="221" t="inlineStr">
        <is>
          <t>CX</t>
        </is>
      </c>
      <c r="F71" s="686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20">
        <f>IFERROR(ROUNDUP(D71/F71,0),"")</f>
        <v/>
      </c>
      <c r="H71" s="224" t="n"/>
      <c r="I71" s="220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650" t="n"/>
      <c r="K71" s="650" t="n"/>
      <c r="L71" s="651" t="n"/>
      <c r="M71" s="650" t="n"/>
      <c r="N71" s="36" t="n"/>
    </row>
    <row r="72" ht="21" customHeight="1" s="468">
      <c r="A72" s="685" t="n"/>
      <c r="B72" s="218" t="n"/>
      <c r="C72" s="219" t="n"/>
      <c r="D72" s="220" t="n"/>
      <c r="E72" s="221" t="inlineStr">
        <is>
          <t>CX</t>
        </is>
      </c>
      <c r="F72" s="686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20">
        <f>IFERROR(ROUNDUP(D72/F72,0),"")</f>
        <v/>
      </c>
      <c r="H72" s="224" t="n"/>
      <c r="I72" s="220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40" t="n"/>
      <c r="K72" s="552" t="n"/>
      <c r="L72" s="43" t="n"/>
      <c r="M72" s="552" t="n"/>
      <c r="N72" s="44" t="n"/>
    </row>
    <row r="73" ht="15" customHeight="1" s="468">
      <c r="A73" s="658" t="n"/>
      <c r="B73" s="640" t="inlineStr">
        <is>
          <t>TOTAL</t>
        </is>
      </c>
      <c r="C73" s="667" t="n"/>
      <c r="D73" s="642">
        <f>IF(J73="","",TEXT(J73,"#,##0"))</f>
        <v/>
      </c>
      <c r="E73" s="668" t="n"/>
      <c r="F73" s="644" t="n"/>
      <c r="G73" s="642">
        <f>IF(K73="","",TEXT(K73,"#,##0"))</f>
        <v/>
      </c>
      <c r="H73" s="642">
        <f>IF(L73="","",TEXT(L73,"#,##0"))</f>
        <v/>
      </c>
      <c r="I73" s="642">
        <f>IF(M73="","",TEXT(M73,"#,##0"))</f>
        <v/>
      </c>
      <c r="J73" s="645">
        <f>SUM(D67:D72)</f>
        <v/>
      </c>
      <c r="K73" s="644">
        <f>SUM(G67:G72)</f>
        <v/>
      </c>
      <c r="L73" s="645">
        <f>SUM(H67:H72)</f>
        <v/>
      </c>
      <c r="M73" s="644">
        <f>SUM(I67:I72)</f>
        <v/>
      </c>
      <c r="N73" s="57" t="n"/>
    </row>
    <row r="74" ht="6" customHeight="1" s="468">
      <c r="A74" s="638" t="n"/>
      <c r="C74" s="71" t="n"/>
      <c r="D74" s="552" t="n"/>
      <c r="F74" s="552" t="n"/>
      <c r="G74" s="552" t="n"/>
      <c r="H74" s="552" t="n"/>
      <c r="I74" s="552" t="n"/>
      <c r="J74" s="40" t="n"/>
      <c r="K74" s="552" t="n"/>
      <c r="L74" s="43" t="n"/>
      <c r="M74" s="637" t="n"/>
      <c r="N74" s="44" t="n"/>
    </row>
    <row r="75" ht="15" customHeight="1" s="468">
      <c r="A75" s="646" t="n">
        <v>46093</v>
      </c>
      <c r="B75" s="213" t="inlineStr">
        <is>
          <t>PRODUTO</t>
        </is>
      </c>
      <c r="C75" s="214" t="inlineStr">
        <is>
          <t>EMBALAGEM</t>
        </is>
      </c>
      <c r="D75" s="244" t="inlineStr">
        <is>
          <t>CAIXAS</t>
        </is>
      </c>
      <c r="E75" s="215" t="inlineStr">
        <is>
          <t>UN</t>
        </is>
      </c>
      <c r="F75" s="687" t="inlineStr">
        <is>
          <t>CX/PALLET</t>
        </is>
      </c>
      <c r="G75" s="244" t="inlineStr">
        <is>
          <t>PALLETS (PBR)</t>
        </is>
      </c>
      <c r="H75" s="244" t="inlineStr">
        <is>
          <t>REAL (CX)</t>
        </is>
      </c>
      <c r="I75" s="244" t="inlineStr">
        <is>
          <t>TOTAL LATAS</t>
        </is>
      </c>
      <c r="J75" s="636" t="n"/>
      <c r="K75" s="552" t="n"/>
      <c r="L75" s="55" t="n"/>
      <c r="M75" s="552" t="n"/>
      <c r="N75" s="57" t="n"/>
    </row>
    <row r="76" ht="21" customHeight="1" s="468">
      <c r="A76" s="685" t="n"/>
      <c r="B76" s="218" t="inlineStr">
        <is>
          <t>FESTPAN</t>
        </is>
      </c>
      <c r="C76" s="219" t="n">
        <v>400</v>
      </c>
      <c r="D76" s="220">
        <f>D67-J67</f>
        <v/>
      </c>
      <c r="E76" s="221" t="inlineStr">
        <is>
          <t>CX</t>
        </is>
      </c>
      <c r="F76" s="68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20">
        <f>IFERROR(ROUNDUP(D76/F76,0),"")</f>
        <v/>
      </c>
      <c r="H76" s="224" t="n">
        <v>362</v>
      </c>
      <c r="I76" s="220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40" t="n"/>
      <c r="K76" s="552" t="n"/>
      <c r="L76" s="43" t="n"/>
      <c r="M76" s="552" t="n"/>
      <c r="N76" s="539" t="inlineStr">
        <is>
          <t>PARAMOS 14:00 POR FALTA DE GÁS.</t>
        </is>
      </c>
      <c r="Q76" s="514" t="n"/>
    </row>
    <row r="77" ht="21" customHeight="1" s="468">
      <c r="A77" s="685" t="n"/>
      <c r="B77" s="218" t="inlineStr">
        <is>
          <t xml:space="preserve">UNTA FACIL </t>
        </is>
      </c>
      <c r="C77" s="219" t="n">
        <v>400</v>
      </c>
      <c r="D77" s="220" t="n">
        <v>3500</v>
      </c>
      <c r="E77" s="221" t="inlineStr">
        <is>
          <t>CX</t>
        </is>
      </c>
      <c r="F77" s="68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20">
        <f>IFERROR(ROUNDUP(D77/F77,0),"")</f>
        <v/>
      </c>
      <c r="H77" s="224" t="n">
        <v>463</v>
      </c>
      <c r="I77" s="220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654" t="n"/>
      <c r="K77" s="655" t="n"/>
      <c r="L77" s="68" t="n"/>
      <c r="M77" s="655" t="n"/>
      <c r="Q77" s="514" t="n"/>
    </row>
    <row r="78" ht="21" customHeight="1" s="468">
      <c r="A78" s="685" t="n"/>
      <c r="B78" s="218" t="n"/>
      <c r="C78" s="219" t="n"/>
      <c r="D78" s="220" t="n"/>
      <c r="E78" s="221" t="inlineStr">
        <is>
          <t>CX</t>
        </is>
      </c>
      <c r="F78" s="686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20">
        <f>IFERROR(ROUNDUP(D78/F78,0),"")</f>
        <v/>
      </c>
      <c r="H78" s="224" t="n"/>
      <c r="I78" s="220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552" t="n"/>
      <c r="K78" s="552" t="n"/>
      <c r="L78" s="552" t="n"/>
      <c r="M78" s="552" t="n"/>
      <c r="Q78" s="514" t="n"/>
    </row>
    <row r="79" ht="21" customHeight="1" s="468">
      <c r="A79" s="685" t="n"/>
      <c r="B79" s="218" t="n"/>
      <c r="C79" s="219" t="n"/>
      <c r="D79" s="220" t="n"/>
      <c r="E79" s="221" t="inlineStr">
        <is>
          <t>CX</t>
        </is>
      </c>
      <c r="F79" s="686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20">
        <f>IFERROR(ROUNDUP(D79/F79,0),"")</f>
        <v/>
      </c>
      <c r="H79" s="224" t="n"/>
      <c r="I79" s="220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650" t="n"/>
      <c r="K79" s="650" t="n"/>
      <c r="L79" s="651" t="n"/>
      <c r="M79" s="650" t="n"/>
      <c r="Q79" s="514" t="n"/>
    </row>
    <row r="80" ht="21" customHeight="1" s="468">
      <c r="A80" s="685" t="n"/>
      <c r="B80" s="218" t="n"/>
      <c r="C80" s="219" t="n"/>
      <c r="D80" s="220" t="n"/>
      <c r="E80" s="221" t="inlineStr">
        <is>
          <t>CX</t>
        </is>
      </c>
      <c r="F80" s="686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20">
        <f>IFERROR(ROUNDUP(D80/F80,0),"")</f>
        <v/>
      </c>
      <c r="H80" s="224" t="n"/>
      <c r="I80" s="220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40" t="n"/>
      <c r="K80" s="552" t="n"/>
      <c r="L80" s="43" t="n"/>
      <c r="M80" s="552" t="n"/>
    </row>
    <row r="81" ht="21" customHeight="1" s="468">
      <c r="A81" s="685" t="n"/>
      <c r="B81" s="218" t="n"/>
      <c r="C81" s="219" t="n"/>
      <c r="D81" s="220" t="n"/>
      <c r="E81" s="221" t="inlineStr">
        <is>
          <t>CX</t>
        </is>
      </c>
      <c r="F81" s="686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220">
        <f>IFERROR(ROUNDUP(D81/F81,0),"")</f>
        <v/>
      </c>
      <c r="H81" s="224" t="n"/>
      <c r="I81" s="220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  <c r="J81" s="636" t="n"/>
      <c r="K81" s="552" t="n"/>
      <c r="L81" s="55" t="n"/>
      <c r="M81" s="637" t="n"/>
    </row>
    <row r="82" ht="15" customHeight="1" s="468">
      <c r="A82" s="658" t="n"/>
      <c r="B82" s="640" t="inlineStr">
        <is>
          <t>TOTAL</t>
        </is>
      </c>
      <c r="C82" s="667" t="n"/>
      <c r="D82" s="642">
        <f>IF(J82="","",TEXT(J82,"#,##0"))</f>
        <v/>
      </c>
      <c r="E82" s="668" t="n"/>
      <c r="F82" s="644" t="n"/>
      <c r="G82" s="642">
        <f>IF(K82="","",TEXT(K82,"#,##0"))</f>
        <v/>
      </c>
      <c r="H82" s="642">
        <f>IF(L82="","",TEXT(L82,"#,##0"))</f>
        <v/>
      </c>
      <c r="I82" s="642">
        <f>IF(M82="","",TEXT(M82,"#,##0"))</f>
        <v/>
      </c>
      <c r="J82" s="645">
        <f>SUM(D76:D81)</f>
        <v/>
      </c>
      <c r="K82" s="644">
        <f>SUM(G76:G81)</f>
        <v/>
      </c>
      <c r="L82" s="645">
        <f>SUM(H76:H81)</f>
        <v/>
      </c>
      <c r="M82" s="644">
        <f>SUM(I76:I81)</f>
        <v/>
      </c>
      <c r="N82" s="44" t="n"/>
      <c r="P82" s="523" t="n"/>
    </row>
    <row r="83" ht="6" customHeight="1" s="468">
      <c r="A83" s="638" t="n"/>
      <c r="C83" s="71" t="n"/>
      <c r="D83" s="552" t="n"/>
      <c r="F83" s="552" t="n"/>
      <c r="G83" s="552" t="n"/>
      <c r="H83" s="552" t="n"/>
      <c r="I83" s="552" t="n"/>
      <c r="J83" s="636" t="n"/>
      <c r="K83" s="552" t="n"/>
      <c r="L83" s="55" t="n"/>
      <c r="M83" s="552" t="n"/>
      <c r="N83" s="57" t="n"/>
      <c r="P83" s="464" t="n"/>
      <c r="Q83" s="465" t="n"/>
    </row>
    <row r="84" ht="15" customHeight="1" s="468">
      <c r="A84" s="646" t="n">
        <v>46094</v>
      </c>
      <c r="B84" s="213" t="inlineStr">
        <is>
          <t>PRODUTO</t>
        </is>
      </c>
      <c r="C84" s="214" t="inlineStr">
        <is>
          <t>EMBALAGEM</t>
        </is>
      </c>
      <c r="D84" s="244" t="inlineStr">
        <is>
          <t>CAIXAS</t>
        </is>
      </c>
      <c r="E84" s="215" t="inlineStr">
        <is>
          <t>UN</t>
        </is>
      </c>
      <c r="F84" s="687" t="inlineStr">
        <is>
          <t>CX/PALLET</t>
        </is>
      </c>
      <c r="G84" s="244" t="inlineStr">
        <is>
          <t>PALLETS (PBR)</t>
        </is>
      </c>
      <c r="H84" s="244" t="inlineStr">
        <is>
          <t>REAL (CX)</t>
        </is>
      </c>
      <c r="I84" s="244" t="inlineStr">
        <is>
          <t>TOTAL LATAS</t>
        </is>
      </c>
      <c r="J84" s="40" t="n"/>
      <c r="K84" s="552" t="n"/>
      <c r="L84" s="43" t="n"/>
      <c r="M84" s="552" t="n"/>
      <c r="N84" s="44" t="n"/>
    </row>
    <row r="85" ht="21" customHeight="1" s="468">
      <c r="A85" s="685" t="n"/>
      <c r="B85" s="218" t="inlineStr">
        <is>
          <t xml:space="preserve">UNTA FACIL </t>
        </is>
      </c>
      <c r="C85" s="219" t="n">
        <v>400</v>
      </c>
      <c r="D85" s="220">
        <f>D77-J77</f>
        <v/>
      </c>
      <c r="E85" s="221" t="inlineStr">
        <is>
          <t>CX</t>
        </is>
      </c>
      <c r="F85" s="686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20">
        <f>IFERROR(ROUNDUP(D85/F85,0),"")</f>
        <v/>
      </c>
      <c r="H85" s="224" t="n">
        <v>1121</v>
      </c>
      <c r="I85" s="220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636" t="n"/>
      <c r="K85" s="552" t="n"/>
      <c r="L85" s="55" t="n"/>
      <c r="M85" s="552" t="n"/>
      <c r="N85" s="57" t="n"/>
    </row>
    <row r="86" ht="21" customHeight="1" s="468">
      <c r="A86" s="685" t="n"/>
      <c r="B86" s="218" t="n"/>
      <c r="C86" s="219" t="n"/>
      <c r="D86" s="220" t="n"/>
      <c r="E86" s="221" t="inlineStr">
        <is>
          <t>CX</t>
        </is>
      </c>
      <c r="F86" s="6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20">
        <f>IFERROR(ROUNDUP(D86/F86,0),"")</f>
        <v/>
      </c>
      <c r="H86" s="224" t="n"/>
      <c r="I86" s="220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552" t="n"/>
      <c r="K86" s="552" t="n"/>
      <c r="L86" s="637" t="n"/>
      <c r="M86" s="552" t="n"/>
      <c r="N86" s="514" t="n"/>
    </row>
    <row r="87" ht="21" customHeight="1" s="468">
      <c r="A87" s="685" t="n"/>
      <c r="B87" s="218" t="n"/>
      <c r="C87" s="219" t="n"/>
      <c r="D87" s="220" t="n"/>
      <c r="E87" s="221" t="inlineStr">
        <is>
          <t>CX</t>
        </is>
      </c>
      <c r="F87" s="686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20">
        <f>IFERROR(ROUNDUP(D87/F87,0),"")</f>
        <v/>
      </c>
      <c r="H87" s="224" t="n"/>
      <c r="I87" s="220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552" t="n"/>
      <c r="K87" s="552" t="n"/>
      <c r="L87" s="637" t="n"/>
      <c r="M87" s="552" t="n"/>
      <c r="N87" s="514" t="n"/>
    </row>
    <row r="88" ht="21" customHeight="1" s="468">
      <c r="A88" s="685" t="n"/>
      <c r="B88" s="218" t="n"/>
      <c r="C88" s="219" t="n"/>
      <c r="D88" s="220" t="n"/>
      <c r="E88" s="221" t="inlineStr">
        <is>
          <t>CX</t>
        </is>
      </c>
      <c r="F88" s="686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20">
        <f>IFERROR(ROUNDUP(D88/F88,0),"")</f>
        <v/>
      </c>
      <c r="H88" s="224" t="n"/>
      <c r="I88" s="220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552" t="n"/>
      <c r="K88" s="552" t="n"/>
      <c r="L88" s="637" t="n"/>
      <c r="M88" s="552" t="n"/>
      <c r="N88" s="514" t="n"/>
    </row>
    <row r="89" ht="21" customHeight="1" s="468">
      <c r="A89" s="685" t="n"/>
      <c r="B89" s="218" t="n"/>
      <c r="C89" s="219" t="n"/>
      <c r="D89" s="220" t="n"/>
      <c r="E89" s="221" t="inlineStr">
        <is>
          <t>CX</t>
        </is>
      </c>
      <c r="F89" s="686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220">
        <f>IFERROR(ROUNDUP(D89/F89,0),"")</f>
        <v/>
      </c>
      <c r="H89" s="224" t="n"/>
      <c r="I89" s="220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655" t="n"/>
      <c r="K89" s="655" t="n"/>
      <c r="L89" s="89" t="n"/>
      <c r="M89" s="655" t="n"/>
      <c r="N89" s="90" t="n"/>
    </row>
    <row r="90" ht="21" customHeight="1" s="468">
      <c r="A90" s="685" t="n"/>
      <c r="B90" s="218" t="n"/>
      <c r="C90" s="219" t="n"/>
      <c r="D90" s="220" t="n"/>
      <c r="E90" s="221" t="inlineStr">
        <is>
          <t>CX</t>
        </is>
      </c>
      <c r="F90" s="686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220">
        <f>IFERROR(ROUNDUP(D90/F90,0),"")</f>
        <v/>
      </c>
      <c r="H90" s="224" t="n"/>
      <c r="I90" s="220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  <c r="J90" s="552" t="n"/>
      <c r="K90" s="552" t="n"/>
      <c r="L90" s="552" t="n"/>
      <c r="M90" s="552" t="n"/>
    </row>
    <row r="91" ht="15" customHeight="1" s="468">
      <c r="A91" s="658" t="n"/>
      <c r="B91" s="640" t="inlineStr">
        <is>
          <t>TOTAL</t>
        </is>
      </c>
      <c r="C91" s="667" t="n"/>
      <c r="D91" s="642">
        <f>IF(J91="","",TEXT(J91,"#,##0"))</f>
        <v/>
      </c>
      <c r="E91" s="668" t="n"/>
      <c r="F91" s="644" t="n"/>
      <c r="G91" s="642">
        <f>IF(K91="","",TEXT(K91,"#,##0"))</f>
        <v/>
      </c>
      <c r="H91" s="642">
        <f>IF(L91="","",TEXT(L91,"#,##0"))</f>
        <v/>
      </c>
      <c r="I91" s="642">
        <f>IF(M91="","",TEXT(M91,"#,##0"))</f>
        <v/>
      </c>
      <c r="J91" s="644">
        <f>SUM(D85:D90)</f>
        <v/>
      </c>
      <c r="K91" s="644">
        <f>SUM(G85:G90)</f>
        <v/>
      </c>
      <c r="L91" s="642">
        <f>SUM(H85:H90)</f>
        <v/>
      </c>
      <c r="M91" s="644">
        <f>SUM(I85:I90)</f>
        <v/>
      </c>
      <c r="N91" s="36" t="n"/>
    </row>
    <row r="92" ht="6" customHeight="1" s="468">
      <c r="A92" s="638" t="n"/>
      <c r="C92" s="71" t="n"/>
      <c r="D92" s="552" t="n"/>
      <c r="F92" s="552" t="n"/>
      <c r="G92" s="552" t="n"/>
      <c r="H92" s="552" t="n"/>
      <c r="I92" s="552" t="n"/>
      <c r="J92" s="40" t="n"/>
      <c r="K92" s="552" t="n"/>
      <c r="L92" s="43" t="n"/>
      <c r="M92" s="552" t="n"/>
      <c r="N92" s="44" t="n"/>
    </row>
    <row r="93" ht="15" customHeight="1" s="468">
      <c r="A93" s="646" t="n">
        <v>46097</v>
      </c>
      <c r="B93" s="213" t="inlineStr">
        <is>
          <t>PRODUTO</t>
        </is>
      </c>
      <c r="C93" s="214" t="inlineStr">
        <is>
          <t>EMBALAGEM</t>
        </is>
      </c>
      <c r="D93" s="244" t="inlineStr">
        <is>
          <t>CAIXAS</t>
        </is>
      </c>
      <c r="E93" s="215" t="inlineStr">
        <is>
          <t>UN</t>
        </is>
      </c>
      <c r="F93" s="687" t="inlineStr">
        <is>
          <t>CX/PALLET</t>
        </is>
      </c>
      <c r="G93" s="244" t="inlineStr">
        <is>
          <t>PALLETS (PBR)</t>
        </is>
      </c>
      <c r="H93" s="244" t="inlineStr">
        <is>
          <t>REAL (CX)</t>
        </is>
      </c>
      <c r="I93" s="244" t="inlineStr">
        <is>
          <t>TOTAL LATAS</t>
        </is>
      </c>
      <c r="J93" s="636" t="n"/>
      <c r="K93" s="552" t="n"/>
      <c r="L93" s="55" t="n"/>
      <c r="M93" s="552" t="n"/>
      <c r="N93" s="57" t="n"/>
      <c r="P93" s="516" t="n"/>
      <c r="Q93" s="462" t="n"/>
    </row>
    <row r="94" ht="21" customHeight="1" s="468">
      <c r="A94" s="685" t="n"/>
      <c r="B94" s="218" t="inlineStr">
        <is>
          <t xml:space="preserve">UNTA FACIL </t>
        </is>
      </c>
      <c r="C94" s="219" t="n">
        <v>400</v>
      </c>
      <c r="D94" s="220">
        <f>D86-J86</f>
        <v/>
      </c>
      <c r="E94" s="221" t="inlineStr">
        <is>
          <t>CX</t>
        </is>
      </c>
      <c r="F94" s="686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20">
        <f>IFERROR(ROUNDUP(D94/F94,0),"")</f>
        <v/>
      </c>
      <c r="H94" s="224" t="n">
        <v>1206</v>
      </c>
      <c r="I94" s="220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40" t="n"/>
      <c r="K94" s="552" t="n"/>
      <c r="L94" s="43" t="n"/>
      <c r="M94" s="552" t="n"/>
      <c r="N94" s="44" t="n"/>
      <c r="P94" s="523" t="n"/>
    </row>
    <row r="95" ht="21" customHeight="1" s="468">
      <c r="A95" s="685" t="n"/>
      <c r="B95" s="218" t="inlineStr">
        <is>
          <t>ICEBERG CHEF</t>
        </is>
      </c>
      <c r="C95" s="219" t="n">
        <v>400</v>
      </c>
      <c r="D95" s="220" t="n">
        <v>2310</v>
      </c>
      <c r="E95" s="221" t="inlineStr">
        <is>
          <t>CX</t>
        </is>
      </c>
      <c r="F95" s="686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20">
        <f>IFERROR(ROUNDUP(D95/F95,0),"")</f>
        <v/>
      </c>
      <c r="H95" s="224" t="n">
        <v>171</v>
      </c>
      <c r="I95" s="220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636" t="n"/>
      <c r="K95" s="552" t="n"/>
      <c r="L95" s="55" t="n"/>
      <c r="M95" s="552" t="n"/>
      <c r="N95" s="57" t="n"/>
      <c r="P95" s="464" t="n"/>
      <c r="Q95" s="465" t="n"/>
    </row>
    <row r="96" ht="21" customHeight="1" s="468">
      <c r="A96" s="685" t="n"/>
      <c r="B96" s="218" t="n"/>
      <c r="C96" s="219" t="n"/>
      <c r="D96" s="220" t="n"/>
      <c r="E96" s="221" t="inlineStr">
        <is>
          <t>CX</t>
        </is>
      </c>
      <c r="F96" s="68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20">
        <f>IFERROR(ROUNDUP(D96/F96,0),"")</f>
        <v/>
      </c>
      <c r="H96" s="224" t="n"/>
      <c r="I96" s="220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40" t="n"/>
      <c r="K96" s="552" t="n"/>
      <c r="L96" s="43" t="n"/>
      <c r="M96" s="637" t="n"/>
      <c r="N96" s="44" t="n"/>
    </row>
    <row r="97" ht="21" customHeight="1" s="468">
      <c r="A97" s="685" t="n"/>
      <c r="B97" s="218" t="n"/>
      <c r="C97" s="219" t="n"/>
      <c r="D97" s="220" t="n"/>
      <c r="E97" s="221" t="inlineStr">
        <is>
          <t>CX</t>
        </is>
      </c>
      <c r="F97" s="686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220">
        <f>IFERROR(ROUNDUP(D97/F97,0),"")</f>
        <v/>
      </c>
      <c r="H97" s="224" t="n"/>
      <c r="I97" s="220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636" t="n"/>
      <c r="K97" s="552" t="n"/>
      <c r="L97" s="55" t="n"/>
      <c r="M97" s="552" t="n"/>
      <c r="N97" s="57" t="n"/>
    </row>
    <row r="98" ht="21" customHeight="1" s="468">
      <c r="A98" s="685" t="n"/>
      <c r="B98" s="218" t="n"/>
      <c r="C98" s="219" t="n"/>
      <c r="D98" s="220" t="n"/>
      <c r="E98" s="221" t="inlineStr">
        <is>
          <t>CX</t>
        </is>
      </c>
      <c r="F98" s="686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20">
        <f>IFERROR(ROUNDUP(D98/F98,0),"")</f>
        <v/>
      </c>
      <c r="H98" s="224" t="n"/>
      <c r="I98" s="220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  <c r="J98" s="552" t="n"/>
      <c r="K98" s="552" t="n"/>
      <c r="L98" s="637" t="n"/>
      <c r="M98" s="552" t="n"/>
      <c r="N98" s="514" t="n"/>
    </row>
    <row r="99" ht="21" customHeight="1" s="468">
      <c r="A99" s="685" t="n"/>
      <c r="B99" s="218" t="n"/>
      <c r="C99" s="219" t="n"/>
      <c r="D99" s="220" t="n"/>
      <c r="E99" s="221" t="inlineStr">
        <is>
          <t>CX</t>
        </is>
      </c>
      <c r="F99" s="686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220">
        <f>IFERROR(ROUNDUP(D99/F99,0),"")</f>
        <v/>
      </c>
      <c r="H99" s="224" t="n"/>
      <c r="I99" s="220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655" t="n"/>
      <c r="K99" s="655" t="n"/>
      <c r="L99" s="89" t="n"/>
      <c r="M99" s="655" t="n"/>
      <c r="N99" s="90" t="n"/>
    </row>
    <row r="100" ht="15" customHeight="1" s="468">
      <c r="A100" s="658" t="n"/>
      <c r="B100" s="640" t="inlineStr">
        <is>
          <t>TOTAL</t>
        </is>
      </c>
      <c r="C100" s="667" t="n"/>
      <c r="D100" s="642">
        <f>IF(J100="","",TEXT(J100,"#,##0"))</f>
        <v/>
      </c>
      <c r="E100" s="668" t="n"/>
      <c r="F100" s="644" t="n"/>
      <c r="G100" s="642">
        <f>IF(K100="","",TEXT(K100,"#,##0"))</f>
        <v/>
      </c>
      <c r="H100" s="642">
        <f>IF(L100="","",TEXT(L100,"#,##0"))</f>
        <v/>
      </c>
      <c r="I100" s="642">
        <f>IF(M100="","",TEXT(M100,"#,##0"))</f>
        <v/>
      </c>
      <c r="J100" s="644">
        <f>SUM(D94:D99)</f>
        <v/>
      </c>
      <c r="K100" s="644">
        <f>SUM(G94:G99)</f>
        <v/>
      </c>
      <c r="L100" s="644">
        <f>SUM(H94:H99)</f>
        <v/>
      </c>
      <c r="M100" s="644">
        <f>SUM(I94:I99)</f>
        <v/>
      </c>
    </row>
    <row r="101" ht="6" customHeight="1" s="468">
      <c r="A101" s="638" t="n"/>
      <c r="C101" s="71" t="n"/>
      <c r="D101" s="552" t="n"/>
      <c r="F101" s="552" t="n"/>
      <c r="G101" s="552" t="n"/>
      <c r="H101" s="552" t="n"/>
      <c r="I101" s="552" t="n"/>
      <c r="J101" s="650" t="n"/>
      <c r="K101" s="650" t="n"/>
      <c r="L101" s="651" t="n"/>
      <c r="M101" s="650" t="n"/>
      <c r="N101" s="36" t="n"/>
    </row>
    <row r="102" ht="15" customHeight="1" s="468">
      <c r="A102" s="646" t="n">
        <v>46098</v>
      </c>
      <c r="B102" s="213" t="inlineStr">
        <is>
          <t>PRODUTO</t>
        </is>
      </c>
      <c r="C102" s="214" t="inlineStr">
        <is>
          <t>EMBALAGEM</t>
        </is>
      </c>
      <c r="D102" s="244" t="inlineStr">
        <is>
          <t>CAIXAS</t>
        </is>
      </c>
      <c r="E102" s="215" t="inlineStr">
        <is>
          <t>UN</t>
        </is>
      </c>
      <c r="F102" s="687" t="inlineStr">
        <is>
          <t>CX/PALLET</t>
        </is>
      </c>
      <c r="G102" s="244" t="inlineStr">
        <is>
          <t>PALLETS (PBR)</t>
        </is>
      </c>
      <c r="H102" s="244" t="inlineStr">
        <is>
          <t>REAL (CX)</t>
        </is>
      </c>
      <c r="I102" s="244" t="inlineStr">
        <is>
          <t>TOTAL LATAS</t>
        </is>
      </c>
      <c r="J102" s="40" t="n"/>
      <c r="K102" s="552" t="n"/>
      <c r="L102" s="43" t="n"/>
      <c r="M102" s="552" t="n"/>
      <c r="N102" s="44" t="n"/>
    </row>
    <row r="103" ht="21" customHeight="1" s="468">
      <c r="A103" s="685" t="n"/>
      <c r="B103" s="218" t="inlineStr">
        <is>
          <t>ICEBERG CHEF</t>
        </is>
      </c>
      <c r="C103" s="219" t="n">
        <v>400</v>
      </c>
      <c r="D103" s="220">
        <f>D96-J96</f>
        <v/>
      </c>
      <c r="E103" s="221" t="inlineStr">
        <is>
          <t>CX</t>
        </is>
      </c>
      <c r="F103" s="68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20">
        <f>IFERROR(ROUNDUP(D103/F103,0),"")</f>
        <v/>
      </c>
      <c r="H103" s="224" t="n">
        <v>1482</v>
      </c>
      <c r="I103" s="220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636" t="n"/>
      <c r="K103" s="552" t="n"/>
      <c r="L103" s="55" t="n"/>
      <c r="M103" s="637" t="n"/>
      <c r="N103" s="57" t="n"/>
    </row>
    <row r="104" ht="21" customHeight="1" s="468">
      <c r="A104" s="685" t="n"/>
      <c r="B104" s="218" t="n"/>
      <c r="C104" s="219" t="n"/>
      <c r="D104" s="220" t="n"/>
      <c r="E104" s="221" t="inlineStr">
        <is>
          <t>CX</t>
        </is>
      </c>
      <c r="F104" s="686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20">
        <f>IFERROR(ROUNDUP(D104/F104,0),"")</f>
        <v/>
      </c>
      <c r="H104" s="224" t="n"/>
      <c r="I104" s="220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40" t="n"/>
      <c r="K104" s="552" t="n"/>
      <c r="L104" s="43" t="n"/>
      <c r="M104" s="637" t="n"/>
      <c r="N104" s="44" t="n"/>
    </row>
    <row r="105" ht="21" customHeight="1" s="468">
      <c r="A105" s="685" t="n"/>
      <c r="B105" s="218" t="n"/>
      <c r="C105" s="219" t="n"/>
      <c r="D105" s="220" t="n"/>
      <c r="E105" s="221" t="inlineStr">
        <is>
          <t>CX</t>
        </is>
      </c>
      <c r="F105" s="686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220">
        <f>IFERROR(ROUNDUP(D105/F105,0),"")</f>
        <v/>
      </c>
      <c r="H105" s="224" t="n"/>
      <c r="I105" s="220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  <c r="J105" s="636" t="n"/>
      <c r="K105" s="552" t="n"/>
      <c r="L105" s="55" t="n"/>
      <c r="M105" s="552" t="n"/>
      <c r="N105" s="57" t="n"/>
    </row>
    <row r="106" ht="21" customHeight="1" s="468">
      <c r="A106" s="685" t="n"/>
      <c r="B106" s="218" t="n"/>
      <c r="C106" s="219" t="n"/>
      <c r="D106" s="220" t="n"/>
      <c r="E106" s="221" t="inlineStr">
        <is>
          <t>CX</t>
        </is>
      </c>
      <c r="F106" s="68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220">
        <f>IFERROR(ROUNDUP(D106/F106,0),"")</f>
        <v/>
      </c>
      <c r="H106" s="224" t="n"/>
      <c r="I106" s="220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  <c r="J106" s="40" t="n"/>
      <c r="K106" s="552" t="n"/>
      <c r="L106" s="43" t="n"/>
      <c r="M106" s="637" t="n"/>
      <c r="N106" s="44" t="n"/>
    </row>
    <row r="107" ht="21" customHeight="1" s="468">
      <c r="A107" s="685" t="n"/>
      <c r="B107" s="218" t="n"/>
      <c r="C107" s="219" t="n"/>
      <c r="D107" s="220" t="n"/>
      <c r="E107" s="221" t="inlineStr">
        <is>
          <t>CX</t>
        </is>
      </c>
      <c r="F107" s="686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220">
        <f>IFERROR(ROUNDUP(D107/F107,0),"")</f>
        <v/>
      </c>
      <c r="H107" s="224" t="n"/>
      <c r="I107" s="220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636" t="n"/>
      <c r="K107" s="552" t="n"/>
      <c r="L107" s="55" t="n"/>
      <c r="M107" s="552" t="n"/>
      <c r="N107" s="57" t="n"/>
    </row>
    <row r="108" ht="21" customHeight="1" s="468">
      <c r="A108" s="685" t="n"/>
      <c r="B108" s="218" t="n"/>
      <c r="C108" s="219" t="n"/>
      <c r="D108" s="220" t="n"/>
      <c r="E108" s="221" t="inlineStr">
        <is>
          <t>CX</t>
        </is>
      </c>
      <c r="F108" s="686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20">
        <f>IFERROR(ROUNDUP(D108/F108,0),"")</f>
        <v/>
      </c>
      <c r="H108" s="224" t="n"/>
      <c r="I108" s="220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 t="n"/>
      <c r="K108" s="552" t="n"/>
      <c r="L108" s="637" t="n"/>
      <c r="M108" s="552" t="n"/>
      <c r="N108" s="514" t="n"/>
    </row>
    <row r="109" ht="15" customHeight="1" s="468">
      <c r="A109" s="658" t="n"/>
      <c r="B109" s="640" t="inlineStr">
        <is>
          <t>TOTAL</t>
        </is>
      </c>
      <c r="C109" s="667" t="n"/>
      <c r="D109" s="642">
        <f>IF(J109="","",TEXT(J109,"#,##0"))</f>
        <v/>
      </c>
      <c r="E109" s="668" t="n"/>
      <c r="F109" s="644" t="n"/>
      <c r="G109" s="642">
        <f>IF(K109="","",TEXT(K109,"#,##0"))</f>
        <v/>
      </c>
      <c r="H109" s="642">
        <f>IF(L109="","",TEXT(L109,"#,##0"))</f>
        <v/>
      </c>
      <c r="I109" s="642">
        <f>IF(M109="","",TEXT(M109,"#,##0"))</f>
        <v/>
      </c>
      <c r="J109" s="644">
        <f>SUM(D103:D108)</f>
        <v/>
      </c>
      <c r="K109" s="644">
        <f>SUM(G103:G108)</f>
        <v/>
      </c>
      <c r="L109" s="644">
        <f>SUM(H103:H108)</f>
        <v/>
      </c>
      <c r="M109" s="644">
        <f>SUM(I103:I108)</f>
        <v/>
      </c>
      <c r="N109" s="90" t="n"/>
    </row>
    <row r="110" ht="6" customHeight="1" s="468">
      <c r="A110" s="638" t="n"/>
      <c r="C110" s="71" t="n"/>
      <c r="D110" s="552" t="n"/>
      <c r="F110" s="552" t="n"/>
      <c r="G110" s="552" t="n"/>
      <c r="H110" s="552" t="n"/>
      <c r="I110" s="552" t="n"/>
      <c r="J110" s="552" t="n"/>
      <c r="K110" s="552" t="n"/>
      <c r="L110" s="552" t="n"/>
      <c r="M110" s="552" t="n"/>
    </row>
    <row r="111" ht="15" customHeight="1" s="468">
      <c r="A111" s="646" t="n">
        <v>46099</v>
      </c>
      <c r="B111" s="213" t="inlineStr">
        <is>
          <t>PRODUTO</t>
        </is>
      </c>
      <c r="C111" s="214" t="inlineStr">
        <is>
          <t>EMBALAGEM</t>
        </is>
      </c>
      <c r="D111" s="244" t="inlineStr">
        <is>
          <t>CAIXAS</t>
        </is>
      </c>
      <c r="E111" s="215" t="inlineStr">
        <is>
          <t>UN</t>
        </is>
      </c>
      <c r="F111" s="687" t="inlineStr">
        <is>
          <t>CX/PALLET</t>
        </is>
      </c>
      <c r="G111" s="244" t="inlineStr">
        <is>
          <t>PALLETS (PBR)</t>
        </is>
      </c>
      <c r="H111" s="244" t="inlineStr">
        <is>
          <t>REAL (CX)</t>
        </is>
      </c>
      <c r="I111" s="244" t="inlineStr">
        <is>
          <t>TOTAL LATAS</t>
        </is>
      </c>
      <c r="J111" s="650" t="n"/>
      <c r="K111" s="650" t="n"/>
      <c r="L111" s="651" t="n"/>
      <c r="M111" s="650" t="n"/>
      <c r="N111" s="36" t="n"/>
    </row>
    <row r="112" ht="21" customHeight="1" s="468">
      <c r="A112" s="685" t="n"/>
      <c r="B112" s="218" t="inlineStr">
        <is>
          <t>ICEBERG CHEF</t>
        </is>
      </c>
      <c r="C112" s="219" t="n">
        <v>400</v>
      </c>
      <c r="D112" s="220">
        <f>D104-J104</f>
        <v/>
      </c>
      <c r="E112" s="221" t="inlineStr">
        <is>
          <t>CX</t>
        </is>
      </c>
      <c r="F112" s="68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20">
        <f>IFERROR(ROUNDUP(D112/F112,0),"")</f>
        <v/>
      </c>
      <c r="H112" s="224" t="n">
        <v>657</v>
      </c>
      <c r="I112" s="220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  <c r="J112" s="40" t="n"/>
      <c r="K112" s="552" t="n"/>
      <c r="L112" s="43" t="n"/>
      <c r="M112" s="552" t="n"/>
      <c r="N112" s="44" t="n"/>
    </row>
    <row r="113" ht="21" customHeight="1" s="468">
      <c r="A113" s="685" t="n"/>
      <c r="B113" s="218" t="inlineStr">
        <is>
          <t>AP VIOLA</t>
        </is>
      </c>
      <c r="C113" s="219" t="n">
        <v>400</v>
      </c>
      <c r="D113" s="220" t="n">
        <v>750</v>
      </c>
      <c r="E113" s="221" t="inlineStr">
        <is>
          <t>CX</t>
        </is>
      </c>
      <c r="F113" s="686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220">
        <f>IFERROR(ROUNDUP(D113/F113,0),"")</f>
        <v/>
      </c>
      <c r="H113" s="224" t="n">
        <v>644</v>
      </c>
      <c r="I113" s="220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  <c r="J113" s="636" t="n"/>
      <c r="K113" s="552" t="n"/>
      <c r="L113" s="55" t="n"/>
      <c r="M113" s="637" t="n"/>
      <c r="N113" s="57" t="n"/>
    </row>
    <row r="114" ht="21" customHeight="1" s="468">
      <c r="A114" s="685" t="n"/>
      <c r="B114" s="218" t="n"/>
      <c r="C114" s="219" t="n"/>
      <c r="D114" s="220" t="n"/>
      <c r="E114" s="221" t="inlineStr">
        <is>
          <t>CX</t>
        </is>
      </c>
      <c r="F114" s="686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220">
        <f>IFERROR(ROUNDUP(D114/F114,0),"")</f>
        <v/>
      </c>
      <c r="H114" s="224" t="n"/>
      <c r="I114" s="220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  <c r="J114" s="40" t="n"/>
      <c r="K114" s="552" t="n"/>
      <c r="L114" s="43" t="n"/>
      <c r="M114" s="637" t="n"/>
      <c r="N114" s="44" t="n"/>
    </row>
    <row r="115" ht="21" customHeight="1" s="468">
      <c r="A115" s="685" t="n"/>
      <c r="B115" s="218" t="n"/>
      <c r="C115" s="219" t="n"/>
      <c r="D115" s="220" t="n"/>
      <c r="E115" s="221" t="inlineStr">
        <is>
          <t>CX</t>
        </is>
      </c>
      <c r="F115" s="686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220">
        <f>IFERROR(ROUNDUP(D115/F115,0),"")</f>
        <v/>
      </c>
      <c r="H115" s="224" t="n"/>
      <c r="I115" s="220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  <c r="J115" s="636" t="n"/>
      <c r="K115" s="552" t="n"/>
      <c r="L115" s="55" t="n"/>
      <c r="M115" s="552" t="n"/>
      <c r="N115" s="57" t="n"/>
    </row>
    <row r="116" ht="21" customHeight="1" s="468">
      <c r="A116" s="685" t="n"/>
      <c r="B116" s="218" t="n"/>
      <c r="C116" s="219" t="n"/>
      <c r="D116" s="220" t="n"/>
      <c r="E116" s="221" t="inlineStr">
        <is>
          <t>CX</t>
        </is>
      </c>
      <c r="F116" s="68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20">
        <f>IFERROR(ROUNDUP(D116/F116,0),"")</f>
        <v/>
      </c>
      <c r="H116" s="224" t="n"/>
      <c r="I116" s="220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40" t="n"/>
      <c r="K116" s="552" t="n"/>
      <c r="L116" s="43" t="n"/>
      <c r="M116" s="552" t="n"/>
      <c r="N116" s="44" t="n"/>
    </row>
    <row r="117" ht="21" customHeight="1" s="468">
      <c r="A117" s="685" t="n"/>
      <c r="B117" s="218" t="n"/>
      <c r="C117" s="219" t="n"/>
      <c r="D117" s="220" t="n"/>
      <c r="E117" s="221" t="inlineStr">
        <is>
          <t>CX</t>
        </is>
      </c>
      <c r="F117" s="686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20">
        <f>IFERROR(ROUNDUP(D117/F117,0),"")</f>
        <v/>
      </c>
      <c r="H117" s="224" t="n"/>
      <c r="I117" s="220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636" t="n"/>
      <c r="K117" s="552" t="n"/>
      <c r="L117" s="55" t="n"/>
      <c r="M117" s="552" t="n"/>
      <c r="N117" s="57" t="n"/>
    </row>
    <row r="118" ht="15" customHeight="1" s="468">
      <c r="A118" s="658" t="n"/>
      <c r="B118" s="640" t="inlineStr">
        <is>
          <t>TOTAL</t>
        </is>
      </c>
      <c r="C118" s="667" t="n"/>
      <c r="D118" s="642">
        <f>IF(J118="","",TEXT(J118,"#,##0"))</f>
        <v/>
      </c>
      <c r="E118" s="668" t="n"/>
      <c r="F118" s="644" t="n"/>
      <c r="G118" s="642">
        <f>IF(K118="","",TEXT(K118,"#,##0"))</f>
        <v/>
      </c>
      <c r="H118" s="642">
        <f>IF(L118="","",TEXT(L118,"#,##0"))</f>
        <v/>
      </c>
      <c r="I118" s="642">
        <f>IF(M118="","",TEXT(M118,"#,##0"))</f>
        <v/>
      </c>
      <c r="J118" s="644">
        <f>SUM(D112:D117)</f>
        <v/>
      </c>
      <c r="K118" s="644">
        <f>SUM(G112:G117)</f>
        <v/>
      </c>
      <c r="L118" s="644">
        <f>SUM(H112:H117)</f>
        <v/>
      </c>
      <c r="M118" s="644">
        <f>SUM(I112:I117)</f>
        <v/>
      </c>
      <c r="N118" s="90" t="n"/>
    </row>
    <row r="119" ht="6" customHeight="1" s="468">
      <c r="A119" s="638" t="n"/>
      <c r="C119" s="71" t="n"/>
      <c r="D119" s="552" t="n"/>
      <c r="F119" s="552" t="n"/>
      <c r="G119" s="552" t="n"/>
      <c r="H119" s="552" t="n"/>
      <c r="I119" s="552" t="n"/>
      <c r="J119" s="552" t="n"/>
      <c r="K119" s="552" t="n"/>
      <c r="L119" s="552" t="n"/>
      <c r="M119" s="552" t="n"/>
    </row>
    <row r="120" ht="15" customHeight="1" s="468">
      <c r="A120" s="646" t="n">
        <v>46100</v>
      </c>
      <c r="B120" s="213" t="inlineStr">
        <is>
          <t>PRODUTO</t>
        </is>
      </c>
      <c r="C120" s="214" t="inlineStr">
        <is>
          <t>EMBALAGEM</t>
        </is>
      </c>
      <c r="D120" s="244" t="inlineStr">
        <is>
          <t>CAIXAS</t>
        </is>
      </c>
      <c r="E120" s="215" t="inlineStr">
        <is>
          <t>UN</t>
        </is>
      </c>
      <c r="F120" s="687" t="inlineStr">
        <is>
          <t>CX/PALLET</t>
        </is>
      </c>
      <c r="G120" s="244" t="inlineStr">
        <is>
          <t>PALLETS (PBR)</t>
        </is>
      </c>
      <c r="H120" s="244" t="inlineStr">
        <is>
          <t>REAL (CX)</t>
        </is>
      </c>
      <c r="I120" s="244" t="inlineStr">
        <is>
          <t>TOTAL LATAS</t>
        </is>
      </c>
      <c r="J120" s="650" t="n"/>
      <c r="K120" s="650" t="n"/>
      <c r="L120" s="651" t="n"/>
      <c r="M120" s="650" t="n"/>
      <c r="N120" s="36" t="n"/>
    </row>
    <row r="121" ht="21" customHeight="1" s="468">
      <c r="A121" s="685" t="n"/>
      <c r="B121" s="218" t="inlineStr">
        <is>
          <t>AP VIOLA</t>
        </is>
      </c>
      <c r="C121" s="219" t="n">
        <v>400</v>
      </c>
      <c r="D121" s="220">
        <f>D113-J113</f>
        <v/>
      </c>
      <c r="E121" s="221" t="inlineStr">
        <is>
          <t>CX</t>
        </is>
      </c>
      <c r="F121" s="686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/>
      </c>
      <c r="G121" s="220">
        <f>IFERROR(ROUNDUP(D121/F121,0),"")</f>
        <v/>
      </c>
      <c r="H121" s="224" t="n">
        <v>106</v>
      </c>
      <c r="I121" s="220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/>
      </c>
      <c r="J121" s="636" t="n"/>
      <c r="K121" s="552" t="n"/>
      <c r="L121" s="55" t="n"/>
      <c r="M121" s="552" t="n"/>
      <c r="N121" s="57" t="n"/>
    </row>
    <row r="122" ht="21" customHeight="1" s="468">
      <c r="A122" s="685" t="n"/>
      <c r="B122" s="218" t="inlineStr">
        <is>
          <t>CASA DO PANIFICADOR</t>
        </is>
      </c>
      <c r="C122" s="219" t="n">
        <v>400</v>
      </c>
      <c r="D122" s="220" t="n">
        <v>200</v>
      </c>
      <c r="E122" s="221" t="inlineStr">
        <is>
          <t>CX</t>
        </is>
      </c>
      <c r="F122" s="686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220">
        <f>IFERROR(ROUNDUP(D122/F122,0),"")</f>
        <v/>
      </c>
      <c r="H122" s="224" t="n">
        <v>202</v>
      </c>
      <c r="I122" s="220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  <c r="J122" s="40" t="n"/>
      <c r="K122" s="552" t="n"/>
      <c r="L122" s="43" t="n"/>
      <c r="M122" s="637" t="n"/>
      <c r="N122" s="44" t="n"/>
    </row>
    <row r="123" ht="21" customHeight="1" s="468">
      <c r="A123" s="685" t="n"/>
      <c r="B123" s="218" t="inlineStr">
        <is>
          <t>OLEO DE COCO SANTO OLEO</t>
        </is>
      </c>
      <c r="C123" s="219" t="n">
        <v>200</v>
      </c>
      <c r="D123" s="220" t="n">
        <v>990</v>
      </c>
      <c r="E123" s="221" t="inlineStr">
        <is>
          <t>CX</t>
        </is>
      </c>
      <c r="F123" s="686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220">
        <f>IFERROR(ROUNDUP(D123/F123,0),"")</f>
        <v/>
      </c>
      <c r="H123" s="224" t="n">
        <v>994</v>
      </c>
      <c r="I123" s="220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  <c r="J123" s="636" t="n"/>
      <c r="K123" s="552" t="n"/>
      <c r="L123" s="55" t="n"/>
      <c r="M123" s="637" t="n"/>
      <c r="N123" s="57" t="n"/>
    </row>
    <row r="124" ht="21" customHeight="1" s="468">
      <c r="A124" s="685" t="n"/>
      <c r="B124" s="218" t="inlineStr">
        <is>
          <t>NORCAU PURATOS</t>
        </is>
      </c>
      <c r="C124" s="219" t="n">
        <v>600</v>
      </c>
      <c r="D124" s="220" t="n">
        <v>1140</v>
      </c>
      <c r="E124" s="221" t="inlineStr">
        <is>
          <t>CX</t>
        </is>
      </c>
      <c r="F124" s="68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20">
        <f>IFERROR(ROUNDUP(D124/F124,0),"")</f>
        <v/>
      </c>
      <c r="H124" s="224" t="n">
        <v>74</v>
      </c>
      <c r="I124" s="22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40" t="n"/>
      <c r="K124" s="552" t="n"/>
      <c r="L124" s="43" t="n"/>
      <c r="M124" s="552" t="n"/>
      <c r="N124" s="44" t="n"/>
    </row>
    <row r="125" ht="21" customHeight="1" s="468">
      <c r="A125" s="685" t="n"/>
      <c r="B125" s="218" t="n"/>
      <c r="C125" s="219" t="n"/>
      <c r="D125" s="220" t="n"/>
      <c r="E125" s="221" t="inlineStr">
        <is>
          <t>CX</t>
        </is>
      </c>
      <c r="F125" s="686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20">
        <f>IFERROR(ROUNDUP(D125/F125,0),"")</f>
        <v/>
      </c>
      <c r="H125" s="224" t="n"/>
      <c r="I125" s="220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636" t="n"/>
      <c r="K125" s="552" t="n"/>
      <c r="L125" s="55" t="n"/>
      <c r="M125" s="552" t="n"/>
      <c r="N125" s="57" t="n"/>
    </row>
    <row r="126" ht="21" customHeight="1" s="468">
      <c r="A126" s="685" t="n"/>
      <c r="B126" s="218" t="n"/>
      <c r="C126" s="219" t="n"/>
      <c r="D126" s="220" t="n"/>
      <c r="E126" s="221" t="inlineStr">
        <is>
          <t>CX</t>
        </is>
      </c>
      <c r="F126" s="68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20">
        <f>IFERROR(ROUNDUP(D126/F126,0),"")</f>
        <v/>
      </c>
      <c r="H126" s="224" t="n"/>
      <c r="I126" s="220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670" t="n"/>
      <c r="K126" s="655" t="n"/>
      <c r="L126" s="126" t="n"/>
      <c r="M126" s="655" t="n"/>
      <c r="N126" s="127" t="n"/>
    </row>
    <row r="127" ht="15" customHeight="1" s="468">
      <c r="A127" s="658" t="n"/>
      <c r="B127" s="640" t="inlineStr">
        <is>
          <t>TOTAL</t>
        </is>
      </c>
      <c r="C127" s="667" t="n"/>
      <c r="D127" s="642">
        <f>IF(J127="","",TEXT(J127,"#,##0"))</f>
        <v/>
      </c>
      <c r="E127" s="668" t="n"/>
      <c r="F127" s="644" t="n"/>
      <c r="G127" s="642">
        <f>IF(K127="","",TEXT(K127,"#,##0"))</f>
        <v/>
      </c>
      <c r="H127" s="642">
        <f>IF(L127="","",TEXT(L127,"#,##0"))</f>
        <v/>
      </c>
      <c r="I127" s="642">
        <f>IF(M127="","",TEXT(M127,"#,##0"))</f>
        <v/>
      </c>
      <c r="J127" s="644">
        <f>SUM(D121:D126)</f>
        <v/>
      </c>
      <c r="K127" s="644">
        <f>SUM(G121:G126)</f>
        <v/>
      </c>
      <c r="L127" s="644">
        <f>SUM(H121:H126)</f>
        <v/>
      </c>
      <c r="M127" s="644">
        <f>SUM(I121:I126)</f>
        <v/>
      </c>
    </row>
    <row r="128" ht="6" customHeight="1" s="468">
      <c r="A128" s="638" t="n"/>
      <c r="C128" s="71" t="n"/>
      <c r="D128" s="552" t="n"/>
      <c r="F128" s="552" t="n"/>
      <c r="G128" s="552" t="n"/>
      <c r="H128" s="552" t="n"/>
      <c r="I128" s="552" t="n"/>
      <c r="J128" s="650" t="n"/>
      <c r="K128" s="650" t="n"/>
      <c r="L128" s="651" t="n"/>
      <c r="M128" s="650" t="n"/>
      <c r="N128" s="36" t="n"/>
    </row>
    <row r="129" ht="15" customHeight="1" s="468">
      <c r="A129" s="646" t="n">
        <v>46101</v>
      </c>
      <c r="B129" s="213" t="inlineStr">
        <is>
          <t>PRODUTO</t>
        </is>
      </c>
      <c r="C129" s="214" t="inlineStr">
        <is>
          <t>EMBALAGEM</t>
        </is>
      </c>
      <c r="D129" s="244" t="inlineStr">
        <is>
          <t>CAIXAS</t>
        </is>
      </c>
      <c r="E129" s="215" t="inlineStr">
        <is>
          <t>UN</t>
        </is>
      </c>
      <c r="F129" s="687" t="inlineStr">
        <is>
          <t>CX/PALLET</t>
        </is>
      </c>
      <c r="G129" s="244" t="inlineStr">
        <is>
          <t>PALLETS (PBR)</t>
        </is>
      </c>
      <c r="H129" s="244" t="inlineStr">
        <is>
          <t>REAL (CX)</t>
        </is>
      </c>
      <c r="I129" s="244" t="inlineStr">
        <is>
          <t>TOTAL LATAS</t>
        </is>
      </c>
      <c r="J129" s="636" t="n"/>
      <c r="K129" s="552" t="n"/>
      <c r="L129" s="55" t="n"/>
      <c r="M129" s="552" t="n"/>
      <c r="N129" s="57" t="n"/>
    </row>
    <row r="130" ht="21" customHeight="1" s="468">
      <c r="A130" s="685" t="n"/>
      <c r="B130" s="218" t="inlineStr">
        <is>
          <t>NORCAU PURATOS</t>
        </is>
      </c>
      <c r="C130" s="219" t="n">
        <v>600</v>
      </c>
      <c r="D130" s="220" t="n">
        <v>1140</v>
      </c>
      <c r="E130" s="221" t="inlineStr">
        <is>
          <t>CX</t>
        </is>
      </c>
      <c r="F130" s="686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220">
        <f>IFERROR(ROUNDUP(D130/F130,0),"")</f>
        <v/>
      </c>
      <c r="H130" s="224" t="n">
        <v>431</v>
      </c>
      <c r="I130" s="220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  <c r="J130" s="40" t="n"/>
      <c r="K130" s="552" t="n"/>
      <c r="L130" s="43" t="n"/>
      <c r="M130" s="637" t="n"/>
      <c r="N130" s="44" t="n"/>
    </row>
    <row r="131" ht="21" customHeight="1" s="468">
      <c r="A131" s="685" t="n"/>
      <c r="B131" s="218" t="inlineStr">
        <is>
          <t>ADIMIX</t>
        </is>
      </c>
      <c r="C131" s="219" t="n">
        <v>600</v>
      </c>
      <c r="D131" s="220" t="n">
        <v>665</v>
      </c>
      <c r="E131" s="221" t="inlineStr">
        <is>
          <t>CX</t>
        </is>
      </c>
      <c r="F131" s="686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220">
        <f>IFERROR(ROUNDUP(D131/F131,0),"")</f>
        <v/>
      </c>
      <c r="H131" s="224" t="n"/>
      <c r="I131" s="220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  <c r="J131" s="636" t="n"/>
      <c r="K131" s="552" t="n"/>
      <c r="L131" s="55" t="n"/>
      <c r="M131" s="637" t="n"/>
      <c r="N131" s="57" t="n"/>
    </row>
    <row r="132" ht="21" customHeight="1" s="468">
      <c r="A132" s="685" t="n"/>
      <c r="B132" s="218" t="n"/>
      <c r="C132" s="219" t="n"/>
      <c r="D132" s="220" t="n"/>
      <c r="E132" s="221" t="inlineStr">
        <is>
          <t>CX</t>
        </is>
      </c>
      <c r="F132" s="686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20">
        <f>IFERROR(ROUNDUP(D132/F132,0),"")</f>
        <v/>
      </c>
      <c r="H132" s="224" t="n"/>
      <c r="I132" s="220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40" t="n"/>
      <c r="K132" s="552" t="n"/>
      <c r="L132" s="43" t="n"/>
      <c r="M132" s="552" t="n"/>
      <c r="N132" s="44" t="n"/>
    </row>
    <row r="133" ht="21" customHeight="1" s="468">
      <c r="A133" s="685" t="n"/>
      <c r="B133" s="218" t="n"/>
      <c r="C133" s="219" t="n"/>
      <c r="D133" s="220" t="n"/>
      <c r="E133" s="221" t="inlineStr">
        <is>
          <t>CX</t>
        </is>
      </c>
      <c r="F133" s="686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20">
        <f>IFERROR(ROUNDUP(D133/F133,0),"")</f>
        <v/>
      </c>
      <c r="H133" s="224" t="n"/>
      <c r="I133" s="220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636" t="n"/>
      <c r="K133" s="552" t="n"/>
      <c r="L133" s="55" t="n"/>
      <c r="M133" s="552" t="n"/>
      <c r="N133" s="57" t="n"/>
    </row>
    <row r="134" ht="21" customHeight="1" s="468">
      <c r="A134" s="685" t="n"/>
      <c r="B134" s="218" t="n"/>
      <c r="C134" s="219" t="n"/>
      <c r="D134" s="220" t="n"/>
      <c r="E134" s="221" t="inlineStr">
        <is>
          <t>CX</t>
        </is>
      </c>
      <c r="F134" s="686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20">
        <f>IFERROR(ROUNDUP(D134/F134,0),"")</f>
        <v/>
      </c>
      <c r="H134" s="224" t="n"/>
      <c r="I134" s="220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40" t="n"/>
      <c r="K134" s="552" t="n"/>
      <c r="L134" s="43" t="n"/>
      <c r="M134" s="552" t="n"/>
      <c r="N134" s="44" t="n"/>
    </row>
    <row r="135" ht="21" customHeight="1" s="468">
      <c r="A135" s="685" t="n"/>
      <c r="B135" s="218" t="n"/>
      <c r="C135" s="219" t="n"/>
      <c r="D135" s="220" t="n"/>
      <c r="E135" s="221" t="inlineStr">
        <is>
          <t>CX</t>
        </is>
      </c>
      <c r="F135" s="686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20">
        <f>IFERROR(ROUNDUP(D135/F135,0),"")</f>
        <v/>
      </c>
      <c r="H135" s="224" t="n"/>
      <c r="I135" s="220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655" t="n"/>
      <c r="K135" s="655" t="n"/>
      <c r="L135" s="89" t="n"/>
      <c r="M135" s="655" t="n"/>
      <c r="N135" s="90" t="n"/>
    </row>
    <row r="136" ht="15" customHeight="1" s="468">
      <c r="A136" s="658" t="n"/>
      <c r="B136" s="640" t="inlineStr">
        <is>
          <t>TOTAL</t>
        </is>
      </c>
      <c r="C136" s="667" t="n"/>
      <c r="D136" s="642">
        <f>IF(J136="","",TEXT(J136,"#,##0"))</f>
        <v/>
      </c>
      <c r="E136" s="668" t="n"/>
      <c r="F136" s="644" t="n"/>
      <c r="G136" s="642">
        <f>IF(K136="","",TEXT(K136,"#,##0"))</f>
        <v/>
      </c>
      <c r="H136" s="642">
        <f>IF(L136="","",TEXT(L136,"#,##0"))</f>
        <v/>
      </c>
      <c r="I136" s="642">
        <f>IF(M136="","",TEXT(M136,"#,##0"))</f>
        <v/>
      </c>
      <c r="J136" s="644">
        <f>SUM(D130:D135)</f>
        <v/>
      </c>
      <c r="K136" s="644">
        <f>SUM(G130:G135)</f>
        <v/>
      </c>
      <c r="L136" s="644">
        <f>SUM(H130:H135)</f>
        <v/>
      </c>
      <c r="M136" s="644">
        <f>SUM(I130:I135)</f>
        <v/>
      </c>
    </row>
    <row r="137" ht="6" customHeight="1" s="468">
      <c r="A137" s="638" t="n"/>
      <c r="C137" s="71" t="n"/>
      <c r="D137" s="552" t="n"/>
      <c r="F137" s="552" t="n"/>
      <c r="G137" s="552" t="n"/>
      <c r="H137" s="552" t="n"/>
      <c r="I137" s="552" t="n"/>
      <c r="J137" s="650" t="n"/>
      <c r="K137" s="650" t="n"/>
      <c r="L137" s="651" t="n"/>
      <c r="M137" s="650" t="n"/>
      <c r="N137" s="36" t="n"/>
    </row>
    <row r="138" ht="15" customHeight="1" s="468">
      <c r="A138" s="646" t="n">
        <v>46104</v>
      </c>
      <c r="B138" s="213" t="inlineStr">
        <is>
          <t>PRODUTO</t>
        </is>
      </c>
      <c r="C138" s="214" t="inlineStr">
        <is>
          <t>EMBALAGEM</t>
        </is>
      </c>
      <c r="D138" s="244" t="inlineStr">
        <is>
          <t>CAIXAS</t>
        </is>
      </c>
      <c r="E138" s="215" t="inlineStr">
        <is>
          <t>UN</t>
        </is>
      </c>
      <c r="F138" s="687" t="inlineStr">
        <is>
          <t>CX/PALLET</t>
        </is>
      </c>
      <c r="G138" s="244" t="inlineStr">
        <is>
          <t>PALLETS (PBR)</t>
        </is>
      </c>
      <c r="H138" s="244" t="inlineStr">
        <is>
          <t>REAL (CX)</t>
        </is>
      </c>
      <c r="I138" s="244" t="inlineStr">
        <is>
          <t>TOTAL LATAS</t>
        </is>
      </c>
      <c r="J138" s="40" t="n"/>
      <c r="K138" s="552" t="n"/>
      <c r="L138" s="43" t="n"/>
      <c r="M138" s="552" t="n"/>
      <c r="N138" s="44" t="n"/>
    </row>
    <row r="139" ht="21" customHeight="1" s="468">
      <c r="A139" s="685" t="n"/>
      <c r="B139" s="218" t="inlineStr">
        <is>
          <t>NORCAU PURATOS</t>
        </is>
      </c>
      <c r="C139" s="219" t="n">
        <v>600</v>
      </c>
      <c r="D139" s="220" t="n">
        <v>1140</v>
      </c>
      <c r="E139" s="221" t="inlineStr">
        <is>
          <t>CX</t>
        </is>
      </c>
      <c r="F139" s="686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220">
        <f>IFERROR(ROUNDUP(D139/F139,0),"")</f>
        <v/>
      </c>
      <c r="H139" s="224" t="n">
        <v>635</v>
      </c>
      <c r="I139" s="220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  <c r="J139" s="636" t="n"/>
      <c r="K139" s="552" t="n"/>
      <c r="L139" s="55" t="n"/>
      <c r="M139" s="637" t="n"/>
      <c r="N139" s="57" t="n"/>
    </row>
    <row r="140" ht="21" customHeight="1" s="468">
      <c r="A140" s="685" t="n"/>
      <c r="B140" s="218" t="inlineStr">
        <is>
          <t>ADIMIX</t>
        </is>
      </c>
      <c r="C140" s="219" t="n">
        <v>600</v>
      </c>
      <c r="D140" s="220" t="n">
        <v>665</v>
      </c>
      <c r="E140" s="221" t="inlineStr">
        <is>
          <t>CX</t>
        </is>
      </c>
      <c r="F140" s="686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20">
        <f>IFERROR(ROUNDUP(D140/F140,0),"")</f>
        <v/>
      </c>
      <c r="H140" s="224" t="n">
        <v>86</v>
      </c>
      <c r="I140" s="220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40" t="n"/>
      <c r="K140" s="552" t="n"/>
      <c r="L140" s="43" t="n"/>
      <c r="M140" s="637" t="n"/>
      <c r="N140" s="44" t="n"/>
    </row>
    <row r="141" ht="21" customHeight="1" s="468">
      <c r="A141" s="685" t="n"/>
      <c r="B141" s="218" t="n"/>
      <c r="C141" s="219" t="n"/>
      <c r="D141" s="220" t="n"/>
      <c r="E141" s="221" t="inlineStr">
        <is>
          <t>CX</t>
        </is>
      </c>
      <c r="F141" s="686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20">
        <f>IFERROR(ROUNDUP(D141/F141,0),"")</f>
        <v/>
      </c>
      <c r="H141" s="224" t="n"/>
      <c r="I141" s="220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636" t="n"/>
      <c r="K141" s="552" t="n"/>
      <c r="L141" s="55" t="n"/>
      <c r="M141" s="552" t="n"/>
      <c r="N141" s="57" t="n"/>
    </row>
    <row r="142" ht="21" customHeight="1" s="468">
      <c r="A142" s="685" t="n"/>
      <c r="B142" s="218" t="n"/>
      <c r="C142" s="219" t="n"/>
      <c r="D142" s="220" t="n"/>
      <c r="E142" s="221" t="inlineStr">
        <is>
          <t>CX</t>
        </is>
      </c>
      <c r="F142" s="686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20">
        <f>IFERROR(ROUNDUP(D142/F142,0),"")</f>
        <v/>
      </c>
      <c r="H142" s="224" t="n"/>
      <c r="I142" s="220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40" t="n"/>
      <c r="K142" s="552" t="n"/>
      <c r="L142" s="43" t="n"/>
      <c r="M142" s="552" t="n"/>
      <c r="N142" s="44" t="n"/>
    </row>
    <row r="143" ht="21" customHeight="1" s="468">
      <c r="A143" s="685" t="n"/>
      <c r="B143" s="218" t="n"/>
      <c r="C143" s="219" t="n"/>
      <c r="D143" s="220" t="n"/>
      <c r="E143" s="221" t="inlineStr">
        <is>
          <t>CX</t>
        </is>
      </c>
      <c r="F143" s="686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20">
        <f>IFERROR(ROUNDUP(D143/F143,0),"")</f>
        <v/>
      </c>
      <c r="H143" s="224" t="n"/>
      <c r="I143" s="220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636" t="n"/>
      <c r="K143" s="552" t="n"/>
      <c r="L143" s="55" t="n"/>
      <c r="M143" s="552" t="n"/>
      <c r="N143" s="57" t="n"/>
    </row>
    <row r="144" ht="21" customHeight="1" s="468">
      <c r="A144" s="685" t="n"/>
      <c r="B144" s="218" t="n"/>
      <c r="C144" s="219" t="n"/>
      <c r="D144" s="220" t="n"/>
      <c r="E144" s="221" t="inlineStr">
        <is>
          <t>CX</t>
        </is>
      </c>
      <c r="F144" s="686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20">
        <f>IFERROR(ROUNDUP(D144/F144,0),"")</f>
        <v/>
      </c>
      <c r="H144" s="224" t="n"/>
      <c r="I144" s="220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671" t="n"/>
      <c r="K144" s="552" t="n"/>
      <c r="L144" s="672" t="n"/>
      <c r="M144" s="552" t="n"/>
      <c r="N144" s="130" t="n"/>
    </row>
    <row r="145" ht="15" customHeight="1" s="468">
      <c r="A145" s="658" t="n"/>
      <c r="B145" s="640" t="inlineStr">
        <is>
          <t>TOTAL</t>
        </is>
      </c>
      <c r="C145" s="667" t="n"/>
      <c r="D145" s="642">
        <f>IF(J145="","",TEXT(J145,"#,##0"))</f>
        <v/>
      </c>
      <c r="E145" s="668" t="n"/>
      <c r="F145" s="644" t="n"/>
      <c r="G145" s="642">
        <f>IF(K145="","",TEXT(K145,"#,##0"))</f>
        <v/>
      </c>
      <c r="H145" s="642">
        <f>IF(L145="","",TEXT(L145,"#,##0"))</f>
        <v/>
      </c>
      <c r="I145" s="642">
        <f>IF(M145="","",TEXT(M145,"#,##0"))</f>
        <v/>
      </c>
      <c r="J145" s="645">
        <f>SUM(D139:D144)</f>
        <v/>
      </c>
      <c r="K145" s="644">
        <f>SUM(G139:G144)</f>
        <v/>
      </c>
      <c r="L145" s="644">
        <f>SUM(H139:H144)</f>
        <v/>
      </c>
      <c r="M145" s="644">
        <f>SUM(I139:I144)</f>
        <v/>
      </c>
      <c r="N145" s="130" t="n"/>
    </row>
    <row r="146" ht="6" customHeight="1" s="468">
      <c r="A146" s="638" t="n"/>
      <c r="C146" s="71" t="n"/>
      <c r="D146" s="552" t="n"/>
      <c r="F146" s="552" t="n"/>
      <c r="G146" s="552" t="n"/>
      <c r="H146" s="552" t="n"/>
      <c r="I146" s="552" t="n"/>
      <c r="J146" s="552" t="n"/>
      <c r="K146" s="552" t="n"/>
      <c r="L146" s="637" t="n"/>
      <c r="M146" s="552" t="n"/>
      <c r="N146" s="514" t="n"/>
    </row>
    <row r="147" ht="15" customHeight="1" s="468">
      <c r="A147" s="646" t="n">
        <v>46105</v>
      </c>
      <c r="B147" s="213" t="inlineStr">
        <is>
          <t>PRODUTO</t>
        </is>
      </c>
      <c r="C147" s="214" t="inlineStr">
        <is>
          <t>EMBALAGEM</t>
        </is>
      </c>
      <c r="D147" s="244" t="inlineStr">
        <is>
          <t>CAIXAS</t>
        </is>
      </c>
      <c r="E147" s="215" t="inlineStr">
        <is>
          <t>UN</t>
        </is>
      </c>
      <c r="F147" s="687" t="inlineStr">
        <is>
          <t>CX/PALLET</t>
        </is>
      </c>
      <c r="G147" s="244" t="inlineStr">
        <is>
          <t>PALLETS (PBR)</t>
        </is>
      </c>
      <c r="H147" s="244" t="inlineStr">
        <is>
          <t>REAL (CX)</t>
        </is>
      </c>
      <c r="I147" s="244" t="inlineStr">
        <is>
          <t>TOTAL LATAS</t>
        </is>
      </c>
      <c r="J147" s="655" t="n"/>
      <c r="K147" s="655" t="n"/>
      <c r="L147" s="89" t="n"/>
      <c r="M147" s="655" t="n"/>
      <c r="N147" s="90" t="n"/>
    </row>
    <row r="148" ht="21" customHeight="1" s="468">
      <c r="A148" s="685" t="n"/>
      <c r="B148" s="218" t="inlineStr">
        <is>
          <t>ADIMIX</t>
        </is>
      </c>
      <c r="C148" s="219" t="n">
        <v>600</v>
      </c>
      <c r="D148" s="220" t="n">
        <v>579</v>
      </c>
      <c r="E148" s="221" t="inlineStr">
        <is>
          <t>CX</t>
        </is>
      </c>
      <c r="F148" s="686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20">
        <f>IFERROR(ROUNDUP(D148/F148,0),"")</f>
        <v/>
      </c>
      <c r="H148" s="224" t="n">
        <v>466</v>
      </c>
      <c r="I148" s="220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552" t="n"/>
      <c r="K148" s="552" t="n"/>
      <c r="L148" s="552" t="n"/>
      <c r="M148" s="552" t="n"/>
    </row>
    <row r="149" ht="21" customHeight="1" s="468">
      <c r="A149" s="685" t="n"/>
      <c r="B149" s="218" t="inlineStr">
        <is>
          <t>ALLBREAD</t>
        </is>
      </c>
      <c r="C149" s="219" t="n">
        <v>600</v>
      </c>
      <c r="D149" s="220" t="n">
        <v>384</v>
      </c>
      <c r="E149" s="221" t="inlineStr">
        <is>
          <t>CX</t>
        </is>
      </c>
      <c r="F149" s="686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20">
        <f>IFERROR(ROUNDUP(D149/F149,0),"")</f>
        <v/>
      </c>
      <c r="H149" s="224" t="n"/>
      <c r="I149" s="220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650" t="n"/>
      <c r="K149" s="650" t="n"/>
      <c r="L149" s="651" t="n"/>
      <c r="M149" s="650" t="n"/>
      <c r="N149" s="36" t="n"/>
    </row>
    <row r="150" ht="21" customHeight="1" s="468">
      <c r="A150" s="685" t="n"/>
      <c r="B150" s="218" t="n"/>
      <c r="C150" s="219" t="n"/>
      <c r="D150" s="220" t="n"/>
      <c r="E150" s="221" t="inlineStr">
        <is>
          <t>CX</t>
        </is>
      </c>
      <c r="F150" s="686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20">
        <f>IFERROR(ROUNDUP(D150/F150,0),"")</f>
        <v/>
      </c>
      <c r="H150" s="224" t="n"/>
      <c r="I150" s="220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40" t="n"/>
      <c r="K150" s="552" t="n"/>
      <c r="L150" s="43" t="n"/>
      <c r="M150" s="552" t="n"/>
      <c r="N150" s="44" t="n"/>
    </row>
    <row r="151" ht="21" customHeight="1" s="468">
      <c r="A151" s="685" t="n"/>
      <c r="B151" s="218" t="n"/>
      <c r="C151" s="219" t="n"/>
      <c r="D151" s="220" t="n"/>
      <c r="E151" s="221" t="inlineStr">
        <is>
          <t>CX</t>
        </is>
      </c>
      <c r="F151" s="686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20">
        <f>IFERROR(ROUNDUP(D151/F151,0),"")</f>
        <v/>
      </c>
      <c r="H151" s="224" t="n"/>
      <c r="I151" s="220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636" t="n"/>
      <c r="K151" s="552" t="n"/>
      <c r="L151" s="55" t="n"/>
      <c r="M151" s="637" t="n"/>
      <c r="N151" s="57" t="n"/>
    </row>
    <row r="152" ht="21" customHeight="1" s="468">
      <c r="A152" s="685" t="n"/>
      <c r="B152" s="218" t="n"/>
      <c r="C152" s="219" t="n"/>
      <c r="D152" s="220" t="n"/>
      <c r="E152" s="221" t="inlineStr">
        <is>
          <t>CX</t>
        </is>
      </c>
      <c r="F152" s="68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20">
        <f>IFERROR(ROUNDUP(D152/F152,0),"")</f>
        <v/>
      </c>
      <c r="H152" s="224" t="n"/>
      <c r="I152" s="220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40" t="n"/>
      <c r="K152" s="552" t="n"/>
      <c r="L152" s="43" t="n"/>
      <c r="M152" s="637" t="n"/>
      <c r="N152" s="44" t="n"/>
    </row>
    <row r="153" ht="21" customHeight="1" s="468">
      <c r="A153" s="685" t="n"/>
      <c r="B153" s="218" t="n"/>
      <c r="C153" s="219" t="n"/>
      <c r="D153" s="220" t="n"/>
      <c r="E153" s="221" t="inlineStr">
        <is>
          <t>CX</t>
        </is>
      </c>
      <c r="F153" s="686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220">
        <f>IFERROR(ROUNDUP(D153/F153,0),"")</f>
        <v/>
      </c>
      <c r="H153" s="224" t="n"/>
      <c r="I153" s="220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636" t="n"/>
      <c r="K153" s="552" t="n"/>
      <c r="L153" s="55" t="n"/>
      <c r="M153" s="552" t="n"/>
      <c r="N153" s="57" t="n"/>
    </row>
    <row r="154" ht="15" customHeight="1" s="468">
      <c r="A154" s="658" t="n"/>
      <c r="B154" s="640" t="inlineStr">
        <is>
          <t>TOTAL</t>
        </is>
      </c>
      <c r="C154" s="667" t="n"/>
      <c r="D154" s="642">
        <f>IF(J154="","",TEXT(J154,"#,##0"))</f>
        <v/>
      </c>
      <c r="E154" s="668" t="n"/>
      <c r="F154" s="644" t="n"/>
      <c r="G154" s="642">
        <f>IF(K154="","",TEXT(K154,"#,##0"))</f>
        <v/>
      </c>
      <c r="H154" s="642">
        <f>IF(L154="","",TEXT(L154,"#,##0"))</f>
        <v/>
      </c>
      <c r="I154" s="642">
        <f>IF(M154="","",TEXT(M154,"#,##0"))</f>
        <v/>
      </c>
      <c r="J154" s="645">
        <f>SUM(D148:D153)</f>
        <v/>
      </c>
      <c r="K154" s="644">
        <f>SUM(G148:G153)</f>
        <v/>
      </c>
      <c r="L154" s="645">
        <f>SUM(H148:H153)</f>
        <v/>
      </c>
      <c r="M154" s="644">
        <f>SUM(I148:I153)</f>
        <v/>
      </c>
      <c r="N154" s="44" t="n"/>
    </row>
    <row r="155" ht="6" customHeight="1" s="468">
      <c r="A155" s="638" t="n"/>
      <c r="C155" s="71" t="n"/>
      <c r="D155" s="552" t="n"/>
      <c r="F155" s="552" t="n"/>
      <c r="G155" s="552" t="n"/>
      <c r="H155" s="552" t="n"/>
      <c r="I155" s="552" t="n"/>
      <c r="J155" s="636" t="n"/>
      <c r="K155" s="552" t="n"/>
      <c r="L155" s="55" t="n"/>
      <c r="M155" s="552" t="n"/>
      <c r="N155" s="57" t="n"/>
    </row>
    <row r="156" ht="15" customHeight="1" s="468">
      <c r="A156" s="646" t="n">
        <v>46106</v>
      </c>
      <c r="B156" s="213" t="inlineStr">
        <is>
          <t>PRODUTO</t>
        </is>
      </c>
      <c r="C156" s="214" t="inlineStr">
        <is>
          <t>EMBALAGEM</t>
        </is>
      </c>
      <c r="D156" s="244" t="inlineStr">
        <is>
          <t>CAIXAS</t>
        </is>
      </c>
      <c r="E156" s="215" t="inlineStr">
        <is>
          <t>UN</t>
        </is>
      </c>
      <c r="F156" s="687" t="inlineStr">
        <is>
          <t>CX/PALLET</t>
        </is>
      </c>
      <c r="G156" s="244" t="inlineStr">
        <is>
          <t>PALLETS (PBR)</t>
        </is>
      </c>
      <c r="H156" s="244" t="inlineStr">
        <is>
          <t>REAL (CX)</t>
        </is>
      </c>
      <c r="I156" s="244" t="inlineStr">
        <is>
          <t>TOTAL LATAS</t>
        </is>
      </c>
      <c r="J156" s="655" t="n"/>
      <c r="K156" s="655" t="n"/>
      <c r="L156" s="89" t="n"/>
      <c r="M156" s="655" t="n"/>
      <c r="N156" s="90" t="n"/>
    </row>
    <row r="157" ht="21" customHeight="1" s="468">
      <c r="A157" s="685" t="n"/>
      <c r="B157" s="218" t="inlineStr">
        <is>
          <t>ADIMIX</t>
        </is>
      </c>
      <c r="C157" s="219" t="n">
        <v>600</v>
      </c>
      <c r="D157" s="220" t="n">
        <v>113</v>
      </c>
      <c r="E157" s="221" t="inlineStr">
        <is>
          <t>CX</t>
        </is>
      </c>
      <c r="F157" s="68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20">
        <f>IFERROR(ROUNDUP(D157/F157,0),"")</f>
        <v/>
      </c>
      <c r="H157" s="224" t="n">
        <v>120</v>
      </c>
      <c r="I157" s="220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 t="n"/>
      <c r="K157" s="552" t="n"/>
      <c r="L157" s="552" t="n"/>
      <c r="M157" s="552" t="n"/>
    </row>
    <row r="158" ht="21" customHeight="1" s="468">
      <c r="A158" s="685" t="n"/>
      <c r="B158" s="218" t="inlineStr">
        <is>
          <t>ALLBREAD</t>
        </is>
      </c>
      <c r="C158" s="219" t="n">
        <v>600</v>
      </c>
      <c r="D158" s="220" t="n">
        <v>384</v>
      </c>
      <c r="E158" s="221" t="inlineStr">
        <is>
          <t>CX</t>
        </is>
      </c>
      <c r="F158" s="68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20">
        <f>IFERROR(ROUNDUP(D158/F158,0),"")</f>
        <v/>
      </c>
      <c r="H158" s="224" t="n">
        <v>384</v>
      </c>
      <c r="I158" s="220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650" t="n"/>
      <c r="K158" s="650" t="n"/>
      <c r="L158" s="651" t="n"/>
      <c r="M158" s="650" t="n"/>
      <c r="N158" s="36" t="n"/>
    </row>
    <row r="159" ht="21" customHeight="1" s="468">
      <c r="A159" s="685" t="n"/>
      <c r="B159" s="218" t="inlineStr">
        <is>
          <t xml:space="preserve">COPRA SEM SABOR </t>
        </is>
      </c>
      <c r="C159" s="219" t="n">
        <v>100</v>
      </c>
      <c r="D159" s="220" t="n">
        <v>875</v>
      </c>
      <c r="E159" s="221" t="inlineStr">
        <is>
          <t>CX</t>
        </is>
      </c>
      <c r="F159" s="686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20">
        <f>IFERROR(ROUNDUP(D159/F159,0),"")</f>
        <v/>
      </c>
      <c r="H159" s="224" t="n">
        <v>251</v>
      </c>
      <c r="I159" s="220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636" t="n"/>
      <c r="K159" s="552" t="n"/>
      <c r="L159" s="55" t="n"/>
      <c r="M159" s="552" t="n"/>
      <c r="N159" s="57" t="n"/>
    </row>
    <row r="160" ht="21" customHeight="1" s="468">
      <c r="A160" s="685" t="n"/>
      <c r="B160" s="218" t="n"/>
      <c r="C160" s="219" t="n"/>
      <c r="D160" s="220" t="n"/>
      <c r="E160" s="221" t="inlineStr">
        <is>
          <t>CX</t>
        </is>
      </c>
      <c r="F160" s="68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20">
        <f>IFERROR(ROUNDUP(D160/F160,0),"")</f>
        <v/>
      </c>
      <c r="H160" s="224" t="n"/>
      <c r="I160" s="22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40" t="n"/>
      <c r="K160" s="552" t="n"/>
      <c r="L160" s="43" t="n"/>
      <c r="M160" s="637" t="n"/>
      <c r="N160" s="44" t="n"/>
    </row>
    <row r="161" ht="21" customHeight="1" s="468">
      <c r="A161" s="685" t="n"/>
      <c r="B161" s="218" t="n"/>
      <c r="C161" s="219" t="n"/>
      <c r="D161" s="220" t="n"/>
      <c r="E161" s="221" t="inlineStr">
        <is>
          <t>CX</t>
        </is>
      </c>
      <c r="F161" s="686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220">
        <f>IFERROR(ROUNDUP(D161/F161,0),"")</f>
        <v/>
      </c>
      <c r="H161" s="224" t="n"/>
      <c r="I161" s="220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  <c r="J161" s="636" t="n"/>
      <c r="K161" s="552" t="n"/>
      <c r="L161" s="55" t="n"/>
      <c r="M161" s="637" t="n"/>
      <c r="N161" s="57" t="n"/>
    </row>
    <row r="162" ht="21" customHeight="1" s="468">
      <c r="A162" s="685" t="n"/>
      <c r="B162" s="218" t="n"/>
      <c r="C162" s="219" t="n"/>
      <c r="D162" s="220" t="n"/>
      <c r="E162" s="221" t="inlineStr">
        <is>
          <t>CX</t>
        </is>
      </c>
      <c r="F162" s="686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220">
        <f>IFERROR(ROUNDUP(D162/F162,0),"")</f>
        <v/>
      </c>
      <c r="H162" s="224" t="n"/>
      <c r="I162" s="220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40" t="n"/>
      <c r="K162" s="552" t="n"/>
      <c r="L162" s="43" t="n"/>
      <c r="M162" s="552" t="n"/>
      <c r="N162" s="44" t="n"/>
    </row>
    <row r="163" ht="15" customHeight="1" s="468">
      <c r="A163" s="658" t="n"/>
      <c r="B163" s="640" t="inlineStr">
        <is>
          <t>TOTAL</t>
        </is>
      </c>
      <c r="C163" s="667" t="n"/>
      <c r="D163" s="642">
        <f>IF(J163="","",TEXT(J163,"#,##0"))</f>
        <v/>
      </c>
      <c r="E163" s="668" t="n"/>
      <c r="F163" s="644" t="n"/>
      <c r="G163" s="642">
        <f>IF(K163="","",TEXT(K163,"#,##0"))</f>
        <v/>
      </c>
      <c r="H163" s="642">
        <f>IF(L163="","",TEXT(L163,"#,##0"))</f>
        <v/>
      </c>
      <c r="I163" s="642">
        <f>IF(M163="","",TEXT(M163,"#,##0"))</f>
        <v/>
      </c>
      <c r="J163" s="645">
        <f>SUM(D157:D162)</f>
        <v/>
      </c>
      <c r="K163" s="644">
        <f>SUM(G157:G162)</f>
        <v/>
      </c>
      <c r="L163" s="645">
        <f>SUM(H157:H162)</f>
        <v/>
      </c>
      <c r="M163" s="644">
        <f>SUM(I157:I162)</f>
        <v/>
      </c>
      <c r="N163" s="57" t="n"/>
    </row>
    <row r="164" ht="6" customHeight="1" s="468">
      <c r="A164" s="638" t="n"/>
      <c r="C164" s="71" t="n"/>
      <c r="D164" s="552" t="n"/>
      <c r="F164" s="552" t="n"/>
      <c r="G164" s="552" t="n"/>
      <c r="H164" s="552" t="n"/>
      <c r="I164" s="552" t="n"/>
      <c r="J164" s="670" t="n"/>
      <c r="K164" s="655" t="n"/>
      <c r="L164" s="126" t="n"/>
      <c r="M164" s="655" t="n"/>
      <c r="N164" s="127" t="n"/>
    </row>
    <row r="165" ht="15" customHeight="1" s="468">
      <c r="A165" s="646" t="n">
        <v>46107</v>
      </c>
      <c r="B165" s="213" t="inlineStr">
        <is>
          <t>PRODUTO</t>
        </is>
      </c>
      <c r="C165" s="214" t="inlineStr">
        <is>
          <t>EMBALAGEM</t>
        </is>
      </c>
      <c r="D165" s="244" t="inlineStr">
        <is>
          <t>CAIXAS</t>
        </is>
      </c>
      <c r="E165" s="215" t="inlineStr">
        <is>
          <t>UN</t>
        </is>
      </c>
      <c r="F165" s="687" t="inlineStr">
        <is>
          <t>CX/PALLET</t>
        </is>
      </c>
      <c r="G165" s="244" t="inlineStr">
        <is>
          <t>PALLETS (PBR)</t>
        </is>
      </c>
      <c r="H165" s="244" t="inlineStr">
        <is>
          <t>REAL (CX)</t>
        </is>
      </c>
      <c r="I165" s="244" t="inlineStr">
        <is>
          <t>TOTAL LATAS</t>
        </is>
      </c>
      <c r="J165" s="552" t="n"/>
      <c r="K165" s="552" t="n"/>
      <c r="L165" s="552" t="n"/>
      <c r="M165" s="552" t="n"/>
    </row>
    <row r="166" ht="21" customHeight="1" s="468">
      <c r="A166" s="685" t="n"/>
      <c r="B166" s="218" t="inlineStr">
        <is>
          <t xml:space="preserve">COPRA SEM SABOR </t>
        </is>
      </c>
      <c r="C166" s="219" t="n">
        <v>100</v>
      </c>
      <c r="D166" s="220" t="n">
        <v>624</v>
      </c>
      <c r="E166" s="221" t="inlineStr">
        <is>
          <t>CX</t>
        </is>
      </c>
      <c r="F166" s="686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20">
        <f>IFERROR(ROUNDUP(D166/F166,0),"")</f>
        <v/>
      </c>
      <c r="H166" s="224" t="n">
        <v>1488</v>
      </c>
      <c r="I166" s="220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648" t="n"/>
      <c r="K166" s="650" t="n"/>
      <c r="L166" s="674" t="n"/>
      <c r="M166" s="650" t="n"/>
      <c r="N166" s="463" t="n"/>
    </row>
    <row r="167" ht="21" customHeight="1" s="468">
      <c r="A167" s="685" t="n"/>
      <c r="B167" s="218" t="n"/>
      <c r="C167" s="219" t="n"/>
      <c r="D167" s="220" t="n"/>
      <c r="E167" s="221" t="inlineStr">
        <is>
          <t>CX</t>
        </is>
      </c>
      <c r="F167" s="686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20">
        <f>IFERROR(ROUNDUP(D167/F167,0),"")</f>
        <v/>
      </c>
      <c r="H167" s="224" t="n"/>
      <c r="I167" s="220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552" t="n"/>
      <c r="K167" s="552" t="n"/>
      <c r="L167" s="637" t="n"/>
      <c r="M167" s="552" t="n"/>
      <c r="N167" s="514" t="n"/>
    </row>
    <row r="168" ht="21" customHeight="1" s="468">
      <c r="A168" s="685" t="n"/>
      <c r="B168" s="218" t="n"/>
      <c r="C168" s="219" t="n"/>
      <c r="D168" s="220" t="n"/>
      <c r="E168" s="221" t="inlineStr">
        <is>
          <t>CX</t>
        </is>
      </c>
      <c r="F168" s="68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20">
        <f>IFERROR(ROUNDUP(D168/F168,0),"")</f>
        <v/>
      </c>
      <c r="H168" s="224" t="n"/>
      <c r="I168" s="220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 t="n"/>
      <c r="K168" s="552" t="n"/>
      <c r="L168" s="637" t="n"/>
      <c r="M168" s="637" t="n"/>
      <c r="N168" s="514" t="n"/>
    </row>
    <row r="169" ht="21" customHeight="1" s="468">
      <c r="A169" s="685" t="n"/>
      <c r="B169" s="218" t="n"/>
      <c r="C169" s="219" t="n"/>
      <c r="D169" s="220" t="n"/>
      <c r="E169" s="221" t="inlineStr">
        <is>
          <t>CX</t>
        </is>
      </c>
      <c r="F169" s="686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220">
        <f>IFERROR(ROUNDUP(D169/F169,0),"")</f>
        <v/>
      </c>
      <c r="H169" s="224" t="n"/>
      <c r="I169" s="220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J169" s="552" t="n"/>
      <c r="K169" s="552" t="n"/>
      <c r="L169" s="637" t="n"/>
      <c r="M169" s="637" t="n"/>
      <c r="N169" s="514" t="n"/>
    </row>
    <row r="170" ht="21" customHeight="1" s="468">
      <c r="A170" s="685" t="n"/>
      <c r="B170" s="218" t="n"/>
      <c r="C170" s="219" t="n"/>
      <c r="D170" s="220" t="n"/>
      <c r="E170" s="221" t="inlineStr">
        <is>
          <t>CX</t>
        </is>
      </c>
      <c r="F170" s="686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220">
        <f>IFERROR(ROUNDUP(D170/F170,0),"")</f>
        <v/>
      </c>
      <c r="H170" s="224" t="n"/>
      <c r="I170" s="220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J170" s="552" t="n"/>
      <c r="K170" s="552" t="n"/>
      <c r="L170" s="637" t="n"/>
      <c r="M170" s="552" t="n"/>
      <c r="N170" s="514" t="n"/>
    </row>
    <row r="171" ht="21" customHeight="1" s="468">
      <c r="A171" s="685" t="n"/>
      <c r="B171" s="218" t="n"/>
      <c r="C171" s="219" t="n"/>
      <c r="D171" s="220" t="n"/>
      <c r="E171" s="221" t="inlineStr">
        <is>
          <t>CX</t>
        </is>
      </c>
      <c r="F171" s="686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220">
        <f>IFERROR(ROUNDUP(D171/F171,0),"")</f>
        <v/>
      </c>
      <c r="H171" s="224" t="n"/>
      <c r="I171" s="220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  <c r="J171" s="552" t="n"/>
      <c r="K171" s="552" t="n"/>
      <c r="L171" s="637" t="n"/>
      <c r="M171" s="552" t="n"/>
      <c r="N171" s="514" t="n"/>
    </row>
    <row r="172" ht="15" customHeight="1" s="468">
      <c r="A172" s="658" t="n"/>
      <c r="B172" s="640" t="inlineStr">
        <is>
          <t>TOTAL</t>
        </is>
      </c>
      <c r="C172" s="667" t="n"/>
      <c r="D172" s="642">
        <f>IF(J172="","",TEXT(J172,"#,##0"))</f>
        <v/>
      </c>
      <c r="E172" s="668" t="n"/>
      <c r="F172" s="644" t="n"/>
      <c r="G172" s="642">
        <f>IF(K172="","",TEXT(K172,"#,##0"))</f>
        <v/>
      </c>
      <c r="H172" s="642">
        <f>IF(L172="","",TEXT(L172,"#,##0"))</f>
        <v/>
      </c>
      <c r="I172" s="642">
        <f>IF(M172="","",TEXT(M172,"#,##0"))</f>
        <v/>
      </c>
      <c r="J172" s="644">
        <f>SUM(D166:D171)</f>
        <v/>
      </c>
      <c r="K172" s="644">
        <f>SUM(G166:G171)</f>
        <v/>
      </c>
      <c r="L172" s="644">
        <f>SUM(H166:H171)</f>
        <v/>
      </c>
      <c r="M172" s="644">
        <f>SUM(I166:I171)</f>
        <v/>
      </c>
      <c r="N172" s="466" t="n"/>
    </row>
    <row r="173" ht="6" customHeight="1" s="468">
      <c r="A173" s="638" t="n"/>
      <c r="C173" s="71" t="n"/>
      <c r="D173" s="552" t="n"/>
      <c r="F173" s="552" t="n"/>
      <c r="G173" s="552" t="n"/>
      <c r="H173" s="552" t="n"/>
      <c r="I173" s="552" t="n"/>
      <c r="J173" s="552" t="n"/>
      <c r="K173" s="552" t="n"/>
      <c r="L173" s="552" t="n"/>
      <c r="M173" s="552" t="n"/>
    </row>
    <row r="174" ht="15" customHeight="1" s="468">
      <c r="A174" s="646" t="n">
        <v>46108</v>
      </c>
      <c r="B174" s="213" t="inlineStr">
        <is>
          <t>PRODUTO</t>
        </is>
      </c>
      <c r="C174" s="214" t="inlineStr">
        <is>
          <t>EMBALAGEM</t>
        </is>
      </c>
      <c r="D174" s="244" t="inlineStr">
        <is>
          <t>CAIXAS</t>
        </is>
      </c>
      <c r="E174" s="215" t="inlineStr">
        <is>
          <t>UN</t>
        </is>
      </c>
      <c r="F174" s="687" t="inlineStr">
        <is>
          <t>CX/PALLET</t>
        </is>
      </c>
      <c r="G174" s="244" t="inlineStr">
        <is>
          <t>PALLETS (PBR)</t>
        </is>
      </c>
      <c r="H174" s="244" t="inlineStr">
        <is>
          <t>REAL (CX)</t>
        </is>
      </c>
      <c r="I174" s="244" t="inlineStr">
        <is>
          <t>TOTAL LATAS</t>
        </is>
      </c>
      <c r="J174" s="648" t="n"/>
      <c r="K174" s="650" t="n"/>
      <c r="L174" s="674" t="n"/>
      <c r="M174" s="650" t="n"/>
      <c r="N174" s="463" t="n"/>
    </row>
    <row r="175" ht="21" customHeight="1" s="468">
      <c r="A175" s="685" t="n"/>
      <c r="B175" s="218" t="inlineStr">
        <is>
          <t>COPRA SEM SABOR</t>
        </is>
      </c>
      <c r="C175" s="219" t="n">
        <v>100</v>
      </c>
      <c r="D175" s="220" t="n">
        <v>546</v>
      </c>
      <c r="E175" s="221" t="inlineStr">
        <is>
          <t>CX</t>
        </is>
      </c>
      <c r="F175" s="686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20">
        <f>IFERROR(ROUNDUP(D175/F175,0),"")</f>
        <v/>
      </c>
      <c r="H175" s="224" t="n">
        <v>780</v>
      </c>
      <c r="I175" s="220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552" t="n"/>
      <c r="K175" s="552" t="n"/>
      <c r="L175" s="637" t="n"/>
      <c r="M175" s="552" t="n"/>
      <c r="N175" s="514" t="n"/>
    </row>
    <row r="176" ht="21" customHeight="1" s="468">
      <c r="A176" s="685" t="n"/>
      <c r="B176" s="218" t="inlineStr">
        <is>
          <t>COPRA EXTRAVIRGEM</t>
        </is>
      </c>
      <c r="C176" s="219" t="n">
        <v>100</v>
      </c>
      <c r="D176" s="220" t="n">
        <v>835</v>
      </c>
      <c r="E176" s="221" t="inlineStr">
        <is>
          <t>CX</t>
        </is>
      </c>
      <c r="F176" s="68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20">
        <f>IFERROR(ROUNDUP(D176/F176,0),"")</f>
        <v/>
      </c>
      <c r="H176" s="224" t="n">
        <v>255</v>
      </c>
      <c r="I176" s="220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 t="n"/>
      <c r="K176" s="552" t="n"/>
      <c r="L176" s="637" t="n"/>
      <c r="M176" s="637" t="n"/>
      <c r="N176" s="514" t="n"/>
    </row>
    <row r="177" ht="21" customHeight="1" s="468">
      <c r="A177" s="685" t="n"/>
      <c r="B177" s="218" t="n"/>
      <c r="C177" s="219" t="n"/>
      <c r="D177" s="220" t="n"/>
      <c r="E177" s="221" t="inlineStr">
        <is>
          <t>CX</t>
        </is>
      </c>
      <c r="F177" s="686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220">
        <f>IFERROR(ROUNDUP(D177/F177,0),"")</f>
        <v/>
      </c>
      <c r="H177" s="224" t="n"/>
      <c r="I177" s="220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J177" s="552" t="n"/>
      <c r="K177" s="552" t="n"/>
      <c r="L177" s="637" t="n"/>
      <c r="M177" s="637" t="n"/>
      <c r="N177" s="514" t="n"/>
    </row>
    <row r="178" ht="21" customHeight="1" s="468">
      <c r="A178" s="685" t="n"/>
      <c r="B178" s="218" t="n"/>
      <c r="C178" s="219" t="n"/>
      <c r="D178" s="220" t="n"/>
      <c r="E178" s="221" t="inlineStr">
        <is>
          <t>CX</t>
        </is>
      </c>
      <c r="F178" s="686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220">
        <f>IFERROR(ROUNDUP(D178/F178,0),"")</f>
        <v/>
      </c>
      <c r="H178" s="224" t="n"/>
      <c r="I178" s="220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J178" s="552" t="n"/>
      <c r="K178" s="552" t="n"/>
      <c r="L178" s="637" t="n"/>
      <c r="M178" s="552" t="n"/>
      <c r="N178" s="514" t="n"/>
    </row>
    <row r="179" ht="21" customHeight="1" s="468">
      <c r="A179" s="685" t="n"/>
      <c r="B179" s="218" t="n"/>
      <c r="C179" s="219" t="n"/>
      <c r="D179" s="220" t="n"/>
      <c r="E179" s="221" t="inlineStr">
        <is>
          <t>CX</t>
        </is>
      </c>
      <c r="F179" s="686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220">
        <f>IFERROR(ROUNDUP(D179/F179,0),"")</f>
        <v/>
      </c>
      <c r="H179" s="224" t="n"/>
      <c r="I179" s="220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  <c r="J179" s="552" t="n"/>
      <c r="K179" s="552" t="n"/>
      <c r="L179" s="637" t="n"/>
      <c r="M179" s="552" t="n"/>
      <c r="N179" s="514" t="n"/>
    </row>
    <row r="180" ht="21" customHeight="1" s="468">
      <c r="A180" s="685" t="n"/>
      <c r="B180" s="218" t="n"/>
      <c r="C180" s="219" t="n"/>
      <c r="D180" s="220" t="n"/>
      <c r="E180" s="221" t="inlineStr">
        <is>
          <t>CX</t>
        </is>
      </c>
      <c r="F180" s="686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20">
        <f>IFERROR(ROUNDUP(D180/F180,0),"")</f>
        <v/>
      </c>
      <c r="H180" s="224" t="n"/>
      <c r="I180" s="220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655" t="n"/>
      <c r="K180" s="655" t="n"/>
      <c r="L180" s="89" t="n"/>
      <c r="M180" s="655" t="n"/>
      <c r="N180" s="466" t="n"/>
    </row>
    <row r="181" ht="15" customHeight="1" s="468">
      <c r="A181" s="658" t="n"/>
      <c r="B181" s="640" t="inlineStr">
        <is>
          <t>TOTAL</t>
        </is>
      </c>
      <c r="C181" s="667" t="n"/>
      <c r="D181" s="642">
        <f>IF(J181="","",TEXT(J181,"#,##0"))</f>
        <v/>
      </c>
      <c r="E181" s="668" t="n"/>
      <c r="F181" s="644" t="n"/>
      <c r="G181" s="642">
        <f>IF(K181="","",TEXT(K181,"#,##0"))</f>
        <v/>
      </c>
      <c r="H181" s="642">
        <f>IF(L181="","",TEXT(L181,"#,##0"))</f>
        <v/>
      </c>
      <c r="I181" s="642">
        <f>IF(M181="","",TEXT(M181,"#,##0"))</f>
        <v/>
      </c>
      <c r="J181" s="644">
        <f>SUM(D175:D180)</f>
        <v/>
      </c>
      <c r="K181" s="644">
        <f>SUM(G175:G180)</f>
        <v/>
      </c>
      <c r="L181" s="644">
        <f>SUM(H175:H180)</f>
        <v/>
      </c>
      <c r="M181" s="644">
        <f>SUM(I175:I180)</f>
        <v/>
      </c>
    </row>
    <row r="182" ht="6" customHeight="1" s="468">
      <c r="A182" s="638" t="n"/>
      <c r="C182" s="71" t="n"/>
      <c r="D182" s="552" t="n"/>
      <c r="F182" s="552" t="n"/>
      <c r="G182" s="552" t="n"/>
      <c r="H182" s="552" t="n"/>
      <c r="I182" s="552" t="n"/>
      <c r="J182" s="552" t="n"/>
      <c r="K182" s="552" t="n"/>
      <c r="L182" s="552" t="n"/>
      <c r="M182" s="552" t="n"/>
    </row>
    <row r="183" ht="15" customHeight="1" s="468">
      <c r="A183" s="646" t="n">
        <v>46111</v>
      </c>
      <c r="B183" s="213" t="inlineStr">
        <is>
          <t>PRODUTO</t>
        </is>
      </c>
      <c r="C183" s="214" t="inlineStr">
        <is>
          <t>EMBALAGEM</t>
        </is>
      </c>
      <c r="D183" s="244" t="inlineStr">
        <is>
          <t>CAIXAS</t>
        </is>
      </c>
      <c r="E183" s="215" t="inlineStr">
        <is>
          <t>UN</t>
        </is>
      </c>
      <c r="F183" s="687" t="inlineStr">
        <is>
          <t>CX/PALLET</t>
        </is>
      </c>
      <c r="G183" s="244" t="inlineStr">
        <is>
          <t>PALLETS (PBR)</t>
        </is>
      </c>
      <c r="H183" s="244" t="inlineStr">
        <is>
          <t>REAL (CX)</t>
        </is>
      </c>
      <c r="I183" s="244" t="inlineStr">
        <is>
          <t>TOTAL LATAS</t>
        </is>
      </c>
      <c r="J183" s="552" t="n"/>
      <c r="K183" s="552" t="n"/>
      <c r="L183" s="552" t="n"/>
      <c r="M183" s="552" t="n"/>
    </row>
    <row r="184" ht="21" customHeight="1" s="468">
      <c r="A184" s="685" t="n"/>
      <c r="B184" s="218" t="inlineStr">
        <is>
          <t>COPRA EXTRAVIRGEM</t>
        </is>
      </c>
      <c r="C184" s="219" t="n">
        <v>100</v>
      </c>
      <c r="D184" s="220" t="n">
        <v>580</v>
      </c>
      <c r="E184" s="221" t="inlineStr">
        <is>
          <t>CX</t>
        </is>
      </c>
      <c r="F184" s="686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20">
        <f>IFERROR(ROUNDUP(D184/F184,0),"")</f>
        <v/>
      </c>
      <c r="H184" s="224" t="n">
        <v>571</v>
      </c>
      <c r="I184" s="220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552" t="n"/>
      <c r="K184" s="552" t="n"/>
      <c r="L184" s="552" t="n"/>
      <c r="M184" s="552" t="n"/>
    </row>
    <row r="185" ht="21" customHeight="1" s="468">
      <c r="A185" s="685" t="n"/>
      <c r="B185" s="218" t="inlineStr">
        <is>
          <t>UNTA FACIL</t>
        </is>
      </c>
      <c r="C185" s="219" t="n">
        <v>180</v>
      </c>
      <c r="D185" s="220" t="n">
        <v>1200</v>
      </c>
      <c r="E185" s="221" t="inlineStr">
        <is>
          <t>CX</t>
        </is>
      </c>
      <c r="F185" s="686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/>
      </c>
      <c r="G185" s="220">
        <f>IFERROR(ROUNDUP(D185/F185,0),"")</f>
        <v/>
      </c>
      <c r="H185" s="224" t="n">
        <v>896</v>
      </c>
      <c r="I185" s="220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/>
      </c>
      <c r="J185" s="552" t="n"/>
      <c r="K185" s="552" t="n"/>
      <c r="L185" s="552" t="n"/>
      <c r="M185" s="552" t="n"/>
    </row>
    <row r="186" ht="21" customHeight="1" s="468">
      <c r="A186" s="685" t="n"/>
      <c r="B186" s="218" t="n"/>
      <c r="C186" s="219" t="n"/>
      <c r="D186" s="220" t="n"/>
      <c r="E186" s="221" t="inlineStr">
        <is>
          <t>CX</t>
        </is>
      </c>
      <c r="F186" s="686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220">
        <f>IFERROR(ROUNDUP(D186/F186,0),"")</f>
        <v/>
      </c>
      <c r="H186" s="224" t="n"/>
      <c r="I186" s="220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  <c r="J186" s="552" t="n"/>
      <c r="K186" s="552" t="n"/>
      <c r="L186" s="552" t="n"/>
      <c r="M186" s="552" t="n"/>
    </row>
    <row r="187" ht="21" customHeight="1" s="468">
      <c r="A187" s="685" t="n"/>
      <c r="B187" s="218" t="n"/>
      <c r="C187" s="219" t="n"/>
      <c r="D187" s="220" t="n"/>
      <c r="E187" s="221" t="inlineStr">
        <is>
          <t>CX</t>
        </is>
      </c>
      <c r="F187" s="686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220">
        <f>IFERROR(ROUNDUP(D187/F187,0),"")</f>
        <v/>
      </c>
      <c r="H187" s="224" t="n"/>
      <c r="I187" s="220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  <c r="J187" s="552" t="n"/>
      <c r="K187" s="552" t="n"/>
      <c r="L187" s="552" t="n"/>
      <c r="M187" s="552" t="n"/>
    </row>
    <row r="188" ht="21" customHeight="1" s="468">
      <c r="A188" s="685" t="n"/>
      <c r="B188" s="218" t="n"/>
      <c r="C188" s="219" t="n"/>
      <c r="D188" s="220" t="n"/>
      <c r="E188" s="221" t="inlineStr">
        <is>
          <t>CX</t>
        </is>
      </c>
      <c r="F188" s="686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20">
        <f>IFERROR(ROUNDUP(D188/F188,0),"")</f>
        <v/>
      </c>
      <c r="H188" s="224" t="n"/>
      <c r="I188" s="220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552" t="n"/>
      <c r="K188" s="552" t="n"/>
      <c r="L188" s="552" t="n"/>
      <c r="M188" s="552" t="n"/>
    </row>
    <row r="189" ht="21" customHeight="1" s="468">
      <c r="A189" s="685" t="n"/>
      <c r="B189" s="218" t="n"/>
      <c r="C189" s="219" t="n"/>
      <c r="D189" s="220" t="n"/>
      <c r="E189" s="221" t="inlineStr">
        <is>
          <t>CX</t>
        </is>
      </c>
      <c r="F189" s="686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20">
        <f>IFERROR(ROUNDUP(D189/F189,0),"")</f>
        <v/>
      </c>
      <c r="H189" s="224" t="n"/>
      <c r="I189" s="220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552" t="n"/>
      <c r="K189" s="552" t="n"/>
      <c r="L189" s="552" t="n"/>
      <c r="M189" s="552" t="n"/>
    </row>
    <row r="190" ht="15" customHeight="1" s="468">
      <c r="A190" s="658" t="n"/>
      <c r="B190" s="640" t="inlineStr">
        <is>
          <t>TOTAL</t>
        </is>
      </c>
      <c r="C190" s="667" t="n"/>
      <c r="D190" s="642">
        <f>IF(J190="","",TEXT(J190,"#,##0"))</f>
        <v/>
      </c>
      <c r="E190" s="668" t="n"/>
      <c r="F190" s="644" t="n"/>
      <c r="G190" s="642">
        <f>IF(K190="","",TEXT(K190,"#,##0"))</f>
        <v/>
      </c>
      <c r="H190" s="642">
        <f>IF(L190="","",TEXT(L190,"#,##0"))</f>
        <v/>
      </c>
      <c r="I190" s="642">
        <f>IF(M190="","",TEXT(M190,"#,##0"))</f>
        <v/>
      </c>
      <c r="J190" s="644">
        <f>SUM(D184:D189)</f>
        <v/>
      </c>
      <c r="K190" s="644">
        <f>SUM(G184:G189)</f>
        <v/>
      </c>
      <c r="L190" s="644">
        <f>SUM(H184:H189)</f>
        <v/>
      </c>
      <c r="M190" s="644">
        <f>SUM(I184:I189)</f>
        <v/>
      </c>
    </row>
    <row r="191" ht="6" customHeight="1" s="468">
      <c r="A191" s="638" t="n"/>
      <c r="C191" s="71" t="n"/>
      <c r="D191" s="552" t="n"/>
      <c r="F191" s="552" t="n"/>
      <c r="G191" s="552" t="n"/>
      <c r="H191" s="552" t="n"/>
      <c r="I191" s="552" t="n"/>
      <c r="J191" s="552" t="n"/>
      <c r="K191" s="552" t="n"/>
      <c r="L191" s="552" t="n"/>
      <c r="M191" s="552" t="n"/>
    </row>
    <row r="192" ht="15" customHeight="1" s="468">
      <c r="A192" s="646" t="n">
        <v>46112</v>
      </c>
      <c r="B192" s="213" t="inlineStr">
        <is>
          <t>PRODUTO</t>
        </is>
      </c>
      <c r="C192" s="214" t="inlineStr">
        <is>
          <t>EMBALAGEM</t>
        </is>
      </c>
      <c r="D192" s="244" t="inlineStr">
        <is>
          <t>CAIXAS</t>
        </is>
      </c>
      <c r="E192" s="215" t="inlineStr">
        <is>
          <t>UN</t>
        </is>
      </c>
      <c r="F192" s="687" t="inlineStr">
        <is>
          <t>CX/PALLET</t>
        </is>
      </c>
      <c r="G192" s="244" t="inlineStr">
        <is>
          <t>PALLETS (PBR)</t>
        </is>
      </c>
      <c r="H192" s="244" t="inlineStr">
        <is>
          <t>REAL (CX)</t>
        </is>
      </c>
      <c r="I192" s="244" t="inlineStr">
        <is>
          <t>TOTAL LATAS</t>
        </is>
      </c>
      <c r="J192" s="552" t="n"/>
      <c r="K192" s="552" t="n"/>
      <c r="L192" s="552" t="n"/>
      <c r="M192" s="552" t="n"/>
    </row>
    <row r="193" ht="21" customHeight="1" s="468">
      <c r="A193" s="685" t="n"/>
      <c r="B193" s="218" t="inlineStr">
        <is>
          <t>UNTA FACIL</t>
        </is>
      </c>
      <c r="C193" s="219" t="n">
        <v>180</v>
      </c>
      <c r="D193" s="220" t="n">
        <v>304</v>
      </c>
      <c r="E193" s="221" t="inlineStr">
        <is>
          <t>CX</t>
        </is>
      </c>
      <c r="F193" s="686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/>
      </c>
      <c r="G193" s="220">
        <f>IFERROR(ROUNDUP(D193/F193,0),"")</f>
        <v/>
      </c>
      <c r="H193" s="224" t="n">
        <v>306</v>
      </c>
      <c r="I193" s="220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/>
      </c>
      <c r="J193" s="552" t="n"/>
      <c r="K193" s="552" t="n"/>
      <c r="L193" s="552" t="n"/>
      <c r="M193" s="552" t="n"/>
    </row>
    <row r="194" ht="21" customHeight="1" s="468">
      <c r="A194" s="685" t="n"/>
      <c r="B194" s="218" t="inlineStr">
        <is>
          <t>ADKO</t>
        </is>
      </c>
      <c r="C194" s="219" t="n">
        <v>180</v>
      </c>
      <c r="D194" s="220" t="n">
        <v>480</v>
      </c>
      <c r="E194" s="221" t="inlineStr">
        <is>
          <t>CX</t>
        </is>
      </c>
      <c r="F194" s="686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220">
        <f>IFERROR(ROUNDUP(D194/F194,0),"")</f>
        <v/>
      </c>
      <c r="H194" s="224" t="n">
        <v>480</v>
      </c>
      <c r="I194" s="220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  <c r="J194" s="552" t="n"/>
      <c r="K194" s="552" t="n"/>
      <c r="L194" s="552" t="n"/>
      <c r="M194" s="552" t="n"/>
    </row>
    <row r="195" ht="21" customHeight="1" s="468">
      <c r="A195" s="685" t="n"/>
      <c r="B195" s="218" t="inlineStr">
        <is>
          <t>CORANTE AMARELO IN LOCO</t>
        </is>
      </c>
      <c r="C195" s="219" t="n">
        <v>70</v>
      </c>
      <c r="D195" s="220" t="n">
        <v>240</v>
      </c>
      <c r="E195" s="221" t="inlineStr">
        <is>
          <t>CX</t>
        </is>
      </c>
      <c r="F195" s="686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220">
        <f>IFERROR(ROUNDUP(D195/F195,0),"")</f>
        <v/>
      </c>
      <c r="H195" s="224" t="n">
        <v>243</v>
      </c>
      <c r="I195" s="220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  <c r="J195" s="552" t="n"/>
      <c r="K195" s="552" t="n"/>
      <c r="L195" s="552" t="n"/>
      <c r="M195" s="552" t="n"/>
    </row>
    <row r="196" ht="21" customHeight="1" s="468">
      <c r="A196" s="685" t="n"/>
      <c r="B196" s="218" t="inlineStr">
        <is>
          <t>CORANTE AMARELO REPETECO</t>
        </is>
      </c>
      <c r="C196" s="219" t="n">
        <v>70</v>
      </c>
      <c r="D196" s="220" t="n">
        <v>240</v>
      </c>
      <c r="E196" s="221" t="inlineStr">
        <is>
          <t>CX</t>
        </is>
      </c>
      <c r="F196" s="68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20">
        <f>IFERROR(ROUNDUP(D196/F196,0),"")</f>
        <v/>
      </c>
      <c r="H196" s="224" t="n">
        <v>162</v>
      </c>
      <c r="I196" s="220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552" t="n"/>
      <c r="K196" s="552" t="n"/>
      <c r="L196" s="552" t="n"/>
      <c r="M196" s="552" t="n"/>
    </row>
    <row r="197" ht="21" customHeight="1" s="468">
      <c r="A197" s="635" t="n"/>
      <c r="B197" s="218" t="n"/>
      <c r="C197" s="219" t="n"/>
      <c r="D197" s="220" t="n"/>
      <c r="E197" s="221" t="inlineStr">
        <is>
          <t>CX</t>
        </is>
      </c>
      <c r="F197" s="552" t="n"/>
      <c r="G197" s="220">
        <f>IFERROR(ROUNDUP(D197/F197,0),"")</f>
        <v/>
      </c>
      <c r="H197" s="224" t="n"/>
      <c r="I197" s="220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552" t="n"/>
      <c r="K197" s="552" t="n"/>
      <c r="L197" s="552" t="n"/>
      <c r="M197" s="552" t="n"/>
      <c r="N197" s="552" t="n"/>
    </row>
    <row r="198" ht="21" customHeight="1" s="468">
      <c r="A198" s="635" t="n"/>
      <c r="B198" s="218" t="n"/>
      <c r="C198" s="219" t="n"/>
      <c r="D198" s="220" t="n"/>
      <c r="E198" s="221" t="inlineStr">
        <is>
          <t>CX</t>
        </is>
      </c>
      <c r="F198" s="552" t="n"/>
      <c r="G198" s="220">
        <f>IFERROR(ROUNDUP(D198/F198,0),"")</f>
        <v/>
      </c>
      <c r="H198" s="224" t="n"/>
      <c r="I198" s="220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552" t="n"/>
      <c r="K198" s="552" t="n"/>
      <c r="L198" s="552" t="n"/>
      <c r="M198" s="552" t="n"/>
      <c r="N198" s="552" t="n"/>
    </row>
    <row r="199" ht="15" customHeight="1" s="468">
      <c r="A199" s="658" t="n"/>
      <c r="B199" s="640" t="inlineStr">
        <is>
          <t>TOTAL</t>
        </is>
      </c>
      <c r="C199" s="667" t="n"/>
      <c r="D199" s="642">
        <f>IF(J199="","",TEXT(J199,"#,##0"))</f>
        <v/>
      </c>
      <c r="E199" s="668" t="n"/>
      <c r="F199" s="644" t="n"/>
      <c r="G199" s="642">
        <f>IF(K199="","",TEXT(K199,"#,##0"))</f>
        <v/>
      </c>
      <c r="H199" s="642">
        <f>IF(L199="","",TEXT(L199,"#,##0"))</f>
        <v/>
      </c>
      <c r="I199" s="642">
        <f>IF(M199="","",TEXT(M199,"#,##0"))</f>
        <v/>
      </c>
      <c r="J199" s="644">
        <f>SUM(D193:D198)</f>
        <v/>
      </c>
      <c r="K199" s="644">
        <f>SUM(G193:G198)</f>
        <v/>
      </c>
      <c r="L199" s="644">
        <f>SUM(H193:H198)</f>
        <v/>
      </c>
      <c r="M199" s="644">
        <f>SUM(I193:I198)</f>
        <v/>
      </c>
    </row>
    <row r="200" ht="6" customHeight="1" s="468"/>
  </sheetData>
  <mergeCells count="7">
    <mergeCell ref="A2:F2"/>
    <mergeCell ref="G2:I2"/>
    <mergeCell ref="N40:Q43"/>
    <mergeCell ref="N13:Q16"/>
    <mergeCell ref="A1:I1"/>
    <mergeCell ref="N76:Q79"/>
    <mergeCell ref="N58:Q61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99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0F766E"/>
    <outlinePr summaryBelow="1" summaryRight="1"/>
    <pageSetUpPr/>
  </sheetPr>
  <dimension ref="A1:Y30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hidden="1" width="13" customWidth="1" style="468" min="24" max="25"/>
  </cols>
  <sheetData>
    <row r="1" ht="19.5" customHeight="1" s="468">
      <c r="A1" s="675" t="inlineStr">
        <is>
          <t>RESULTADOS E GRÁFICO - MARÇO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SUM(C9:C30)</f>
        <v/>
      </c>
      <c r="D4" s="152">
        <f>COUNTA(A9:A30)*CONFIG!$B$3</f>
        <v/>
      </c>
      <c r="F4" s="152">
        <f>IFERROR(SUMIFS(C9:C30,A9:A30,"&lt;="&amp;TODAY(),F9:F30,"&lt;&gt;*Feriado*")/COUNTIFS(A9:A30,"&lt;="&amp;TODAY(),F9:F30,"&lt;&gt;*Feriado*"),0)</f>
        <v/>
      </c>
      <c r="H4" s="152">
        <f>IFERROR(MAX(C9:C30),0)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4.25" customHeight="1" s="468">
      <c r="A9" s="676" t="n">
        <v>46083</v>
      </c>
      <c r="B9" s="677" t="n">
        <v>1</v>
      </c>
      <c r="C9" s="678">
        <f>'SEMANA MARÇO'!$M$10</f>
        <v/>
      </c>
      <c r="D9" s="678">
        <f>CONFIG!$B$3</f>
        <v/>
      </c>
      <c r="E9" s="678">
        <f>C9-D9</f>
        <v/>
      </c>
      <c r="F9" s="683" t="n"/>
      <c r="X9" s="552">
        <f>IF(COUNTIF($F9,"*Feriado*")&gt;0,NA(),$C9)</f>
        <v/>
      </c>
      <c r="Y9" s="552">
        <f>IF(COUNTIF($F9,"*Feriado*")&gt;0,NA(),$D9)</f>
        <v/>
      </c>
    </row>
    <row r="10" ht="14.25" customHeight="1" s="468">
      <c r="A10" s="680" t="n">
        <v>46084</v>
      </c>
      <c r="B10" s="681" t="n">
        <v>2</v>
      </c>
      <c r="C10" s="682">
        <f>'SEMANA MARÇO'!$M$19</f>
        <v/>
      </c>
      <c r="D10" s="682">
        <f>CONFIG!$B$3</f>
        <v/>
      </c>
      <c r="E10" s="682">
        <f>C10-D10</f>
        <v/>
      </c>
      <c r="F10" s="683" t="n"/>
      <c r="X10" s="552">
        <f>IF(COUNTIF($F10,"*Feriado*")&gt;0,NA(),$C10)</f>
        <v/>
      </c>
      <c r="Y10" s="552">
        <f>IF(COUNTIF($F10,"*Feriado*")&gt;0,NA(),$D10)</f>
        <v/>
      </c>
    </row>
    <row r="11" ht="14.25" customHeight="1" s="468">
      <c r="A11" s="676" t="n">
        <v>46085</v>
      </c>
      <c r="B11" s="677" t="n">
        <v>3</v>
      </c>
      <c r="C11" s="678">
        <f>'SEMANA MARÇO'!$M$28</f>
        <v/>
      </c>
      <c r="D11" s="678">
        <f>CONFIG!$B$3</f>
        <v/>
      </c>
      <c r="E11" s="678">
        <f>C11-D11</f>
        <v/>
      </c>
      <c r="F11" s="683" t="n"/>
      <c r="X11" s="552">
        <f>IF(COUNTIF($F11,"*Feriado*")&gt;0,NA(),$C11)</f>
        <v/>
      </c>
      <c r="Y11" s="552">
        <f>IF(COUNTIF($F11,"*Feriado*")&gt;0,NA(),$D11)</f>
        <v/>
      </c>
    </row>
    <row r="12" ht="14.25" customHeight="1" s="468">
      <c r="A12" s="680" t="n">
        <v>46086</v>
      </c>
      <c r="B12" s="681" t="n">
        <v>4</v>
      </c>
      <c r="C12" s="682">
        <f>'SEMANA MARÇO'!$M$37</f>
        <v/>
      </c>
      <c r="D12" s="682">
        <f>CONFIG!$B$3</f>
        <v/>
      </c>
      <c r="E12" s="682">
        <f>C12-D12</f>
        <v/>
      </c>
      <c r="F12" s="683" t="n"/>
      <c r="X12" s="552">
        <f>IF(COUNTIF($F12,"*Feriado*")&gt;0,NA(),$C12)</f>
        <v/>
      </c>
      <c r="Y12" s="552">
        <f>IF(COUNTIF($F12,"*Feriado*")&gt;0,NA(),$D12)</f>
        <v/>
      </c>
    </row>
    <row r="13" ht="14.25" customHeight="1" s="468">
      <c r="A13" s="676" t="n">
        <v>46087</v>
      </c>
      <c r="B13" s="677" t="n">
        <v>5</v>
      </c>
      <c r="C13" s="678">
        <f>'SEMANA MARÇO'!$M$46</f>
        <v/>
      </c>
      <c r="D13" s="678">
        <f>CONFIG!$B$3</f>
        <v/>
      </c>
      <c r="E13" s="678">
        <f>C13-D13</f>
        <v/>
      </c>
      <c r="F13" s="683" t="n"/>
      <c r="X13" s="552">
        <f>IF(COUNTIF($F13,"*Feriado*")&gt;0,NA(),$C13)</f>
        <v/>
      </c>
      <c r="Y13" s="552">
        <f>IF(COUNTIF($F13,"*Feriado*")&gt;0,NA(),$D13)</f>
        <v/>
      </c>
    </row>
    <row r="14" ht="14.25" customHeight="1" s="468">
      <c r="A14" s="680" t="n">
        <v>46090</v>
      </c>
      <c r="B14" s="681" t="n">
        <v>6</v>
      </c>
      <c r="C14" s="682">
        <f>'SEMANA MARÇO'!$M$55</f>
        <v/>
      </c>
      <c r="D14" s="682">
        <f>CONFIG!$B$3</f>
        <v/>
      </c>
      <c r="E14" s="682">
        <f>C14-D14</f>
        <v/>
      </c>
      <c r="F14" s="683" t="n"/>
      <c r="X14" s="552">
        <f>IF(COUNTIF($F14,"*Feriado*")&gt;0,NA(),$C14)</f>
        <v/>
      </c>
      <c r="Y14" s="552">
        <f>IF(COUNTIF($F14,"*Feriado*")&gt;0,NA(),$D14)</f>
        <v/>
      </c>
    </row>
    <row r="15" ht="14.25" customHeight="1" s="468">
      <c r="A15" s="676" t="n">
        <v>46091</v>
      </c>
      <c r="B15" s="677" t="n">
        <v>7</v>
      </c>
      <c r="C15" s="678">
        <f>'SEMANA MARÇO'!$M$64</f>
        <v/>
      </c>
      <c r="D15" s="678">
        <f>CONFIG!$B$3</f>
        <v/>
      </c>
      <c r="E15" s="678">
        <f>C15-D15</f>
        <v/>
      </c>
      <c r="F15" s="683" t="n"/>
      <c r="X15" s="552">
        <f>IF(COUNTIF($F15,"*Feriado*")&gt;0,NA(),$C15)</f>
        <v/>
      </c>
      <c r="Y15" s="552">
        <f>IF(COUNTIF($F15,"*Feriado*")&gt;0,NA(),$D15)</f>
        <v/>
      </c>
    </row>
    <row r="16" ht="14.25" customHeight="1" s="468">
      <c r="A16" s="680" t="n">
        <v>46092</v>
      </c>
      <c r="B16" s="681" t="n">
        <v>8</v>
      </c>
      <c r="C16" s="682">
        <f>'SEMANA MARÇO'!$M$73</f>
        <v/>
      </c>
      <c r="D16" s="682">
        <f>CONFIG!$B$3</f>
        <v/>
      </c>
      <c r="E16" s="682">
        <f>C16-D16</f>
        <v/>
      </c>
      <c r="F16" s="683" t="n"/>
      <c r="X16" s="552">
        <f>IF(COUNTIF($F16,"*Feriado*")&gt;0,NA(),$C16)</f>
        <v/>
      </c>
      <c r="Y16" s="552">
        <f>IF(COUNTIF($F16,"*Feriado*")&gt;0,NA(),$D16)</f>
        <v/>
      </c>
    </row>
    <row r="17" ht="14.25" customHeight="1" s="468">
      <c r="A17" s="676" t="n">
        <v>46093</v>
      </c>
      <c r="B17" s="677" t="n">
        <v>9</v>
      </c>
      <c r="C17" s="678">
        <f>'SEMANA MARÇO'!$M$82</f>
        <v/>
      </c>
      <c r="D17" s="678">
        <f>CONFIG!$B$3</f>
        <v/>
      </c>
      <c r="E17" s="678">
        <f>C17-D17</f>
        <v/>
      </c>
      <c r="F17" s="683" t="n"/>
      <c r="X17" s="552">
        <f>IF(COUNTIF($F17,"*Feriado*")&gt;0,NA(),$C17)</f>
        <v/>
      </c>
      <c r="Y17" s="552">
        <f>IF(COUNTIF($F17,"*Feriado*")&gt;0,NA(),$D17)</f>
        <v/>
      </c>
    </row>
    <row r="18" ht="14.25" customHeight="1" s="468">
      <c r="A18" s="680" t="n">
        <v>46094</v>
      </c>
      <c r="B18" s="681" t="n">
        <v>10</v>
      </c>
      <c r="C18" s="682">
        <f>'SEMANA MARÇO'!$M$91</f>
        <v/>
      </c>
      <c r="D18" s="682">
        <f>CONFIG!$B$3</f>
        <v/>
      </c>
      <c r="E18" s="682">
        <f>C18-D18</f>
        <v/>
      </c>
      <c r="F18" s="683" t="n"/>
      <c r="X18" s="552">
        <f>IF(COUNTIF($F18,"*Feriado*")&gt;0,NA(),$C18)</f>
        <v/>
      </c>
      <c r="Y18" s="552">
        <f>IF(COUNTIF($F18,"*Feriado*")&gt;0,NA(),$D18)</f>
        <v/>
      </c>
    </row>
    <row r="19" ht="14.25" customHeight="1" s="468">
      <c r="A19" s="676" t="n">
        <v>46097</v>
      </c>
      <c r="B19" s="677" t="n">
        <v>11</v>
      </c>
      <c r="C19" s="678">
        <f>'SEMANA MARÇO'!$M$100</f>
        <v/>
      </c>
      <c r="D19" s="678">
        <f>CONFIG!$B$3</f>
        <v/>
      </c>
      <c r="E19" s="678">
        <f>C19-D19</f>
        <v/>
      </c>
      <c r="F19" s="683" t="n"/>
      <c r="X19" s="552">
        <f>IF(COUNTIF($F19,"*Feriado*")&gt;0,NA(),$C19)</f>
        <v/>
      </c>
      <c r="Y19" s="552">
        <f>IF(COUNTIF($F19,"*Feriado*")&gt;0,NA(),$D19)</f>
        <v/>
      </c>
    </row>
    <row r="20" ht="14.25" customHeight="1" s="468">
      <c r="A20" s="680" t="n">
        <v>46098</v>
      </c>
      <c r="B20" s="681" t="n">
        <v>12</v>
      </c>
      <c r="C20" s="682">
        <f>'SEMANA MARÇO'!$M$109</f>
        <v/>
      </c>
      <c r="D20" s="682">
        <f>CONFIG!$B$3</f>
        <v/>
      </c>
      <c r="E20" s="682">
        <f>C20-D20</f>
        <v/>
      </c>
      <c r="F20" s="683" t="n"/>
      <c r="X20" s="552">
        <f>IF(COUNTIF($F20,"*Feriado*")&gt;0,NA(),$C20)</f>
        <v/>
      </c>
      <c r="Y20" s="552">
        <f>IF(COUNTIF($F20,"*Feriado*")&gt;0,NA(),$D20)</f>
        <v/>
      </c>
    </row>
    <row r="21" ht="14.25" customHeight="1" s="468">
      <c r="A21" s="676" t="n">
        <v>46099</v>
      </c>
      <c r="B21" s="677" t="n">
        <v>13</v>
      </c>
      <c r="C21" s="678">
        <f>'SEMANA MARÇO'!$M$118</f>
        <v/>
      </c>
      <c r="D21" s="678">
        <f>CONFIG!$B$3</f>
        <v/>
      </c>
      <c r="E21" s="678">
        <f>C21-D21</f>
        <v/>
      </c>
      <c r="F21" s="683" t="n"/>
      <c r="X21" s="552">
        <f>IF(COUNTIF($F21,"*Feriado*")&gt;0,NA(),$C21)</f>
        <v/>
      </c>
      <c r="Y21" s="552">
        <f>IF(COUNTIF($F21,"*Feriado*")&gt;0,NA(),$D21)</f>
        <v/>
      </c>
    </row>
    <row r="22" ht="14.25" customHeight="1" s="468">
      <c r="A22" s="680" t="n">
        <v>46100</v>
      </c>
      <c r="B22" s="681" t="n">
        <v>14</v>
      </c>
      <c r="C22" s="682">
        <f>'SEMANA MARÇO'!$M$127</f>
        <v/>
      </c>
      <c r="D22" s="682">
        <f>CONFIG!$B$3</f>
        <v/>
      </c>
      <c r="E22" s="682">
        <f>C22-D22</f>
        <v/>
      </c>
      <c r="F22" s="683" t="n"/>
      <c r="X22" s="552">
        <f>IF(COUNTIF($F22,"*Feriado*")&gt;0,NA(),$C22)</f>
        <v/>
      </c>
      <c r="Y22" s="552">
        <f>IF(COUNTIF($F22,"*Feriado*")&gt;0,NA(),$D22)</f>
        <v/>
      </c>
    </row>
    <row r="23" ht="14.25" customHeight="1" s="468">
      <c r="A23" s="676" t="n">
        <v>46101</v>
      </c>
      <c r="B23" s="677" t="n">
        <v>15</v>
      </c>
      <c r="C23" s="678">
        <f>'SEMANA MARÇO'!$M$136</f>
        <v/>
      </c>
      <c r="D23" s="678">
        <f>CONFIG!$B$3</f>
        <v/>
      </c>
      <c r="E23" s="678">
        <f>C23-D23</f>
        <v/>
      </c>
      <c r="F23" s="688" t="inlineStr">
        <is>
          <t>Os pistões de injeção de gás sairam de centro.</t>
        </is>
      </c>
      <c r="X23" s="552">
        <f>IF(COUNTIF($F23,"*Feriado*")&gt;0,NA(),$C23)</f>
        <v/>
      </c>
      <c r="Y23" s="552">
        <f>IF(COUNTIF($F23,"*Feriado*")&gt;0,NA(),$D23)</f>
        <v/>
      </c>
    </row>
    <row r="24" ht="14.25" customHeight="1" s="468">
      <c r="A24" s="680" t="n">
        <v>46104</v>
      </c>
      <c r="B24" s="681" t="n">
        <v>16</v>
      </c>
      <c r="C24" s="682">
        <f>'SEMANA MARÇO'!$M$145</f>
        <v/>
      </c>
      <c r="D24" s="682">
        <f>CONFIG!$B$3</f>
        <v/>
      </c>
      <c r="E24" s="682">
        <f>C24-D24</f>
        <v/>
      </c>
      <c r="F24" s="688" t="inlineStr">
        <is>
          <t>Caminhão do gás quebrou, não nos abasteceram a segunda vez hoje, paramos 15:20.</t>
        </is>
      </c>
      <c r="X24" s="552">
        <f>IF(COUNTIF($F24,"*Feriado*")&gt;0,NA(),$C24)</f>
        <v/>
      </c>
      <c r="Y24" s="552">
        <f>IF(COUNTIF($F24,"*Feriado*")&gt;0,NA(),$D24)</f>
        <v/>
      </c>
    </row>
    <row r="25" ht="14.25" customHeight="1" s="468">
      <c r="A25" s="676" t="n">
        <v>46105</v>
      </c>
      <c r="B25" s="677" t="n">
        <v>17</v>
      </c>
      <c r="C25" s="678">
        <f>'SEMANA MARÇO'!$M$154</f>
        <v/>
      </c>
      <c r="D25" s="678">
        <f>CONFIG!$B$3</f>
        <v/>
      </c>
      <c r="E25" s="678">
        <f>C25-D25</f>
        <v/>
      </c>
      <c r="F25" s="688" t="inlineStr">
        <is>
          <t>Gás chegou era 08:00, paramos 11:50 gás acabou. Gás Chegou era 16:15.</t>
        </is>
      </c>
      <c r="X25" s="552">
        <f>IF(COUNTIF($F25,"*Feriado*")&gt;0,NA(),$C25)</f>
        <v/>
      </c>
      <c r="Y25" s="552">
        <f>IF(COUNTIF($F25,"*Feriado*")&gt;0,NA(),$D25)</f>
        <v/>
      </c>
    </row>
    <row r="26" ht="14.25" customHeight="1" s="468">
      <c r="A26" s="680" t="n">
        <v>46106</v>
      </c>
      <c r="B26" s="681" t="n">
        <v>18</v>
      </c>
      <c r="C26" s="682">
        <f>'SEMANA MARÇO'!$M$163</f>
        <v/>
      </c>
      <c r="D26" s="682">
        <f>CONFIG!$B$3</f>
        <v/>
      </c>
      <c r="E26" s="682">
        <f>C26-D26</f>
        <v/>
      </c>
      <c r="F26" s="683" t="n"/>
      <c r="X26" s="552">
        <f>IF(COUNTIF($F26,"*Feriado*")&gt;0,NA(),$C26)</f>
        <v/>
      </c>
      <c r="Y26" s="552">
        <f>IF(COUNTIF($F26,"*Feriado*")&gt;0,NA(),$D26)</f>
        <v/>
      </c>
    </row>
    <row r="27" ht="14.25" customHeight="1" s="468">
      <c r="A27" s="676" t="n">
        <v>46107</v>
      </c>
      <c r="B27" s="677" t="n">
        <v>19</v>
      </c>
      <c r="C27" s="678">
        <f>'SEMANA MARÇO'!$M$172</f>
        <v/>
      </c>
      <c r="D27" s="678">
        <f>CONFIG!$B$3</f>
        <v/>
      </c>
      <c r="E27" s="678">
        <f>C27-D27</f>
        <v/>
      </c>
      <c r="F27" s="683" t="n"/>
      <c r="X27" s="552">
        <f>IF(COUNTIF($F27,"*Feriado*")&gt;0,NA(),$C27)</f>
        <v/>
      </c>
      <c r="Y27" s="552">
        <f>IF(COUNTIF($F27,"*Feriado*")&gt;0,NA(),$D27)</f>
        <v/>
      </c>
    </row>
    <row r="28" ht="14.25" customHeight="1" s="468">
      <c r="A28" s="680" t="n">
        <v>46108</v>
      </c>
      <c r="B28" s="681" t="n">
        <v>20</v>
      </c>
      <c r="C28" s="682">
        <f>'SEMANA MARÇO'!$M$181</f>
        <v/>
      </c>
      <c r="D28" s="682">
        <f>CONFIG!$B$3</f>
        <v/>
      </c>
      <c r="E28" s="682">
        <f>C28-D28</f>
        <v/>
      </c>
      <c r="F28" s="683" t="n"/>
      <c r="X28" s="552">
        <f>IF(COUNTIF($F28,"*Feriado*")&gt;0,NA(),$C28)</f>
        <v/>
      </c>
      <c r="Y28" s="552">
        <f>IF(COUNTIF($F28,"*Feriado*")&gt;0,NA(),$D28)</f>
        <v/>
      </c>
    </row>
    <row r="29" ht="14.25" customHeight="1" s="468">
      <c r="A29" s="676" t="n">
        <v>46111</v>
      </c>
      <c r="B29" s="677" t="n">
        <v>21</v>
      </c>
      <c r="C29" s="678">
        <f>'SEMANA MARÇO'!$M$190</f>
        <v/>
      </c>
      <c r="D29" s="678">
        <f>CONFIG!$B$3</f>
        <v/>
      </c>
      <c r="E29" s="678">
        <f>C29-D29</f>
        <v/>
      </c>
      <c r="F29" s="683" t="n"/>
      <c r="X29" s="552">
        <f>IF(COUNTIF($F29,"*Feriado*")&gt;0,NA(),$C29)</f>
        <v/>
      </c>
      <c r="Y29" s="552">
        <f>IF(COUNTIF($F29,"*Feriado*")&gt;0,NA(),$D29)</f>
        <v/>
      </c>
    </row>
    <row r="30" ht="14.25" customHeight="1" s="468">
      <c r="A30" s="680" t="n">
        <v>46112</v>
      </c>
      <c r="B30" s="681" t="n">
        <v>22</v>
      </c>
      <c r="C30" s="682">
        <f>'SEMANA MARÇO'!$M$199</f>
        <v/>
      </c>
      <c r="D30" s="682">
        <f>CONFIG!$B$3</f>
        <v/>
      </c>
      <c r="E30" s="682">
        <f>C30-D30</f>
        <v/>
      </c>
      <c r="F30" s="683" t="n"/>
      <c r="X30" s="552">
        <f>IF(COUNTIF($F30,"*Feriado*")&gt;0,NA(),$C30)</f>
        <v/>
      </c>
      <c r="Y30" s="552">
        <f>IF(COUNTIF($F30,"*Feriado*")&gt;0,NA(),$D30)</f>
        <v/>
      </c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C96B0A"/>
    <outlinePr summaryBelow="1" summaryRight="1"/>
    <pageSetUpPr/>
  </sheetPr>
  <dimension ref="B1:Q300"/>
  <sheetViews>
    <sheetView showGridLines="0" topLeftCell="A127" zoomScaleNormal="100" workbookViewId="0">
      <selection activeCell="G115" sqref="G115:J115"/>
    </sheetView>
  </sheetViews>
  <sheetFormatPr baseColWidth="8" defaultColWidth="8.6640625" defaultRowHeight="15" customHeight="1"/>
  <cols>
    <col width="2.5546875" customWidth="1" style="234" min="1" max="1"/>
    <col width="13.5546875" customWidth="1" style="5" min="2" max="2"/>
    <col width="7.6640625" customWidth="1" style="5" min="3" max="3"/>
    <col width="12.6640625" customWidth="1" style="5" min="4" max="4"/>
    <col width="9.109375" customWidth="1" style="5" min="5" max="5"/>
    <col width="13.5546875" customWidth="1" style="5" min="6" max="6"/>
    <col width="6.6640625" customWidth="1" style="5" min="7" max="7"/>
    <col width="8" customWidth="1" style="5" min="8" max="8"/>
    <col width="7.5546875" customWidth="1" style="5" min="9" max="9"/>
    <col width="20" customWidth="1" style="5" min="10" max="10"/>
    <col width="9.109375" customWidth="1" style="5" min="11" max="11"/>
    <col width="21" customWidth="1" style="5" min="12" max="12"/>
    <col width="18.109375" customWidth="1" style="5" min="13" max="13"/>
    <col width="17.109375" customWidth="1" style="201" min="14" max="14"/>
    <col width="13.44140625" customWidth="1" style="234" min="15" max="15"/>
    <col width="12.6640625" customWidth="1" style="234" min="16" max="17"/>
    <col width="8.6640625" customWidth="1" style="234" min="18" max="20"/>
    <col width="8.6640625" customWidth="1" style="234" min="21" max="16384"/>
  </cols>
  <sheetData>
    <row r="1" ht="21.75" customHeight="1" s="468">
      <c r="B1" s="461" t="inlineStr">
        <is>
          <t>ORDEM DE PRODUÇÃO - ABRIL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461" t="inlineStr">
        <is>
          <t>OP</t>
        </is>
      </c>
      <c r="C3" s="461" t="inlineStr">
        <is>
          <t xml:space="preserve">LOTE </t>
        </is>
      </c>
      <c r="D3" s="513" t="n"/>
      <c r="E3" s="461" t="inlineStr">
        <is>
          <t>LOTE CLIENTE</t>
        </is>
      </c>
      <c r="F3" s="513" t="n"/>
      <c r="G3" s="461" t="inlineStr">
        <is>
          <t>PRODUTO</t>
        </is>
      </c>
      <c r="H3" s="456" t="n"/>
      <c r="I3" s="456" t="n"/>
      <c r="J3" s="513" t="n"/>
      <c r="K3" s="461" t="inlineStr">
        <is>
          <t>CLIENTE</t>
        </is>
      </c>
      <c r="L3" s="513" t="n"/>
      <c r="M3" s="461" t="inlineStr">
        <is>
          <t>QTDE(Kg)</t>
        </is>
      </c>
      <c r="N3" s="431" t="inlineStr">
        <is>
          <t>FABRICAÇÃO</t>
        </is>
      </c>
    </row>
    <row r="4" ht="17.25" customHeight="1" s="468">
      <c r="B4" s="452" t="inlineStr">
        <is>
          <t>2026/092</t>
        </is>
      </c>
      <c r="C4" s="452" t="n">
        <v>26010384</v>
      </c>
      <c r="D4" s="513" t="n"/>
      <c r="E4" s="542" t="n"/>
      <c r="F4" s="513" t="n"/>
      <c r="G4" s="452" t="inlineStr">
        <is>
          <t>OL 40</t>
        </is>
      </c>
      <c r="H4" s="456" t="n"/>
      <c r="I4" s="456" t="n"/>
      <c r="J4" s="513" t="n"/>
      <c r="K4" s="452" t="inlineStr">
        <is>
          <t>SMART</t>
        </is>
      </c>
      <c r="L4" s="463" t="n"/>
      <c r="M4" s="237" t="inlineStr">
        <is>
          <t>420 KG</t>
        </is>
      </c>
      <c r="N4" s="418" t="n">
        <v>46120</v>
      </c>
    </row>
    <row r="5" ht="17.25" customHeight="1" s="468">
      <c r="B5" s="530" t="n"/>
      <c r="C5" s="452" t="n">
        <v>26010385</v>
      </c>
      <c r="D5" s="513" t="n"/>
      <c r="E5" s="452" t="n"/>
      <c r="F5" s="513" t="n"/>
      <c r="G5" s="452" t="inlineStr">
        <is>
          <t>OL 40</t>
        </is>
      </c>
      <c r="H5" s="456" t="n"/>
      <c r="I5" s="456" t="n"/>
      <c r="J5" s="513" t="n"/>
      <c r="K5" s="523" t="n"/>
      <c r="L5" s="514" t="n"/>
      <c r="M5" s="237" t="inlineStr">
        <is>
          <t>420 KG</t>
        </is>
      </c>
      <c r="N5" s="418" t="n">
        <v>46120</v>
      </c>
    </row>
    <row r="6" ht="17.25" customHeight="1" s="468">
      <c r="B6" s="530" t="n"/>
      <c r="C6" s="452" t="n">
        <v>26010386</v>
      </c>
      <c r="D6" s="513" t="n"/>
      <c r="E6" s="542" t="n"/>
      <c r="F6" s="513" t="n"/>
      <c r="G6" s="452" t="inlineStr">
        <is>
          <t>OL 40</t>
        </is>
      </c>
      <c r="H6" s="456" t="n"/>
      <c r="I6" s="456" t="n"/>
      <c r="J6" s="513" t="n"/>
      <c r="K6" s="523" t="n"/>
      <c r="L6" s="514" t="n"/>
      <c r="M6" s="237" t="inlineStr">
        <is>
          <t>420 KG</t>
        </is>
      </c>
      <c r="N6" s="418" t="n">
        <v>46121</v>
      </c>
    </row>
    <row r="7" ht="17.25" customHeight="1" s="468">
      <c r="B7" s="530" t="n"/>
      <c r="C7" s="452" t="n">
        <v>26010387</v>
      </c>
      <c r="D7" s="513" t="n"/>
      <c r="E7" s="452" t="n"/>
      <c r="F7" s="513" t="n"/>
      <c r="G7" s="452" t="inlineStr">
        <is>
          <t>OL 40</t>
        </is>
      </c>
      <c r="H7" s="456" t="n"/>
      <c r="I7" s="456" t="n"/>
      <c r="J7" s="513" t="n"/>
      <c r="K7" s="523" t="n"/>
      <c r="L7" s="514" t="n"/>
      <c r="M7" s="237" t="inlineStr">
        <is>
          <t>420 KG</t>
        </is>
      </c>
      <c r="N7" s="418" t="n">
        <v>46121</v>
      </c>
    </row>
    <row r="8" ht="17.25" customHeight="1" s="468">
      <c r="B8" s="530" t="n"/>
      <c r="C8" s="452" t="n">
        <v>26010388</v>
      </c>
      <c r="D8" s="513" t="n"/>
      <c r="E8" s="452" t="n"/>
      <c r="F8" s="513" t="n"/>
      <c r="G8" s="452" t="inlineStr">
        <is>
          <t>OL 40</t>
        </is>
      </c>
      <c r="H8" s="456" t="n"/>
      <c r="I8" s="456" t="n"/>
      <c r="J8" s="513" t="n"/>
      <c r="K8" s="523" t="n"/>
      <c r="L8" s="514" t="n"/>
      <c r="M8" s="237" t="inlineStr">
        <is>
          <t>420 KG</t>
        </is>
      </c>
      <c r="N8" s="418" t="n">
        <v>46121</v>
      </c>
    </row>
    <row r="9" ht="17.25" customHeight="1" s="468">
      <c r="B9" s="530" t="n"/>
      <c r="C9" s="452" t="n">
        <v>26010389</v>
      </c>
      <c r="D9" s="513" t="n"/>
      <c r="E9" s="452" t="n"/>
      <c r="F9" s="513" t="n"/>
      <c r="G9" s="452" t="inlineStr">
        <is>
          <t>OL 40</t>
        </is>
      </c>
      <c r="H9" s="456" t="n"/>
      <c r="I9" s="456" t="n"/>
      <c r="J9" s="513" t="n"/>
      <c r="K9" s="523" t="n"/>
      <c r="L9" s="514" t="n"/>
      <c r="M9" s="237" t="inlineStr">
        <is>
          <t>420 KG</t>
        </is>
      </c>
      <c r="N9" s="418" t="n">
        <v>46121</v>
      </c>
    </row>
    <row r="10" ht="17.25" customHeight="1" s="468">
      <c r="B10" s="530" t="n"/>
      <c r="C10" s="452" t="n">
        <v>26010390</v>
      </c>
      <c r="D10" s="513" t="n"/>
      <c r="E10" s="452" t="n"/>
      <c r="F10" s="513" t="n"/>
      <c r="G10" s="452" t="inlineStr">
        <is>
          <t>OL 40</t>
        </is>
      </c>
      <c r="H10" s="456" t="n"/>
      <c r="I10" s="456" t="n"/>
      <c r="J10" s="513" t="n"/>
      <c r="K10" s="523" t="n"/>
      <c r="L10" s="514" t="n"/>
      <c r="M10" s="237" t="inlineStr">
        <is>
          <t>420 KG</t>
        </is>
      </c>
      <c r="N10" s="418" t="n">
        <v>46121</v>
      </c>
    </row>
    <row r="11" ht="17.25" customHeight="1" s="468">
      <c r="B11" s="530" t="n"/>
      <c r="C11" s="452" t="n">
        <v>26010391</v>
      </c>
      <c r="D11" s="513" t="n"/>
      <c r="E11" s="452" t="n"/>
      <c r="F11" s="513" t="n"/>
      <c r="G11" s="452" t="inlineStr">
        <is>
          <t>OL 40</t>
        </is>
      </c>
      <c r="H11" s="456" t="n"/>
      <c r="I11" s="456" t="n"/>
      <c r="J11" s="513" t="n"/>
      <c r="K11" s="523" t="n"/>
      <c r="L11" s="514" t="n"/>
      <c r="M11" s="237" t="inlineStr">
        <is>
          <t>420 KG</t>
        </is>
      </c>
      <c r="N11" s="418" t="n">
        <v>46121</v>
      </c>
    </row>
    <row r="12" ht="17.25" customHeight="1" s="468">
      <c r="B12" s="530" t="n"/>
      <c r="C12" s="452" t="n">
        <v>26010392</v>
      </c>
      <c r="D12" s="513" t="n"/>
      <c r="E12" s="452" t="n"/>
      <c r="F12" s="513" t="n"/>
      <c r="G12" s="452" t="inlineStr">
        <is>
          <t>OL 40</t>
        </is>
      </c>
      <c r="H12" s="456" t="n"/>
      <c r="I12" s="456" t="n"/>
      <c r="J12" s="513" t="n"/>
      <c r="K12" s="523" t="n"/>
      <c r="L12" s="514" t="n"/>
      <c r="M12" s="237" t="inlineStr">
        <is>
          <t>420 KG</t>
        </is>
      </c>
      <c r="N12" s="418" t="n">
        <v>46121</v>
      </c>
    </row>
    <row r="13" ht="17.25" customHeight="1" s="468">
      <c r="B13" s="530" t="n"/>
      <c r="C13" s="452" t="n">
        <v>26010393</v>
      </c>
      <c r="D13" s="513" t="n"/>
      <c r="E13" s="452" t="n"/>
      <c r="F13" s="513" t="n"/>
      <c r="G13" s="452" t="inlineStr">
        <is>
          <t>OL 40</t>
        </is>
      </c>
      <c r="H13" s="456" t="n"/>
      <c r="I13" s="456" t="n"/>
      <c r="J13" s="513" t="n"/>
      <c r="K13" s="523" t="n"/>
      <c r="L13" s="514" t="n"/>
      <c r="M13" s="237" t="inlineStr">
        <is>
          <t>420 KG</t>
        </is>
      </c>
      <c r="N13" s="418" t="n">
        <v>46122</v>
      </c>
    </row>
    <row r="14" ht="17.25" customHeight="1" s="468">
      <c r="B14" s="530" t="n"/>
      <c r="C14" s="452" t="n">
        <v>26010394</v>
      </c>
      <c r="D14" s="513" t="n"/>
      <c r="E14" s="542" t="n"/>
      <c r="F14" s="513" t="n"/>
      <c r="G14" s="452" t="inlineStr">
        <is>
          <t>OL 40</t>
        </is>
      </c>
      <c r="H14" s="456" t="n"/>
      <c r="I14" s="456" t="n"/>
      <c r="J14" s="513" t="n"/>
      <c r="K14" s="523" t="n"/>
      <c r="L14" s="514" t="n"/>
      <c r="M14" s="237" t="inlineStr">
        <is>
          <t>420 KG</t>
        </is>
      </c>
      <c r="N14" s="418" t="n">
        <v>46122</v>
      </c>
    </row>
    <row r="15" ht="17.25" customHeight="1" s="468">
      <c r="B15" s="530" t="n"/>
      <c r="C15" s="452" t="n">
        <v>26010395</v>
      </c>
      <c r="D15" s="513" t="n"/>
      <c r="E15" s="452" t="n"/>
      <c r="F15" s="513" t="n"/>
      <c r="G15" s="452" t="inlineStr">
        <is>
          <t>OL 40</t>
        </is>
      </c>
      <c r="H15" s="456" t="n"/>
      <c r="I15" s="456" t="n"/>
      <c r="J15" s="513" t="n"/>
      <c r="K15" s="523" t="n"/>
      <c r="L15" s="514" t="n"/>
      <c r="M15" s="237" t="inlineStr">
        <is>
          <t>420 KG</t>
        </is>
      </c>
      <c r="N15" s="418" t="n">
        <v>46122</v>
      </c>
    </row>
    <row r="16" ht="17.25" customHeight="1" s="468">
      <c r="B16" s="530" t="n"/>
      <c r="C16" s="452" t="n">
        <v>26010396</v>
      </c>
      <c r="D16" s="513" t="n"/>
      <c r="E16" s="452" t="n"/>
      <c r="F16" s="513" t="n"/>
      <c r="G16" s="452" t="inlineStr">
        <is>
          <t>OL 40</t>
        </is>
      </c>
      <c r="H16" s="456" t="n"/>
      <c r="I16" s="456" t="n"/>
      <c r="J16" s="513" t="n"/>
      <c r="K16" s="523" t="n"/>
      <c r="L16" s="514" t="n"/>
      <c r="M16" s="237" t="inlineStr">
        <is>
          <t>420 KG</t>
        </is>
      </c>
      <c r="N16" s="418" t="n">
        <v>46122</v>
      </c>
    </row>
    <row r="17" ht="17.25" customHeight="1" s="468">
      <c r="B17" s="530" t="n"/>
      <c r="C17" s="452" t="n">
        <v>26010397</v>
      </c>
      <c r="D17" s="513" t="n"/>
      <c r="E17" s="452" t="n"/>
      <c r="F17" s="513" t="n"/>
      <c r="G17" s="452" t="inlineStr">
        <is>
          <t>OL 40</t>
        </is>
      </c>
      <c r="H17" s="456" t="n"/>
      <c r="I17" s="456" t="n"/>
      <c r="J17" s="513" t="n"/>
      <c r="K17" s="523" t="n"/>
      <c r="L17" s="514" t="n"/>
      <c r="M17" s="237" t="inlineStr">
        <is>
          <t>420 KG</t>
        </is>
      </c>
      <c r="N17" s="418" t="n">
        <v>46125</v>
      </c>
    </row>
    <row r="18" ht="17.25" customHeight="1" s="468">
      <c r="B18" s="530" t="n"/>
      <c r="C18" s="452" t="n">
        <v>26010398</v>
      </c>
      <c r="D18" s="513" t="n"/>
      <c r="E18" s="452" t="n"/>
      <c r="F18" s="513" t="n"/>
      <c r="G18" s="452" t="inlineStr">
        <is>
          <t>OL 40</t>
        </is>
      </c>
      <c r="H18" s="456" t="n"/>
      <c r="I18" s="456" t="n"/>
      <c r="J18" s="513" t="n"/>
      <c r="K18" s="523" t="n"/>
      <c r="L18" s="514" t="n"/>
      <c r="M18" s="237" t="inlineStr">
        <is>
          <t>420 KG</t>
        </is>
      </c>
      <c r="N18" s="418" t="n">
        <v>46125</v>
      </c>
    </row>
    <row r="19" ht="17.25" customHeight="1" s="468">
      <c r="B19" s="530" t="n"/>
      <c r="C19" s="452" t="n">
        <v>26010399</v>
      </c>
      <c r="D19" s="513" t="n"/>
      <c r="E19" s="452" t="n"/>
      <c r="F19" s="513" t="n"/>
      <c r="G19" s="452" t="inlineStr">
        <is>
          <t>OL 40</t>
        </is>
      </c>
      <c r="H19" s="456" t="n"/>
      <c r="I19" s="456" t="n"/>
      <c r="J19" s="513" t="n"/>
      <c r="K19" s="523" t="n"/>
      <c r="L19" s="514" t="n"/>
      <c r="M19" s="237" t="inlineStr">
        <is>
          <t>420 KG</t>
        </is>
      </c>
      <c r="N19" s="418" t="n">
        <v>46125</v>
      </c>
    </row>
    <row r="20" ht="17.25" customHeight="1" s="468">
      <c r="B20" s="530" t="n"/>
      <c r="C20" s="452" t="n">
        <v>26010400</v>
      </c>
      <c r="D20" s="513" t="n"/>
      <c r="E20" s="536" t="n"/>
      <c r="F20" s="513" t="n"/>
      <c r="G20" s="452" t="inlineStr">
        <is>
          <t>OL 40</t>
        </is>
      </c>
      <c r="H20" s="456" t="n"/>
      <c r="I20" s="456" t="n"/>
      <c r="J20" s="513" t="n"/>
      <c r="K20" s="523" t="n"/>
      <c r="L20" s="514" t="n"/>
      <c r="M20" s="237" t="inlineStr">
        <is>
          <t>420 KG</t>
        </is>
      </c>
      <c r="N20" s="418" t="n">
        <v>46125</v>
      </c>
    </row>
    <row r="21" ht="17.25" customHeight="1" s="468">
      <c r="B21" s="530" t="n"/>
      <c r="C21" s="452" t="n">
        <v>26010401</v>
      </c>
      <c r="D21" s="513" t="n"/>
      <c r="E21" s="452" t="n"/>
      <c r="F21" s="513" t="n"/>
      <c r="G21" s="452" t="inlineStr">
        <is>
          <t>OL 40</t>
        </is>
      </c>
      <c r="H21" s="456" t="n"/>
      <c r="I21" s="456" t="n"/>
      <c r="J21" s="513" t="n"/>
      <c r="K21" s="523" t="n"/>
      <c r="L21" s="514" t="n"/>
      <c r="M21" s="237" t="inlineStr">
        <is>
          <t>420 KG</t>
        </is>
      </c>
      <c r="N21" s="418" t="n">
        <v>46126</v>
      </c>
    </row>
    <row r="22" ht="17.25" customHeight="1" s="468">
      <c r="B22" s="530" t="n"/>
      <c r="C22" s="452" t="n">
        <v>26010402</v>
      </c>
      <c r="D22" s="513" t="n"/>
      <c r="E22" s="452" t="n"/>
      <c r="F22" s="513" t="n"/>
      <c r="G22" s="452" t="inlineStr">
        <is>
          <t>OL 40</t>
        </is>
      </c>
      <c r="H22" s="456" t="n"/>
      <c r="I22" s="456" t="n"/>
      <c r="J22" s="513" t="n"/>
      <c r="K22" s="523" t="n"/>
      <c r="L22" s="514" t="n"/>
      <c r="M22" s="237" t="inlineStr">
        <is>
          <t>420 KG</t>
        </is>
      </c>
      <c r="N22" s="418" t="n">
        <v>46126</v>
      </c>
    </row>
    <row r="23" ht="17.25" customHeight="1" s="468">
      <c r="B23" s="530" t="n"/>
      <c r="C23" s="452" t="n">
        <v>26010403</v>
      </c>
      <c r="D23" s="513" t="n"/>
      <c r="E23" s="452" t="n"/>
      <c r="F23" s="513" t="n"/>
      <c r="G23" s="452" t="inlineStr">
        <is>
          <t>OL 40</t>
        </is>
      </c>
      <c r="H23" s="456" t="n"/>
      <c r="I23" s="456" t="n"/>
      <c r="J23" s="513" t="n"/>
      <c r="K23" s="523" t="n"/>
      <c r="L23" s="514" t="n"/>
      <c r="M23" s="237" t="inlineStr">
        <is>
          <t>420 KG</t>
        </is>
      </c>
      <c r="N23" s="418" t="n">
        <v>46126</v>
      </c>
    </row>
    <row r="24" ht="17.25" customHeight="1" s="468">
      <c r="B24" s="530" t="n"/>
      <c r="C24" s="452" t="n">
        <v>26010404</v>
      </c>
      <c r="D24" s="513" t="n"/>
      <c r="E24" s="452" t="n"/>
      <c r="F24" s="513" t="n"/>
      <c r="G24" s="452" t="inlineStr">
        <is>
          <t>OL 40</t>
        </is>
      </c>
      <c r="H24" s="456" t="n"/>
      <c r="I24" s="456" t="n"/>
      <c r="J24" s="513" t="n"/>
      <c r="K24" s="523" t="n"/>
      <c r="L24" s="514" t="n"/>
      <c r="M24" s="237" t="inlineStr">
        <is>
          <t>420 KG</t>
        </is>
      </c>
      <c r="N24" s="418" t="n">
        <v>46126</v>
      </c>
    </row>
    <row r="25" ht="17.25" customHeight="1" s="468">
      <c r="B25" s="530" t="n"/>
      <c r="C25" s="452" t="n">
        <v>26010405</v>
      </c>
      <c r="D25" s="513" t="n"/>
      <c r="E25" s="452" t="n"/>
      <c r="F25" s="513" t="n"/>
      <c r="G25" s="452" t="inlineStr">
        <is>
          <t>OL 40</t>
        </is>
      </c>
      <c r="H25" s="456" t="n"/>
      <c r="I25" s="456" t="n"/>
      <c r="J25" s="513" t="n"/>
      <c r="K25" s="523" t="n"/>
      <c r="L25" s="514" t="n"/>
      <c r="M25" s="237" t="inlineStr">
        <is>
          <t>420 KG</t>
        </is>
      </c>
      <c r="N25" s="418" t="n">
        <v>46126</v>
      </c>
    </row>
    <row r="26" ht="17.25" customHeight="1" s="468">
      <c r="B26" s="530" t="n"/>
      <c r="C26" s="452" t="n">
        <v>26010406</v>
      </c>
      <c r="D26" s="513" t="n"/>
      <c r="E26" s="452" t="n"/>
      <c r="F26" s="513" t="n"/>
      <c r="G26" s="452" t="inlineStr">
        <is>
          <t>OL 40</t>
        </is>
      </c>
      <c r="H26" s="456" t="n"/>
      <c r="I26" s="456" t="n"/>
      <c r="J26" s="513" t="n"/>
      <c r="K26" s="523" t="n"/>
      <c r="L26" s="514" t="n"/>
      <c r="M26" s="237" t="inlineStr">
        <is>
          <t>420 KG</t>
        </is>
      </c>
      <c r="N26" s="418" t="n">
        <v>46126</v>
      </c>
    </row>
    <row r="27" ht="17.25" customHeight="1" s="468">
      <c r="B27" s="530" t="n"/>
      <c r="C27" s="452" t="n">
        <v>26010407</v>
      </c>
      <c r="D27" s="513" t="n"/>
      <c r="E27" s="452" t="n"/>
      <c r="F27" s="513" t="n"/>
      <c r="G27" s="452" t="inlineStr">
        <is>
          <t>OL 40</t>
        </is>
      </c>
      <c r="H27" s="456" t="n"/>
      <c r="I27" s="456" t="n"/>
      <c r="J27" s="513" t="n"/>
      <c r="K27" s="523" t="n"/>
      <c r="L27" s="514" t="n"/>
      <c r="M27" s="237" t="inlineStr">
        <is>
          <t>420 KG</t>
        </is>
      </c>
      <c r="N27" s="418" t="n">
        <v>46126</v>
      </c>
    </row>
    <row r="28" ht="17.25" customHeight="1" s="468">
      <c r="B28" s="531" t="n"/>
      <c r="C28" s="452" t="n">
        <v>26010408</v>
      </c>
      <c r="D28" s="513" t="n"/>
      <c r="E28" s="536" t="n"/>
      <c r="F28" s="513" t="n"/>
      <c r="G28" s="452" t="inlineStr">
        <is>
          <t>OL 40</t>
        </is>
      </c>
      <c r="H28" s="456" t="n"/>
      <c r="I28" s="456" t="n"/>
      <c r="J28" s="513" t="n"/>
      <c r="K28" s="464" t="n"/>
      <c r="L28" s="466" t="n"/>
      <c r="M28" s="237" t="inlineStr">
        <is>
          <t>420 KG</t>
        </is>
      </c>
      <c r="N28" s="418" t="n">
        <v>46127</v>
      </c>
    </row>
    <row r="29" ht="17.25" customHeight="1" s="468">
      <c r="B29" s="452" t="inlineStr">
        <is>
          <t>2026/093</t>
        </is>
      </c>
      <c r="C29" s="452" t="n"/>
      <c r="D29" s="513" t="n"/>
      <c r="E29" s="452" t="n">
        <v>26020376</v>
      </c>
      <c r="F29" s="513" t="n"/>
      <c r="G29" s="452" t="inlineStr">
        <is>
          <t>ESPUMA DE GENGIBRE</t>
        </is>
      </c>
      <c r="H29" s="456" t="n"/>
      <c r="I29" s="456" t="n"/>
      <c r="J29" s="513" t="n"/>
      <c r="K29" s="452" t="inlineStr">
        <is>
          <t>DILUTE</t>
        </is>
      </c>
      <c r="L29" s="513" t="n"/>
      <c r="M29" s="452" t="inlineStr">
        <is>
          <t>3.960 LATAS</t>
        </is>
      </c>
      <c r="N29" s="418" t="n">
        <v>46114</v>
      </c>
    </row>
    <row r="30" ht="17.25" customHeight="1" s="468">
      <c r="B30" s="452" t="inlineStr">
        <is>
          <t>2026/094</t>
        </is>
      </c>
      <c r="C30" s="452" t="n"/>
      <c r="D30" s="513" t="n"/>
      <c r="E30" s="452" t="n">
        <v>26020376</v>
      </c>
      <c r="F30" s="513" t="n"/>
      <c r="G30" s="452" t="inlineStr">
        <is>
          <t>ESPUMA DE GENGIBRE</t>
        </is>
      </c>
      <c r="H30" s="456" t="n"/>
      <c r="I30" s="456" t="n"/>
      <c r="J30" s="513" t="n"/>
      <c r="K30" s="452" t="inlineStr">
        <is>
          <t>IN LOCO</t>
        </is>
      </c>
      <c r="L30" s="463" t="n"/>
      <c r="M30" s="452" t="inlineStr">
        <is>
          <t>9.900 LATAS</t>
        </is>
      </c>
      <c r="N30" s="418" t="n">
        <v>46114</v>
      </c>
    </row>
    <row r="31" ht="17.25" customHeight="1" s="468">
      <c r="B31" s="530" t="n"/>
      <c r="C31" s="452" t="n"/>
      <c r="D31" s="513" t="n"/>
      <c r="E31" s="452" t="n">
        <v>26020379</v>
      </c>
      <c r="F31" s="513" t="n"/>
      <c r="G31" s="452" t="inlineStr">
        <is>
          <t>ESPUMA DE LIMÃO SICILIANO</t>
        </is>
      </c>
      <c r="H31" s="456" t="n"/>
      <c r="I31" s="456" t="n"/>
      <c r="J31" s="513" t="n"/>
      <c r="K31" s="523" t="n"/>
      <c r="L31" s="514" t="n"/>
      <c r="M31" s="452" t="inlineStr">
        <is>
          <t>1.980 LATAS</t>
        </is>
      </c>
      <c r="N31" s="418" t="n">
        <v>46118</v>
      </c>
    </row>
    <row r="32" ht="17.25" customHeight="1" s="468">
      <c r="B32" s="530" t="n"/>
      <c r="C32" s="452" t="n">
        <v>26020337</v>
      </c>
      <c r="D32" s="513" t="n"/>
      <c r="E32" s="452" t="n">
        <v>26020377</v>
      </c>
      <c r="F32" s="513" t="n"/>
      <c r="G32" s="452" t="inlineStr">
        <is>
          <t>ESPUMA DE MAÇA VERDE</t>
        </is>
      </c>
      <c r="H32" s="456" t="n"/>
      <c r="I32" s="456" t="n"/>
      <c r="J32" s="513" t="n"/>
      <c r="K32" s="523" t="n"/>
      <c r="L32" s="514" t="n"/>
      <c r="M32" s="452" t="inlineStr">
        <is>
          <t>1.980 LATAS</t>
        </is>
      </c>
      <c r="N32" s="418" t="n">
        <v>46118</v>
      </c>
    </row>
    <row r="33" ht="17.25" customHeight="1" s="468">
      <c r="B33" s="530" t="n"/>
      <c r="C33" s="452" t="n"/>
      <c r="D33" s="513" t="n"/>
      <c r="E33" s="452" t="n">
        <v>26020381</v>
      </c>
      <c r="F33" s="513" t="n"/>
      <c r="G33" s="452" t="inlineStr">
        <is>
          <t>ESPUMA DE TANGERINA</t>
        </is>
      </c>
      <c r="H33" s="456" t="n"/>
      <c r="I33" s="456" t="n"/>
      <c r="J33" s="513" t="n"/>
      <c r="K33" s="523" t="n"/>
      <c r="L33" s="514" t="n"/>
      <c r="M33" s="452" t="inlineStr">
        <is>
          <t>1.980 LATAS</t>
        </is>
      </c>
      <c r="N33" s="418" t="n">
        <v>46118</v>
      </c>
    </row>
    <row r="34" ht="17.25" customHeight="1" s="468">
      <c r="B34" s="530" t="n"/>
      <c r="C34" s="452" t="n"/>
      <c r="D34" s="513" t="n"/>
      <c r="E34" s="452" t="n">
        <v>26020382</v>
      </c>
      <c r="F34" s="513" t="n"/>
      <c r="G34" s="452" t="inlineStr">
        <is>
          <t>ESPUMA DE MORANGO</t>
        </is>
      </c>
      <c r="H34" s="456" t="n"/>
      <c r="I34" s="456" t="n"/>
      <c r="J34" s="513" t="n"/>
      <c r="K34" s="523" t="n"/>
      <c r="L34" s="514" t="n"/>
      <c r="M34" s="452" t="inlineStr">
        <is>
          <t>1.980 LATAS</t>
        </is>
      </c>
      <c r="N34" s="418" t="n">
        <v>46119</v>
      </c>
    </row>
    <row r="35" ht="17.25" customHeight="1" s="468">
      <c r="B35" s="531" t="n"/>
      <c r="C35" s="452" t="n"/>
      <c r="D35" s="513" t="n"/>
      <c r="E35" s="452" t="n">
        <v>26020383</v>
      </c>
      <c r="F35" s="513" t="n"/>
      <c r="G35" s="452" t="inlineStr">
        <is>
          <t>ESPUMA DE FRUTAS VERMELHAS</t>
        </is>
      </c>
      <c r="H35" s="456" t="n"/>
      <c r="I35" s="456" t="n"/>
      <c r="J35" s="513" t="n"/>
      <c r="K35" s="464" t="n"/>
      <c r="L35" s="466" t="n"/>
      <c r="M35" s="452" t="inlineStr">
        <is>
          <t>1.974 LATAS</t>
        </is>
      </c>
      <c r="N35" s="418" t="n">
        <v>46119</v>
      </c>
    </row>
    <row r="36" ht="17.25" customHeight="1" s="468">
      <c r="B36" s="452" t="inlineStr">
        <is>
          <t>2026/095</t>
        </is>
      </c>
      <c r="C36" s="452" t="n"/>
      <c r="D36" s="513" t="n"/>
      <c r="E36" s="452" t="n">
        <v>26020376</v>
      </c>
      <c r="F36" s="513" t="n"/>
      <c r="G36" s="452" t="inlineStr">
        <is>
          <t>ESPUMA DE GENGIBRE</t>
        </is>
      </c>
      <c r="H36" s="456" t="n"/>
      <c r="I36" s="456" t="n"/>
      <c r="J36" s="513" t="n"/>
      <c r="K36" s="452" t="inlineStr">
        <is>
          <t>GIN SABORES</t>
        </is>
      </c>
      <c r="L36" s="463" t="n"/>
      <c r="M36" s="452" t="inlineStr">
        <is>
          <t>1.980 LATAS</t>
        </is>
      </c>
      <c r="N36" s="418" t="n">
        <v>46114</v>
      </c>
    </row>
    <row r="37" ht="17.25" customHeight="1" s="468">
      <c r="B37" s="530" t="n"/>
      <c r="C37" s="452" t="n"/>
      <c r="D37" s="513" t="n"/>
      <c r="E37" s="452" t="n">
        <v>26020378</v>
      </c>
      <c r="F37" s="513" t="n"/>
      <c r="G37" s="452" t="inlineStr">
        <is>
          <t>ESPUMA DE LIMÃO</t>
        </is>
      </c>
      <c r="H37" s="456" t="n"/>
      <c r="I37" s="456" t="n"/>
      <c r="J37" s="513" t="n"/>
      <c r="K37" s="523" t="n"/>
      <c r="L37" s="514" t="n"/>
      <c r="M37" s="452" t="inlineStr">
        <is>
          <t>1.980 LATAS</t>
        </is>
      </c>
      <c r="N37" s="418" t="n">
        <v>46118</v>
      </c>
    </row>
    <row r="38" ht="17.25" customHeight="1" s="468">
      <c r="B38" s="530" t="n"/>
      <c r="C38" s="452" t="n"/>
      <c r="D38" s="513" t="n"/>
      <c r="E38" s="452" t="n">
        <v>26030380</v>
      </c>
      <c r="F38" s="513" t="n"/>
      <c r="G38" s="452" t="inlineStr">
        <is>
          <t>ESPUMA DE BANANA</t>
        </is>
      </c>
      <c r="H38" s="456" t="n"/>
      <c r="I38" s="456" t="n"/>
      <c r="J38" s="513" t="n"/>
      <c r="K38" s="523" t="n"/>
      <c r="L38" s="514" t="n"/>
      <c r="M38" s="452" t="inlineStr">
        <is>
          <t>1.980 LATAS</t>
        </is>
      </c>
      <c r="N38" s="418" t="n">
        <v>46118</v>
      </c>
    </row>
    <row r="39" ht="17.25" customHeight="1" s="468">
      <c r="B39" s="530" t="n"/>
      <c r="C39" s="452" t="n"/>
      <c r="D39" s="513" t="n"/>
      <c r="E39" s="452" t="n">
        <v>26020382</v>
      </c>
      <c r="F39" s="513" t="n"/>
      <c r="G39" s="452" t="inlineStr">
        <is>
          <t>ESPUMA DE MORANGO</t>
        </is>
      </c>
      <c r="H39" s="456" t="n"/>
      <c r="I39" s="456" t="n"/>
      <c r="J39" s="513" t="n"/>
      <c r="K39" s="523" t="n"/>
      <c r="L39" s="514" t="n"/>
      <c r="M39" s="452" t="inlineStr">
        <is>
          <t>1.890 LATAS</t>
        </is>
      </c>
      <c r="N39" s="418" t="n">
        <v>46119</v>
      </c>
    </row>
    <row r="40" ht="17.25" customHeight="1" s="468">
      <c r="B40" s="531" t="n"/>
      <c r="C40" s="452" t="n"/>
      <c r="D40" s="513" t="n"/>
      <c r="E40" s="452" t="n">
        <v>26020383</v>
      </c>
      <c r="F40" s="513" t="n"/>
      <c r="G40" s="452" t="inlineStr">
        <is>
          <t>ESPUMA DE FRUTAS VERMELHAS</t>
        </is>
      </c>
      <c r="H40" s="456" t="n"/>
      <c r="I40" s="456" t="n"/>
      <c r="J40" s="513" t="n"/>
      <c r="K40" s="464" t="n"/>
      <c r="L40" s="466" t="n"/>
      <c r="M40" s="452" t="inlineStr">
        <is>
          <t>1.980 LATAS</t>
        </is>
      </c>
      <c r="N40" s="418" t="n">
        <v>46119</v>
      </c>
    </row>
    <row r="41" ht="17.25" customHeight="1" s="468">
      <c r="B41" s="452" t="inlineStr">
        <is>
          <t>2026/096</t>
        </is>
      </c>
      <c r="C41" s="452" t="n">
        <v>26060409</v>
      </c>
      <c r="D41" s="513" t="n"/>
      <c r="E41" s="452" t="n"/>
      <c r="F41" s="513" t="n"/>
      <c r="G41" s="452" t="inlineStr">
        <is>
          <t>AL 10 DILUIDO</t>
        </is>
      </c>
      <c r="H41" s="456" t="n"/>
      <c r="I41" s="456" t="n"/>
      <c r="J41" s="513" t="n"/>
      <c r="K41" s="452" t="inlineStr">
        <is>
          <t>SMART</t>
        </is>
      </c>
      <c r="L41" s="513" t="n"/>
      <c r="M41" s="452" t="inlineStr">
        <is>
          <t>410 KG</t>
        </is>
      </c>
      <c r="N41" s="418" t="n">
        <v>46118</v>
      </c>
    </row>
    <row r="42" ht="17.25" customHeight="1" s="468">
      <c r="B42" s="452" t="inlineStr">
        <is>
          <t>2026/097</t>
        </is>
      </c>
      <c r="C42" s="452" t="n">
        <v>26060410</v>
      </c>
      <c r="D42" s="513" t="n"/>
      <c r="E42" s="452" t="inlineStr">
        <is>
          <t>AL 409</t>
        </is>
      </c>
      <c r="F42" s="513" t="n"/>
      <c r="G42" s="452" t="inlineStr">
        <is>
          <t>ANTIMOFO 600ML</t>
        </is>
      </c>
      <c r="H42" s="456" t="n"/>
      <c r="I42" s="456" t="n"/>
      <c r="J42" s="513" t="n"/>
      <c r="K42" s="452" t="inlineStr">
        <is>
          <t>IN LOCO</t>
        </is>
      </c>
      <c r="L42" s="513" t="n"/>
      <c r="M42" s="238" t="inlineStr">
        <is>
          <t>1.280 LATAS</t>
        </is>
      </c>
      <c r="N42" s="418" t="n">
        <v>46119</v>
      </c>
    </row>
    <row r="43" ht="17.25" customHeight="1" s="468">
      <c r="B43" s="452" t="inlineStr">
        <is>
          <t>2026/098</t>
        </is>
      </c>
      <c r="C43" s="452" t="n">
        <v>26010411</v>
      </c>
      <c r="D43" s="513" t="n"/>
      <c r="E43" s="452" t="n"/>
      <c r="F43" s="513" t="n"/>
      <c r="G43" s="452" t="inlineStr">
        <is>
          <t>UNTA FACIL 400ML</t>
        </is>
      </c>
      <c r="H43" s="456" t="n"/>
      <c r="I43" s="456" t="n"/>
      <c r="J43" s="513" t="n"/>
      <c r="K43" s="452" t="inlineStr">
        <is>
          <t>IN LOCO</t>
        </is>
      </c>
      <c r="L43" s="513" t="n"/>
      <c r="M43" s="452" t="inlineStr">
        <is>
          <t>32.424 LATAS</t>
        </is>
      </c>
      <c r="N43" s="418" t="n">
        <v>46121</v>
      </c>
    </row>
    <row r="44" ht="17.25" customHeight="1" s="468">
      <c r="B44" s="451" t="inlineStr">
        <is>
          <t>2026/099</t>
        </is>
      </c>
      <c r="C44" s="452" t="n">
        <v>26010412</v>
      </c>
      <c r="D44" s="513" t="n"/>
      <c r="E44" s="536" t="n"/>
      <c r="F44" s="513" t="n"/>
      <c r="G44" s="452" t="inlineStr">
        <is>
          <t>DESTAK 5L</t>
        </is>
      </c>
      <c r="H44" s="456" t="n"/>
      <c r="I44" s="456" t="n"/>
      <c r="J44" s="513" t="n"/>
      <c r="K44" s="449" t="inlineStr">
        <is>
          <t>PURATOS</t>
        </is>
      </c>
      <c r="L44" s="463" t="n"/>
      <c r="M44" s="452" t="inlineStr">
        <is>
          <t>3.500 KG</t>
        </is>
      </c>
      <c r="N44" s="418" t="n">
        <v>46121</v>
      </c>
    </row>
    <row r="45" ht="17.25" customHeight="1" s="468">
      <c r="B45" s="530" t="n"/>
      <c r="C45" s="452" t="n">
        <v>26010413</v>
      </c>
      <c r="D45" s="513" t="n"/>
      <c r="E45" s="452" t="n"/>
      <c r="F45" s="513" t="n"/>
      <c r="G45" s="452" t="inlineStr">
        <is>
          <t>DESTAK 5L</t>
        </is>
      </c>
      <c r="H45" s="456" t="n"/>
      <c r="I45" s="456" t="n"/>
      <c r="J45" s="513" t="n"/>
      <c r="K45" s="523" t="n"/>
      <c r="L45" s="514" t="n"/>
      <c r="M45" s="452" t="inlineStr">
        <is>
          <t>2.500 KG</t>
        </is>
      </c>
      <c r="N45" s="418" t="n">
        <v>46122</v>
      </c>
    </row>
    <row r="46" ht="17.25" customHeight="1" s="468">
      <c r="B46" s="530" t="n"/>
      <c r="C46" s="452" t="n">
        <v>26010414</v>
      </c>
      <c r="D46" s="513" t="n"/>
      <c r="E46" s="452" t="n"/>
      <c r="F46" s="513" t="n"/>
      <c r="G46" s="452" t="inlineStr">
        <is>
          <t>DESTAK 5L</t>
        </is>
      </c>
      <c r="H46" s="456" t="n"/>
      <c r="I46" s="456" t="n"/>
      <c r="J46" s="513" t="n"/>
      <c r="K46" s="523" t="n"/>
      <c r="L46" s="514" t="n"/>
      <c r="M46" s="452" t="inlineStr">
        <is>
          <t>3.500 KG</t>
        </is>
      </c>
      <c r="N46" s="418" t="n">
        <v>46125</v>
      </c>
    </row>
    <row r="47" ht="17.25" customHeight="1" s="468">
      <c r="B47" s="530" t="n"/>
      <c r="C47" s="452" t="n">
        <v>26010415</v>
      </c>
      <c r="D47" s="513" t="n"/>
      <c r="E47" s="536" t="inlineStr">
        <is>
          <t>...</t>
        </is>
      </c>
      <c r="F47" s="513" t="n"/>
      <c r="G47" s="452" t="inlineStr">
        <is>
          <t>DESTAK 5L</t>
        </is>
      </c>
      <c r="H47" s="456" t="n"/>
      <c r="I47" s="456" t="n"/>
      <c r="J47" s="513" t="n"/>
      <c r="K47" s="523" t="n"/>
      <c r="L47" s="514" t="n"/>
      <c r="M47" s="238" t="inlineStr">
        <is>
          <t>2.500 KG</t>
        </is>
      </c>
      <c r="N47" s="418" t="n">
        <v>46126</v>
      </c>
    </row>
    <row r="48" ht="17.25" customHeight="1" s="468">
      <c r="B48" s="531" t="n"/>
      <c r="C48" s="449" t="n">
        <v>26010416</v>
      </c>
      <c r="D48" s="513" t="n"/>
      <c r="E48" s="449" t="n"/>
      <c r="F48" s="513" t="n"/>
      <c r="G48" s="449" t="inlineStr">
        <is>
          <t>DESTAK 5L</t>
        </is>
      </c>
      <c r="H48" s="456" t="n"/>
      <c r="I48" s="456" t="n"/>
      <c r="J48" s="513" t="n"/>
      <c r="K48" s="464" t="n"/>
      <c r="L48" s="466" t="n"/>
      <c r="M48" s="449" t="inlineStr">
        <is>
          <t>3.500 KG</t>
        </is>
      </c>
      <c r="N48" s="417" t="n"/>
    </row>
    <row r="49" ht="17.25" customHeight="1" s="468">
      <c r="B49" s="452" t="inlineStr">
        <is>
          <t>2026/100</t>
        </is>
      </c>
      <c r="C49" s="452" t="n"/>
      <c r="D49" s="513" t="n"/>
      <c r="E49" s="452" t="n">
        <v>2633186</v>
      </c>
      <c r="F49" s="513" t="n"/>
      <c r="G49" s="452" t="inlineStr">
        <is>
          <t>DESMOLDANTE CHEF 400ML</t>
        </is>
      </c>
      <c r="H49" s="456" t="n"/>
      <c r="I49" s="456" t="n"/>
      <c r="J49" s="513" t="n"/>
      <c r="K49" s="452" t="inlineStr">
        <is>
          <t>ICEBERG</t>
        </is>
      </c>
      <c r="L49" s="513" t="n"/>
      <c r="M49" s="452" t="inlineStr">
        <is>
          <t>23.760 LATAS</t>
        </is>
      </c>
      <c r="N49" s="418" t="n">
        <v>46126</v>
      </c>
      <c r="O49" s="241" t="inlineStr">
        <is>
          <t>18 pallets</t>
        </is>
      </c>
      <c r="P49" s="432" t="n">
        <v>46134</v>
      </c>
      <c r="Q49" s="432" t="n">
        <v>46135</v>
      </c>
    </row>
    <row r="50" ht="17.25" customHeight="1" s="468">
      <c r="B50" s="451" t="inlineStr">
        <is>
          <t>2026/101</t>
        </is>
      </c>
      <c r="C50" s="452" t="n">
        <v>26010417</v>
      </c>
      <c r="D50" s="513" t="n"/>
      <c r="E50" s="452" t="n"/>
      <c r="F50" s="513" t="n"/>
      <c r="G50" s="452" t="inlineStr">
        <is>
          <t>DESTAK 600ML</t>
        </is>
      </c>
      <c r="H50" s="456" t="n"/>
      <c r="I50" s="456" t="n"/>
      <c r="J50" s="513" t="n"/>
      <c r="K50" s="449" t="inlineStr">
        <is>
          <t>PURATOS</t>
        </is>
      </c>
      <c r="L50" s="463" t="n"/>
      <c r="M50" s="452" t="inlineStr">
        <is>
          <t>26.220 LATAS</t>
        </is>
      </c>
      <c r="N50" s="418" t="n">
        <v>46126</v>
      </c>
      <c r="O50" s="241" t="inlineStr">
        <is>
          <t>10 pallets</t>
        </is>
      </c>
      <c r="P50" s="241" t="inlineStr">
        <is>
          <t>7 pallets</t>
        </is>
      </c>
      <c r="Q50" s="241" t="inlineStr">
        <is>
          <t>6 pallets</t>
        </is>
      </c>
    </row>
    <row r="51" ht="17.25" customHeight="1" s="468">
      <c r="B51" s="531" t="n"/>
      <c r="C51" s="451" t="n">
        <v>26010418</v>
      </c>
      <c r="D51" s="513" t="n"/>
      <c r="E51" s="451" t="n"/>
      <c r="F51" s="513" t="n"/>
      <c r="G51" s="451" t="inlineStr">
        <is>
          <t>NORCAU 600ML</t>
        </is>
      </c>
      <c r="H51" s="456" t="n"/>
      <c r="I51" s="456" t="n"/>
      <c r="J51" s="513" t="n"/>
      <c r="K51" s="464" t="n"/>
      <c r="L51" s="466" t="n"/>
      <c r="M51" s="242" t="inlineStr">
        <is>
          <t>15.960 LATAS</t>
        </is>
      </c>
      <c r="N51" s="418" t="n">
        <v>46135</v>
      </c>
    </row>
    <row r="52" ht="17.25" customHeight="1" s="468">
      <c r="B52" s="452" t="inlineStr">
        <is>
          <t>2026/102</t>
        </is>
      </c>
      <c r="C52" s="452" t="n">
        <v>26010419</v>
      </c>
      <c r="D52" s="513" t="n"/>
      <c r="E52" s="452" t="n"/>
      <c r="F52" s="513" t="n"/>
      <c r="G52" s="452" t="inlineStr">
        <is>
          <t>ITAIQUARA 600ML</t>
        </is>
      </c>
      <c r="H52" s="456" t="n"/>
      <c r="I52" s="456" t="n"/>
      <c r="J52" s="513" t="n"/>
      <c r="K52" s="452" t="inlineStr">
        <is>
          <t>ITAIQUARA</t>
        </is>
      </c>
      <c r="L52" s="513" t="n"/>
      <c r="M52" s="452" t="inlineStr">
        <is>
          <t>4.560 LATAS</t>
        </is>
      </c>
      <c r="N52" s="418" t="n">
        <v>46127</v>
      </c>
    </row>
    <row r="53" ht="17.25" customHeight="1" s="468">
      <c r="B53" s="452" t="inlineStr">
        <is>
          <t>2026/103</t>
        </is>
      </c>
      <c r="C53" s="452" t="n">
        <v>26040420</v>
      </c>
      <c r="D53" s="513" t="n"/>
      <c r="E53" s="452" t="n"/>
      <c r="F53" s="513" t="n"/>
      <c r="G53" s="452" t="inlineStr">
        <is>
          <t>ÓLEO DE COCO EXTRAVIRGEM</t>
        </is>
      </c>
      <c r="H53" s="456" t="n"/>
      <c r="I53" s="456" t="n"/>
      <c r="J53" s="513" t="n"/>
      <c r="K53" s="452" t="inlineStr">
        <is>
          <t>GPA</t>
        </is>
      </c>
      <c r="L53" s="513" t="n"/>
      <c r="M53" s="452" t="inlineStr">
        <is>
          <t>5.760 LATAS</t>
        </is>
      </c>
      <c r="N53" s="418" t="n">
        <v>46128</v>
      </c>
    </row>
    <row r="54" ht="17.25" customHeight="1" s="468">
      <c r="B54" s="452" t="inlineStr">
        <is>
          <t>2026/104</t>
        </is>
      </c>
      <c r="C54" s="452" t="n">
        <v>26040421</v>
      </c>
      <c r="D54" s="513" t="n"/>
      <c r="E54" s="452" t="n"/>
      <c r="F54" s="513" t="n"/>
      <c r="G54" s="452" t="inlineStr">
        <is>
          <t>MANTEIGA DE COCO</t>
        </is>
      </c>
      <c r="H54" s="456" t="n"/>
      <c r="I54" s="456" t="n"/>
      <c r="J54" s="513" t="n"/>
      <c r="K54" s="452" t="inlineStr">
        <is>
          <t>COPRA</t>
        </is>
      </c>
      <c r="L54" s="513" t="n"/>
      <c r="M54" s="452" t="inlineStr">
        <is>
          <t>6.000 LATAS</t>
        </is>
      </c>
      <c r="N54" s="418" t="n">
        <v>46128</v>
      </c>
    </row>
    <row r="55" ht="17.25" customHeight="1" s="468">
      <c r="B55" s="452" t="inlineStr">
        <is>
          <t>2026/105</t>
        </is>
      </c>
      <c r="C55" s="452" t="n">
        <v>26010422</v>
      </c>
      <c r="D55" s="513" t="n"/>
      <c r="E55" s="452" t="n"/>
      <c r="F55" s="513" t="n"/>
      <c r="G55" s="452" t="inlineStr">
        <is>
          <t>ALL BREAD 600ML</t>
        </is>
      </c>
      <c r="H55" s="456" t="n"/>
      <c r="I55" s="456" t="n"/>
      <c r="J55" s="513" t="n"/>
      <c r="K55" s="452" t="inlineStr">
        <is>
          <t>ALL BREAD</t>
        </is>
      </c>
      <c r="L55" s="513" t="n"/>
      <c r="M55" s="452" t="inlineStr">
        <is>
          <t>10.308 LATAS</t>
        </is>
      </c>
      <c r="N55" s="418" t="n">
        <v>46130</v>
      </c>
    </row>
    <row r="56" ht="17.25" customHeight="1" s="468">
      <c r="B56" s="452" t="inlineStr">
        <is>
          <t>2026/106</t>
        </is>
      </c>
      <c r="C56" s="452" t="inlineStr">
        <is>
          <t>26010423   92</t>
        </is>
      </c>
      <c r="D56" s="513" t="n"/>
      <c r="E56" s="452" t="n"/>
      <c r="F56" s="513" t="n"/>
      <c r="G56" s="452" t="inlineStr">
        <is>
          <t>LISSE  600ML</t>
        </is>
      </c>
      <c r="H56" s="456" t="n"/>
      <c r="I56" s="456" t="n"/>
      <c r="J56" s="513" t="n"/>
      <c r="K56" s="452" t="inlineStr">
        <is>
          <t>ADIMIX</t>
        </is>
      </c>
      <c r="L56" s="513" t="n"/>
      <c r="M56" s="452" t="inlineStr">
        <is>
          <t>7.980 LATAS</t>
        </is>
      </c>
      <c r="N56" s="418" t="n">
        <v>46132</v>
      </c>
    </row>
    <row r="57" ht="17.25" customHeight="1" s="468">
      <c r="B57" s="452" t="inlineStr">
        <is>
          <t>2026/107</t>
        </is>
      </c>
      <c r="C57" s="452" t="n">
        <v>26010424</v>
      </c>
      <c r="D57" s="513" t="n"/>
      <c r="E57" s="452" t="n"/>
      <c r="F57" s="513" t="n"/>
      <c r="G57" s="452" t="inlineStr">
        <is>
          <t>OL 40</t>
        </is>
      </c>
      <c r="H57" s="456" t="n"/>
      <c r="I57" s="456" t="n"/>
      <c r="J57" s="513" t="n"/>
      <c r="K57" s="452" t="inlineStr">
        <is>
          <t>SMART</t>
        </is>
      </c>
      <c r="L57" s="463" t="n"/>
      <c r="M57" s="237" t="inlineStr">
        <is>
          <t>420 KG</t>
        </is>
      </c>
      <c r="N57" s="418" t="n">
        <v>46127</v>
      </c>
    </row>
    <row r="58" ht="17.25" customHeight="1" s="468">
      <c r="B58" s="530" t="n"/>
      <c r="C58" s="452" t="n">
        <v>26010425</v>
      </c>
      <c r="D58" s="513" t="n"/>
      <c r="E58" s="452" t="n"/>
      <c r="F58" s="513" t="n"/>
      <c r="G58" s="452" t="inlineStr">
        <is>
          <t>OL 40</t>
        </is>
      </c>
      <c r="H58" s="456" t="n"/>
      <c r="I58" s="456" t="n"/>
      <c r="J58" s="513" t="n"/>
      <c r="K58" s="523" t="n"/>
      <c r="L58" s="514" t="n"/>
      <c r="M58" s="237" t="inlineStr">
        <is>
          <t>420 KG</t>
        </is>
      </c>
      <c r="N58" s="418" t="n">
        <v>46127</v>
      </c>
    </row>
    <row r="59" ht="17.25" customHeight="1" s="468">
      <c r="B59" s="530" t="n"/>
      <c r="C59" s="452" t="n">
        <v>26010426</v>
      </c>
      <c r="D59" s="513" t="n"/>
      <c r="E59" s="452" t="n"/>
      <c r="F59" s="513" t="n"/>
      <c r="G59" s="452" t="inlineStr">
        <is>
          <t>OL 40</t>
        </is>
      </c>
      <c r="H59" s="456" t="n"/>
      <c r="I59" s="456" t="n"/>
      <c r="J59" s="513" t="n"/>
      <c r="K59" s="523" t="n"/>
      <c r="L59" s="514" t="n"/>
      <c r="M59" s="237" t="inlineStr">
        <is>
          <t>420 KG</t>
        </is>
      </c>
      <c r="N59" s="418" t="n">
        <v>46127</v>
      </c>
    </row>
    <row r="60" ht="17.25" customHeight="1" s="468">
      <c r="B60" s="530" t="n"/>
      <c r="C60" s="452" t="n">
        <v>26010427</v>
      </c>
      <c r="D60" s="513" t="n"/>
      <c r="E60" s="452" t="n"/>
      <c r="F60" s="513" t="n"/>
      <c r="G60" s="452" t="inlineStr">
        <is>
          <t>OL 40</t>
        </is>
      </c>
      <c r="H60" s="456" t="n"/>
      <c r="I60" s="456" t="n"/>
      <c r="J60" s="513" t="n"/>
      <c r="K60" s="523" t="n"/>
      <c r="L60" s="514" t="n"/>
      <c r="M60" s="237" t="inlineStr">
        <is>
          <t>420 KG</t>
        </is>
      </c>
      <c r="N60" s="418" t="n">
        <v>46127</v>
      </c>
    </row>
    <row r="61" ht="17.25" customHeight="1" s="468">
      <c r="B61" s="530" t="n"/>
      <c r="C61" s="452" t="n">
        <v>26010428</v>
      </c>
      <c r="D61" s="513" t="n"/>
      <c r="E61" s="452" t="n"/>
      <c r="F61" s="513" t="n"/>
      <c r="G61" s="452" t="inlineStr">
        <is>
          <t>OL 40</t>
        </is>
      </c>
      <c r="H61" s="456" t="n"/>
      <c r="I61" s="456" t="n"/>
      <c r="J61" s="513" t="n"/>
      <c r="K61" s="523" t="n"/>
      <c r="L61" s="514" t="n"/>
      <c r="M61" s="237" t="inlineStr">
        <is>
          <t>420 KG</t>
        </is>
      </c>
      <c r="N61" s="418" t="n">
        <v>46128</v>
      </c>
    </row>
    <row r="62" ht="17.25" customHeight="1" s="468">
      <c r="B62" s="530" t="n"/>
      <c r="C62" s="452" t="n">
        <v>26010429</v>
      </c>
      <c r="D62" s="513" t="n"/>
      <c r="E62" s="452" t="n"/>
      <c r="F62" s="513" t="n"/>
      <c r="G62" s="452" t="inlineStr">
        <is>
          <t>OL 40</t>
        </is>
      </c>
      <c r="H62" s="456" t="n"/>
      <c r="I62" s="456" t="n"/>
      <c r="J62" s="513" t="n"/>
      <c r="K62" s="523" t="n"/>
      <c r="L62" s="514" t="n"/>
      <c r="M62" s="237" t="inlineStr">
        <is>
          <t>420 KG</t>
        </is>
      </c>
      <c r="N62" s="418" t="n">
        <v>46128</v>
      </c>
    </row>
    <row r="63" ht="17.25" customHeight="1" s="468">
      <c r="B63" s="530" t="n"/>
      <c r="C63" s="452" t="n">
        <v>26010430</v>
      </c>
      <c r="D63" s="513" t="n"/>
      <c r="E63" s="452" t="n"/>
      <c r="F63" s="513" t="n"/>
      <c r="G63" s="452" t="inlineStr">
        <is>
          <t>OL 40</t>
        </is>
      </c>
      <c r="H63" s="456" t="n"/>
      <c r="I63" s="456" t="n"/>
      <c r="J63" s="513" t="n"/>
      <c r="K63" s="523" t="n"/>
      <c r="L63" s="514" t="n"/>
      <c r="M63" s="237" t="inlineStr">
        <is>
          <t>420 KG</t>
        </is>
      </c>
      <c r="N63" s="418" t="n">
        <v>46128</v>
      </c>
    </row>
    <row r="64" ht="17.25" customHeight="1" s="468">
      <c r="B64" s="530" t="n"/>
      <c r="C64" s="452" t="n">
        <v>26010431</v>
      </c>
      <c r="D64" s="513" t="n"/>
      <c r="E64" s="536" t="n"/>
      <c r="F64" s="513" t="n"/>
      <c r="G64" s="452" t="inlineStr">
        <is>
          <t>OL 40</t>
        </is>
      </c>
      <c r="H64" s="456" t="n"/>
      <c r="I64" s="456" t="n"/>
      <c r="J64" s="513" t="n"/>
      <c r="K64" s="523" t="n"/>
      <c r="L64" s="514" t="n"/>
      <c r="M64" s="237" t="inlineStr">
        <is>
          <t>420 KG</t>
        </is>
      </c>
      <c r="N64" s="418" t="n">
        <v>46128</v>
      </c>
    </row>
    <row r="65" ht="17.25" customHeight="1" s="468">
      <c r="B65" s="530" t="n"/>
      <c r="C65" s="452" t="n">
        <v>26010432</v>
      </c>
      <c r="D65" s="513" t="n"/>
      <c r="E65" s="452" t="n"/>
      <c r="F65" s="513" t="n"/>
      <c r="G65" s="452" t="inlineStr">
        <is>
          <t>OL 40</t>
        </is>
      </c>
      <c r="H65" s="456" t="n"/>
      <c r="I65" s="456" t="n"/>
      <c r="J65" s="513" t="n"/>
      <c r="K65" s="523" t="n"/>
      <c r="L65" s="514" t="n"/>
      <c r="M65" s="237" t="inlineStr">
        <is>
          <t>420 KG</t>
        </is>
      </c>
      <c r="N65" s="418" t="n">
        <v>46128</v>
      </c>
    </row>
    <row r="66" ht="17.25" customHeight="1" s="468">
      <c r="B66" s="530" t="n"/>
      <c r="C66" s="452" t="n">
        <v>26010433</v>
      </c>
      <c r="D66" s="513" t="n"/>
      <c r="E66" s="452" t="n"/>
      <c r="F66" s="513" t="n"/>
      <c r="G66" s="452" t="inlineStr">
        <is>
          <t>OL 40</t>
        </is>
      </c>
      <c r="H66" s="456" t="n"/>
      <c r="I66" s="456" t="n"/>
      <c r="J66" s="513" t="n"/>
      <c r="K66" s="523" t="n"/>
      <c r="L66" s="514" t="n"/>
      <c r="M66" s="237" t="inlineStr">
        <is>
          <t>420 KG</t>
        </is>
      </c>
      <c r="N66" s="418" t="n">
        <v>46128</v>
      </c>
    </row>
    <row r="67" ht="17.25" customHeight="1" s="468">
      <c r="B67" s="530" t="n"/>
      <c r="C67" s="452" t="n">
        <v>26010434</v>
      </c>
      <c r="D67" s="513" t="n"/>
      <c r="E67" s="452" t="n"/>
      <c r="F67" s="513" t="n"/>
      <c r="G67" s="452" t="inlineStr">
        <is>
          <t>OL 40</t>
        </is>
      </c>
      <c r="H67" s="456" t="n"/>
      <c r="I67" s="456" t="n"/>
      <c r="J67" s="513" t="n"/>
      <c r="K67" s="523" t="n"/>
      <c r="L67" s="514" t="n"/>
      <c r="M67" s="237" t="inlineStr">
        <is>
          <t>420 KG</t>
        </is>
      </c>
      <c r="N67" s="418" t="n">
        <v>46130</v>
      </c>
    </row>
    <row r="68" ht="17.25" customHeight="1" s="468">
      <c r="B68" s="530" t="n"/>
      <c r="C68" s="452" t="n">
        <v>26010435</v>
      </c>
      <c r="D68" s="513" t="n"/>
      <c r="E68" s="452" t="n"/>
      <c r="F68" s="513" t="n"/>
      <c r="G68" s="452" t="inlineStr">
        <is>
          <t>OL 40</t>
        </is>
      </c>
      <c r="H68" s="456" t="n"/>
      <c r="I68" s="456" t="n"/>
      <c r="J68" s="513" t="n"/>
      <c r="K68" s="523" t="n"/>
      <c r="L68" s="514" t="n"/>
      <c r="M68" s="237" t="inlineStr">
        <is>
          <t>420 KG</t>
        </is>
      </c>
      <c r="N68" s="418" t="n">
        <v>46130</v>
      </c>
    </row>
    <row r="69" ht="17.25" customHeight="1" s="468">
      <c r="B69" s="530" t="n"/>
      <c r="C69" s="452" t="n">
        <v>26010436</v>
      </c>
      <c r="D69" s="513" t="n"/>
      <c r="E69" s="452" t="n"/>
      <c r="F69" s="513" t="n"/>
      <c r="G69" s="452" t="inlineStr">
        <is>
          <t>OL 40</t>
        </is>
      </c>
      <c r="H69" s="456" t="n"/>
      <c r="I69" s="456" t="n"/>
      <c r="J69" s="513" t="n"/>
      <c r="K69" s="523" t="n"/>
      <c r="L69" s="514" t="n"/>
      <c r="M69" s="237" t="inlineStr">
        <is>
          <t>420 KG</t>
        </is>
      </c>
      <c r="N69" s="418" t="n">
        <v>46130</v>
      </c>
    </row>
    <row r="70" ht="17.25" customHeight="1" s="468">
      <c r="B70" s="530" t="n"/>
      <c r="C70" s="452" t="n">
        <v>26010437</v>
      </c>
      <c r="D70" s="513" t="n"/>
      <c r="E70" s="536" t="n"/>
      <c r="F70" s="513" t="n"/>
      <c r="G70" s="452" t="inlineStr">
        <is>
          <t>OL 40</t>
        </is>
      </c>
      <c r="H70" s="456" t="n"/>
      <c r="I70" s="456" t="n"/>
      <c r="J70" s="513" t="n"/>
      <c r="K70" s="523" t="n"/>
      <c r="L70" s="514" t="n"/>
      <c r="M70" s="237" t="inlineStr">
        <is>
          <t>420 KG</t>
        </is>
      </c>
      <c r="N70" s="418" t="n">
        <v>46130</v>
      </c>
    </row>
    <row r="71" ht="17.25" customHeight="1" s="468">
      <c r="B71" s="530" t="n"/>
      <c r="C71" s="452" t="n">
        <v>26010438</v>
      </c>
      <c r="D71" s="513" t="n"/>
      <c r="E71" s="452" t="n"/>
      <c r="F71" s="513" t="n"/>
      <c r="G71" s="452" t="inlineStr">
        <is>
          <t>OL 40</t>
        </is>
      </c>
      <c r="H71" s="456" t="n"/>
      <c r="I71" s="456" t="n"/>
      <c r="J71" s="513" t="n"/>
      <c r="K71" s="523" t="n"/>
      <c r="L71" s="514" t="n"/>
      <c r="M71" s="237" t="inlineStr">
        <is>
          <t>420 KG</t>
        </is>
      </c>
      <c r="N71" s="418" t="n">
        <v>46130</v>
      </c>
    </row>
    <row r="72" ht="17.25" customHeight="1" s="468">
      <c r="B72" s="530" t="n"/>
      <c r="C72" s="452" t="n">
        <v>26010439</v>
      </c>
      <c r="D72" s="513" t="n"/>
      <c r="E72" s="452" t="n"/>
      <c r="F72" s="513" t="n"/>
      <c r="G72" s="452" t="inlineStr">
        <is>
          <t>OL 40</t>
        </is>
      </c>
      <c r="H72" s="456" t="n"/>
      <c r="I72" s="456" t="n"/>
      <c r="J72" s="513" t="n"/>
      <c r="K72" s="523" t="n"/>
      <c r="L72" s="514" t="n"/>
      <c r="M72" s="237" t="inlineStr">
        <is>
          <t>420 KG</t>
        </is>
      </c>
      <c r="N72" s="418" t="n">
        <v>46132</v>
      </c>
    </row>
    <row r="73" ht="17.25" customHeight="1" s="468">
      <c r="B73" s="530" t="n"/>
      <c r="C73" s="452" t="n">
        <v>26010440</v>
      </c>
      <c r="D73" s="513" t="n"/>
      <c r="E73" s="452" t="n"/>
      <c r="F73" s="513" t="n"/>
      <c r="G73" s="452" t="inlineStr">
        <is>
          <t>OL 40</t>
        </is>
      </c>
      <c r="H73" s="456" t="n"/>
      <c r="I73" s="456" t="n"/>
      <c r="J73" s="513" t="n"/>
      <c r="K73" s="523" t="n"/>
      <c r="L73" s="514" t="n"/>
      <c r="M73" s="237" t="inlineStr">
        <is>
          <t>420 KG</t>
        </is>
      </c>
      <c r="N73" s="418" t="n">
        <v>46132</v>
      </c>
    </row>
    <row r="74" ht="17.25" customHeight="1" s="468">
      <c r="B74" s="530" t="n"/>
      <c r="C74" s="452" t="n">
        <v>26010441</v>
      </c>
      <c r="D74" s="513" t="n"/>
      <c r="E74" s="452" t="n"/>
      <c r="F74" s="513" t="n"/>
      <c r="G74" s="452" t="inlineStr">
        <is>
          <t>OL 40</t>
        </is>
      </c>
      <c r="H74" s="456" t="n"/>
      <c r="I74" s="456" t="n"/>
      <c r="J74" s="513" t="n"/>
      <c r="K74" s="523" t="n"/>
      <c r="L74" s="514" t="n"/>
      <c r="M74" s="237" t="inlineStr">
        <is>
          <t>420 KG</t>
        </is>
      </c>
      <c r="N74" s="418" t="n">
        <v>46132</v>
      </c>
    </row>
    <row r="75" ht="17.25" customHeight="1" s="468">
      <c r="B75" s="530" t="n"/>
      <c r="C75" s="452" t="n">
        <v>26010442</v>
      </c>
      <c r="D75" s="513" t="n"/>
      <c r="E75" s="452" t="n"/>
      <c r="F75" s="513" t="n"/>
      <c r="G75" s="452" t="inlineStr">
        <is>
          <t>OL 40</t>
        </is>
      </c>
      <c r="H75" s="456" t="n"/>
      <c r="I75" s="456" t="n"/>
      <c r="J75" s="513" t="n"/>
      <c r="K75" s="523" t="n"/>
      <c r="L75" s="514" t="n"/>
      <c r="M75" s="237" t="inlineStr">
        <is>
          <t>420 KG</t>
        </is>
      </c>
      <c r="N75" s="418" t="n">
        <v>46132</v>
      </c>
    </row>
    <row r="76" ht="17.25" customHeight="1" s="468">
      <c r="B76" s="530" t="n"/>
      <c r="C76" s="452" t="n">
        <v>26010443</v>
      </c>
      <c r="D76" s="513" t="n"/>
      <c r="E76" s="536" t="n"/>
      <c r="F76" s="513" t="n"/>
      <c r="G76" s="452" t="inlineStr">
        <is>
          <t>OL 40</t>
        </is>
      </c>
      <c r="H76" s="456" t="n"/>
      <c r="I76" s="456" t="n"/>
      <c r="J76" s="513" t="n"/>
      <c r="K76" s="523" t="n"/>
      <c r="L76" s="514" t="n"/>
      <c r="M76" s="237" t="inlineStr">
        <is>
          <t>420 KG</t>
        </is>
      </c>
      <c r="N76" s="418" t="n">
        <v>46132</v>
      </c>
    </row>
    <row r="77" ht="17.25" customHeight="1" s="468">
      <c r="B77" s="530" t="n"/>
      <c r="C77" s="452" t="n">
        <v>26010444</v>
      </c>
      <c r="D77" s="513" t="n"/>
      <c r="E77" s="452" t="n"/>
      <c r="F77" s="513" t="n"/>
      <c r="G77" s="452" t="inlineStr">
        <is>
          <t>OL 40</t>
        </is>
      </c>
      <c r="H77" s="456" t="n"/>
      <c r="I77" s="456" t="n"/>
      <c r="J77" s="513" t="n"/>
      <c r="K77" s="523" t="n"/>
      <c r="L77" s="514" t="n"/>
      <c r="M77" s="237" t="inlineStr">
        <is>
          <t>420 KG</t>
        </is>
      </c>
      <c r="N77" s="418" t="n">
        <v>46132</v>
      </c>
    </row>
    <row r="78" ht="17.25" customHeight="1" s="468">
      <c r="B78" s="530" t="n"/>
      <c r="C78" s="452" t="n">
        <v>26010445</v>
      </c>
      <c r="D78" s="513" t="n"/>
      <c r="E78" s="452" t="n"/>
      <c r="F78" s="513" t="n"/>
      <c r="G78" s="452" t="inlineStr">
        <is>
          <t>OL 40</t>
        </is>
      </c>
      <c r="H78" s="456" t="n"/>
      <c r="I78" s="456" t="n"/>
      <c r="J78" s="513" t="n"/>
      <c r="K78" s="523" t="n"/>
      <c r="L78" s="514" t="n"/>
      <c r="M78" s="237" t="inlineStr">
        <is>
          <t>420 KG</t>
        </is>
      </c>
      <c r="N78" s="418" t="n">
        <v>46133</v>
      </c>
    </row>
    <row r="79" ht="17.25" customHeight="1" s="468">
      <c r="B79" s="530" t="n"/>
      <c r="C79" s="452" t="n">
        <v>26010446</v>
      </c>
      <c r="D79" s="513" t="n"/>
      <c r="E79" s="452" t="n"/>
      <c r="F79" s="513" t="n"/>
      <c r="G79" s="452" t="inlineStr">
        <is>
          <t>OL 40</t>
        </is>
      </c>
      <c r="H79" s="456" t="n"/>
      <c r="I79" s="456" t="n"/>
      <c r="J79" s="513" t="n"/>
      <c r="K79" s="523" t="n"/>
      <c r="L79" s="514" t="n"/>
      <c r="M79" s="237" t="inlineStr">
        <is>
          <t>420 KG</t>
        </is>
      </c>
      <c r="N79" s="418" t="n">
        <v>46133</v>
      </c>
    </row>
    <row r="80" ht="17.25" customHeight="1" s="468">
      <c r="B80" s="530" t="n"/>
      <c r="C80" s="452" t="n">
        <v>26010447</v>
      </c>
      <c r="D80" s="513" t="n"/>
      <c r="E80" s="452" t="n"/>
      <c r="F80" s="513" t="n"/>
      <c r="G80" s="452" t="inlineStr">
        <is>
          <t>OL 40</t>
        </is>
      </c>
      <c r="H80" s="456" t="n"/>
      <c r="I80" s="456" t="n"/>
      <c r="J80" s="513" t="n"/>
      <c r="K80" s="523" t="n"/>
      <c r="L80" s="514" t="n"/>
      <c r="M80" s="237" t="inlineStr">
        <is>
          <t>420 KG</t>
        </is>
      </c>
      <c r="N80" s="418" t="n">
        <v>46133</v>
      </c>
    </row>
    <row r="81" ht="17.25" customHeight="1" s="468">
      <c r="B81" s="531" t="n"/>
      <c r="C81" s="452" t="n">
        <v>26010448</v>
      </c>
      <c r="D81" s="513" t="n"/>
      <c r="E81" s="452" t="n"/>
      <c r="F81" s="513" t="n"/>
      <c r="G81" s="452" t="inlineStr">
        <is>
          <t>OL 40</t>
        </is>
      </c>
      <c r="H81" s="456" t="n"/>
      <c r="I81" s="456" t="n"/>
      <c r="J81" s="513" t="n"/>
      <c r="K81" s="464" t="n"/>
      <c r="L81" s="466" t="n"/>
      <c r="M81" s="237" t="inlineStr">
        <is>
          <t>420 KG</t>
        </is>
      </c>
      <c r="N81" s="418" t="n">
        <v>46133</v>
      </c>
    </row>
    <row r="82" ht="17.25" customHeight="1" s="468">
      <c r="B82" s="452" t="inlineStr">
        <is>
          <t>2026/108</t>
        </is>
      </c>
      <c r="C82" s="452" t="n">
        <v>26010449</v>
      </c>
      <c r="D82" s="513" t="n"/>
      <c r="E82" s="452" t="n"/>
      <c r="F82" s="513" t="n"/>
      <c r="G82" s="452" t="inlineStr">
        <is>
          <t>ALL BREAD MANTEIGA 600ML</t>
        </is>
      </c>
      <c r="H82" s="456" t="n"/>
      <c r="I82" s="456" t="n"/>
      <c r="J82" s="513" t="n"/>
      <c r="K82" s="452" t="inlineStr">
        <is>
          <t>ALL BREAD</t>
        </is>
      </c>
      <c r="L82" s="513" t="n"/>
      <c r="M82" s="238" t="inlineStr">
        <is>
          <t>600 LATAS</t>
        </is>
      </c>
      <c r="N82" s="418" t="n">
        <v>46130</v>
      </c>
    </row>
    <row r="83" ht="17.25" customHeight="1" s="468">
      <c r="B83" s="452" t="inlineStr">
        <is>
          <t>2026/109</t>
        </is>
      </c>
      <c r="C83" s="452" t="n">
        <v>26010450</v>
      </c>
      <c r="D83" s="513" t="n"/>
      <c r="E83" s="452" t="n"/>
      <c r="F83" s="513" t="n"/>
      <c r="G83" s="452" t="inlineStr">
        <is>
          <t xml:space="preserve">OL MANTEIGA </t>
        </is>
      </c>
      <c r="H83" s="456" t="n"/>
      <c r="I83" s="456" t="n"/>
      <c r="J83" s="513" t="n"/>
      <c r="K83" s="452" t="inlineStr">
        <is>
          <t>SMART</t>
        </is>
      </c>
      <c r="L83" s="513" t="n"/>
      <c r="M83" s="452" t="inlineStr">
        <is>
          <t>210 KG</t>
        </is>
      </c>
      <c r="N83" s="418" t="n">
        <v>46128</v>
      </c>
    </row>
    <row r="84" ht="17.25" customHeight="1" s="468">
      <c r="B84" s="452" t="inlineStr">
        <is>
          <t>2026/110</t>
        </is>
      </c>
      <c r="C84" s="452" t="n">
        <v>26010451</v>
      </c>
      <c r="D84" s="513" t="n"/>
      <c r="E84" s="452" t="n"/>
      <c r="F84" s="513" t="n"/>
      <c r="G84" s="452" t="inlineStr">
        <is>
          <t>OL 40</t>
        </is>
      </c>
      <c r="H84" s="456" t="n"/>
      <c r="I84" s="456" t="n"/>
      <c r="J84" s="513" t="n"/>
      <c r="K84" s="452" t="inlineStr">
        <is>
          <t>SMART</t>
        </is>
      </c>
      <c r="L84" s="463" t="n"/>
      <c r="M84" s="452" t="inlineStr">
        <is>
          <t>420 KG</t>
        </is>
      </c>
      <c r="N84" s="418" t="n">
        <v>46133</v>
      </c>
    </row>
    <row r="85" ht="17.25" customHeight="1" s="468">
      <c r="B85" s="530" t="n"/>
      <c r="C85" s="452" t="n">
        <v>26010452</v>
      </c>
      <c r="D85" s="513" t="n"/>
      <c r="E85" s="452" t="n"/>
      <c r="F85" s="513" t="n"/>
      <c r="G85" s="452" t="inlineStr">
        <is>
          <t>OL 40</t>
        </is>
      </c>
      <c r="H85" s="456" t="n"/>
      <c r="I85" s="456" t="n"/>
      <c r="J85" s="513" t="n"/>
      <c r="K85" s="523" t="n"/>
      <c r="L85" s="514" t="n"/>
      <c r="M85" s="238" t="inlineStr">
        <is>
          <t>420 KG</t>
        </is>
      </c>
      <c r="N85" s="418" t="n">
        <v>46133</v>
      </c>
    </row>
    <row r="86" ht="17.25" customHeight="1" s="468">
      <c r="B86" s="530" t="n"/>
      <c r="C86" s="452" t="n">
        <v>26010453</v>
      </c>
      <c r="D86" s="513" t="n"/>
      <c r="E86" s="536" t="n"/>
      <c r="F86" s="513" t="n"/>
      <c r="G86" s="452" t="inlineStr">
        <is>
          <t>OL 40</t>
        </is>
      </c>
      <c r="H86" s="456" t="n"/>
      <c r="I86" s="456" t="n"/>
      <c r="J86" s="513" t="n"/>
      <c r="K86" s="523" t="n"/>
      <c r="L86" s="514" t="n"/>
      <c r="M86" s="452" t="inlineStr">
        <is>
          <t>420 KG</t>
        </is>
      </c>
      <c r="N86" s="418" t="n">
        <v>46133</v>
      </c>
    </row>
    <row r="87" ht="17.25" customHeight="1" s="468">
      <c r="B87" s="530" t="n"/>
      <c r="C87" s="452" t="n">
        <v>26010454</v>
      </c>
      <c r="D87" s="513" t="n"/>
      <c r="E87" s="452" t="n"/>
      <c r="F87" s="513" t="n"/>
      <c r="G87" s="452" t="inlineStr">
        <is>
          <t>OL 40</t>
        </is>
      </c>
      <c r="H87" s="456" t="n"/>
      <c r="I87" s="456" t="n"/>
      <c r="J87" s="513" t="n"/>
      <c r="K87" s="523" t="n"/>
      <c r="L87" s="514" t="n"/>
      <c r="M87" s="452" t="inlineStr">
        <is>
          <t>420 KG</t>
        </is>
      </c>
      <c r="N87" s="418" t="n">
        <v>46134</v>
      </c>
    </row>
    <row r="88" ht="17.25" customHeight="1" s="468">
      <c r="B88" s="530" t="n"/>
      <c r="C88" s="452" t="n">
        <v>26010455</v>
      </c>
      <c r="D88" s="513" t="n"/>
      <c r="E88" s="452" t="n"/>
      <c r="F88" s="513" t="n"/>
      <c r="G88" s="452" t="inlineStr">
        <is>
          <t>OL 40</t>
        </is>
      </c>
      <c r="H88" s="456" t="n"/>
      <c r="I88" s="456" t="n"/>
      <c r="J88" s="513" t="n"/>
      <c r="K88" s="523" t="n"/>
      <c r="L88" s="514" t="n"/>
      <c r="M88" s="452" t="inlineStr">
        <is>
          <t>420 KG</t>
        </is>
      </c>
      <c r="N88" s="418" t="n">
        <v>46134</v>
      </c>
    </row>
    <row r="89" ht="17.25" customHeight="1" s="468">
      <c r="B89" s="530" t="n"/>
      <c r="C89" s="452" t="n">
        <v>26010456</v>
      </c>
      <c r="D89" s="513" t="n"/>
      <c r="E89" s="452" t="n"/>
      <c r="F89" s="513" t="n"/>
      <c r="G89" s="452" t="inlineStr">
        <is>
          <t>OL 40</t>
        </is>
      </c>
      <c r="H89" s="456" t="n"/>
      <c r="I89" s="456" t="n"/>
      <c r="J89" s="513" t="n"/>
      <c r="K89" s="523" t="n"/>
      <c r="L89" s="514" t="n"/>
      <c r="M89" s="238" t="inlineStr">
        <is>
          <t>420 KG</t>
        </is>
      </c>
      <c r="N89" s="418" t="n">
        <v>46134</v>
      </c>
    </row>
    <row r="90" ht="17.25" customHeight="1" s="468">
      <c r="B90" s="530" t="n"/>
      <c r="C90" s="452" t="n">
        <v>26010457</v>
      </c>
      <c r="D90" s="513" t="n"/>
      <c r="E90" s="452" t="n"/>
      <c r="F90" s="513" t="n"/>
      <c r="G90" s="452" t="inlineStr">
        <is>
          <t>OL 40</t>
        </is>
      </c>
      <c r="H90" s="456" t="n"/>
      <c r="I90" s="456" t="n"/>
      <c r="J90" s="513" t="n"/>
      <c r="K90" s="523" t="n"/>
      <c r="L90" s="514" t="n"/>
      <c r="M90" s="452" t="inlineStr">
        <is>
          <t>420 KG</t>
        </is>
      </c>
      <c r="N90" s="418" t="n">
        <v>46134</v>
      </c>
    </row>
    <row r="91" ht="17.25" customHeight="1" s="468">
      <c r="B91" s="530" t="n"/>
      <c r="C91" s="452" t="n">
        <v>26010458</v>
      </c>
      <c r="D91" s="513" t="n"/>
      <c r="E91" s="452" t="n"/>
      <c r="F91" s="513" t="n"/>
      <c r="G91" s="452" t="inlineStr">
        <is>
          <t>OL 40</t>
        </is>
      </c>
      <c r="H91" s="456" t="n"/>
      <c r="I91" s="456" t="n"/>
      <c r="J91" s="513" t="n"/>
      <c r="K91" s="523" t="n"/>
      <c r="L91" s="514" t="n"/>
      <c r="M91" s="238" t="inlineStr">
        <is>
          <t>420 KG</t>
        </is>
      </c>
      <c r="N91" s="418" t="n">
        <v>46134</v>
      </c>
    </row>
    <row r="92" ht="17.25" customHeight="1" s="468">
      <c r="B92" s="530" t="n"/>
      <c r="C92" s="452" t="n">
        <v>26010459</v>
      </c>
      <c r="D92" s="513" t="n"/>
      <c r="E92" s="452" t="n"/>
      <c r="F92" s="513" t="n"/>
      <c r="G92" s="452" t="inlineStr">
        <is>
          <t>OL 40</t>
        </is>
      </c>
      <c r="H92" s="456" t="n"/>
      <c r="I92" s="456" t="n"/>
      <c r="J92" s="513" t="n"/>
      <c r="K92" s="523" t="n"/>
      <c r="L92" s="514" t="n"/>
      <c r="M92" s="452" t="inlineStr">
        <is>
          <t>420 KG</t>
        </is>
      </c>
      <c r="N92" s="418" t="n">
        <v>46134</v>
      </c>
    </row>
    <row r="93" ht="17.25" customHeight="1" s="468">
      <c r="B93" s="530" t="n"/>
      <c r="C93" s="452" t="n">
        <v>26010460</v>
      </c>
      <c r="D93" s="513" t="n"/>
      <c r="E93" s="452" t="n"/>
      <c r="F93" s="513" t="n"/>
      <c r="G93" s="452" t="inlineStr">
        <is>
          <t>OL 40</t>
        </is>
      </c>
      <c r="H93" s="456" t="n"/>
      <c r="I93" s="456" t="n"/>
      <c r="J93" s="513" t="n"/>
      <c r="K93" s="523" t="n"/>
      <c r="L93" s="514" t="n"/>
      <c r="M93" s="238" t="inlineStr">
        <is>
          <t>420 KG</t>
        </is>
      </c>
      <c r="N93" s="418" t="n">
        <v>46135</v>
      </c>
    </row>
    <row r="94" ht="17.25" customHeight="1" s="468">
      <c r="B94" s="530" t="n"/>
      <c r="C94" s="452" t="n">
        <v>26010461</v>
      </c>
      <c r="D94" s="513" t="n"/>
      <c r="E94" s="536" t="n"/>
      <c r="F94" s="513" t="n"/>
      <c r="G94" s="452" t="inlineStr">
        <is>
          <t>OL 40</t>
        </is>
      </c>
      <c r="H94" s="456" t="n"/>
      <c r="I94" s="456" t="n"/>
      <c r="J94" s="513" t="n"/>
      <c r="K94" s="523" t="n"/>
      <c r="L94" s="514" t="n"/>
      <c r="M94" s="452" t="inlineStr">
        <is>
          <t>420 KG</t>
        </is>
      </c>
      <c r="N94" s="418" t="n">
        <v>46135</v>
      </c>
    </row>
    <row r="95" ht="18" customHeight="1" s="468">
      <c r="B95" s="530" t="n"/>
      <c r="C95" s="452" t="n">
        <v>26010462</v>
      </c>
      <c r="D95" s="513" t="n"/>
      <c r="E95" s="452" t="n"/>
      <c r="F95" s="513" t="n"/>
      <c r="G95" s="452" t="inlineStr">
        <is>
          <t>OL 40</t>
        </is>
      </c>
      <c r="H95" s="456" t="n"/>
      <c r="I95" s="456" t="n"/>
      <c r="J95" s="513" t="n"/>
      <c r="K95" s="523" t="n"/>
      <c r="L95" s="514" t="n"/>
      <c r="M95" s="238" t="inlineStr">
        <is>
          <t>420 KG</t>
        </is>
      </c>
      <c r="N95" s="418" t="n">
        <v>46135</v>
      </c>
    </row>
    <row r="96" ht="16.5" customHeight="1" s="468">
      <c r="B96" s="530" t="n"/>
      <c r="C96" s="452" t="n">
        <v>26010463</v>
      </c>
      <c r="D96" s="513" t="n"/>
      <c r="E96" s="452" t="n"/>
      <c r="F96" s="513" t="n"/>
      <c r="G96" s="452" t="inlineStr">
        <is>
          <t>OL 40</t>
        </is>
      </c>
      <c r="H96" s="456" t="n"/>
      <c r="I96" s="456" t="n"/>
      <c r="J96" s="513" t="n"/>
      <c r="K96" s="523" t="n"/>
      <c r="L96" s="514" t="n"/>
      <c r="M96" s="452" t="inlineStr">
        <is>
          <t>420 KG</t>
        </is>
      </c>
      <c r="N96" s="418" t="n">
        <v>46135</v>
      </c>
    </row>
    <row r="97" ht="18" customHeight="1" s="468">
      <c r="B97" s="530" t="n"/>
      <c r="C97" s="452" t="n">
        <v>26010464</v>
      </c>
      <c r="D97" s="513" t="n"/>
      <c r="E97" s="452" t="n"/>
      <c r="F97" s="513" t="n"/>
      <c r="G97" s="452" t="inlineStr">
        <is>
          <t>OL 40</t>
        </is>
      </c>
      <c r="H97" s="456" t="n"/>
      <c r="I97" s="456" t="n"/>
      <c r="J97" s="513" t="n"/>
      <c r="K97" s="523" t="n"/>
      <c r="L97" s="514" t="n"/>
      <c r="M97" s="238" t="inlineStr">
        <is>
          <t>420 KG</t>
        </is>
      </c>
      <c r="N97" s="418" t="n">
        <v>46135</v>
      </c>
    </row>
    <row r="98" ht="18" customHeight="1" s="468">
      <c r="B98" s="530" t="n"/>
      <c r="C98" s="452" t="n">
        <v>26010465</v>
      </c>
      <c r="D98" s="513" t="n"/>
      <c r="E98" s="452" t="n"/>
      <c r="F98" s="513" t="n"/>
      <c r="G98" s="452" t="inlineStr">
        <is>
          <t>OL 40</t>
        </is>
      </c>
      <c r="H98" s="456" t="n"/>
      <c r="I98" s="456" t="n"/>
      <c r="J98" s="513" t="n"/>
      <c r="K98" s="523" t="n"/>
      <c r="L98" s="514" t="n"/>
      <c r="M98" s="452" t="inlineStr">
        <is>
          <t>420 KG</t>
        </is>
      </c>
      <c r="N98" s="418" t="n">
        <v>46135</v>
      </c>
    </row>
    <row r="99" ht="17.25" customHeight="1" s="468">
      <c r="B99" s="530" t="n"/>
      <c r="C99" s="452" t="n">
        <v>26010466</v>
      </c>
      <c r="D99" s="513" t="n"/>
      <c r="E99" s="452" t="n"/>
      <c r="F99" s="513" t="n"/>
      <c r="G99" s="452" t="inlineStr">
        <is>
          <t>OL 40</t>
        </is>
      </c>
      <c r="H99" s="456" t="n"/>
      <c r="I99" s="456" t="n"/>
      <c r="J99" s="513" t="n"/>
      <c r="K99" s="523" t="n"/>
      <c r="L99" s="514" t="n"/>
      <c r="M99" s="238" t="inlineStr">
        <is>
          <t>420 KG</t>
        </is>
      </c>
      <c r="N99" s="418" t="n">
        <v>46135</v>
      </c>
    </row>
    <row r="100" ht="17.25" customHeight="1" s="468">
      <c r="B100" s="530" t="n"/>
      <c r="C100" s="452" t="n">
        <v>26010467</v>
      </c>
      <c r="D100" s="513" t="n"/>
      <c r="E100" s="452" t="n"/>
      <c r="F100" s="513" t="n"/>
      <c r="G100" s="452" t="inlineStr">
        <is>
          <t>OL 40</t>
        </is>
      </c>
      <c r="H100" s="456" t="n"/>
      <c r="I100" s="456" t="n"/>
      <c r="J100" s="513" t="n"/>
      <c r="K100" s="523" t="n"/>
      <c r="L100" s="514" t="n"/>
      <c r="M100" s="452" t="inlineStr">
        <is>
          <t>420 KG</t>
        </is>
      </c>
      <c r="N100" s="418" t="n">
        <v>46135</v>
      </c>
    </row>
    <row r="101" ht="16.5" customHeight="1" s="468">
      <c r="B101" s="530" t="n"/>
      <c r="C101" s="452" t="n">
        <v>26010468</v>
      </c>
      <c r="D101" s="513" t="n"/>
      <c r="E101" s="452" t="n"/>
      <c r="F101" s="513" t="n"/>
      <c r="G101" s="452" t="inlineStr">
        <is>
          <t>OL 40</t>
        </is>
      </c>
      <c r="H101" s="456" t="n"/>
      <c r="I101" s="456" t="n"/>
      <c r="J101" s="513" t="n"/>
      <c r="K101" s="523" t="n"/>
      <c r="L101" s="514" t="n"/>
      <c r="M101" s="238" t="inlineStr">
        <is>
          <t>420 KG</t>
        </is>
      </c>
      <c r="N101" s="418" t="n">
        <v>46135</v>
      </c>
    </row>
    <row r="102" ht="18" customHeight="1" s="468">
      <c r="B102" s="530" t="n"/>
      <c r="C102" s="452" t="n">
        <v>26010469</v>
      </c>
      <c r="D102" s="513" t="n"/>
      <c r="E102" s="536" t="n"/>
      <c r="F102" s="513" t="n"/>
      <c r="G102" s="452" t="inlineStr">
        <is>
          <t>OL 40</t>
        </is>
      </c>
      <c r="H102" s="456" t="n"/>
      <c r="I102" s="456" t="n"/>
      <c r="J102" s="513" t="n"/>
      <c r="K102" s="523" t="n"/>
      <c r="L102" s="514" t="n"/>
      <c r="M102" s="452" t="inlineStr">
        <is>
          <t>420 KG</t>
        </is>
      </c>
      <c r="N102" s="418" t="n">
        <v>46136</v>
      </c>
    </row>
    <row r="103" ht="16.5" customHeight="1" s="468">
      <c r="B103" s="530" t="n"/>
      <c r="C103" s="452" t="n">
        <v>26010470</v>
      </c>
      <c r="D103" s="513" t="n"/>
      <c r="E103" s="452" t="n"/>
      <c r="F103" s="513" t="n"/>
      <c r="G103" s="452" t="inlineStr">
        <is>
          <t>OL 40</t>
        </is>
      </c>
      <c r="H103" s="456" t="n"/>
      <c r="I103" s="456" t="n"/>
      <c r="J103" s="513" t="n"/>
      <c r="K103" s="523" t="n"/>
      <c r="L103" s="514" t="n"/>
      <c r="M103" s="238" t="inlineStr">
        <is>
          <t>420 KG</t>
        </is>
      </c>
      <c r="N103" s="418" t="n">
        <v>46136</v>
      </c>
    </row>
    <row r="104" ht="15" customHeight="1" s="468">
      <c r="B104" s="530" t="n"/>
      <c r="C104" s="452" t="n">
        <v>26010471</v>
      </c>
      <c r="D104" s="513" t="n"/>
      <c r="E104" s="452" t="n"/>
      <c r="F104" s="513" t="n"/>
      <c r="G104" s="452" t="inlineStr">
        <is>
          <t>OL 40</t>
        </is>
      </c>
      <c r="H104" s="456" t="n"/>
      <c r="I104" s="456" t="n"/>
      <c r="J104" s="513" t="n"/>
      <c r="K104" s="523" t="n"/>
      <c r="L104" s="514" t="n"/>
      <c r="M104" s="452" t="inlineStr">
        <is>
          <t>420 KG</t>
        </is>
      </c>
      <c r="N104" s="418" t="n">
        <v>46140</v>
      </c>
    </row>
    <row r="105" ht="15" customHeight="1" s="468">
      <c r="B105" s="530" t="n"/>
      <c r="C105" s="452" t="n">
        <v>26010472</v>
      </c>
      <c r="D105" s="513" t="n"/>
      <c r="E105" s="452" t="n"/>
      <c r="F105" s="513" t="n"/>
      <c r="G105" s="452" t="inlineStr">
        <is>
          <t>OL 40</t>
        </is>
      </c>
      <c r="H105" s="456" t="n"/>
      <c r="I105" s="456" t="n"/>
      <c r="J105" s="513" t="n"/>
      <c r="K105" s="523" t="n"/>
      <c r="L105" s="514" t="n"/>
      <c r="M105" s="238" t="inlineStr">
        <is>
          <t>420 KG</t>
        </is>
      </c>
      <c r="N105" s="418" t="n">
        <v>46140</v>
      </c>
    </row>
    <row r="106" ht="16.5" customHeight="1" s="468">
      <c r="B106" s="530" t="n"/>
      <c r="C106" s="452" t="n">
        <v>26010473</v>
      </c>
      <c r="D106" s="513" t="n"/>
      <c r="E106" s="452" t="n"/>
      <c r="F106" s="513" t="n"/>
      <c r="G106" s="452" t="inlineStr">
        <is>
          <t>OL 40</t>
        </is>
      </c>
      <c r="H106" s="456" t="n"/>
      <c r="I106" s="456" t="n"/>
      <c r="J106" s="513" t="n"/>
      <c r="K106" s="523" t="n"/>
      <c r="L106" s="514" t="n"/>
      <c r="M106" s="452" t="inlineStr">
        <is>
          <t>420 KG</t>
        </is>
      </c>
      <c r="N106" s="418" t="n">
        <v>46140</v>
      </c>
    </row>
    <row r="107" ht="17.25" customHeight="1" s="468">
      <c r="B107" s="530" t="n"/>
      <c r="C107" s="452" t="n">
        <v>26010474</v>
      </c>
      <c r="D107" s="513" t="n"/>
      <c r="E107" s="452" t="n"/>
      <c r="F107" s="513" t="n"/>
      <c r="G107" s="452" t="inlineStr">
        <is>
          <t>OL 40</t>
        </is>
      </c>
      <c r="H107" s="456" t="n"/>
      <c r="I107" s="456" t="n"/>
      <c r="J107" s="513" t="n"/>
      <c r="K107" s="523" t="n"/>
      <c r="L107" s="514" t="n"/>
      <c r="M107" s="238" t="inlineStr">
        <is>
          <t>420 KG</t>
        </is>
      </c>
      <c r="N107" s="418" t="n">
        <v>46140</v>
      </c>
    </row>
    <row r="108" ht="16.5" customHeight="1" s="468">
      <c r="B108" s="531" t="n"/>
      <c r="C108" s="452" t="n">
        <v>26010475</v>
      </c>
      <c r="D108" s="513" t="n"/>
      <c r="E108" s="536" t="n"/>
      <c r="F108" s="513" t="n"/>
      <c r="G108" s="452" t="inlineStr">
        <is>
          <t>OL 40</t>
        </is>
      </c>
      <c r="H108" s="456" t="n"/>
      <c r="I108" s="456" t="n"/>
      <c r="J108" s="513" t="n"/>
      <c r="K108" s="464" t="n"/>
      <c r="L108" s="466" t="n"/>
      <c r="M108" s="452" t="inlineStr">
        <is>
          <t>420 KG</t>
        </is>
      </c>
      <c r="N108" s="418" t="n">
        <v>46140</v>
      </c>
    </row>
    <row r="109" ht="15" customHeight="1" s="468">
      <c r="B109" s="452" t="inlineStr">
        <is>
          <t>2026/111</t>
        </is>
      </c>
      <c r="C109" s="452" t="n">
        <v>26040476</v>
      </c>
      <c r="D109" s="513" t="n"/>
      <c r="E109" s="452" t="n"/>
      <c r="F109" s="513" t="n"/>
      <c r="G109" s="452" t="inlineStr">
        <is>
          <t>ÓLEO DE COCO SEM SABOR</t>
        </is>
      </c>
      <c r="H109" s="456" t="n"/>
      <c r="I109" s="456" t="n"/>
      <c r="J109" s="513" t="n"/>
      <c r="K109" s="452" t="inlineStr">
        <is>
          <t>COPRA</t>
        </is>
      </c>
      <c r="L109" s="463" t="n"/>
      <c r="M109" s="238" t="inlineStr">
        <is>
          <t>23.000 LATAS</t>
        </is>
      </c>
      <c r="N109" s="418" t="n">
        <v>46136</v>
      </c>
    </row>
    <row r="110" ht="15" customHeight="1" s="468">
      <c r="B110" s="531" t="n"/>
      <c r="C110" s="452" t="n">
        <v>26040477</v>
      </c>
      <c r="D110" s="513" t="n"/>
      <c r="E110" s="452" t="n"/>
      <c r="F110" s="513" t="n"/>
      <c r="G110" s="452" t="inlineStr">
        <is>
          <t>ÓLEO DE COCO EXTRAVIRGEM</t>
        </is>
      </c>
      <c r="H110" s="456" t="n"/>
      <c r="I110" s="456" t="n"/>
      <c r="J110" s="513" t="n"/>
      <c r="K110" s="464" t="n"/>
      <c r="L110" s="466" t="n"/>
      <c r="M110" s="452" t="inlineStr">
        <is>
          <t>20.000 LATAS</t>
        </is>
      </c>
      <c r="N110" s="418" t="n">
        <v>46139</v>
      </c>
    </row>
    <row r="111" ht="15" customHeight="1" s="468">
      <c r="B111" s="451" t="inlineStr">
        <is>
          <t>2026/112</t>
        </is>
      </c>
      <c r="C111" s="449" t="n">
        <v>26010478</v>
      </c>
      <c r="D111" s="513" t="n"/>
      <c r="E111" s="451" t="n"/>
      <c r="F111" s="513" t="n"/>
      <c r="G111" s="451" t="inlineStr">
        <is>
          <t>UNTA FACIL 180ML</t>
        </is>
      </c>
      <c r="H111" s="456" t="n"/>
      <c r="I111" s="456" t="n"/>
      <c r="J111" s="513" t="n"/>
      <c r="K111" s="451" t="inlineStr">
        <is>
          <t>IN LOCO</t>
        </is>
      </c>
      <c r="L111" s="513" t="n"/>
      <c r="M111" s="242" t="inlineStr">
        <is>
          <t>11.520 LATAS</t>
        </is>
      </c>
      <c r="N111" s="418" t="n">
        <v>46140</v>
      </c>
      <c r="O111" s="243" t="inlineStr">
        <is>
          <t>2 PALLETS</t>
        </is>
      </c>
    </row>
    <row r="112" ht="15" customHeight="1" s="468">
      <c r="B112" s="452" t="inlineStr">
        <is>
          <t>2026/113</t>
        </is>
      </c>
      <c r="C112" s="452" t="n"/>
      <c r="D112" s="513" t="n"/>
      <c r="E112" s="452" t="n">
        <v>26010417</v>
      </c>
      <c r="F112" s="513" t="n"/>
      <c r="G112" s="452" t="inlineStr">
        <is>
          <t>DESTAK 600ML</t>
        </is>
      </c>
      <c r="H112" s="456" t="n"/>
      <c r="I112" s="456" t="n"/>
      <c r="J112" s="513" t="n"/>
      <c r="K112" s="452" t="inlineStr">
        <is>
          <t>PURATOS</t>
        </is>
      </c>
      <c r="L112" s="513" t="n"/>
      <c r="M112" s="452" t="inlineStr">
        <is>
          <t>23.940 LATAS</t>
        </is>
      </c>
      <c r="N112" s="418" t="n">
        <v>46140</v>
      </c>
    </row>
    <row r="113" ht="15" customHeight="1" s="468">
      <c r="B113" s="457" t="inlineStr">
        <is>
          <t>2026/114</t>
        </is>
      </c>
      <c r="C113" s="452" t="n">
        <v>26010480</v>
      </c>
      <c r="D113" s="513" t="n"/>
      <c r="E113" s="452" t="n"/>
      <c r="F113" s="513" t="n"/>
      <c r="G113" s="452" t="inlineStr">
        <is>
          <t>OL 40</t>
        </is>
      </c>
      <c r="H113" s="456" t="n"/>
      <c r="I113" s="456" t="n"/>
      <c r="J113" s="513" t="n"/>
      <c r="K113" s="457" t="inlineStr">
        <is>
          <t>SMART</t>
        </is>
      </c>
      <c r="L113" s="463" t="n"/>
      <c r="M113" s="452" t="inlineStr">
        <is>
          <t>420 KG</t>
        </is>
      </c>
      <c r="N113" s="418" t="n">
        <v>46141</v>
      </c>
    </row>
    <row r="114" ht="15" customHeight="1" s="468">
      <c r="B114" s="530" t="n"/>
      <c r="C114" s="452" t="n">
        <v>26010481</v>
      </c>
      <c r="D114" s="513" t="n"/>
      <c r="E114" s="452" t="n"/>
      <c r="F114" s="513" t="n"/>
      <c r="G114" s="452" t="inlineStr">
        <is>
          <t>OL 40</t>
        </is>
      </c>
      <c r="H114" s="456" t="n"/>
      <c r="I114" s="456" t="n"/>
      <c r="J114" s="513" t="n"/>
      <c r="K114" s="523" t="n"/>
      <c r="L114" s="514" t="n"/>
      <c r="M114" s="452" t="inlineStr">
        <is>
          <t>420 KG</t>
        </is>
      </c>
      <c r="N114" s="418" t="n">
        <v>46141</v>
      </c>
    </row>
    <row r="115" ht="15" customHeight="1" s="468">
      <c r="B115" s="530" t="n"/>
      <c r="C115" s="452" t="n">
        <v>26010482</v>
      </c>
      <c r="D115" s="513" t="n"/>
      <c r="E115" s="452" t="n"/>
      <c r="F115" s="513" t="n"/>
      <c r="G115" s="452" t="inlineStr">
        <is>
          <t>OL 40</t>
        </is>
      </c>
      <c r="H115" s="456" t="n"/>
      <c r="I115" s="456" t="n"/>
      <c r="J115" s="513" t="n"/>
      <c r="K115" s="523" t="n"/>
      <c r="L115" s="514" t="n"/>
      <c r="M115" s="452" t="inlineStr">
        <is>
          <t>420 KG</t>
        </is>
      </c>
      <c r="N115" s="418" t="n">
        <v>46141</v>
      </c>
    </row>
    <row r="116" ht="15" customHeight="1" s="468">
      <c r="B116" s="530" t="n"/>
      <c r="C116" s="452" t="n">
        <v>26010483</v>
      </c>
      <c r="D116" s="513" t="n"/>
      <c r="E116" s="452" t="n"/>
      <c r="F116" s="513" t="n"/>
      <c r="G116" s="452" t="inlineStr">
        <is>
          <t>OL 40</t>
        </is>
      </c>
      <c r="H116" s="456" t="n"/>
      <c r="I116" s="456" t="n"/>
      <c r="J116" s="513" t="n"/>
      <c r="K116" s="523" t="n"/>
      <c r="L116" s="514" t="n"/>
      <c r="M116" s="452" t="inlineStr">
        <is>
          <t>420 KG</t>
        </is>
      </c>
      <c r="N116" s="418" t="n">
        <v>46141</v>
      </c>
    </row>
    <row r="117" ht="15" customHeight="1" s="468">
      <c r="B117" s="530" t="n"/>
      <c r="C117" s="452" t="n">
        <v>26010484</v>
      </c>
      <c r="D117" s="513" t="n"/>
      <c r="E117" s="452" t="n"/>
      <c r="F117" s="513" t="n"/>
      <c r="G117" s="452" t="inlineStr">
        <is>
          <t>OL 40</t>
        </is>
      </c>
      <c r="H117" s="456" t="n"/>
      <c r="I117" s="456" t="n"/>
      <c r="J117" s="513" t="n"/>
      <c r="K117" s="523" t="n"/>
      <c r="L117" s="514" t="n"/>
      <c r="M117" s="452" t="inlineStr">
        <is>
          <t>420 KG</t>
        </is>
      </c>
      <c r="N117" s="418" t="n">
        <v>46141</v>
      </c>
    </row>
    <row r="118" ht="15" customHeight="1" s="468">
      <c r="B118" s="530" t="n"/>
      <c r="C118" s="452" t="n">
        <v>26010485</v>
      </c>
      <c r="D118" s="513" t="n"/>
      <c r="E118" s="452" t="n"/>
      <c r="F118" s="513" t="n"/>
      <c r="G118" s="452" t="inlineStr">
        <is>
          <t>OL 40</t>
        </is>
      </c>
      <c r="H118" s="456" t="n"/>
      <c r="I118" s="456" t="n"/>
      <c r="J118" s="513" t="n"/>
      <c r="K118" s="523" t="n"/>
      <c r="L118" s="514" t="n"/>
      <c r="M118" s="452" t="inlineStr">
        <is>
          <t>420 KG</t>
        </is>
      </c>
      <c r="N118" s="418" t="n">
        <v>46141</v>
      </c>
    </row>
    <row r="119" ht="15" customHeight="1" s="468">
      <c r="B119" s="530" t="n"/>
      <c r="C119" s="452" t="n">
        <v>26010486</v>
      </c>
      <c r="D119" s="513" t="n"/>
      <c r="E119" s="452" t="n"/>
      <c r="F119" s="513" t="n"/>
      <c r="G119" s="452" t="inlineStr">
        <is>
          <t>OL 40</t>
        </is>
      </c>
      <c r="H119" s="456" t="n"/>
      <c r="I119" s="456" t="n"/>
      <c r="J119" s="513" t="n"/>
      <c r="K119" s="523" t="n"/>
      <c r="L119" s="514" t="n"/>
      <c r="M119" s="452" t="inlineStr">
        <is>
          <t>420 KG</t>
        </is>
      </c>
      <c r="N119" s="418" t="n">
        <v>46141</v>
      </c>
    </row>
    <row r="120" ht="15" customHeight="1" s="468">
      <c r="B120" s="530" t="n"/>
      <c r="C120" s="452" t="n">
        <v>26010487</v>
      </c>
      <c r="D120" s="513" t="n"/>
      <c r="E120" s="536" t="n"/>
      <c r="F120" s="513" t="n"/>
      <c r="G120" s="452" t="inlineStr">
        <is>
          <t>OL 40</t>
        </is>
      </c>
      <c r="H120" s="456" t="n"/>
      <c r="I120" s="456" t="n"/>
      <c r="J120" s="513" t="n"/>
      <c r="K120" s="523" t="n"/>
      <c r="L120" s="514" t="n"/>
      <c r="M120" s="452" t="inlineStr">
        <is>
          <t>420 KG</t>
        </is>
      </c>
      <c r="N120" s="418" t="n">
        <v>46142</v>
      </c>
    </row>
    <row r="121" ht="15" customHeight="1" s="468">
      <c r="B121" s="530" t="n"/>
      <c r="C121" s="452" t="n">
        <v>26010488</v>
      </c>
      <c r="D121" s="513" t="n"/>
      <c r="E121" s="452" t="n"/>
      <c r="F121" s="513" t="n"/>
      <c r="G121" s="452" t="inlineStr">
        <is>
          <t>OL 40</t>
        </is>
      </c>
      <c r="H121" s="456" t="n"/>
      <c r="I121" s="456" t="n"/>
      <c r="J121" s="513" t="n"/>
      <c r="K121" s="523" t="n"/>
      <c r="L121" s="514" t="n"/>
      <c r="M121" s="452" t="inlineStr">
        <is>
          <t>420 KG</t>
        </is>
      </c>
      <c r="N121" s="418" t="n">
        <v>46142</v>
      </c>
    </row>
    <row r="122" ht="15" customHeight="1" s="468">
      <c r="B122" s="530" t="n"/>
      <c r="C122" s="452" t="n">
        <v>26010489</v>
      </c>
      <c r="D122" s="513" t="n"/>
      <c r="E122" s="452" t="n"/>
      <c r="F122" s="513" t="n"/>
      <c r="G122" s="452" t="inlineStr">
        <is>
          <t>OL 40</t>
        </is>
      </c>
      <c r="H122" s="456" t="n"/>
      <c r="I122" s="456" t="n"/>
      <c r="J122" s="513" t="n"/>
      <c r="K122" s="523" t="n"/>
      <c r="L122" s="514" t="n"/>
      <c r="M122" s="452" t="inlineStr">
        <is>
          <t>420 KG</t>
        </is>
      </c>
      <c r="N122" s="418" t="n">
        <v>46142</v>
      </c>
    </row>
    <row r="123" ht="15" customHeight="1" s="468">
      <c r="B123" s="530" t="n"/>
      <c r="C123" s="452" t="n">
        <v>26010490</v>
      </c>
      <c r="D123" s="513" t="n"/>
      <c r="E123" s="452" t="n"/>
      <c r="F123" s="513" t="n"/>
      <c r="G123" s="452" t="inlineStr">
        <is>
          <t>OL 40</t>
        </is>
      </c>
      <c r="H123" s="456" t="n"/>
      <c r="I123" s="456" t="n"/>
      <c r="J123" s="513" t="n"/>
      <c r="K123" s="523" t="n"/>
      <c r="L123" s="514" t="n"/>
      <c r="M123" s="452" t="inlineStr">
        <is>
          <t>420 KG</t>
        </is>
      </c>
      <c r="N123" s="418" t="n">
        <v>46142</v>
      </c>
    </row>
    <row r="124" ht="15" customHeight="1" s="468">
      <c r="B124" s="530" t="n"/>
      <c r="C124" s="452" t="n">
        <v>26010491</v>
      </c>
      <c r="D124" s="513" t="n"/>
      <c r="E124" s="452" t="n"/>
      <c r="F124" s="513" t="n"/>
      <c r="G124" s="452" t="inlineStr">
        <is>
          <t>OL 40</t>
        </is>
      </c>
      <c r="H124" s="456" t="n"/>
      <c r="I124" s="456" t="n"/>
      <c r="J124" s="513" t="n"/>
      <c r="K124" s="523" t="n"/>
      <c r="L124" s="514" t="n"/>
      <c r="M124" s="452" t="inlineStr">
        <is>
          <t>420 KG</t>
        </is>
      </c>
      <c r="N124" s="418" t="n">
        <v>46142</v>
      </c>
    </row>
    <row r="125" ht="15" customHeight="1" s="468">
      <c r="B125" s="530" t="n"/>
      <c r="C125" s="452" t="n">
        <v>26010492</v>
      </c>
      <c r="D125" s="513" t="n"/>
      <c r="E125" s="452" t="n"/>
      <c r="F125" s="513" t="n"/>
      <c r="G125" s="452" t="inlineStr">
        <is>
          <t>OL 40</t>
        </is>
      </c>
      <c r="H125" s="456" t="n"/>
      <c r="I125" s="456" t="n"/>
      <c r="J125" s="513" t="n"/>
      <c r="K125" s="523" t="n"/>
      <c r="L125" s="514" t="n"/>
      <c r="M125" s="452" t="inlineStr">
        <is>
          <t>420 KG</t>
        </is>
      </c>
      <c r="N125" s="418" t="n">
        <v>46142</v>
      </c>
    </row>
    <row r="126" ht="15" customHeight="1" s="468">
      <c r="B126" s="530" t="n"/>
      <c r="C126" s="452" t="n">
        <v>26010493</v>
      </c>
      <c r="D126" s="513" t="n"/>
      <c r="E126" s="452" t="n"/>
      <c r="F126" s="513" t="n"/>
      <c r="G126" s="452" t="inlineStr">
        <is>
          <t>OL 40</t>
        </is>
      </c>
      <c r="H126" s="456" t="n"/>
      <c r="I126" s="456" t="n"/>
      <c r="J126" s="513" t="n"/>
      <c r="K126" s="523" t="n"/>
      <c r="L126" s="514" t="n"/>
      <c r="M126" s="452" t="inlineStr">
        <is>
          <t>420 KG</t>
        </is>
      </c>
      <c r="N126" s="418" t="n">
        <v>46142</v>
      </c>
    </row>
    <row r="127" ht="15" customHeight="1" s="468">
      <c r="B127" s="530" t="n"/>
      <c r="C127" s="457" t="n">
        <v>26010494</v>
      </c>
      <c r="D127" s="513" t="n"/>
      <c r="E127" s="457" t="n"/>
      <c r="F127" s="513" t="n"/>
      <c r="G127" s="457" t="inlineStr">
        <is>
          <t>OL 40</t>
        </is>
      </c>
      <c r="H127" s="456" t="n"/>
      <c r="I127" s="456" t="n"/>
      <c r="J127" s="513" t="n"/>
      <c r="K127" s="523" t="n"/>
      <c r="L127" s="514" t="n"/>
      <c r="M127" s="544" t="inlineStr">
        <is>
          <t>420 KG</t>
        </is>
      </c>
      <c r="N127" s="445" t="n">
        <v>46143</v>
      </c>
    </row>
    <row r="128" ht="15" customHeight="1" s="468">
      <c r="B128" s="530" t="n"/>
      <c r="C128" s="544" t="n">
        <v>26010495</v>
      </c>
      <c r="D128" s="513" t="n"/>
      <c r="E128" s="543" t="n"/>
      <c r="F128" s="513" t="n"/>
      <c r="G128" s="457" t="inlineStr">
        <is>
          <t>OL 40</t>
        </is>
      </c>
      <c r="H128" s="456" t="n"/>
      <c r="I128" s="456" t="n"/>
      <c r="J128" s="513" t="n"/>
      <c r="K128" s="523" t="n"/>
      <c r="L128" s="514" t="n"/>
      <c r="M128" s="544" t="inlineStr">
        <is>
          <t>420 KG</t>
        </is>
      </c>
      <c r="N128" s="445" t="n">
        <v>46143</v>
      </c>
    </row>
    <row r="129" ht="15" customHeight="1" s="468">
      <c r="B129" s="530" t="n"/>
      <c r="C129" s="457" t="n">
        <v>26010496</v>
      </c>
      <c r="D129" s="513" t="n"/>
      <c r="E129" s="457" t="n"/>
      <c r="F129" s="513" t="n"/>
      <c r="G129" s="457" t="inlineStr">
        <is>
          <t>OL 40</t>
        </is>
      </c>
      <c r="H129" s="456" t="n"/>
      <c r="I129" s="456" t="n"/>
      <c r="J129" s="513" t="n"/>
      <c r="K129" s="523" t="n"/>
      <c r="L129" s="514" t="n"/>
      <c r="M129" s="544" t="inlineStr">
        <is>
          <t>420 KG</t>
        </is>
      </c>
      <c r="N129" s="445" t="n">
        <v>46143</v>
      </c>
    </row>
    <row r="130" ht="15" customHeight="1" s="468">
      <c r="B130" s="530" t="n"/>
      <c r="C130" s="544" t="n">
        <v>26010497</v>
      </c>
      <c r="D130" s="513" t="n"/>
      <c r="E130" s="544" t="n"/>
      <c r="F130" s="513" t="n"/>
      <c r="G130" s="457" t="inlineStr">
        <is>
          <t>OL 40</t>
        </is>
      </c>
      <c r="H130" s="456" t="n"/>
      <c r="I130" s="456" t="n"/>
      <c r="J130" s="513" t="n"/>
      <c r="K130" s="523" t="n"/>
      <c r="L130" s="514" t="n"/>
      <c r="M130" s="544" t="inlineStr">
        <is>
          <t>420 KG</t>
        </is>
      </c>
      <c r="N130" s="445" t="n">
        <v>46143</v>
      </c>
    </row>
    <row r="131" ht="15" customHeight="1" s="468">
      <c r="B131" s="530" t="n"/>
      <c r="C131" s="457" t="n">
        <v>26010498</v>
      </c>
      <c r="D131" s="513" t="n"/>
      <c r="E131" s="457" t="n"/>
      <c r="F131" s="513" t="n"/>
      <c r="G131" s="457" t="inlineStr">
        <is>
          <t>OL 40</t>
        </is>
      </c>
      <c r="H131" s="456" t="n"/>
      <c r="I131" s="456" t="n"/>
      <c r="J131" s="513" t="n"/>
      <c r="K131" s="523" t="n"/>
      <c r="L131" s="514" t="n"/>
      <c r="M131" s="544" t="inlineStr">
        <is>
          <t>420 KG</t>
        </is>
      </c>
      <c r="N131" s="445" t="n">
        <v>46143</v>
      </c>
    </row>
    <row r="132" ht="15" customHeight="1" s="468">
      <c r="B132" s="530" t="n"/>
      <c r="C132" s="544" t="n">
        <v>26010499</v>
      </c>
      <c r="D132" s="513" t="n"/>
      <c r="E132" s="544" t="n"/>
      <c r="F132" s="513" t="n"/>
      <c r="G132" s="457" t="inlineStr">
        <is>
          <t>OL 40</t>
        </is>
      </c>
      <c r="H132" s="456" t="n"/>
      <c r="I132" s="456" t="n"/>
      <c r="J132" s="513" t="n"/>
      <c r="K132" s="523" t="n"/>
      <c r="L132" s="514" t="n"/>
      <c r="M132" s="544" t="inlineStr">
        <is>
          <t>420 KG</t>
        </is>
      </c>
      <c r="N132" s="445" t="n">
        <v>46143</v>
      </c>
    </row>
    <row r="133" ht="15" customHeight="1" s="468">
      <c r="B133" s="530" t="n"/>
      <c r="C133" s="457" t="n">
        <v>26010500</v>
      </c>
      <c r="D133" s="513" t="n"/>
      <c r="E133" s="543" t="n"/>
      <c r="F133" s="513" t="n"/>
      <c r="G133" s="457" t="inlineStr">
        <is>
          <t>OL 40</t>
        </is>
      </c>
      <c r="H133" s="456" t="n"/>
      <c r="I133" s="456" t="n"/>
      <c r="J133" s="513" t="n"/>
      <c r="K133" s="523" t="n"/>
      <c r="L133" s="514" t="n"/>
      <c r="M133" s="544" t="inlineStr">
        <is>
          <t>420 KG</t>
        </is>
      </c>
      <c r="N133" s="445" t="n">
        <v>46144</v>
      </c>
    </row>
    <row r="134" ht="15" customHeight="1" s="468">
      <c r="B134" s="530" t="n"/>
      <c r="C134" s="544" t="n">
        <v>26010501</v>
      </c>
      <c r="D134" s="513" t="n"/>
      <c r="E134" s="544" t="n"/>
      <c r="F134" s="513" t="n"/>
      <c r="G134" s="457" t="inlineStr">
        <is>
          <t>OL 40</t>
        </is>
      </c>
      <c r="H134" s="456" t="n"/>
      <c r="I134" s="456" t="n"/>
      <c r="J134" s="513" t="n"/>
      <c r="K134" s="523" t="n"/>
      <c r="L134" s="514" t="n"/>
      <c r="M134" s="544" t="inlineStr">
        <is>
          <t>420 KG</t>
        </is>
      </c>
      <c r="N134" s="445" t="n">
        <v>46144</v>
      </c>
    </row>
    <row r="135" ht="15" customHeight="1" s="468">
      <c r="B135" s="530" t="n"/>
      <c r="C135" s="457" t="n">
        <v>26010502</v>
      </c>
      <c r="D135" s="513" t="n"/>
      <c r="E135" s="457" t="n"/>
      <c r="F135" s="513" t="n"/>
      <c r="G135" s="457" t="inlineStr">
        <is>
          <t>OL 40</t>
        </is>
      </c>
      <c r="H135" s="456" t="n"/>
      <c r="I135" s="456" t="n"/>
      <c r="J135" s="513" t="n"/>
      <c r="K135" s="523" t="n"/>
      <c r="L135" s="514" t="n"/>
      <c r="M135" s="544" t="inlineStr">
        <is>
          <t>420 KG</t>
        </is>
      </c>
      <c r="N135" s="445" t="n">
        <v>46144</v>
      </c>
    </row>
    <row r="136" ht="15.75" customHeight="1" s="468">
      <c r="B136" s="530" t="n"/>
      <c r="C136" s="544" t="n">
        <v>26010503</v>
      </c>
      <c r="D136" s="513" t="n"/>
      <c r="E136" s="544" t="n"/>
      <c r="F136" s="513" t="n"/>
      <c r="G136" s="457" t="inlineStr">
        <is>
          <t>OL 40</t>
        </is>
      </c>
      <c r="H136" s="456" t="n"/>
      <c r="I136" s="456" t="n"/>
      <c r="J136" s="513" t="n"/>
      <c r="K136" s="523" t="n"/>
      <c r="L136" s="514" t="n"/>
      <c r="M136" s="544" t="inlineStr">
        <is>
          <t>420 KG</t>
        </is>
      </c>
      <c r="N136" s="445" t="n">
        <v>46144</v>
      </c>
    </row>
    <row r="137" ht="15" customHeight="1" s="468">
      <c r="B137" s="531" t="n"/>
      <c r="C137" s="457" t="n">
        <v>26010504</v>
      </c>
      <c r="D137" s="513" t="n"/>
      <c r="E137" s="457" t="n"/>
      <c r="F137" s="513" t="n"/>
      <c r="G137" s="457" t="inlineStr">
        <is>
          <t>OL 40</t>
        </is>
      </c>
      <c r="H137" s="456" t="n"/>
      <c r="I137" s="456" t="n"/>
      <c r="J137" s="513" t="n"/>
      <c r="K137" s="464" t="n"/>
      <c r="L137" s="466" t="n"/>
      <c r="M137" s="544" t="inlineStr">
        <is>
          <t>420 KG</t>
        </is>
      </c>
      <c r="N137" s="445" t="n">
        <v>46144</v>
      </c>
    </row>
    <row r="138" ht="15" customHeight="1" s="468">
      <c r="B138" s="452" t="inlineStr">
        <is>
          <t>2026/115</t>
        </is>
      </c>
      <c r="C138" s="452" t="n">
        <v>26030505</v>
      </c>
      <c r="D138" s="513" t="n"/>
      <c r="E138" s="452" t="n"/>
      <c r="F138" s="513" t="n"/>
      <c r="G138" s="452" t="inlineStr">
        <is>
          <t>CORANTE VERDE</t>
        </is>
      </c>
      <c r="H138" s="456" t="n"/>
      <c r="I138" s="456" t="n"/>
      <c r="J138" s="513" t="n"/>
      <c r="K138" s="452" t="inlineStr">
        <is>
          <t>SMART</t>
        </is>
      </c>
      <c r="L138" s="463" t="n"/>
      <c r="M138" s="452" t="inlineStr">
        <is>
          <t>41 KG</t>
        </is>
      </c>
      <c r="N138" s="418" t="n">
        <v>46141</v>
      </c>
    </row>
    <row r="139" ht="15" customHeight="1" s="468">
      <c r="B139" s="530" t="n"/>
      <c r="C139" s="452" t="n">
        <v>26030506</v>
      </c>
      <c r="D139" s="513" t="n"/>
      <c r="E139" s="452" t="n"/>
      <c r="F139" s="513" t="n"/>
      <c r="G139" s="452" t="inlineStr">
        <is>
          <t>CORANTE LARANJA</t>
        </is>
      </c>
      <c r="H139" s="456" t="n"/>
      <c r="I139" s="456" t="n"/>
      <c r="J139" s="513" t="n"/>
      <c r="K139" s="523" t="n"/>
      <c r="L139" s="514" t="n"/>
      <c r="M139" s="238" t="inlineStr">
        <is>
          <t>41 KG</t>
        </is>
      </c>
      <c r="N139" s="418" t="n">
        <v>46141</v>
      </c>
    </row>
    <row r="140" ht="15" customHeight="1" s="468">
      <c r="B140" s="531" t="n"/>
      <c r="C140" s="452" t="n">
        <v>26030507</v>
      </c>
      <c r="D140" s="513" t="n"/>
      <c r="E140" s="452" t="n"/>
      <c r="F140" s="513" t="n"/>
      <c r="G140" s="452" t="inlineStr">
        <is>
          <t>CORANTE VIOLETA</t>
        </is>
      </c>
      <c r="H140" s="456" t="n"/>
      <c r="I140" s="456" t="n"/>
      <c r="J140" s="513" t="n"/>
      <c r="K140" s="464" t="n"/>
      <c r="L140" s="466" t="n"/>
      <c r="M140" s="452" t="inlineStr">
        <is>
          <t>41 KG</t>
        </is>
      </c>
      <c r="N140" s="418" t="n">
        <v>46142</v>
      </c>
    </row>
    <row r="141" ht="15" customHeight="1" s="468">
      <c r="B141" s="452" t="inlineStr">
        <is>
          <t>2026/116</t>
        </is>
      </c>
      <c r="C141" s="452" t="inlineStr">
        <is>
          <t>26010508   88</t>
        </is>
      </c>
      <c r="D141" s="513" t="n"/>
      <c r="E141" s="452" t="n"/>
      <c r="F141" s="513" t="n"/>
      <c r="G141" s="452" t="inlineStr">
        <is>
          <t>LISSE  600ML</t>
        </is>
      </c>
      <c r="H141" s="456" t="n"/>
      <c r="I141" s="456" t="n"/>
      <c r="J141" s="513" t="n"/>
      <c r="K141" s="452" t="inlineStr">
        <is>
          <t>ADIMIX</t>
        </is>
      </c>
      <c r="L141" s="513" t="n"/>
      <c r="M141" s="238" t="inlineStr">
        <is>
          <t>7.980 LATAS</t>
        </is>
      </c>
      <c r="N141" s="418" t="n">
        <v>46142</v>
      </c>
    </row>
    <row r="142" ht="15" customHeight="1" s="468">
      <c r="B142" s="449" t="n"/>
      <c r="C142" s="449" t="n"/>
      <c r="D142" s="513" t="n"/>
      <c r="E142" s="449" t="n"/>
      <c r="F142" s="513" t="n"/>
      <c r="G142" s="449" t="n"/>
      <c r="H142" s="456" t="n"/>
      <c r="I142" s="456" t="n"/>
      <c r="J142" s="513" t="n"/>
      <c r="K142" s="449" t="n"/>
      <c r="L142" s="513" t="n"/>
      <c r="M142" s="449" t="n"/>
      <c r="N142" s="417" t="n"/>
    </row>
    <row r="143" ht="15" customHeight="1" s="468">
      <c r="B143" s="451" t="n"/>
      <c r="C143" s="451" t="n"/>
      <c r="D143" s="513" t="n"/>
      <c r="E143" s="451" t="n"/>
      <c r="F143" s="513" t="n"/>
      <c r="G143" s="451" t="n"/>
      <c r="H143" s="456" t="n"/>
      <c r="I143" s="456" t="n"/>
      <c r="J143" s="513" t="n"/>
      <c r="K143" s="451" t="n"/>
      <c r="L143" s="513" t="n"/>
      <c r="M143" s="242" t="n"/>
      <c r="N143" s="417" t="n"/>
    </row>
    <row r="144" ht="15" customHeight="1" s="468">
      <c r="B144" s="449" t="n"/>
      <c r="C144" s="449" t="n"/>
      <c r="D144" s="513" t="n"/>
      <c r="E144" s="449" t="n"/>
      <c r="F144" s="513" t="n"/>
      <c r="G144" s="449" t="n"/>
      <c r="H144" s="456" t="n"/>
      <c r="I144" s="456" t="n"/>
      <c r="J144" s="513" t="n"/>
      <c r="K144" s="449" t="n"/>
      <c r="L144" s="513" t="n"/>
      <c r="M144" s="449" t="n"/>
      <c r="N144" s="417" t="n"/>
    </row>
    <row r="145" ht="15" customHeight="1" s="468">
      <c r="B145" s="451" t="n"/>
      <c r="C145" s="451" t="n"/>
      <c r="D145" s="513" t="n"/>
      <c r="E145" s="451" t="n"/>
      <c r="F145" s="513" t="n"/>
      <c r="G145" s="451" t="n"/>
      <c r="H145" s="456" t="n"/>
      <c r="I145" s="456" t="n"/>
      <c r="J145" s="513" t="n"/>
      <c r="K145" s="451" t="n"/>
      <c r="L145" s="513" t="n"/>
      <c r="M145" s="242" t="n"/>
      <c r="N145" s="417" t="n"/>
    </row>
    <row r="146" ht="15" customHeight="1" s="468">
      <c r="B146" s="449" t="n"/>
      <c r="C146" s="449" t="n"/>
      <c r="D146" s="513" t="n"/>
      <c r="E146" s="449" t="n"/>
      <c r="F146" s="513" t="n"/>
      <c r="G146" s="449" t="n"/>
      <c r="H146" s="456" t="n"/>
      <c r="I146" s="456" t="n"/>
      <c r="J146" s="513" t="n"/>
      <c r="K146" s="449" t="n"/>
      <c r="L146" s="513" t="n"/>
      <c r="M146" s="449" t="n"/>
      <c r="N146" s="417" t="n"/>
    </row>
    <row r="147" ht="15" customHeight="1" s="468">
      <c r="B147" s="451" t="n"/>
      <c r="C147" s="451" t="n"/>
      <c r="D147" s="513" t="n"/>
      <c r="E147" s="451" t="n"/>
      <c r="F147" s="513" t="n"/>
      <c r="G147" s="451" t="n"/>
      <c r="H147" s="456" t="n"/>
      <c r="I147" s="456" t="n"/>
      <c r="J147" s="513" t="n"/>
      <c r="K147" s="451" t="n"/>
      <c r="L147" s="513" t="n"/>
      <c r="M147" s="242" t="n"/>
      <c r="N147" s="417" t="n"/>
    </row>
    <row r="148" ht="15" customHeight="1" s="468">
      <c r="B148" s="449" t="n"/>
      <c r="C148" s="449" t="n"/>
      <c r="D148" s="513" t="n"/>
      <c r="E148" s="449" t="n"/>
      <c r="F148" s="513" t="n"/>
      <c r="G148" s="449" t="n"/>
      <c r="H148" s="456" t="n"/>
      <c r="I148" s="456" t="n"/>
      <c r="J148" s="513" t="n"/>
      <c r="K148" s="449" t="n"/>
      <c r="L148" s="513" t="n"/>
      <c r="M148" s="449" t="n"/>
      <c r="N148" s="417" t="n"/>
    </row>
    <row r="149" ht="15" customHeight="1" s="468">
      <c r="B149" s="451" t="n"/>
      <c r="C149" s="451" t="n"/>
      <c r="D149" s="513" t="n"/>
      <c r="E149" s="451" t="n"/>
      <c r="F149" s="513" t="n"/>
      <c r="G149" s="451" t="n"/>
      <c r="H149" s="456" t="n"/>
      <c r="I149" s="456" t="n"/>
      <c r="J149" s="513" t="n"/>
      <c r="K149" s="451" t="n"/>
      <c r="L149" s="513" t="n"/>
      <c r="M149" s="242" t="n"/>
      <c r="N149" s="417" t="n"/>
    </row>
    <row r="150" ht="15" customHeight="1" s="468">
      <c r="B150" s="449" t="n"/>
      <c r="C150" s="449" t="n"/>
      <c r="D150" s="513" t="n"/>
      <c r="E150" s="449" t="n"/>
      <c r="F150" s="513" t="n"/>
      <c r="G150" s="449" t="n"/>
      <c r="H150" s="456" t="n"/>
      <c r="I150" s="456" t="n"/>
      <c r="J150" s="513" t="n"/>
      <c r="K150" s="449" t="n"/>
      <c r="L150" s="513" t="n"/>
      <c r="M150" s="449" t="n"/>
      <c r="N150" s="417" t="n"/>
    </row>
    <row r="151" ht="15" customHeight="1" s="468">
      <c r="B151" s="451" t="n"/>
      <c r="C151" s="451" t="n"/>
      <c r="D151" s="513" t="n"/>
      <c r="E151" s="451" t="n"/>
      <c r="F151" s="513" t="n"/>
      <c r="G151" s="451" t="n"/>
      <c r="H151" s="456" t="n"/>
      <c r="I151" s="456" t="n"/>
      <c r="J151" s="513" t="n"/>
      <c r="K151" s="451" t="n"/>
      <c r="L151" s="513" t="n"/>
      <c r="M151" s="242" t="n"/>
      <c r="N151" s="417" t="n"/>
    </row>
    <row r="152" ht="15" customHeight="1" s="468">
      <c r="B152" s="449" t="n"/>
      <c r="C152" s="449" t="n"/>
      <c r="D152" s="513" t="n"/>
      <c r="E152" s="449" t="n"/>
      <c r="F152" s="513" t="n"/>
      <c r="G152" s="449" t="n"/>
      <c r="H152" s="456" t="n"/>
      <c r="I152" s="456" t="n"/>
      <c r="J152" s="513" t="n"/>
      <c r="K152" s="449" t="n"/>
      <c r="L152" s="513" t="n"/>
      <c r="M152" s="449" t="n"/>
      <c r="N152" s="417" t="n"/>
    </row>
    <row r="153" ht="15" customHeight="1" s="468">
      <c r="B153" s="451" t="n"/>
      <c r="C153" s="451" t="n"/>
      <c r="D153" s="513" t="n"/>
      <c r="E153" s="451" t="n"/>
      <c r="F153" s="513" t="n"/>
      <c r="G153" s="451" t="n"/>
      <c r="H153" s="456" t="n"/>
      <c r="I153" s="456" t="n"/>
      <c r="J153" s="513" t="n"/>
      <c r="K153" s="451" t="n"/>
      <c r="L153" s="513" t="n"/>
      <c r="M153" s="242" t="n"/>
      <c r="N153" s="417" t="n"/>
    </row>
    <row r="154" ht="15" customHeight="1" s="468">
      <c r="B154" s="449" t="n"/>
      <c r="C154" s="449" t="n"/>
      <c r="D154" s="513" t="n"/>
      <c r="E154" s="449" t="n"/>
      <c r="F154" s="513" t="n"/>
      <c r="G154" s="449" t="n"/>
      <c r="H154" s="456" t="n"/>
      <c r="I154" s="456" t="n"/>
      <c r="J154" s="513" t="n"/>
      <c r="K154" s="449" t="n"/>
      <c r="L154" s="513" t="n"/>
      <c r="M154" s="449" t="n"/>
      <c r="N154" s="417" t="n"/>
    </row>
    <row r="155" ht="15" customHeight="1" s="468">
      <c r="B155" s="451" t="n"/>
      <c r="C155" s="451" t="n"/>
      <c r="D155" s="513" t="n"/>
      <c r="E155" s="451" t="n"/>
      <c r="F155" s="513" t="n"/>
      <c r="G155" s="451" t="n"/>
      <c r="H155" s="456" t="n"/>
      <c r="I155" s="456" t="n"/>
      <c r="J155" s="513" t="n"/>
      <c r="K155" s="451" t="n"/>
      <c r="L155" s="513" t="n"/>
      <c r="M155" s="242" t="n"/>
      <c r="N155" s="417" t="n"/>
    </row>
    <row r="156" ht="15" customHeight="1" s="468">
      <c r="B156" s="449" t="n"/>
      <c r="C156" s="449" t="n"/>
      <c r="D156" s="513" t="n"/>
      <c r="E156" s="449" t="n"/>
      <c r="F156" s="513" t="n"/>
      <c r="G156" s="449" t="n"/>
      <c r="H156" s="456" t="n"/>
      <c r="I156" s="456" t="n"/>
      <c r="J156" s="513" t="n"/>
      <c r="K156" s="449" t="n"/>
      <c r="L156" s="513" t="n"/>
      <c r="M156" s="449" t="n"/>
      <c r="N156" s="417" t="n"/>
    </row>
    <row r="157" ht="15" customHeight="1" s="468">
      <c r="B157" s="451" t="n"/>
      <c r="C157" s="451" t="n"/>
      <c r="D157" s="513" t="n"/>
      <c r="E157" s="451" t="n"/>
      <c r="F157" s="513" t="n"/>
      <c r="G157" s="451" t="n"/>
      <c r="H157" s="456" t="n"/>
      <c r="I157" s="456" t="n"/>
      <c r="J157" s="513" t="n"/>
      <c r="K157" s="451" t="n"/>
      <c r="L157" s="513" t="n"/>
      <c r="M157" s="242" t="n"/>
      <c r="N157" s="417" t="n"/>
    </row>
    <row r="158" ht="15" customHeight="1" s="468">
      <c r="B158" s="449" t="n"/>
      <c r="C158" s="449" t="n"/>
      <c r="D158" s="513" t="n"/>
      <c r="E158" s="449" t="n"/>
      <c r="F158" s="513" t="n"/>
      <c r="G158" s="449" t="n"/>
      <c r="H158" s="456" t="n"/>
      <c r="I158" s="456" t="n"/>
      <c r="J158" s="513" t="n"/>
      <c r="K158" s="449" t="n"/>
      <c r="L158" s="513" t="n"/>
      <c r="M158" s="449" t="n"/>
      <c r="N158" s="417" t="n"/>
    </row>
    <row r="159" ht="15" customHeight="1" s="468">
      <c r="B159" s="451" t="n"/>
      <c r="C159" s="451" t="n"/>
      <c r="D159" s="513" t="n"/>
      <c r="E159" s="451" t="n"/>
      <c r="F159" s="513" t="n"/>
      <c r="G159" s="451" t="n"/>
      <c r="H159" s="456" t="n"/>
      <c r="I159" s="456" t="n"/>
      <c r="J159" s="513" t="n"/>
      <c r="K159" s="451" t="n"/>
      <c r="L159" s="513" t="n"/>
      <c r="M159" s="242" t="n"/>
      <c r="N159" s="417" t="n"/>
    </row>
    <row r="160" ht="15" customHeight="1" s="468">
      <c r="B160" s="449" t="n"/>
      <c r="C160" s="449" t="n"/>
      <c r="D160" s="513" t="n"/>
      <c r="E160" s="449" t="n"/>
      <c r="F160" s="513" t="n"/>
      <c r="G160" s="449" t="n"/>
      <c r="H160" s="456" t="n"/>
      <c r="I160" s="456" t="n"/>
      <c r="J160" s="513" t="n"/>
      <c r="K160" s="449" t="n"/>
      <c r="L160" s="513" t="n"/>
      <c r="M160" s="449" t="n"/>
      <c r="N160" s="417" t="n"/>
    </row>
    <row r="161" ht="15" customHeight="1" s="468">
      <c r="B161" s="451" t="n"/>
      <c r="C161" s="451" t="n"/>
      <c r="D161" s="513" t="n"/>
      <c r="E161" s="451" t="n"/>
      <c r="F161" s="513" t="n"/>
      <c r="G161" s="451" t="n"/>
      <c r="H161" s="456" t="n"/>
      <c r="I161" s="456" t="n"/>
      <c r="J161" s="513" t="n"/>
      <c r="K161" s="451" t="n"/>
      <c r="L161" s="513" t="n"/>
      <c r="M161" s="242" t="n"/>
      <c r="N161" s="417" t="n"/>
    </row>
    <row r="162" ht="15" customHeight="1" s="468">
      <c r="B162" s="449" t="n"/>
      <c r="C162" s="449" t="n"/>
      <c r="D162" s="513" t="n"/>
      <c r="E162" s="449" t="n"/>
      <c r="F162" s="513" t="n"/>
      <c r="G162" s="449" t="n"/>
      <c r="H162" s="456" t="n"/>
      <c r="I162" s="456" t="n"/>
      <c r="J162" s="513" t="n"/>
      <c r="K162" s="449" t="n"/>
      <c r="L162" s="513" t="n"/>
      <c r="M162" s="449" t="n"/>
      <c r="N162" s="417" t="n"/>
    </row>
    <row r="163" ht="15" customHeight="1" s="468">
      <c r="B163" s="451" t="n"/>
      <c r="C163" s="451" t="n"/>
      <c r="D163" s="513" t="n"/>
      <c r="E163" s="451" t="n"/>
      <c r="F163" s="513" t="n"/>
      <c r="G163" s="451" t="n"/>
      <c r="H163" s="456" t="n"/>
      <c r="I163" s="456" t="n"/>
      <c r="J163" s="513" t="n"/>
      <c r="K163" s="451" t="n"/>
      <c r="L163" s="513" t="n"/>
      <c r="M163" s="242" t="n"/>
      <c r="N163" s="417" t="n"/>
    </row>
    <row r="164" ht="15" customHeight="1" s="468">
      <c r="B164" s="449" t="n"/>
      <c r="C164" s="449" t="n"/>
      <c r="D164" s="513" t="n"/>
      <c r="E164" s="449" t="n"/>
      <c r="F164" s="513" t="n"/>
      <c r="G164" s="449" t="n"/>
      <c r="H164" s="456" t="n"/>
      <c r="I164" s="456" t="n"/>
      <c r="J164" s="513" t="n"/>
      <c r="K164" s="449" t="n"/>
      <c r="L164" s="513" t="n"/>
      <c r="M164" s="449" t="n"/>
      <c r="N164" s="417" t="n"/>
    </row>
    <row r="165" ht="15" customHeight="1" s="468">
      <c r="N165" s="433" t="n"/>
    </row>
    <row r="166" ht="15" customHeight="1" s="468">
      <c r="N166" s="433" t="n"/>
    </row>
    <row r="167" ht="15" customHeight="1" s="468">
      <c r="N167" s="433" t="n"/>
    </row>
    <row r="168" ht="15" customHeight="1" s="468">
      <c r="N168" s="433" t="n"/>
    </row>
    <row r="169" ht="15" customHeight="1" s="468">
      <c r="N169" s="433" t="n"/>
    </row>
    <row r="170" ht="15" customHeight="1" s="468">
      <c r="N170" s="433" t="n"/>
    </row>
    <row r="171" ht="15" customHeight="1" s="468">
      <c r="N171" s="433" t="n"/>
    </row>
    <row r="172" ht="15" customHeight="1" s="468">
      <c r="N172" s="433" t="n"/>
    </row>
    <row r="173" ht="15" customHeight="1" s="468">
      <c r="N173" s="433" t="n"/>
    </row>
    <row r="174" ht="15" customHeight="1" s="468">
      <c r="N174" s="433" t="n"/>
    </row>
    <row r="175" ht="15" customHeight="1" s="468">
      <c r="N175" s="433" t="n"/>
    </row>
    <row r="176" ht="15" customHeight="1" s="468">
      <c r="N176" s="433" t="n"/>
    </row>
    <row r="177" ht="15" customHeight="1" s="468">
      <c r="N177" s="433" t="n"/>
    </row>
    <row r="178" ht="15" customHeight="1" s="468">
      <c r="N178" s="433" t="n"/>
    </row>
    <row r="179" ht="15" customHeight="1" s="468">
      <c r="N179" s="433" t="n"/>
    </row>
    <row r="180" ht="15" customHeight="1" s="468">
      <c r="N180" s="433" t="n"/>
    </row>
    <row r="181" ht="15" customHeight="1" s="468">
      <c r="N181" s="433" t="n"/>
    </row>
    <row r="182" ht="15" customHeight="1" s="468">
      <c r="N182" s="433" t="n"/>
    </row>
    <row r="183" ht="15" customHeight="1" s="468">
      <c r="N183" s="433" t="n"/>
    </row>
    <row r="184" ht="15" customHeight="1" s="468">
      <c r="N184" s="433" t="n"/>
    </row>
    <row r="185" ht="15" customHeight="1" s="468">
      <c r="N185" s="433" t="n"/>
    </row>
    <row r="186" ht="15" customHeight="1" s="468">
      <c r="N186" s="433" t="n"/>
    </row>
    <row r="187" ht="15" customHeight="1" s="468">
      <c r="N187" s="433" t="n"/>
    </row>
    <row r="188" ht="15" customHeight="1" s="468">
      <c r="N188" s="433" t="n"/>
    </row>
    <row r="189" ht="15" customHeight="1" s="468">
      <c r="N189" s="433" t="n"/>
    </row>
    <row r="190" ht="15" customHeight="1" s="468">
      <c r="N190" s="433" t="n"/>
    </row>
    <row r="191" ht="15" customHeight="1" s="468">
      <c r="N191" s="433" t="n"/>
    </row>
    <row r="192" ht="15" customHeight="1" s="468">
      <c r="N192" s="433" t="n"/>
    </row>
    <row r="193" ht="15" customHeight="1" s="468">
      <c r="N193" s="433" t="n"/>
    </row>
    <row r="194" ht="15" customHeight="1" s="468">
      <c r="N194" s="433" t="n"/>
    </row>
    <row r="195" ht="15" customHeight="1" s="468">
      <c r="N195" s="433" t="n"/>
    </row>
    <row r="196" ht="15" customHeight="1" s="468">
      <c r="N196" s="433" t="n"/>
    </row>
    <row r="197" ht="15" customHeight="1" s="468">
      <c r="N197" s="433" t="n"/>
    </row>
    <row r="198" ht="15" customHeight="1" s="468">
      <c r="N198" s="433" t="n"/>
    </row>
    <row r="199" ht="15" customHeight="1" s="468">
      <c r="N199" s="433" t="n"/>
    </row>
    <row r="200" ht="15" customHeight="1" s="468">
      <c r="N200" s="433" t="n"/>
    </row>
    <row r="201" ht="15" customHeight="1" s="468">
      <c r="N201" s="433" t="n"/>
    </row>
    <row r="202" ht="15" customHeight="1" s="468">
      <c r="N202" s="433" t="n"/>
    </row>
    <row r="203" ht="15" customHeight="1" s="468">
      <c r="N203" s="433" t="n"/>
    </row>
    <row r="204" ht="15" customHeight="1" s="468">
      <c r="N204" s="433" t="n"/>
    </row>
    <row r="205" ht="15" customHeight="1" s="468">
      <c r="N205" s="433" t="n"/>
    </row>
    <row r="206" ht="15" customHeight="1" s="468">
      <c r="N206" s="433" t="n"/>
    </row>
    <row r="207" ht="15" customHeight="1" s="468">
      <c r="N207" s="433" t="n"/>
    </row>
    <row r="208" ht="15" customHeight="1" s="468">
      <c r="N208" s="433" t="n"/>
    </row>
    <row r="209" ht="15" customHeight="1" s="468">
      <c r="N209" s="433" t="n"/>
    </row>
    <row r="210" ht="15" customHeight="1" s="468">
      <c r="N210" s="433" t="n"/>
    </row>
    <row r="211" ht="15" customHeight="1" s="468">
      <c r="N211" s="433" t="n"/>
    </row>
    <row r="212" ht="15" customHeight="1" s="468">
      <c r="N212" s="433" t="n"/>
    </row>
    <row r="213" ht="15" customHeight="1" s="468">
      <c r="N213" s="433" t="n"/>
    </row>
    <row r="214" ht="15" customHeight="1" s="468">
      <c r="N214" s="433" t="n"/>
    </row>
    <row r="215" ht="15" customHeight="1" s="468">
      <c r="N215" s="433" t="n"/>
    </row>
    <row r="216" ht="15" customHeight="1" s="468">
      <c r="N216" s="433" t="n"/>
    </row>
    <row r="217" ht="15" customHeight="1" s="468">
      <c r="N217" s="433" t="n"/>
    </row>
    <row r="218" ht="15" customHeight="1" s="468">
      <c r="N218" s="433" t="n"/>
    </row>
    <row r="219" ht="15" customHeight="1" s="468">
      <c r="N219" s="433" t="n"/>
    </row>
    <row r="220" ht="15" customHeight="1" s="468">
      <c r="N220" s="433" t="n"/>
    </row>
    <row r="221" ht="15" customHeight="1" s="468">
      <c r="N221" s="433" t="n"/>
    </row>
    <row r="222" ht="15" customHeight="1" s="468">
      <c r="N222" s="433" t="n"/>
    </row>
    <row r="223" ht="15" customHeight="1" s="468">
      <c r="N223" s="433" t="n"/>
    </row>
    <row r="224" ht="15" customHeight="1" s="468">
      <c r="N224" s="433" t="n"/>
    </row>
    <row r="225" ht="15" customHeight="1" s="468">
      <c r="N225" s="433" t="n"/>
    </row>
    <row r="226" ht="15" customHeight="1" s="468">
      <c r="N226" s="433" t="n"/>
    </row>
    <row r="227" ht="15" customHeight="1" s="468">
      <c r="N227" s="433" t="n"/>
    </row>
    <row r="228" ht="15" customHeight="1" s="468">
      <c r="N228" s="433" t="n"/>
    </row>
    <row r="229" ht="15" customHeight="1" s="468">
      <c r="N229" s="433" t="n"/>
    </row>
    <row r="230" ht="15" customHeight="1" s="468">
      <c r="N230" s="433" t="n"/>
    </row>
    <row r="231" ht="15" customHeight="1" s="468">
      <c r="N231" s="433" t="n"/>
    </row>
    <row r="232" ht="15" customHeight="1" s="468">
      <c r="N232" s="433" t="n"/>
    </row>
    <row r="233" ht="15" customHeight="1" s="468">
      <c r="N233" s="433" t="n"/>
    </row>
    <row r="234" ht="15" customHeight="1" s="468">
      <c r="N234" s="433" t="n"/>
    </row>
    <row r="235" ht="15" customHeight="1" s="468">
      <c r="N235" s="433" t="n"/>
    </row>
    <row r="236" ht="15" customHeight="1" s="468">
      <c r="N236" s="433" t="n"/>
    </row>
    <row r="237" ht="15" customHeight="1" s="468">
      <c r="N237" s="433" t="n"/>
    </row>
    <row r="238" ht="15" customHeight="1" s="468">
      <c r="N238" s="433" t="n"/>
    </row>
    <row r="239" ht="15" customHeight="1" s="468">
      <c r="N239" s="433" t="n"/>
    </row>
    <row r="240" ht="15" customHeight="1" s="468">
      <c r="N240" s="433" t="n"/>
    </row>
    <row r="241" ht="15" customHeight="1" s="468">
      <c r="N241" s="433" t="n"/>
    </row>
    <row r="242" ht="15" customHeight="1" s="468">
      <c r="N242" s="433" t="n"/>
    </row>
    <row r="243" ht="15" customHeight="1" s="468">
      <c r="N243" s="433" t="n"/>
    </row>
    <row r="244" ht="15" customHeight="1" s="468">
      <c r="N244" s="433" t="n"/>
    </row>
    <row r="245" ht="15" customHeight="1" s="468">
      <c r="N245" s="433" t="n"/>
    </row>
    <row r="246" ht="15" customHeight="1" s="468">
      <c r="N246" s="433" t="n"/>
    </row>
    <row r="247" ht="15" customHeight="1" s="468">
      <c r="N247" s="433" t="n"/>
    </row>
    <row r="248" ht="15" customHeight="1" s="468">
      <c r="N248" s="433" t="n"/>
    </row>
    <row r="249" ht="15" customHeight="1" s="468">
      <c r="N249" s="433" t="n"/>
    </row>
    <row r="250" ht="15" customHeight="1" s="468">
      <c r="N250" s="433" t="n"/>
    </row>
    <row r="251" ht="15" customHeight="1" s="468">
      <c r="N251" s="433" t="n"/>
    </row>
    <row r="252" ht="15" customHeight="1" s="468">
      <c r="N252" s="433" t="n"/>
    </row>
    <row r="253" ht="15" customHeight="1" s="468">
      <c r="N253" s="433" t="n"/>
    </row>
    <row r="254" ht="15" customHeight="1" s="468">
      <c r="N254" s="433" t="n"/>
    </row>
    <row r="255" ht="15" customHeight="1" s="468">
      <c r="N255" s="433" t="n"/>
    </row>
    <row r="256" ht="15" customHeight="1" s="468">
      <c r="N256" s="433" t="n"/>
    </row>
    <row r="257" ht="15" customHeight="1" s="468">
      <c r="N257" s="433" t="n"/>
    </row>
    <row r="258" ht="15" customHeight="1" s="468">
      <c r="N258" s="433" t="n"/>
    </row>
    <row r="259" ht="15" customHeight="1" s="468">
      <c r="N259" s="433" t="n"/>
    </row>
    <row r="260" ht="15" customHeight="1" s="468">
      <c r="N260" s="433" t="n"/>
    </row>
    <row r="261" ht="15" customHeight="1" s="468">
      <c r="N261" s="433" t="n"/>
    </row>
    <row r="262" ht="15" customHeight="1" s="468">
      <c r="N262" s="433" t="n"/>
    </row>
    <row r="263" ht="15" customHeight="1" s="468">
      <c r="N263" s="433" t="n"/>
    </row>
    <row r="264" ht="15" customHeight="1" s="468">
      <c r="N264" s="433" t="n"/>
    </row>
    <row r="265" ht="15" customHeight="1" s="468">
      <c r="N265" s="433" t="n"/>
    </row>
    <row r="266" ht="15" customHeight="1" s="468">
      <c r="N266" s="433" t="n"/>
    </row>
    <row r="267" ht="15" customHeight="1" s="468">
      <c r="N267" s="433" t="n"/>
    </row>
    <row r="268" ht="15" customHeight="1" s="468">
      <c r="N268" s="433" t="n"/>
    </row>
    <row r="269" ht="15" customHeight="1" s="468">
      <c r="N269" s="433" t="n"/>
    </row>
    <row r="270" ht="15" customHeight="1" s="468">
      <c r="N270" s="433" t="n"/>
    </row>
    <row r="271" ht="15" customHeight="1" s="468">
      <c r="N271" s="433" t="n"/>
    </row>
    <row r="272" ht="15" customHeight="1" s="468">
      <c r="N272" s="433" t="n"/>
    </row>
    <row r="273" ht="15" customHeight="1" s="468">
      <c r="N273" s="433" t="n"/>
    </row>
    <row r="274" ht="15" customHeight="1" s="468">
      <c r="N274" s="433" t="n"/>
    </row>
    <row r="275" ht="15" customHeight="1" s="468">
      <c r="N275" s="433" t="n"/>
    </row>
    <row r="276" ht="15" customHeight="1" s="468">
      <c r="N276" s="433" t="n"/>
    </row>
    <row r="277" ht="15" customHeight="1" s="468">
      <c r="N277" s="433" t="n"/>
    </row>
    <row r="278" ht="15" customHeight="1" s="468">
      <c r="N278" s="433" t="n"/>
    </row>
    <row r="279" ht="15" customHeight="1" s="468">
      <c r="N279" s="433" t="n"/>
    </row>
    <row r="280" ht="15" customHeight="1" s="468">
      <c r="N280" s="433" t="n"/>
    </row>
    <row r="281" ht="15" customHeight="1" s="468">
      <c r="N281" s="433" t="n"/>
    </row>
    <row r="282" ht="15" customHeight="1" s="468">
      <c r="N282" s="433" t="n"/>
    </row>
    <row r="283" ht="15" customHeight="1" s="468">
      <c r="N283" s="433" t="n"/>
    </row>
    <row r="284" ht="15" customHeight="1" s="468">
      <c r="N284" s="433" t="n"/>
    </row>
    <row r="285" ht="15" customHeight="1" s="468">
      <c r="N285" s="433" t="n"/>
    </row>
    <row r="286" ht="15" customHeight="1" s="468">
      <c r="N286" s="433" t="n"/>
    </row>
    <row r="287" ht="15" customHeight="1" s="468">
      <c r="N287" s="433" t="n"/>
    </row>
    <row r="288" ht="15" customHeight="1" s="468">
      <c r="N288" s="433" t="n"/>
    </row>
    <row r="289" ht="15" customHeight="1" s="468">
      <c r="N289" s="433" t="n"/>
    </row>
    <row r="290" ht="15" customHeight="1" s="468">
      <c r="N290" s="433" t="n"/>
    </row>
    <row r="291" ht="15" customHeight="1" s="468">
      <c r="N291" s="433" t="n"/>
    </row>
    <row r="292" ht="15" customHeight="1" s="468">
      <c r="N292" s="433" t="n"/>
    </row>
    <row r="293" ht="15" customHeight="1" s="468">
      <c r="N293" s="433" t="n"/>
    </row>
    <row r="294" ht="15" customHeight="1" s="468">
      <c r="N294" s="433" t="n"/>
    </row>
    <row r="295" ht="15" customHeight="1" s="468">
      <c r="N295" s="433" t="n"/>
    </row>
    <row r="296" ht="15" customHeight="1" s="468">
      <c r="N296" s="433" t="n"/>
    </row>
    <row r="297" ht="15" customHeight="1" s="468">
      <c r="N297" s="433" t="n"/>
    </row>
    <row r="298" ht="15" customHeight="1" s="468">
      <c r="N298" s="433" t="n"/>
    </row>
    <row r="299" ht="15" customHeight="1" s="468">
      <c r="N299" s="433" t="n"/>
    </row>
    <row r="300" ht="15" customHeight="1" s="468">
      <c r="N300" s="433" t="n"/>
    </row>
  </sheetData>
  <mergeCells count="546">
    <mergeCell ref="B84:B108"/>
    <mergeCell ref="C15:D15"/>
    <mergeCell ref="G4:J4"/>
    <mergeCell ref="E71:F71"/>
    <mergeCell ref="E142:F142"/>
    <mergeCell ref="C107:D107"/>
    <mergeCell ref="G135:J135"/>
    <mergeCell ref="C79:D79"/>
    <mergeCell ref="E8:F8"/>
    <mergeCell ref="E79:F79"/>
    <mergeCell ref="C73:D73"/>
    <mergeCell ref="E73:F73"/>
    <mergeCell ref="C121:D121"/>
    <mergeCell ref="E137:F137"/>
    <mergeCell ref="C148:D148"/>
    <mergeCell ref="E148:F148"/>
    <mergeCell ref="K155:L155"/>
    <mergeCell ref="G82:J82"/>
    <mergeCell ref="G57:J57"/>
    <mergeCell ref="G128:J128"/>
    <mergeCell ref="K157:L157"/>
    <mergeCell ref="G146:J146"/>
    <mergeCell ref="G121:J121"/>
    <mergeCell ref="C28:D28"/>
    <mergeCell ref="E53:F53"/>
    <mergeCell ref="C3:D3"/>
    <mergeCell ref="G58:J58"/>
    <mergeCell ref="E3:F3"/>
    <mergeCell ref="G123:J123"/>
    <mergeCell ref="K152:L152"/>
    <mergeCell ref="C92:D92"/>
    <mergeCell ref="C30:D30"/>
    <mergeCell ref="G110:J110"/>
    <mergeCell ref="E55:F55"/>
    <mergeCell ref="E117:F117"/>
    <mergeCell ref="C5:D5"/>
    <mergeCell ref="E67:F67"/>
    <mergeCell ref="E5:F5"/>
    <mergeCell ref="C97:D97"/>
    <mergeCell ref="E48:F48"/>
    <mergeCell ref="G75:J75"/>
    <mergeCell ref="E161:F161"/>
    <mergeCell ref="G12:J12"/>
    <mergeCell ref="K41:L41"/>
    <mergeCell ref="K56:L56"/>
    <mergeCell ref="G70:J70"/>
    <mergeCell ref="K43:L43"/>
    <mergeCell ref="C123:D123"/>
    <mergeCell ref="G7:J7"/>
    <mergeCell ref="C110:D110"/>
    <mergeCell ref="E110:F110"/>
    <mergeCell ref="E16:F16"/>
    <mergeCell ref="E76:F76"/>
    <mergeCell ref="B30:B35"/>
    <mergeCell ref="C18:D18"/>
    <mergeCell ref="E18:F18"/>
    <mergeCell ref="G65:J65"/>
    <mergeCell ref="C34:D34"/>
    <mergeCell ref="G154:J154"/>
    <mergeCell ref="G129:J129"/>
    <mergeCell ref="G25:J25"/>
    <mergeCell ref="E92:F92"/>
    <mergeCell ref="K54:L54"/>
    <mergeCell ref="C128:D128"/>
    <mergeCell ref="C113:D113"/>
    <mergeCell ref="G60:J60"/>
    <mergeCell ref="K29:L29"/>
    <mergeCell ref="G131:J131"/>
    <mergeCell ref="C29:D29"/>
    <mergeCell ref="C100:D100"/>
    <mergeCell ref="E29:F29"/>
    <mergeCell ref="K138:L140"/>
    <mergeCell ref="C94:D94"/>
    <mergeCell ref="B113:B137"/>
    <mergeCell ref="C65:D65"/>
    <mergeCell ref="E94:F94"/>
    <mergeCell ref="C44:D44"/>
    <mergeCell ref="E69:F69"/>
    <mergeCell ref="C142:D142"/>
    <mergeCell ref="C80:D80"/>
    <mergeCell ref="C31:D31"/>
    <mergeCell ref="E31:F31"/>
    <mergeCell ref="C129:D129"/>
    <mergeCell ref="E158:F158"/>
    <mergeCell ref="E6:F6"/>
    <mergeCell ref="E77:F77"/>
    <mergeCell ref="E133:F133"/>
    <mergeCell ref="E108:F108"/>
    <mergeCell ref="G126:J126"/>
    <mergeCell ref="C95:D95"/>
    <mergeCell ref="E95:F95"/>
    <mergeCell ref="E89:F89"/>
    <mergeCell ref="E162:F162"/>
    <mergeCell ref="G13:J13"/>
    <mergeCell ref="G78:J78"/>
    <mergeCell ref="E72:F72"/>
    <mergeCell ref="E164:F164"/>
    <mergeCell ref="C131:D131"/>
    <mergeCell ref="G15:J15"/>
    <mergeCell ref="G142:J142"/>
    <mergeCell ref="G80:J80"/>
    <mergeCell ref="C49:D49"/>
    <mergeCell ref="B109:B110"/>
    <mergeCell ref="C24:D24"/>
    <mergeCell ref="B44:B48"/>
    <mergeCell ref="G79:J79"/>
    <mergeCell ref="E24:F24"/>
    <mergeCell ref="G73:J73"/>
    <mergeCell ref="G144:J144"/>
    <mergeCell ref="C42:D42"/>
    <mergeCell ref="E42:F42"/>
    <mergeCell ref="C88:D88"/>
    <mergeCell ref="E17:F17"/>
    <mergeCell ref="C26:D26"/>
    <mergeCell ref="E88:F88"/>
    <mergeCell ref="C126:D126"/>
    <mergeCell ref="E126:F126"/>
    <mergeCell ref="E82:F82"/>
    <mergeCell ref="E19:F19"/>
    <mergeCell ref="C117:D117"/>
    <mergeCell ref="C55:D55"/>
    <mergeCell ref="G155:J155"/>
    <mergeCell ref="C115:D115"/>
    <mergeCell ref="G157:J157"/>
    <mergeCell ref="C52:D52"/>
    <mergeCell ref="C150:D150"/>
    <mergeCell ref="C39:D39"/>
    <mergeCell ref="C144:D144"/>
    <mergeCell ref="G28:J28"/>
    <mergeCell ref="G3:J3"/>
    <mergeCell ref="C81:D81"/>
    <mergeCell ref="C37:D37"/>
    <mergeCell ref="G92:J92"/>
    <mergeCell ref="E37:F37"/>
    <mergeCell ref="G30:J30"/>
    <mergeCell ref="E97:F97"/>
    <mergeCell ref="E159:F159"/>
    <mergeCell ref="E109:F109"/>
    <mergeCell ref="G5:J5"/>
    <mergeCell ref="E47:F47"/>
    <mergeCell ref="C145:D145"/>
    <mergeCell ref="E145:F145"/>
    <mergeCell ref="E139:F139"/>
    <mergeCell ref="E111:F111"/>
    <mergeCell ref="G150:J150"/>
    <mergeCell ref="C63:D63"/>
    <mergeCell ref="C134:D134"/>
    <mergeCell ref="E63:F63"/>
    <mergeCell ref="G81:J81"/>
    <mergeCell ref="C50:D50"/>
    <mergeCell ref="G145:J145"/>
    <mergeCell ref="K52:L52"/>
    <mergeCell ref="C163:D163"/>
    <mergeCell ref="C138:D138"/>
    <mergeCell ref="C27:D27"/>
    <mergeCell ref="G160:J160"/>
    <mergeCell ref="C76:D76"/>
    <mergeCell ref="E27:F27"/>
    <mergeCell ref="C119:D119"/>
    <mergeCell ref="G147:J147"/>
    <mergeCell ref="E119:F119"/>
    <mergeCell ref="E116:F116"/>
    <mergeCell ref="E91:F91"/>
    <mergeCell ref="K53:L53"/>
    <mergeCell ref="G18:J18"/>
    <mergeCell ref="E85:F85"/>
    <mergeCell ref="C158:D158"/>
    <mergeCell ref="K109:L110"/>
    <mergeCell ref="G34:J34"/>
    <mergeCell ref="E22:F22"/>
    <mergeCell ref="E93:F93"/>
    <mergeCell ref="G163:J163"/>
    <mergeCell ref="E122:F122"/>
    <mergeCell ref="G113:J113"/>
    <mergeCell ref="K142:L142"/>
    <mergeCell ref="G29:J29"/>
    <mergeCell ref="C45:D45"/>
    <mergeCell ref="G100:J100"/>
    <mergeCell ref="G94:J94"/>
    <mergeCell ref="K55:L55"/>
    <mergeCell ref="G44:J44"/>
    <mergeCell ref="K144:L144"/>
    <mergeCell ref="C147:D147"/>
    <mergeCell ref="G31:J31"/>
    <mergeCell ref="C47:D47"/>
    <mergeCell ref="G102:J102"/>
    <mergeCell ref="G158:J158"/>
    <mergeCell ref="E147:F147"/>
    <mergeCell ref="C109:D109"/>
    <mergeCell ref="E38:F38"/>
    <mergeCell ref="G77:J77"/>
    <mergeCell ref="B138:B140"/>
    <mergeCell ref="C40:D40"/>
    <mergeCell ref="E40:F40"/>
    <mergeCell ref="K113:L137"/>
    <mergeCell ref="E104:F104"/>
    <mergeCell ref="G97:J97"/>
    <mergeCell ref="C71:D71"/>
    <mergeCell ref="C8:D8"/>
    <mergeCell ref="G49:J49"/>
    <mergeCell ref="C66:D66"/>
    <mergeCell ref="G24:J24"/>
    <mergeCell ref="E66:F66"/>
    <mergeCell ref="C53:D53"/>
    <mergeCell ref="C102:D102"/>
    <mergeCell ref="K3:L3"/>
    <mergeCell ref="C77:D77"/>
    <mergeCell ref="G88:J88"/>
    <mergeCell ref="C68:D68"/>
    <mergeCell ref="E130:F130"/>
    <mergeCell ref="G26:J26"/>
    <mergeCell ref="E68:F68"/>
    <mergeCell ref="C160:D160"/>
    <mergeCell ref="E160:F160"/>
    <mergeCell ref="C141:D141"/>
    <mergeCell ref="E141:F141"/>
    <mergeCell ref="E135:F135"/>
    <mergeCell ref="G90:J90"/>
    <mergeCell ref="E132:F132"/>
    <mergeCell ref="E107:F107"/>
    <mergeCell ref="C143:D143"/>
    <mergeCell ref="E143:F143"/>
    <mergeCell ref="K150:L150"/>
    <mergeCell ref="G115:J115"/>
    <mergeCell ref="C59:D59"/>
    <mergeCell ref="E59:F59"/>
    <mergeCell ref="C46:D46"/>
    <mergeCell ref="C21:D21"/>
    <mergeCell ref="E46:F46"/>
    <mergeCell ref="G39:J39"/>
    <mergeCell ref="C61:D61"/>
    <mergeCell ref="G116:J116"/>
    <mergeCell ref="E61:F61"/>
    <mergeCell ref="K145:L145"/>
    <mergeCell ref="C48:D48"/>
    <mergeCell ref="C23:D23"/>
    <mergeCell ref="G103:J103"/>
    <mergeCell ref="G37:J37"/>
    <mergeCell ref="C125:D125"/>
    <mergeCell ref="K160:L160"/>
    <mergeCell ref="E54:F54"/>
    <mergeCell ref="E125:F125"/>
    <mergeCell ref="G118:J118"/>
    <mergeCell ref="C161:D161"/>
    <mergeCell ref="K147:L147"/>
    <mergeCell ref="E41:F41"/>
    <mergeCell ref="E112:F112"/>
    <mergeCell ref="E56:F56"/>
    <mergeCell ref="C154:D154"/>
    <mergeCell ref="E43:F43"/>
    <mergeCell ref="C156:D156"/>
    <mergeCell ref="C74:D74"/>
    <mergeCell ref="G63:J63"/>
    <mergeCell ref="G134:J134"/>
    <mergeCell ref="K163:L163"/>
    <mergeCell ref="G50:J50"/>
    <mergeCell ref="C16:D16"/>
    <mergeCell ref="E138:F138"/>
    <mergeCell ref="C103:D103"/>
    <mergeCell ref="G52:J52"/>
    <mergeCell ref="C9:D9"/>
    <mergeCell ref="C118:D118"/>
    <mergeCell ref="E9:F9"/>
    <mergeCell ref="G27:J27"/>
    <mergeCell ref="G98:J98"/>
    <mergeCell ref="C11:D11"/>
    <mergeCell ref="E11:F11"/>
    <mergeCell ref="G93:J93"/>
    <mergeCell ref="C96:D96"/>
    <mergeCell ref="G124:J124"/>
    <mergeCell ref="C87:D87"/>
    <mergeCell ref="G45:J45"/>
    <mergeCell ref="K49:L49"/>
    <mergeCell ref="C6:D6"/>
    <mergeCell ref="C62:D62"/>
    <mergeCell ref="E62:F62"/>
    <mergeCell ref="G55:J55"/>
    <mergeCell ref="C98:D98"/>
    <mergeCell ref="G109:J109"/>
    <mergeCell ref="C89:D89"/>
    <mergeCell ref="G47:J47"/>
    <mergeCell ref="C116:D116"/>
    <mergeCell ref="C64:D64"/>
    <mergeCell ref="G119:J119"/>
    <mergeCell ref="E64:F64"/>
    <mergeCell ref="C162:D162"/>
    <mergeCell ref="G46:J46"/>
    <mergeCell ref="K153:L153"/>
    <mergeCell ref="G40:J40"/>
    <mergeCell ref="E51:F51"/>
    <mergeCell ref="G111:J111"/>
    <mergeCell ref="E156:F156"/>
    <mergeCell ref="E153:F153"/>
    <mergeCell ref="E128:F128"/>
    <mergeCell ref="C93:D93"/>
    <mergeCell ref="E155:F155"/>
    <mergeCell ref="C164:D164"/>
    <mergeCell ref="G71:J71"/>
    <mergeCell ref="E65:F65"/>
    <mergeCell ref="E157:F157"/>
    <mergeCell ref="G8:J8"/>
    <mergeCell ref="K42:L42"/>
    <mergeCell ref="C17:D17"/>
    <mergeCell ref="G10:J10"/>
    <mergeCell ref="G66:J66"/>
    <mergeCell ref="G137:J137"/>
    <mergeCell ref="G53:J53"/>
    <mergeCell ref="K141:L141"/>
    <mergeCell ref="C19:D19"/>
    <mergeCell ref="K50:L51"/>
    <mergeCell ref="G74:J74"/>
    <mergeCell ref="E75:F75"/>
    <mergeCell ref="G68:J68"/>
    <mergeCell ref="E146:F146"/>
    <mergeCell ref="C111:D111"/>
    <mergeCell ref="G139:J139"/>
    <mergeCell ref="G114:J114"/>
    <mergeCell ref="K143:L143"/>
    <mergeCell ref="C83:D83"/>
    <mergeCell ref="E12:F12"/>
    <mergeCell ref="C14:D14"/>
    <mergeCell ref="G143:J143"/>
    <mergeCell ref="E14:F14"/>
    <mergeCell ref="C137:D137"/>
    <mergeCell ref="G21:J21"/>
    <mergeCell ref="C124:D124"/>
    <mergeCell ref="G67:J67"/>
    <mergeCell ref="G61:J61"/>
    <mergeCell ref="C90:D90"/>
    <mergeCell ref="G48:J48"/>
    <mergeCell ref="G23:J23"/>
    <mergeCell ref="E90:F90"/>
    <mergeCell ref="C139:D139"/>
    <mergeCell ref="G125:J125"/>
    <mergeCell ref="C132:D132"/>
    <mergeCell ref="G112:J112"/>
    <mergeCell ref="E154:F154"/>
    <mergeCell ref="G62:J62"/>
    <mergeCell ref="G127:J127"/>
    <mergeCell ref="K156:L156"/>
    <mergeCell ref="E25:F25"/>
    <mergeCell ref="E58:F58"/>
    <mergeCell ref="C108:D108"/>
    <mergeCell ref="G16:J16"/>
    <mergeCell ref="G138:J138"/>
    <mergeCell ref="E83:F83"/>
    <mergeCell ref="G76:J76"/>
    <mergeCell ref="C20:D20"/>
    <mergeCell ref="G9:J9"/>
    <mergeCell ref="E20:F20"/>
    <mergeCell ref="C85:D85"/>
    <mergeCell ref="C112:D112"/>
    <mergeCell ref="G140:J140"/>
    <mergeCell ref="C84:D84"/>
    <mergeCell ref="E13:F13"/>
    <mergeCell ref="C22:D22"/>
    <mergeCell ref="E84:F84"/>
    <mergeCell ref="C127:D127"/>
    <mergeCell ref="G11:J11"/>
    <mergeCell ref="E78:F78"/>
    <mergeCell ref="C133:D133"/>
    <mergeCell ref="K44:L48"/>
    <mergeCell ref="C114:D114"/>
    <mergeCell ref="E149:F149"/>
    <mergeCell ref="K111:L111"/>
    <mergeCell ref="E114:F114"/>
    <mergeCell ref="E15:F15"/>
    <mergeCell ref="E86:F86"/>
    <mergeCell ref="C51:D51"/>
    <mergeCell ref="E80:F80"/>
    <mergeCell ref="E144:F144"/>
    <mergeCell ref="C38:D38"/>
    <mergeCell ref="G87:J87"/>
    <mergeCell ref="E81:F81"/>
    <mergeCell ref="K162:L162"/>
    <mergeCell ref="C140:D140"/>
    <mergeCell ref="G95:J95"/>
    <mergeCell ref="G89:J89"/>
    <mergeCell ref="G64:J64"/>
    <mergeCell ref="E106:F106"/>
    <mergeCell ref="C33:D33"/>
    <mergeCell ref="K164:L164"/>
    <mergeCell ref="C104:D104"/>
    <mergeCell ref="E33:F33"/>
    <mergeCell ref="G51:J51"/>
    <mergeCell ref="G153:J153"/>
    <mergeCell ref="C35:D35"/>
    <mergeCell ref="G164:J164"/>
    <mergeCell ref="E35:F35"/>
    <mergeCell ref="C10:D10"/>
    <mergeCell ref="E10:F10"/>
    <mergeCell ref="C99:D99"/>
    <mergeCell ref="E28:F28"/>
    <mergeCell ref="E74:F74"/>
    <mergeCell ref="G42:J42"/>
    <mergeCell ref="E30:F30"/>
    <mergeCell ref="G17:J17"/>
    <mergeCell ref="C130:D130"/>
    <mergeCell ref="C135:D135"/>
    <mergeCell ref="G19:J19"/>
    <mergeCell ref="G141:J141"/>
    <mergeCell ref="C159:D159"/>
    <mergeCell ref="C122:D122"/>
    <mergeCell ref="G6:J6"/>
    <mergeCell ref="C153:D153"/>
    <mergeCell ref="C72:D72"/>
    <mergeCell ref="G83:J83"/>
    <mergeCell ref="K112:L112"/>
    <mergeCell ref="B50:B51"/>
    <mergeCell ref="C136:D136"/>
    <mergeCell ref="E21:F21"/>
    <mergeCell ref="G14:J14"/>
    <mergeCell ref="E129:F129"/>
    <mergeCell ref="E23:F23"/>
    <mergeCell ref="G32:J32"/>
    <mergeCell ref="G159:J159"/>
    <mergeCell ref="E131:F131"/>
    <mergeCell ref="E87:F87"/>
    <mergeCell ref="C54:D54"/>
    <mergeCell ref="G72:J72"/>
    <mergeCell ref="C41:D41"/>
    <mergeCell ref="C146:D146"/>
    <mergeCell ref="G96:J96"/>
    <mergeCell ref="G161:J161"/>
    <mergeCell ref="B36:B40"/>
    <mergeCell ref="C56:D56"/>
    <mergeCell ref="G136:J136"/>
    <mergeCell ref="K84:L108"/>
    <mergeCell ref="C105:D105"/>
    <mergeCell ref="E34:F34"/>
    <mergeCell ref="C43:D43"/>
    <mergeCell ref="E105:F105"/>
    <mergeCell ref="E99:F99"/>
    <mergeCell ref="C120:D120"/>
    <mergeCell ref="E49:F49"/>
    <mergeCell ref="C36:D36"/>
    <mergeCell ref="E36:F36"/>
    <mergeCell ref="E163:F163"/>
    <mergeCell ref="G156:J156"/>
    <mergeCell ref="E101:F101"/>
    <mergeCell ref="E113:F113"/>
    <mergeCell ref="C149:D149"/>
    <mergeCell ref="E100:F100"/>
    <mergeCell ref="C67:D67"/>
    <mergeCell ref="E136:F136"/>
    <mergeCell ref="E115:F115"/>
    <mergeCell ref="G108:J108"/>
    <mergeCell ref="E102:F102"/>
    <mergeCell ref="C69:D69"/>
    <mergeCell ref="K4:L28"/>
    <mergeCell ref="K158:L158"/>
    <mergeCell ref="G20:J20"/>
    <mergeCell ref="G91:J91"/>
    <mergeCell ref="G85:J85"/>
    <mergeCell ref="E127:F127"/>
    <mergeCell ref="C4:D4"/>
    <mergeCell ref="G84:J84"/>
    <mergeCell ref="G22:J22"/>
    <mergeCell ref="E4:F4"/>
    <mergeCell ref="G149:J149"/>
    <mergeCell ref="B4:B28"/>
    <mergeCell ref="G86:J86"/>
    <mergeCell ref="G151:J151"/>
    <mergeCell ref="C60:D60"/>
    <mergeCell ref="G38:J38"/>
    <mergeCell ref="E26:F26"/>
    <mergeCell ref="E124:F124"/>
    <mergeCell ref="C91:D91"/>
    <mergeCell ref="E120:F120"/>
    <mergeCell ref="K82:L82"/>
    <mergeCell ref="K148:L148"/>
    <mergeCell ref="C82:D82"/>
    <mergeCell ref="G162:J162"/>
    <mergeCell ref="C57:D57"/>
    <mergeCell ref="C155:D155"/>
    <mergeCell ref="K146:L146"/>
    <mergeCell ref="G148:J148"/>
    <mergeCell ref="G33:J33"/>
    <mergeCell ref="B57:B81"/>
    <mergeCell ref="G104:J104"/>
    <mergeCell ref="E50:F50"/>
    <mergeCell ref="E121:F121"/>
    <mergeCell ref="K83:L83"/>
    <mergeCell ref="C86:D86"/>
    <mergeCell ref="C157:D157"/>
    <mergeCell ref="C151:D151"/>
    <mergeCell ref="G35:J35"/>
    <mergeCell ref="E151:F151"/>
    <mergeCell ref="C58:D58"/>
    <mergeCell ref="E52:F52"/>
    <mergeCell ref="E123:F123"/>
    <mergeCell ref="E150:F150"/>
    <mergeCell ref="E39:F39"/>
    <mergeCell ref="G99:J99"/>
    <mergeCell ref="E44:F44"/>
    <mergeCell ref="C152:D152"/>
    <mergeCell ref="E103:F103"/>
    <mergeCell ref="E152:F152"/>
    <mergeCell ref="C75:D75"/>
    <mergeCell ref="G59:J59"/>
    <mergeCell ref="K36:L40"/>
    <mergeCell ref="G130:J130"/>
    <mergeCell ref="K159:L159"/>
    <mergeCell ref="G117:J117"/>
    <mergeCell ref="E118:F118"/>
    <mergeCell ref="B1:N2"/>
    <mergeCell ref="C12:D12"/>
    <mergeCell ref="G132:J132"/>
    <mergeCell ref="K161:L161"/>
    <mergeCell ref="G122:J122"/>
    <mergeCell ref="G101:J101"/>
    <mergeCell ref="C70:D70"/>
    <mergeCell ref="E70:F70"/>
    <mergeCell ref="C106:D106"/>
    <mergeCell ref="E57:F57"/>
    <mergeCell ref="K30:L35"/>
    <mergeCell ref="C32:D32"/>
    <mergeCell ref="C7:D7"/>
    <mergeCell ref="E32:F32"/>
    <mergeCell ref="E7:F7"/>
    <mergeCell ref="E134:F134"/>
    <mergeCell ref="G152:J152"/>
    <mergeCell ref="E96:F96"/>
    <mergeCell ref="C101:D101"/>
    <mergeCell ref="E98:F98"/>
    <mergeCell ref="G54:J54"/>
    <mergeCell ref="K154:L154"/>
    <mergeCell ref="G41:J41"/>
    <mergeCell ref="E140:F140"/>
    <mergeCell ref="G106:J106"/>
    <mergeCell ref="G56:J56"/>
    <mergeCell ref="C25:D25"/>
    <mergeCell ref="G105:J105"/>
    <mergeCell ref="G43:J43"/>
    <mergeCell ref="E60:F60"/>
    <mergeCell ref="G120:J120"/>
    <mergeCell ref="K149:L149"/>
    <mergeCell ref="G36:J36"/>
    <mergeCell ref="G107:J107"/>
    <mergeCell ref="K151:L151"/>
    <mergeCell ref="E45:F45"/>
    <mergeCell ref="G69:J69"/>
    <mergeCell ref="C13:D13"/>
    <mergeCell ref="K57:L81"/>
    <mergeCell ref="C78:D78"/>
    <mergeCell ref="G133:J13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2F3A4A"/>
    <outlinePr summaryBelow="1" summaryRight="1"/>
    <pageSetUpPr/>
  </sheetPr>
  <dimension ref="A1:M205"/>
  <sheetViews>
    <sheetView showGridLines="0" topLeftCell="A194" zoomScale="90" zoomScaleNormal="90" workbookViewId="0">
      <pane ySplit="3" topLeftCell="A4" activePane="bottomLeft" state="frozen"/>
      <selection pane="bottomLeft" activeCell="P184" sqref="P184"/>
    </sheetView>
  </sheetViews>
  <sheetFormatPr baseColWidth="8" defaultColWidth="8.6640625" defaultRowHeight="14.25" customHeight="1"/>
  <cols>
    <col width="16" customWidth="1" style="522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6"/>
    <col width="14" customWidth="1" style="468" min="7" max="7"/>
    <col width="13" customWidth="1" style="552" min="8" max="8"/>
    <col width="14" customWidth="1" style="552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8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</row>
    <row r="3" ht="15" customHeight="1" s="468">
      <c r="A3" s="631" t="n">
        <v>46113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89" t="inlineStr">
        <is>
          <t>REAL (CX)</t>
        </is>
      </c>
      <c r="I3" s="689" t="inlineStr">
        <is>
          <t>TOTAL LATAS</t>
        </is>
      </c>
      <c r="J3" s="633" t="n"/>
      <c r="K3" s="633" t="n"/>
      <c r="L3" s="633" t="n"/>
      <c r="M3" s="633" t="n"/>
    </row>
    <row r="4" ht="21" customHeight="1" s="468">
      <c r="A4" s="685" t="n"/>
      <c r="B4" s="218" t="inlineStr">
        <is>
          <t>CORANTE AMARELO REPETECO</t>
        </is>
      </c>
      <c r="C4" s="219" t="n">
        <v>70</v>
      </c>
      <c r="D4" s="220" t="n">
        <v>78</v>
      </c>
      <c r="E4" s="221" t="inlineStr">
        <is>
          <t>CX</t>
        </is>
      </c>
      <c r="F4" s="68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20">
        <f>IFERROR(ROUNDUP(D4/F4,0),"")</f>
        <v/>
      </c>
      <c r="H4" s="224" t="n">
        <v>71</v>
      </c>
      <c r="I4" s="220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552" t="n"/>
      <c r="K4" s="552" t="n"/>
      <c r="L4" s="552" t="n"/>
      <c r="M4" s="552" t="n"/>
    </row>
    <row r="5" ht="21" customHeight="1" s="468">
      <c r="A5" s="685" t="n"/>
      <c r="B5" s="218" t="inlineStr">
        <is>
          <t>CORANTE AZUL CEU REPETECO</t>
        </is>
      </c>
      <c r="C5" s="219" t="n">
        <v>70</v>
      </c>
      <c r="D5" s="220" t="n">
        <v>120</v>
      </c>
      <c r="E5" s="221" t="inlineStr">
        <is>
          <t>CX</t>
        </is>
      </c>
      <c r="F5" s="68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20">
        <f>IFERROR(ROUNDUP(D5/F5,0),"")</f>
        <v/>
      </c>
      <c r="H5" s="224" t="n">
        <v>122</v>
      </c>
      <c r="I5" s="22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552" t="n"/>
      <c r="K5" s="552" t="n"/>
      <c r="L5" s="552" t="n"/>
      <c r="M5" s="552" t="n"/>
    </row>
    <row r="6" ht="21" customHeight="1" s="468">
      <c r="A6" s="685" t="n"/>
      <c r="B6" s="218" t="inlineStr">
        <is>
          <t>CORANTE VERDE IN LOCO</t>
        </is>
      </c>
      <c r="C6" s="219" t="n">
        <v>70</v>
      </c>
      <c r="D6" s="220" t="n">
        <v>240</v>
      </c>
      <c r="E6" s="221" t="inlineStr">
        <is>
          <t>CX</t>
        </is>
      </c>
      <c r="F6" s="68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20">
        <f>IFERROR(ROUNDUP(D6/F6,0),"")</f>
        <v/>
      </c>
      <c r="H6" s="224" t="n">
        <v>241</v>
      </c>
      <c r="I6" s="220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552" t="n"/>
      <c r="K6" s="552" t="n"/>
      <c r="L6" s="552" t="n"/>
      <c r="M6" s="552" t="n"/>
    </row>
    <row r="7" ht="21" customHeight="1" s="468">
      <c r="A7" s="685" t="n"/>
      <c r="B7" s="218" t="inlineStr">
        <is>
          <t>CORANTE ROSA IN LOCO</t>
        </is>
      </c>
      <c r="C7" s="219" t="n">
        <v>70</v>
      </c>
      <c r="D7" s="220" t="n">
        <v>240</v>
      </c>
      <c r="E7" s="221" t="inlineStr">
        <is>
          <t>CX</t>
        </is>
      </c>
      <c r="F7" s="68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20">
        <f>IFERROR(ROUNDUP(D7/F7,0),"")</f>
        <v/>
      </c>
      <c r="H7" s="224" t="n">
        <v>240</v>
      </c>
      <c r="I7" s="220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2" t="n"/>
      <c r="K7" s="552" t="n"/>
      <c r="L7" s="552" t="n"/>
      <c r="M7" s="552" t="n"/>
    </row>
    <row r="8" ht="21" customHeight="1" s="468">
      <c r="A8" s="685" t="n"/>
      <c r="B8" s="218" t="inlineStr">
        <is>
          <t>CORANTE ROSA REPETECO</t>
        </is>
      </c>
      <c r="C8" s="219" t="n">
        <v>70</v>
      </c>
      <c r="D8" s="220" t="n">
        <v>240</v>
      </c>
      <c r="E8" s="221" t="inlineStr">
        <is>
          <t>CX</t>
        </is>
      </c>
      <c r="F8" s="68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20">
        <f>IFERROR(ROUNDUP(D8/F8,0),"")</f>
        <v/>
      </c>
      <c r="H8" s="224" t="n">
        <v>227</v>
      </c>
      <c r="I8" s="220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552" t="n"/>
      <c r="K8" s="552" t="n"/>
      <c r="L8" s="552" t="n"/>
      <c r="M8" s="552" t="n"/>
    </row>
    <row r="9" ht="21" customHeight="1" s="468">
      <c r="A9" s="685" t="n"/>
      <c r="B9" s="218" t="inlineStr">
        <is>
          <t>CORANTE VERMELHO INLOCO</t>
        </is>
      </c>
      <c r="C9" s="219" t="n">
        <v>70</v>
      </c>
      <c r="D9" s="220" t="n">
        <v>240</v>
      </c>
      <c r="E9" s="221" t="inlineStr">
        <is>
          <t>CX</t>
        </is>
      </c>
      <c r="F9" s="686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220">
        <f>IFERROR(ROUNDUP(D9/F9,0),"")</f>
        <v/>
      </c>
      <c r="H9" s="224" t="n">
        <v>219</v>
      </c>
      <c r="I9" s="220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  <c r="J9" s="552" t="n"/>
      <c r="K9" s="552" t="n"/>
      <c r="L9" s="552" t="n"/>
      <c r="M9" s="552" t="n"/>
    </row>
    <row r="10" ht="21" customHeight="1" s="468">
      <c r="A10" s="685" t="n"/>
      <c r="B10" s="218" t="inlineStr">
        <is>
          <t>CORANTE VIOLETA REPETECO</t>
        </is>
      </c>
      <c r="C10" s="219" t="n">
        <v>70</v>
      </c>
      <c r="D10" s="220" t="n">
        <v>80</v>
      </c>
      <c r="E10" s="221" t="inlineStr">
        <is>
          <t>CX</t>
        </is>
      </c>
      <c r="F10" s="686">
        <f>IF($B10="","",IF(SUMIFS(CONFIG_PALLETS!$C:$C,CONFIG_PALLETS!$A:$A,TRIM($B10),CONFIG_PALLETS!$B:$B,$C10&amp;" ml")&gt;0,SUMIFS(CONFIG_PALLETS!$C:$C,CONFIG_PALLETS!$A:$A,TRIM($B10),CONFIG_PALLETS!$B:$B,$C10&amp;" ml"),IF(SUMIFS(CONFIG_PALLETS!$C:$C,CONFIG_PALLETS!$A:$A,"GERAL",CONFIG_PALLETS!$B:$B,$C10&amp;" ml")&gt;0,SUMIFS(CONFIG_PALLETS!$C:$C,CONFIG_PALLETS!$A:$A,"GERAL",CONFIG_PALLETS!$B:$B,$C10&amp;" ml"),"")))</f>
        <v/>
      </c>
      <c r="G10" s="220">
        <f>IFERROR(ROUNDUP(D10/F10,0),"")</f>
        <v/>
      </c>
      <c r="H10" s="224" t="n">
        <v>36</v>
      </c>
      <c r="I10" s="220">
        <f>IF(H10="","",H10*IF(SUMIFS(CONFIG_PALLETS!$D:$D,CONFIG_PALLETS!$A:$A,IF(ISNUMBER(SEARCH("ESPUMA",$B10)),"ESPUMA",IF(OR(ISNUMBER(SEARCH("OLEO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ml")&gt;0,SUMIFS(CONFIG_PALLETS!$D:$D,CONFIG_PALLETS!$A:$A,IF(ISNUMBER(SEARCH("ESPUMA",$B10)),"ESPUMA",IF(OR(ISNUMBER(SEARCH("OLEO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ml"),IF(SUMIFS(CONFIG_PALLETS!$D:$D,CONFIG_PALLETS!$A:$A,"GERAL",CONFIG_PALLETS!$B:$B,$C10&amp;" ml")&gt;0,SUMIFS(CONFIG_PALLETS!$D:$D,CONFIG_PALLETS!$A:$A,"GERAL",CONFIG_PALLETS!$B:$B,$C10&amp;" ml"),12)))</f>
        <v/>
      </c>
      <c r="J10" s="552" t="n"/>
      <c r="K10" s="552" t="n"/>
      <c r="L10" s="552" t="n"/>
      <c r="M10" s="552" t="n"/>
    </row>
    <row r="11" ht="21" customHeight="1" s="468">
      <c r="A11" s="685" t="n"/>
      <c r="B11" s="218" t="n"/>
      <c r="C11" s="219" t="n"/>
      <c r="D11" s="220" t="n"/>
      <c r="E11" s="221" t="inlineStr">
        <is>
          <t>CX</t>
        </is>
      </c>
      <c r="F11" s="686">
        <f>IF($B11="","",IF(SUMIFS(CONFIG_PALLETS!$C:$C,CONFIG_PALLETS!$A:$A,TRIM($B11),CONFIG_PALLETS!$B:$B,$C11&amp;" ml")&gt;0,SUMIFS(CONFIG_PALLETS!$C:$C,CONFIG_PALLETS!$A:$A,TRIM($B11),CONFIG_PALLETS!$B:$B,$C11&amp;" ml"),IF(SUMIFS(CONFIG_PALLETS!$C:$C,CONFIG_PALLETS!$A:$A,"GERAL",CONFIG_PALLETS!$B:$B,$C11&amp;" ml")&gt;0,SUMIFS(CONFIG_PALLETS!$C:$C,CONFIG_PALLETS!$A:$A,"GERAL",CONFIG_PALLETS!$B:$B,$C11&amp;" ml"),"")))</f>
        <v/>
      </c>
      <c r="G11" s="220">
        <f>IFERROR(ROUNDUP(D11/F11,0),"")</f>
        <v/>
      </c>
      <c r="H11" s="224" t="n"/>
      <c r="I11" s="220">
        <f>IF(H11="","",H11*IF(SUMIFS(CONFIG_PALLETS!$D:$D,CONFIG_PALLETS!$A:$A,IF(ISNUMBER(SEARCH("ESPUMA",$B11)),"ESPUMA",IF(OR(ISNUMBER(SEARCH("OLEO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ml")&gt;0,SUMIFS(CONFIG_PALLETS!$D:$D,CONFIG_PALLETS!$A:$A,IF(ISNUMBER(SEARCH("ESPUMA",$B11)),"ESPUMA",IF(OR(ISNUMBER(SEARCH("OLEO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ml"),IF(SUMIFS(CONFIG_PALLETS!$D:$D,CONFIG_PALLETS!$A:$A,"GERAL",CONFIG_PALLETS!$B:$B,$C11&amp;" ml")&gt;0,SUMIFS(CONFIG_PALLETS!$D:$D,CONFIG_PALLETS!$A:$A,"GERAL",CONFIG_PALLETS!$B:$B,$C11&amp;" ml"),12)))</f>
        <v/>
      </c>
      <c r="J11" s="552" t="n"/>
      <c r="K11" s="552" t="n"/>
      <c r="L11" s="552" t="n"/>
      <c r="M11" s="552" t="n"/>
    </row>
    <row r="12" ht="21" customHeight="1" s="468">
      <c r="A12" s="635" t="n"/>
      <c r="B12" s="218" t="n"/>
      <c r="C12" s="219" t="n"/>
      <c r="D12" s="220" t="n"/>
      <c r="E12" s="221" t="inlineStr">
        <is>
          <t>CX</t>
        </is>
      </c>
      <c r="F12" s="552" t="n"/>
      <c r="G12" s="220">
        <f>IFERROR(ROUNDUP(D12/F12,0),"")</f>
        <v/>
      </c>
      <c r="H12" s="224" t="n"/>
      <c r="I12" s="220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  <c r="J12" s="552" t="n"/>
      <c r="K12" s="552" t="n"/>
      <c r="L12" s="552" t="n"/>
      <c r="M12" s="552" t="n"/>
    </row>
    <row r="13" ht="21" customHeight="1" s="468">
      <c r="A13" s="635" t="n"/>
      <c r="B13" s="218" t="n"/>
      <c r="C13" s="219" t="n"/>
      <c r="D13" s="220" t="n"/>
      <c r="E13" s="221" t="inlineStr">
        <is>
          <t>CX</t>
        </is>
      </c>
      <c r="F13" s="552" t="n"/>
      <c r="G13" s="220">
        <f>IFERROR(ROUNDUP(D13/F13,0),"")</f>
        <v/>
      </c>
      <c r="H13" s="224" t="n"/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552" t="n"/>
      <c r="K13" s="552" t="n"/>
      <c r="L13" s="552" t="n"/>
      <c r="M13" s="552" t="n"/>
    </row>
    <row r="14" ht="15" customHeight="1" s="468">
      <c r="A14" s="658" t="n"/>
      <c r="B14" s="640" t="inlineStr">
        <is>
          <t>TOTAL</t>
        </is>
      </c>
      <c r="C14" s="667" t="n"/>
      <c r="D14" s="642">
        <f>SUM(D4:D13)</f>
        <v/>
      </c>
      <c r="E14" s="668" t="n"/>
      <c r="F14" s="644" t="n"/>
      <c r="G14" s="642">
        <f>SUM(G4:G13)</f>
        <v/>
      </c>
      <c r="H14" s="642">
        <f>SUM(H4:H13)</f>
        <v/>
      </c>
      <c r="I14" s="642">
        <f>SUM(I4:I13)</f>
        <v/>
      </c>
      <c r="J14" s="644">
        <f>D14</f>
        <v/>
      </c>
      <c r="K14" s="644">
        <f>G14</f>
        <v/>
      </c>
      <c r="L14" s="644">
        <f>H14</f>
        <v/>
      </c>
      <c r="M14" s="644">
        <f>I14</f>
        <v/>
      </c>
    </row>
    <row r="15" ht="6" customHeight="1" s="468">
      <c r="A15" s="638" t="n"/>
      <c r="C15" s="71" t="n"/>
      <c r="D15" s="552" t="n"/>
      <c r="F15" s="552" t="n"/>
      <c r="G15" s="552" t="n"/>
      <c r="H15" s="552" t="n"/>
      <c r="I15" s="552" t="n"/>
      <c r="J15" s="552" t="n"/>
      <c r="K15" s="552" t="n"/>
      <c r="L15" s="552" t="n"/>
      <c r="M15" s="552" t="n"/>
    </row>
    <row r="16" ht="15" customHeight="1" s="468">
      <c r="A16" s="646" t="n">
        <v>46114</v>
      </c>
      <c r="B16" s="213" t="inlineStr">
        <is>
          <t>PRODUTO</t>
        </is>
      </c>
      <c r="C16" s="214" t="inlineStr">
        <is>
          <t>EMBALAGEM</t>
        </is>
      </c>
      <c r="D16" s="244" t="inlineStr">
        <is>
          <t>CAIXAS</t>
        </is>
      </c>
      <c r="E16" s="215" t="inlineStr">
        <is>
          <t>UN</t>
        </is>
      </c>
      <c r="F16" s="687" t="inlineStr">
        <is>
          <t>CX/PALLET</t>
        </is>
      </c>
      <c r="G16" s="244" t="inlineStr">
        <is>
          <t>PALLETS (PBR)</t>
        </is>
      </c>
      <c r="H16" s="244" t="inlineStr">
        <is>
          <t>REAL (CX)</t>
        </is>
      </c>
      <c r="I16" s="244" t="inlineStr">
        <is>
          <t>TOTAL LATAS</t>
        </is>
      </c>
      <c r="J16" s="552" t="n"/>
      <c r="K16" s="552" t="n"/>
      <c r="L16" s="552" t="n"/>
      <c r="M16" s="552" t="n"/>
    </row>
    <row r="17" ht="21" customHeight="1" s="468">
      <c r="A17" s="685" t="n"/>
      <c r="B17" s="218" t="inlineStr">
        <is>
          <t>ESPUMA GENGIBRE IN LOCO</t>
        </is>
      </c>
      <c r="C17" s="219" t="n">
        <v>200</v>
      </c>
      <c r="D17" s="220" t="n">
        <v>1650</v>
      </c>
      <c r="E17" s="221" t="inlineStr">
        <is>
          <t>CX</t>
        </is>
      </c>
      <c r="F17" s="686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220">
        <f>IFERROR(ROUNDUP(D17/F17,0),"")</f>
        <v/>
      </c>
      <c r="H17" s="224" t="n">
        <v>1650</v>
      </c>
      <c r="I17" s="220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  <c r="J17" s="552" t="n"/>
      <c r="K17" s="552" t="n"/>
      <c r="L17" s="552" t="n"/>
      <c r="M17" s="552" t="n"/>
    </row>
    <row r="18" ht="21" customHeight="1" s="468">
      <c r="A18" s="685" t="n"/>
      <c r="B18" s="218" t="inlineStr">
        <is>
          <t>ESPUMA GENGIBRE DILUTE</t>
        </is>
      </c>
      <c r="C18" s="219" t="n">
        <v>200</v>
      </c>
      <c r="D18" s="220" t="n">
        <v>660</v>
      </c>
      <c r="E18" s="221" t="inlineStr">
        <is>
          <t>CX</t>
        </is>
      </c>
      <c r="F18" s="686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/>
      </c>
      <c r="G18" s="220">
        <f>IFERROR(ROUNDUP(D18/F18,0),"")</f>
        <v/>
      </c>
      <c r="H18" s="224" t="n">
        <v>450</v>
      </c>
      <c r="I18" s="220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/>
      </c>
      <c r="J18" s="552" t="n"/>
      <c r="K18" s="552" t="n"/>
      <c r="L18" s="552" t="n"/>
      <c r="M18" s="552" t="n"/>
    </row>
    <row r="19" ht="21" customHeight="1" s="468">
      <c r="A19" s="685" t="n"/>
      <c r="B19" s="218" t="n"/>
      <c r="C19" s="219" t="n"/>
      <c r="D19" s="220" t="n"/>
      <c r="E19" s="221" t="inlineStr">
        <is>
          <t>CX</t>
        </is>
      </c>
      <c r="F19" s="686">
        <f>IF($B19="","",IF(SUMIFS(CONFIG_PALLETS!$C:$C,CONFIG_PALLETS!$A:$A,TRIM($B19),CONFIG_PALLETS!$B:$B,$C19&amp;" ml")&gt;0,SUMIFS(CONFIG_PALLETS!$C:$C,CONFIG_PALLETS!$A:$A,TRIM($B19),CONFIG_PALLETS!$B:$B,$C19&amp;" ml"),IF(SUMIFS(CONFIG_PALLETS!$C:$C,CONFIG_PALLETS!$A:$A,"GERAL",CONFIG_PALLETS!$B:$B,$C19&amp;" ml")&gt;0,SUMIFS(CONFIG_PALLETS!$C:$C,CONFIG_PALLETS!$A:$A,"GERAL",CONFIG_PALLETS!$B:$B,$C19&amp;" ml"),"")))</f>
        <v/>
      </c>
      <c r="G19" s="220">
        <f>IFERROR(ROUNDUP(D19/F19,0),"")</f>
        <v/>
      </c>
      <c r="H19" s="224" t="n"/>
      <c r="I19" s="220">
        <f>IF(H19="","",H19*IF(SUMIFS(CONFIG_PALLETS!$D:$D,CONFIG_PALLETS!$A:$A,IF(ISNUMBER(SEARCH("ESPUMA",$B19)),"ESPUMA",IF(OR(ISNUMBER(SEARCH("OLEO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ml")&gt;0,SUMIFS(CONFIG_PALLETS!$D:$D,CONFIG_PALLETS!$A:$A,IF(ISNUMBER(SEARCH("ESPUMA",$B19)),"ESPUMA",IF(OR(ISNUMBER(SEARCH("OLEO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ml"),IF(SUMIFS(CONFIG_PALLETS!$D:$D,CONFIG_PALLETS!$A:$A,"GERAL",CONFIG_PALLETS!$B:$B,$C19&amp;" ml")&gt;0,SUMIFS(CONFIG_PALLETS!$D:$D,CONFIG_PALLETS!$A:$A,"GERAL",CONFIG_PALLETS!$B:$B,$C19&amp;" ml"),12)))</f>
        <v/>
      </c>
      <c r="J19" s="552" t="n"/>
      <c r="K19" s="552" t="n"/>
      <c r="L19" s="552" t="n"/>
      <c r="M19" s="552" t="n"/>
    </row>
    <row r="20" ht="21" customHeight="1" s="468">
      <c r="A20" s="685" t="n"/>
      <c r="B20" s="218" t="n"/>
      <c r="C20" s="219" t="n"/>
      <c r="D20" s="220" t="n"/>
      <c r="E20" s="221" t="inlineStr">
        <is>
          <t>CX</t>
        </is>
      </c>
      <c r="F20" s="686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20">
        <f>IFERROR(ROUNDUP(D20/F20,0),"")</f>
        <v/>
      </c>
      <c r="H20" s="224" t="n"/>
      <c r="I20" s="220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552" t="n"/>
      <c r="K20" s="552" t="n"/>
      <c r="L20" s="552" t="n"/>
      <c r="M20" s="552" t="n"/>
    </row>
    <row r="21" ht="21" customHeight="1" s="468">
      <c r="A21" s="685" t="n"/>
      <c r="B21" s="218" t="n"/>
      <c r="C21" s="219" t="n"/>
      <c r="D21" s="220" t="n"/>
      <c r="E21" s="221" t="inlineStr">
        <is>
          <t>CX</t>
        </is>
      </c>
      <c r="F21" s="686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20">
        <f>IFERROR(ROUNDUP(D21/F21,0),"")</f>
        <v/>
      </c>
      <c r="H21" s="224" t="n"/>
      <c r="I21" s="22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552" t="n"/>
      <c r="K21" s="552" t="n"/>
      <c r="L21" s="552" t="n"/>
      <c r="M21" s="552" t="n"/>
    </row>
    <row r="22" ht="15" customHeight="1" s="468">
      <c r="A22" s="658" t="n"/>
      <c r="B22" s="640" t="inlineStr">
        <is>
          <t>TOTAL</t>
        </is>
      </c>
      <c r="C22" s="667" t="n"/>
      <c r="D22" s="642">
        <f>SUM(D17:D21)</f>
        <v/>
      </c>
      <c r="E22" s="668" t="n"/>
      <c r="F22" s="644" t="n"/>
      <c r="G22" s="642">
        <f>SUM(G17:G21)</f>
        <v/>
      </c>
      <c r="H22" s="642">
        <f>SUM(H17:H21)</f>
        <v/>
      </c>
      <c r="I22" s="642">
        <f>SUM(I17:I21)</f>
        <v/>
      </c>
      <c r="J22" s="644">
        <f>D22</f>
        <v/>
      </c>
      <c r="K22" s="644">
        <f>G22</f>
        <v/>
      </c>
      <c r="L22" s="644">
        <f>H22</f>
        <v/>
      </c>
      <c r="M22" s="644">
        <f>I22</f>
        <v/>
      </c>
    </row>
    <row r="23" ht="6" customHeight="1" s="468">
      <c r="A23" s="638" t="n"/>
      <c r="C23" s="71" t="n"/>
      <c r="D23" s="552" t="n"/>
      <c r="F23" s="552" t="n"/>
      <c r="G23" s="552" t="n"/>
      <c r="H23" s="552" t="n"/>
      <c r="I23" s="552" t="n"/>
      <c r="J23" s="552" t="n"/>
      <c r="K23" s="552" t="n"/>
      <c r="L23" s="552" t="n"/>
      <c r="M23" s="552" t="n"/>
    </row>
    <row r="24" ht="15" customHeight="1" s="468">
      <c r="A24" s="646" t="n">
        <v>46115</v>
      </c>
      <c r="B24" s="213" t="inlineStr">
        <is>
          <t>PRODUTO</t>
        </is>
      </c>
      <c r="C24" s="214" t="inlineStr">
        <is>
          <t>EMBALAGEM</t>
        </is>
      </c>
      <c r="D24" s="244" t="inlineStr">
        <is>
          <t>CAIXAS</t>
        </is>
      </c>
      <c r="E24" s="215" t="inlineStr">
        <is>
          <t>UN</t>
        </is>
      </c>
      <c r="F24" s="687" t="inlineStr">
        <is>
          <t>CX/PALLET</t>
        </is>
      </c>
      <c r="G24" s="244" t="inlineStr">
        <is>
          <t>PALLETS (PBR)</t>
        </is>
      </c>
      <c r="H24" s="244" t="inlineStr">
        <is>
          <t>REAL (CX)</t>
        </is>
      </c>
      <c r="I24" s="244" t="inlineStr">
        <is>
          <t>TOTAL LATAS</t>
        </is>
      </c>
      <c r="J24" s="552" t="n"/>
      <c r="K24" s="552" t="n"/>
      <c r="L24" s="552" t="n"/>
      <c r="M24" s="552" t="n"/>
    </row>
    <row r="25" ht="21" customHeight="1" s="468">
      <c r="A25" s="685" t="n"/>
      <c r="B25" s="218" t="n"/>
      <c r="C25" s="219" t="n"/>
      <c r="D25" s="220" t="n"/>
      <c r="E25" s="221" t="inlineStr">
        <is>
          <t>CX</t>
        </is>
      </c>
      <c r="F25" s="686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220">
        <f>IFERROR(ROUNDUP(D25/F25,0),"")</f>
        <v/>
      </c>
      <c r="H25" s="224" t="n"/>
      <c r="I25" s="220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  <c r="J25" s="552" t="n"/>
      <c r="K25" s="552" t="n"/>
      <c r="L25" s="552" t="n"/>
      <c r="M25" s="552" t="n"/>
    </row>
    <row r="26" ht="21" customHeight="1" s="468">
      <c r="A26" s="685" t="n"/>
      <c r="B26" s="553" t="inlineStr">
        <is>
          <t>FERIADO</t>
        </is>
      </c>
      <c r="C26" s="219" t="n"/>
      <c r="D26" s="220" t="n"/>
      <c r="E26" s="221" t="inlineStr">
        <is>
          <t>CX</t>
        </is>
      </c>
      <c r="F26" s="686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220">
        <f>IFERROR(ROUNDUP(D26/F26,0),"")</f>
        <v/>
      </c>
      <c r="H26" s="224" t="n"/>
      <c r="I26" s="220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  <c r="J26" s="552" t="n"/>
      <c r="K26" s="552" t="n"/>
      <c r="L26" s="552" t="n"/>
      <c r="M26" s="552" t="n"/>
    </row>
    <row r="27" ht="21" customHeight="1" s="468">
      <c r="A27" s="685" t="n"/>
      <c r="B27" s="554" t="n"/>
      <c r="C27" s="219" t="n"/>
      <c r="D27" s="220" t="n"/>
      <c r="E27" s="221" t="inlineStr">
        <is>
          <t>CX</t>
        </is>
      </c>
      <c r="F27" s="686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220">
        <f>IFERROR(ROUNDUP(D27/F27,0),"")</f>
        <v/>
      </c>
      <c r="H27" s="224" t="n"/>
      <c r="I27" s="220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  <c r="J27" s="552" t="n"/>
      <c r="K27" s="552" t="n"/>
      <c r="L27" s="552" t="n"/>
      <c r="M27" s="552" t="n"/>
    </row>
    <row r="28" ht="21" customHeight="1" s="468">
      <c r="A28" s="685" t="n"/>
      <c r="B28" s="555" t="n"/>
      <c r="C28" s="219" t="n"/>
      <c r="D28" s="220" t="n"/>
      <c r="E28" s="221" t="inlineStr">
        <is>
          <t>CX</t>
        </is>
      </c>
      <c r="F28" s="686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20">
        <f>IFERROR(ROUNDUP(D28/F28,0),"")</f>
        <v/>
      </c>
      <c r="H28" s="224" t="n"/>
      <c r="I28" s="220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552" t="n"/>
      <c r="K28" s="552" t="n"/>
      <c r="L28" s="552" t="n"/>
      <c r="M28" s="552" t="n"/>
    </row>
    <row r="29" ht="21" customHeight="1" s="468">
      <c r="A29" s="685" t="n"/>
      <c r="B29" s="218" t="n"/>
      <c r="C29" s="219" t="n"/>
      <c r="D29" s="220" t="n"/>
      <c r="E29" s="221" t="inlineStr">
        <is>
          <t>CX</t>
        </is>
      </c>
      <c r="F29" s="686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20">
        <f>IFERROR(ROUNDUP(D29/F29,0),"")</f>
        <v/>
      </c>
      <c r="H29" s="224" t="n"/>
      <c r="I29" s="220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52" t="n"/>
      <c r="K29" s="552" t="n"/>
      <c r="L29" s="552" t="n"/>
      <c r="M29" s="552" t="n"/>
    </row>
    <row r="30" ht="15" customHeight="1" s="468">
      <c r="A30" s="658" t="n"/>
      <c r="B30" s="640" t="inlineStr">
        <is>
          <t>TOTAL</t>
        </is>
      </c>
      <c r="C30" s="667" t="n"/>
      <c r="D30" s="642">
        <f>SUM(D25:D29)</f>
        <v/>
      </c>
      <c r="E30" s="668" t="n"/>
      <c r="F30" s="644" t="n"/>
      <c r="G30" s="642">
        <f>SUM(G25:G29)</f>
        <v/>
      </c>
      <c r="H30" s="642">
        <f>SUM(H25:H29)</f>
        <v/>
      </c>
      <c r="I30" s="642">
        <f>SUM(I25:I29)</f>
        <v/>
      </c>
      <c r="J30" s="644">
        <f>D30</f>
        <v/>
      </c>
      <c r="K30" s="644">
        <f>G30</f>
        <v/>
      </c>
      <c r="L30" s="644">
        <f>H30</f>
        <v/>
      </c>
      <c r="M30" s="644">
        <f>I30</f>
        <v/>
      </c>
    </row>
    <row r="31" ht="6" customHeight="1" s="468">
      <c r="A31" s="638" t="n"/>
      <c r="C31" s="71" t="n"/>
      <c r="D31" s="552" t="n"/>
      <c r="F31" s="552" t="n"/>
      <c r="G31" s="552" t="n"/>
      <c r="H31" s="552" t="n"/>
      <c r="I31" s="552" t="n"/>
      <c r="J31" s="552" t="n"/>
      <c r="K31" s="552" t="n"/>
      <c r="L31" s="552" t="n"/>
      <c r="M31" s="552" t="n"/>
    </row>
    <row r="32" ht="15" customHeight="1" s="468">
      <c r="A32" s="646" t="n">
        <v>46118</v>
      </c>
      <c r="B32" s="213" t="inlineStr">
        <is>
          <t>PRODUTO</t>
        </is>
      </c>
      <c r="C32" s="214" t="inlineStr">
        <is>
          <t>EMBALAGEM</t>
        </is>
      </c>
      <c r="D32" s="244" t="inlineStr">
        <is>
          <t>CAIXAS</t>
        </is>
      </c>
      <c r="E32" s="215" t="inlineStr">
        <is>
          <t>UN</t>
        </is>
      </c>
      <c r="F32" s="687" t="inlineStr">
        <is>
          <t>CX/PALLET</t>
        </is>
      </c>
      <c r="G32" s="244" t="inlineStr">
        <is>
          <t>PALLETS (PBR)</t>
        </is>
      </c>
      <c r="H32" s="244" t="inlineStr">
        <is>
          <t>REAL (CX)</t>
        </is>
      </c>
      <c r="I32" s="244" t="inlineStr">
        <is>
          <t>TOTAL LATAS</t>
        </is>
      </c>
      <c r="J32" s="552" t="n"/>
      <c r="K32" s="552" t="n"/>
      <c r="L32" s="552" t="n"/>
      <c r="M32" s="552" t="n"/>
    </row>
    <row r="33" ht="21" customHeight="1" s="468">
      <c r="A33" s="685" t="n"/>
      <c r="B33" s="218" t="inlineStr">
        <is>
          <t>ESPUMA GENGIBRE DILUTE</t>
        </is>
      </c>
      <c r="C33" s="219" t="n">
        <v>200</v>
      </c>
      <c r="D33" s="220" t="n">
        <v>210</v>
      </c>
      <c r="E33" s="221" t="inlineStr">
        <is>
          <t>CX</t>
        </is>
      </c>
      <c r="F33" s="686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/>
      </c>
      <c r="G33" s="220">
        <f>IFERROR(ROUNDUP(D33/F33,0),"")</f>
        <v/>
      </c>
      <c r="H33" s="224" t="n">
        <v>210</v>
      </c>
      <c r="I33" s="220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/>
      </c>
      <c r="J33" s="552" t="n"/>
      <c r="K33" s="552" t="n"/>
      <c r="L33" s="552" t="n"/>
      <c r="M33" s="552" t="n"/>
    </row>
    <row r="34" ht="21" customHeight="1" s="468">
      <c r="A34" s="685" t="n"/>
      <c r="B34" s="218" t="inlineStr">
        <is>
          <t>ESPUMA GENGIBRE GIN SABORES</t>
        </is>
      </c>
      <c r="C34" s="219" t="n">
        <v>200</v>
      </c>
      <c r="D34" s="220" t="n">
        <v>330</v>
      </c>
      <c r="E34" s="221" t="inlineStr">
        <is>
          <t>CX</t>
        </is>
      </c>
      <c r="F34" s="686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/>
      </c>
      <c r="G34" s="220">
        <f>IFERROR(ROUNDUP(D34/F34,0),"")</f>
        <v/>
      </c>
      <c r="H34" s="224" t="n">
        <v>279</v>
      </c>
      <c r="I34" s="220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/>
      </c>
      <c r="J34" s="552" t="n"/>
      <c r="K34" s="552" t="n"/>
      <c r="L34" s="552" t="n"/>
      <c r="M34" s="552" t="n"/>
    </row>
    <row r="35" ht="21" customHeight="1" s="468">
      <c r="A35" s="685" t="n"/>
      <c r="B35" s="218" t="inlineStr">
        <is>
          <t>ESPUMA MAÇA VERDE IN LOCO</t>
        </is>
      </c>
      <c r="C35" s="219" t="n">
        <v>200</v>
      </c>
      <c r="D35" s="220" t="n">
        <v>330</v>
      </c>
      <c r="E35" s="221" t="inlineStr">
        <is>
          <t>CX</t>
        </is>
      </c>
      <c r="F35" s="686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/>
      </c>
      <c r="G35" s="220">
        <f>IFERROR(ROUNDUP(D35/F35,0),"")</f>
        <v/>
      </c>
      <c r="H35" s="224" t="n">
        <v>314</v>
      </c>
      <c r="I35" s="220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/>
      </c>
      <c r="J35" s="552" t="n"/>
      <c r="K35" s="552" t="n"/>
      <c r="L35" s="552" t="n"/>
      <c r="M35" s="552" t="n"/>
    </row>
    <row r="36" ht="21" customHeight="1" s="468">
      <c r="A36" s="685" t="n"/>
      <c r="B36" s="218" t="inlineStr">
        <is>
          <t>ESPUMA LIMÃO GIN SABORES</t>
        </is>
      </c>
      <c r="C36" s="219" t="n">
        <v>200</v>
      </c>
      <c r="D36" s="220" t="n">
        <v>330</v>
      </c>
      <c r="E36" s="221" t="inlineStr">
        <is>
          <t>CX</t>
        </is>
      </c>
      <c r="F36" s="68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20">
        <f>IFERROR(ROUNDUP(D36/F36,0),"")</f>
        <v/>
      </c>
      <c r="H36" s="224" t="n">
        <v>329</v>
      </c>
      <c r="I36" s="220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552" t="n"/>
      <c r="K36" s="552" t="n"/>
      <c r="L36" s="552" t="n"/>
      <c r="M36" s="552" t="n"/>
    </row>
    <row r="37" ht="21" customHeight="1" s="468">
      <c r="A37" s="685" t="n"/>
      <c r="B37" s="218" t="inlineStr">
        <is>
          <t>ESPUMA LIMÃO SICILIANO IN LOCO</t>
        </is>
      </c>
      <c r="C37" s="219" t="n">
        <v>200</v>
      </c>
      <c r="D37" s="220" t="n">
        <v>330</v>
      </c>
      <c r="E37" s="221" t="inlineStr">
        <is>
          <t>CX</t>
        </is>
      </c>
      <c r="F37" s="686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20">
        <f>IFERROR(ROUNDUP(D37/F37,0),"")</f>
        <v/>
      </c>
      <c r="H37" s="224" t="n">
        <v>321</v>
      </c>
      <c r="I37" s="220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552" t="n"/>
      <c r="K37" s="552" t="n"/>
      <c r="L37" s="552" t="n"/>
      <c r="M37" s="552" t="n"/>
    </row>
    <row r="38" ht="21" customHeight="1" s="468">
      <c r="A38" s="685" t="n"/>
      <c r="B38" s="218" t="inlineStr">
        <is>
          <t>ESPUMA  BANANA GIN SABORES</t>
        </is>
      </c>
      <c r="C38" s="219" t="n">
        <v>200</v>
      </c>
      <c r="D38" s="220" t="n">
        <v>330</v>
      </c>
      <c r="E38" s="221" t="inlineStr">
        <is>
          <t>CX</t>
        </is>
      </c>
      <c r="F38" s="686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20">
        <f>IFERROR(ROUNDUP(D38/F38,0),"")</f>
        <v/>
      </c>
      <c r="H38" s="224" t="n">
        <v>318</v>
      </c>
      <c r="I38" s="220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552" t="n"/>
      <c r="K38" s="552" t="n"/>
      <c r="L38" s="552" t="n"/>
      <c r="M38" s="552" t="n"/>
    </row>
    <row r="39" ht="21" customHeight="1" s="468">
      <c r="A39" s="685" t="n"/>
      <c r="B39" s="218" t="inlineStr">
        <is>
          <t>ESPUMA TANGERINA IN LOCO</t>
        </is>
      </c>
      <c r="C39" s="219" t="n">
        <v>200</v>
      </c>
      <c r="D39" s="220" t="n">
        <v>330</v>
      </c>
      <c r="E39" s="221" t="inlineStr">
        <is>
          <t>CX</t>
        </is>
      </c>
      <c r="F39" s="686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20">
        <f>IFERROR(ROUNDUP(D39/F39,0),"")</f>
        <v/>
      </c>
      <c r="H39" s="224" t="n">
        <v>296</v>
      </c>
      <c r="I39" s="220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52" t="n"/>
      <c r="K39" s="552" t="n"/>
      <c r="L39" s="552" t="n"/>
      <c r="M39" s="552" t="n"/>
    </row>
    <row r="40" ht="21" customHeight="1" s="468">
      <c r="A40" s="685" t="n"/>
      <c r="B40" s="218" t="inlineStr">
        <is>
          <t>ESPUMA MORANGO IN LOCO</t>
        </is>
      </c>
      <c r="C40" s="219" t="n">
        <v>200</v>
      </c>
      <c r="D40" s="220" t="n">
        <v>330</v>
      </c>
      <c r="E40" s="221" t="inlineStr">
        <is>
          <t>CX</t>
        </is>
      </c>
      <c r="F40" s="68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20">
        <f>IFERROR(ROUNDUP(D40/F40,0),"")</f>
        <v/>
      </c>
      <c r="H40" s="224" t="n">
        <v>63</v>
      </c>
      <c r="I40" s="220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552" t="n"/>
      <c r="K40" s="552" t="n"/>
      <c r="L40" s="552" t="n"/>
      <c r="M40" s="552" t="n"/>
    </row>
    <row r="41" ht="21" customHeight="1" s="468">
      <c r="A41" s="685" t="n"/>
      <c r="B41" s="218" t="n"/>
      <c r="C41" s="219" t="n"/>
      <c r="D41" s="220" t="n"/>
      <c r="E41" s="221" t="inlineStr">
        <is>
          <t>CX</t>
        </is>
      </c>
      <c r="F41" s="686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220">
        <f>IFERROR(ROUNDUP(D41/F41,0),"")</f>
        <v/>
      </c>
      <c r="H41" s="224" t="n"/>
      <c r="I41" s="220" t="n"/>
      <c r="J41" s="552" t="n"/>
      <c r="K41" s="552" t="n"/>
      <c r="L41" s="552" t="n"/>
      <c r="M41" s="552" t="n"/>
    </row>
    <row r="42" ht="15" customHeight="1" s="468">
      <c r="A42" s="658" t="n"/>
      <c r="B42" s="640" t="inlineStr">
        <is>
          <t>TOTAL</t>
        </is>
      </c>
      <c r="C42" s="667" t="n"/>
      <c r="D42" s="642">
        <f>SUM(D33:D41)</f>
        <v/>
      </c>
      <c r="E42" s="668" t="n"/>
      <c r="F42" s="644" t="n"/>
      <c r="G42" s="642">
        <f>SUM(G33:G41)</f>
        <v/>
      </c>
      <c r="H42" s="642">
        <f>SUM(H33:H41)</f>
        <v/>
      </c>
      <c r="I42" s="642">
        <f>SUM(I33:I41)</f>
        <v/>
      </c>
      <c r="J42" s="644">
        <f>D42</f>
        <v/>
      </c>
      <c r="K42" s="644">
        <f>G42</f>
        <v/>
      </c>
      <c r="L42" s="644">
        <f>H42</f>
        <v/>
      </c>
      <c r="M42" s="644">
        <f>I42</f>
        <v/>
      </c>
    </row>
    <row r="43" ht="6" customHeight="1" s="468">
      <c r="A43" s="638" t="n"/>
      <c r="C43" s="71" t="n"/>
      <c r="D43" s="552" t="n"/>
      <c r="F43" s="552" t="n"/>
      <c r="G43" s="552" t="n"/>
      <c r="H43" s="552" t="n"/>
      <c r="I43" s="552" t="n"/>
      <c r="J43" s="552" t="n"/>
      <c r="K43" s="552" t="n"/>
      <c r="L43" s="552" t="n"/>
      <c r="M43" s="552" t="n"/>
    </row>
    <row r="44" ht="15" customHeight="1" s="468">
      <c r="A44" s="646" t="n">
        <v>46119</v>
      </c>
      <c r="B44" s="213" t="inlineStr">
        <is>
          <t>PRODUTO</t>
        </is>
      </c>
      <c r="C44" s="214" t="inlineStr">
        <is>
          <t>EMBALAGEM</t>
        </is>
      </c>
      <c r="D44" s="244" t="inlineStr">
        <is>
          <t>CAIXAS</t>
        </is>
      </c>
      <c r="E44" s="215" t="inlineStr">
        <is>
          <t>UN</t>
        </is>
      </c>
      <c r="F44" s="687" t="inlineStr">
        <is>
          <t>CX/PALLET</t>
        </is>
      </c>
      <c r="G44" s="244" t="inlineStr">
        <is>
          <t>PALLETS (PBR)</t>
        </is>
      </c>
      <c r="H44" s="244" t="inlineStr">
        <is>
          <t>REAL (CX)</t>
        </is>
      </c>
      <c r="I44" s="244" t="inlineStr">
        <is>
          <t>TOTAL LATAS</t>
        </is>
      </c>
      <c r="J44" s="552" t="n"/>
      <c r="K44" s="552" t="n"/>
      <c r="L44" s="552" t="n"/>
      <c r="M44" s="552" t="n"/>
    </row>
    <row r="45" ht="21" customHeight="1" s="468">
      <c r="A45" s="685" t="n"/>
      <c r="B45" s="218" t="inlineStr">
        <is>
          <t>ESPUMA MORANGO IN LOCO</t>
        </is>
      </c>
      <c r="C45" s="219" t="n">
        <v>200</v>
      </c>
      <c r="D45" s="220" t="n">
        <v>267</v>
      </c>
      <c r="E45" s="221" t="inlineStr">
        <is>
          <t>CX</t>
        </is>
      </c>
      <c r="F45" s="68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20">
        <f>IFERROR(ROUNDUP(D45/F45,0),"")</f>
        <v/>
      </c>
      <c r="H45" s="224" t="n">
        <v>267</v>
      </c>
      <c r="I45" s="220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552" t="n"/>
      <c r="K45" s="552" t="n"/>
      <c r="L45" s="552" t="n"/>
      <c r="M45" s="552" t="n"/>
    </row>
    <row r="46" ht="21" customHeight="1" s="468">
      <c r="A46" s="685" t="n"/>
      <c r="B46" s="218" t="inlineStr">
        <is>
          <t>ESPUMA MORANGO GIN SABORES</t>
        </is>
      </c>
      <c r="C46" s="219" t="n">
        <v>200</v>
      </c>
      <c r="D46" s="220" t="n">
        <v>330</v>
      </c>
      <c r="E46" s="221" t="inlineStr">
        <is>
          <t>CX</t>
        </is>
      </c>
      <c r="F46" s="686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20">
        <f>IFERROR(ROUNDUP(D46/F46,0),"")</f>
        <v/>
      </c>
      <c r="H46" s="224" t="n">
        <v>315</v>
      </c>
      <c r="I46" s="220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552" t="n"/>
      <c r="K46" s="552" t="n"/>
      <c r="L46" s="552" t="n"/>
      <c r="M46" s="552" t="n"/>
    </row>
    <row r="47" ht="21" customHeight="1" s="468">
      <c r="A47" s="685" t="n"/>
      <c r="B47" s="218" t="inlineStr">
        <is>
          <t>ESPUMA FRUTAS VERMELHAS GIN SABORES</t>
        </is>
      </c>
      <c r="C47" s="219" t="n">
        <v>200</v>
      </c>
      <c r="D47" s="220" t="n">
        <v>330</v>
      </c>
      <c r="E47" s="221" t="inlineStr">
        <is>
          <t>CX</t>
        </is>
      </c>
      <c r="F47" s="686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20">
        <f>IFERROR(ROUNDUP(D47/F47,0),"")</f>
        <v/>
      </c>
      <c r="H47" s="224" t="n">
        <v>329</v>
      </c>
      <c r="I47" s="220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52" t="n"/>
      <c r="K47" s="552" t="n"/>
      <c r="L47" s="552" t="n"/>
      <c r="M47" s="552" t="n"/>
    </row>
    <row r="48" ht="21" customHeight="1" s="468">
      <c r="A48" s="685" t="n"/>
      <c r="B48" s="218" t="inlineStr">
        <is>
          <t>ESPUMA FRUTAS VERMELHAS IN LOCO</t>
        </is>
      </c>
      <c r="C48" s="219" t="n">
        <v>200</v>
      </c>
      <c r="D48" s="220" t="n">
        <v>330</v>
      </c>
      <c r="E48" s="221" t="inlineStr">
        <is>
          <t>CX</t>
        </is>
      </c>
      <c r="F48" s="686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20">
        <f>IFERROR(ROUNDUP(D48/F48,0),"")</f>
        <v/>
      </c>
      <c r="H48" s="224" t="n">
        <v>330</v>
      </c>
      <c r="I48" s="220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552" t="n"/>
      <c r="K48" s="552" t="n"/>
      <c r="L48" s="552" t="n"/>
      <c r="M48" s="552" t="n"/>
    </row>
    <row r="49" ht="21" customHeight="1" s="468">
      <c r="A49" s="685" t="n"/>
      <c r="B49" s="218" t="inlineStr">
        <is>
          <t>ANTIMOFO IN LOCO</t>
        </is>
      </c>
      <c r="C49" s="219" t="n">
        <v>600</v>
      </c>
      <c r="D49" s="220" t="n">
        <v>106</v>
      </c>
      <c r="E49" s="221" t="inlineStr">
        <is>
          <t>CX</t>
        </is>
      </c>
      <c r="F49" s="686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/>
      </c>
      <c r="G49" s="220">
        <f>IFERROR(ROUNDUP(D49/F49,0),"")</f>
        <v/>
      </c>
      <c r="H49" s="224" t="n">
        <v>106</v>
      </c>
      <c r="I49" s="220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/>
      </c>
      <c r="J49" s="552" t="n"/>
      <c r="K49" s="552" t="n"/>
      <c r="L49" s="552" t="n"/>
      <c r="M49" s="552" t="n"/>
    </row>
    <row r="50" ht="21" customHeight="1" s="468">
      <c r="A50" s="635" t="n"/>
      <c r="B50" s="218" t="inlineStr">
        <is>
          <t>UNTA FACIL IN LOCO</t>
        </is>
      </c>
      <c r="C50" s="219" t="n">
        <v>400</v>
      </c>
      <c r="D50" s="220" t="n">
        <v>2625</v>
      </c>
      <c r="E50" s="221" t="inlineStr">
        <is>
          <t>CX</t>
        </is>
      </c>
      <c r="F50" s="686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/>
      </c>
      <c r="G50" s="220">
        <f>IFERROR(ROUNDUP(D50/F50,0),"")</f>
        <v/>
      </c>
      <c r="H50" s="224" t="n">
        <v>194</v>
      </c>
      <c r="I50" s="220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/>
      </c>
      <c r="J50" s="552" t="n"/>
      <c r="K50" s="552" t="n"/>
      <c r="L50" s="552" t="n"/>
      <c r="M50" s="552" t="n"/>
    </row>
    <row r="51" ht="21" customHeight="1" s="468">
      <c r="A51" s="635" t="n"/>
      <c r="B51" s="218" t="n"/>
      <c r="C51" s="219" t="n"/>
      <c r="D51" s="220" t="n"/>
      <c r="E51" s="221" t="n"/>
      <c r="F51" s="686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220">
        <f>IFERROR(ROUNDUP(D51/F51,0),"")</f>
        <v/>
      </c>
      <c r="H51" s="224" t="n"/>
      <c r="I51" s="220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552" t="n"/>
      <c r="K51" s="552" t="n"/>
      <c r="L51" s="552" t="n"/>
      <c r="M51" s="552" t="n"/>
    </row>
    <row r="52" ht="15" customHeight="1" s="468">
      <c r="A52" s="658" t="n"/>
      <c r="B52" s="640" t="inlineStr">
        <is>
          <t>TOTAL</t>
        </is>
      </c>
      <c r="C52" s="667" t="n"/>
      <c r="D52" s="642">
        <f>SUM(D45:D51)</f>
        <v/>
      </c>
      <c r="E52" s="668" t="n"/>
      <c r="F52" s="644" t="n"/>
      <c r="G52" s="642">
        <f>SUM(G45:G51)</f>
        <v/>
      </c>
      <c r="H52" s="642">
        <f>SUM(H45:H51)</f>
        <v/>
      </c>
      <c r="I52" s="642">
        <f>SUM(I45:I51)</f>
        <v/>
      </c>
      <c r="J52" s="644">
        <f>D52</f>
        <v/>
      </c>
      <c r="K52" s="644">
        <f>G52</f>
        <v/>
      </c>
      <c r="L52" s="644">
        <f>H52</f>
        <v/>
      </c>
      <c r="M52" s="644">
        <f>I52</f>
        <v/>
      </c>
    </row>
    <row r="53" ht="6" customHeight="1" s="468">
      <c r="A53" s="638" t="n"/>
      <c r="C53" s="71" t="n"/>
      <c r="D53" s="552" t="n"/>
      <c r="F53" s="552" t="n"/>
      <c r="G53" s="552" t="n"/>
      <c r="H53" s="552" t="n"/>
      <c r="I53" s="552" t="n"/>
      <c r="J53" s="552" t="n"/>
      <c r="K53" s="552" t="n"/>
      <c r="L53" s="552" t="n"/>
      <c r="M53" s="552" t="n"/>
    </row>
    <row r="54" ht="15" customHeight="1" s="468">
      <c r="A54" s="646" t="n">
        <v>46120</v>
      </c>
      <c r="B54" s="213" t="inlineStr">
        <is>
          <t>PRODUTO</t>
        </is>
      </c>
      <c r="C54" s="214" t="inlineStr">
        <is>
          <t>EMBALAGEM</t>
        </is>
      </c>
      <c r="D54" s="244" t="inlineStr">
        <is>
          <t>CAIXAS</t>
        </is>
      </c>
      <c r="E54" s="215" t="inlineStr">
        <is>
          <t>UN</t>
        </is>
      </c>
      <c r="F54" s="687" t="inlineStr">
        <is>
          <t>CX/PALLET</t>
        </is>
      </c>
      <c r="G54" s="244" t="inlineStr">
        <is>
          <t>PALLETS (PBR)</t>
        </is>
      </c>
      <c r="H54" s="244" t="inlineStr">
        <is>
          <t>REAL (CX)</t>
        </is>
      </c>
      <c r="I54" s="244" t="inlineStr">
        <is>
          <t>TOTAL LATAS</t>
        </is>
      </c>
      <c r="J54" s="552" t="n"/>
      <c r="K54" s="552" t="n"/>
      <c r="L54" s="552" t="n"/>
      <c r="M54" s="552" t="n"/>
    </row>
    <row r="55" ht="21" customHeight="1" s="468">
      <c r="A55" s="685" t="n"/>
      <c r="B55" s="218" t="inlineStr">
        <is>
          <t>UNTA FACIL IN LOCO</t>
        </is>
      </c>
      <c r="C55" s="219" t="n">
        <v>400</v>
      </c>
      <c r="D55" s="220">
        <f>D50-H50</f>
        <v/>
      </c>
      <c r="E55" s="221" t="inlineStr">
        <is>
          <t>CX</t>
        </is>
      </c>
      <c r="F55" s="68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20">
        <f>IFERROR(ROUNDUP(D55/F55,0),"")</f>
        <v/>
      </c>
      <c r="H55" s="224" t="n">
        <v>1503</v>
      </c>
      <c r="I55" s="220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552" t="n"/>
      <c r="K55" s="552" t="n"/>
      <c r="L55" s="552" t="n"/>
      <c r="M55" s="552" t="n"/>
    </row>
    <row r="56" ht="21" customHeight="1" s="468">
      <c r="A56" s="685" t="n"/>
      <c r="B56" s="218" t="n"/>
      <c r="C56" s="219" t="n"/>
      <c r="D56" s="220" t="n"/>
      <c r="E56" s="221" t="inlineStr">
        <is>
          <t>CX</t>
        </is>
      </c>
      <c r="F56" s="686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20">
        <f>IFERROR(ROUNDUP(D56/F56,0),"")</f>
        <v/>
      </c>
      <c r="H56" s="224" t="n"/>
      <c r="I56" s="220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552" t="n"/>
      <c r="K56" s="552" t="n"/>
      <c r="L56" s="552" t="n"/>
      <c r="M56" s="552" t="n"/>
    </row>
    <row r="57" ht="21" customHeight="1" s="468">
      <c r="A57" s="685" t="n"/>
      <c r="B57" s="218" t="n"/>
      <c r="C57" s="219" t="n"/>
      <c r="D57" s="220" t="n"/>
      <c r="E57" s="221" t="inlineStr">
        <is>
          <t>CX</t>
        </is>
      </c>
      <c r="F57" s="686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/>
      </c>
      <c r="G57" s="220">
        <f>IFERROR(ROUNDUP(D57/F57,0),"")</f>
        <v/>
      </c>
      <c r="H57" s="224" t="n"/>
      <c r="I57" s="220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/>
      </c>
      <c r="J57" s="552" t="n"/>
      <c r="K57" s="552" t="n"/>
      <c r="L57" s="552" t="n"/>
      <c r="M57" s="552" t="n"/>
    </row>
    <row r="58" ht="21" customHeight="1" s="468">
      <c r="A58" s="685" t="n"/>
      <c r="B58" s="218" t="n"/>
      <c r="C58" s="219" t="n"/>
      <c r="D58" s="220" t="n"/>
      <c r="E58" s="221" t="inlineStr">
        <is>
          <t>CX</t>
        </is>
      </c>
      <c r="F58" s="686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220">
        <f>IFERROR(ROUNDUP(D58/F58,0),"")</f>
        <v/>
      </c>
      <c r="H58" s="224" t="n"/>
      <c r="I58" s="220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  <c r="J58" s="552" t="n"/>
      <c r="K58" s="552" t="n"/>
      <c r="L58" s="552" t="n"/>
      <c r="M58" s="552" t="n"/>
    </row>
    <row r="59" ht="21" customHeight="1" s="468">
      <c r="A59" s="685" t="n"/>
      <c r="B59" s="218" t="n"/>
      <c r="C59" s="219" t="n"/>
      <c r="D59" s="220" t="n"/>
      <c r="E59" s="221" t="inlineStr">
        <is>
          <t>CX</t>
        </is>
      </c>
      <c r="F59" s="686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220">
        <f>IFERROR(ROUNDUP(D59/F59,0),"")</f>
        <v/>
      </c>
      <c r="H59" s="224" t="n"/>
      <c r="I59" s="220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  <c r="J59" s="552" t="n"/>
      <c r="K59" s="552" t="n"/>
      <c r="L59" s="552" t="n"/>
      <c r="M59" s="552" t="n"/>
    </row>
    <row r="60" ht="15" customHeight="1" s="468">
      <c r="A60" s="658" t="n"/>
      <c r="B60" s="640" t="inlineStr">
        <is>
          <t>TOTAL</t>
        </is>
      </c>
      <c r="C60" s="667" t="n"/>
      <c r="D60" s="642">
        <f>SUM(D55:D59)</f>
        <v/>
      </c>
      <c r="E60" s="668" t="n"/>
      <c r="F60" s="644" t="n"/>
      <c r="G60" s="642">
        <f>SUM(G55:G59)</f>
        <v/>
      </c>
      <c r="H60" s="642">
        <f>SUM(H55:H59)</f>
        <v/>
      </c>
      <c r="I60" s="642">
        <f>SUM(I55:I59)</f>
        <v/>
      </c>
      <c r="J60" s="644">
        <f>D60</f>
        <v/>
      </c>
      <c r="K60" s="644">
        <f>G60</f>
        <v/>
      </c>
      <c r="L60" s="644">
        <f>H60</f>
        <v/>
      </c>
      <c r="M60" s="644">
        <f>I60</f>
        <v/>
      </c>
    </row>
    <row r="61" ht="6" customHeight="1" s="468">
      <c r="A61" s="638" t="n"/>
      <c r="C61" s="71" t="n"/>
      <c r="D61" s="552" t="n"/>
      <c r="F61" s="552" t="n"/>
      <c r="G61" s="552" t="n"/>
      <c r="H61" s="552" t="n"/>
      <c r="I61" s="552" t="n"/>
      <c r="J61" s="552" t="n"/>
      <c r="K61" s="552" t="n"/>
      <c r="L61" s="552" t="n"/>
      <c r="M61" s="552" t="n"/>
    </row>
    <row r="62" ht="15" customHeight="1" s="468">
      <c r="A62" s="646" t="n">
        <v>46121</v>
      </c>
      <c r="B62" s="213" t="inlineStr">
        <is>
          <t>PRODUTO</t>
        </is>
      </c>
      <c r="C62" s="214" t="inlineStr">
        <is>
          <t>EMBALAGEM</t>
        </is>
      </c>
      <c r="D62" s="244" t="inlineStr">
        <is>
          <t>CAIXAS</t>
        </is>
      </c>
      <c r="E62" s="215" t="inlineStr">
        <is>
          <t>UN</t>
        </is>
      </c>
      <c r="F62" s="687" t="inlineStr">
        <is>
          <t>CX/PALLET</t>
        </is>
      </c>
      <c r="G62" s="244" t="inlineStr">
        <is>
          <t>PALLETS (PBR)</t>
        </is>
      </c>
      <c r="H62" s="244" t="inlineStr">
        <is>
          <t>REAL (CX)</t>
        </is>
      </c>
      <c r="I62" s="244" t="inlineStr">
        <is>
          <t>TOTAL LATAS</t>
        </is>
      </c>
      <c r="J62" s="552" t="n"/>
      <c r="K62" s="552" t="n"/>
      <c r="L62" s="552" t="n"/>
      <c r="M62" s="552" t="n"/>
    </row>
    <row r="63" ht="21" customHeight="1" s="468">
      <c r="A63" s="685" t="n"/>
      <c r="B63" s="218" t="inlineStr">
        <is>
          <t>UNTA FACIL IN LOCO</t>
        </is>
      </c>
      <c r="C63" s="219" t="n">
        <v>400</v>
      </c>
      <c r="D63" s="220">
        <f>D55-H55</f>
        <v/>
      </c>
      <c r="E63" s="221" t="inlineStr">
        <is>
          <t>CX</t>
        </is>
      </c>
      <c r="F63" s="68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20">
        <f>IFERROR(ROUNDUP(D63/F63,0),"")</f>
        <v/>
      </c>
      <c r="H63" s="224" t="n">
        <v>1005</v>
      </c>
      <c r="I63" s="220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552" t="n"/>
      <c r="K63" s="552" t="n"/>
      <c r="L63" s="552" t="n"/>
      <c r="M63" s="552" t="n"/>
    </row>
    <row r="64" ht="21" customHeight="1" s="468">
      <c r="A64" s="685" t="n"/>
      <c r="B64" s="218" t="n"/>
      <c r="C64" s="219" t="n"/>
      <c r="D64" s="220" t="n"/>
      <c r="E64" s="221" t="inlineStr">
        <is>
          <t>CX</t>
        </is>
      </c>
      <c r="F64" s="686" t="n"/>
      <c r="G64" s="220" t="n"/>
      <c r="H64" s="224" t="n"/>
      <c r="I64" s="220" t="n"/>
      <c r="J64" s="552" t="n"/>
      <c r="K64" s="552" t="n"/>
      <c r="L64" s="552" t="n"/>
      <c r="M64" s="552" t="n"/>
    </row>
    <row r="65" ht="21" customHeight="1" s="468">
      <c r="A65" s="685" t="n"/>
      <c r="B65" s="218" t="n"/>
      <c r="C65" s="219" t="n"/>
      <c r="D65" s="220" t="n"/>
      <c r="E65" s="221" t="inlineStr">
        <is>
          <t>CX</t>
        </is>
      </c>
      <c r="F65" s="686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/>
      </c>
      <c r="G65" s="220">
        <f>IFERROR(ROUNDUP(D65/F65,0),"")</f>
        <v/>
      </c>
      <c r="H65" s="224" t="n"/>
      <c r="I65" s="220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/>
      </c>
      <c r="J65" s="552" t="n"/>
      <c r="K65" s="552" t="n"/>
      <c r="L65" s="552" t="n"/>
      <c r="M65" s="552" t="n"/>
    </row>
    <row r="66" ht="21" customHeight="1" s="468">
      <c r="A66" s="685" t="n"/>
      <c r="B66" s="218" t="n"/>
      <c r="C66" s="219" t="n"/>
      <c r="D66" s="220" t="n"/>
      <c r="E66" s="221" t="inlineStr">
        <is>
          <t>CX</t>
        </is>
      </c>
      <c r="F66" s="686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/>
      </c>
      <c r="G66" s="220">
        <f>IFERROR(ROUNDUP(D66/F66,0),"")</f>
        <v/>
      </c>
      <c r="H66" s="224" t="n"/>
      <c r="I66" s="220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/>
      </c>
      <c r="J66" s="552" t="n"/>
      <c r="K66" s="552" t="n"/>
      <c r="L66" s="552" t="n"/>
      <c r="M66" s="552" t="n"/>
    </row>
    <row r="67" ht="21" customHeight="1" s="468">
      <c r="A67" s="685" t="n"/>
      <c r="B67" s="218" t="n"/>
      <c r="C67" s="219" t="n"/>
      <c r="D67" s="220" t="n"/>
      <c r="E67" s="221" t="inlineStr">
        <is>
          <t>CX</t>
        </is>
      </c>
      <c r="F67" s="686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220">
        <f>IFERROR(ROUNDUP(D67/F67,0),"")</f>
        <v/>
      </c>
      <c r="H67" s="224" t="n"/>
      <c r="I67" s="220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  <c r="J67" s="552" t="n"/>
      <c r="K67" s="552" t="n"/>
      <c r="L67" s="552" t="n"/>
      <c r="M67" s="552" t="n"/>
    </row>
    <row r="68" ht="15" customHeight="1" s="468">
      <c r="A68" s="658" t="n"/>
      <c r="B68" s="640" t="inlineStr">
        <is>
          <t>TOTAL</t>
        </is>
      </c>
      <c r="C68" s="667" t="n"/>
      <c r="D68" s="642">
        <f>SUM(D63:D67)</f>
        <v/>
      </c>
      <c r="E68" s="668" t="n"/>
      <c r="F68" s="644" t="n"/>
      <c r="G68" s="642">
        <f>SUM(G63:G67)</f>
        <v/>
      </c>
      <c r="H68" s="642">
        <f>SUM(H63:H67)</f>
        <v/>
      </c>
      <c r="I68" s="642">
        <f>SUM(I63:I67)</f>
        <v/>
      </c>
      <c r="J68" s="644">
        <f>D68</f>
        <v/>
      </c>
      <c r="K68" s="644">
        <f>G68</f>
        <v/>
      </c>
      <c r="L68" s="644">
        <f>H68</f>
        <v/>
      </c>
      <c r="M68" s="644">
        <f>I68</f>
        <v/>
      </c>
    </row>
    <row r="69" ht="6" customHeight="1" s="468">
      <c r="A69" s="638" t="n"/>
      <c r="C69" s="71" t="n"/>
      <c r="D69" s="552" t="n"/>
      <c r="F69" s="552" t="n"/>
      <c r="G69" s="552" t="n"/>
      <c r="H69" s="552" t="n"/>
      <c r="I69" s="552" t="n"/>
      <c r="J69" s="552" t="n"/>
      <c r="K69" s="552" t="n"/>
      <c r="L69" s="552" t="n"/>
      <c r="M69" s="552" t="n"/>
    </row>
    <row r="70" ht="15" customHeight="1" s="468">
      <c r="A70" s="646" t="n">
        <v>46122</v>
      </c>
      <c r="B70" s="213" t="inlineStr">
        <is>
          <t>PRODUTO</t>
        </is>
      </c>
      <c r="C70" s="214" t="inlineStr">
        <is>
          <t>EMBALAGEM</t>
        </is>
      </c>
      <c r="D70" s="244" t="inlineStr">
        <is>
          <t>CAIXAS</t>
        </is>
      </c>
      <c r="E70" s="215" t="inlineStr">
        <is>
          <t>UN</t>
        </is>
      </c>
      <c r="F70" s="687" t="inlineStr">
        <is>
          <t>CX/PALLET</t>
        </is>
      </c>
      <c r="G70" s="244" t="inlineStr">
        <is>
          <t>PALLETS (PBR)</t>
        </is>
      </c>
      <c r="H70" s="244" t="inlineStr">
        <is>
          <t>REAL (CX)</t>
        </is>
      </c>
      <c r="I70" s="244" t="inlineStr">
        <is>
          <t>TOTAL LATAS</t>
        </is>
      </c>
      <c r="J70" s="552" t="n"/>
      <c r="K70" s="552" t="n"/>
      <c r="L70" s="552" t="n"/>
      <c r="M70" s="552" t="n"/>
    </row>
    <row r="71" ht="21" customHeight="1" s="468">
      <c r="A71" s="685" t="n"/>
      <c r="B71" s="218" t="inlineStr">
        <is>
          <t>DESMOLDANTE CHEF ICEBERG</t>
        </is>
      </c>
      <c r="C71" s="219" t="n">
        <v>400</v>
      </c>
      <c r="D71" s="220" t="n">
        <v>2310</v>
      </c>
      <c r="E71" s="221" t="inlineStr">
        <is>
          <t>CX</t>
        </is>
      </c>
      <c r="F71" s="686" t="n">
        <v>110</v>
      </c>
      <c r="G71" s="220">
        <f>IFERROR(ROUNDUP(D71/F71,0),"")</f>
        <v/>
      </c>
      <c r="H71" s="224" t="n">
        <v>560</v>
      </c>
      <c r="I71" s="220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552" t="n"/>
      <c r="K71" s="552" t="n"/>
      <c r="L71" s="552" t="n"/>
      <c r="M71" s="552" t="n"/>
    </row>
    <row r="72" ht="21" customHeight="1" s="468">
      <c r="A72" s="685" t="n"/>
      <c r="B72" s="218" t="n"/>
      <c r="C72" s="219" t="n"/>
      <c r="D72" s="220" t="n"/>
      <c r="E72" s="221" t="inlineStr">
        <is>
          <t>CX</t>
        </is>
      </c>
      <c r="F72" s="686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20">
        <f>IFERROR(ROUNDUP(D72/F72,0),"")</f>
        <v/>
      </c>
      <c r="H72" s="224" t="n"/>
      <c r="I72" s="220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552" t="n"/>
      <c r="K72" s="552" t="n"/>
      <c r="L72" s="552" t="n"/>
      <c r="M72" s="552" t="n"/>
    </row>
    <row r="73" ht="21" customHeight="1" s="468">
      <c r="A73" s="685" t="n"/>
      <c r="B73" s="218" t="n"/>
      <c r="C73" s="219" t="n"/>
      <c r="D73" s="220" t="n"/>
      <c r="E73" s="221" t="inlineStr">
        <is>
          <t>CX</t>
        </is>
      </c>
      <c r="F73" s="686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/>
      </c>
      <c r="G73" s="220">
        <f>IFERROR(ROUNDUP(D73/F73,0),"")</f>
        <v/>
      </c>
      <c r="H73" s="224" t="n"/>
      <c r="I73" s="220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/>
      </c>
      <c r="J73" s="552" t="n"/>
      <c r="K73" s="552" t="n"/>
      <c r="L73" s="552" t="n"/>
      <c r="M73" s="552" t="n"/>
    </row>
    <row r="74" ht="21" customHeight="1" s="468">
      <c r="A74" s="685" t="n"/>
      <c r="B74" s="218" t="n"/>
      <c r="C74" s="219" t="n"/>
      <c r="D74" s="220" t="n"/>
      <c r="E74" s="221" t="inlineStr">
        <is>
          <t>CX</t>
        </is>
      </c>
      <c r="F74" s="686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220">
        <f>IFERROR(ROUNDUP(D74/F74,0),"")</f>
        <v/>
      </c>
      <c r="H74" s="224" t="n"/>
      <c r="I74" s="220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  <c r="J74" s="552" t="n"/>
      <c r="K74" s="552" t="n"/>
      <c r="L74" s="552" t="n"/>
      <c r="M74" s="552" t="n"/>
    </row>
    <row r="75" ht="21" customHeight="1" s="468">
      <c r="A75" s="685" t="n"/>
      <c r="B75" s="218" t="n"/>
      <c r="C75" s="219" t="n"/>
      <c r="D75" s="220" t="n"/>
      <c r="E75" s="221" t="inlineStr">
        <is>
          <t>CX</t>
        </is>
      </c>
      <c r="F75" s="686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220">
        <f>IFERROR(ROUNDUP(D75/F75,0),"")</f>
        <v/>
      </c>
      <c r="H75" s="224" t="n"/>
      <c r="I75" s="220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  <c r="J75" s="552" t="n"/>
      <c r="K75" s="552" t="n"/>
      <c r="L75" s="552" t="n"/>
      <c r="M75" s="552" t="n"/>
    </row>
    <row r="76" ht="15" customHeight="1" s="468">
      <c r="A76" s="658" t="n"/>
      <c r="B76" s="640" t="inlineStr">
        <is>
          <t>TOTAL</t>
        </is>
      </c>
      <c r="C76" s="667" t="n"/>
      <c r="D76" s="642">
        <f>SUM(D71:D75)</f>
        <v/>
      </c>
      <c r="E76" s="668" t="n"/>
      <c r="F76" s="644" t="n"/>
      <c r="G76" s="642">
        <f>SUM(G71:G75)</f>
        <v/>
      </c>
      <c r="H76" s="642">
        <f>SUM(H71:H75)</f>
        <v/>
      </c>
      <c r="I76" s="642">
        <f>SUM(I71:I75)</f>
        <v/>
      </c>
      <c r="J76" s="644">
        <f>D76</f>
        <v/>
      </c>
      <c r="K76" s="644">
        <f>G76</f>
        <v/>
      </c>
      <c r="L76" s="644">
        <f>H76</f>
        <v/>
      </c>
      <c r="M76" s="644">
        <f>I76</f>
        <v/>
      </c>
    </row>
    <row r="77" ht="6" customHeight="1" s="468">
      <c r="A77" s="638" t="n"/>
      <c r="C77" s="71" t="n"/>
      <c r="D77" s="552" t="n"/>
      <c r="F77" s="552" t="n"/>
      <c r="G77" s="552" t="n"/>
      <c r="H77" s="552" t="n"/>
      <c r="I77" s="552" t="n"/>
      <c r="J77" s="552" t="n"/>
      <c r="K77" s="552" t="n"/>
      <c r="L77" s="552" t="n"/>
      <c r="M77" s="552" t="n"/>
    </row>
    <row r="78" ht="15" customHeight="1" s="468">
      <c r="A78" s="646" t="n">
        <v>46125</v>
      </c>
      <c r="B78" s="213" t="inlineStr">
        <is>
          <t>PRODUTO</t>
        </is>
      </c>
      <c r="C78" s="214" t="inlineStr">
        <is>
          <t>EMBALAGEM</t>
        </is>
      </c>
      <c r="D78" s="244" t="inlineStr">
        <is>
          <t>CAIXAS</t>
        </is>
      </c>
      <c r="E78" s="215" t="inlineStr">
        <is>
          <t>UN</t>
        </is>
      </c>
      <c r="F78" s="687" t="inlineStr">
        <is>
          <t>CX/PALLET</t>
        </is>
      </c>
      <c r="G78" s="244" t="inlineStr">
        <is>
          <t>PALLETS (PBR)</t>
        </is>
      </c>
      <c r="H78" s="244" t="inlineStr">
        <is>
          <t>REAL (CX)</t>
        </is>
      </c>
      <c r="I78" s="244" t="inlineStr">
        <is>
          <t>TOTAL LATAS</t>
        </is>
      </c>
      <c r="J78" s="552" t="n"/>
      <c r="K78" s="552" t="n"/>
      <c r="L78" s="552" t="n"/>
      <c r="M78" s="552" t="n"/>
    </row>
    <row r="79" ht="21" customHeight="1" s="468">
      <c r="A79" s="685" t="n"/>
      <c r="B79" s="218" t="inlineStr">
        <is>
          <t>DESMOLDANTE CHEF ICEBERG</t>
        </is>
      </c>
      <c r="C79" s="219" t="n">
        <v>400</v>
      </c>
      <c r="D79" s="220">
        <f>D71-H71</f>
        <v/>
      </c>
      <c r="E79" s="221" t="inlineStr">
        <is>
          <t>CX</t>
        </is>
      </c>
      <c r="F79" s="686" t="n">
        <v>110</v>
      </c>
      <c r="G79" s="220">
        <f>IFERROR(ROUNDUP(D79/F79,0),"")</f>
        <v/>
      </c>
      <c r="H79" s="224" t="n">
        <v>993</v>
      </c>
      <c r="I79" s="220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552" t="n"/>
      <c r="K79" s="552" t="n"/>
      <c r="L79" s="552" t="n"/>
      <c r="M79" s="552" t="n"/>
    </row>
    <row r="80" ht="21" customHeight="1" s="468">
      <c r="A80" s="685" t="n"/>
      <c r="B80" s="218" t="n"/>
      <c r="C80" s="219" t="n"/>
      <c r="D80" s="220" t="n"/>
      <c r="E80" s="221" t="inlineStr">
        <is>
          <t>CX</t>
        </is>
      </c>
      <c r="F80" s="686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20">
        <f>IFERROR(ROUNDUP(D80/F80,0),"")</f>
        <v/>
      </c>
      <c r="H80" s="224" t="n"/>
      <c r="I80" s="220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552" t="n"/>
      <c r="K80" s="552" t="n"/>
      <c r="L80" s="552" t="n"/>
      <c r="M80" s="552" t="n"/>
    </row>
    <row r="81" ht="21" customHeight="1" s="468">
      <c r="A81" s="685" t="n"/>
      <c r="B81" s="218" t="n"/>
      <c r="C81" s="219" t="n"/>
      <c r="D81" s="220" t="n"/>
      <c r="E81" s="221" t="inlineStr">
        <is>
          <t>CX</t>
        </is>
      </c>
      <c r="F81" s="686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220">
        <f>IFERROR(ROUNDUP(D81/F81,0),"")</f>
        <v/>
      </c>
      <c r="H81" s="224" t="n"/>
      <c r="I81" s="220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  <c r="J81" s="552" t="n"/>
      <c r="K81" s="552" t="n"/>
      <c r="L81" s="552" t="n"/>
      <c r="M81" s="552" t="n"/>
    </row>
    <row r="82" ht="21" customHeight="1" s="468">
      <c r="A82" s="685" t="n"/>
      <c r="B82" s="218" t="n"/>
      <c r="C82" s="219" t="n"/>
      <c r="D82" s="220" t="n"/>
      <c r="E82" s="221" t="inlineStr">
        <is>
          <t>CX</t>
        </is>
      </c>
      <c r="F82" s="686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220">
        <f>IFERROR(ROUNDUP(D82/F82,0),"")</f>
        <v/>
      </c>
      <c r="H82" s="224" t="n"/>
      <c r="I82" s="220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  <c r="J82" s="552" t="n"/>
      <c r="K82" s="552" t="n"/>
      <c r="L82" s="552" t="n"/>
      <c r="M82" s="552" t="n"/>
    </row>
    <row r="83" ht="21" customHeight="1" s="468">
      <c r="A83" s="685" t="n"/>
      <c r="B83" s="218" t="n"/>
      <c r="C83" s="219" t="n"/>
      <c r="D83" s="220" t="n"/>
      <c r="E83" s="221" t="inlineStr">
        <is>
          <t>CX</t>
        </is>
      </c>
      <c r="F83" s="686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/>
      </c>
      <c r="G83" s="220">
        <f>IFERROR(ROUNDUP(D83/F83,0),"")</f>
        <v/>
      </c>
      <c r="H83" s="224" t="n"/>
      <c r="I83" s="220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/>
      </c>
      <c r="J83" s="552" t="n"/>
      <c r="K83" s="552" t="n"/>
      <c r="L83" s="552" t="n"/>
      <c r="M83" s="552" t="n"/>
    </row>
    <row r="84" ht="15" customHeight="1" s="468">
      <c r="A84" s="658" t="n"/>
      <c r="B84" s="640" t="inlineStr">
        <is>
          <t>TOTAL</t>
        </is>
      </c>
      <c r="C84" s="667" t="n"/>
      <c r="D84" s="642">
        <f>SUM(D79:D83)</f>
        <v/>
      </c>
      <c r="E84" s="668" t="n"/>
      <c r="F84" s="644" t="n"/>
      <c r="G84" s="642">
        <f>SUM(G79:G83)</f>
        <v/>
      </c>
      <c r="H84" s="642">
        <f>SUM(H79:H83)</f>
        <v/>
      </c>
      <c r="I84" s="642">
        <f>SUM(I79:I83)</f>
        <v/>
      </c>
      <c r="J84" s="644">
        <f>D84</f>
        <v/>
      </c>
      <c r="K84" s="644">
        <f>G84</f>
        <v/>
      </c>
      <c r="L84" s="644">
        <f>H84</f>
        <v/>
      </c>
      <c r="M84" s="644">
        <f>I84</f>
        <v/>
      </c>
    </row>
    <row r="85" ht="6" customHeight="1" s="468">
      <c r="A85" s="638" t="n"/>
      <c r="C85" s="71" t="n"/>
      <c r="D85" s="552" t="n"/>
      <c r="F85" s="552" t="n"/>
      <c r="G85" s="552" t="n"/>
      <c r="H85" s="552" t="n"/>
      <c r="I85" s="552" t="n"/>
      <c r="J85" s="552" t="n"/>
      <c r="K85" s="552" t="n"/>
      <c r="L85" s="552" t="n"/>
      <c r="M85" s="552" t="n"/>
    </row>
    <row r="86" ht="15" customHeight="1" s="468">
      <c r="A86" s="646" t="n">
        <v>46126</v>
      </c>
      <c r="B86" s="213" t="inlineStr">
        <is>
          <t>PRODUTO</t>
        </is>
      </c>
      <c r="C86" s="214" t="inlineStr">
        <is>
          <t>EMBALAGEM</t>
        </is>
      </c>
      <c r="D86" s="244" t="inlineStr">
        <is>
          <t>CAIXAS</t>
        </is>
      </c>
      <c r="E86" s="215" t="inlineStr">
        <is>
          <t>UN</t>
        </is>
      </c>
      <c r="F86" s="687" t="inlineStr">
        <is>
          <t>CX/PALLET</t>
        </is>
      </c>
      <c r="G86" s="244" t="inlineStr">
        <is>
          <t>PALLETS (PBR)</t>
        </is>
      </c>
      <c r="H86" s="244" t="inlineStr">
        <is>
          <t>REAL (CX)</t>
        </is>
      </c>
      <c r="I86" s="244" t="inlineStr">
        <is>
          <t>TOTAL LATAS</t>
        </is>
      </c>
      <c r="J86" s="552" t="n"/>
      <c r="K86" s="552" t="n"/>
      <c r="L86" s="552" t="n"/>
      <c r="M86" s="552" t="n"/>
    </row>
    <row r="87" ht="21" customHeight="1" s="468">
      <c r="A87" s="685" t="n"/>
      <c r="B87" s="218" t="inlineStr">
        <is>
          <t>DESMOLDANTE CHEF ICEBERG</t>
        </is>
      </c>
      <c r="C87" s="219" t="n">
        <v>400</v>
      </c>
      <c r="D87" s="220" t="n">
        <v>757</v>
      </c>
      <c r="E87" s="221" t="inlineStr">
        <is>
          <t>CX</t>
        </is>
      </c>
      <c r="F87" s="686" t="n">
        <v>110</v>
      </c>
      <c r="G87" s="220">
        <f>IFERROR(ROUNDUP(D87/F87,0),"")</f>
        <v/>
      </c>
      <c r="H87" s="224" t="n">
        <v>427</v>
      </c>
      <c r="I87" s="220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552" t="n"/>
      <c r="K87" s="552" t="n"/>
      <c r="L87" s="552" t="n"/>
      <c r="M87" s="552" t="n"/>
    </row>
    <row r="88" ht="21" customHeight="1" s="468">
      <c r="A88" s="685" t="n"/>
      <c r="B88" s="218" t="inlineStr">
        <is>
          <t>PURATOS DESTAK</t>
        </is>
      </c>
      <c r="C88" s="219" t="n">
        <v>600</v>
      </c>
      <c r="D88" s="220" t="n">
        <v>1900</v>
      </c>
      <c r="E88" s="221" t="inlineStr">
        <is>
          <t>CX</t>
        </is>
      </c>
      <c r="F88" s="686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20">
        <f>IFERROR(ROUNDUP(D88/F88,0),"")</f>
        <v/>
      </c>
      <c r="H88" s="224" t="n">
        <v>853</v>
      </c>
      <c r="I88" s="220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552" t="n"/>
      <c r="K88" s="552" t="n"/>
      <c r="L88" s="552" t="n"/>
      <c r="M88" s="552" t="n"/>
    </row>
    <row r="89" ht="21" customHeight="1" s="468">
      <c r="A89" s="685" t="n"/>
      <c r="B89" s="218" t="n"/>
      <c r="C89" s="219" t="n"/>
      <c r="D89" s="220" t="n"/>
      <c r="E89" s="221" t="inlineStr">
        <is>
          <t>CX</t>
        </is>
      </c>
      <c r="F89" s="686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220">
        <f>IFERROR(ROUNDUP(D89/F89,0),"")</f>
        <v/>
      </c>
      <c r="H89" s="224" t="n"/>
      <c r="I89" s="220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552" t="n"/>
      <c r="K89" s="552" t="n"/>
      <c r="L89" s="552" t="n"/>
      <c r="M89" s="552" t="n"/>
    </row>
    <row r="90" ht="21" customHeight="1" s="468">
      <c r="A90" s="685" t="n"/>
      <c r="B90" s="218" t="n"/>
      <c r="C90" s="219" t="n"/>
      <c r="D90" s="220" t="n"/>
      <c r="E90" s="221" t="inlineStr">
        <is>
          <t>CX</t>
        </is>
      </c>
      <c r="F90" s="686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220">
        <f>IFERROR(ROUNDUP(D90/F90,0),"")</f>
        <v/>
      </c>
      <c r="H90" s="224" t="n"/>
      <c r="I90" s="220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  <c r="J90" s="552" t="n"/>
      <c r="K90" s="552" t="n"/>
      <c r="L90" s="552" t="n"/>
      <c r="M90" s="552" t="n"/>
    </row>
    <row r="91" ht="21" customHeight="1" s="468">
      <c r="A91" s="685" t="n"/>
      <c r="B91" s="218" t="n"/>
      <c r="C91" s="219" t="n"/>
      <c r="D91" s="220" t="n"/>
      <c r="E91" s="221" t="inlineStr">
        <is>
          <t>CX</t>
        </is>
      </c>
      <c r="F91" s="686">
        <f>IF($B91="","",IF(SUMIFS(CONFIG_PALLETS!$C:$C,CONFIG_PALLETS!$A:$A,TRIM($B91),CONFIG_PALLETS!$B:$B,$C91&amp;" ml")&gt;0,SUMIFS(CONFIG_PALLETS!$C:$C,CONFIG_PALLETS!$A:$A,TRIM($B91),CONFIG_PALLETS!$B:$B,$C91&amp;" ml"),IF(SUMIFS(CONFIG_PALLETS!$C:$C,CONFIG_PALLETS!$A:$A,"GERAL",CONFIG_PALLETS!$B:$B,$C91&amp;" ml")&gt;0,SUMIFS(CONFIG_PALLETS!$C:$C,CONFIG_PALLETS!$A:$A,"GERAL",CONFIG_PALLETS!$B:$B,$C91&amp;" ml"),"")))</f>
        <v/>
      </c>
      <c r="G91" s="220">
        <f>IFERROR(ROUNDUP(D91/F91,0),"")</f>
        <v/>
      </c>
      <c r="H91" s="224" t="n"/>
      <c r="I91" s="220">
        <f>IF(H91="","",H91*IF(SUMIFS(CONFIG_PALLETS!$D:$D,CONFIG_PALLETS!$A:$A,IF(ISNUMBER(SEARCH("ESPUMA",$B91)),"ESPUMA",IF(OR(ISNUMBER(SEARCH("OLEO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ml")&gt;0,SUMIFS(CONFIG_PALLETS!$D:$D,CONFIG_PALLETS!$A:$A,IF(ISNUMBER(SEARCH("ESPUMA",$B91)),"ESPUMA",IF(OR(ISNUMBER(SEARCH("OLEO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ml"),IF(SUMIFS(CONFIG_PALLETS!$D:$D,CONFIG_PALLETS!$A:$A,"GERAL",CONFIG_PALLETS!$B:$B,$C91&amp;" ml")&gt;0,SUMIFS(CONFIG_PALLETS!$D:$D,CONFIG_PALLETS!$A:$A,"GERAL",CONFIG_PALLETS!$B:$B,$C91&amp;" ml"),12)))</f>
        <v/>
      </c>
      <c r="J91" s="552" t="n"/>
      <c r="K91" s="552" t="n"/>
      <c r="L91" s="552" t="n"/>
      <c r="M91" s="552" t="n"/>
    </row>
    <row r="92" ht="15" customHeight="1" s="468">
      <c r="A92" s="658" t="n"/>
      <c r="B92" s="640" t="inlineStr">
        <is>
          <t>TOTAL</t>
        </is>
      </c>
      <c r="C92" s="667" t="n"/>
      <c r="D92" s="642">
        <f>SUM(D87:D91)</f>
        <v/>
      </c>
      <c r="E92" s="668" t="n"/>
      <c r="F92" s="644" t="n"/>
      <c r="G92" s="642">
        <f>SUM(G87:G91)</f>
        <v/>
      </c>
      <c r="H92" s="642">
        <f>SUM(H87:H91)</f>
        <v/>
      </c>
      <c r="I92" s="642">
        <f>SUM(I87:I91)</f>
        <v/>
      </c>
      <c r="J92" s="644">
        <f>D92</f>
        <v/>
      </c>
      <c r="K92" s="644">
        <f>G92</f>
        <v/>
      </c>
      <c r="L92" s="644">
        <f>H92</f>
        <v/>
      </c>
      <c r="M92" s="644">
        <f>I92</f>
        <v/>
      </c>
    </row>
    <row r="93" ht="6" customHeight="1" s="468">
      <c r="A93" s="638" t="n"/>
      <c r="C93" s="71" t="n"/>
      <c r="D93" s="552" t="n"/>
      <c r="F93" s="552" t="n"/>
      <c r="G93" s="552" t="n"/>
      <c r="H93" s="552" t="n"/>
      <c r="I93" s="552" t="n"/>
      <c r="J93" s="552" t="n"/>
      <c r="K93" s="552" t="n"/>
      <c r="L93" s="552" t="n"/>
      <c r="M93" s="552" t="n"/>
    </row>
    <row r="94" ht="15" customHeight="1" s="468">
      <c r="A94" s="646" t="n">
        <v>46127</v>
      </c>
      <c r="B94" s="213" t="inlineStr">
        <is>
          <t>PRODUTO</t>
        </is>
      </c>
      <c r="C94" s="214" t="inlineStr">
        <is>
          <t>EMBALAGEM</t>
        </is>
      </c>
      <c r="D94" s="244" t="inlineStr">
        <is>
          <t>CAIXAS</t>
        </is>
      </c>
      <c r="E94" s="215" t="inlineStr">
        <is>
          <t>UN</t>
        </is>
      </c>
      <c r="F94" s="687" t="inlineStr">
        <is>
          <t>CX/PALLET</t>
        </is>
      </c>
      <c r="G94" s="244" t="inlineStr">
        <is>
          <t>PALLETS (PBR)</t>
        </is>
      </c>
      <c r="H94" s="244" t="inlineStr">
        <is>
          <t>REAL (CX)</t>
        </is>
      </c>
      <c r="I94" s="244" t="inlineStr">
        <is>
          <t>TOTAL LATAS</t>
        </is>
      </c>
      <c r="J94" s="552" t="n"/>
      <c r="K94" s="552" t="n"/>
      <c r="L94" s="552" t="n"/>
      <c r="M94" s="552" t="n"/>
    </row>
    <row r="95" ht="21" customHeight="1" s="468">
      <c r="A95" s="685" t="n"/>
      <c r="B95" s="218" t="inlineStr">
        <is>
          <t>PURATOS DESTAK</t>
        </is>
      </c>
      <c r="C95" s="219" t="n">
        <v>600</v>
      </c>
      <c r="D95" s="220" t="n">
        <v>1047</v>
      </c>
      <c r="E95" s="221" t="inlineStr">
        <is>
          <t>CX</t>
        </is>
      </c>
      <c r="F95" s="686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20">
        <f>IFERROR(ROUNDUP(D95/F95,0),"")</f>
        <v/>
      </c>
      <c r="H95" s="224" t="n">
        <v>1166</v>
      </c>
      <c r="I95" s="220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552" t="n"/>
      <c r="K95" s="552" t="n"/>
      <c r="L95" s="552" t="n"/>
      <c r="M95" s="552" t="n"/>
    </row>
    <row r="96" ht="21" customHeight="1" s="468">
      <c r="A96" s="685" t="n"/>
      <c r="B96" s="218" t="inlineStr">
        <is>
          <t>ITAIQUARA</t>
        </is>
      </c>
      <c r="C96" s="219" t="n">
        <v>600</v>
      </c>
      <c r="D96" s="220" t="n">
        <v>380</v>
      </c>
      <c r="E96" s="221" t="inlineStr">
        <is>
          <t>CX</t>
        </is>
      </c>
      <c r="F96" s="68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20">
        <f>IFERROR(ROUNDUP(D96/F96,0),"")</f>
        <v/>
      </c>
      <c r="H96" s="224" t="n">
        <v>306</v>
      </c>
      <c r="I96" s="220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552" t="n"/>
      <c r="K96" s="552" t="n"/>
      <c r="L96" s="552" t="n"/>
      <c r="M96" s="552" t="n"/>
    </row>
    <row r="97" ht="21" customHeight="1" s="468">
      <c r="A97" s="685" t="n"/>
      <c r="B97" s="218" t="n"/>
      <c r="C97" s="219" t="n"/>
      <c r="D97" s="220" t="n"/>
      <c r="E97" s="221" t="inlineStr">
        <is>
          <t>CX</t>
        </is>
      </c>
      <c r="F97" s="686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220">
        <f>IFERROR(ROUNDUP(D97/F97,0),"")</f>
        <v/>
      </c>
      <c r="H97" s="224" t="n"/>
      <c r="I97" s="220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552" t="n"/>
      <c r="K97" s="552" t="n"/>
      <c r="L97" s="552" t="n"/>
      <c r="M97" s="552" t="n"/>
    </row>
    <row r="98" ht="21" customHeight="1" s="468">
      <c r="A98" s="685" t="n"/>
      <c r="B98" s="218" t="n"/>
      <c r="C98" s="219" t="n"/>
      <c r="D98" s="220" t="n"/>
      <c r="E98" s="221" t="inlineStr">
        <is>
          <t>CX</t>
        </is>
      </c>
      <c r="F98" s="686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20">
        <f>IFERROR(ROUNDUP(D98/F98,0),"")</f>
        <v/>
      </c>
      <c r="H98" s="224" t="n"/>
      <c r="I98" s="220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  <c r="J98" s="552" t="n"/>
      <c r="K98" s="552" t="n"/>
      <c r="L98" s="552" t="n"/>
      <c r="M98" s="552" t="n"/>
    </row>
    <row r="99" ht="21" customHeight="1" s="468">
      <c r="A99" s="685" t="n"/>
      <c r="B99" s="218" t="n"/>
      <c r="C99" s="219" t="n"/>
      <c r="D99" s="220" t="n"/>
      <c r="E99" s="221" t="inlineStr">
        <is>
          <t>CX</t>
        </is>
      </c>
      <c r="F99" s="686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220">
        <f>IFERROR(ROUNDUP(D99/F99,0),"")</f>
        <v/>
      </c>
      <c r="H99" s="224" t="n"/>
      <c r="I99" s="220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552" t="n"/>
      <c r="K99" s="552" t="n"/>
      <c r="L99" s="552" t="n"/>
      <c r="M99" s="552" t="n"/>
    </row>
    <row r="100" ht="15" customHeight="1" s="468">
      <c r="A100" s="658" t="n"/>
      <c r="B100" s="640" t="inlineStr">
        <is>
          <t>TOTAL</t>
        </is>
      </c>
      <c r="C100" s="667" t="n"/>
      <c r="D100" s="642">
        <f>SUM(D95:D99)</f>
        <v/>
      </c>
      <c r="E100" s="668" t="n"/>
      <c r="F100" s="644" t="n"/>
      <c r="G100" s="642">
        <f>SUM(G95:G99)</f>
        <v/>
      </c>
      <c r="H100" s="642">
        <f>SUM(H95:H99)</f>
        <v/>
      </c>
      <c r="I100" s="642">
        <f>SUM(I95:I99)</f>
        <v/>
      </c>
      <c r="J100" s="644">
        <f>D100</f>
        <v/>
      </c>
      <c r="K100" s="644">
        <f>G100</f>
        <v/>
      </c>
      <c r="L100" s="644">
        <f>H100</f>
        <v/>
      </c>
      <c r="M100" s="644">
        <f>I100</f>
        <v/>
      </c>
    </row>
    <row r="101" ht="6" customHeight="1" s="468">
      <c r="A101" s="638" t="n"/>
      <c r="C101" s="71" t="n"/>
      <c r="D101" s="552" t="n"/>
      <c r="F101" s="552" t="n"/>
      <c r="G101" s="552" t="n"/>
      <c r="H101" s="552" t="n"/>
      <c r="I101" s="552" t="n"/>
      <c r="J101" s="552" t="n"/>
      <c r="K101" s="552" t="n"/>
      <c r="L101" s="552" t="n"/>
      <c r="M101" s="552" t="n"/>
    </row>
    <row r="102" ht="15" customHeight="1" s="468">
      <c r="A102" s="646" t="n">
        <v>46128</v>
      </c>
      <c r="B102" s="213" t="inlineStr">
        <is>
          <t>PRODUTO</t>
        </is>
      </c>
      <c r="C102" s="214" t="inlineStr">
        <is>
          <t>EMBALAGEM</t>
        </is>
      </c>
      <c r="D102" s="244" t="inlineStr">
        <is>
          <t>CAIXAS</t>
        </is>
      </c>
      <c r="E102" s="215" t="inlineStr">
        <is>
          <t>UN</t>
        </is>
      </c>
      <c r="F102" s="687" t="inlineStr">
        <is>
          <t>CX/PALLET</t>
        </is>
      </c>
      <c r="G102" s="244" t="inlineStr">
        <is>
          <t>PALLETS (PBR)</t>
        </is>
      </c>
      <c r="H102" s="244" t="inlineStr">
        <is>
          <t>REAL (CX)</t>
        </is>
      </c>
      <c r="I102" s="244" t="inlineStr">
        <is>
          <t>TOTAL LATAS</t>
        </is>
      </c>
      <c r="J102" s="552" t="n"/>
      <c r="K102" s="552" t="n"/>
      <c r="L102" s="552" t="n"/>
      <c r="M102" s="552" t="n"/>
    </row>
    <row r="103" ht="21" customHeight="1" s="468">
      <c r="A103" s="685" t="n"/>
      <c r="B103" s="218" t="inlineStr">
        <is>
          <t>ITAIQUARA</t>
        </is>
      </c>
      <c r="C103" s="219" t="n">
        <v>600</v>
      </c>
      <c r="D103" s="220">
        <f>D96-306</f>
        <v/>
      </c>
      <c r="E103" s="221" t="inlineStr">
        <is>
          <t>CX</t>
        </is>
      </c>
      <c r="F103" s="68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20">
        <f>IFERROR(ROUNDUP(D103/F103,0),"")</f>
        <v/>
      </c>
      <c r="H103" s="224" t="n">
        <v>74</v>
      </c>
      <c r="I103" s="220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552" t="n"/>
      <c r="K103" s="552" t="n"/>
      <c r="L103" s="552" t="n"/>
      <c r="M103" s="552" t="n"/>
    </row>
    <row r="104" ht="21" customHeight="1" s="468">
      <c r="A104" s="685" t="n"/>
      <c r="B104" s="218" t="inlineStr">
        <is>
          <t>OLEO DE COCO TAEQ</t>
        </is>
      </c>
      <c r="C104" s="219" t="n">
        <v>125</v>
      </c>
      <c r="D104" s="220" t="n">
        <v>480</v>
      </c>
      <c r="E104" s="221" t="inlineStr">
        <is>
          <t>CX</t>
        </is>
      </c>
      <c r="F104" s="686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20">
        <f>IFERROR(ROUNDUP(D104/F104,0),"")</f>
        <v/>
      </c>
      <c r="H104" s="224" t="n">
        <v>469</v>
      </c>
      <c r="I104" s="220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552" t="n"/>
      <c r="K104" s="552" t="n"/>
      <c r="L104" s="552" t="n"/>
      <c r="M104" s="552" t="n"/>
    </row>
    <row r="105" ht="21" customHeight="1" s="468">
      <c r="A105" s="685" t="n"/>
      <c r="B105" s="218" t="inlineStr">
        <is>
          <t>OLEO DE COCO COPRA MANTEIGA</t>
        </is>
      </c>
      <c r="C105" s="219" t="n">
        <v>100</v>
      </c>
      <c r="D105" s="220" t="n">
        <v>500</v>
      </c>
      <c r="E105" s="221" t="inlineStr">
        <is>
          <t>CX</t>
        </is>
      </c>
      <c r="F105" s="686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220">
        <f>IFERROR(ROUNDUP(D105/F105,0),"")</f>
        <v/>
      </c>
      <c r="H105" s="224" t="n">
        <v>454</v>
      </c>
      <c r="I105" s="220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  <c r="J105" s="552" t="n"/>
      <c r="K105" s="552" t="n"/>
      <c r="L105" s="552" t="n"/>
      <c r="M105" s="552" t="n"/>
    </row>
    <row r="106" ht="21" customHeight="1" s="468">
      <c r="A106" s="685" t="n"/>
      <c r="B106" s="218" t="n"/>
      <c r="C106" s="219" t="n"/>
      <c r="D106" s="220" t="n"/>
      <c r="E106" s="221" t="inlineStr">
        <is>
          <t>CX</t>
        </is>
      </c>
      <c r="F106" s="68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220">
        <f>IFERROR(ROUNDUP(D106/F106,0),"")</f>
        <v/>
      </c>
      <c r="H106" s="224" t="n"/>
      <c r="I106" s="220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  <c r="J106" s="552" t="n"/>
      <c r="K106" s="552" t="n"/>
      <c r="L106" s="552" t="n"/>
      <c r="M106" s="552" t="n"/>
    </row>
    <row r="107" ht="21" customHeight="1" s="468">
      <c r="A107" s="685" t="n"/>
      <c r="B107" s="218" t="n"/>
      <c r="C107" s="219" t="n"/>
      <c r="D107" s="220" t="n"/>
      <c r="E107" s="221" t="inlineStr">
        <is>
          <t>CX</t>
        </is>
      </c>
      <c r="F107" s="686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220">
        <f>IFERROR(ROUNDUP(D107/F107,0),"")</f>
        <v/>
      </c>
      <c r="H107" s="224" t="n"/>
      <c r="I107" s="220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552" t="n"/>
      <c r="K107" s="552" t="n"/>
      <c r="L107" s="552" t="n"/>
      <c r="M107" s="552" t="n"/>
    </row>
    <row r="108" ht="15" customHeight="1" s="468">
      <c r="A108" s="658" t="n"/>
      <c r="B108" s="640" t="inlineStr">
        <is>
          <t>TOTAL</t>
        </is>
      </c>
      <c r="C108" s="667" t="n"/>
      <c r="D108" s="642">
        <f>SUM(D103:D107)</f>
        <v/>
      </c>
      <c r="E108" s="668" t="n"/>
      <c r="F108" s="644" t="n"/>
      <c r="G108" s="642">
        <f>SUM(G103:G107)</f>
        <v/>
      </c>
      <c r="H108" s="642">
        <f>SUM(H103:H107)</f>
        <v/>
      </c>
      <c r="I108" s="642">
        <f>SUM(I103:I107)</f>
        <v/>
      </c>
      <c r="J108" s="644">
        <f>D108</f>
        <v/>
      </c>
      <c r="K108" s="644">
        <f>G108</f>
        <v/>
      </c>
      <c r="L108" s="644">
        <f>H108</f>
        <v/>
      </c>
      <c r="M108" s="644">
        <f>I108</f>
        <v/>
      </c>
    </row>
    <row r="109" ht="6" customHeight="1" s="468">
      <c r="A109" s="638" t="n"/>
      <c r="C109" s="71" t="n"/>
      <c r="D109" s="552" t="n"/>
      <c r="F109" s="552" t="n"/>
      <c r="G109" s="552" t="n"/>
      <c r="H109" s="552" t="n"/>
      <c r="I109" s="552" t="n"/>
      <c r="J109" s="552" t="n"/>
      <c r="K109" s="552" t="n"/>
      <c r="L109" s="552" t="n"/>
      <c r="M109" s="552" t="n"/>
    </row>
    <row r="110" ht="15" customHeight="1" s="468">
      <c r="A110" s="646" t="n">
        <v>46129</v>
      </c>
      <c r="B110" s="213" t="inlineStr">
        <is>
          <t>PRODUTO</t>
        </is>
      </c>
      <c r="C110" s="214" t="inlineStr">
        <is>
          <t>EMBALAGEM</t>
        </is>
      </c>
      <c r="D110" s="244" t="inlineStr">
        <is>
          <t>CAIXAS</t>
        </is>
      </c>
      <c r="E110" s="215" t="inlineStr">
        <is>
          <t>UN</t>
        </is>
      </c>
      <c r="F110" s="687" t="inlineStr">
        <is>
          <t>CX/PALLET</t>
        </is>
      </c>
      <c r="G110" s="244" t="inlineStr">
        <is>
          <t>PALLETS (PBR)</t>
        </is>
      </c>
      <c r="H110" s="244" t="inlineStr">
        <is>
          <t>REAL (CX)</t>
        </is>
      </c>
      <c r="I110" s="244" t="inlineStr">
        <is>
          <t>TOTAL LATAS</t>
        </is>
      </c>
      <c r="J110" s="552" t="n"/>
      <c r="K110" s="552" t="n"/>
      <c r="L110" s="552" t="n"/>
      <c r="M110" s="552" t="n"/>
    </row>
    <row r="111" ht="21" customHeight="1" s="468">
      <c r="A111" s="685" t="n"/>
      <c r="B111" s="218" t="n"/>
      <c r="C111" s="219" t="n"/>
      <c r="D111" s="220" t="n"/>
      <c r="E111" s="221" t="inlineStr">
        <is>
          <t>CX</t>
        </is>
      </c>
      <c r="F111" s="686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20" t="n"/>
      <c r="H111" s="224" t="n"/>
      <c r="I111" s="220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  <c r="J111" s="552" t="n"/>
      <c r="K111" s="552" t="n"/>
      <c r="L111" s="552" t="n"/>
      <c r="M111" s="552" t="n"/>
    </row>
    <row r="112" ht="21" customHeight="1" s="468">
      <c r="A112" s="685" t="n"/>
      <c r="B112" s="553" t="inlineStr">
        <is>
          <t>SEM PRODUÇÃO</t>
        </is>
      </c>
      <c r="C112" s="219" t="n"/>
      <c r="D112" s="220" t="n"/>
      <c r="E112" s="221" t="inlineStr">
        <is>
          <t>CX</t>
        </is>
      </c>
      <c r="F112" s="68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20">
        <f>IFERROR(ROUNDUP(D112/F112,0),"")</f>
        <v/>
      </c>
      <c r="H112" s="224" t="n"/>
      <c r="I112" s="220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  <c r="J112" s="552" t="n"/>
      <c r="K112" s="552" t="n"/>
      <c r="L112" s="552" t="n"/>
      <c r="M112" s="552" t="n"/>
    </row>
    <row r="113" ht="21" customHeight="1" s="468">
      <c r="A113" s="685" t="n"/>
      <c r="B113" s="554" t="n"/>
      <c r="C113" s="219" t="n"/>
      <c r="D113" s="220" t="n"/>
      <c r="E113" s="221" t="inlineStr">
        <is>
          <t>CX</t>
        </is>
      </c>
      <c r="F113" s="686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220">
        <f>IFERROR(ROUNDUP(D113/F113,0),"")</f>
        <v/>
      </c>
      <c r="H113" s="224" t="n"/>
      <c r="I113" s="220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  <c r="J113" s="552" t="n"/>
      <c r="K113" s="552" t="n"/>
      <c r="L113" s="552" t="n"/>
      <c r="M113" s="552" t="n"/>
    </row>
    <row r="114" ht="21" customHeight="1" s="468">
      <c r="A114" s="685" t="n"/>
      <c r="B114" s="555" t="n"/>
      <c r="C114" s="219" t="n"/>
      <c r="D114" s="220" t="n"/>
      <c r="E114" s="221" t="inlineStr">
        <is>
          <t>CX</t>
        </is>
      </c>
      <c r="F114" s="686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220">
        <f>IFERROR(ROUNDUP(D114/F114,0),"")</f>
        <v/>
      </c>
      <c r="H114" s="224" t="n"/>
      <c r="I114" s="220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  <c r="J114" s="552" t="n"/>
      <c r="K114" s="552" t="n"/>
      <c r="L114" s="552" t="n"/>
      <c r="M114" s="552" t="n"/>
    </row>
    <row r="115" ht="21" customHeight="1" s="468">
      <c r="A115" s="685" t="n"/>
      <c r="B115" s="218" t="n"/>
      <c r="C115" s="219" t="n"/>
      <c r="D115" s="220" t="n"/>
      <c r="E115" s="221" t="inlineStr">
        <is>
          <t>CX</t>
        </is>
      </c>
      <c r="F115" s="686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220">
        <f>IFERROR(ROUNDUP(D115/F115,0),"")</f>
        <v/>
      </c>
      <c r="H115" s="224" t="n"/>
      <c r="I115" s="220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  <c r="J115" s="552" t="n"/>
      <c r="K115" s="552" t="n"/>
      <c r="L115" s="552" t="n"/>
      <c r="M115" s="552" t="n"/>
    </row>
    <row r="116" ht="21" customHeight="1" s="468">
      <c r="A116" s="658" t="n"/>
      <c r="B116" s="640" t="inlineStr">
        <is>
          <t>TOTAL</t>
        </is>
      </c>
      <c r="C116" s="667" t="n"/>
      <c r="D116" s="642">
        <f>SUM(D111:D115)</f>
        <v/>
      </c>
      <c r="E116" s="668" t="n"/>
      <c r="F116" s="644" t="n"/>
      <c r="G116" s="642">
        <f>SUM(G111:G115)</f>
        <v/>
      </c>
      <c r="H116" s="642">
        <f>SUM(H111:H115)</f>
        <v/>
      </c>
      <c r="I116" s="642">
        <f>SUM(I111:I115)</f>
        <v/>
      </c>
      <c r="J116" s="644">
        <f>D116</f>
        <v/>
      </c>
      <c r="K116" s="644">
        <f>G116</f>
        <v/>
      </c>
      <c r="L116" s="644">
        <f>H116</f>
        <v/>
      </c>
      <c r="M116" s="644">
        <f>I116</f>
        <v/>
      </c>
    </row>
    <row r="117" ht="21" customHeight="1" s="468">
      <c r="A117" s="638" t="n"/>
      <c r="C117" s="71" t="n"/>
      <c r="D117" s="552" t="n"/>
      <c r="F117" s="552" t="n"/>
      <c r="G117" s="552" t="n"/>
      <c r="H117" s="552" t="n"/>
      <c r="I117" s="552" t="n"/>
      <c r="J117" s="552" t="n"/>
      <c r="K117" s="552" t="n"/>
      <c r="L117" s="552" t="n"/>
      <c r="M117" s="552" t="n"/>
    </row>
    <row r="118" ht="21" customHeight="1" s="468">
      <c r="A118" s="646" t="n">
        <v>46130</v>
      </c>
      <c r="B118" s="213" t="inlineStr">
        <is>
          <t>PRODUTO</t>
        </is>
      </c>
      <c r="C118" s="214" t="inlineStr">
        <is>
          <t>EMBALAGEM</t>
        </is>
      </c>
      <c r="D118" s="244" t="inlineStr">
        <is>
          <t>CAIXAS</t>
        </is>
      </c>
      <c r="E118" s="215" t="inlineStr">
        <is>
          <t>UN</t>
        </is>
      </c>
      <c r="F118" s="687" t="inlineStr">
        <is>
          <t>CX/PALLET</t>
        </is>
      </c>
      <c r="G118" s="244" t="inlineStr">
        <is>
          <t>PALLETS (PBR)</t>
        </is>
      </c>
      <c r="H118" s="244" t="inlineStr">
        <is>
          <t>REAL (CX)</t>
        </is>
      </c>
      <c r="I118" s="244" t="inlineStr">
        <is>
          <t>TOTAL LATAS</t>
        </is>
      </c>
      <c r="J118" s="552" t="n"/>
      <c r="K118" s="552" t="n"/>
      <c r="L118" s="552" t="n"/>
      <c r="M118" s="552" t="n"/>
    </row>
    <row r="119" ht="21" customHeight="1" s="468">
      <c r="A119" s="685" t="n"/>
      <c r="B119" s="218" t="inlineStr">
        <is>
          <t>ALL BREAD MANTEIGA</t>
        </is>
      </c>
      <c r="C119" s="219" t="n">
        <v>600</v>
      </c>
      <c r="D119" s="220" t="n">
        <v>50</v>
      </c>
      <c r="E119" s="221" t="inlineStr">
        <is>
          <t>CX</t>
        </is>
      </c>
      <c r="F119" s="686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20">
        <f>IFERROR(ROUNDUP(D119/F119,0),"")</f>
        <v/>
      </c>
      <c r="H119" s="224" t="n">
        <v>51</v>
      </c>
      <c r="I119" s="220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552" t="n"/>
      <c r="K119" s="552" t="n"/>
      <c r="L119" s="552" t="n"/>
      <c r="M119" s="552" t="n"/>
    </row>
    <row r="120" ht="21" customHeight="1" s="468">
      <c r="A120" s="685" t="n"/>
      <c r="B120" s="218" t="inlineStr">
        <is>
          <t>ALL BREAD</t>
        </is>
      </c>
      <c r="C120" s="219" t="n">
        <v>600</v>
      </c>
      <c r="D120" s="220" t="n">
        <v>859</v>
      </c>
      <c r="E120" s="221" t="inlineStr">
        <is>
          <t>CX</t>
        </is>
      </c>
      <c r="F120" s="686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20">
        <f>IFERROR(ROUNDUP(D120/F120,0),"")</f>
        <v/>
      </c>
      <c r="H120" s="224" t="n">
        <v>605</v>
      </c>
      <c r="I120" s="220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552" t="n"/>
      <c r="K120" s="552" t="n"/>
      <c r="L120" s="552" t="n"/>
      <c r="M120" s="552" t="n"/>
    </row>
    <row r="121" ht="21" customHeight="1" s="468">
      <c r="A121" s="685" t="n"/>
      <c r="B121" s="218" t="n"/>
      <c r="C121" s="219" t="n"/>
      <c r="D121" s="220" t="n"/>
      <c r="E121" s="221" t="inlineStr">
        <is>
          <t>CX</t>
        </is>
      </c>
      <c r="F121" s="686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/>
      </c>
      <c r="G121" s="220">
        <f>IFERROR(ROUNDUP(D121/F121,0),"")</f>
        <v/>
      </c>
      <c r="H121" s="224" t="n"/>
      <c r="I121" s="220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/>
      </c>
      <c r="J121" s="552" t="n"/>
      <c r="K121" s="552" t="n"/>
      <c r="L121" s="552" t="n"/>
      <c r="M121" s="552" t="n"/>
    </row>
    <row r="122" ht="21" customHeight="1" s="468">
      <c r="A122" s="685" t="n"/>
      <c r="B122" s="218" t="n"/>
      <c r="C122" s="219" t="n"/>
      <c r="D122" s="220" t="n"/>
      <c r="E122" s="221" t="inlineStr">
        <is>
          <t>CX</t>
        </is>
      </c>
      <c r="F122" s="686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220">
        <f>IFERROR(ROUNDUP(D122/F122,0),"")</f>
        <v/>
      </c>
      <c r="H122" s="224" t="n"/>
      <c r="I122" s="220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  <c r="J122" s="552" t="n"/>
      <c r="K122" s="552" t="n"/>
      <c r="L122" s="552" t="n"/>
      <c r="M122" s="552" t="n"/>
    </row>
    <row r="123" ht="21" customHeight="1" s="468">
      <c r="A123" s="685" t="n"/>
      <c r="B123" s="218" t="n"/>
      <c r="C123" s="219" t="n"/>
      <c r="D123" s="220" t="n"/>
      <c r="E123" s="221" t="inlineStr">
        <is>
          <t>CX</t>
        </is>
      </c>
      <c r="F123" s="686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220">
        <f>IFERROR(ROUNDUP(D123/F123,0),"")</f>
        <v/>
      </c>
      <c r="H123" s="224" t="n"/>
      <c r="I123" s="220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  <c r="J123" s="552" t="n"/>
      <c r="K123" s="552" t="n"/>
      <c r="L123" s="552" t="n"/>
      <c r="M123" s="552" t="n"/>
    </row>
    <row r="124" ht="15" customHeight="1" s="468">
      <c r="A124" s="658" t="n"/>
      <c r="B124" s="640" t="inlineStr">
        <is>
          <t>TOTAL</t>
        </is>
      </c>
      <c r="C124" s="667" t="n"/>
      <c r="D124" s="642">
        <f>SUM(D119:D123)</f>
        <v/>
      </c>
      <c r="E124" s="668" t="n"/>
      <c r="F124" s="644" t="n"/>
      <c r="G124" s="642">
        <f>SUM(G119:G123)</f>
        <v/>
      </c>
      <c r="H124" s="642">
        <f>SUM(H119:H123)</f>
        <v/>
      </c>
      <c r="I124" s="642">
        <f>SUM(I119:I123)</f>
        <v/>
      </c>
      <c r="J124" s="644">
        <f>D124</f>
        <v/>
      </c>
      <c r="K124" s="644">
        <f>G124</f>
        <v/>
      </c>
      <c r="L124" s="644">
        <f>H124</f>
        <v/>
      </c>
      <c r="M124" s="644">
        <f>I124</f>
        <v/>
      </c>
    </row>
    <row r="125" ht="6" customHeight="1" s="468">
      <c r="A125" s="638" t="n"/>
      <c r="C125" s="71" t="n"/>
      <c r="D125" s="552" t="n"/>
      <c r="F125" s="552" t="n"/>
      <c r="G125" s="552" t="n"/>
      <c r="H125" s="552" t="n"/>
      <c r="I125" s="552" t="n"/>
      <c r="J125" s="552" t="n"/>
      <c r="K125" s="552" t="n"/>
      <c r="L125" s="552" t="n"/>
      <c r="M125" s="552" t="n"/>
    </row>
    <row r="126" ht="15" customHeight="1" s="468">
      <c r="A126" s="646" t="n">
        <v>46132</v>
      </c>
      <c r="B126" s="213" t="inlineStr">
        <is>
          <t>PRODUTO</t>
        </is>
      </c>
      <c r="C126" s="214" t="inlineStr">
        <is>
          <t>EMBALAGEM</t>
        </is>
      </c>
      <c r="D126" s="244" t="inlineStr">
        <is>
          <t>CAIXAS</t>
        </is>
      </c>
      <c r="E126" s="215" t="inlineStr">
        <is>
          <t>UN</t>
        </is>
      </c>
      <c r="F126" s="687" t="inlineStr">
        <is>
          <t>CX/PALLET</t>
        </is>
      </c>
      <c r="G126" s="244" t="inlineStr">
        <is>
          <t>PALLETS (PBR)</t>
        </is>
      </c>
      <c r="H126" s="244" t="inlineStr">
        <is>
          <t>REAL (CX)</t>
        </is>
      </c>
      <c r="I126" s="244" t="inlineStr">
        <is>
          <t>TOTAL LATAS</t>
        </is>
      </c>
      <c r="J126" s="552" t="n"/>
      <c r="K126" s="552" t="n"/>
      <c r="L126" s="552" t="n"/>
      <c r="M126" s="552" t="n"/>
    </row>
    <row r="127" ht="21" customHeight="1" s="468">
      <c r="A127" s="685" t="n"/>
      <c r="B127" s="218" t="inlineStr">
        <is>
          <t xml:space="preserve">ALL BREAD </t>
        </is>
      </c>
      <c r="C127" s="219" t="n">
        <v>600</v>
      </c>
      <c r="D127" s="220">
        <f>D120-H120</f>
        <v/>
      </c>
      <c r="E127" s="221" t="inlineStr">
        <is>
          <t>CX</t>
        </is>
      </c>
      <c r="F127" s="686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20">
        <f>IFERROR(ROUNDUP(D127/F127,0),"")</f>
        <v/>
      </c>
      <c r="H127" s="224" t="n">
        <v>254</v>
      </c>
      <c r="I127" s="220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552" t="n"/>
      <c r="K127" s="552" t="n"/>
      <c r="L127" s="552" t="n"/>
      <c r="M127" s="552" t="n"/>
    </row>
    <row r="128" ht="21" customHeight="1" s="468">
      <c r="A128" s="685" t="n"/>
      <c r="B128" s="218" t="inlineStr">
        <is>
          <t>ADIMIX</t>
        </is>
      </c>
      <c r="C128" s="219" t="n">
        <v>600</v>
      </c>
      <c r="D128" s="220" t="n">
        <v>665</v>
      </c>
      <c r="E128" s="221" t="inlineStr">
        <is>
          <t>CX</t>
        </is>
      </c>
      <c r="F128" s="686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20">
        <f>IFERROR(ROUNDUP(D128/F128,0),"")</f>
        <v/>
      </c>
      <c r="H128" s="224" t="n">
        <v>672</v>
      </c>
      <c r="I128" s="220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552" t="n"/>
      <c r="K128" s="552" t="n"/>
      <c r="L128" s="552" t="n"/>
      <c r="M128" s="552" t="n"/>
    </row>
    <row r="129" ht="21" customHeight="1" s="468">
      <c r="A129" s="685" t="n"/>
      <c r="B129" s="218" t="n"/>
      <c r="C129" s="219" t="n"/>
      <c r="D129" s="220" t="n"/>
      <c r="E129" s="221" t="inlineStr">
        <is>
          <t>CX</t>
        </is>
      </c>
      <c r="F129" s="686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220" t="n"/>
      <c r="H129" s="224" t="n"/>
      <c r="I129" s="220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  <c r="J129" s="552" t="n"/>
      <c r="K129" s="552" t="n"/>
      <c r="L129" s="552" t="n"/>
      <c r="M129" s="552" t="n"/>
    </row>
    <row r="130" ht="21" customHeight="1" s="468">
      <c r="A130" s="685" t="n"/>
      <c r="B130" s="218" t="n"/>
      <c r="C130" s="219" t="n"/>
      <c r="D130" s="220" t="n"/>
      <c r="E130" s="221" t="inlineStr">
        <is>
          <t>CX</t>
        </is>
      </c>
      <c r="F130" s="686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220">
        <f>IFERROR(ROUNDUP(D130/F130,0),"")</f>
        <v/>
      </c>
      <c r="H130" s="224" t="n"/>
      <c r="I130" s="220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  <c r="J130" s="552" t="n"/>
      <c r="K130" s="552" t="n"/>
      <c r="L130" s="552" t="n"/>
      <c r="M130" s="552" t="n"/>
    </row>
    <row r="131" ht="21" customHeight="1" s="468">
      <c r="A131" s="685" t="n"/>
      <c r="B131" s="218" t="n"/>
      <c r="C131" s="219" t="n"/>
      <c r="D131" s="220" t="n"/>
      <c r="E131" s="221" t="inlineStr">
        <is>
          <t>CX</t>
        </is>
      </c>
      <c r="F131" s="686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220">
        <f>IFERROR(ROUNDUP(D131/F131,0),"")</f>
        <v/>
      </c>
      <c r="H131" s="224" t="n"/>
      <c r="I131" s="220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  <c r="J131" s="552" t="n"/>
      <c r="K131" s="552" t="n"/>
      <c r="L131" s="552" t="n"/>
      <c r="M131" s="552" t="n"/>
    </row>
    <row r="132" ht="15" customHeight="1" s="468">
      <c r="A132" s="658" t="n"/>
      <c r="B132" s="640" t="inlineStr">
        <is>
          <t>TOTAL</t>
        </is>
      </c>
      <c r="C132" s="667" t="n"/>
      <c r="D132" s="642">
        <f>SUM(D127:D131)</f>
        <v/>
      </c>
      <c r="E132" s="668" t="n"/>
      <c r="F132" s="644" t="n"/>
      <c r="G132" s="642">
        <f>SUM(G127:G131)</f>
        <v/>
      </c>
      <c r="H132" s="642">
        <f>SUM(H127:H131)</f>
        <v/>
      </c>
      <c r="I132" s="642">
        <f>SUM(I127:I131)</f>
        <v/>
      </c>
      <c r="J132" s="644">
        <f>D132</f>
        <v/>
      </c>
      <c r="K132" s="644">
        <f>G132</f>
        <v/>
      </c>
      <c r="L132" s="644">
        <f>H132</f>
        <v/>
      </c>
      <c r="M132" s="644">
        <f>I132</f>
        <v/>
      </c>
    </row>
    <row r="133" ht="6" customHeight="1" s="468">
      <c r="A133" s="638" t="n"/>
      <c r="C133" s="71" t="n"/>
      <c r="D133" s="552" t="n"/>
      <c r="F133" s="552" t="n"/>
      <c r="G133" s="552" t="n"/>
      <c r="H133" s="552" t="n"/>
      <c r="I133" s="552" t="n"/>
      <c r="J133" s="552" t="n"/>
      <c r="K133" s="552" t="n"/>
      <c r="L133" s="552" t="n"/>
      <c r="M133" s="552" t="n"/>
    </row>
    <row r="134" ht="15" customHeight="1" s="468">
      <c r="A134" s="646" t="n">
        <v>46133</v>
      </c>
      <c r="B134" s="213" t="inlineStr">
        <is>
          <t>PRODUTO</t>
        </is>
      </c>
      <c r="C134" s="214" t="inlineStr">
        <is>
          <t>EMBALAGEM</t>
        </is>
      </c>
      <c r="D134" s="244" t="inlineStr">
        <is>
          <t>CAIXAS</t>
        </is>
      </c>
      <c r="E134" s="215" t="inlineStr">
        <is>
          <t>UN</t>
        </is>
      </c>
      <c r="F134" s="687" t="inlineStr">
        <is>
          <t>CX/PALLET</t>
        </is>
      </c>
      <c r="G134" s="244" t="inlineStr">
        <is>
          <t>PALLETS (PBR)</t>
        </is>
      </c>
      <c r="H134" s="244" t="inlineStr">
        <is>
          <t>REAL (CX)</t>
        </is>
      </c>
      <c r="I134" s="244" t="inlineStr">
        <is>
          <t>TOTAL LATAS</t>
        </is>
      </c>
      <c r="J134" s="552" t="n"/>
      <c r="K134" s="552" t="n"/>
      <c r="L134" s="552" t="n"/>
      <c r="M134" s="552" t="n"/>
    </row>
    <row r="135" ht="21" customHeight="1" s="468">
      <c r="A135" s="685" t="n"/>
      <c r="B135" s="218" t="inlineStr">
        <is>
          <t>IN LOCO</t>
        </is>
      </c>
      <c r="C135" s="219" t="n">
        <v>600</v>
      </c>
      <c r="D135" s="220" t="n">
        <v>665</v>
      </c>
      <c r="E135" s="221" t="inlineStr">
        <is>
          <t>CX</t>
        </is>
      </c>
      <c r="F135" s="686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20">
        <f>IFERROR(ROUNDUP(D135/F135,0),"")</f>
        <v/>
      </c>
      <c r="H135" s="224" t="n">
        <v>672</v>
      </c>
      <c r="I135" s="220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552" t="n"/>
      <c r="K135" s="552" t="n"/>
      <c r="L135" s="552" t="n"/>
      <c r="M135" s="552" t="n"/>
    </row>
    <row r="136" ht="21" customHeight="1" s="468">
      <c r="A136" s="685" t="n"/>
      <c r="B136" s="218" t="inlineStr">
        <is>
          <t>PURATOS DESTAK</t>
        </is>
      </c>
      <c r="C136" s="219" t="n">
        <v>600</v>
      </c>
      <c r="D136" s="220" t="n">
        <v>2470</v>
      </c>
      <c r="E136" s="221" t="inlineStr">
        <is>
          <t>CX</t>
        </is>
      </c>
      <c r="F136" s="686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20">
        <f>IFERROR(ROUNDUP(D136/F136,0),"")</f>
        <v/>
      </c>
      <c r="H136" s="224" t="n">
        <v>652</v>
      </c>
      <c r="I136" s="220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552" t="n"/>
      <c r="K136" s="552" t="n"/>
      <c r="L136" s="552" t="n"/>
      <c r="M136" s="552" t="n"/>
    </row>
    <row r="137" ht="21" customHeight="1" s="468">
      <c r="A137" s="685" t="n"/>
      <c r="B137" s="218" t="n"/>
      <c r="C137" s="219" t="n"/>
      <c r="D137" s="220" t="n"/>
      <c r="E137" s="221" t="inlineStr">
        <is>
          <t>CX</t>
        </is>
      </c>
      <c r="F137" s="686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220">
        <f>IFERROR(ROUNDUP(D137/F137,0),"")</f>
        <v/>
      </c>
      <c r="H137" s="224" t="n"/>
      <c r="I137" s="220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  <c r="J137" s="552" t="n"/>
      <c r="K137" s="552" t="n"/>
      <c r="L137" s="552" t="n"/>
      <c r="M137" s="552" t="n"/>
    </row>
    <row r="138" ht="21" customHeight="1" s="468">
      <c r="A138" s="685" t="n"/>
      <c r="B138" s="218" t="n"/>
      <c r="C138" s="219" t="n"/>
      <c r="D138" s="220" t="n"/>
      <c r="E138" s="221" t="inlineStr">
        <is>
          <t>CX</t>
        </is>
      </c>
      <c r="F138" s="686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220">
        <f>IFERROR(ROUNDUP(D138/F138,0),"")</f>
        <v/>
      </c>
      <c r="H138" s="224" t="n"/>
      <c r="I138" s="220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  <c r="J138" s="552" t="n"/>
      <c r="K138" s="552" t="n"/>
      <c r="L138" s="552" t="n"/>
      <c r="M138" s="552" t="n"/>
    </row>
    <row r="139" ht="21" customHeight="1" s="468">
      <c r="A139" s="685" t="n"/>
      <c r="B139" s="218" t="n"/>
      <c r="C139" s="219" t="n"/>
      <c r="D139" s="220" t="n"/>
      <c r="E139" s="221" t="inlineStr">
        <is>
          <t>CX</t>
        </is>
      </c>
      <c r="F139" s="686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220">
        <f>IFERROR(ROUNDUP(D139/F139,0),"")</f>
        <v/>
      </c>
      <c r="H139" s="224" t="n"/>
      <c r="I139" s="220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  <c r="J139" s="552" t="n"/>
      <c r="K139" s="552" t="n"/>
      <c r="L139" s="552" t="n"/>
      <c r="M139" s="552" t="n"/>
    </row>
    <row r="140" ht="15" customHeight="1" s="468">
      <c r="A140" s="658" t="n"/>
      <c r="B140" s="640" t="inlineStr">
        <is>
          <t>TOTAL</t>
        </is>
      </c>
      <c r="C140" s="667" t="n"/>
      <c r="D140" s="642">
        <f>SUM(D135:D139)</f>
        <v/>
      </c>
      <c r="E140" s="668" t="n"/>
      <c r="F140" s="644" t="n"/>
      <c r="G140" s="642">
        <f>SUM(G135:G139)</f>
        <v/>
      </c>
      <c r="H140" s="642">
        <f>SUM(H135:H139)</f>
        <v/>
      </c>
      <c r="I140" s="642">
        <f>SUM(I135:I139)</f>
        <v/>
      </c>
      <c r="J140" s="644">
        <f>D140</f>
        <v/>
      </c>
      <c r="K140" s="644">
        <f>G140</f>
        <v/>
      </c>
      <c r="L140" s="644">
        <f>H140</f>
        <v/>
      </c>
      <c r="M140" s="644">
        <f>I140</f>
        <v/>
      </c>
    </row>
    <row r="141" ht="6" customHeight="1" s="468">
      <c r="A141" s="638" t="n"/>
      <c r="C141" s="71" t="n"/>
      <c r="D141" s="552" t="n"/>
      <c r="F141" s="552" t="n"/>
      <c r="G141" s="552" t="n"/>
      <c r="H141" s="552" t="n"/>
      <c r="I141" s="552" t="n"/>
      <c r="J141" s="552" t="n"/>
      <c r="K141" s="552" t="n"/>
      <c r="L141" s="552" t="n"/>
      <c r="M141" s="552" t="n"/>
    </row>
    <row r="142" ht="15" customHeight="1" s="468">
      <c r="A142" s="646" t="n">
        <v>46134</v>
      </c>
      <c r="B142" s="213" t="inlineStr">
        <is>
          <t>PRODUTO</t>
        </is>
      </c>
      <c r="C142" s="214" t="inlineStr">
        <is>
          <t>EMBALAGEM</t>
        </is>
      </c>
      <c r="D142" s="244" t="inlineStr">
        <is>
          <t>CAIXAS</t>
        </is>
      </c>
      <c r="E142" s="215" t="inlineStr">
        <is>
          <t>UN</t>
        </is>
      </c>
      <c r="F142" s="687" t="inlineStr">
        <is>
          <t>CX/PALLET</t>
        </is>
      </c>
      <c r="G142" s="244" t="inlineStr">
        <is>
          <t>PALLETS (PBR)</t>
        </is>
      </c>
      <c r="H142" s="244" t="inlineStr">
        <is>
          <t>REAL (CX)</t>
        </is>
      </c>
      <c r="I142" s="244" t="inlineStr">
        <is>
          <t>TOTAL LATAS</t>
        </is>
      </c>
      <c r="J142" s="552" t="n"/>
      <c r="K142" s="552" t="n"/>
      <c r="L142" s="552" t="n"/>
      <c r="M142" s="552" t="n"/>
    </row>
    <row r="143" ht="21" customHeight="1" s="468">
      <c r="A143" s="685" t="n"/>
      <c r="B143" s="218" t="inlineStr">
        <is>
          <t>PURATOS DESTAK</t>
        </is>
      </c>
      <c r="C143" s="219" t="n">
        <v>600</v>
      </c>
      <c r="D143" s="220">
        <f>D136-H136</f>
        <v/>
      </c>
      <c r="E143" s="221" t="inlineStr">
        <is>
          <t>CX</t>
        </is>
      </c>
      <c r="F143" s="686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20">
        <f>IFERROR(ROUNDUP(D143/F143,0),"")</f>
        <v/>
      </c>
      <c r="H143" s="224">
        <f>2087-H136</f>
        <v/>
      </c>
      <c r="I143" s="220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552" t="n"/>
      <c r="K143" s="552" t="n"/>
      <c r="L143" s="552" t="n"/>
      <c r="M143" s="552" t="n"/>
    </row>
    <row r="144" ht="21" customHeight="1" s="468">
      <c r="A144" s="685" t="n"/>
      <c r="B144" s="218" t="n"/>
      <c r="C144" s="219" t="n"/>
      <c r="D144" s="220" t="n"/>
      <c r="E144" s="221" t="inlineStr">
        <is>
          <t>CX</t>
        </is>
      </c>
      <c r="F144" s="686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20">
        <f>IFERROR(ROUNDUP(D144/F144,0),"")</f>
        <v/>
      </c>
      <c r="H144" s="224" t="n"/>
      <c r="I144" s="220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552" t="n"/>
      <c r="K144" s="552" t="n"/>
      <c r="L144" s="552" t="n"/>
      <c r="M144" s="552" t="n"/>
    </row>
    <row r="145" ht="21" customHeight="1" s="468">
      <c r="A145" s="685" t="n"/>
      <c r="B145" s="218" t="n"/>
      <c r="C145" s="219" t="n"/>
      <c r="D145" s="220" t="n"/>
      <c r="E145" s="221" t="inlineStr">
        <is>
          <t>CX</t>
        </is>
      </c>
      <c r="F145" s="686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220">
        <f>IFERROR(ROUNDUP(D145/F145,0),"")</f>
        <v/>
      </c>
      <c r="H145" s="224" t="n"/>
      <c r="I145" s="220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  <c r="J145" s="552" t="n"/>
      <c r="K145" s="552" t="n"/>
      <c r="L145" s="552" t="n"/>
      <c r="M145" s="552" t="n"/>
    </row>
    <row r="146" ht="21" customHeight="1" s="468">
      <c r="A146" s="685" t="n"/>
      <c r="B146" s="218" t="n"/>
      <c r="C146" s="219" t="n"/>
      <c r="D146" s="220" t="n"/>
      <c r="E146" s="221" t="inlineStr">
        <is>
          <t>CX</t>
        </is>
      </c>
      <c r="F146" s="686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220">
        <f>IFERROR(ROUNDUP(D146/F146,0),"")</f>
        <v/>
      </c>
      <c r="H146" s="224" t="n"/>
      <c r="I146" s="220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  <c r="J146" s="552" t="n"/>
      <c r="K146" s="552" t="n"/>
      <c r="L146" s="552" t="n"/>
      <c r="M146" s="552" t="n"/>
    </row>
    <row r="147" ht="21" customHeight="1" s="468">
      <c r="A147" s="685" t="n"/>
      <c r="B147" s="218" t="n"/>
      <c r="C147" s="219" t="n"/>
      <c r="D147" s="220" t="n"/>
      <c r="E147" s="221" t="inlineStr">
        <is>
          <t>CX</t>
        </is>
      </c>
      <c r="F147" s="686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220">
        <f>IFERROR(ROUNDUP(D147/F147,0),"")</f>
        <v/>
      </c>
      <c r="H147" s="224" t="n"/>
      <c r="I147" s="220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  <c r="J147" s="552" t="n"/>
      <c r="K147" s="552" t="n"/>
      <c r="L147" s="552" t="n"/>
      <c r="M147" s="552" t="n"/>
    </row>
    <row r="148" ht="15" customHeight="1" s="468">
      <c r="A148" s="658" t="n"/>
      <c r="B148" s="640" t="inlineStr">
        <is>
          <t>TOTAL</t>
        </is>
      </c>
      <c r="C148" s="667" t="n"/>
      <c r="D148" s="642">
        <f>SUM(D143:D147)</f>
        <v/>
      </c>
      <c r="E148" s="668" t="n"/>
      <c r="F148" s="644" t="n"/>
      <c r="G148" s="642">
        <f>SUM(G143:G147)</f>
        <v/>
      </c>
      <c r="H148" s="642">
        <f>SUM(H143:H147)</f>
        <v/>
      </c>
      <c r="I148" s="642">
        <f>SUM(I143:I147)</f>
        <v/>
      </c>
      <c r="J148" s="644">
        <f>D148</f>
        <v/>
      </c>
      <c r="K148" s="644">
        <f>G148</f>
        <v/>
      </c>
      <c r="L148" s="644">
        <f>H148</f>
        <v/>
      </c>
      <c r="M148" s="644">
        <f>I148</f>
        <v/>
      </c>
    </row>
    <row r="149" ht="6" customHeight="1" s="468">
      <c r="A149" s="638" t="n"/>
      <c r="C149" s="71" t="n"/>
      <c r="D149" s="552" t="n"/>
      <c r="F149" s="552" t="n"/>
      <c r="G149" s="552" t="n"/>
      <c r="H149" s="552" t="n"/>
      <c r="I149" s="552" t="n"/>
      <c r="J149" s="552" t="n"/>
      <c r="K149" s="552" t="n"/>
      <c r="L149" s="552" t="n"/>
      <c r="M149" s="552" t="n"/>
    </row>
    <row r="150" ht="15" customHeight="1" s="468">
      <c r="A150" s="646" t="n">
        <v>46135</v>
      </c>
      <c r="B150" s="213" t="inlineStr">
        <is>
          <t>PRODUTO</t>
        </is>
      </c>
      <c r="C150" s="214" t="inlineStr">
        <is>
          <t>EMBALAGEM</t>
        </is>
      </c>
      <c r="D150" s="244" t="inlineStr">
        <is>
          <t>CAIXAS</t>
        </is>
      </c>
      <c r="E150" s="215" t="inlineStr">
        <is>
          <t>UN</t>
        </is>
      </c>
      <c r="F150" s="687" t="inlineStr">
        <is>
          <t>CX/PALLET</t>
        </is>
      </c>
      <c r="G150" s="244" t="inlineStr">
        <is>
          <t>PALLETS (PBR)</t>
        </is>
      </c>
      <c r="H150" s="244" t="inlineStr">
        <is>
          <t>REAL (CX)</t>
        </is>
      </c>
      <c r="I150" s="244" t="inlineStr">
        <is>
          <t>TOTAL LATAS</t>
        </is>
      </c>
      <c r="J150" s="552" t="n"/>
      <c r="K150" s="552" t="n"/>
      <c r="L150" s="552" t="n"/>
      <c r="M150" s="552" t="n"/>
    </row>
    <row r="151" ht="21" customHeight="1" s="468">
      <c r="A151" s="685" t="n"/>
      <c r="B151" s="218" t="inlineStr">
        <is>
          <t>PURATOS DESTAK</t>
        </is>
      </c>
      <c r="C151" s="219" t="n">
        <v>600</v>
      </c>
      <c r="D151" s="220">
        <f>D143-H143</f>
        <v/>
      </c>
      <c r="E151" s="221" t="inlineStr">
        <is>
          <t>CX</t>
        </is>
      </c>
      <c r="F151" s="686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20">
        <f>IFERROR(ROUNDUP(D151/F151,0),"")</f>
        <v/>
      </c>
      <c r="H151" s="224" t="n">
        <v>383</v>
      </c>
      <c r="I151" s="220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52" t="n"/>
      <c r="K151" s="552" t="n"/>
      <c r="L151" s="552" t="n"/>
      <c r="M151" s="552" t="n"/>
    </row>
    <row r="152" ht="21" customHeight="1" s="468">
      <c r="A152" s="685" t="n"/>
      <c r="B152" s="218" t="inlineStr">
        <is>
          <t>PURATOS NORCAU</t>
        </is>
      </c>
      <c r="C152" s="219" t="n">
        <v>600</v>
      </c>
      <c r="D152" s="220" t="n">
        <v>570</v>
      </c>
      <c r="E152" s="221" t="inlineStr">
        <is>
          <t>CX</t>
        </is>
      </c>
      <c r="F152" s="68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20">
        <f>IFERROR(ROUNDUP(D152/F152,0),"")</f>
        <v/>
      </c>
      <c r="H152" s="224" t="n">
        <v>506</v>
      </c>
      <c r="I152" s="220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552" t="n"/>
      <c r="K152" s="552" t="n"/>
      <c r="L152" s="552" t="n"/>
      <c r="M152" s="552" t="n"/>
    </row>
    <row r="153" ht="21" customHeight="1" s="468">
      <c r="A153" s="685" t="n"/>
      <c r="B153" s="218" t="n"/>
      <c r="C153" s="219" t="n"/>
      <c r="D153" s="220" t="n"/>
      <c r="E153" s="221" t="inlineStr">
        <is>
          <t>CX</t>
        </is>
      </c>
      <c r="F153" s="686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220">
        <f>IFERROR(ROUNDUP(D153/F153,0),"")</f>
        <v/>
      </c>
      <c r="H153" s="224" t="n"/>
      <c r="I153" s="220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552" t="n"/>
      <c r="K153" s="552" t="n"/>
      <c r="L153" s="552" t="n"/>
      <c r="M153" s="552" t="n"/>
    </row>
    <row r="154" ht="21" customHeight="1" s="468">
      <c r="A154" s="685" t="n"/>
      <c r="B154" s="218" t="n"/>
      <c r="C154" s="219" t="n"/>
      <c r="D154" s="220" t="n"/>
      <c r="E154" s="221" t="inlineStr">
        <is>
          <t>CX</t>
        </is>
      </c>
      <c r="F154" s="686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220">
        <f>IFERROR(ROUNDUP(D154/F154,0),"")</f>
        <v/>
      </c>
      <c r="H154" s="224" t="n"/>
      <c r="I154" s="220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552" t="n"/>
      <c r="K154" s="552" t="n"/>
      <c r="L154" s="552" t="n"/>
      <c r="M154" s="552" t="n"/>
    </row>
    <row r="155" ht="21" customHeight="1" s="468">
      <c r="A155" s="685" t="n"/>
      <c r="B155" s="218" t="n"/>
      <c r="C155" s="219" t="n"/>
      <c r="D155" s="220" t="n"/>
      <c r="E155" s="221" t="inlineStr">
        <is>
          <t>CX</t>
        </is>
      </c>
      <c r="F155" s="686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220">
        <f>IFERROR(ROUNDUP(D155/F155,0),"")</f>
        <v/>
      </c>
      <c r="H155" s="224" t="n"/>
      <c r="I155" s="220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  <c r="J155" s="552" t="n"/>
      <c r="K155" s="552" t="n"/>
      <c r="L155" s="552" t="n"/>
      <c r="M155" s="552" t="n"/>
    </row>
    <row r="156" ht="21" customHeight="1" s="468">
      <c r="A156" s="685" t="n"/>
      <c r="B156" s="218" t="n"/>
      <c r="C156" s="219" t="n"/>
      <c r="D156" s="220" t="n"/>
      <c r="E156" s="221" t="inlineStr">
        <is>
          <t>CX</t>
        </is>
      </c>
      <c r="F156" s="686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20">
        <f>IFERROR(ROUNDUP(D156/F156,0),"")</f>
        <v/>
      </c>
      <c r="H156" s="224" t="n"/>
      <c r="I156" s="220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552" t="n"/>
      <c r="K156" s="552" t="n"/>
      <c r="L156" s="552" t="n"/>
      <c r="M156" s="552" t="n"/>
    </row>
    <row r="157" ht="15" customHeight="1" s="468">
      <c r="A157" s="658" t="n"/>
      <c r="B157" s="640" t="inlineStr">
        <is>
          <t>TOTAL</t>
        </is>
      </c>
      <c r="C157" s="667" t="n"/>
      <c r="D157" s="642">
        <f>SUM(D151:D156)</f>
        <v/>
      </c>
      <c r="E157" s="668" t="n"/>
      <c r="F157" s="644" t="n"/>
      <c r="G157" s="642">
        <f>SUM(G151:G156)</f>
        <v/>
      </c>
      <c r="H157" s="642">
        <f>SUM(H151:H156)</f>
        <v/>
      </c>
      <c r="I157" s="642">
        <f>SUM(I151:I156)</f>
        <v/>
      </c>
      <c r="J157" s="644">
        <f>D157</f>
        <v/>
      </c>
      <c r="K157" s="644">
        <f>G157</f>
        <v/>
      </c>
      <c r="L157" s="644">
        <f>H157</f>
        <v/>
      </c>
      <c r="M157" s="644">
        <f>I157</f>
        <v/>
      </c>
    </row>
    <row r="158" ht="6" customHeight="1" s="468">
      <c r="A158" s="638" t="n"/>
      <c r="C158" s="71" t="n"/>
      <c r="D158" s="552" t="n"/>
      <c r="F158" s="552" t="n"/>
      <c r="G158" s="552" t="n"/>
      <c r="H158" s="552" t="n"/>
      <c r="I158" s="552" t="n"/>
      <c r="J158" s="552" t="n"/>
      <c r="K158" s="552" t="n"/>
      <c r="L158" s="552" t="n"/>
      <c r="M158" s="552" t="n"/>
    </row>
    <row r="159" ht="15" customHeight="1" s="468">
      <c r="A159" s="646" t="n">
        <v>46136</v>
      </c>
      <c r="B159" s="213" t="inlineStr">
        <is>
          <t>PRODUTO</t>
        </is>
      </c>
      <c r="C159" s="214" t="inlineStr">
        <is>
          <t>EMBALAGEM</t>
        </is>
      </c>
      <c r="D159" s="244" t="inlineStr">
        <is>
          <t>CAIXAS</t>
        </is>
      </c>
      <c r="E159" s="215" t="inlineStr">
        <is>
          <t>UN</t>
        </is>
      </c>
      <c r="F159" s="687" t="inlineStr">
        <is>
          <t>CX/PALLET</t>
        </is>
      </c>
      <c r="G159" s="244" t="inlineStr">
        <is>
          <t>PALLETS (PBR)</t>
        </is>
      </c>
      <c r="H159" s="244" t="inlineStr">
        <is>
          <t>REAL (CX)</t>
        </is>
      </c>
      <c r="I159" s="244" t="inlineStr">
        <is>
          <t>TOTAL LATAS</t>
        </is>
      </c>
      <c r="J159" s="552" t="n"/>
      <c r="K159" s="552" t="n"/>
      <c r="L159" s="552" t="n"/>
      <c r="M159" s="552" t="n"/>
    </row>
    <row r="160" ht="21" customHeight="1" s="468">
      <c r="A160" s="685" t="n"/>
      <c r="B160" s="218" t="inlineStr">
        <is>
          <t>PURATOS NORCAU</t>
        </is>
      </c>
      <c r="C160" s="219" t="n">
        <v>600</v>
      </c>
      <c r="D160" s="220" t="n">
        <v>64</v>
      </c>
      <c r="E160" s="221" t="inlineStr">
        <is>
          <t>CX</t>
        </is>
      </c>
      <c r="F160" s="68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20">
        <f>IFERROR(ROUNDUP(D160/F160,0),"")</f>
        <v/>
      </c>
      <c r="H160" s="224" t="n">
        <v>64</v>
      </c>
      <c r="I160" s="22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552" t="n"/>
      <c r="K160" s="552" t="n"/>
      <c r="L160" s="552" t="n"/>
      <c r="M160" s="552" t="n"/>
    </row>
    <row r="161" ht="21" customHeight="1" s="468">
      <c r="A161" s="685" t="n"/>
      <c r="B161" s="218" t="inlineStr">
        <is>
          <t>COPRA SEM SABOR</t>
        </is>
      </c>
      <c r="C161" s="219" t="n">
        <v>100</v>
      </c>
      <c r="D161" s="220" t="n">
        <v>1920</v>
      </c>
      <c r="E161" s="221" t="inlineStr">
        <is>
          <t>CX</t>
        </is>
      </c>
      <c r="F161" s="686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220">
        <f>IFERROR(ROUNDUP(D161/F161,0),"")</f>
        <v/>
      </c>
      <c r="H161" s="224" t="n">
        <v>783</v>
      </c>
      <c r="I161" s="220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  <c r="J161" s="552" t="n"/>
      <c r="K161" s="552" t="n"/>
      <c r="L161" s="552" t="n"/>
      <c r="M161" s="552" t="n"/>
    </row>
    <row r="162" ht="21" customHeight="1" s="468">
      <c r="A162" s="685" t="n"/>
      <c r="B162" s="218" t="n"/>
      <c r="C162" s="219" t="n"/>
      <c r="D162" s="220" t="n"/>
      <c r="E162" s="221" t="inlineStr">
        <is>
          <t>CX</t>
        </is>
      </c>
      <c r="F162" s="686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220">
        <f>IFERROR(ROUNDUP(D162/F162,0),"")</f>
        <v/>
      </c>
      <c r="H162" s="224" t="n"/>
      <c r="I162" s="220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552" t="n"/>
      <c r="K162" s="552" t="n"/>
      <c r="L162" s="552" t="n"/>
      <c r="M162" s="552" t="n"/>
    </row>
    <row r="163" ht="21" customHeight="1" s="468">
      <c r="A163" s="685" t="n"/>
      <c r="B163" s="218" t="n"/>
      <c r="C163" s="219" t="n"/>
      <c r="D163" s="220" t="n"/>
      <c r="E163" s="221" t="inlineStr">
        <is>
          <t>CX</t>
        </is>
      </c>
      <c r="F163" s="686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220">
        <f>IFERROR(ROUNDUP(D163/F163,0),"")</f>
        <v/>
      </c>
      <c r="H163" s="224" t="n"/>
      <c r="I163" s="220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  <c r="J163" s="552" t="n"/>
      <c r="K163" s="552" t="n"/>
      <c r="L163" s="552" t="n"/>
      <c r="M163" s="552" t="n"/>
    </row>
    <row r="164" ht="21" customHeight="1" s="468">
      <c r="A164" s="685" t="n"/>
      <c r="B164" s="218" t="n"/>
      <c r="C164" s="219" t="n"/>
      <c r="D164" s="220" t="n"/>
      <c r="E164" s="221" t="inlineStr">
        <is>
          <t>CX</t>
        </is>
      </c>
      <c r="F164" s="686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20">
        <f>IFERROR(ROUNDUP(D164/F164,0),"")</f>
        <v/>
      </c>
      <c r="H164" s="224" t="n"/>
      <c r="I164" s="220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552" t="n"/>
      <c r="K164" s="552" t="n"/>
      <c r="L164" s="552" t="n"/>
      <c r="M164" s="552" t="n"/>
    </row>
    <row r="165" ht="15" customHeight="1" s="468">
      <c r="A165" s="658" t="n"/>
      <c r="B165" s="640" t="inlineStr">
        <is>
          <t>TOTAL</t>
        </is>
      </c>
      <c r="C165" s="667" t="n"/>
      <c r="D165" s="642">
        <f>SUM(D160:D164)</f>
        <v/>
      </c>
      <c r="E165" s="668" t="n"/>
      <c r="F165" s="644" t="n"/>
      <c r="G165" s="642">
        <f>SUM(G160:G164)</f>
        <v/>
      </c>
      <c r="H165" s="642">
        <f>SUM(H160:H164)</f>
        <v/>
      </c>
      <c r="I165" s="642">
        <f>SUM(I160:I164)</f>
        <v/>
      </c>
      <c r="J165" s="644">
        <f>D165</f>
        <v/>
      </c>
      <c r="K165" s="644">
        <f>G165</f>
        <v/>
      </c>
      <c r="L165" s="644">
        <f>H165</f>
        <v/>
      </c>
      <c r="M165" s="644">
        <f>I165</f>
        <v/>
      </c>
    </row>
    <row r="166" ht="6" customHeight="1" s="468">
      <c r="A166" s="638" t="n"/>
      <c r="C166" s="71" t="n"/>
      <c r="D166" s="552" t="n"/>
      <c r="F166" s="552" t="n"/>
      <c r="G166" s="552" t="n"/>
      <c r="H166" s="552" t="n"/>
      <c r="I166" s="552" t="n"/>
      <c r="J166" s="552" t="n"/>
      <c r="K166" s="552" t="n"/>
      <c r="L166" s="552" t="n"/>
      <c r="M166" s="552" t="n"/>
    </row>
    <row r="167" ht="15" customHeight="1" s="468">
      <c r="A167" s="646" t="n">
        <v>46137</v>
      </c>
      <c r="B167" s="213" t="inlineStr">
        <is>
          <t>PRODUTO</t>
        </is>
      </c>
      <c r="C167" s="214" t="inlineStr">
        <is>
          <t>EMBALAGEM</t>
        </is>
      </c>
      <c r="D167" s="244" t="inlineStr">
        <is>
          <t>CAIXAS</t>
        </is>
      </c>
      <c r="E167" s="215" t="inlineStr">
        <is>
          <t>UN</t>
        </is>
      </c>
      <c r="F167" s="687" t="inlineStr">
        <is>
          <t>CX/PALLET</t>
        </is>
      </c>
      <c r="G167" s="244" t="inlineStr">
        <is>
          <t>PALLETS (PBR)</t>
        </is>
      </c>
      <c r="H167" s="244" t="inlineStr">
        <is>
          <t>REAL (CX)</t>
        </is>
      </c>
      <c r="I167" s="244" t="inlineStr">
        <is>
          <t>TOTAL LATAS</t>
        </is>
      </c>
      <c r="J167" s="552" t="n"/>
      <c r="K167" s="552" t="n"/>
      <c r="L167" s="552" t="n"/>
      <c r="M167" s="552" t="n"/>
    </row>
    <row r="168" ht="21" customHeight="1" s="468">
      <c r="A168" s="685" t="n"/>
      <c r="B168" s="218" t="inlineStr">
        <is>
          <t>COPRA SEM SABOR</t>
        </is>
      </c>
      <c r="C168" s="219" t="n">
        <v>100</v>
      </c>
      <c r="D168" s="220">
        <f>D161-H161</f>
        <v/>
      </c>
      <c r="E168" s="221" t="inlineStr">
        <is>
          <t>CX</t>
        </is>
      </c>
      <c r="F168" s="68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20">
        <f>IFERROR(ROUNDUP(D168/F168,0),"")</f>
        <v/>
      </c>
      <c r="H168" s="224" t="n">
        <v>1141</v>
      </c>
      <c r="I168" s="220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 t="n"/>
      <c r="K168" s="552" t="n"/>
      <c r="L168" s="552" t="n"/>
      <c r="M168" s="552" t="n"/>
    </row>
    <row r="169" ht="21" customHeight="1" s="468">
      <c r="A169" s="685" t="n"/>
      <c r="B169" s="218" t="n"/>
      <c r="C169" s="219" t="n"/>
      <c r="D169" s="220" t="n"/>
      <c r="E169" s="221" t="inlineStr">
        <is>
          <t>CX</t>
        </is>
      </c>
      <c r="F169" s="686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220">
        <f>IFERROR(ROUNDUP(D169/F169,0),"")</f>
        <v/>
      </c>
      <c r="H169" s="224" t="n"/>
      <c r="I169" s="220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J169" s="552" t="n"/>
      <c r="K169" s="552" t="n"/>
      <c r="L169" s="552" t="n"/>
      <c r="M169" s="552" t="n"/>
    </row>
    <row r="170" ht="21" customHeight="1" s="468">
      <c r="A170" s="685" t="n"/>
      <c r="B170" s="218" t="n"/>
      <c r="C170" s="219" t="n"/>
      <c r="D170" s="220" t="n"/>
      <c r="E170" s="221" t="inlineStr">
        <is>
          <t>CX</t>
        </is>
      </c>
      <c r="F170" s="686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220">
        <f>IFERROR(ROUNDUP(D170/F170,0),"")</f>
        <v/>
      </c>
      <c r="H170" s="224" t="n"/>
      <c r="I170" s="220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J170" s="552" t="n"/>
      <c r="K170" s="552" t="n"/>
      <c r="L170" s="552" t="n"/>
      <c r="M170" s="552" t="n"/>
    </row>
    <row r="171" ht="21" customHeight="1" s="468">
      <c r="A171" s="685" t="n"/>
      <c r="B171" s="218" t="n"/>
      <c r="C171" s="219" t="n"/>
      <c r="D171" s="220" t="n"/>
      <c r="E171" s="221" t="inlineStr">
        <is>
          <t>CX</t>
        </is>
      </c>
      <c r="F171" s="686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220">
        <f>IFERROR(ROUNDUP(D171/F171,0),"")</f>
        <v/>
      </c>
      <c r="H171" s="224" t="n"/>
      <c r="I171" s="220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  <c r="J171" s="552" t="n"/>
      <c r="K171" s="552" t="n"/>
      <c r="L171" s="552" t="n"/>
      <c r="M171" s="552" t="n"/>
    </row>
    <row r="172" ht="21" customHeight="1" s="468">
      <c r="A172" s="685" t="n"/>
      <c r="B172" s="218" t="n"/>
      <c r="C172" s="219" t="n"/>
      <c r="D172" s="220" t="n"/>
      <c r="E172" s="221" t="inlineStr">
        <is>
          <t>CX</t>
        </is>
      </c>
      <c r="F172" s="686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20">
        <f>IFERROR(ROUNDUP(D172/F172,0),"")</f>
        <v/>
      </c>
      <c r="H172" s="224" t="n"/>
      <c r="I172" s="220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552" t="n"/>
      <c r="K172" s="552" t="n"/>
      <c r="L172" s="552" t="n"/>
      <c r="M172" s="552" t="n"/>
    </row>
    <row r="173" ht="15" customHeight="1" s="468">
      <c r="A173" s="658" t="n"/>
      <c r="B173" s="640" t="inlineStr">
        <is>
          <t>TOTAL</t>
        </is>
      </c>
      <c r="C173" s="667" t="n"/>
      <c r="D173" s="642">
        <f>SUM(D168:D172)</f>
        <v/>
      </c>
      <c r="E173" s="668" t="n"/>
      <c r="F173" s="644" t="n"/>
      <c r="G173" s="642">
        <f>SUM(G168:G172)</f>
        <v/>
      </c>
      <c r="H173" s="642">
        <f>SUM(H168:H172)</f>
        <v/>
      </c>
      <c r="I173" s="642">
        <f>SUM(I168:I172)</f>
        <v/>
      </c>
      <c r="J173" s="644">
        <f>D173</f>
        <v/>
      </c>
      <c r="K173" s="644">
        <f>G173</f>
        <v/>
      </c>
      <c r="L173" s="644">
        <f>H173</f>
        <v/>
      </c>
      <c r="M173" s="644">
        <f>I173</f>
        <v/>
      </c>
    </row>
    <row r="174" ht="6" customHeight="1" s="468">
      <c r="A174" s="638" t="n"/>
      <c r="C174" s="71" t="n"/>
      <c r="D174" s="552" t="n"/>
      <c r="F174" s="552" t="n"/>
      <c r="G174" s="552" t="n"/>
      <c r="H174" s="552" t="n"/>
      <c r="I174" s="552" t="n"/>
      <c r="J174" s="552" t="n"/>
      <c r="K174" s="552" t="n"/>
      <c r="L174" s="552" t="n"/>
      <c r="M174" s="552" t="n"/>
    </row>
    <row r="175" ht="15" customHeight="1" s="468">
      <c r="A175" s="646" t="n">
        <v>46139</v>
      </c>
      <c r="B175" s="213" t="inlineStr">
        <is>
          <t>PRODUTO</t>
        </is>
      </c>
      <c r="C175" s="214" t="inlineStr">
        <is>
          <t>EMBALAGEM</t>
        </is>
      </c>
      <c r="D175" s="244" t="inlineStr">
        <is>
          <t>CAIXAS</t>
        </is>
      </c>
      <c r="E175" s="215" t="inlineStr">
        <is>
          <t>UN</t>
        </is>
      </c>
      <c r="F175" s="687" t="inlineStr">
        <is>
          <t>CX/PALLET</t>
        </is>
      </c>
      <c r="G175" s="244" t="inlineStr">
        <is>
          <t>PALLETS (PBR)</t>
        </is>
      </c>
      <c r="H175" s="244" t="inlineStr">
        <is>
          <t>REAL (CX)</t>
        </is>
      </c>
      <c r="I175" s="244" t="inlineStr">
        <is>
          <t>TOTAL LATAS</t>
        </is>
      </c>
      <c r="J175" s="552" t="n"/>
      <c r="K175" s="552" t="n"/>
      <c r="L175" s="552" t="n"/>
      <c r="M175" s="552" t="n"/>
    </row>
    <row r="176" ht="21" customHeight="1" s="468">
      <c r="A176" s="685" t="n"/>
      <c r="B176" s="218" t="inlineStr">
        <is>
          <t>COPRA EXTRAVIRGEM</t>
        </is>
      </c>
      <c r="C176" s="219" t="n">
        <v>180</v>
      </c>
      <c r="D176" s="220" t="n">
        <v>1670</v>
      </c>
      <c r="E176" s="221" t="inlineStr">
        <is>
          <t>CX</t>
        </is>
      </c>
      <c r="F176" s="68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20">
        <f>IFERROR(ROUNDUP(D176/F176,0),"")</f>
        <v/>
      </c>
      <c r="H176" s="224" t="n">
        <v>1683</v>
      </c>
      <c r="I176" s="220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 t="n"/>
      <c r="K176" s="552" t="n"/>
      <c r="L176" s="552" t="n"/>
      <c r="M176" s="552" t="n"/>
    </row>
    <row r="177" ht="21" customHeight="1" s="468">
      <c r="A177" s="685" t="n"/>
      <c r="B177" s="218" t="n"/>
      <c r="C177" s="219" t="n"/>
      <c r="D177" s="220" t="n"/>
      <c r="E177" s="221" t="inlineStr">
        <is>
          <t>CX</t>
        </is>
      </c>
      <c r="F177" s="686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220">
        <f>IFERROR(ROUNDUP(D177/F177,0),"")</f>
        <v/>
      </c>
      <c r="H177" s="224" t="n"/>
      <c r="I177" s="220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J177" s="552" t="n"/>
      <c r="K177" s="552" t="n"/>
      <c r="L177" s="552" t="n"/>
      <c r="M177" s="552" t="n"/>
    </row>
    <row r="178" ht="21" customHeight="1" s="468">
      <c r="A178" s="685" t="n"/>
      <c r="B178" s="218" t="n"/>
      <c r="C178" s="219" t="n"/>
      <c r="D178" s="220" t="n"/>
      <c r="E178" s="221" t="inlineStr">
        <is>
          <t>CX</t>
        </is>
      </c>
      <c r="F178" s="686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220">
        <f>IFERROR(ROUNDUP(D178/F178,0),"")</f>
        <v/>
      </c>
      <c r="H178" s="224" t="n"/>
      <c r="I178" s="220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J178" s="552" t="n"/>
      <c r="K178" s="552" t="n"/>
      <c r="L178" s="552" t="n"/>
      <c r="M178" s="552" t="n"/>
    </row>
    <row r="179" ht="21" customHeight="1" s="468">
      <c r="A179" s="685" t="n"/>
      <c r="B179" s="218" t="n"/>
      <c r="C179" s="219" t="n"/>
      <c r="D179" s="220" t="n"/>
      <c r="E179" s="221" t="inlineStr">
        <is>
          <t>CX</t>
        </is>
      </c>
      <c r="F179" s="686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220">
        <f>IFERROR(ROUNDUP(D179/F179,0),"")</f>
        <v/>
      </c>
      <c r="H179" s="224" t="n"/>
      <c r="I179" s="220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  <c r="J179" s="552" t="n"/>
      <c r="K179" s="552" t="n"/>
      <c r="L179" s="552" t="n"/>
      <c r="M179" s="552" t="n"/>
    </row>
    <row r="180" ht="21" customHeight="1" s="468">
      <c r="A180" s="685" t="n"/>
      <c r="B180" s="218" t="n"/>
      <c r="C180" s="219" t="n"/>
      <c r="D180" s="220" t="n"/>
      <c r="E180" s="221" t="inlineStr">
        <is>
          <t>CX</t>
        </is>
      </c>
      <c r="F180" s="686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20">
        <f>IFERROR(ROUNDUP(D180/F180,0),"")</f>
        <v/>
      </c>
      <c r="H180" s="224" t="n"/>
      <c r="I180" s="220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552" t="n"/>
      <c r="K180" s="552" t="n"/>
      <c r="L180" s="552" t="n"/>
      <c r="M180" s="552" t="n"/>
    </row>
    <row r="181" ht="15" customHeight="1" s="468">
      <c r="A181" s="658" t="n"/>
      <c r="B181" s="640" t="inlineStr">
        <is>
          <t>TOTAL</t>
        </is>
      </c>
      <c r="C181" s="667" t="n"/>
      <c r="D181" s="642">
        <f>SUM(D176:D180)</f>
        <v/>
      </c>
      <c r="E181" s="668" t="n"/>
      <c r="F181" s="644" t="n"/>
      <c r="G181" s="642">
        <f>SUM(G176:G180)</f>
        <v/>
      </c>
      <c r="H181" s="642">
        <f>SUM(H176:H180)</f>
        <v/>
      </c>
      <c r="I181" s="642">
        <f>SUM(I176:I180)</f>
        <v/>
      </c>
      <c r="J181" s="644">
        <f>D181</f>
        <v/>
      </c>
      <c r="K181" s="644">
        <f>G181</f>
        <v/>
      </c>
      <c r="L181" s="644">
        <f>H181</f>
        <v/>
      </c>
      <c r="M181" s="644">
        <f>I181</f>
        <v/>
      </c>
    </row>
    <row r="182" ht="6" customHeight="1" s="468">
      <c r="A182" s="638" t="n"/>
      <c r="C182" s="71" t="n"/>
      <c r="D182" s="552" t="n"/>
      <c r="F182" s="552" t="n"/>
      <c r="G182" s="552" t="n"/>
      <c r="H182" s="552" t="n"/>
      <c r="I182" s="552" t="n"/>
      <c r="J182" s="552" t="n"/>
      <c r="K182" s="552" t="n"/>
      <c r="L182" s="552" t="n"/>
      <c r="M182" s="552" t="n"/>
    </row>
    <row r="183" ht="15" customHeight="1" s="468">
      <c r="A183" s="646" t="n">
        <v>46140</v>
      </c>
      <c r="B183" s="213" t="inlineStr">
        <is>
          <t>PRODUTO</t>
        </is>
      </c>
      <c r="C183" s="214" t="inlineStr">
        <is>
          <t>EMBALAGEM</t>
        </is>
      </c>
      <c r="D183" s="244" t="inlineStr">
        <is>
          <t>CAIXAS</t>
        </is>
      </c>
      <c r="E183" s="215" t="inlineStr">
        <is>
          <t>UN</t>
        </is>
      </c>
      <c r="F183" s="687" t="inlineStr">
        <is>
          <t>CX/PALLET</t>
        </is>
      </c>
      <c r="G183" s="244" t="inlineStr">
        <is>
          <t>PALLETS (PBR)</t>
        </is>
      </c>
      <c r="H183" s="244" t="inlineStr">
        <is>
          <t>REAL (CX)</t>
        </is>
      </c>
      <c r="I183" s="244" t="inlineStr">
        <is>
          <t>TOTAL LATAS</t>
        </is>
      </c>
      <c r="J183" s="552" t="n"/>
      <c r="K183" s="552" t="n"/>
      <c r="L183" s="552" t="n"/>
      <c r="M183" s="552" t="n"/>
    </row>
    <row r="184" ht="21" customHeight="1" s="468">
      <c r="A184" s="685" t="n"/>
      <c r="B184" s="218" t="n"/>
      <c r="C184" s="219" t="n"/>
      <c r="D184" s="220" t="n"/>
      <c r="E184" s="221" t="n"/>
      <c r="F184" s="686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20">
        <f>IFERROR(ROUNDUP(D184/F184,0),"")</f>
        <v/>
      </c>
      <c r="H184" s="224" t="n"/>
      <c r="I184" s="220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552" t="n"/>
      <c r="K184" s="552" t="n"/>
      <c r="L184" s="552" t="n"/>
      <c r="M184" s="552" t="n"/>
    </row>
    <row r="185" ht="21" customHeight="1" s="468">
      <c r="A185" s="685" t="n"/>
      <c r="B185" s="218" t="inlineStr">
        <is>
          <t xml:space="preserve">UNTA FACIL </t>
        </is>
      </c>
      <c r="C185" s="219" t="n">
        <v>180</v>
      </c>
      <c r="D185" s="220" t="n">
        <v>480</v>
      </c>
      <c r="E185" s="221" t="inlineStr">
        <is>
          <t>CX</t>
        </is>
      </c>
      <c r="F185" s="686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/>
      </c>
      <c r="G185" s="220">
        <f>IFERROR(ROUNDUP(D185/F185,0),"")</f>
        <v/>
      </c>
      <c r="H185" s="224" t="n">
        <v>481</v>
      </c>
      <c r="I185" s="220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/>
      </c>
      <c r="J185" s="552" t="n"/>
      <c r="K185" s="552" t="n"/>
      <c r="L185" s="552" t="n"/>
      <c r="M185" s="552" t="n"/>
    </row>
    <row r="186" ht="21" customHeight="1" s="468">
      <c r="A186" s="685" t="n"/>
      <c r="B186" s="218" t="inlineStr">
        <is>
          <t>PURATOS DESTAK</t>
        </is>
      </c>
      <c r="C186" s="219" t="n">
        <v>600</v>
      </c>
      <c r="D186" s="220" t="n">
        <v>3990</v>
      </c>
      <c r="E186" s="221" t="inlineStr">
        <is>
          <t>CX</t>
        </is>
      </c>
      <c r="F186" s="686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220">
        <f>IFERROR(ROUNDUP(D186/F186,0),"")</f>
        <v/>
      </c>
      <c r="H186" s="224" t="n">
        <v>911</v>
      </c>
      <c r="I186" s="220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  <c r="J186" s="552" t="n"/>
      <c r="K186" s="552" t="n"/>
      <c r="L186" s="552" t="n"/>
      <c r="M186" s="552" t="n"/>
    </row>
    <row r="187" ht="21" customHeight="1" s="468">
      <c r="A187" s="685" t="n"/>
      <c r="B187" s="218" t="n"/>
      <c r="C187" s="219" t="n"/>
      <c r="D187" s="220" t="n"/>
      <c r="E187" s="221" t="inlineStr">
        <is>
          <t>CX</t>
        </is>
      </c>
      <c r="F187" s="686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220">
        <f>IFERROR(ROUNDUP(D187/F187,0),"")</f>
        <v/>
      </c>
      <c r="H187" s="224" t="n"/>
      <c r="I187" s="220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  <c r="J187" s="552" t="n"/>
      <c r="K187" s="552" t="n"/>
      <c r="L187" s="552" t="n"/>
      <c r="M187" s="552" t="n"/>
    </row>
    <row r="188" ht="21" customHeight="1" s="468">
      <c r="A188" s="685" t="n"/>
      <c r="B188" s="218" t="n"/>
      <c r="C188" s="219" t="n"/>
      <c r="D188" s="220" t="n"/>
      <c r="E188" s="221" t="inlineStr">
        <is>
          <t>CX</t>
        </is>
      </c>
      <c r="F188" s="686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20">
        <f>IFERROR(ROUNDUP(D188/F188,0),"")</f>
        <v/>
      </c>
      <c r="H188" s="224" t="n"/>
      <c r="I188" s="220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552" t="n"/>
      <c r="K188" s="552" t="n"/>
      <c r="L188" s="552" t="n"/>
      <c r="M188" s="552" t="n"/>
    </row>
    <row r="189" ht="15" customHeight="1" s="468">
      <c r="A189" s="658" t="n"/>
      <c r="B189" s="640" t="inlineStr">
        <is>
          <t>TOTAL</t>
        </is>
      </c>
      <c r="C189" s="667" t="n"/>
      <c r="D189" s="642">
        <f>SUM(D184:D188)</f>
        <v/>
      </c>
      <c r="E189" s="668" t="n"/>
      <c r="F189" s="644" t="n"/>
      <c r="G189" s="642">
        <f>SUM(G184:G188)</f>
        <v/>
      </c>
      <c r="H189" s="642">
        <f>SUM(H184:H188)</f>
        <v/>
      </c>
      <c r="I189" s="642">
        <f>SUM(I184:I188)</f>
        <v/>
      </c>
      <c r="J189" s="644">
        <f>D189</f>
        <v/>
      </c>
      <c r="K189" s="644">
        <f>G189</f>
        <v/>
      </c>
      <c r="L189" s="644">
        <f>H189</f>
        <v/>
      </c>
      <c r="M189" s="644">
        <f>I189</f>
        <v/>
      </c>
    </row>
    <row r="190" ht="6" customHeight="1" s="468">
      <c r="A190" s="638" t="n"/>
      <c r="C190" s="71" t="n"/>
      <c r="D190" s="552" t="n"/>
      <c r="F190" s="552" t="n"/>
      <c r="G190" s="552" t="n"/>
      <c r="H190" s="552" t="n"/>
      <c r="I190" s="552" t="n"/>
      <c r="J190" s="552" t="n"/>
      <c r="K190" s="552" t="n"/>
      <c r="L190" s="552" t="n"/>
      <c r="M190" s="552" t="n"/>
    </row>
    <row r="191" ht="15" customHeight="1" s="468">
      <c r="A191" s="646" t="n">
        <v>46141</v>
      </c>
      <c r="B191" s="213" t="inlineStr">
        <is>
          <t>PRODUTO</t>
        </is>
      </c>
      <c r="C191" s="214" t="inlineStr">
        <is>
          <t>EMBALAGEM</t>
        </is>
      </c>
      <c r="D191" s="244" t="inlineStr">
        <is>
          <t>CAIXAS</t>
        </is>
      </c>
      <c r="E191" s="215" t="inlineStr">
        <is>
          <t>UN</t>
        </is>
      </c>
      <c r="F191" s="687" t="inlineStr">
        <is>
          <t>CX/PALLET</t>
        </is>
      </c>
      <c r="G191" s="244" t="inlineStr">
        <is>
          <t>PALLETS (PBR)</t>
        </is>
      </c>
      <c r="H191" s="244" t="inlineStr">
        <is>
          <t>REAL (CX)</t>
        </is>
      </c>
      <c r="I191" s="244" t="inlineStr">
        <is>
          <t>TOTAL LATAS</t>
        </is>
      </c>
      <c r="J191" s="552" t="n"/>
      <c r="K191" s="552" t="n"/>
      <c r="L191" s="552" t="n"/>
      <c r="M191" s="552" t="n"/>
    </row>
    <row r="192" ht="21" customHeight="1" s="468">
      <c r="A192" s="685" t="n"/>
      <c r="B192" s="218" t="inlineStr">
        <is>
          <t>PURATOS DESTAK</t>
        </is>
      </c>
      <c r="C192" s="219" t="n">
        <v>600</v>
      </c>
      <c r="D192" s="220">
        <f>D186-H186</f>
        <v/>
      </c>
      <c r="E192" s="221" t="inlineStr">
        <is>
          <t>CX</t>
        </is>
      </c>
      <c r="F192" s="686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20">
        <f>IFERROR(ROUNDUP(D192/F192,0),"")</f>
        <v/>
      </c>
      <c r="H192" s="224" t="n">
        <v>1578</v>
      </c>
      <c r="I192" s="220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552" t="n"/>
      <c r="K192" s="552" t="n"/>
      <c r="L192" s="552" t="n"/>
      <c r="M192" s="552" t="n"/>
    </row>
    <row r="193" ht="21" customHeight="1" s="468">
      <c r="A193" s="685" t="n"/>
      <c r="B193" s="218" t="n"/>
      <c r="C193" s="219" t="n"/>
      <c r="D193" s="220" t="n"/>
      <c r="E193" s="221" t="inlineStr">
        <is>
          <t>CX</t>
        </is>
      </c>
      <c r="F193" s="686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/>
      </c>
      <c r="G193" s="220">
        <f>IFERROR(ROUNDUP(D193/F193,0),"")</f>
        <v/>
      </c>
      <c r="H193" s="224" t="n"/>
      <c r="I193" s="220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/>
      </c>
      <c r="J193" s="552" t="n"/>
      <c r="K193" s="552" t="n"/>
      <c r="L193" s="552" t="n"/>
      <c r="M193" s="552" t="n"/>
    </row>
    <row r="194" ht="21" customHeight="1" s="468">
      <c r="A194" s="685" t="n"/>
      <c r="B194" s="218" t="n"/>
      <c r="C194" s="219" t="n"/>
      <c r="D194" s="220" t="n"/>
      <c r="E194" s="221" t="inlineStr">
        <is>
          <t>CX</t>
        </is>
      </c>
      <c r="F194" s="686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220">
        <f>IFERROR(ROUNDUP(D194/F194,0),"")</f>
        <v/>
      </c>
      <c r="H194" s="224" t="n"/>
      <c r="I194" s="220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  <c r="J194" s="552" t="n"/>
      <c r="K194" s="552" t="n"/>
      <c r="L194" s="552" t="n"/>
      <c r="M194" s="552" t="n"/>
    </row>
    <row r="195" ht="21" customHeight="1" s="468">
      <c r="A195" s="685" t="n"/>
      <c r="B195" s="218" t="n"/>
      <c r="C195" s="219" t="n"/>
      <c r="D195" s="220" t="n"/>
      <c r="E195" s="221" t="inlineStr">
        <is>
          <t>CX</t>
        </is>
      </c>
      <c r="F195" s="686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220">
        <f>IFERROR(ROUNDUP(D195/F195,0),"")</f>
        <v/>
      </c>
      <c r="H195" s="224" t="n"/>
      <c r="I195" s="220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  <c r="J195" s="552" t="n"/>
      <c r="K195" s="552" t="n"/>
      <c r="L195" s="552" t="n"/>
      <c r="M195" s="552" t="n"/>
    </row>
    <row r="196" ht="21" customHeight="1" s="468">
      <c r="A196" s="685" t="n"/>
      <c r="B196" s="218" t="n"/>
      <c r="C196" s="219" t="n"/>
      <c r="D196" s="220" t="n"/>
      <c r="E196" s="221" t="inlineStr">
        <is>
          <t>CX</t>
        </is>
      </c>
      <c r="F196" s="68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20">
        <f>IFERROR(ROUNDUP(D196/F196,0),"")</f>
        <v/>
      </c>
      <c r="H196" s="224" t="n"/>
      <c r="I196" s="220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552" t="n"/>
      <c r="K196" s="552" t="n"/>
      <c r="L196" s="552" t="n"/>
      <c r="M196" s="552" t="n"/>
    </row>
    <row r="197" ht="15" customHeight="1" s="468">
      <c r="A197" s="658" t="n"/>
      <c r="B197" s="640" t="inlineStr">
        <is>
          <t>TOTAL</t>
        </is>
      </c>
      <c r="C197" s="667" t="n"/>
      <c r="D197" s="642">
        <f>SUM(D192:D196)</f>
        <v/>
      </c>
      <c r="E197" s="668" t="n"/>
      <c r="F197" s="644" t="n"/>
      <c r="G197" s="642">
        <f>SUM(G192:G196)</f>
        <v/>
      </c>
      <c r="H197" s="642">
        <f>SUM(H192:H196)</f>
        <v/>
      </c>
      <c r="I197" s="642">
        <f>SUM(I192:I196)</f>
        <v/>
      </c>
      <c r="J197" s="644">
        <f>D197</f>
        <v/>
      </c>
      <c r="K197" s="644">
        <f>G197</f>
        <v/>
      </c>
      <c r="L197" s="644">
        <f>H197</f>
        <v/>
      </c>
      <c r="M197" s="644">
        <f>I197</f>
        <v/>
      </c>
    </row>
    <row r="198" ht="6" customHeight="1" s="468">
      <c r="A198" s="638" t="n"/>
      <c r="C198" s="71" t="n"/>
      <c r="D198" s="552" t="n"/>
      <c r="F198" s="552" t="n"/>
      <c r="G198" s="552" t="n"/>
      <c r="H198" s="552" t="n"/>
      <c r="I198" s="552" t="n"/>
      <c r="J198" s="552" t="n"/>
      <c r="K198" s="552" t="n"/>
      <c r="L198" s="552" t="n"/>
      <c r="M198" s="552" t="n"/>
    </row>
    <row r="199" ht="15" customHeight="1" s="468">
      <c r="A199" s="646" t="n">
        <v>46142</v>
      </c>
      <c r="B199" s="213" t="inlineStr">
        <is>
          <t>PRODUTO</t>
        </is>
      </c>
      <c r="C199" s="214" t="inlineStr">
        <is>
          <t>EMBALAGEM</t>
        </is>
      </c>
      <c r="D199" s="244" t="inlineStr">
        <is>
          <t>CAIXAS</t>
        </is>
      </c>
      <c r="E199" s="215" t="inlineStr">
        <is>
          <t>UN</t>
        </is>
      </c>
      <c r="F199" s="687" t="inlineStr">
        <is>
          <t>CX/PALLET</t>
        </is>
      </c>
      <c r="G199" s="244" t="inlineStr">
        <is>
          <t>PALLETS (PBR)</t>
        </is>
      </c>
      <c r="H199" s="244" t="inlineStr">
        <is>
          <t>REAL (CX)</t>
        </is>
      </c>
      <c r="I199" s="244" t="inlineStr">
        <is>
          <t>TOTAL LATAS</t>
        </is>
      </c>
      <c r="J199" s="552" t="n"/>
      <c r="K199" s="552" t="n"/>
      <c r="L199" s="552" t="n"/>
      <c r="M199" s="552" t="n"/>
    </row>
    <row r="200" ht="21" customHeight="1" s="468">
      <c r="A200" s="685" t="n"/>
      <c r="B200" s="218" t="inlineStr">
        <is>
          <t>PURATOS DESTAK</t>
        </is>
      </c>
      <c r="C200" s="219" t="n">
        <v>600</v>
      </c>
      <c r="D200" s="220">
        <f>D192-H192</f>
        <v/>
      </c>
      <c r="E200" s="221" t="inlineStr">
        <is>
          <t>CX</t>
        </is>
      </c>
      <c r="F200" s="686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20">
        <f>IFERROR(ROUNDUP(D200/F200,0),"")</f>
        <v/>
      </c>
      <c r="H200" s="224" t="n">
        <v>1140</v>
      </c>
      <c r="I200" s="220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552" t="n"/>
      <c r="K200" s="552" t="n"/>
      <c r="L200" s="552" t="n"/>
      <c r="M200" s="552" t="n"/>
    </row>
    <row r="201" ht="21" customHeight="1" s="468">
      <c r="A201" s="685" t="n"/>
      <c r="B201" s="218" t="inlineStr">
        <is>
          <t>ADIMIX LISSE</t>
        </is>
      </c>
      <c r="C201" s="219" t="n">
        <v>600</v>
      </c>
      <c r="D201" s="220" t="n">
        <v>665</v>
      </c>
      <c r="E201" s="221" t="inlineStr">
        <is>
          <t>CX</t>
        </is>
      </c>
      <c r="F201" s="686">
        <f>IF($B201="","",IF(SUMIFS(CONFIG_PALLETS!$C:$C,CONFIG_PALLETS!$A:$A,TRIM($B201),CONFIG_PALLETS!$B:$B,$C201&amp;" ml")&gt;0,SUMIFS(CONFIG_PALLETS!$C:$C,CONFIG_PALLETS!$A:$A,TRIM($B201),CONFIG_PALLETS!$B:$B,$C201&amp;" ml"),IF(SUMIFS(CONFIG_PALLETS!$C:$C,CONFIG_PALLETS!$A:$A,"GERAL",CONFIG_PALLETS!$B:$B,$C201&amp;" ml")&gt;0,SUMIFS(CONFIG_PALLETS!$C:$C,CONFIG_PALLETS!$A:$A,"GERAL",CONFIG_PALLETS!$B:$B,$C201&amp;" ml"),"")))</f>
        <v/>
      </c>
      <c r="G201" s="220">
        <f>IFERROR(ROUNDUP(D201/F201,0),"")</f>
        <v/>
      </c>
      <c r="H201" s="224" t="n">
        <v>420</v>
      </c>
      <c r="I201" s="220">
        <f>IF(H201="","",H201*IF(SUMIFS(CONFIG_PALLETS!$D:$D,CONFIG_PALLETS!$A:$A,IF(ISNUMBER(SEARCH("ESPUMA",$B201)),"ESPUMA",IF(OR(ISNUMBER(SEARCH("OLEO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ml")&gt;0,SUMIFS(CONFIG_PALLETS!$D:$D,CONFIG_PALLETS!$A:$A,IF(ISNUMBER(SEARCH("ESPUMA",$B201)),"ESPUMA",IF(OR(ISNUMBER(SEARCH("OLEO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ml"),IF(SUMIFS(CONFIG_PALLETS!$D:$D,CONFIG_PALLETS!$A:$A,"GERAL",CONFIG_PALLETS!$B:$B,$C201&amp;" ml")&gt;0,SUMIFS(CONFIG_PALLETS!$D:$D,CONFIG_PALLETS!$A:$A,"GERAL",CONFIG_PALLETS!$B:$B,$C201&amp;" ml"),12)))</f>
        <v/>
      </c>
      <c r="J201" s="552" t="n"/>
      <c r="K201" s="552" t="n"/>
      <c r="L201" s="552" t="n"/>
      <c r="M201" s="552" t="n"/>
    </row>
    <row r="202" ht="21" customHeight="1" s="468">
      <c r="A202" s="685" t="n"/>
      <c r="B202" s="218" t="n"/>
      <c r="C202" s="219" t="n"/>
      <c r="D202" s="220" t="n"/>
      <c r="E202" s="221" t="inlineStr">
        <is>
          <t>CX</t>
        </is>
      </c>
      <c r="F202" s="686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/>
      </c>
      <c r="G202" s="220">
        <f>IFERROR(ROUNDUP(D202/F202,0),"")</f>
        <v/>
      </c>
      <c r="H202" s="224" t="n"/>
      <c r="I202" s="220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/>
      </c>
      <c r="J202" s="552" t="n"/>
      <c r="K202" s="552" t="n"/>
      <c r="L202" s="552" t="n"/>
      <c r="M202" s="552" t="n"/>
    </row>
    <row r="203" ht="21" customHeight="1" s="468">
      <c r="A203" s="685" t="n"/>
      <c r="B203" s="218" t="n"/>
      <c r="C203" s="219" t="n"/>
      <c r="D203" s="220" t="n"/>
      <c r="E203" s="221" t="inlineStr">
        <is>
          <t>CX</t>
        </is>
      </c>
      <c r="F203" s="686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/>
      </c>
      <c r="G203" s="220">
        <f>IFERROR(ROUNDUP(D203/F203,0),"")</f>
        <v/>
      </c>
      <c r="H203" s="224" t="n"/>
      <c r="I203" s="220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/>
      </c>
      <c r="J203" s="552" t="n"/>
      <c r="K203" s="552" t="n"/>
      <c r="L203" s="552" t="n"/>
      <c r="M203" s="552" t="n"/>
    </row>
    <row r="204" ht="21" customHeight="1" s="468">
      <c r="A204" s="685" t="n"/>
      <c r="B204" s="218" t="n"/>
      <c r="C204" s="219" t="n"/>
      <c r="D204" s="220" t="n"/>
      <c r="E204" s="221" t="inlineStr">
        <is>
          <t>CX</t>
        </is>
      </c>
      <c r="F204" s="686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20">
        <f>IFERROR(ROUNDUP(D204/F204,0),"")</f>
        <v/>
      </c>
      <c r="H204" s="224" t="n"/>
      <c r="I204" s="220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  <c r="J204" s="552" t="n"/>
      <c r="K204" s="552" t="n"/>
      <c r="L204" s="552" t="n"/>
      <c r="M204" s="552" t="n"/>
    </row>
    <row r="205" ht="15" customHeight="1" s="468">
      <c r="A205" s="658" t="n"/>
      <c r="B205" s="640" t="inlineStr">
        <is>
          <t>TOTAL</t>
        </is>
      </c>
      <c r="C205" s="667" t="n"/>
      <c r="D205" s="642">
        <f>SUM(D200:D204)</f>
        <v/>
      </c>
      <c r="E205" s="668" t="n"/>
      <c r="F205" s="644" t="n"/>
      <c r="G205" s="642">
        <f>SUM(G200:G204)</f>
        <v/>
      </c>
      <c r="H205" s="642">
        <f>SUM(H200:H204)</f>
        <v/>
      </c>
      <c r="I205" s="642">
        <f>SUM(I200:I204)</f>
        <v/>
      </c>
      <c r="J205" s="644">
        <f>D205</f>
        <v/>
      </c>
      <c r="K205" s="644">
        <f>G205</f>
        <v/>
      </c>
      <c r="L205" s="644">
        <f>H205</f>
        <v/>
      </c>
      <c r="M205" s="644">
        <f>I205</f>
        <v/>
      </c>
    </row>
    <row r="206" ht="6" customHeight="1" s="468"/>
  </sheetData>
  <mergeCells count="5">
    <mergeCell ref="A2:F2"/>
    <mergeCell ref="G2:I2"/>
    <mergeCell ref="B26:B28"/>
    <mergeCell ref="A1:I1"/>
    <mergeCell ref="B112:B114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205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0F766E"/>
    <outlinePr summaryBelow="1" summaryRight="1"/>
    <pageSetUpPr/>
  </sheetPr>
  <dimension ref="A1:Z59"/>
  <sheetViews>
    <sheetView showGridLines="0" topLeftCell="A10" zoomScale="90" zoomScaleNormal="90" workbookViewId="0">
      <pane ySplit="8" topLeftCell="A9" activePane="bottomLeft" state="frozen"/>
      <selection pane="bottomLeft" activeCell="R22" sqref="R22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50" customWidth="1" style="468" min="7" max="7"/>
    <col width="4" customWidth="1" style="468" min="8" max="8"/>
    <col width="14" customWidth="1" style="468" min="9" max="9"/>
    <col width="4" customWidth="1" style="468" min="10" max="10"/>
    <col width="16" customWidth="1" style="468" min="11" max="11"/>
    <col width="28" customWidth="1" style="468" min="12" max="12"/>
    <col width="18" customWidth="1" style="468" min="13" max="13"/>
    <col width="13" customWidth="1" style="468" min="14" max="14"/>
    <col hidden="1" width="13" customWidth="1" style="468" min="25" max="26"/>
  </cols>
  <sheetData>
    <row r="1" ht="19.5" customHeight="1" s="468">
      <c r="A1" s="675" t="inlineStr">
        <is>
          <t>RESULTADOS E GRÁFICO - ABRIL</t>
        </is>
      </c>
      <c r="B1" s="456" t="n"/>
      <c r="C1" s="456" t="n"/>
      <c r="D1" s="456" t="n"/>
      <c r="E1" s="456" t="n"/>
      <c r="F1" s="456" t="n"/>
      <c r="G1" s="513" t="n"/>
    </row>
    <row r="2" ht="14.4" customHeight="1" s="468">
      <c r="A2" s="638" t="n"/>
    </row>
    <row r="3" ht="14.25" customHeight="1" s="468">
      <c r="A3" s="638" t="n"/>
      <c r="C3" s="148" t="inlineStr">
        <is>
          <t>Total do mês</t>
        </is>
      </c>
      <c r="E3" s="148" t="inlineStr">
        <is>
          <t>Meta do mês</t>
        </is>
      </c>
      <c r="G3" s="149" t="inlineStr">
        <is>
          <t>Média por dia</t>
        </is>
      </c>
      <c r="I3" s="148" t="inlineStr">
        <is>
          <t>Melhor dia</t>
        </is>
      </c>
      <c r="K3" s="150" t="inlineStr">
        <is>
          <t>Atingimento</t>
        </is>
      </c>
      <c r="L3" s="151" t="inlineStr">
        <is>
          <t>Legenda</t>
        </is>
      </c>
      <c r="M3" s="151" t="inlineStr">
        <is>
          <t>Leitura</t>
        </is>
      </c>
    </row>
    <row r="4" ht="15.75" customHeight="1" s="468">
      <c r="A4" s="638" t="n"/>
      <c r="C4" s="152">
        <f>SUM(D9:D32)</f>
        <v/>
      </c>
      <c r="E4" s="152">
        <f>SUM(E9:E32)</f>
        <v/>
      </c>
      <c r="G4" s="152">
        <f>IFERROR(SUMIFS(D9:D32,A9:A32,"&lt;="&amp;TODAY(),G9:G32,"&lt;&gt;*Feriado*")/COUNTIFS(A9:A32,"&lt;="&amp;TODAY(),G9:G32,"&lt;&gt;*Feriado*"),0)</f>
        <v/>
      </c>
      <c r="I4" s="152">
        <f>IFERROR(MAX(D9:D32),0)</f>
        <v/>
      </c>
      <c r="K4" s="153">
        <f>IFERROR(C4/E4,0)</f>
        <v/>
      </c>
      <c r="L4" s="154" t="inlineStr">
        <is>
          <t>Verde</t>
        </is>
      </c>
      <c r="M4" s="155" t="inlineStr">
        <is>
          <t>Acima da meta</t>
        </is>
      </c>
    </row>
    <row r="5" ht="15" customHeight="1" s="468">
      <c r="A5" s="638" t="n"/>
      <c r="L5" s="156" t="inlineStr">
        <is>
          <t>Vermelho</t>
        </is>
      </c>
      <c r="M5" s="157" t="inlineStr">
        <is>
          <t>Abaixo da meta</t>
        </is>
      </c>
    </row>
    <row r="6" ht="15" customHeight="1" s="468">
      <c r="A6" s="638" t="n"/>
      <c r="L6" s="158" t="inlineStr">
        <is>
          <t>Cinza</t>
        </is>
      </c>
      <c r="M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Dia</t>
        </is>
      </c>
      <c r="D8" s="623" t="inlineStr">
        <is>
          <t>Realizado</t>
        </is>
      </c>
      <c r="E8" s="623" t="inlineStr">
        <is>
          <t>Meta diária</t>
        </is>
      </c>
      <c r="F8" s="623" t="inlineStr">
        <is>
          <t>Diferença</t>
        </is>
      </c>
      <c r="G8" s="162" t="inlineStr">
        <is>
          <t>Observações</t>
        </is>
      </c>
      <c r="Y8" t="inlineStr">
        <is>
          <t>Realizado gráfico</t>
        </is>
      </c>
      <c r="Z8" t="inlineStr">
        <is>
          <t>Meta gráfico</t>
        </is>
      </c>
    </row>
    <row r="9" ht="15" customHeight="1" s="468">
      <c r="A9" s="676" t="n">
        <v>46113</v>
      </c>
      <c r="B9" s="677">
        <f>IF(E9&gt;0,COUNTIF($E$9:E9,"&gt;0"),"")</f>
        <v/>
      </c>
      <c r="C9" s="690" t="inlineStr">
        <is>
          <t>qua</t>
        </is>
      </c>
      <c r="D9" s="678">
        <f>'SEMANA ABRIL'!$M$14</f>
        <v/>
      </c>
      <c r="E9" s="678">
        <f>CONFIG!$B$3</f>
        <v/>
      </c>
      <c r="F9" s="691">
        <f>D9-E9</f>
        <v/>
      </c>
      <c r="G9" s="450" t="n"/>
      <c r="Y9" s="552">
        <f>IF(COUNTIF($G9,"*Feriado*")&gt;0,NA(),$D9)</f>
        <v/>
      </c>
      <c r="Z9" s="552">
        <f>IF(COUNTIF($G9,"*Feriado*")&gt;0,NA(),$E9)</f>
        <v/>
      </c>
    </row>
    <row r="10" ht="15" customHeight="1" s="468">
      <c r="A10" s="676" t="n">
        <v>46114</v>
      </c>
      <c r="B10" s="677">
        <f>IF(E10&gt;0,COUNTIF($E$9:E10,"&gt;0"),"")</f>
        <v/>
      </c>
      <c r="C10" s="690" t="inlineStr">
        <is>
          <t>qui</t>
        </is>
      </c>
      <c r="D10" s="678">
        <f>'SEMANA ABRIL'!$M$22</f>
        <v/>
      </c>
      <c r="E10" s="678">
        <f>CONFIG!$B$3</f>
        <v/>
      </c>
      <c r="F10" s="691">
        <f>D10-E10</f>
        <v/>
      </c>
      <c r="G10" s="450" t="n"/>
      <c r="Y10" s="552">
        <f>IF(COUNTIF($G10,"*Feriado*")&gt;0,NA(),$D10)</f>
        <v/>
      </c>
      <c r="Z10" s="552">
        <f>IF(COUNTIF($G10,"*Feriado*")&gt;0,NA(),$E10)</f>
        <v/>
      </c>
    </row>
    <row r="11" ht="15" customHeight="1" s="468">
      <c r="A11" s="676" t="n">
        <v>46115</v>
      </c>
      <c r="B11" s="677">
        <f>IF(E11&gt;0,COUNTIF($E$9:E11,"&gt;0"),"")</f>
        <v/>
      </c>
      <c r="C11" s="690" t="inlineStr">
        <is>
          <t>sex</t>
        </is>
      </c>
      <c r="D11" s="678">
        <f>'SEMANA ABRIL'!$M$30</f>
        <v/>
      </c>
      <c r="E11" s="678" t="n">
        <v>0</v>
      </c>
      <c r="F11" s="691">
        <f>D11-E11</f>
        <v/>
      </c>
      <c r="G11" s="166" t="inlineStr">
        <is>
          <t>Feriado - Paixão de Cristo</t>
        </is>
      </c>
      <c r="Y11">
        <f>IF(COUNTIF($G11,"*Feriado*")&gt;0,NA(),$D11)</f>
        <v/>
      </c>
      <c r="Z11">
        <f>IF(COUNTIF($G11,"*Feriado*")&gt;0,NA(),$E11)</f>
        <v/>
      </c>
    </row>
    <row r="12" ht="15" customHeight="1" s="468">
      <c r="A12" s="676" t="n">
        <v>46118</v>
      </c>
      <c r="B12" s="677">
        <f>IF(E12&gt;0,COUNTIF($E$9:E12,"&gt;0"),"")</f>
        <v/>
      </c>
      <c r="C12" s="690" t="inlineStr">
        <is>
          <t>seg</t>
        </is>
      </c>
      <c r="D12" s="678">
        <f>'SEMANA ABRIL'!$M$42</f>
        <v/>
      </c>
      <c r="E12" s="678">
        <f>CONFIG!$B$3</f>
        <v/>
      </c>
      <c r="F12" s="691">
        <f>D12-E12</f>
        <v/>
      </c>
      <c r="G12" s="450" t="n"/>
      <c r="Y12" s="552">
        <f>IF(COUNTIF($G12,"*Feriado*")&gt;0,NA(),$D12)</f>
        <v/>
      </c>
      <c r="Z12" s="552">
        <f>IF(COUNTIF($G12,"*Feriado*")&gt;0,NA(),$E12)</f>
        <v/>
      </c>
    </row>
    <row r="13" ht="15" customHeight="1" s="468">
      <c r="A13" s="676" t="n">
        <v>46119</v>
      </c>
      <c r="B13" s="677">
        <f>IF(E13&gt;0,COUNTIF($E$9:E13,"&gt;0"),"")</f>
        <v/>
      </c>
      <c r="C13" s="690" t="inlineStr">
        <is>
          <t>ter</t>
        </is>
      </c>
      <c r="D13" s="678">
        <f>'SEMANA ABRIL'!$M$52</f>
        <v/>
      </c>
      <c r="E13" s="678">
        <f>CONFIG!$B$3</f>
        <v/>
      </c>
      <c r="F13" s="691">
        <f>D13-E13</f>
        <v/>
      </c>
      <c r="G13" s="450" t="n"/>
      <c r="Y13" s="552">
        <f>IF(COUNTIF($G13,"*Feriado*")&gt;0,NA(),$D13)</f>
        <v/>
      </c>
      <c r="Z13" s="552">
        <f>IF(COUNTIF($G13,"*Feriado*")&gt;0,NA(),$E13)</f>
        <v/>
      </c>
    </row>
    <row r="14" ht="15" customHeight="1" s="468">
      <c r="A14" s="676" t="n">
        <v>46120</v>
      </c>
      <c r="B14" s="677">
        <f>IF(E14&gt;0,COUNTIF($E$9:E14,"&gt;0"),"")</f>
        <v/>
      </c>
      <c r="C14" s="690" t="inlineStr">
        <is>
          <t>qua</t>
        </is>
      </c>
      <c r="D14" s="678">
        <f>'SEMANA ABRIL'!$M$60</f>
        <v/>
      </c>
      <c r="E14" s="678">
        <f>CONFIG!$B$3</f>
        <v/>
      </c>
      <c r="F14" s="691">
        <f>D14-E14</f>
        <v/>
      </c>
      <c r="G14" s="450" t="n"/>
      <c r="Y14" s="552">
        <f>IF(COUNTIF($G14,"*Feriado*")&gt;0,NA(),$D14)</f>
        <v/>
      </c>
      <c r="Z14" s="552">
        <f>IF(COUNTIF($G14,"*Feriado*")&gt;0,NA(),$E14)</f>
        <v/>
      </c>
    </row>
    <row r="15" ht="15" customHeight="1" s="468">
      <c r="A15" s="676" t="n">
        <v>46121</v>
      </c>
      <c r="B15" s="677">
        <f>IF(E15&gt;0,COUNTIF($E$9:E15,"&gt;0"),"")</f>
        <v/>
      </c>
      <c r="C15" s="690" t="inlineStr">
        <is>
          <t>qui</t>
        </is>
      </c>
      <c r="D15" s="678">
        <f>'SEMANA ABRIL'!$M$68</f>
        <v/>
      </c>
      <c r="E15" s="678">
        <f>CONFIG!$B$3</f>
        <v/>
      </c>
      <c r="F15" s="691">
        <f>D15-E15</f>
        <v/>
      </c>
      <c r="G15" s="450" t="n"/>
      <c r="Y15" s="552">
        <f>IF(COUNTIF($G15,"*Feriado*")&gt;0,NA(),$D15)</f>
        <v/>
      </c>
      <c r="Z15" s="552">
        <f>IF(COUNTIF($G15,"*Feriado*")&gt;0,NA(),$E15)</f>
        <v/>
      </c>
    </row>
    <row r="16" ht="15" customHeight="1" s="468">
      <c r="A16" s="676" t="n">
        <v>46122</v>
      </c>
      <c r="B16" s="677">
        <f>IF(E16&gt;0,COUNTIF($E$9:E16,"&gt;0"),"")</f>
        <v/>
      </c>
      <c r="C16" s="690" t="inlineStr">
        <is>
          <t>sex</t>
        </is>
      </c>
      <c r="D16" s="678">
        <f>'SEMANA ABRIL'!$M$76</f>
        <v/>
      </c>
      <c r="E16" s="678">
        <f>CONFIG!$B$3</f>
        <v/>
      </c>
      <c r="F16" s="691">
        <f>D16-E16</f>
        <v/>
      </c>
      <c r="G16" s="252" t="inlineStr">
        <is>
          <t>Treinamento na parte da tarde.</t>
        </is>
      </c>
      <c r="Y16" s="552">
        <f>IF(COUNTIF($G16,"*Feriado*")&gt;0,NA(),$D16)</f>
        <v/>
      </c>
      <c r="Z16" s="552">
        <f>IF(COUNTIF($G16,"*Feriado*")&gt;0,NA(),$E16)</f>
        <v/>
      </c>
    </row>
    <row r="17" ht="15" customHeight="1" s="468">
      <c r="A17" s="676" t="n">
        <v>46125</v>
      </c>
      <c r="B17" s="677">
        <f>IF(E17&gt;0,COUNTIF($E$9:E17,"&gt;0"),"")</f>
        <v/>
      </c>
      <c r="C17" s="690" t="inlineStr">
        <is>
          <t>seg</t>
        </is>
      </c>
      <c r="D17" s="678">
        <f>'SEMANA ABRIL'!$M$84</f>
        <v/>
      </c>
      <c r="E17" s="678">
        <f>CONFIG!$B$3</f>
        <v/>
      </c>
      <c r="F17" s="691">
        <f>D17-E17</f>
        <v/>
      </c>
      <c r="G17" s="252" t="inlineStr">
        <is>
          <t>Paramos 10:00hrs por falta de gás. Voltamos 11:00.</t>
        </is>
      </c>
      <c r="Y17" s="552">
        <f>IF(COUNTIF($G17,"*Feriado*")&gt;0,NA(),$D17)</f>
        <v/>
      </c>
      <c r="Z17" s="552">
        <f>IF(COUNTIF($G17,"*Feriado*")&gt;0,NA(),$E17)</f>
        <v/>
      </c>
    </row>
    <row r="18" ht="15" customHeight="1" s="468">
      <c r="A18" s="676" t="n">
        <v>46126</v>
      </c>
      <c r="B18" s="677">
        <f>IF(E18&gt;0,COUNTIF($E$9:E18,"&gt;0"),"")</f>
        <v/>
      </c>
      <c r="C18" s="690" t="inlineStr">
        <is>
          <t>ter</t>
        </is>
      </c>
      <c r="D18" s="678">
        <f>'SEMANA ABRIL'!$M$92</f>
        <v/>
      </c>
      <c r="E18" s="678">
        <f>CONFIG!$B$3</f>
        <v/>
      </c>
      <c r="F18" s="691">
        <f>D18-E18</f>
        <v/>
      </c>
      <c r="G18" s="450" t="n"/>
      <c r="Y18" s="552">
        <f>IF(COUNTIF($G18,"*Feriado*")&gt;0,NA(),$D18)</f>
        <v/>
      </c>
      <c r="Z18" s="552">
        <f>IF(COUNTIF($G18,"*Feriado*")&gt;0,NA(),$E18)</f>
        <v/>
      </c>
    </row>
    <row r="19" ht="15" customHeight="1" s="468">
      <c r="A19" s="676" t="n">
        <v>46127</v>
      </c>
      <c r="B19" s="677">
        <f>IF(E19&gt;0,COUNTIF($E$9:E19,"&gt;0"),"")</f>
        <v/>
      </c>
      <c r="C19" s="690" t="inlineStr">
        <is>
          <t>qua</t>
        </is>
      </c>
      <c r="D19" s="678">
        <f>'SEMANA ABRIL'!$M$100</f>
        <v/>
      </c>
      <c r="E19" s="678">
        <f>CONFIG!$B$3</f>
        <v/>
      </c>
      <c r="F19" s="691">
        <f>D19-E19</f>
        <v/>
      </c>
      <c r="G19" s="450" t="n"/>
      <c r="Y19" s="552">
        <f>IF(COUNTIF($G19,"*Feriado*")&gt;0,NA(),$D19)</f>
        <v/>
      </c>
      <c r="Z19" s="552">
        <f>IF(COUNTIF($G19,"*Feriado*")&gt;0,NA(),$E19)</f>
        <v/>
      </c>
    </row>
    <row r="20" ht="15" customHeight="1" s="468">
      <c r="A20" s="676" t="n">
        <v>46128</v>
      </c>
      <c r="B20" s="677">
        <f>IF(E20&gt;0,COUNTIF($E$9:E20,"&gt;0"),"")</f>
        <v/>
      </c>
      <c r="C20" s="690" t="inlineStr">
        <is>
          <t>qui</t>
        </is>
      </c>
      <c r="D20" s="678">
        <f>'SEMANA ABRIL'!$M$108</f>
        <v/>
      </c>
      <c r="E20" s="678">
        <f>CONFIG!$B$3</f>
        <v/>
      </c>
      <c r="F20" s="691">
        <f>D20-E20</f>
        <v/>
      </c>
      <c r="G20" s="450" t="n"/>
      <c r="Y20" s="552">
        <f>IF(COUNTIF($G20,"*Feriado*")&gt;0,NA(),$D20)</f>
        <v/>
      </c>
      <c r="Z20" s="552">
        <f>IF(COUNTIF($G20,"*Feriado*")&gt;0,NA(),$E20)</f>
        <v/>
      </c>
    </row>
    <row r="21" ht="30" customHeight="1" s="468">
      <c r="A21" s="676" t="n">
        <v>46129</v>
      </c>
      <c r="B21" s="677">
        <f>IF(E21&gt;0,COUNTIF($E$9:E21,"&gt;0"),"")</f>
        <v/>
      </c>
      <c r="C21" s="690" t="inlineStr">
        <is>
          <t>sex</t>
        </is>
      </c>
      <c r="D21" s="678">
        <f>'SEMANA ABRIL'!$M$124</f>
        <v/>
      </c>
      <c r="E21" s="678">
        <f>CONFIG!$B$3</f>
        <v/>
      </c>
      <c r="F21" s="691">
        <f>D21-E21</f>
        <v/>
      </c>
      <c r="G21" s="256" t="inlineStr">
        <is>
          <t>A base dos pistões de gás terminaram de quebrar, estamos substituindo a peça.</t>
        </is>
      </c>
      <c r="Y21" s="552">
        <f>IF(COUNTIF($G21,"*Feriado*")&gt;0,NA(),$D21)</f>
        <v/>
      </c>
      <c r="Z21" s="552">
        <f>IF(COUNTIF($G21,"*Feriado*")&gt;0,NA(),$E21)</f>
        <v/>
      </c>
    </row>
    <row r="22" ht="15" customHeight="1" s="468">
      <c r="A22" s="676" t="n">
        <v>46130</v>
      </c>
      <c r="B22" s="677">
        <f>IF(E22&gt;0,COUNTIF($E$9:E22,"&gt;0"),"")</f>
        <v/>
      </c>
      <c r="C22" s="690" t="inlineStr">
        <is>
          <t>sáb</t>
        </is>
      </c>
      <c r="D22" s="678">
        <f>'SEMANA ABRIL'!$M$124</f>
        <v/>
      </c>
      <c r="E22" s="678">
        <f>CONFIG!$B$3</f>
        <v/>
      </c>
      <c r="F22" s="691">
        <f>D22-E22</f>
        <v/>
      </c>
      <c r="G22" s="166" t="inlineStr">
        <is>
          <t>Sábado - produção normal</t>
        </is>
      </c>
      <c r="Y22" s="552">
        <f>IF(COUNTIF($G22,"*Feriado*")&gt;0,NA(),$D22)</f>
        <v/>
      </c>
      <c r="Z22" s="552">
        <f>IF(COUNTIF($G22,"*Feriado*")&gt;0,NA(),$E22)</f>
        <v/>
      </c>
    </row>
    <row r="23" ht="15" customHeight="1" s="468">
      <c r="A23" s="676" t="n">
        <v>46132</v>
      </c>
      <c r="B23" s="677">
        <f>IF(E23&gt;0,COUNTIF($E$9:E23,"&gt;0"),"")</f>
        <v/>
      </c>
      <c r="C23" s="690" t="inlineStr">
        <is>
          <t>seg</t>
        </is>
      </c>
      <c r="D23" s="678">
        <f>'SEMANA ABRIL'!$M$132</f>
        <v/>
      </c>
      <c r="E23" s="678">
        <f>CONFIG!$B$3</f>
        <v/>
      </c>
      <c r="F23" s="691">
        <f>D23-E23</f>
        <v/>
      </c>
      <c r="G23" s="450" t="n"/>
      <c r="Y23" s="552">
        <f>IF(COUNTIF($G23,"*Feriado*")&gt;0,NA(),$D23)</f>
        <v/>
      </c>
      <c r="Z23" s="552">
        <f>IF(COUNTIF($G23,"*Feriado*")&gt;0,NA(),$E23)</f>
        <v/>
      </c>
    </row>
    <row r="24" ht="15" customHeight="1" s="468">
      <c r="A24" s="676" t="n">
        <v>46133</v>
      </c>
      <c r="B24" s="677">
        <f>IF(E24&gt;0,COUNTIF($E$9:E24,"&gt;0"),"")</f>
        <v/>
      </c>
      <c r="C24" s="690" t="inlineStr">
        <is>
          <t>ter</t>
        </is>
      </c>
      <c r="D24" s="678">
        <f>'SEMANA ABRIL'!$M$140</f>
        <v/>
      </c>
      <c r="E24" s="678">
        <f>CONFIG!$B$3</f>
        <v/>
      </c>
      <c r="F24" s="691">
        <f>D24-E24</f>
        <v/>
      </c>
      <c r="G24" s="166" t="inlineStr">
        <is>
          <t>Tiradentes - produção normal</t>
        </is>
      </c>
      <c r="Y24" s="552">
        <f>IF(COUNTIF($G24,"*Feriado*")&gt;0,NA(),$D24)</f>
        <v/>
      </c>
      <c r="Z24" s="552">
        <f>IF(COUNTIF($G24,"*Feriado*")&gt;0,NA(),$E24)</f>
        <v/>
      </c>
    </row>
    <row r="25" ht="15" customHeight="1" s="468">
      <c r="A25" s="676" t="n">
        <v>46134</v>
      </c>
      <c r="B25" s="677">
        <f>IF(E25&gt;0,COUNTIF($E$9:E25,"&gt;0"),"")</f>
        <v/>
      </c>
      <c r="C25" s="690" t="inlineStr">
        <is>
          <t>qua</t>
        </is>
      </c>
      <c r="D25" s="678">
        <f>'SEMANA ABRIL'!$M$148</f>
        <v/>
      </c>
      <c r="E25" s="678">
        <f>CONFIG!$B$3</f>
        <v/>
      </c>
      <c r="F25" s="691">
        <f>D25-E25</f>
        <v/>
      </c>
      <c r="G25" s="252" t="inlineStr">
        <is>
          <t>Paramos 09:00hrs por falta de gás. Voltamos 10:30.</t>
        </is>
      </c>
      <c r="Y25" s="552">
        <f>IF(COUNTIF($G25,"*Feriado*")&gt;0,NA(),$D25)</f>
        <v/>
      </c>
      <c r="Z25" s="552">
        <f>IF(COUNTIF($G25,"*Feriado*")&gt;0,NA(),$E25)</f>
        <v/>
      </c>
    </row>
    <row r="26" ht="15" customHeight="1" s="468">
      <c r="A26" s="676" t="n">
        <v>46135</v>
      </c>
      <c r="B26" s="677">
        <f>IF(E26&gt;0,COUNTIF($E$9:E26,"&gt;0"),"")</f>
        <v/>
      </c>
      <c r="C26" s="690" t="inlineStr">
        <is>
          <t>qui</t>
        </is>
      </c>
      <c r="D26" s="678">
        <f>'SEMANA ABRIL'!$M$157</f>
        <v/>
      </c>
      <c r="E26" s="678">
        <f>CONFIG!$B$3</f>
        <v/>
      </c>
      <c r="F26" s="691">
        <f>D26-E26</f>
        <v/>
      </c>
      <c r="G26" s="252" t="inlineStr">
        <is>
          <t>Paramos 11:00hrs por falta de gás. Voltamos 14:30.</t>
        </is>
      </c>
      <c r="Y26" s="552">
        <f>IF(COUNTIF($G26,"*Feriado*")&gt;0,NA(),$D26)</f>
        <v/>
      </c>
      <c r="Z26" s="552">
        <f>IF(COUNTIF($G26,"*Feriado*")&gt;0,NA(),$E26)</f>
        <v/>
      </c>
    </row>
    <row r="27" ht="15" customHeight="1" s="468">
      <c r="A27" s="676" t="n">
        <v>46136</v>
      </c>
      <c r="B27" s="677">
        <f>IF(E27&gt;0,COUNTIF($E$9:E27,"&gt;0"),"")</f>
        <v/>
      </c>
      <c r="C27" s="690" t="inlineStr">
        <is>
          <t>sex</t>
        </is>
      </c>
      <c r="D27" s="678">
        <f>'SEMANA ABRIL'!$M$165</f>
        <v/>
      </c>
      <c r="E27" s="678">
        <f>CONFIG!$B$3</f>
        <v/>
      </c>
      <c r="F27" s="691">
        <f>D27-E27</f>
        <v/>
      </c>
      <c r="G27" s="252" t="inlineStr">
        <is>
          <t>Trocamos para o Coco e fizemos as amostras da Renata.</t>
        </is>
      </c>
      <c r="Y27" s="552">
        <f>IF(COUNTIF($G26,"*Feriado*")&gt;0,NA(),$D27)</f>
        <v/>
      </c>
      <c r="Z27" s="552">
        <f>IF(COUNTIF($G26,"*Feriado*")&gt;0,NA(),$E27)</f>
        <v/>
      </c>
    </row>
    <row r="28" ht="15" customHeight="1" s="468">
      <c r="A28" s="676" t="n">
        <v>46137</v>
      </c>
      <c r="B28" s="677">
        <f>IF(E28&gt;0,COUNTIF($E$9:E28,"&gt;0"),"")</f>
        <v/>
      </c>
      <c r="C28" s="690" t="inlineStr">
        <is>
          <t>sáb</t>
        </is>
      </c>
      <c r="D28" s="678">
        <f>'SEMANA ABRIL'!I173</f>
        <v/>
      </c>
      <c r="E28" s="678">
        <f>CONFIG!$B$3</f>
        <v/>
      </c>
      <c r="F28" s="691">
        <f>D28-E28</f>
        <v/>
      </c>
      <c r="G28" s="450" t="n"/>
      <c r="Y28" s="552">
        <f>IF(COUNTIF($G28,"*Feriado*")&gt;0,NA(),$D28)</f>
        <v/>
      </c>
      <c r="Z28" s="552">
        <f>IF(COUNTIF($G28,"*Feriado*")&gt;0,NA(),$E28)</f>
        <v/>
      </c>
    </row>
    <row r="29" ht="15" customHeight="1" s="468">
      <c r="A29" s="676" t="n">
        <v>46139</v>
      </c>
      <c r="B29" s="677">
        <f>IF(E29&gt;0,COUNTIF($E$9:E29,"&gt;0"),"")</f>
        <v/>
      </c>
      <c r="C29" s="690" t="inlineStr">
        <is>
          <t>seg</t>
        </is>
      </c>
      <c r="D29" s="678">
        <f>'SEMANA ABRIL'!$M$181</f>
        <v/>
      </c>
      <c r="E29" s="678">
        <f>CONFIG!$B$3</f>
        <v/>
      </c>
      <c r="F29" s="691">
        <f>D29-E29</f>
        <v/>
      </c>
      <c r="G29" s="450" t="n"/>
      <c r="Y29" s="552">
        <f>IF(COUNTIF($G29,"*Feriado*")&gt;0,NA(),$D29)</f>
        <v/>
      </c>
      <c r="Z29" s="552">
        <f>IF(COUNTIF($G29,"*Feriado*")&gt;0,NA(),$E29)</f>
        <v/>
      </c>
    </row>
    <row r="30" ht="15" customHeight="1" s="468">
      <c r="A30" s="676" t="n">
        <v>46140</v>
      </c>
      <c r="B30" s="677">
        <f>IF(E30&gt;0,COUNTIF($E$9:E30,"&gt;0"),"")</f>
        <v/>
      </c>
      <c r="C30" s="690" t="inlineStr">
        <is>
          <t>ter</t>
        </is>
      </c>
      <c r="D30" s="678">
        <f>'SEMANA ABRIL'!$M$189</f>
        <v/>
      </c>
      <c r="E30" s="678">
        <f>CONFIG!$B$3</f>
        <v/>
      </c>
      <c r="F30" s="691">
        <f>D30-E30</f>
        <v/>
      </c>
      <c r="G30" s="252" t="inlineStr">
        <is>
          <t>Paramos 15:00hrs por falta de gás.</t>
        </is>
      </c>
      <c r="Y30" s="552">
        <f>IF(COUNTIF($G30,"*Feriado*")&gt;0,NA(),$D30)</f>
        <v/>
      </c>
      <c r="Z30" s="552">
        <f>IF(COUNTIF($G30,"*Feriado*")&gt;0,NA(),$E30)</f>
        <v/>
      </c>
    </row>
    <row r="31" ht="15" customHeight="1" s="468">
      <c r="A31" s="676" t="n">
        <v>46141</v>
      </c>
      <c r="B31" s="677">
        <f>IF(E31&gt;0,COUNTIF($E$9:E31,"&gt;0"),"")</f>
        <v/>
      </c>
      <c r="C31" s="690" t="inlineStr">
        <is>
          <t>qua</t>
        </is>
      </c>
      <c r="D31" s="678">
        <f>'SEMANA ABRIL'!$M$197</f>
        <v/>
      </c>
      <c r="E31" s="678">
        <f>CONFIG!$B$3</f>
        <v/>
      </c>
      <c r="F31" s="691">
        <f>D31-E31</f>
        <v/>
      </c>
      <c r="G31" s="252" t="inlineStr">
        <is>
          <t>Paramos 10:40hrs por falta de gás. Voltamos 13:15.</t>
        </is>
      </c>
      <c r="Y31" s="552">
        <f>IF(COUNTIF($G31,"*Feriado*")&gt;0,NA(),$D31)</f>
        <v/>
      </c>
      <c r="Z31" s="552">
        <f>IF(COUNTIF($G31,"*Feriado*")&gt;0,NA(),$E31)</f>
        <v/>
      </c>
    </row>
    <row r="32" ht="15" customHeight="1" s="468">
      <c r="A32" s="676" t="n">
        <v>46142</v>
      </c>
      <c r="B32" s="677">
        <f>IF(E32&gt;0,COUNTIF($E$9:E32,"&gt;0"),"")</f>
        <v/>
      </c>
      <c r="C32" s="690" t="inlineStr">
        <is>
          <t>qui</t>
        </is>
      </c>
      <c r="D32" s="678">
        <f>'SEMANA ABRIL'!$M$205</f>
        <v/>
      </c>
      <c r="E32" s="678">
        <f>CONFIG!$B$3</f>
        <v/>
      </c>
      <c r="F32" s="691">
        <f>D32-E32</f>
        <v/>
      </c>
      <c r="G32" s="450" t="n"/>
      <c r="Y32" s="552">
        <f>IF(COUNTIF($G32,"*Feriado*")&gt;0,NA(),$D32)</f>
        <v/>
      </c>
      <c r="Z32" s="552">
        <f>IF(COUNTIF($G32,"*Feriado*")&gt;0,NA(),$E32)</f>
        <v/>
      </c>
    </row>
    <row r="33" ht="15" customHeight="1" s="468">
      <c r="A33" s="692" t="n"/>
      <c r="B33" s="693" t="n"/>
      <c r="C33" s="693" t="n"/>
      <c r="D33" s="694" t="n"/>
      <c r="E33" s="693" t="n"/>
      <c r="F33" s="683" t="n"/>
    </row>
    <row r="34" ht="14.25" customHeight="1" s="468">
      <c r="A34" s="692" t="n"/>
      <c r="B34" s="693" t="n"/>
      <c r="C34" s="693" t="n"/>
      <c r="D34" s="693" t="n"/>
      <c r="E34" s="693" t="n"/>
      <c r="F34" s="683" t="n"/>
    </row>
    <row r="35" ht="14.25" customHeight="1" s="468">
      <c r="A35" s="692" t="n"/>
      <c r="B35" s="693" t="n"/>
      <c r="C35" s="693" t="n"/>
      <c r="D35" s="693" t="n"/>
      <c r="E35" s="693" t="n"/>
      <c r="F35" s="683" t="n"/>
    </row>
    <row r="36" ht="14.25" customHeight="1" s="468">
      <c r="A36" s="692" t="n"/>
      <c r="B36" s="693" t="n"/>
      <c r="C36" s="693" t="n"/>
      <c r="D36" s="693" t="n"/>
      <c r="E36" s="693" t="n"/>
      <c r="F36" s="683" t="n"/>
    </row>
    <row r="37" ht="14.25" customHeight="1" s="468">
      <c r="A37" s="692" t="n"/>
      <c r="B37" s="693" t="n"/>
      <c r="C37" s="693" t="n"/>
      <c r="D37" s="693" t="n"/>
      <c r="E37" s="693" t="n"/>
      <c r="F37" s="683" t="n"/>
    </row>
    <row r="38" ht="14.25" customHeight="1" s="468">
      <c r="A38" s="692" t="n"/>
      <c r="B38" s="693" t="n"/>
      <c r="C38" s="693" t="n"/>
      <c r="D38" s="693" t="n"/>
      <c r="E38" s="693" t="n"/>
      <c r="F38" s="683" t="n"/>
    </row>
    <row r="39" ht="14.25" customHeight="1" s="468">
      <c r="A39" s="692" t="n"/>
      <c r="B39" s="693" t="n"/>
      <c r="C39" s="693" t="n"/>
      <c r="D39" s="693" t="n"/>
      <c r="E39" s="693" t="n"/>
      <c r="F39" s="683" t="n"/>
    </row>
    <row r="40" ht="14.25" customHeight="1" s="468">
      <c r="A40" s="692" t="n"/>
      <c r="B40" s="693" t="n"/>
      <c r="C40" s="693" t="n"/>
      <c r="D40" s="693" t="n"/>
      <c r="E40" s="693" t="n"/>
      <c r="F40" s="683" t="n"/>
    </row>
    <row r="41" ht="14.25" customHeight="1" s="468">
      <c r="A41" s="692" t="n"/>
      <c r="B41" s="693" t="n"/>
      <c r="C41" s="693" t="n"/>
      <c r="D41" s="693" t="n"/>
      <c r="E41" s="693" t="n"/>
      <c r="F41" s="683" t="n"/>
    </row>
    <row r="42" ht="14.25" customHeight="1" s="468">
      <c r="A42" s="692" t="n"/>
      <c r="B42" s="693" t="n"/>
      <c r="C42" s="693" t="n"/>
      <c r="D42" s="693" t="n"/>
      <c r="E42" s="693" t="n"/>
      <c r="F42" s="683" t="n"/>
    </row>
    <row r="43" ht="14.25" customHeight="1" s="468">
      <c r="A43" s="692" t="n"/>
      <c r="B43" s="693" t="n"/>
      <c r="C43" s="693" t="n"/>
      <c r="D43" s="693" t="n"/>
      <c r="E43" s="693" t="n"/>
      <c r="F43" s="683" t="n"/>
    </row>
    <row r="44" ht="14.25" customHeight="1" s="468">
      <c r="A44" s="692" t="n"/>
      <c r="B44" s="693" t="n"/>
      <c r="C44" s="693" t="n"/>
      <c r="D44" s="693" t="n"/>
      <c r="E44" s="693" t="n"/>
      <c r="F44" s="683" t="n"/>
    </row>
    <row r="45" ht="14.25" customHeight="1" s="468">
      <c r="A45" s="692" t="n"/>
      <c r="B45" s="693" t="n"/>
      <c r="C45" s="693" t="n"/>
      <c r="D45" s="693" t="n"/>
      <c r="E45" s="693" t="n"/>
      <c r="F45" s="683" t="n"/>
    </row>
    <row r="46" ht="14.25" customHeight="1" s="468">
      <c r="A46" s="692" t="n"/>
      <c r="B46" s="693" t="n"/>
      <c r="C46" s="693" t="n"/>
      <c r="D46" s="693" t="n"/>
      <c r="E46" s="693" t="n"/>
      <c r="F46" s="683" t="n"/>
    </row>
    <row r="47" ht="14.25" customHeight="1" s="468">
      <c r="A47" s="692" t="n"/>
      <c r="B47" s="693" t="n"/>
      <c r="C47" s="693" t="n"/>
      <c r="D47" s="693" t="n"/>
      <c r="E47" s="693" t="n"/>
      <c r="F47" s="683" t="n"/>
    </row>
    <row r="48" ht="14.25" customHeight="1" s="468">
      <c r="A48" s="692" t="n"/>
      <c r="B48" s="693" t="n"/>
      <c r="C48" s="693" t="n"/>
      <c r="D48" s="693" t="n"/>
      <c r="E48" s="693" t="n"/>
      <c r="F48" s="683" t="n"/>
    </row>
    <row r="49" ht="14.25" customHeight="1" s="468">
      <c r="A49" s="692" t="n"/>
      <c r="B49" s="693" t="n"/>
      <c r="C49" s="693" t="n"/>
      <c r="D49" s="693" t="n"/>
      <c r="E49" s="693" t="n"/>
      <c r="F49" s="683" t="n"/>
    </row>
    <row r="50" ht="14.25" customHeight="1" s="468">
      <c r="A50" s="692" t="n"/>
      <c r="B50" s="693" t="n"/>
      <c r="C50" s="693" t="n"/>
      <c r="D50" s="693" t="n"/>
      <c r="E50" s="693" t="n"/>
      <c r="F50" s="683" t="n"/>
    </row>
    <row r="51" ht="14.25" customHeight="1" s="468">
      <c r="A51" s="692" t="n"/>
      <c r="B51" s="693" t="n"/>
      <c r="C51" s="693" t="n"/>
      <c r="D51" s="693" t="n"/>
      <c r="E51" s="693" t="n"/>
      <c r="F51" s="683" t="n"/>
    </row>
    <row r="52" ht="14.25" customHeight="1" s="468">
      <c r="A52" s="692" t="n"/>
      <c r="B52" s="693" t="n"/>
      <c r="C52" s="693" t="n"/>
      <c r="D52" s="693" t="n"/>
      <c r="E52" s="693" t="n"/>
      <c r="F52" s="683" t="n"/>
    </row>
    <row r="53" ht="14.25" customHeight="1" s="468">
      <c r="A53" s="692" t="n"/>
      <c r="B53" s="693" t="n"/>
      <c r="C53" s="693" t="n"/>
      <c r="D53" s="693" t="n"/>
      <c r="E53" s="693" t="n"/>
      <c r="F53" s="683" t="n"/>
    </row>
    <row r="54" ht="14.25" customHeight="1" s="468">
      <c r="A54" s="692" t="n"/>
      <c r="B54" s="693" t="n"/>
      <c r="C54" s="693" t="n"/>
      <c r="D54" s="693" t="n"/>
      <c r="E54" s="693" t="n"/>
      <c r="F54" s="683" t="n"/>
    </row>
    <row r="55" ht="14.25" customHeight="1" s="468">
      <c r="A55" s="692" t="n"/>
      <c r="B55" s="693" t="n"/>
      <c r="C55" s="693" t="n"/>
      <c r="D55" s="693" t="n"/>
      <c r="E55" s="693" t="n"/>
      <c r="F55" s="683" t="n"/>
    </row>
    <row r="56" ht="14.25" customHeight="1" s="468">
      <c r="A56" s="692" t="n"/>
      <c r="B56" s="693" t="n"/>
      <c r="C56" s="693" t="n"/>
      <c r="D56" s="693" t="n"/>
      <c r="E56" s="693" t="n"/>
      <c r="F56" s="683" t="n"/>
    </row>
    <row r="57" ht="14.25" customHeight="1" s="468">
      <c r="A57" s="692" t="n"/>
      <c r="B57" s="693" t="n"/>
      <c r="C57" s="693" t="n"/>
      <c r="D57" s="693" t="n"/>
      <c r="E57" s="693" t="n"/>
      <c r="F57" s="683" t="n"/>
    </row>
    <row r="58" ht="14.25" customHeight="1" s="468">
      <c r="A58" s="692" t="n"/>
      <c r="B58" s="693" t="n"/>
      <c r="C58" s="693" t="n"/>
      <c r="D58" s="693" t="n"/>
      <c r="E58" s="693" t="n"/>
      <c r="F58" s="683" t="n"/>
    </row>
    <row r="59" ht="14.25" customHeight="1" s="468">
      <c r="A59" s="692" t="n"/>
      <c r="B59" s="693" t="n"/>
      <c r="C59" s="693" t="n"/>
      <c r="D59" s="693" t="n"/>
      <c r="E59" s="693" t="n"/>
      <c r="F59" s="683" t="n"/>
    </row>
  </sheetData>
  <mergeCells count="1">
    <mergeCell ref="A1:G1"/>
  </mergeCells>
  <conditionalFormatting sqref="F9:F32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C96B0A"/>
    <outlinePr summaryBelow="1" summaryRight="1"/>
    <pageSetUpPr/>
  </sheetPr>
  <dimension ref="B1:O300"/>
  <sheetViews>
    <sheetView showGridLines="0" topLeftCell="A18" zoomScaleNormal="100" workbookViewId="0">
      <selection activeCell="K21" sqref="K21:L40"/>
    </sheetView>
  </sheetViews>
  <sheetFormatPr baseColWidth="8" defaultColWidth="8.6640625" defaultRowHeight="15" customHeight="1"/>
  <cols>
    <col width="2.5546875" customWidth="1" style="234" min="1" max="1"/>
    <col width="13.5546875" customWidth="1" style="5" min="2" max="2"/>
    <col width="7.6640625" customWidth="1" style="5" min="3" max="3"/>
    <col width="12.6640625" customWidth="1" style="5" min="4" max="4"/>
    <col width="9.109375" customWidth="1" style="5" min="5" max="5"/>
    <col width="13.5546875" customWidth="1" style="5" min="6" max="6"/>
    <col width="6.6640625" customWidth="1" style="5" min="7" max="7"/>
    <col width="8" customWidth="1" style="5" min="8" max="8"/>
    <col width="7.5546875" customWidth="1" style="5" min="9" max="9"/>
    <col width="20" customWidth="1" style="5" min="10" max="10"/>
    <col width="9.109375" customWidth="1" style="5" min="11" max="11"/>
    <col width="21" customWidth="1" style="5" min="12" max="12"/>
    <col width="18.109375" customWidth="1" style="5" min="13" max="13"/>
    <col width="17.109375" customWidth="1" style="5" min="14" max="14"/>
    <col width="13.77734375" bestFit="1" customWidth="1" style="234" min="15" max="15"/>
    <col width="8.6640625" customWidth="1" style="234" min="16" max="17"/>
    <col width="8.6640625" customWidth="1" style="234" min="18" max="16384"/>
  </cols>
  <sheetData>
    <row r="1" ht="21.75" customHeight="1" s="468">
      <c r="B1" s="461" t="inlineStr">
        <is>
          <t>ORDEM DE PRODUÇÃO - MAIO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257" t="inlineStr">
        <is>
          <t>OP</t>
        </is>
      </c>
      <c r="C3" s="453" t="inlineStr">
        <is>
          <t xml:space="preserve">LOTE </t>
        </is>
      </c>
      <c r="D3" s="454" t="n"/>
      <c r="E3" s="453" t="inlineStr">
        <is>
          <t>LOTE CLIENTE</t>
        </is>
      </c>
      <c r="F3" s="454" t="n"/>
      <c r="G3" s="453" t="inlineStr">
        <is>
          <t>PRODUTO</t>
        </is>
      </c>
      <c r="H3" s="456" t="n"/>
      <c r="I3" s="456" t="n"/>
      <c r="J3" s="454" t="n"/>
      <c r="K3" s="453" t="inlineStr">
        <is>
          <t>CLIENTE</t>
        </is>
      </c>
      <c r="L3" s="454" t="n"/>
      <c r="M3" s="258" t="inlineStr">
        <is>
          <t>QTDE(Kg)</t>
        </is>
      </c>
      <c r="N3" s="417" t="inlineStr">
        <is>
          <t>FABRICAÇÃO</t>
        </is>
      </c>
    </row>
    <row r="4" ht="17.25" customHeight="1" s="468">
      <c r="B4" s="449" t="inlineStr">
        <is>
          <t>2026/117</t>
        </is>
      </c>
      <c r="C4" s="449" t="n">
        <v>26010509</v>
      </c>
      <c r="D4" s="513" t="n"/>
      <c r="E4" s="449" t="n"/>
      <c r="F4" s="513" t="n"/>
      <c r="G4" s="449" t="inlineStr">
        <is>
          <t>UNTA FACIL 400ML</t>
        </is>
      </c>
      <c r="H4" s="456" t="n"/>
      <c r="I4" s="456" t="n"/>
      <c r="J4" s="513" t="n"/>
      <c r="K4" s="449" t="inlineStr">
        <is>
          <t>IN LOCO</t>
        </is>
      </c>
      <c r="L4" s="513" t="n"/>
      <c r="M4" s="443" t="inlineStr">
        <is>
          <t>31.500 LATAS</t>
        </is>
      </c>
      <c r="N4" s="445" t="n">
        <v>46143</v>
      </c>
      <c r="O4" s="620" t="inlineStr">
        <is>
          <t>7 PALLETS</t>
        </is>
      </c>
    </row>
    <row r="5" ht="17.25" customHeight="1" s="468">
      <c r="B5" s="449" t="inlineStr">
        <is>
          <t>2026/118</t>
        </is>
      </c>
      <c r="C5" s="451" t="n"/>
      <c r="D5" s="513" t="n"/>
      <c r="E5" s="451" t="n">
        <v>2633431</v>
      </c>
      <c r="F5" s="513" t="n"/>
      <c r="G5" s="451" t="inlineStr">
        <is>
          <t>CHEF DESMOLDANTE</t>
        </is>
      </c>
      <c r="H5" s="456" t="n"/>
      <c r="I5" s="456" t="n"/>
      <c r="J5" s="513" t="n"/>
      <c r="K5" s="451" t="inlineStr">
        <is>
          <t>ICEBERG</t>
        </is>
      </c>
      <c r="L5" s="513" t="n"/>
      <c r="M5" s="451" t="inlineStr">
        <is>
          <t>27.960 LATAS</t>
        </is>
      </c>
      <c r="N5" s="445" t="n">
        <v>46144</v>
      </c>
      <c r="O5" s="621" t="inlineStr">
        <is>
          <t>19 PALLETS</t>
        </is>
      </c>
    </row>
    <row r="6" ht="17.25" customHeight="1" s="468">
      <c r="B6" s="449" t="inlineStr">
        <is>
          <t>2026/119</t>
        </is>
      </c>
      <c r="C6" s="452" t="n">
        <v>26020510</v>
      </c>
      <c r="D6" s="513" t="n"/>
      <c r="E6" s="452" t="n"/>
      <c r="F6" s="513" t="n"/>
      <c r="G6" s="452" t="inlineStr">
        <is>
          <t>ESPUMA 3 LIMÕES</t>
        </is>
      </c>
      <c r="H6" s="456" t="n"/>
      <c r="I6" s="456" t="n"/>
      <c r="J6" s="513" t="n"/>
      <c r="K6" s="449" t="inlineStr">
        <is>
          <t>SMART</t>
        </is>
      </c>
      <c r="L6" s="463" t="n"/>
      <c r="M6" s="238" t="inlineStr">
        <is>
          <t>780 KG</t>
        </is>
      </c>
      <c r="N6" s="418" t="n">
        <v>46144</v>
      </c>
    </row>
    <row r="7" ht="17.25" customHeight="1" s="468">
      <c r="B7" s="530" t="n"/>
      <c r="C7" s="457" t="n">
        <v>26020511</v>
      </c>
      <c r="D7" s="513" t="n"/>
      <c r="E7" s="457" t="n"/>
      <c r="F7" s="513" t="n"/>
      <c r="G7" s="457" t="inlineStr">
        <is>
          <t>ESPUMA ABACAXI</t>
        </is>
      </c>
      <c r="H7" s="456" t="n"/>
      <c r="I7" s="456" t="n"/>
      <c r="J7" s="513" t="n"/>
      <c r="K7" s="523" t="n"/>
      <c r="L7" s="514" t="n"/>
      <c r="M7" s="457" t="inlineStr">
        <is>
          <t>780 KG</t>
        </is>
      </c>
      <c r="N7" s="445" t="n">
        <v>46143</v>
      </c>
    </row>
    <row r="8" ht="17.25" customHeight="1" s="468">
      <c r="B8" s="530" t="n"/>
      <c r="C8" s="449" t="n">
        <v>26020512</v>
      </c>
      <c r="D8" s="513" t="n"/>
      <c r="E8" s="449" t="n"/>
      <c r="F8" s="513" t="n"/>
      <c r="G8" s="449" t="inlineStr">
        <is>
          <t>ESPUMA TUTTI FRUTTI</t>
        </is>
      </c>
      <c r="H8" s="456" t="n"/>
      <c r="I8" s="456" t="n"/>
      <c r="J8" s="513" t="n"/>
      <c r="K8" s="523" t="n"/>
      <c r="L8" s="514" t="n"/>
      <c r="M8" s="443" t="inlineStr">
        <is>
          <t>780 KG</t>
        </is>
      </c>
      <c r="N8" s="417" t="n"/>
    </row>
    <row r="9" ht="17.25" customHeight="1" s="468">
      <c r="B9" s="530" t="n"/>
      <c r="C9" s="451" t="n">
        <v>26020513</v>
      </c>
      <c r="D9" s="513" t="n"/>
      <c r="E9" s="451" t="n"/>
      <c r="F9" s="513" t="n"/>
      <c r="G9" s="451" t="inlineStr">
        <is>
          <t>ESPUMA MELANCIA</t>
        </is>
      </c>
      <c r="H9" s="456" t="n"/>
      <c r="I9" s="456" t="n"/>
      <c r="J9" s="513" t="n"/>
      <c r="K9" s="523" t="n"/>
      <c r="L9" s="514" t="n"/>
      <c r="M9" s="451" t="inlineStr">
        <is>
          <t>780 KG</t>
        </is>
      </c>
      <c r="N9" s="417" t="n"/>
    </row>
    <row r="10" ht="17.25" customHeight="1" s="468">
      <c r="B10" s="530" t="n"/>
      <c r="C10" s="449" t="n">
        <v>26020514</v>
      </c>
      <c r="D10" s="513" t="n"/>
      <c r="E10" s="449" t="n"/>
      <c r="F10" s="513" t="n"/>
      <c r="G10" s="449" t="inlineStr">
        <is>
          <t>ESPUMA MORANGO</t>
        </is>
      </c>
      <c r="H10" s="456" t="n"/>
      <c r="I10" s="456" t="n"/>
      <c r="J10" s="513" t="n"/>
      <c r="K10" s="523" t="n"/>
      <c r="L10" s="514" t="n"/>
      <c r="M10" s="443" t="inlineStr">
        <is>
          <t>780 KG</t>
        </is>
      </c>
      <c r="N10" s="417" t="n"/>
    </row>
    <row r="11" ht="17.25" customHeight="1" s="468">
      <c r="B11" s="531" t="n"/>
      <c r="C11" s="451" t="n">
        <v>26020515</v>
      </c>
      <c r="D11" s="513" t="n"/>
      <c r="E11" s="451" t="n"/>
      <c r="F11" s="513" t="n"/>
      <c r="G11" s="451" t="inlineStr">
        <is>
          <t>ESPUMA UVA</t>
        </is>
      </c>
      <c r="H11" s="456" t="n"/>
      <c r="I11" s="456" t="n"/>
      <c r="J11" s="513" t="n"/>
      <c r="K11" s="464" t="n"/>
      <c r="L11" s="466" t="n"/>
      <c r="M11" s="451" t="inlineStr">
        <is>
          <t>780 KG</t>
        </is>
      </c>
      <c r="N11" s="417" t="n"/>
    </row>
    <row r="12" ht="17.25" customHeight="1" s="468">
      <c r="B12" s="449" t="inlineStr">
        <is>
          <t>2026/120</t>
        </is>
      </c>
      <c r="C12" s="449" t="n"/>
      <c r="D12" s="513" t="n"/>
      <c r="E12" s="449" t="n">
        <v>26020510</v>
      </c>
      <c r="F12" s="513" t="n"/>
      <c r="G12" s="449" t="inlineStr">
        <is>
          <t>ESPUMA 3 LIMÕES</t>
        </is>
      </c>
      <c r="H12" s="456" t="n"/>
      <c r="I12" s="456" t="n"/>
      <c r="J12" s="513" t="n"/>
      <c r="K12" s="449" t="inlineStr">
        <is>
          <t>DILUTE</t>
        </is>
      </c>
      <c r="L12" s="513" t="n"/>
      <c r="M12" s="449" t="inlineStr">
        <is>
          <t>3.960 LATAS</t>
        </is>
      </c>
      <c r="N12" s="417" t="n"/>
    </row>
    <row r="13" ht="17.25" customHeight="1" s="468">
      <c r="B13" s="451" t="inlineStr">
        <is>
          <t>2026/121</t>
        </is>
      </c>
      <c r="C13" s="451" t="n"/>
      <c r="D13" s="513" t="n"/>
      <c r="E13" s="451" t="n">
        <v>26020511</v>
      </c>
      <c r="F13" s="513" t="n"/>
      <c r="G13" s="451" t="inlineStr">
        <is>
          <t>ESPUMA ABACAXI</t>
        </is>
      </c>
      <c r="H13" s="456" t="n"/>
      <c r="I13" s="456" t="n"/>
      <c r="J13" s="513" t="n"/>
      <c r="K13" s="451" t="inlineStr">
        <is>
          <t>SMART</t>
        </is>
      </c>
      <c r="L13" s="463" t="n"/>
      <c r="M13" s="451" t="inlineStr">
        <is>
          <t>3.960 LATAS</t>
        </is>
      </c>
      <c r="N13" s="417" t="n"/>
    </row>
    <row r="14" ht="17.25" customHeight="1" s="468">
      <c r="B14" s="530" t="n"/>
      <c r="C14" s="449" t="n"/>
      <c r="D14" s="513" t="n"/>
      <c r="E14" s="449" t="n">
        <v>26020512</v>
      </c>
      <c r="F14" s="513" t="n"/>
      <c r="G14" s="449" t="inlineStr">
        <is>
          <t>ESPUMA TUTTI FRUTTI</t>
        </is>
      </c>
      <c r="H14" s="456" t="n"/>
      <c r="I14" s="456" t="n"/>
      <c r="J14" s="513" t="n"/>
      <c r="K14" s="523" t="n"/>
      <c r="L14" s="514" t="n"/>
      <c r="M14" s="449" t="inlineStr">
        <is>
          <t>3.960 LATAS</t>
        </is>
      </c>
      <c r="N14" s="417" t="n"/>
    </row>
    <row r="15" ht="17.25" customHeight="1" s="468">
      <c r="B15" s="530" t="n"/>
      <c r="C15" s="451" t="n"/>
      <c r="D15" s="513" t="n"/>
      <c r="E15" s="451" t="n">
        <v>26020513</v>
      </c>
      <c r="F15" s="513" t="n"/>
      <c r="G15" s="451" t="inlineStr">
        <is>
          <t>ESPUMA MELANCIA</t>
        </is>
      </c>
      <c r="H15" s="456" t="n"/>
      <c r="I15" s="456" t="n"/>
      <c r="J15" s="513" t="n"/>
      <c r="K15" s="523" t="n"/>
      <c r="L15" s="514" t="n"/>
      <c r="M15" s="451" t="inlineStr">
        <is>
          <t>3.960 LATAS</t>
        </is>
      </c>
      <c r="N15" s="417" t="n"/>
    </row>
    <row r="16" ht="17.25" customHeight="1" s="468">
      <c r="B16" s="530" t="n"/>
      <c r="C16" s="449" t="n"/>
      <c r="D16" s="513" t="n"/>
      <c r="E16" s="449" t="n">
        <v>26020514</v>
      </c>
      <c r="F16" s="513" t="n"/>
      <c r="G16" s="449" t="inlineStr">
        <is>
          <t>ESPUMA MORANGO</t>
        </is>
      </c>
      <c r="H16" s="456" t="n"/>
      <c r="I16" s="456" t="n"/>
      <c r="J16" s="513" t="n"/>
      <c r="K16" s="523" t="n"/>
      <c r="L16" s="514" t="n"/>
      <c r="M16" s="449" t="inlineStr">
        <is>
          <t>3.960 LATAS</t>
        </is>
      </c>
      <c r="N16" s="417" t="n"/>
    </row>
    <row r="17" ht="17.25" customHeight="1" s="468">
      <c r="B17" s="531" t="n"/>
      <c r="C17" s="451" t="n"/>
      <c r="D17" s="513" t="n"/>
      <c r="E17" s="451" t="n">
        <v>26020515</v>
      </c>
      <c r="F17" s="513" t="n"/>
      <c r="G17" s="451" t="inlineStr">
        <is>
          <t>ESPUMA UVA</t>
        </is>
      </c>
      <c r="H17" s="456" t="n"/>
      <c r="I17" s="456" t="n"/>
      <c r="J17" s="513" t="n"/>
      <c r="K17" s="464" t="n"/>
      <c r="L17" s="466" t="n"/>
      <c r="M17" s="451" t="inlineStr">
        <is>
          <t>3.960 LATAS</t>
        </is>
      </c>
      <c r="N17" s="417" t="n"/>
    </row>
    <row r="18" ht="17.25" customHeight="1" s="468">
      <c r="B18" s="544" t="inlineStr">
        <is>
          <t>2026/122</t>
        </is>
      </c>
      <c r="C18" s="544" t="n">
        <v>26010516</v>
      </c>
      <c r="D18" s="513" t="n"/>
      <c r="E18" s="544" t="n"/>
      <c r="F18" s="513" t="n"/>
      <c r="G18" s="544" t="inlineStr">
        <is>
          <t>CHEF MASTER 400ML</t>
        </is>
      </c>
      <c r="H18" s="456" t="n"/>
      <c r="I18" s="456" t="n"/>
      <c r="J18" s="513" t="n"/>
      <c r="K18" s="544" t="inlineStr">
        <is>
          <t>REPETECO</t>
        </is>
      </c>
      <c r="L18" s="513" t="n"/>
      <c r="M18" s="544" t="inlineStr">
        <is>
          <t>3.000 LATAS</t>
        </is>
      </c>
      <c r="N18" s="445" t="n">
        <v>46147</v>
      </c>
    </row>
    <row r="19" ht="17.25" customHeight="1" s="468">
      <c r="B19" s="457" t="inlineStr">
        <is>
          <t>2026/123</t>
        </is>
      </c>
      <c r="C19" s="457" t="n">
        <v>26010517</v>
      </c>
      <c r="D19" s="513" t="n"/>
      <c r="E19" s="457" t="n"/>
      <c r="F19" s="513" t="n"/>
      <c r="G19" s="457" t="inlineStr">
        <is>
          <t>BONASSE 400ML</t>
        </is>
      </c>
      <c r="H19" s="456" t="n"/>
      <c r="I19" s="456" t="n"/>
      <c r="J19" s="513" t="n"/>
      <c r="K19" s="457" t="inlineStr">
        <is>
          <t>ROCHAPAN</t>
        </is>
      </c>
      <c r="L19" s="513" t="n"/>
      <c r="M19" s="457" t="inlineStr">
        <is>
          <t>3.000 LATAS</t>
        </is>
      </c>
      <c r="N19" s="445" t="n">
        <v>46147</v>
      </c>
    </row>
    <row r="20" ht="17.25" customHeight="1" s="468">
      <c r="B20" s="449" t="inlineStr">
        <is>
          <t>2026/124</t>
        </is>
      </c>
      <c r="C20" s="449" t="n">
        <v>26010518</v>
      </c>
      <c r="D20" s="513" t="n"/>
      <c r="E20" s="449" t="n"/>
      <c r="F20" s="513" t="n"/>
      <c r="G20" s="449" t="inlineStr">
        <is>
          <t>CELEBRATE 400ML</t>
        </is>
      </c>
      <c r="H20" s="456" t="n"/>
      <c r="I20" s="456" t="n"/>
      <c r="J20" s="513" t="n"/>
      <c r="K20" s="449" t="inlineStr">
        <is>
          <t>CELEBRATE</t>
        </is>
      </c>
      <c r="L20" s="513" t="n"/>
      <c r="M20" s="447" t="inlineStr">
        <is>
          <t>3.000 LATAS</t>
        </is>
      </c>
      <c r="N20" s="445" t="n">
        <v>46147</v>
      </c>
    </row>
    <row r="21" ht="17.25" customHeight="1" s="468">
      <c r="B21" s="447" t="inlineStr">
        <is>
          <t>2026/125</t>
        </is>
      </c>
      <c r="C21" s="448" t="n">
        <v>26010519</v>
      </c>
      <c r="D21" s="513" t="n"/>
      <c r="E21" s="448" t="n"/>
      <c r="F21" s="513" t="n"/>
      <c r="G21" s="448" t="inlineStr">
        <is>
          <t>OL 40</t>
        </is>
      </c>
      <c r="H21" s="456" t="n"/>
      <c r="I21" s="456" t="n"/>
      <c r="J21" s="513" t="n"/>
      <c r="K21" s="448" t="inlineStr">
        <is>
          <t>SMART</t>
        </is>
      </c>
      <c r="L21" s="463" t="n"/>
      <c r="M21" s="448" t="inlineStr">
        <is>
          <t>420 KG</t>
        </is>
      </c>
      <c r="N21" s="417" t="n"/>
    </row>
    <row r="22" ht="17.25" customHeight="1" s="468">
      <c r="B22" s="530" t="n"/>
      <c r="C22" s="447" t="n">
        <v>26010520</v>
      </c>
      <c r="D22" s="513" t="n"/>
      <c r="E22" s="447" t="n"/>
      <c r="F22" s="513" t="n"/>
      <c r="G22" s="447" t="inlineStr">
        <is>
          <t>OL 40</t>
        </is>
      </c>
      <c r="H22" s="456" t="n"/>
      <c r="I22" s="456" t="n"/>
      <c r="J22" s="513" t="n"/>
      <c r="K22" s="523" t="n"/>
      <c r="L22" s="514" t="n"/>
      <c r="M22" s="447" t="inlineStr">
        <is>
          <t>420 KG</t>
        </is>
      </c>
      <c r="N22" s="417" t="n"/>
    </row>
    <row r="23" ht="17.25" customHeight="1" s="468">
      <c r="B23" s="530" t="n"/>
      <c r="C23" s="448" t="n">
        <v>26010521</v>
      </c>
      <c r="D23" s="513" t="n"/>
      <c r="E23" s="448" t="n"/>
      <c r="F23" s="513" t="n"/>
      <c r="G23" s="448" t="inlineStr">
        <is>
          <t>OL 40</t>
        </is>
      </c>
      <c r="H23" s="456" t="n"/>
      <c r="I23" s="456" t="n"/>
      <c r="J23" s="513" t="n"/>
      <c r="K23" s="523" t="n"/>
      <c r="L23" s="514" t="n"/>
      <c r="M23" s="448" t="inlineStr">
        <is>
          <t>420 KG</t>
        </is>
      </c>
      <c r="N23" s="417" t="n"/>
    </row>
    <row r="24" ht="17.25" customHeight="1" s="468">
      <c r="B24" s="530" t="n"/>
      <c r="C24" s="447" t="n">
        <v>26010522</v>
      </c>
      <c r="D24" s="513" t="n"/>
      <c r="E24" s="455" t="n"/>
      <c r="F24" s="513" t="n"/>
      <c r="G24" s="447" t="inlineStr">
        <is>
          <t>OL 40</t>
        </is>
      </c>
      <c r="H24" s="456" t="n"/>
      <c r="I24" s="456" t="n"/>
      <c r="J24" s="513" t="n"/>
      <c r="K24" s="523" t="n"/>
      <c r="L24" s="514" t="n"/>
      <c r="M24" s="447" t="inlineStr">
        <is>
          <t>420 KG</t>
        </is>
      </c>
      <c r="N24" s="417" t="n"/>
    </row>
    <row r="25" ht="17.25" customHeight="1" s="468">
      <c r="B25" s="530" t="n"/>
      <c r="C25" s="448" t="n">
        <v>26010523</v>
      </c>
      <c r="D25" s="513" t="n"/>
      <c r="E25" s="459" t="n"/>
      <c r="F25" s="513" t="n"/>
      <c r="G25" s="448" t="inlineStr">
        <is>
          <t>OL 40</t>
        </is>
      </c>
      <c r="H25" s="456" t="n"/>
      <c r="I25" s="456" t="n"/>
      <c r="J25" s="513" t="n"/>
      <c r="K25" s="523" t="n"/>
      <c r="L25" s="514" t="n"/>
      <c r="M25" s="448" t="inlineStr">
        <is>
          <t>420 KG</t>
        </is>
      </c>
      <c r="N25" s="417" t="n"/>
    </row>
    <row r="26" ht="17.25" customHeight="1" s="468">
      <c r="B26" s="530" t="n"/>
      <c r="C26" s="447" t="n">
        <v>26010524</v>
      </c>
      <c r="D26" s="513" t="n"/>
      <c r="E26" s="447" t="n"/>
      <c r="F26" s="513" t="n"/>
      <c r="G26" s="447" t="inlineStr">
        <is>
          <t>OL 40</t>
        </is>
      </c>
      <c r="H26" s="456" t="n"/>
      <c r="I26" s="456" t="n"/>
      <c r="J26" s="513" t="n"/>
      <c r="K26" s="523" t="n"/>
      <c r="L26" s="514" t="n"/>
      <c r="M26" s="447" t="inlineStr">
        <is>
          <t>420 KG</t>
        </is>
      </c>
      <c r="N26" s="417" t="n"/>
    </row>
    <row r="27" ht="17.25" customHeight="1" s="468">
      <c r="B27" s="530" t="n"/>
      <c r="C27" s="448" t="n">
        <v>26010525</v>
      </c>
      <c r="D27" s="513" t="n"/>
      <c r="E27" s="448" t="n"/>
      <c r="F27" s="513" t="n"/>
      <c r="G27" s="448" t="inlineStr">
        <is>
          <t>OL 40</t>
        </is>
      </c>
      <c r="H27" s="456" t="n"/>
      <c r="I27" s="456" t="n"/>
      <c r="J27" s="513" t="n"/>
      <c r="K27" s="523" t="n"/>
      <c r="L27" s="514" t="n"/>
      <c r="M27" s="448" t="inlineStr">
        <is>
          <t>420 KG</t>
        </is>
      </c>
      <c r="N27" s="417" t="n"/>
    </row>
    <row r="28" ht="17.25" customHeight="1" s="468">
      <c r="B28" s="530" t="n"/>
      <c r="C28" s="447" t="n">
        <v>26010526</v>
      </c>
      <c r="D28" s="513" t="n"/>
      <c r="E28" s="447" t="n"/>
      <c r="F28" s="513" t="n"/>
      <c r="G28" s="447" t="inlineStr">
        <is>
          <t>OL 40</t>
        </is>
      </c>
      <c r="H28" s="456" t="n"/>
      <c r="I28" s="456" t="n"/>
      <c r="J28" s="513" t="n"/>
      <c r="K28" s="523" t="n"/>
      <c r="L28" s="514" t="n"/>
      <c r="M28" s="447" t="inlineStr">
        <is>
          <t>420 KG</t>
        </is>
      </c>
      <c r="N28" s="417" t="n"/>
    </row>
    <row r="29" ht="17.25" customHeight="1" s="468">
      <c r="B29" s="530" t="n"/>
      <c r="C29" s="448" t="n">
        <v>26010527</v>
      </c>
      <c r="D29" s="513" t="n"/>
      <c r="E29" s="448" t="n"/>
      <c r="F29" s="513" t="n"/>
      <c r="G29" s="448" t="inlineStr">
        <is>
          <t>OL 40</t>
        </is>
      </c>
      <c r="H29" s="456" t="n"/>
      <c r="I29" s="456" t="n"/>
      <c r="J29" s="513" t="n"/>
      <c r="K29" s="523" t="n"/>
      <c r="L29" s="514" t="n"/>
      <c r="M29" s="448" t="inlineStr">
        <is>
          <t>420 KG</t>
        </is>
      </c>
      <c r="N29" s="417" t="n"/>
    </row>
    <row r="30" ht="17.25" customHeight="1" s="468">
      <c r="B30" s="530" t="n"/>
      <c r="C30" s="447" t="n">
        <v>26010528</v>
      </c>
      <c r="D30" s="513" t="n"/>
      <c r="E30" s="447" t="n"/>
      <c r="F30" s="513" t="n"/>
      <c r="G30" s="447" t="inlineStr">
        <is>
          <t>OL 40</t>
        </is>
      </c>
      <c r="H30" s="456" t="n"/>
      <c r="I30" s="456" t="n"/>
      <c r="J30" s="513" t="n"/>
      <c r="K30" s="523" t="n"/>
      <c r="L30" s="514" t="n"/>
      <c r="M30" s="447" t="inlineStr">
        <is>
          <t>420 KG</t>
        </is>
      </c>
      <c r="N30" s="417" t="n"/>
    </row>
    <row r="31" ht="17.25" customHeight="1" s="468">
      <c r="B31" s="530" t="n"/>
      <c r="C31" s="448" t="n">
        <v>26010529</v>
      </c>
      <c r="D31" s="513" t="n"/>
      <c r="E31" s="448" t="n"/>
      <c r="F31" s="513" t="n"/>
      <c r="G31" s="448" t="inlineStr">
        <is>
          <t>OL 40</t>
        </is>
      </c>
      <c r="H31" s="456" t="n"/>
      <c r="I31" s="456" t="n"/>
      <c r="J31" s="513" t="n"/>
      <c r="K31" s="523" t="n"/>
      <c r="L31" s="514" t="n"/>
      <c r="M31" s="448" t="inlineStr">
        <is>
          <t>420 KG</t>
        </is>
      </c>
      <c r="N31" s="417" t="n"/>
    </row>
    <row r="32" ht="17.25" customHeight="1" s="468">
      <c r="B32" s="530" t="n"/>
      <c r="C32" s="447" t="n">
        <v>26010530</v>
      </c>
      <c r="D32" s="513" t="n"/>
      <c r="E32" s="447" t="n"/>
      <c r="F32" s="513" t="n"/>
      <c r="G32" s="447" t="inlineStr">
        <is>
          <t>OL 40</t>
        </is>
      </c>
      <c r="H32" s="456" t="n"/>
      <c r="I32" s="456" t="n"/>
      <c r="J32" s="513" t="n"/>
      <c r="K32" s="523" t="n"/>
      <c r="L32" s="514" t="n"/>
      <c r="M32" s="447" t="inlineStr">
        <is>
          <t>420 KG</t>
        </is>
      </c>
      <c r="N32" s="417" t="n"/>
    </row>
    <row r="33" ht="17.25" customHeight="1" s="468">
      <c r="B33" s="530" t="n"/>
      <c r="C33" s="448" t="n">
        <v>26010531</v>
      </c>
      <c r="D33" s="513" t="n"/>
      <c r="E33" s="459" t="n"/>
      <c r="F33" s="513" t="n"/>
      <c r="G33" s="448" t="inlineStr">
        <is>
          <t>OL 40</t>
        </is>
      </c>
      <c r="H33" s="456" t="n"/>
      <c r="I33" s="456" t="n"/>
      <c r="J33" s="513" t="n"/>
      <c r="K33" s="523" t="n"/>
      <c r="L33" s="514" t="n"/>
      <c r="M33" s="448" t="inlineStr">
        <is>
          <t>420 KG</t>
        </is>
      </c>
      <c r="N33" s="417" t="n"/>
    </row>
    <row r="34" ht="17.25" customHeight="1" s="468">
      <c r="B34" s="530" t="n"/>
      <c r="C34" s="447" t="n">
        <v>26010532</v>
      </c>
      <c r="D34" s="513" t="n"/>
      <c r="E34" s="447" t="n"/>
      <c r="F34" s="513" t="n"/>
      <c r="G34" s="447" t="inlineStr">
        <is>
          <t>OL 40</t>
        </is>
      </c>
      <c r="H34" s="456" t="n"/>
      <c r="I34" s="456" t="n"/>
      <c r="J34" s="513" t="n"/>
      <c r="K34" s="523" t="n"/>
      <c r="L34" s="514" t="n"/>
      <c r="M34" s="447" t="inlineStr">
        <is>
          <t>420 KG</t>
        </is>
      </c>
      <c r="N34" s="417" t="n"/>
    </row>
    <row r="35" ht="17.25" customHeight="1" s="468">
      <c r="B35" s="530" t="n"/>
      <c r="C35" s="448" t="n">
        <v>26010533</v>
      </c>
      <c r="D35" s="513" t="n"/>
      <c r="E35" s="459" t="inlineStr">
        <is>
          <t>...</t>
        </is>
      </c>
      <c r="F35" s="513" t="n"/>
      <c r="G35" s="448" t="inlineStr">
        <is>
          <t>OL 40</t>
        </is>
      </c>
      <c r="H35" s="456" t="n"/>
      <c r="I35" s="456" t="n"/>
      <c r="J35" s="513" t="n"/>
      <c r="K35" s="523" t="n"/>
      <c r="L35" s="514" t="n"/>
      <c r="M35" s="448" t="inlineStr">
        <is>
          <t>420 KG</t>
        </is>
      </c>
      <c r="N35" s="417" t="n"/>
    </row>
    <row r="36" ht="17.25" customHeight="1" s="468">
      <c r="B36" s="530" t="n"/>
      <c r="C36" s="447" t="n">
        <v>26010534</v>
      </c>
      <c r="D36" s="513" t="n"/>
      <c r="E36" s="447" t="n"/>
      <c r="F36" s="513" t="n"/>
      <c r="G36" s="447" t="inlineStr">
        <is>
          <t>OL 40</t>
        </is>
      </c>
      <c r="H36" s="456" t="n"/>
      <c r="I36" s="456" t="n"/>
      <c r="J36" s="513" t="n"/>
      <c r="K36" s="523" t="n"/>
      <c r="L36" s="514" t="n"/>
      <c r="M36" s="447" t="inlineStr">
        <is>
          <t>420 KG</t>
        </is>
      </c>
      <c r="N36" s="417" t="n"/>
    </row>
    <row r="37" ht="17.25" customHeight="1" s="468">
      <c r="B37" s="530" t="n"/>
      <c r="C37" s="448" t="n">
        <v>26010535</v>
      </c>
      <c r="D37" s="513" t="n"/>
      <c r="E37" s="448" t="n"/>
      <c r="F37" s="513" t="n"/>
      <c r="G37" s="448" t="inlineStr">
        <is>
          <t>OL 40</t>
        </is>
      </c>
      <c r="H37" s="456" t="n"/>
      <c r="I37" s="456" t="n"/>
      <c r="J37" s="513" t="n"/>
      <c r="K37" s="523" t="n"/>
      <c r="L37" s="514" t="n"/>
      <c r="M37" s="448" t="inlineStr">
        <is>
          <t>420 KG</t>
        </is>
      </c>
      <c r="N37" s="417" t="n"/>
    </row>
    <row r="38" ht="17.25" customHeight="1" s="468">
      <c r="B38" s="530" t="n"/>
      <c r="C38" s="447" t="n">
        <v>26010536</v>
      </c>
      <c r="D38" s="513" t="n"/>
      <c r="E38" s="447" t="n"/>
      <c r="F38" s="513" t="n"/>
      <c r="G38" s="447" t="inlineStr">
        <is>
          <t>OL 40</t>
        </is>
      </c>
      <c r="H38" s="456" t="n"/>
      <c r="I38" s="456" t="n"/>
      <c r="J38" s="513" t="n"/>
      <c r="K38" s="523" t="n"/>
      <c r="L38" s="514" t="n"/>
      <c r="M38" s="447" t="inlineStr">
        <is>
          <t>420 KG</t>
        </is>
      </c>
      <c r="N38" s="417" t="n"/>
    </row>
    <row r="39" ht="17.25" customHeight="1" s="468">
      <c r="B39" s="530" t="n"/>
      <c r="C39" s="448" t="n">
        <v>26010537</v>
      </c>
      <c r="D39" s="513" t="n"/>
      <c r="E39" s="448" t="n"/>
      <c r="F39" s="513" t="n"/>
      <c r="G39" s="448" t="inlineStr">
        <is>
          <t>OL 40</t>
        </is>
      </c>
      <c r="H39" s="456" t="n"/>
      <c r="I39" s="456" t="n"/>
      <c r="J39" s="513" t="n"/>
      <c r="K39" s="523" t="n"/>
      <c r="L39" s="514" t="n"/>
      <c r="M39" s="448" t="inlineStr">
        <is>
          <t>420 KG</t>
        </is>
      </c>
      <c r="N39" s="417" t="n"/>
    </row>
    <row r="40" ht="17.25" customHeight="1" s="468">
      <c r="B40" s="531" t="n"/>
      <c r="C40" s="447" t="n">
        <v>26010538</v>
      </c>
      <c r="D40" s="513" t="n"/>
      <c r="E40" s="447" t="n"/>
      <c r="F40" s="513" t="n"/>
      <c r="G40" s="447" t="inlineStr">
        <is>
          <t>OL 40</t>
        </is>
      </c>
      <c r="H40" s="456" t="n"/>
      <c r="I40" s="456" t="n"/>
      <c r="J40" s="513" t="n"/>
      <c r="K40" s="464" t="n"/>
      <c r="L40" s="466" t="n"/>
      <c r="M40" s="447" t="inlineStr">
        <is>
          <t>420 KG</t>
        </is>
      </c>
      <c r="N40" s="417" t="n"/>
    </row>
    <row r="41" ht="17.25" customHeight="1" s="468">
      <c r="B41" s="451" t="n"/>
      <c r="C41" s="451" t="n"/>
      <c r="D41" s="513" t="n"/>
      <c r="E41" s="451" t="n"/>
      <c r="F41" s="513" t="n"/>
      <c r="G41" s="451" t="n"/>
      <c r="H41" s="456" t="n"/>
      <c r="I41" s="456" t="n"/>
      <c r="J41" s="513" t="n"/>
      <c r="K41" s="451" t="n"/>
      <c r="L41" s="513" t="n"/>
      <c r="M41" s="451" t="n"/>
      <c r="N41" s="417" t="n"/>
    </row>
    <row r="42" ht="17.25" customHeight="1" s="468">
      <c r="B42" s="449" t="n"/>
      <c r="C42" s="449" t="n"/>
      <c r="D42" s="513" t="n"/>
      <c r="E42" s="449" t="n"/>
      <c r="F42" s="513" t="n"/>
      <c r="G42" s="449" t="n"/>
      <c r="H42" s="456" t="n"/>
      <c r="I42" s="456" t="n"/>
      <c r="J42" s="513" t="n"/>
      <c r="K42" s="449" t="n"/>
      <c r="L42" s="513" t="n"/>
      <c r="M42" s="443" t="n"/>
      <c r="N42" s="417" t="n"/>
    </row>
    <row r="43" ht="17.25" customHeight="1" s="468">
      <c r="B43" s="451" t="n"/>
      <c r="C43" s="451" t="n"/>
      <c r="D43" s="513" t="n"/>
      <c r="E43" s="451" t="n"/>
      <c r="F43" s="513" t="n"/>
      <c r="G43" s="451" t="n"/>
      <c r="H43" s="456" t="n"/>
      <c r="I43" s="456" t="n"/>
      <c r="J43" s="513" t="n"/>
      <c r="K43" s="451" t="n"/>
      <c r="L43" s="513" t="n"/>
      <c r="M43" s="451" t="n"/>
      <c r="N43" s="417" t="n"/>
    </row>
    <row r="44" ht="17.25" customHeight="1" s="468">
      <c r="B44" s="449" t="n"/>
      <c r="C44" s="449" t="n"/>
      <c r="D44" s="513" t="n"/>
      <c r="E44" s="449" t="n"/>
      <c r="F44" s="513" t="n"/>
      <c r="G44" s="449" t="n"/>
      <c r="H44" s="456" t="n"/>
      <c r="I44" s="456" t="n"/>
      <c r="J44" s="513" t="n"/>
      <c r="K44" s="449" t="n"/>
      <c r="L44" s="513" t="n"/>
      <c r="M44" s="449" t="n"/>
      <c r="N44" s="417" t="n"/>
    </row>
    <row r="45" ht="17.25" customHeight="1" s="468">
      <c r="B45" s="451" t="n"/>
      <c r="C45" s="451" t="n"/>
      <c r="D45" s="513" t="n"/>
      <c r="E45" s="451" t="n"/>
      <c r="F45" s="513" t="n"/>
      <c r="G45" s="451" t="n"/>
      <c r="H45" s="456" t="n"/>
      <c r="I45" s="456" t="n"/>
      <c r="J45" s="513" t="n"/>
      <c r="K45" s="451" t="n"/>
      <c r="L45" s="513" t="n"/>
      <c r="M45" s="451" t="n"/>
      <c r="N45" s="417" t="n"/>
    </row>
    <row r="46" ht="17.25" customHeight="1" s="468">
      <c r="B46" s="449" t="n"/>
      <c r="C46" s="449" t="n"/>
      <c r="D46" s="513" t="n"/>
      <c r="E46" s="449" t="n"/>
      <c r="F46" s="513" t="n"/>
      <c r="G46" s="449" t="n"/>
      <c r="H46" s="456" t="n"/>
      <c r="I46" s="456" t="n"/>
      <c r="J46" s="513" t="n"/>
      <c r="K46" s="449" t="n"/>
      <c r="L46" s="513" t="n"/>
      <c r="M46" s="449" t="n"/>
      <c r="N46" s="417" t="n"/>
    </row>
    <row r="47" ht="17.25" customHeight="1" s="468">
      <c r="B47" s="451" t="n"/>
      <c r="C47" s="451" t="n"/>
      <c r="D47" s="513" t="n"/>
      <c r="E47" s="451" t="n"/>
      <c r="F47" s="513" t="n"/>
      <c r="G47" s="451" t="n"/>
      <c r="H47" s="456" t="n"/>
      <c r="I47" s="456" t="n"/>
      <c r="J47" s="513" t="n"/>
      <c r="K47" s="451" t="n"/>
      <c r="L47" s="513" t="n"/>
      <c r="M47" s="451" t="n"/>
      <c r="N47" s="417" t="n"/>
    </row>
    <row r="48" ht="17.25" customHeight="1" s="468">
      <c r="B48" s="449" t="n"/>
      <c r="C48" s="449" t="n"/>
      <c r="D48" s="513" t="n"/>
      <c r="E48" s="449" t="n"/>
      <c r="F48" s="513" t="n"/>
      <c r="G48" s="449" t="n"/>
      <c r="H48" s="456" t="n"/>
      <c r="I48" s="456" t="n"/>
      <c r="J48" s="513" t="n"/>
      <c r="K48" s="449" t="n"/>
      <c r="L48" s="513" t="n"/>
      <c r="M48" s="449" t="n"/>
      <c r="N48" s="417" t="n"/>
    </row>
    <row r="49" ht="17.25" customHeight="1" s="468">
      <c r="B49" s="451" t="n"/>
      <c r="C49" s="451" t="n"/>
      <c r="D49" s="513" t="n"/>
      <c r="E49" s="451" t="n"/>
      <c r="F49" s="513" t="n"/>
      <c r="G49" s="451" t="n"/>
      <c r="H49" s="456" t="n"/>
      <c r="I49" s="456" t="n"/>
      <c r="J49" s="513" t="n"/>
      <c r="K49" s="451" t="n"/>
      <c r="L49" s="513" t="n"/>
      <c r="M49" s="451" t="n"/>
      <c r="N49" s="417" t="n"/>
    </row>
    <row r="50" ht="17.25" customHeight="1" s="468">
      <c r="B50" s="449" t="n"/>
      <c r="C50" s="449" t="n"/>
      <c r="D50" s="513" t="n"/>
      <c r="E50" s="449" t="n"/>
      <c r="F50" s="513" t="n"/>
      <c r="G50" s="449" t="n"/>
      <c r="H50" s="456" t="n"/>
      <c r="I50" s="456" t="n"/>
      <c r="J50" s="513" t="n"/>
      <c r="K50" s="449" t="n"/>
      <c r="L50" s="513" t="n"/>
      <c r="M50" s="449" t="n"/>
      <c r="N50" s="417" t="n"/>
    </row>
    <row r="51" ht="17.25" customHeight="1" s="468">
      <c r="B51" s="451" t="n"/>
      <c r="C51" s="451" t="n"/>
      <c r="D51" s="513" t="n"/>
      <c r="E51" s="451" t="n"/>
      <c r="F51" s="513" t="n"/>
      <c r="G51" s="451" t="n"/>
      <c r="H51" s="456" t="n"/>
      <c r="I51" s="456" t="n"/>
      <c r="J51" s="513" t="n"/>
      <c r="K51" s="451" t="n"/>
      <c r="L51" s="513" t="n"/>
      <c r="M51" s="242" t="n"/>
      <c r="N51" s="417" t="n"/>
    </row>
    <row r="52" ht="17.25" customHeight="1" s="468">
      <c r="B52" s="449" t="n"/>
      <c r="C52" s="449" t="n"/>
      <c r="D52" s="513" t="n"/>
      <c r="E52" s="449" t="n"/>
      <c r="F52" s="513" t="n"/>
      <c r="G52" s="449" t="n"/>
      <c r="H52" s="456" t="n"/>
      <c r="I52" s="456" t="n"/>
      <c r="J52" s="513" t="n"/>
      <c r="K52" s="449" t="n"/>
      <c r="L52" s="513" t="n"/>
      <c r="M52" s="449" t="n"/>
      <c r="N52" s="417" t="n"/>
    </row>
    <row r="53" ht="17.25" customHeight="1" s="468">
      <c r="B53" s="451" t="n"/>
      <c r="C53" s="451" t="n"/>
      <c r="D53" s="513" t="n"/>
      <c r="E53" s="451" t="n"/>
      <c r="F53" s="513" t="n"/>
      <c r="G53" s="451" t="n"/>
      <c r="H53" s="456" t="n"/>
      <c r="I53" s="456" t="n"/>
      <c r="J53" s="513" t="n"/>
      <c r="K53" s="451" t="n"/>
      <c r="L53" s="513" t="n"/>
      <c r="M53" s="451" t="n"/>
      <c r="N53" s="417" t="n"/>
    </row>
    <row r="54" ht="17.25" customHeight="1" s="468">
      <c r="B54" s="449" t="n"/>
      <c r="C54" s="449" t="n"/>
      <c r="D54" s="513" t="n"/>
      <c r="E54" s="449" t="n"/>
      <c r="F54" s="513" t="n"/>
      <c r="G54" s="449" t="n"/>
      <c r="H54" s="456" t="n"/>
      <c r="I54" s="456" t="n"/>
      <c r="J54" s="513" t="n"/>
      <c r="K54" s="449" t="n"/>
      <c r="L54" s="513" t="n"/>
      <c r="M54" s="449" t="n"/>
      <c r="N54" s="417" t="n"/>
    </row>
    <row r="55" ht="17.25" customHeight="1" s="468">
      <c r="B55" s="451" t="n"/>
      <c r="C55" s="451" t="n"/>
      <c r="D55" s="513" t="n"/>
      <c r="E55" s="451" t="n"/>
      <c r="F55" s="513" t="n"/>
      <c r="G55" s="451" t="n"/>
      <c r="H55" s="456" t="n"/>
      <c r="I55" s="456" t="n"/>
      <c r="J55" s="513" t="n"/>
      <c r="K55" s="451" t="n"/>
      <c r="L55" s="513" t="n"/>
      <c r="M55" s="451" t="n"/>
      <c r="N55" s="417" t="n"/>
    </row>
    <row r="56" ht="17.25" customHeight="1" s="468">
      <c r="B56" s="449" t="n"/>
      <c r="C56" s="449" t="n"/>
      <c r="D56" s="513" t="n"/>
      <c r="E56" s="449" t="n"/>
      <c r="F56" s="513" t="n"/>
      <c r="G56" s="449" t="n"/>
      <c r="H56" s="456" t="n"/>
      <c r="I56" s="456" t="n"/>
      <c r="J56" s="513" t="n"/>
      <c r="K56" s="449" t="n"/>
      <c r="L56" s="513" t="n"/>
      <c r="M56" s="449" t="n"/>
      <c r="N56" s="417" t="n"/>
    </row>
    <row r="57" ht="17.25" customHeight="1" s="468">
      <c r="B57" s="451" t="n"/>
      <c r="C57" s="451" t="n"/>
      <c r="D57" s="513" t="n"/>
      <c r="E57" s="451" t="n"/>
      <c r="F57" s="513" t="n"/>
      <c r="G57" s="451" t="n"/>
      <c r="H57" s="456" t="n"/>
      <c r="I57" s="456" t="n"/>
      <c r="J57" s="513" t="n"/>
      <c r="K57" s="451" t="n"/>
      <c r="L57" s="513" t="n"/>
      <c r="M57" s="451" t="n"/>
      <c r="N57" s="417" t="n"/>
    </row>
    <row r="58" ht="17.25" customHeight="1" s="468">
      <c r="B58" s="449" t="n"/>
      <c r="C58" s="449" t="n"/>
      <c r="D58" s="513" t="n"/>
      <c r="E58" s="449" t="n"/>
      <c r="F58" s="513" t="n"/>
      <c r="G58" s="449" t="n"/>
      <c r="H58" s="456" t="n"/>
      <c r="I58" s="456" t="n"/>
      <c r="J58" s="513" t="n"/>
      <c r="K58" s="449" t="n"/>
      <c r="L58" s="513" t="n"/>
      <c r="M58" s="449" t="n"/>
      <c r="N58" s="417" t="n"/>
    </row>
    <row r="59" ht="17.25" customHeight="1" s="468">
      <c r="B59" s="451" t="n"/>
      <c r="C59" s="451" t="n"/>
      <c r="D59" s="513" t="n"/>
      <c r="E59" s="451" t="n"/>
      <c r="F59" s="513" t="n"/>
      <c r="G59" s="451" t="n"/>
      <c r="H59" s="456" t="n"/>
      <c r="I59" s="456" t="n"/>
      <c r="J59" s="513" t="n"/>
      <c r="K59" s="451" t="n"/>
      <c r="L59" s="513" t="n"/>
      <c r="M59" s="242" t="n"/>
      <c r="N59" s="417" t="n"/>
    </row>
    <row r="60" ht="17.25" customHeight="1" s="468">
      <c r="B60" s="449" t="n"/>
      <c r="C60" s="449" t="n"/>
      <c r="D60" s="513" t="n"/>
      <c r="E60" s="449" t="n"/>
      <c r="F60" s="513" t="n"/>
      <c r="G60" s="449" t="n"/>
      <c r="H60" s="456" t="n"/>
      <c r="I60" s="456" t="n"/>
      <c r="J60" s="513" t="n"/>
      <c r="K60" s="449" t="n"/>
      <c r="L60" s="513" t="n"/>
      <c r="M60" s="449" t="n"/>
      <c r="N60" s="417" t="n"/>
    </row>
    <row r="61" ht="17.25" customHeight="1" s="468">
      <c r="B61" s="451" t="n"/>
      <c r="C61" s="451" t="n"/>
      <c r="D61" s="513" t="n"/>
      <c r="E61" s="451" t="n"/>
      <c r="F61" s="513" t="n"/>
      <c r="G61" s="451" t="n"/>
      <c r="H61" s="456" t="n"/>
      <c r="I61" s="456" t="n"/>
      <c r="J61" s="513" t="n"/>
      <c r="K61" s="451" t="n"/>
      <c r="L61" s="513" t="n"/>
      <c r="M61" s="451" t="n"/>
      <c r="N61" s="417" t="n"/>
    </row>
    <row r="62" ht="17.25" customHeight="1" s="468">
      <c r="B62" s="449" t="n"/>
      <c r="C62" s="449" t="n"/>
      <c r="D62" s="513" t="n"/>
      <c r="E62" s="449" t="n"/>
      <c r="F62" s="513" t="n"/>
      <c r="G62" s="449" t="n"/>
      <c r="H62" s="456" t="n"/>
      <c r="I62" s="456" t="n"/>
      <c r="J62" s="513" t="n"/>
      <c r="K62" s="449" t="n"/>
      <c r="L62" s="513" t="n"/>
      <c r="M62" s="449" t="n"/>
      <c r="N62" s="417" t="n"/>
    </row>
    <row r="63" ht="17.25" customHeight="1" s="468">
      <c r="B63" s="451" t="n"/>
      <c r="C63" s="451" t="n"/>
      <c r="D63" s="513" t="n"/>
      <c r="E63" s="451" t="n"/>
      <c r="F63" s="513" t="n"/>
      <c r="G63" s="451" t="n"/>
      <c r="H63" s="456" t="n"/>
      <c r="I63" s="456" t="n"/>
      <c r="J63" s="513" t="n"/>
      <c r="K63" s="451" t="n"/>
      <c r="L63" s="513" t="n"/>
      <c r="M63" s="451" t="n"/>
      <c r="N63" s="417" t="n"/>
    </row>
    <row r="64" ht="17.25" customHeight="1" s="468">
      <c r="B64" s="449" t="n"/>
      <c r="C64" s="449" t="n"/>
      <c r="D64" s="513" t="n"/>
      <c r="E64" s="449" t="n"/>
      <c r="F64" s="513" t="n"/>
      <c r="G64" s="449" t="n"/>
      <c r="H64" s="456" t="n"/>
      <c r="I64" s="456" t="n"/>
      <c r="J64" s="513" t="n"/>
      <c r="K64" s="449" t="n"/>
      <c r="L64" s="513" t="n"/>
      <c r="M64" s="449" t="n"/>
      <c r="N64" s="417" t="n"/>
    </row>
    <row r="65" ht="17.25" customHeight="1" s="468">
      <c r="B65" s="451" t="n"/>
      <c r="C65" s="451" t="n"/>
      <c r="D65" s="513" t="n"/>
      <c r="E65" s="451" t="n"/>
      <c r="F65" s="513" t="n"/>
      <c r="G65" s="451" t="n"/>
      <c r="H65" s="456" t="n"/>
      <c r="I65" s="456" t="n"/>
      <c r="J65" s="513" t="n"/>
      <c r="K65" s="451" t="n"/>
      <c r="L65" s="513" t="n"/>
      <c r="M65" s="451" t="n"/>
      <c r="N65" s="417" t="n"/>
    </row>
    <row r="66" ht="17.25" customHeight="1" s="468">
      <c r="B66" s="449" t="n"/>
      <c r="C66" s="449" t="n"/>
      <c r="D66" s="513" t="n"/>
      <c r="E66" s="449" t="n"/>
      <c r="F66" s="513" t="n"/>
      <c r="G66" s="449" t="n"/>
      <c r="H66" s="456" t="n"/>
      <c r="I66" s="456" t="n"/>
      <c r="J66" s="513" t="n"/>
      <c r="K66" s="449" t="n"/>
      <c r="L66" s="513" t="n"/>
      <c r="M66" s="449" t="n"/>
      <c r="N66" s="417" t="n"/>
    </row>
    <row r="67" ht="17.25" customHeight="1" s="468">
      <c r="B67" s="451" t="n"/>
      <c r="C67" s="451" t="n"/>
      <c r="D67" s="513" t="n"/>
      <c r="E67" s="451" t="n"/>
      <c r="F67" s="513" t="n"/>
      <c r="G67" s="451" t="n"/>
      <c r="H67" s="456" t="n"/>
      <c r="I67" s="456" t="n"/>
      <c r="J67" s="513" t="n"/>
      <c r="K67" s="451" t="n"/>
      <c r="L67" s="513" t="n"/>
      <c r="M67" s="451" t="n"/>
      <c r="N67" s="417" t="n"/>
    </row>
    <row r="68" ht="17.25" customHeight="1" s="468">
      <c r="B68" s="449" t="n"/>
      <c r="C68" s="449" t="n"/>
      <c r="D68" s="513" t="n"/>
      <c r="E68" s="449" t="n"/>
      <c r="F68" s="513" t="n"/>
      <c r="G68" s="449" t="n"/>
      <c r="H68" s="456" t="n"/>
      <c r="I68" s="456" t="n"/>
      <c r="J68" s="513" t="n"/>
      <c r="K68" s="449" t="n"/>
      <c r="L68" s="513" t="n"/>
      <c r="M68" s="443" t="n"/>
      <c r="N68" s="417" t="n"/>
    </row>
    <row r="69" ht="17.25" customHeight="1" s="468">
      <c r="B69" s="451" t="n"/>
      <c r="C69" s="451" t="n"/>
      <c r="D69" s="513" t="n"/>
      <c r="E69" s="451" t="n"/>
      <c r="F69" s="513" t="n"/>
      <c r="G69" s="451" t="n"/>
      <c r="H69" s="456" t="n"/>
      <c r="I69" s="456" t="n"/>
      <c r="J69" s="513" t="n"/>
      <c r="K69" s="451" t="n"/>
      <c r="L69" s="513" t="n"/>
      <c r="M69" s="451" t="n"/>
      <c r="N69" s="417" t="n"/>
    </row>
    <row r="70" ht="17.25" customHeight="1" s="468">
      <c r="B70" s="449" t="n"/>
      <c r="C70" s="449" t="n"/>
      <c r="D70" s="513" t="n"/>
      <c r="E70" s="449" t="n"/>
      <c r="F70" s="513" t="n"/>
      <c r="G70" s="449" t="n"/>
      <c r="H70" s="456" t="n"/>
      <c r="I70" s="456" t="n"/>
      <c r="J70" s="513" t="n"/>
      <c r="K70" s="449" t="n"/>
      <c r="L70" s="513" t="n"/>
      <c r="M70" s="449" t="n"/>
      <c r="N70" s="417" t="n"/>
    </row>
    <row r="71" ht="17.25" customHeight="1" s="468">
      <c r="B71" s="451" t="n"/>
      <c r="C71" s="451" t="n"/>
      <c r="D71" s="513" t="n"/>
      <c r="E71" s="451" t="n"/>
      <c r="F71" s="513" t="n"/>
      <c r="G71" s="451" t="n"/>
      <c r="H71" s="456" t="n"/>
      <c r="I71" s="456" t="n"/>
      <c r="J71" s="513" t="n"/>
      <c r="K71" s="451" t="n"/>
      <c r="L71" s="513" t="n"/>
      <c r="M71" s="451" t="n"/>
      <c r="N71" s="417" t="n"/>
    </row>
    <row r="72" ht="17.25" customHeight="1" s="468">
      <c r="B72" s="449" t="n"/>
      <c r="C72" s="449" t="n"/>
      <c r="D72" s="513" t="n"/>
      <c r="E72" s="449" t="n"/>
      <c r="F72" s="513" t="n"/>
      <c r="G72" s="449" t="n"/>
      <c r="H72" s="456" t="n"/>
      <c r="I72" s="456" t="n"/>
      <c r="J72" s="513" t="n"/>
      <c r="K72" s="449" t="n"/>
      <c r="L72" s="513" t="n"/>
      <c r="M72" s="449" t="n"/>
      <c r="N72" s="417" t="n"/>
    </row>
    <row r="73" ht="17.25" customHeight="1" s="468">
      <c r="B73" s="451" t="n"/>
      <c r="C73" s="451" t="n"/>
      <c r="D73" s="513" t="n"/>
      <c r="E73" s="451" t="n"/>
      <c r="F73" s="513" t="n"/>
      <c r="G73" s="451" t="n"/>
      <c r="H73" s="456" t="n"/>
      <c r="I73" s="456" t="n"/>
      <c r="J73" s="513" t="n"/>
      <c r="K73" s="451" t="n"/>
      <c r="L73" s="513" t="n"/>
      <c r="M73" s="451" t="n"/>
      <c r="N73" s="417" t="n"/>
    </row>
    <row r="74" ht="17.25" customHeight="1" s="468">
      <c r="B74" s="449" t="n"/>
      <c r="C74" s="449" t="n"/>
      <c r="D74" s="513" t="n"/>
      <c r="E74" s="449" t="n"/>
      <c r="F74" s="513" t="n"/>
      <c r="G74" s="449" t="n"/>
      <c r="H74" s="456" t="n"/>
      <c r="I74" s="456" t="n"/>
      <c r="J74" s="513" t="n"/>
      <c r="K74" s="449" t="n"/>
      <c r="L74" s="513" t="n"/>
      <c r="M74" s="449" t="n"/>
      <c r="N74" s="417" t="n"/>
    </row>
    <row r="75" ht="17.25" customHeight="1" s="468">
      <c r="B75" s="451" t="n"/>
      <c r="C75" s="451" t="n"/>
      <c r="D75" s="513" t="n"/>
      <c r="E75" s="451" t="n"/>
      <c r="F75" s="513" t="n"/>
      <c r="G75" s="451" t="n"/>
      <c r="H75" s="456" t="n"/>
      <c r="I75" s="456" t="n"/>
      <c r="J75" s="513" t="n"/>
      <c r="K75" s="451" t="n"/>
      <c r="L75" s="513" t="n"/>
      <c r="M75" s="451" t="n"/>
      <c r="N75" s="417" t="n"/>
    </row>
    <row r="76" ht="17.25" customHeight="1" s="468">
      <c r="B76" s="449" t="n"/>
      <c r="C76" s="449" t="n"/>
      <c r="D76" s="513" t="n"/>
      <c r="E76" s="449" t="n"/>
      <c r="F76" s="513" t="n"/>
      <c r="G76" s="449" t="n"/>
      <c r="H76" s="456" t="n"/>
      <c r="I76" s="456" t="n"/>
      <c r="J76" s="513" t="n"/>
      <c r="K76" s="449" t="n"/>
      <c r="L76" s="513" t="n"/>
      <c r="M76" s="443" t="n"/>
      <c r="N76" s="417" t="n"/>
    </row>
    <row r="77" ht="17.25" customHeight="1" s="468">
      <c r="B77" s="451" t="n"/>
      <c r="C77" s="451" t="n"/>
      <c r="D77" s="513" t="n"/>
      <c r="E77" s="451" t="n"/>
      <c r="F77" s="513" t="n"/>
      <c r="G77" s="451" t="n"/>
      <c r="H77" s="456" t="n"/>
      <c r="I77" s="456" t="n"/>
      <c r="J77" s="513" t="n"/>
      <c r="K77" s="451" t="n"/>
      <c r="L77" s="513" t="n"/>
      <c r="M77" s="451" t="n"/>
      <c r="N77" s="417" t="n"/>
    </row>
    <row r="78" ht="17.25" customHeight="1" s="468">
      <c r="B78" s="449" t="n"/>
      <c r="C78" s="449" t="n"/>
      <c r="D78" s="513" t="n"/>
      <c r="E78" s="449" t="n"/>
      <c r="F78" s="513" t="n"/>
      <c r="G78" s="449" t="n"/>
      <c r="H78" s="456" t="n"/>
      <c r="I78" s="456" t="n"/>
      <c r="J78" s="513" t="n"/>
      <c r="K78" s="449" t="n"/>
      <c r="L78" s="513" t="n"/>
      <c r="M78" s="449" t="n"/>
      <c r="N78" s="417" t="n"/>
    </row>
    <row r="79" ht="17.25" customHeight="1" s="468">
      <c r="B79" s="451" t="n"/>
      <c r="C79" s="451" t="n"/>
      <c r="D79" s="513" t="n"/>
      <c r="E79" s="451" t="n"/>
      <c r="F79" s="513" t="n"/>
      <c r="G79" s="451" t="n"/>
      <c r="H79" s="456" t="n"/>
      <c r="I79" s="456" t="n"/>
      <c r="J79" s="513" t="n"/>
      <c r="K79" s="451" t="n"/>
      <c r="L79" s="513" t="n"/>
      <c r="M79" s="451" t="n"/>
      <c r="N79" s="417" t="n"/>
    </row>
    <row r="80" ht="17.25" customHeight="1" s="468">
      <c r="B80" s="449" t="n"/>
      <c r="C80" s="449" t="n"/>
      <c r="D80" s="513" t="n"/>
      <c r="E80" s="449" t="n"/>
      <c r="F80" s="513" t="n"/>
      <c r="G80" s="449" t="n"/>
      <c r="H80" s="456" t="n"/>
      <c r="I80" s="456" t="n"/>
      <c r="J80" s="513" t="n"/>
      <c r="K80" s="449" t="n"/>
      <c r="L80" s="513" t="n"/>
      <c r="M80" s="449" t="n"/>
      <c r="N80" s="417" t="n"/>
    </row>
    <row r="81" ht="17.25" customHeight="1" s="468">
      <c r="B81" s="451" t="n"/>
      <c r="C81" s="451" t="n"/>
      <c r="D81" s="513" t="n"/>
      <c r="E81" s="451" t="n"/>
      <c r="F81" s="513" t="n"/>
      <c r="G81" s="451" t="n"/>
      <c r="H81" s="456" t="n"/>
      <c r="I81" s="456" t="n"/>
      <c r="J81" s="513" t="n"/>
      <c r="K81" s="451" t="n"/>
      <c r="L81" s="513" t="n"/>
      <c r="M81" s="451" t="n"/>
      <c r="N81" s="417" t="n"/>
    </row>
    <row r="82" ht="17.25" customHeight="1" s="468">
      <c r="B82" s="449" t="n"/>
      <c r="C82" s="449" t="n"/>
      <c r="D82" s="513" t="n"/>
      <c r="E82" s="449" t="n"/>
      <c r="F82" s="513" t="n"/>
      <c r="G82" s="449" t="n"/>
      <c r="H82" s="456" t="n"/>
      <c r="I82" s="456" t="n"/>
      <c r="J82" s="513" t="n"/>
      <c r="K82" s="449" t="n"/>
      <c r="L82" s="513" t="n"/>
      <c r="M82" s="449" t="n"/>
      <c r="N82" s="417" t="n"/>
    </row>
    <row r="83" ht="17.25" customHeight="1" s="468">
      <c r="B83" s="451" t="n"/>
      <c r="C83" s="451" t="n"/>
      <c r="D83" s="513" t="n"/>
      <c r="E83" s="451" t="n"/>
      <c r="F83" s="513" t="n"/>
      <c r="G83" s="451" t="n"/>
      <c r="H83" s="456" t="n"/>
      <c r="I83" s="456" t="n"/>
      <c r="J83" s="513" t="n"/>
      <c r="K83" s="451" t="n"/>
      <c r="L83" s="513" t="n"/>
      <c r="M83" s="451" t="n"/>
      <c r="N83" s="417" t="n"/>
    </row>
    <row r="84" ht="17.25" customHeight="1" s="468">
      <c r="B84" s="449" t="n"/>
      <c r="C84" s="449" t="n"/>
      <c r="D84" s="513" t="n"/>
      <c r="E84" s="449" t="n"/>
      <c r="F84" s="513" t="n"/>
      <c r="G84" s="449" t="n"/>
      <c r="H84" s="456" t="n"/>
      <c r="I84" s="456" t="n"/>
      <c r="J84" s="513" t="n"/>
      <c r="K84" s="449" t="n"/>
      <c r="L84" s="513" t="n"/>
      <c r="M84" s="449" t="n"/>
      <c r="N84" s="417" t="n"/>
    </row>
    <row r="85" ht="17.25" customHeight="1" s="468">
      <c r="B85" s="451" t="n"/>
      <c r="C85" s="451" t="n"/>
      <c r="D85" s="513" t="n"/>
      <c r="E85" s="451" t="n"/>
      <c r="F85" s="513" t="n"/>
      <c r="G85" s="451" t="n"/>
      <c r="H85" s="456" t="n"/>
      <c r="I85" s="456" t="n"/>
      <c r="J85" s="513" t="n"/>
      <c r="K85" s="451" t="n"/>
      <c r="L85" s="513" t="n"/>
      <c r="M85" s="242" t="n"/>
      <c r="N85" s="417" t="n"/>
    </row>
    <row r="86" ht="17.25" customHeight="1" s="468">
      <c r="B86" s="449" t="n"/>
      <c r="C86" s="449" t="n"/>
      <c r="D86" s="513" t="n"/>
      <c r="E86" s="449" t="n"/>
      <c r="F86" s="513" t="n"/>
      <c r="G86" s="449" t="n"/>
      <c r="H86" s="456" t="n"/>
      <c r="I86" s="456" t="n"/>
      <c r="J86" s="513" t="n"/>
      <c r="K86" s="449" t="n"/>
      <c r="L86" s="513" t="n"/>
      <c r="M86" s="449" t="n"/>
      <c r="N86" s="417" t="n"/>
    </row>
    <row r="87" ht="17.25" customHeight="1" s="468">
      <c r="B87" s="451" t="n"/>
      <c r="C87" s="451" t="n"/>
      <c r="D87" s="513" t="n"/>
      <c r="E87" s="451" t="n"/>
      <c r="F87" s="513" t="n"/>
      <c r="G87" s="451" t="n"/>
      <c r="H87" s="456" t="n"/>
      <c r="I87" s="456" t="n"/>
      <c r="J87" s="513" t="n"/>
      <c r="K87" s="451" t="n"/>
      <c r="L87" s="513" t="n"/>
      <c r="M87" s="451" t="n"/>
      <c r="N87" s="417" t="n"/>
    </row>
    <row r="88" ht="17.25" customHeight="1" s="468">
      <c r="B88" s="449" t="n"/>
      <c r="C88" s="449" t="n"/>
      <c r="D88" s="513" t="n"/>
      <c r="E88" s="449" t="n"/>
      <c r="F88" s="513" t="n"/>
      <c r="G88" s="449" t="n"/>
      <c r="H88" s="456" t="n"/>
      <c r="I88" s="456" t="n"/>
      <c r="J88" s="513" t="n"/>
      <c r="K88" s="449" t="n"/>
      <c r="L88" s="513" t="n"/>
      <c r="M88" s="449" t="n"/>
      <c r="N88" s="417" t="n"/>
    </row>
    <row r="89" ht="17.25" customHeight="1" s="468">
      <c r="B89" s="451" t="n"/>
      <c r="C89" s="451" t="n"/>
      <c r="D89" s="513" t="n"/>
      <c r="E89" s="451" t="n"/>
      <c r="F89" s="513" t="n"/>
      <c r="G89" s="451" t="n"/>
      <c r="H89" s="456" t="n"/>
      <c r="I89" s="456" t="n"/>
      <c r="J89" s="513" t="n"/>
      <c r="K89" s="451" t="n"/>
      <c r="L89" s="513" t="n"/>
      <c r="M89" s="451" t="n"/>
      <c r="N89" s="417" t="n"/>
    </row>
    <row r="90" ht="17.25" customHeight="1" s="468">
      <c r="B90" s="449" t="n"/>
      <c r="C90" s="449" t="n"/>
      <c r="D90" s="513" t="n"/>
      <c r="E90" s="449" t="n"/>
      <c r="F90" s="513" t="n"/>
      <c r="G90" s="449" t="n"/>
      <c r="H90" s="456" t="n"/>
      <c r="I90" s="456" t="n"/>
      <c r="J90" s="513" t="n"/>
      <c r="K90" s="449" t="n"/>
      <c r="L90" s="513" t="n"/>
      <c r="M90" s="449" t="n"/>
      <c r="N90" s="417" t="n"/>
    </row>
    <row r="91" ht="17.25" customHeight="1" s="468">
      <c r="B91" s="451" t="n"/>
      <c r="C91" s="451" t="n"/>
      <c r="D91" s="513" t="n"/>
      <c r="E91" s="451" t="n"/>
      <c r="F91" s="513" t="n"/>
      <c r="G91" s="451" t="n"/>
      <c r="H91" s="456" t="n"/>
      <c r="I91" s="456" t="n"/>
      <c r="J91" s="513" t="n"/>
      <c r="K91" s="451" t="n"/>
      <c r="L91" s="513" t="n"/>
      <c r="M91" s="451" t="n"/>
      <c r="N91" s="417" t="n"/>
    </row>
    <row r="92" ht="17.25" customHeight="1" s="468">
      <c r="B92" s="449" t="n"/>
      <c r="C92" s="449" t="n"/>
      <c r="D92" s="513" t="n"/>
      <c r="E92" s="449" t="n"/>
      <c r="F92" s="513" t="n"/>
      <c r="G92" s="449" t="n"/>
      <c r="H92" s="456" t="n"/>
      <c r="I92" s="456" t="n"/>
      <c r="J92" s="513" t="n"/>
      <c r="K92" s="449" t="n"/>
      <c r="L92" s="513" t="n"/>
      <c r="M92" s="449" t="n"/>
      <c r="N92" s="417" t="n"/>
    </row>
    <row r="93" ht="17.25" customHeight="1" s="468">
      <c r="B93" s="451" t="n"/>
      <c r="C93" s="451" t="n"/>
      <c r="D93" s="513" t="n"/>
      <c r="E93" s="451" t="n"/>
      <c r="F93" s="513" t="n"/>
      <c r="G93" s="451" t="n"/>
      <c r="H93" s="456" t="n"/>
      <c r="I93" s="456" t="n"/>
      <c r="J93" s="513" t="n"/>
      <c r="K93" s="451" t="n"/>
      <c r="L93" s="513" t="n"/>
      <c r="M93" s="242" t="n"/>
      <c r="N93" s="417" t="n"/>
    </row>
    <row r="94" ht="17.25" customHeight="1" s="468">
      <c r="B94" s="449" t="n"/>
      <c r="C94" s="449" t="n"/>
      <c r="D94" s="513" t="n"/>
      <c r="E94" s="449" t="n"/>
      <c r="F94" s="513" t="n"/>
      <c r="G94" s="449" t="n"/>
      <c r="H94" s="456" t="n"/>
      <c r="I94" s="456" t="n"/>
      <c r="J94" s="513" t="n"/>
      <c r="K94" s="449" t="n"/>
      <c r="L94" s="513" t="n"/>
      <c r="M94" s="449" t="n"/>
      <c r="N94" s="417" t="n"/>
    </row>
    <row r="95" ht="18" customHeight="1" s="468">
      <c r="N95" s="433" t="n"/>
    </row>
    <row r="96" ht="18" customHeight="1" s="468">
      <c r="N96" s="433" t="n"/>
    </row>
    <row r="97" ht="18" customHeight="1" s="468">
      <c r="N97" s="433" t="n"/>
    </row>
    <row r="98" ht="18" customHeight="1" s="468">
      <c r="N98" s="433" t="n"/>
    </row>
    <row r="99" ht="18" customHeight="1" s="468">
      <c r="N99" s="433" t="n"/>
    </row>
    <row r="100" ht="18" customHeight="1" s="468">
      <c r="N100" s="433" t="n"/>
    </row>
    <row r="101" ht="18" customHeight="1" s="468">
      <c r="N101" s="433" t="n"/>
    </row>
    <row r="102" ht="18" customHeight="1" s="468">
      <c r="N102" s="433" t="n"/>
    </row>
    <row r="103" ht="18" customHeight="1" s="468">
      <c r="N103" s="433" t="n"/>
    </row>
    <row r="104" ht="18" customHeight="1" s="468">
      <c r="N104" s="433" t="n"/>
    </row>
    <row r="105" ht="18" customHeight="1" s="468">
      <c r="N105" s="433" t="n"/>
    </row>
    <row r="106" ht="18" customHeight="1" s="468">
      <c r="N106" s="433" t="n"/>
    </row>
    <row r="107" ht="18" customHeight="1" s="468">
      <c r="N107" s="433" t="n"/>
    </row>
    <row r="108" ht="18" customHeight="1" s="468">
      <c r="N108" s="433" t="n"/>
    </row>
    <row r="109" ht="18" customHeight="1" s="468">
      <c r="N109" s="433" t="n"/>
    </row>
    <row r="110" ht="18" customHeight="1" s="468">
      <c r="N110" s="433" t="n"/>
    </row>
    <row r="111" ht="18" customHeight="1" s="468">
      <c r="N111" s="433" t="n"/>
    </row>
    <row r="112" ht="18" customHeight="1" s="468">
      <c r="N112" s="433" t="n"/>
    </row>
    <row r="113" ht="18" customHeight="1" s="468">
      <c r="N113" s="433" t="n"/>
    </row>
    <row r="114" ht="18" customHeight="1" s="468">
      <c r="N114" s="433" t="n"/>
    </row>
    <row r="115" ht="18" customHeight="1" s="468">
      <c r="N115" s="433" t="n"/>
    </row>
    <row r="116" ht="18" customHeight="1" s="468">
      <c r="N116" s="433" t="n"/>
    </row>
    <row r="117" ht="18" customHeight="1" s="468">
      <c r="N117" s="433" t="n"/>
    </row>
    <row r="118" ht="18" customHeight="1" s="468">
      <c r="N118" s="433" t="n"/>
    </row>
    <row r="119" ht="18" customHeight="1" s="468">
      <c r="N119" s="433" t="n"/>
    </row>
    <row r="120" ht="18" customHeight="1" s="468">
      <c r="N120" s="433" t="n"/>
    </row>
    <row r="121" ht="18" customHeight="1" s="468">
      <c r="N121" s="433" t="n"/>
    </row>
    <row r="122" ht="18" customHeight="1" s="468">
      <c r="N122" s="433" t="n"/>
    </row>
    <row r="123" ht="18" customHeight="1" s="468">
      <c r="N123" s="433" t="n"/>
    </row>
    <row r="124" ht="18" customHeight="1" s="468">
      <c r="N124" s="433" t="n"/>
    </row>
    <row r="125" ht="18" customHeight="1" s="468">
      <c r="N125" s="433" t="n"/>
    </row>
    <row r="126" ht="18" customHeight="1" s="468">
      <c r="N126" s="433" t="n"/>
    </row>
    <row r="127" ht="18" customHeight="1" s="468">
      <c r="N127" s="433" t="n"/>
    </row>
    <row r="128" ht="18" customHeight="1" s="468">
      <c r="N128" s="433" t="n"/>
    </row>
    <row r="129" ht="18" customHeight="1" s="468">
      <c r="N129" s="433" t="n"/>
    </row>
    <row r="130" ht="18" customHeight="1" s="468">
      <c r="N130" s="433" t="n"/>
    </row>
    <row r="131" ht="18" customHeight="1" s="468">
      <c r="N131" s="433" t="n"/>
    </row>
    <row r="132" ht="18" customHeight="1" s="468">
      <c r="N132" s="433" t="n"/>
    </row>
    <row r="133" ht="18" customHeight="1" s="468">
      <c r="N133" s="433" t="n"/>
    </row>
    <row r="134" ht="18" customHeight="1" s="468">
      <c r="N134" s="433" t="n"/>
    </row>
    <row r="135" ht="18" customHeight="1" s="468">
      <c r="N135" s="433" t="n"/>
    </row>
    <row r="136" ht="18" customHeight="1" s="468">
      <c r="N136" s="433" t="n"/>
    </row>
    <row r="137" ht="18" customHeight="1" s="468">
      <c r="N137" s="433" t="n"/>
    </row>
    <row r="138" ht="18" customHeight="1" s="468">
      <c r="N138" s="433" t="n"/>
    </row>
    <row r="139" ht="18" customHeight="1" s="468">
      <c r="N139" s="433" t="n"/>
    </row>
    <row r="140" ht="18" customHeight="1" s="468">
      <c r="N140" s="433" t="n"/>
    </row>
    <row r="141" ht="18" customHeight="1" s="468">
      <c r="N141" s="433" t="n"/>
    </row>
    <row r="142" ht="18" customHeight="1" s="468">
      <c r="N142" s="433" t="n"/>
    </row>
    <row r="143" ht="18" customHeight="1" s="468">
      <c r="N143" s="433" t="n"/>
    </row>
    <row r="144" ht="18" customHeight="1" s="468">
      <c r="N144" s="433" t="n"/>
    </row>
    <row r="145" ht="18" customHeight="1" s="468">
      <c r="N145" s="433" t="n"/>
    </row>
    <row r="146" ht="18" customHeight="1" s="468">
      <c r="N146" s="433" t="n"/>
    </row>
    <row r="147" ht="18" customHeight="1" s="468">
      <c r="N147" s="433" t="n"/>
    </row>
    <row r="148" ht="18" customHeight="1" s="468">
      <c r="N148" s="433" t="n"/>
    </row>
    <row r="149" ht="18" customHeight="1" s="468">
      <c r="N149" s="433" t="n"/>
    </row>
    <row r="150" ht="18" customHeight="1" s="468">
      <c r="N150" s="433" t="n"/>
    </row>
    <row r="151" ht="18" customHeight="1" s="468">
      <c r="N151" s="433" t="n"/>
    </row>
    <row r="152" ht="18" customHeight="1" s="468">
      <c r="N152" s="433" t="n"/>
    </row>
    <row r="153" ht="18" customHeight="1" s="468">
      <c r="N153" s="433" t="n"/>
    </row>
    <row r="154" ht="18" customHeight="1" s="468">
      <c r="N154" s="433" t="n"/>
    </row>
    <row r="155" ht="18" customHeight="1" s="468">
      <c r="N155" s="433" t="n"/>
    </row>
    <row r="156" ht="18" customHeight="1" s="468">
      <c r="N156" s="433" t="n"/>
    </row>
    <row r="157" ht="18" customHeight="1" s="468">
      <c r="N157" s="433" t="n"/>
    </row>
    <row r="158" ht="18" customHeight="1" s="468">
      <c r="N158" s="433" t="n"/>
    </row>
    <row r="159" ht="18" customHeight="1" s="468">
      <c r="N159" s="433" t="n"/>
    </row>
    <row r="160" ht="18" customHeight="1" s="468">
      <c r="N160" s="433" t="n"/>
    </row>
    <row r="161" ht="18" customHeight="1" s="468">
      <c r="N161" s="433" t="n"/>
    </row>
    <row r="162" ht="18" customHeight="1" s="468">
      <c r="N162" s="433" t="n"/>
    </row>
    <row r="163" ht="18" customHeight="1" s="468">
      <c r="N163" s="433" t="n"/>
    </row>
    <row r="164" ht="18" customHeight="1" s="468">
      <c r="N164" s="433" t="n"/>
    </row>
    <row r="165" ht="18" customHeight="1" s="468">
      <c r="N165" s="433" t="n"/>
    </row>
    <row r="166" ht="18" customHeight="1" s="468">
      <c r="N166" s="433" t="n"/>
    </row>
    <row r="167" ht="18" customHeight="1" s="468">
      <c r="N167" s="433" t="n"/>
    </row>
    <row r="168" ht="18" customHeight="1" s="468">
      <c r="N168" s="433" t="n"/>
    </row>
    <row r="169" ht="18" customHeight="1" s="468">
      <c r="N169" s="433" t="n"/>
    </row>
    <row r="170" ht="18" customHeight="1" s="468">
      <c r="N170" s="433" t="n"/>
    </row>
    <row r="171" ht="18" customHeight="1" s="468">
      <c r="N171" s="433" t="n"/>
    </row>
    <row r="172" ht="18" customHeight="1" s="468">
      <c r="N172" s="433" t="n"/>
    </row>
    <row r="173" ht="18" customHeight="1" s="468">
      <c r="N173" s="433" t="n"/>
    </row>
    <row r="174" ht="18" customHeight="1" s="468">
      <c r="N174" s="433" t="n"/>
    </row>
    <row r="175" ht="18" customHeight="1" s="468">
      <c r="N175" s="433" t="n"/>
    </row>
    <row r="176" ht="18" customHeight="1" s="468">
      <c r="N176" s="433" t="n"/>
    </row>
    <row r="177" ht="18" customHeight="1" s="468">
      <c r="N177" s="433" t="n"/>
    </row>
    <row r="178" ht="18" customHeight="1" s="468">
      <c r="N178" s="433" t="n"/>
    </row>
    <row r="179" ht="18" customHeight="1" s="468">
      <c r="N179" s="433" t="n"/>
    </row>
    <row r="180" ht="18" customHeight="1" s="468">
      <c r="N180" s="433" t="n"/>
    </row>
    <row r="181" ht="18" customHeight="1" s="468">
      <c r="N181" s="433" t="n"/>
    </row>
    <row r="182" ht="18" customHeight="1" s="468">
      <c r="N182" s="433" t="n"/>
    </row>
    <row r="183" ht="18" customHeight="1" s="468">
      <c r="N183" s="433" t="n"/>
    </row>
    <row r="184" ht="18" customHeight="1" s="468">
      <c r="N184" s="433" t="n"/>
    </row>
    <row r="185" ht="18" customHeight="1" s="468">
      <c r="N185" s="433" t="n"/>
    </row>
    <row r="186" ht="18" customHeight="1" s="468">
      <c r="N186" s="433" t="n"/>
    </row>
    <row r="187" ht="18" customHeight="1" s="468">
      <c r="N187" s="433" t="n"/>
    </row>
    <row r="188" ht="18" customHeight="1" s="468">
      <c r="N188" s="433" t="n"/>
    </row>
    <row r="189" ht="18" customHeight="1" s="468">
      <c r="N189" s="433" t="n"/>
    </row>
    <row r="190" ht="18" customHeight="1" s="468">
      <c r="N190" s="433" t="n"/>
    </row>
    <row r="191" ht="18" customHeight="1" s="468">
      <c r="N191" s="433" t="n"/>
    </row>
    <row r="192" ht="18" customHeight="1" s="468">
      <c r="N192" s="433" t="n"/>
    </row>
    <row r="193" ht="18" customHeight="1" s="468">
      <c r="N193" s="433" t="n"/>
    </row>
    <row r="194" ht="18" customHeight="1" s="468">
      <c r="N194" s="433" t="n"/>
    </row>
    <row r="195" ht="18" customHeight="1" s="468">
      <c r="N195" s="433" t="n"/>
    </row>
    <row r="196" ht="18" customHeight="1" s="468">
      <c r="N196" s="433" t="n"/>
    </row>
    <row r="197" ht="18" customHeight="1" s="468">
      <c r="N197" s="433" t="n"/>
    </row>
    <row r="198" ht="18" customHeight="1" s="468">
      <c r="N198" s="433" t="n"/>
    </row>
    <row r="199" ht="18" customHeight="1" s="468">
      <c r="N199" s="433" t="n"/>
    </row>
    <row r="200" ht="18" customHeight="1" s="468">
      <c r="N200" s="433" t="n"/>
    </row>
    <row r="201" ht="18" customHeight="1" s="468">
      <c r="N201" s="433" t="n"/>
    </row>
    <row r="202" ht="18" customHeight="1" s="468">
      <c r="N202" s="433" t="n"/>
    </row>
    <row r="203" ht="18" customHeight="1" s="468">
      <c r="N203" s="433" t="n"/>
    </row>
    <row r="204" ht="18" customHeight="1" s="468">
      <c r="N204" s="433" t="n"/>
    </row>
    <row r="205" ht="18" customHeight="1" s="468">
      <c r="N205" s="433" t="n"/>
    </row>
    <row r="206" ht="18" customHeight="1" s="468">
      <c r="N206" s="433" t="n"/>
    </row>
    <row r="207" ht="18" customHeight="1" s="468">
      <c r="N207" s="433" t="n"/>
    </row>
    <row r="208" ht="18" customHeight="1" s="468">
      <c r="N208" s="433" t="n"/>
    </row>
    <row r="209" ht="18" customHeight="1" s="468">
      <c r="N209" s="433" t="n"/>
    </row>
    <row r="210" ht="18" customHeight="1" s="468">
      <c r="N210" s="433" t="n"/>
    </row>
    <row r="211" ht="18" customHeight="1" s="468">
      <c r="N211" s="433" t="n"/>
    </row>
    <row r="212" ht="18" customHeight="1" s="468">
      <c r="N212" s="433" t="n"/>
    </row>
    <row r="213" ht="18" customHeight="1" s="468">
      <c r="N213" s="433" t="n"/>
    </row>
    <row r="214" ht="18" customHeight="1" s="468">
      <c r="N214" s="433" t="n"/>
    </row>
    <row r="215" ht="18" customHeight="1" s="468">
      <c r="N215" s="433" t="n"/>
    </row>
    <row r="216" ht="18" customHeight="1" s="468">
      <c r="N216" s="433" t="n"/>
    </row>
    <row r="217" ht="18" customHeight="1" s="468">
      <c r="N217" s="433" t="n"/>
    </row>
    <row r="218" ht="18" customHeight="1" s="468">
      <c r="N218" s="433" t="n"/>
    </row>
    <row r="219" ht="18" customHeight="1" s="468">
      <c r="N219" s="433" t="n"/>
    </row>
    <row r="220" ht="18" customHeight="1" s="468">
      <c r="N220" s="433" t="n"/>
    </row>
    <row r="221" ht="18" customHeight="1" s="468">
      <c r="N221" s="433" t="n"/>
    </row>
    <row r="222" ht="18" customHeight="1" s="468">
      <c r="N222" s="433" t="n"/>
    </row>
    <row r="223" ht="18" customHeight="1" s="468">
      <c r="N223" s="433" t="n"/>
    </row>
    <row r="224" ht="18" customHeight="1" s="468">
      <c r="N224" s="433" t="n"/>
    </row>
    <row r="225" ht="18" customHeight="1" s="468">
      <c r="N225" s="433" t="n"/>
    </row>
    <row r="226" ht="18" customHeight="1" s="468">
      <c r="N226" s="433" t="n"/>
    </row>
    <row r="227" ht="18" customHeight="1" s="468">
      <c r="N227" s="433" t="n"/>
    </row>
    <row r="228" ht="18" customHeight="1" s="468">
      <c r="N228" s="433" t="n"/>
    </row>
    <row r="229" ht="18" customHeight="1" s="468">
      <c r="N229" s="433" t="n"/>
    </row>
    <row r="230" ht="18" customHeight="1" s="468">
      <c r="N230" s="433" t="n"/>
    </row>
    <row r="231" ht="18" customHeight="1" s="468">
      <c r="N231" s="433" t="n"/>
    </row>
    <row r="232" ht="18" customHeight="1" s="468">
      <c r="N232" s="433" t="n"/>
    </row>
    <row r="233" ht="18" customHeight="1" s="468">
      <c r="N233" s="433" t="n"/>
    </row>
    <row r="234" ht="18" customHeight="1" s="468">
      <c r="N234" s="433" t="n"/>
    </row>
    <row r="235" ht="18" customHeight="1" s="468">
      <c r="N235" s="433" t="n"/>
    </row>
    <row r="236" ht="18" customHeight="1" s="468">
      <c r="N236" s="433" t="n"/>
    </row>
    <row r="237" ht="18" customHeight="1" s="468">
      <c r="N237" s="433" t="n"/>
    </row>
    <row r="238" ht="18" customHeight="1" s="468">
      <c r="N238" s="433" t="n"/>
    </row>
    <row r="239" ht="18" customHeight="1" s="468">
      <c r="N239" s="433" t="n"/>
    </row>
    <row r="240" ht="18" customHeight="1" s="468">
      <c r="N240" s="433" t="n"/>
    </row>
    <row r="241" ht="18" customHeight="1" s="468">
      <c r="N241" s="433" t="n"/>
    </row>
    <row r="242" ht="18" customHeight="1" s="468">
      <c r="N242" s="433" t="n"/>
    </row>
    <row r="243" ht="18" customHeight="1" s="468">
      <c r="N243" s="433" t="n"/>
    </row>
    <row r="244" ht="18" customHeight="1" s="468">
      <c r="N244" s="433" t="n"/>
    </row>
    <row r="245" ht="18" customHeight="1" s="468">
      <c r="N245" s="433" t="n"/>
    </row>
    <row r="246" ht="18" customHeight="1" s="468">
      <c r="N246" s="433" t="n"/>
    </row>
    <row r="247" ht="18" customHeight="1" s="468">
      <c r="N247" s="433" t="n"/>
    </row>
    <row r="248" ht="18" customHeight="1" s="468">
      <c r="N248" s="433" t="n"/>
    </row>
    <row r="249" ht="18" customHeight="1" s="468">
      <c r="N249" s="433" t="n"/>
    </row>
    <row r="250" ht="18" customHeight="1" s="468">
      <c r="N250" s="433" t="n"/>
    </row>
    <row r="251" ht="18" customHeight="1" s="468">
      <c r="N251" s="433" t="n"/>
    </row>
    <row r="252" ht="18" customHeight="1" s="468">
      <c r="N252" s="433" t="n"/>
    </row>
    <row r="253" ht="18" customHeight="1" s="468">
      <c r="N253" s="433" t="n"/>
    </row>
    <row r="254" ht="18" customHeight="1" s="468">
      <c r="N254" s="433" t="n"/>
    </row>
    <row r="255" ht="18" customHeight="1" s="468">
      <c r="N255" s="433" t="n"/>
    </row>
    <row r="256" ht="18" customHeight="1" s="468">
      <c r="N256" s="433" t="n"/>
    </row>
    <row r="257" ht="18" customHeight="1" s="468">
      <c r="N257" s="433" t="n"/>
    </row>
    <row r="258" ht="18" customHeight="1" s="468">
      <c r="N258" s="433" t="n"/>
    </row>
    <row r="259" ht="18" customHeight="1" s="468">
      <c r="N259" s="433" t="n"/>
    </row>
    <row r="260" ht="18" customHeight="1" s="468">
      <c r="N260" s="433" t="n"/>
    </row>
    <row r="261" ht="18" customHeight="1" s="468">
      <c r="N261" s="433" t="n"/>
    </row>
    <row r="262" ht="18" customHeight="1" s="468">
      <c r="N262" s="433" t="n"/>
    </row>
    <row r="263" ht="18" customHeight="1" s="468">
      <c r="N263" s="433" t="n"/>
    </row>
    <row r="264" ht="18" customHeight="1" s="468">
      <c r="N264" s="433" t="n"/>
    </row>
    <row r="265" ht="18" customHeight="1" s="468">
      <c r="N265" s="433" t="n"/>
    </row>
    <row r="266" ht="18" customHeight="1" s="468">
      <c r="N266" s="433" t="n"/>
    </row>
    <row r="267" ht="18" customHeight="1" s="468">
      <c r="N267" s="433" t="n"/>
    </row>
    <row r="268" ht="18" customHeight="1" s="468">
      <c r="N268" s="433" t="n"/>
    </row>
    <row r="269" ht="18" customHeight="1" s="468">
      <c r="N269" s="433" t="n"/>
    </row>
    <row r="270" ht="18" customHeight="1" s="468">
      <c r="N270" s="433" t="n"/>
    </row>
    <row r="271" ht="18" customHeight="1" s="468">
      <c r="N271" s="433" t="n"/>
    </row>
    <row r="272" ht="18" customHeight="1" s="468">
      <c r="N272" s="433" t="n"/>
    </row>
    <row r="273" ht="18" customHeight="1" s="468">
      <c r="N273" s="433" t="n"/>
    </row>
    <row r="274" ht="18" customHeight="1" s="468">
      <c r="N274" s="433" t="n"/>
    </row>
    <row r="275" ht="18" customHeight="1" s="468">
      <c r="N275" s="433" t="n"/>
    </row>
    <row r="276" ht="18" customHeight="1" s="468">
      <c r="N276" s="433" t="n"/>
    </row>
    <row r="277" ht="18" customHeight="1" s="468">
      <c r="N277" s="433" t="n"/>
    </row>
    <row r="278" ht="18" customHeight="1" s="468">
      <c r="N278" s="433" t="n"/>
    </row>
    <row r="279" ht="18" customHeight="1" s="468">
      <c r="N279" s="433" t="n"/>
    </row>
    <row r="280" ht="18" customHeight="1" s="468">
      <c r="N280" s="433" t="n"/>
    </row>
    <row r="281" ht="18" customHeight="1" s="468">
      <c r="N281" s="433" t="n"/>
    </row>
    <row r="282" ht="18" customHeight="1" s="468">
      <c r="N282" s="433" t="n"/>
    </row>
    <row r="283" ht="18" customHeight="1" s="468">
      <c r="N283" s="433" t="n"/>
    </row>
    <row r="284" ht="18" customHeight="1" s="468">
      <c r="N284" s="433" t="n"/>
    </row>
    <row r="285" ht="18" customHeight="1" s="468">
      <c r="N285" s="433" t="n"/>
    </row>
    <row r="286" ht="18" customHeight="1" s="468">
      <c r="N286" s="433" t="n"/>
    </row>
    <row r="287" ht="18" customHeight="1" s="468">
      <c r="N287" s="433" t="n"/>
    </row>
    <row r="288" ht="18" customHeight="1" s="468">
      <c r="N288" s="433" t="n"/>
    </row>
    <row r="289" ht="18" customHeight="1" s="468">
      <c r="N289" s="433" t="n"/>
    </row>
    <row r="290" ht="18" customHeight="1" s="468">
      <c r="N290" s="433" t="n"/>
    </row>
    <row r="291" ht="18" customHeight="1" s="468">
      <c r="N291" s="433" t="n"/>
    </row>
    <row r="292" ht="18" customHeight="1" s="468">
      <c r="N292" s="433" t="n"/>
    </row>
    <row r="293" ht="18" customHeight="1" s="468">
      <c r="N293" s="433" t="n"/>
    </row>
    <row r="294" ht="18" customHeight="1" s="468">
      <c r="N294" s="433" t="n"/>
    </row>
    <row r="295" ht="18" customHeight="1" s="468">
      <c r="N295" s="433" t="n"/>
    </row>
    <row r="296" ht="18" customHeight="1" s="468">
      <c r="N296" s="433" t="n"/>
    </row>
    <row r="297" ht="18" customHeight="1" s="468">
      <c r="N297" s="433" t="n"/>
    </row>
    <row r="298" ht="18" customHeight="1" s="468">
      <c r="N298" s="433" t="n"/>
    </row>
    <row r="299" ht="18" customHeight="1" s="468">
      <c r="N299" s="433" t="n"/>
    </row>
    <row r="300" ht="18" customHeight="1" s="468">
      <c r="N300" s="433" t="n"/>
    </row>
  </sheetData>
  <mergeCells count="344">
    <mergeCell ref="C15:D15"/>
    <mergeCell ref="G4:J4"/>
    <mergeCell ref="E71:F71"/>
    <mergeCell ref="C79:D79"/>
    <mergeCell ref="E8:F8"/>
    <mergeCell ref="E79:F79"/>
    <mergeCell ref="C73:D73"/>
    <mergeCell ref="E73:F73"/>
    <mergeCell ref="K81:L81"/>
    <mergeCell ref="G82:J82"/>
    <mergeCell ref="G57:J57"/>
    <mergeCell ref="C28:D28"/>
    <mergeCell ref="E53:F53"/>
    <mergeCell ref="C3:D3"/>
    <mergeCell ref="G58:J58"/>
    <mergeCell ref="E3:F3"/>
    <mergeCell ref="K92:L92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G25:J25"/>
    <mergeCell ref="E92:F92"/>
    <mergeCell ref="K54:L54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C31:D31"/>
    <mergeCell ref="C80:D80"/>
    <mergeCell ref="E31:F31"/>
    <mergeCell ref="E6:F6"/>
    <mergeCell ref="E77:F77"/>
    <mergeCell ref="E89:F89"/>
    <mergeCell ref="G13:J13"/>
    <mergeCell ref="G78:J78"/>
    <mergeCell ref="E72:F72"/>
    <mergeCell ref="K57:L57"/>
    <mergeCell ref="G15:J15"/>
    <mergeCell ref="G80:J80"/>
    <mergeCell ref="C49:D49"/>
    <mergeCell ref="C24:D24"/>
    <mergeCell ref="G79:J79"/>
    <mergeCell ref="E24:F24"/>
    <mergeCell ref="G73:J73"/>
    <mergeCell ref="C42:D42"/>
    <mergeCell ref="E42:F42"/>
    <mergeCell ref="C88:D88"/>
    <mergeCell ref="E17:F17"/>
    <mergeCell ref="C26:D26"/>
    <mergeCell ref="E88:F88"/>
    <mergeCell ref="E82:F82"/>
    <mergeCell ref="E19:F19"/>
    <mergeCell ref="C55:D55"/>
    <mergeCell ref="K75:L75"/>
    <mergeCell ref="K21:L40"/>
    <mergeCell ref="K12:L12"/>
    <mergeCell ref="C52:D52"/>
    <mergeCell ref="K70:L70"/>
    <mergeCell ref="C39:D39"/>
    <mergeCell ref="G28:J28"/>
    <mergeCell ref="G3:J3"/>
    <mergeCell ref="C81:D81"/>
    <mergeCell ref="C37:D37"/>
    <mergeCell ref="G92:J92"/>
    <mergeCell ref="E37:F37"/>
    <mergeCell ref="G30:J30"/>
    <mergeCell ref="G5:J5"/>
    <mergeCell ref="E47:F47"/>
    <mergeCell ref="C63:D63"/>
    <mergeCell ref="E63:F63"/>
    <mergeCell ref="G81:J81"/>
    <mergeCell ref="K50:L50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E93:F93"/>
    <mergeCell ref="K78:L78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C8:D8"/>
    <mergeCell ref="G49:J49"/>
    <mergeCell ref="K66:L66"/>
    <mergeCell ref="C66:D66"/>
    <mergeCell ref="G24:J24"/>
    <mergeCell ref="E66:F66"/>
    <mergeCell ref="C53:D53"/>
    <mergeCell ref="K3:L3"/>
    <mergeCell ref="K74:L74"/>
    <mergeCell ref="C77:D77"/>
    <mergeCell ref="K68:L68"/>
    <mergeCell ref="G88:J88"/>
    <mergeCell ref="C68:D68"/>
    <mergeCell ref="G26:J26"/>
    <mergeCell ref="E68:F68"/>
    <mergeCell ref="K5:L5"/>
    <mergeCell ref="G90:J90"/>
    <mergeCell ref="C59:D59"/>
    <mergeCell ref="E59:F59"/>
    <mergeCell ref="C46:D46"/>
    <mergeCell ref="C21:D21"/>
    <mergeCell ref="E46:F46"/>
    <mergeCell ref="G39:J39"/>
    <mergeCell ref="C61:D61"/>
    <mergeCell ref="E61:F61"/>
    <mergeCell ref="C48:D48"/>
    <mergeCell ref="C23:D23"/>
    <mergeCell ref="G37:J37"/>
    <mergeCell ref="E54:F54"/>
    <mergeCell ref="E41:F41"/>
    <mergeCell ref="E56:F56"/>
    <mergeCell ref="K18:L18"/>
    <mergeCell ref="E43:F43"/>
    <mergeCell ref="C74:D74"/>
    <mergeCell ref="G63:J63"/>
    <mergeCell ref="G50:J50"/>
    <mergeCell ref="C16:D1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K13:L17"/>
    <mergeCell ref="C87:D87"/>
    <mergeCell ref="G45:J45"/>
    <mergeCell ref="K49:L49"/>
    <mergeCell ref="C6:D6"/>
    <mergeCell ref="C62:D62"/>
    <mergeCell ref="E62:F62"/>
    <mergeCell ref="G55:J55"/>
    <mergeCell ref="K89:L89"/>
    <mergeCell ref="C89:D89"/>
    <mergeCell ref="G47:J47"/>
    <mergeCell ref="C64:D64"/>
    <mergeCell ref="K88:L88"/>
    <mergeCell ref="E64:F64"/>
    <mergeCell ref="G46:J46"/>
    <mergeCell ref="G40:J40"/>
    <mergeCell ref="E51:F51"/>
    <mergeCell ref="C93:D93"/>
    <mergeCell ref="K90:L90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B21:B40"/>
    <mergeCell ref="E75:F75"/>
    <mergeCell ref="G68:J68"/>
    <mergeCell ref="C83:D83"/>
    <mergeCell ref="E12:F12"/>
    <mergeCell ref="C14:D14"/>
    <mergeCell ref="E14:F14"/>
    <mergeCell ref="K63:L63"/>
    <mergeCell ref="G21:J21"/>
    <mergeCell ref="G67:J67"/>
    <mergeCell ref="G61:J61"/>
    <mergeCell ref="C90:D90"/>
    <mergeCell ref="G48:J48"/>
    <mergeCell ref="G23:J23"/>
    <mergeCell ref="E90:F90"/>
    <mergeCell ref="G62:J62"/>
    <mergeCell ref="E25:F25"/>
    <mergeCell ref="B13:B17"/>
    <mergeCell ref="K93:L93"/>
    <mergeCell ref="E58:F58"/>
    <mergeCell ref="G16:J16"/>
    <mergeCell ref="E83:F83"/>
    <mergeCell ref="G76:J76"/>
    <mergeCell ref="K45:L45"/>
    <mergeCell ref="C20:D20"/>
    <mergeCell ref="E20:F20"/>
    <mergeCell ref="G9:J9"/>
    <mergeCell ref="C85:D85"/>
    <mergeCell ref="K47:L47"/>
    <mergeCell ref="C84:D84"/>
    <mergeCell ref="E13:F13"/>
    <mergeCell ref="C22:D22"/>
    <mergeCell ref="E84:F84"/>
    <mergeCell ref="K46:L46"/>
    <mergeCell ref="G11:J11"/>
    <mergeCell ref="E78:F78"/>
    <mergeCell ref="E15:F15"/>
    <mergeCell ref="E86:F86"/>
    <mergeCell ref="C51:D51"/>
    <mergeCell ref="E80:F80"/>
    <mergeCell ref="K71:L71"/>
    <mergeCell ref="K73:L73"/>
    <mergeCell ref="C38:D38"/>
    <mergeCell ref="K6:L11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10:D10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C56:D56"/>
    <mergeCell ref="E34:F34"/>
    <mergeCell ref="C43:D43"/>
    <mergeCell ref="K67:L67"/>
    <mergeCell ref="E49:F49"/>
    <mergeCell ref="C36:D36"/>
    <mergeCell ref="E36:F36"/>
    <mergeCell ref="C67:D67"/>
    <mergeCell ref="K69:L69"/>
    <mergeCell ref="C69:D69"/>
    <mergeCell ref="G20:J20"/>
    <mergeCell ref="G91:J91"/>
    <mergeCell ref="G85:J85"/>
    <mergeCell ref="K64:L64"/>
    <mergeCell ref="C4:D4"/>
    <mergeCell ref="G84:J84"/>
    <mergeCell ref="E4:F4"/>
    <mergeCell ref="G22:J22"/>
    <mergeCell ref="K51:L51"/>
    <mergeCell ref="K72:L72"/>
    <mergeCell ref="G86:J86"/>
    <mergeCell ref="C60:D60"/>
    <mergeCell ref="G38:J38"/>
    <mergeCell ref="E26:F26"/>
    <mergeCell ref="C91:D91"/>
    <mergeCell ref="K82:L82"/>
    <mergeCell ref="C82:D82"/>
    <mergeCell ref="C57:D57"/>
    <mergeCell ref="B6:B11"/>
    <mergeCell ref="K19:L19"/>
    <mergeCell ref="G33:J33"/>
    <mergeCell ref="E50:F50"/>
    <mergeCell ref="K83:L83"/>
    <mergeCell ref="C86:D86"/>
    <mergeCell ref="G35:J35"/>
    <mergeCell ref="C58:D58"/>
    <mergeCell ref="E52:F52"/>
    <mergeCell ref="E39:F39"/>
    <mergeCell ref="E44:F44"/>
    <mergeCell ref="K60:L60"/>
    <mergeCell ref="G59:J59"/>
    <mergeCell ref="C75:D75"/>
    <mergeCell ref="B1:N2"/>
    <mergeCell ref="C12:D12"/>
    <mergeCell ref="C70:D70"/>
    <mergeCell ref="E70:F70"/>
    <mergeCell ref="E57:F57"/>
    <mergeCell ref="C32:D32"/>
    <mergeCell ref="C7:D7"/>
    <mergeCell ref="E32:F32"/>
    <mergeCell ref="E7:F7"/>
    <mergeCell ref="K65:L65"/>
    <mergeCell ref="G54:J54"/>
    <mergeCell ref="G41:J41"/>
    <mergeCell ref="K20:L20"/>
    <mergeCell ref="K91:L91"/>
    <mergeCell ref="G56:J56"/>
    <mergeCell ref="K85:L85"/>
    <mergeCell ref="C25:D25"/>
    <mergeCell ref="G43:J43"/>
    <mergeCell ref="K84:L84"/>
    <mergeCell ref="E60:F60"/>
    <mergeCell ref="G36:J36"/>
    <mergeCell ref="K86:L86"/>
    <mergeCell ref="E45:F45"/>
    <mergeCell ref="G69:J69"/>
    <mergeCell ref="C13:D13"/>
    <mergeCell ref="K4:L4"/>
    <mergeCell ref="C78:D7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tabColor rgb="FF2F3A4A"/>
    <outlinePr summaryBelow="1" summaryRight="1"/>
    <pageSetUpPr/>
  </sheetPr>
  <dimension ref="A1:M223"/>
  <sheetViews>
    <sheetView showGridLines="0" topLeftCell="A32" zoomScale="90" zoomScaleNormal="90" workbookViewId="0">
      <pane ySplit="3" topLeftCell="A4" activePane="bottomLeft" state="frozen"/>
      <selection pane="bottomLeft" activeCell="H23" sqref="H23"/>
    </sheetView>
  </sheetViews>
  <sheetFormatPr baseColWidth="8" defaultColWidth="8.6640625" defaultRowHeight="14.25" customHeight="1"/>
  <cols>
    <col width="16" customWidth="1" style="522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6"/>
    <col width="14" bestFit="1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8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</row>
    <row r="3" ht="15" customHeight="1" s="468">
      <c r="A3" s="631" t="n">
        <v>46143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</row>
    <row r="4" ht="21" customHeight="1" s="468">
      <c r="A4" s="685" t="n"/>
      <c r="B4" s="218" t="inlineStr">
        <is>
          <t>ADIMIX LISSE</t>
        </is>
      </c>
      <c r="C4" s="219" t="n">
        <v>600</v>
      </c>
      <c r="D4" s="220">
        <f>'SEMANA ABRIL'!D201-'SEMANA ABRIL'!H201</f>
        <v/>
      </c>
      <c r="E4" s="221" t="inlineStr">
        <is>
          <t>CX</t>
        </is>
      </c>
      <c r="F4" s="68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20">
        <f>IFERROR(ROUNDUP(D4/F4,0),"")</f>
        <v/>
      </c>
      <c r="H4" s="224" t="n">
        <v>255</v>
      </c>
      <c r="I4" s="220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552" t="n"/>
      <c r="K4" s="552" t="n"/>
      <c r="L4" s="552" t="n"/>
      <c r="M4" s="552" t="n"/>
    </row>
    <row r="5" ht="21" customHeight="1" s="468">
      <c r="A5" s="685" t="n"/>
      <c r="B5" s="218" t="inlineStr">
        <is>
          <t>PURATOS DESTAK</t>
        </is>
      </c>
      <c r="C5" s="219" t="n">
        <v>600</v>
      </c>
      <c r="D5" s="220" t="n">
        <v>361</v>
      </c>
      <c r="E5" s="221" t="inlineStr">
        <is>
          <t>CX</t>
        </is>
      </c>
      <c r="F5" s="68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20">
        <f>IFERROR(ROUNDUP(D5/F5,0),"")</f>
        <v/>
      </c>
      <c r="H5" s="224" t="n">
        <v>361</v>
      </c>
      <c r="I5" s="22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552" t="n"/>
      <c r="K5" s="552" t="n"/>
      <c r="L5" s="552" t="n"/>
      <c r="M5" s="552" t="n"/>
    </row>
    <row r="6" ht="21" customHeight="1" s="468">
      <c r="A6" s="685" t="n"/>
      <c r="B6" s="218" t="inlineStr">
        <is>
          <t>UNTA FACIL</t>
        </is>
      </c>
      <c r="C6" s="219" t="n">
        <v>400</v>
      </c>
      <c r="D6" s="220" t="n">
        <v>875</v>
      </c>
      <c r="E6" s="221" t="inlineStr">
        <is>
          <t>CX</t>
        </is>
      </c>
      <c r="F6" s="68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20">
        <f>IFERROR(ROUNDUP(D6/F6,0),"")</f>
        <v/>
      </c>
      <c r="H6" s="224" t="n">
        <v>534</v>
      </c>
      <c r="I6" s="220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552" t="n"/>
      <c r="K6" s="552" t="n"/>
      <c r="L6" s="552" t="n"/>
      <c r="M6" s="552" t="n"/>
    </row>
    <row r="7" ht="21" customHeight="1" s="468">
      <c r="A7" s="685" t="n"/>
      <c r="B7" s="218" t="n"/>
      <c r="C7" s="219" t="n"/>
      <c r="D7" s="220" t="n"/>
      <c r="E7" s="221" t="inlineStr">
        <is>
          <t>CX</t>
        </is>
      </c>
      <c r="F7" s="68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20">
        <f>IFERROR(ROUNDUP(D7/F7,0),"")</f>
        <v/>
      </c>
      <c r="H7" s="224" t="n"/>
      <c r="I7" s="220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2" t="n"/>
      <c r="K7" s="552" t="n"/>
      <c r="L7" s="552" t="n"/>
      <c r="M7" s="552" t="n"/>
    </row>
    <row r="8" ht="21" customHeight="1" s="468">
      <c r="A8" s="685" t="n"/>
      <c r="B8" s="218" t="n"/>
      <c r="C8" s="219" t="n"/>
      <c r="D8" s="220" t="n"/>
      <c r="E8" s="221" t="inlineStr">
        <is>
          <t>CX</t>
        </is>
      </c>
      <c r="F8" s="68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20">
        <f>IFERROR(ROUNDUP(D8/F8,0),"")</f>
        <v/>
      </c>
      <c r="H8" s="224" t="n"/>
      <c r="I8" s="220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552" t="n"/>
      <c r="K8" s="552" t="n"/>
      <c r="L8" s="552" t="n"/>
      <c r="M8" s="552" t="n"/>
    </row>
    <row r="9" ht="21" customHeight="1" s="468">
      <c r="A9" s="685" t="n"/>
      <c r="B9" s="218" t="n"/>
      <c r="C9" s="219" t="n"/>
      <c r="D9" s="220" t="n"/>
      <c r="E9" s="221" t="inlineStr">
        <is>
          <t>CX</t>
        </is>
      </c>
      <c r="F9" s="686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220">
        <f>IFERROR(ROUNDUP(D9/F9,0),"")</f>
        <v/>
      </c>
      <c r="H9" s="224" t="n"/>
      <c r="I9" s="220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  <c r="J9" s="552" t="n"/>
      <c r="K9" s="552" t="n"/>
      <c r="L9" s="552" t="n"/>
      <c r="M9" s="552" t="n"/>
    </row>
    <row r="10" ht="15" customHeight="1" s="468">
      <c r="A10" s="658" t="n"/>
      <c r="B10" s="640" t="inlineStr">
        <is>
          <t>TOTAL</t>
        </is>
      </c>
      <c r="C10" s="667" t="n"/>
      <c r="D10" s="642">
        <f>SUM(D4:D9)</f>
        <v/>
      </c>
      <c r="E10" s="668" t="n"/>
      <c r="F10" s="644" t="n"/>
      <c r="G10" s="642">
        <f>SUM(G4:G9)</f>
        <v/>
      </c>
      <c r="H10" s="642">
        <f>SUM(H4:H9)</f>
        <v/>
      </c>
      <c r="I10" s="642">
        <f>SUM(I4:I9)</f>
        <v/>
      </c>
      <c r="J10" s="644">
        <f>D10</f>
        <v/>
      </c>
      <c r="K10" s="644">
        <f>G10</f>
        <v/>
      </c>
      <c r="L10" s="644">
        <f>H10</f>
        <v/>
      </c>
      <c r="M10" s="644">
        <f>I10</f>
        <v/>
      </c>
    </row>
    <row r="11" ht="6" customHeight="1" s="468">
      <c r="A11" s="638" t="n"/>
      <c r="C11" s="71" t="n"/>
      <c r="D11" s="552" t="n"/>
      <c r="F11" s="552" t="n"/>
      <c r="G11" s="552" t="n"/>
      <c r="H11" s="552" t="n"/>
      <c r="I11" s="552" t="n"/>
      <c r="J11" s="552" t="n"/>
      <c r="K11" s="552" t="n"/>
      <c r="L11" s="552" t="n"/>
      <c r="M11" s="552" t="n"/>
    </row>
    <row r="12" ht="15" customHeight="1" s="468">
      <c r="A12" s="646" t="n">
        <v>46144</v>
      </c>
      <c r="B12" s="213" t="inlineStr">
        <is>
          <t>PRODUTO</t>
        </is>
      </c>
      <c r="C12" s="214" t="inlineStr">
        <is>
          <t>EMBALAGEM</t>
        </is>
      </c>
      <c r="D12" s="244" t="inlineStr">
        <is>
          <t>CAIXAS</t>
        </is>
      </c>
      <c r="E12" s="215" t="inlineStr">
        <is>
          <t>UN</t>
        </is>
      </c>
      <c r="F12" s="687" t="inlineStr">
        <is>
          <t>CX/PALLET</t>
        </is>
      </c>
      <c r="G12" s="244" t="inlineStr">
        <is>
          <t>PALLETS (PBR)</t>
        </is>
      </c>
      <c r="H12" s="244" t="inlineStr">
        <is>
          <t>REAL (CX)</t>
        </is>
      </c>
      <c r="I12" s="244" t="inlineStr">
        <is>
          <t>TOTAL LATAS</t>
        </is>
      </c>
      <c r="J12" s="552" t="n"/>
      <c r="K12" s="552" t="n"/>
      <c r="L12" s="552" t="n"/>
      <c r="M12" s="552" t="n"/>
    </row>
    <row r="13" ht="21" customHeight="1" s="468">
      <c r="A13" s="685" t="n"/>
      <c r="B13" s="218" t="inlineStr">
        <is>
          <t>UNTA FACIL</t>
        </is>
      </c>
      <c r="C13" s="219" t="n">
        <v>400</v>
      </c>
      <c r="D13" s="220" t="n">
        <v>341</v>
      </c>
      <c r="E13" s="221" t="inlineStr">
        <is>
          <t>CX</t>
        </is>
      </c>
      <c r="F13" s="68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20">
        <f>IFERROR(ROUNDUP(D13/F13,0),"")</f>
        <v/>
      </c>
      <c r="H13" s="224" t="n">
        <v>341</v>
      </c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552" t="n"/>
      <c r="K13" s="552" t="n"/>
      <c r="L13" s="552" t="n"/>
      <c r="M13" s="552" t="n"/>
    </row>
    <row r="14" ht="21" customHeight="1" s="468">
      <c r="A14" s="685" t="n"/>
      <c r="B14" s="218" t="inlineStr">
        <is>
          <t xml:space="preserve">ICEBERG </t>
        </is>
      </c>
      <c r="C14" s="219" t="n">
        <v>400</v>
      </c>
      <c r="D14" s="220" t="n">
        <v>2330</v>
      </c>
      <c r="E14" s="221" t="inlineStr">
        <is>
          <t>CX</t>
        </is>
      </c>
      <c r="F14" s="68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20">
        <f>IFERROR(ROUNDUP(D14/F14,0),"")</f>
        <v/>
      </c>
      <c r="H14" s="224" t="n">
        <v>686</v>
      </c>
      <c r="I14" s="220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52" t="n"/>
      <c r="K14" s="552" t="n"/>
      <c r="L14" s="552" t="n"/>
      <c r="M14" s="552" t="n"/>
    </row>
    <row r="15" ht="21" customHeight="1" s="468">
      <c r="A15" s="685" t="n"/>
      <c r="B15" s="218" t="n"/>
      <c r="C15" s="219" t="n"/>
      <c r="D15" s="220" t="n"/>
      <c r="E15" s="221" t="inlineStr">
        <is>
          <t>CX</t>
        </is>
      </c>
      <c r="F15" s="686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20">
        <f>IFERROR(ROUNDUP(D15/F15,0),"")</f>
        <v/>
      </c>
      <c r="H15" s="224" t="n"/>
      <c r="I15" s="220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2" t="n"/>
      <c r="K15" s="552" t="n"/>
      <c r="L15" s="552" t="n"/>
      <c r="M15" s="552" t="n"/>
    </row>
    <row r="16" ht="21" customHeight="1" s="468">
      <c r="A16" s="685" t="n"/>
      <c r="B16" s="218" t="n"/>
      <c r="C16" s="219" t="n"/>
      <c r="D16" s="220" t="n"/>
      <c r="E16" s="221" t="inlineStr">
        <is>
          <t>CX</t>
        </is>
      </c>
      <c r="F16" s="686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20">
        <f>IFERROR(ROUNDUP(D16/F16,0),"")</f>
        <v/>
      </c>
      <c r="H16" s="224" t="n"/>
      <c r="I16" s="220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552" t="n"/>
      <c r="K16" s="552" t="n"/>
      <c r="L16" s="552" t="n"/>
      <c r="M16" s="552" t="n"/>
    </row>
    <row r="17" ht="21" customHeight="1" s="468">
      <c r="A17" s="685" t="n"/>
      <c r="B17" s="218" t="n"/>
      <c r="C17" s="219" t="n"/>
      <c r="D17" s="220" t="n"/>
      <c r="E17" s="221" t="inlineStr">
        <is>
          <t>CX</t>
        </is>
      </c>
      <c r="F17" s="686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220">
        <f>IFERROR(ROUNDUP(D17/F17,0),"")</f>
        <v/>
      </c>
      <c r="H17" s="224" t="n"/>
      <c r="I17" s="220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  <c r="J17" s="552" t="n"/>
      <c r="K17" s="552" t="n"/>
      <c r="L17" s="552" t="n"/>
      <c r="M17" s="552" t="n"/>
    </row>
    <row r="18" ht="15" customHeight="1" s="468">
      <c r="A18" s="658" t="n"/>
      <c r="B18" s="640" t="inlineStr">
        <is>
          <t>TOTAL</t>
        </is>
      </c>
      <c r="C18" s="667" t="n"/>
      <c r="D18" s="642">
        <f>SUM(D13:D17)</f>
        <v/>
      </c>
      <c r="E18" s="668" t="n"/>
      <c r="F18" s="644" t="n"/>
      <c r="G18" s="642">
        <f>SUM(G13:G17)</f>
        <v/>
      </c>
      <c r="H18" s="642">
        <f>SUM(H13:H17)</f>
        <v/>
      </c>
      <c r="I18" s="642">
        <f>SUM(I13:I17)</f>
        <v/>
      </c>
      <c r="J18" s="644">
        <f>D18</f>
        <v/>
      </c>
      <c r="K18" s="644">
        <f>G18</f>
        <v/>
      </c>
      <c r="L18" s="644">
        <f>H18</f>
        <v/>
      </c>
      <c r="M18" s="644">
        <f>I18</f>
        <v/>
      </c>
    </row>
    <row r="19" ht="6" customHeight="1" s="468">
      <c r="A19" s="638" t="n"/>
      <c r="C19" s="71" t="n"/>
      <c r="D19" s="552" t="n"/>
      <c r="F19" s="552" t="n"/>
      <c r="G19" s="552" t="n"/>
      <c r="H19" s="552" t="n"/>
      <c r="I19" s="552" t="n"/>
      <c r="J19" s="552" t="n"/>
      <c r="K19" s="552" t="n"/>
      <c r="L19" s="552" t="n"/>
      <c r="M19" s="552" t="n"/>
    </row>
    <row r="20" ht="15" customHeight="1" s="468">
      <c r="A20" s="646" t="n">
        <v>46146</v>
      </c>
      <c r="B20" s="213" t="inlineStr">
        <is>
          <t>PRODUTO</t>
        </is>
      </c>
      <c r="C20" s="214" t="inlineStr">
        <is>
          <t>EMBALAGEM</t>
        </is>
      </c>
      <c r="D20" s="244" t="inlineStr">
        <is>
          <t>CAIXAS</t>
        </is>
      </c>
      <c r="E20" s="215" t="inlineStr">
        <is>
          <t>UN</t>
        </is>
      </c>
      <c r="F20" s="687" t="inlineStr">
        <is>
          <t>CX/PALLET</t>
        </is>
      </c>
      <c r="G20" s="244" t="inlineStr">
        <is>
          <t>PALLETS (PBR)</t>
        </is>
      </c>
      <c r="H20" s="244" t="inlineStr">
        <is>
          <t>REAL (CX)</t>
        </is>
      </c>
      <c r="I20" s="244" t="inlineStr">
        <is>
          <t>TOTAL LATAS</t>
        </is>
      </c>
      <c r="J20" s="552" t="n"/>
      <c r="K20" s="552" t="n"/>
      <c r="L20" s="552" t="n"/>
      <c r="M20" s="552" t="n"/>
    </row>
    <row r="21" ht="21" customHeight="1" s="468">
      <c r="A21" s="685" t="n"/>
      <c r="B21" s="218" t="inlineStr">
        <is>
          <t xml:space="preserve">ICEBERG </t>
        </is>
      </c>
      <c r="C21" s="219" t="n">
        <v>400</v>
      </c>
      <c r="D21" s="220">
        <f>D14-H14</f>
        <v/>
      </c>
      <c r="E21" s="221" t="inlineStr">
        <is>
          <t>CX</t>
        </is>
      </c>
      <c r="F21" s="686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20">
        <f>IFERROR(ROUNDUP(D21/F21,0),"")</f>
        <v/>
      </c>
      <c r="H21" s="224" t="n">
        <v>1479</v>
      </c>
      <c r="I21" s="22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552" t="n"/>
      <c r="K21" s="552" t="n"/>
      <c r="L21" s="552" t="n"/>
      <c r="M21" s="552" t="n"/>
    </row>
    <row r="22" ht="21" customHeight="1" s="468">
      <c r="A22" s="685" t="n"/>
      <c r="B22" s="218" t="n"/>
      <c r="C22" s="219" t="n"/>
      <c r="D22" s="220" t="n"/>
      <c r="E22" s="221" t="inlineStr">
        <is>
          <t>CX</t>
        </is>
      </c>
      <c r="F22" s="686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20">
        <f>IFERROR(ROUNDUP(D22/F22,0),"")</f>
        <v/>
      </c>
      <c r="H22" s="224" t="n"/>
      <c r="I22" s="220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552" t="n"/>
      <c r="K22" s="552" t="n"/>
      <c r="L22" s="552" t="n"/>
      <c r="M22" s="552" t="n"/>
    </row>
    <row r="23" ht="21" customHeight="1" s="468">
      <c r="A23" s="685" t="n"/>
      <c r="B23" s="218" t="n"/>
      <c r="C23" s="219" t="n"/>
      <c r="D23" s="220" t="n"/>
      <c r="E23" s="221" t="inlineStr">
        <is>
          <t>CX</t>
        </is>
      </c>
      <c r="F23" s="686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20">
        <f>IFERROR(ROUNDUP(D23/F23,0),"")</f>
        <v/>
      </c>
      <c r="H23" s="224" t="n"/>
      <c r="I23" s="220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52" t="n"/>
      <c r="K23" s="552" t="n"/>
      <c r="L23" s="552" t="n"/>
      <c r="M23" s="552" t="n"/>
    </row>
    <row r="24" ht="21" customHeight="1" s="468">
      <c r="A24" s="685" t="n"/>
      <c r="B24" s="218" t="n"/>
      <c r="C24" s="219" t="n"/>
      <c r="D24" s="220" t="n"/>
      <c r="E24" s="221" t="inlineStr">
        <is>
          <t>CX</t>
        </is>
      </c>
      <c r="F24" s="686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20">
        <f>IFERROR(ROUNDUP(D24/F24,0),"")</f>
        <v/>
      </c>
      <c r="H24" s="224" t="n"/>
      <c r="I24" s="220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552" t="n"/>
      <c r="K24" s="552" t="n"/>
      <c r="L24" s="552" t="n"/>
      <c r="M24" s="552" t="n"/>
    </row>
    <row r="25" ht="21" customHeight="1" s="468">
      <c r="A25" s="685" t="n"/>
      <c r="B25" s="218" t="n"/>
      <c r="C25" s="219" t="n"/>
      <c r="D25" s="220" t="n"/>
      <c r="E25" s="221" t="inlineStr">
        <is>
          <t>CX</t>
        </is>
      </c>
      <c r="F25" s="686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220">
        <f>IFERROR(ROUNDUP(D25/F25,0),"")</f>
        <v/>
      </c>
      <c r="H25" s="224" t="n"/>
      <c r="I25" s="220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  <c r="J25" s="552" t="n"/>
      <c r="K25" s="552" t="n"/>
      <c r="L25" s="552" t="n"/>
      <c r="M25" s="552" t="n"/>
    </row>
    <row r="26" ht="15" customHeight="1" s="468">
      <c r="A26" s="658" t="n"/>
      <c r="B26" s="640" t="inlineStr">
        <is>
          <t>TOTAL</t>
        </is>
      </c>
      <c r="C26" s="667" t="n"/>
      <c r="D26" s="642">
        <f>SUM(D21:D25)</f>
        <v/>
      </c>
      <c r="E26" s="668" t="n"/>
      <c r="F26" s="644" t="n"/>
      <c r="G26" s="642">
        <f>SUM(G21:G25)</f>
        <v/>
      </c>
      <c r="H26" s="642">
        <f>SUM(H21:H25)</f>
        <v/>
      </c>
      <c r="I26" s="642">
        <f>SUM(I21:I25)</f>
        <v/>
      </c>
      <c r="J26" s="644">
        <f>D26</f>
        <v/>
      </c>
      <c r="K26" s="644">
        <f>G26</f>
        <v/>
      </c>
      <c r="L26" s="644">
        <f>H26</f>
        <v/>
      </c>
      <c r="M26" s="644">
        <f>I26</f>
        <v/>
      </c>
    </row>
    <row r="27" ht="6" customHeight="1" s="468">
      <c r="A27" s="638" t="n"/>
      <c r="C27" s="71" t="n"/>
      <c r="D27" s="552" t="n"/>
      <c r="F27" s="552" t="n"/>
      <c r="G27" s="552" t="n"/>
      <c r="H27" s="552" t="n"/>
      <c r="I27" s="552" t="n"/>
      <c r="J27" s="552" t="n"/>
      <c r="K27" s="552" t="n"/>
      <c r="L27" s="552" t="n"/>
      <c r="M27" s="552" t="n"/>
    </row>
    <row r="28" ht="15" customHeight="1" s="468">
      <c r="A28" s="646" t="n">
        <v>46147</v>
      </c>
      <c r="B28" s="213" t="inlineStr">
        <is>
          <t>PRODUTO</t>
        </is>
      </c>
      <c r="C28" s="214" t="inlineStr">
        <is>
          <t>EMBALAGEM</t>
        </is>
      </c>
      <c r="D28" s="244" t="inlineStr">
        <is>
          <t>CAIXAS</t>
        </is>
      </c>
      <c r="E28" s="215" t="inlineStr">
        <is>
          <t>UN</t>
        </is>
      </c>
      <c r="F28" s="687" t="inlineStr">
        <is>
          <t>CX/PALLET</t>
        </is>
      </c>
      <c r="G28" s="244" t="inlineStr">
        <is>
          <t>PALLETS (PBR)</t>
        </is>
      </c>
      <c r="H28" s="244" t="inlineStr">
        <is>
          <t>REAL (CX)</t>
        </is>
      </c>
      <c r="I28" s="244" t="inlineStr">
        <is>
          <t>TOTAL LATAS</t>
        </is>
      </c>
      <c r="J28" s="552" t="n"/>
      <c r="K28" s="552" t="n"/>
      <c r="L28" s="552" t="n"/>
      <c r="M28" s="552" t="n"/>
    </row>
    <row r="29" ht="15" customHeight="1" s="468">
      <c r="A29" s="685" t="n"/>
      <c r="B29" s="218" t="inlineStr">
        <is>
          <t>REPETECO CHEF MASTER</t>
        </is>
      </c>
      <c r="C29" s="219" t="n">
        <v>400</v>
      </c>
      <c r="D29" s="220" t="n">
        <v>250</v>
      </c>
      <c r="E29" s="221" t="inlineStr">
        <is>
          <t>CX</t>
        </is>
      </c>
      <c r="F29" s="686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20">
        <f>IFERROR(ROUNDUP(D29/F29,0),"")</f>
        <v/>
      </c>
      <c r="H29" s="224" t="n">
        <v>251</v>
      </c>
      <c r="I29" s="220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52" t="n"/>
      <c r="K29" s="552" t="n"/>
      <c r="L29" s="552" t="n"/>
      <c r="M29" s="552" t="n"/>
    </row>
    <row r="30" ht="15" customHeight="1" s="468">
      <c r="A30" s="685" t="n"/>
      <c r="B30" s="218" t="inlineStr">
        <is>
          <t>ROCHAPAN BONASSE</t>
        </is>
      </c>
      <c r="C30" s="219" t="n">
        <v>400</v>
      </c>
      <c r="D30" s="220" t="n">
        <v>250</v>
      </c>
      <c r="E30" s="221" t="inlineStr">
        <is>
          <t>CX</t>
        </is>
      </c>
      <c r="F30" s="686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20">
        <f>IFERROR(ROUNDUP(D30/F30,0),"")</f>
        <v/>
      </c>
      <c r="H30" s="224" t="n"/>
      <c r="I30" s="220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552" t="n"/>
      <c r="K30" s="552" t="n"/>
      <c r="L30" s="552" t="n"/>
      <c r="M30" s="552" t="n"/>
    </row>
    <row r="31" ht="15" customHeight="1" s="468">
      <c r="A31" s="685" t="n"/>
      <c r="B31" s="218" t="inlineStr">
        <is>
          <t>CELEBRATE</t>
        </is>
      </c>
      <c r="C31" s="219" t="n">
        <v>400</v>
      </c>
      <c r="D31" s="220" t="n">
        <v>250</v>
      </c>
      <c r="E31" s="221" t="inlineStr">
        <is>
          <t>CX</t>
        </is>
      </c>
      <c r="F31" s="68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20">
        <f>IFERROR(ROUNDUP(D31/F31,0),"")</f>
        <v/>
      </c>
      <c r="H31" s="224" t="n"/>
      <c r="I31" s="220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552" t="n"/>
      <c r="K31" s="552" t="n"/>
      <c r="L31" s="552" t="n"/>
      <c r="M31" s="552" t="n"/>
    </row>
    <row r="32" ht="15" customHeight="1" s="468">
      <c r="A32" s="685" t="n"/>
      <c r="B32" s="218" t="inlineStr">
        <is>
          <t>ESPUMA ABACAXI TM</t>
        </is>
      </c>
      <c r="C32" s="219" t="n">
        <v>200</v>
      </c>
      <c r="D32" s="220" t="n">
        <v>330</v>
      </c>
      <c r="E32" s="221" t="inlineStr">
        <is>
          <t>CX</t>
        </is>
      </c>
      <c r="F32" s="68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20">
        <f>IFERROR(ROUNDUP(D32/F32,0),"")</f>
        <v/>
      </c>
      <c r="H32" s="224" t="n"/>
      <c r="I32" s="220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552" t="n"/>
      <c r="K32" s="552" t="n"/>
      <c r="L32" s="552" t="n"/>
      <c r="M32" s="552" t="n"/>
    </row>
    <row r="33" ht="15" customHeight="1" s="468">
      <c r="A33" s="685" t="n"/>
      <c r="B33" s="218" t="inlineStr">
        <is>
          <t>ESPUMA ABACAXI TM COPA</t>
        </is>
      </c>
      <c r="C33" s="219" t="n">
        <v>200</v>
      </c>
      <c r="D33" s="220" t="n">
        <v>330</v>
      </c>
      <c r="E33" s="221" t="inlineStr">
        <is>
          <t>CX</t>
        </is>
      </c>
      <c r="F33" s="686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/>
      </c>
      <c r="G33" s="220">
        <f>IFERROR(ROUNDUP(D33/F33,0),"")</f>
        <v/>
      </c>
      <c r="H33" s="224" t="n"/>
      <c r="I33" s="220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/>
      </c>
      <c r="J33" s="552" t="n"/>
      <c r="K33" s="552" t="n"/>
      <c r="L33" s="552" t="n"/>
      <c r="M33" s="552" t="n"/>
    </row>
    <row r="34" ht="15" customHeight="1" s="468">
      <c r="A34" s="685" t="n"/>
      <c r="B34" s="218" t="inlineStr">
        <is>
          <t>ESPUMA TUTTI FRUTI TM</t>
        </is>
      </c>
      <c r="C34" s="219" t="n">
        <v>200</v>
      </c>
      <c r="D34" s="220" t="n">
        <v>330</v>
      </c>
      <c r="E34" s="221" t="inlineStr">
        <is>
          <t>CX</t>
        </is>
      </c>
      <c r="F34" s="686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/>
      </c>
      <c r="G34" s="220">
        <f>IFERROR(ROUNDUP(D34/F34,0),"")</f>
        <v/>
      </c>
      <c r="H34" s="224" t="n"/>
      <c r="I34" s="220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/>
      </c>
      <c r="J34" s="552" t="n"/>
      <c r="K34" s="552" t="n"/>
      <c r="L34" s="552" t="n"/>
      <c r="M34" s="552" t="n"/>
    </row>
    <row r="35" ht="15" customHeight="1" s="468">
      <c r="A35" s="685" t="n"/>
      <c r="B35" s="218" t="inlineStr">
        <is>
          <t>ESPUMA TUTTI FRUTI TM COPA</t>
        </is>
      </c>
      <c r="C35" s="219" t="n">
        <v>200</v>
      </c>
      <c r="D35" s="220" t="n">
        <v>330</v>
      </c>
      <c r="E35" s="221" t="inlineStr">
        <is>
          <t>CX</t>
        </is>
      </c>
      <c r="F35" s="686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/>
      </c>
      <c r="G35" s="220">
        <f>IFERROR(ROUNDUP(D35/F35,0),"")</f>
        <v/>
      </c>
      <c r="H35" s="224" t="n"/>
      <c r="I35" s="220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/>
      </c>
      <c r="J35" s="552" t="n"/>
      <c r="K35" s="552" t="n"/>
      <c r="L35" s="552" t="n"/>
      <c r="M35" s="552" t="n"/>
    </row>
    <row r="36" ht="21" customHeight="1" s="468">
      <c r="A36" s="685" t="n"/>
      <c r="B36" s="218" t="n"/>
      <c r="C36" s="219" t="n"/>
      <c r="D36" s="220" t="n"/>
      <c r="E36" s="221" t="inlineStr">
        <is>
          <t>CX</t>
        </is>
      </c>
      <c r="F36" s="68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20">
        <f>IFERROR(ROUNDUP(D36/F36,0),"")</f>
        <v/>
      </c>
      <c r="H36" s="224" t="n"/>
      <c r="I36" s="220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552" t="n"/>
      <c r="K36" s="552" t="n"/>
      <c r="L36" s="552" t="n"/>
      <c r="M36" s="552" t="n"/>
    </row>
    <row r="37" ht="15" customHeight="1" s="468">
      <c r="A37" s="658" t="n"/>
      <c r="B37" s="640" t="inlineStr">
        <is>
          <t>TOTAL</t>
        </is>
      </c>
      <c r="C37" s="667" t="n"/>
      <c r="D37" s="642">
        <f>SUM(D36:D36)</f>
        <v/>
      </c>
      <c r="E37" s="668" t="n"/>
      <c r="F37" s="644" t="n"/>
      <c r="G37" s="642">
        <f>SUM(G36:G36)</f>
        <v/>
      </c>
      <c r="H37" s="642">
        <f>SUM(H29:H36)</f>
        <v/>
      </c>
      <c r="I37" s="642">
        <f>SUM(I29:I36)</f>
        <v/>
      </c>
      <c r="J37" s="644">
        <f>D37</f>
        <v/>
      </c>
      <c r="K37" s="644">
        <f>G37</f>
        <v/>
      </c>
      <c r="L37" s="644">
        <f>H37</f>
        <v/>
      </c>
      <c r="M37" s="644">
        <f>I37</f>
        <v/>
      </c>
    </row>
    <row r="38" ht="6" customHeight="1" s="468">
      <c r="A38" s="638" t="n"/>
      <c r="C38" s="71" t="n"/>
      <c r="D38" s="552" t="n"/>
      <c r="F38" s="552" t="n"/>
      <c r="G38" s="552" t="n"/>
      <c r="H38" s="552" t="n"/>
      <c r="I38" s="552" t="n"/>
      <c r="J38" s="552" t="n"/>
      <c r="K38" s="552" t="n"/>
      <c r="L38" s="552" t="n"/>
      <c r="M38" s="552" t="n"/>
    </row>
    <row r="39" ht="15" customHeight="1" s="468">
      <c r="A39" s="646" t="n">
        <v>46148</v>
      </c>
      <c r="B39" s="213" t="inlineStr">
        <is>
          <t>PRODUTO</t>
        </is>
      </c>
      <c r="C39" s="214" t="inlineStr">
        <is>
          <t>EMBALAGEM</t>
        </is>
      </c>
      <c r="D39" s="244" t="inlineStr">
        <is>
          <t>CAIXAS</t>
        </is>
      </c>
      <c r="E39" s="215" t="inlineStr">
        <is>
          <t>UN</t>
        </is>
      </c>
      <c r="F39" s="687" t="inlineStr">
        <is>
          <t>CX/PALLET</t>
        </is>
      </c>
      <c r="G39" s="244" t="inlineStr">
        <is>
          <t>PALLETS (PBR)</t>
        </is>
      </c>
      <c r="H39" s="244" t="inlineStr">
        <is>
          <t>REAL (CX)</t>
        </is>
      </c>
      <c r="I39" s="244" t="inlineStr">
        <is>
          <t>TOTAL LATAS</t>
        </is>
      </c>
      <c r="J39" s="552" t="n"/>
      <c r="K39" s="552" t="n"/>
      <c r="L39" s="552" t="n"/>
      <c r="M39" s="552" t="n"/>
    </row>
    <row r="40" ht="15" customHeight="1" s="468">
      <c r="A40" s="685" t="n"/>
      <c r="B40" s="218" t="inlineStr">
        <is>
          <t xml:space="preserve">ESPUMA MELANCIA TM </t>
        </is>
      </c>
      <c r="C40" s="219" t="n">
        <v>200</v>
      </c>
      <c r="D40" s="220" t="n">
        <v>330</v>
      </c>
      <c r="E40" s="221" t="inlineStr">
        <is>
          <t>CX</t>
        </is>
      </c>
      <c r="F40" s="68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20">
        <f>IFERROR(ROUNDUP(D40/F40,0),"")</f>
        <v/>
      </c>
      <c r="H40" s="224" t="n"/>
      <c r="I40" s="220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552" t="n"/>
      <c r="K40" s="552" t="n"/>
      <c r="L40" s="552" t="n"/>
      <c r="M40" s="552" t="n"/>
    </row>
    <row r="41" ht="21" customHeight="1" s="468">
      <c r="A41" s="685" t="n"/>
      <c r="B41" s="218" t="inlineStr">
        <is>
          <t>ESPUMA MELANCIA TM COPA</t>
        </is>
      </c>
      <c r="C41" s="219" t="n">
        <v>200</v>
      </c>
      <c r="D41" s="220" t="n">
        <v>330</v>
      </c>
      <c r="E41" s="221" t="inlineStr">
        <is>
          <t>CX</t>
        </is>
      </c>
      <c r="F41" s="686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220">
        <f>IFERROR(ROUNDUP(D41/F41,0),"")</f>
        <v/>
      </c>
      <c r="H41" s="224" t="n"/>
      <c r="I41" s="220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/>
      </c>
      <c r="J41" s="552" t="n"/>
      <c r="K41" s="552" t="n"/>
      <c r="L41" s="552" t="n"/>
      <c r="M41" s="552" t="n"/>
    </row>
    <row r="42" ht="21" customHeight="1" s="468">
      <c r="A42" s="685" t="n"/>
      <c r="B42" s="218" t="inlineStr">
        <is>
          <t>ESPUMA MORANGO TM</t>
        </is>
      </c>
      <c r="C42" s="219" t="n">
        <v>200</v>
      </c>
      <c r="D42" s="220" t="n">
        <v>330</v>
      </c>
      <c r="E42" s="221" t="inlineStr">
        <is>
          <t>CX</t>
        </is>
      </c>
      <c r="F42" s="686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/>
      </c>
      <c r="G42" s="220">
        <f>IFERROR(ROUNDUP(D42/F42,0),"")</f>
        <v/>
      </c>
      <c r="H42" s="224" t="n"/>
      <c r="I42" s="220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/>
      </c>
      <c r="J42" s="552" t="n"/>
      <c r="K42" s="552" t="n"/>
      <c r="L42" s="552" t="n"/>
      <c r="M42" s="552" t="n"/>
    </row>
    <row r="43" ht="21" customHeight="1" s="468">
      <c r="A43" s="685" t="n"/>
      <c r="B43" s="218" t="inlineStr">
        <is>
          <t>ESPUMA MORANGO TM COPA</t>
        </is>
      </c>
      <c r="C43" s="219" t="n">
        <v>200</v>
      </c>
      <c r="D43" s="220" t="n">
        <v>330</v>
      </c>
      <c r="E43" s="221" t="inlineStr">
        <is>
          <t>CX</t>
        </is>
      </c>
      <c r="F43" s="686">
        <f>IF($B43="","",IF(SUMIFS(CONFIG_PALLETS!$C:$C,CONFIG_PALLETS!$A:$A,TRIM($B43),CONFIG_PALLETS!$B:$B,$C43&amp;" ml")&gt;0,SUMIFS(CONFIG_PALLETS!$C:$C,CONFIG_PALLETS!$A:$A,TRIM($B43),CONFIG_PALLETS!$B:$B,$C43&amp;" ml"),IF(SUMIFS(CONFIG_PALLETS!$C:$C,CONFIG_PALLETS!$A:$A,"GERAL",CONFIG_PALLETS!$B:$B,$C43&amp;" ml")&gt;0,SUMIFS(CONFIG_PALLETS!$C:$C,CONFIG_PALLETS!$A:$A,"GERAL",CONFIG_PALLETS!$B:$B,$C43&amp;" ml"),"")))</f>
        <v/>
      </c>
      <c r="G43" s="220">
        <f>IFERROR(ROUNDUP(D43/F43,0),"")</f>
        <v/>
      </c>
      <c r="H43" s="224" t="n"/>
      <c r="I43" s="220">
        <f>IF(H43="","",H43*IF(SUMIFS(CONFIG_PALLETS!$D:$D,CONFIG_PALLETS!$A:$A,IF(ISNUMBER(SEARCH("ESPUMA",$B43)),"ESPUMA",IF(OR(ISNUMBER(SEARCH("OLEO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ml")&gt;0,SUMIFS(CONFIG_PALLETS!$D:$D,CONFIG_PALLETS!$A:$A,IF(ISNUMBER(SEARCH("ESPUMA",$B43)),"ESPUMA",IF(OR(ISNUMBER(SEARCH("OLEO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ml"),IF(SUMIFS(CONFIG_PALLETS!$D:$D,CONFIG_PALLETS!$A:$A,"GERAL",CONFIG_PALLETS!$B:$B,$C43&amp;" ml")&gt;0,SUMIFS(CONFIG_PALLETS!$D:$D,CONFIG_PALLETS!$A:$A,"GERAL",CONFIG_PALLETS!$B:$B,$C43&amp;" ml"),12)))</f>
        <v/>
      </c>
      <c r="J43" s="552" t="n"/>
      <c r="K43" s="552" t="n"/>
      <c r="L43" s="552" t="n"/>
      <c r="M43" s="552" t="n"/>
    </row>
    <row r="44" ht="21" customHeight="1" s="468">
      <c r="A44" s="685" t="n"/>
      <c r="B44" s="218" t="inlineStr">
        <is>
          <t>ESPUMA UVA TM</t>
        </is>
      </c>
      <c r="C44" s="219" t="n">
        <v>200</v>
      </c>
      <c r="D44" s="220" t="n">
        <v>330</v>
      </c>
      <c r="E44" s="221" t="inlineStr">
        <is>
          <t>CX</t>
        </is>
      </c>
      <c r="F44" s="686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20">
        <f>IFERROR(ROUNDUP(D44/F44,0),"")</f>
        <v/>
      </c>
      <c r="H44" s="224" t="n"/>
      <c r="I44" s="220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552" t="n"/>
      <c r="K44" s="552" t="n"/>
      <c r="L44" s="552" t="n"/>
      <c r="M44" s="552" t="n"/>
    </row>
    <row r="45" ht="21" customHeight="1" s="468">
      <c r="A45" s="685" t="n"/>
      <c r="B45" s="218" t="inlineStr">
        <is>
          <t>ESPUMA UVA TM COPA</t>
        </is>
      </c>
      <c r="C45" s="219" t="n">
        <v>200</v>
      </c>
      <c r="D45" s="220" t="n">
        <v>330</v>
      </c>
      <c r="E45" s="221" t="inlineStr">
        <is>
          <t>CX</t>
        </is>
      </c>
      <c r="F45" s="68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20">
        <f>IFERROR(ROUNDUP(D45/F45,0),"")</f>
        <v/>
      </c>
      <c r="H45" s="224" t="n"/>
      <c r="I45" s="220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552" t="n"/>
      <c r="K45" s="552" t="n"/>
      <c r="L45" s="552" t="n"/>
      <c r="M45" s="552" t="n"/>
    </row>
    <row r="46" ht="21" customHeight="1" s="468">
      <c r="A46" s="685" t="n"/>
      <c r="B46" s="218" t="inlineStr">
        <is>
          <t>ESPUMA DILUTE 3 LIMÕES</t>
        </is>
      </c>
      <c r="C46" s="219" t="n">
        <v>200</v>
      </c>
      <c r="D46" s="220" t="n">
        <v>660</v>
      </c>
      <c r="E46" s="221" t="inlineStr">
        <is>
          <t>CX</t>
        </is>
      </c>
      <c r="F46" s="686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20">
        <f>IFERROR(ROUNDUP(D46/F46,0),"")</f>
        <v/>
      </c>
      <c r="H46" s="224" t="n"/>
      <c r="I46" s="220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552" t="n"/>
      <c r="K46" s="552" t="n"/>
      <c r="L46" s="552" t="n"/>
      <c r="M46" s="552" t="n"/>
    </row>
    <row r="47" ht="21" customHeight="1" s="468">
      <c r="A47" s="685" t="n"/>
      <c r="B47" s="218" t="n"/>
      <c r="C47" s="219" t="n"/>
      <c r="D47" s="220" t="n"/>
      <c r="E47" s="221" t="inlineStr">
        <is>
          <t>CX</t>
        </is>
      </c>
      <c r="F47" s="686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20">
        <f>IFERROR(ROUNDUP(D47/F47,0),"")</f>
        <v/>
      </c>
      <c r="H47" s="224" t="n"/>
      <c r="I47" s="220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52" t="n"/>
      <c r="K47" s="552" t="n"/>
      <c r="L47" s="552" t="n"/>
      <c r="M47" s="552" t="n"/>
    </row>
    <row r="48" ht="15" customHeight="1" s="468">
      <c r="A48" s="658" t="n"/>
      <c r="B48" s="640" t="inlineStr">
        <is>
          <t>TOTAL</t>
        </is>
      </c>
      <c r="C48" s="667" t="n"/>
      <c r="D48" s="642">
        <f>SUM(D41:D46)</f>
        <v/>
      </c>
      <c r="E48" s="668" t="n"/>
      <c r="F48" s="644" t="n"/>
      <c r="G48" s="642">
        <f>SUM(G41:G46)</f>
        <v/>
      </c>
      <c r="H48" s="642">
        <f>SUM(H41:H46)</f>
        <v/>
      </c>
      <c r="I48" s="642">
        <f>SUM(I41:I46)</f>
        <v/>
      </c>
      <c r="J48" s="644">
        <f>D48</f>
        <v/>
      </c>
      <c r="K48" s="644">
        <f>G48</f>
        <v/>
      </c>
      <c r="L48" s="644">
        <f>H48</f>
        <v/>
      </c>
      <c r="M48" s="644">
        <f>I48</f>
        <v/>
      </c>
    </row>
    <row r="49" ht="6" customHeight="1" s="468">
      <c r="A49" s="638" t="n"/>
      <c r="C49" s="71" t="n"/>
      <c r="D49" s="552" t="n"/>
      <c r="F49" s="552" t="n"/>
      <c r="G49" s="552" t="n"/>
      <c r="H49" s="552" t="n"/>
      <c r="I49" s="552" t="n"/>
      <c r="J49" s="552" t="n"/>
      <c r="K49" s="552" t="n"/>
      <c r="L49" s="552" t="n"/>
      <c r="M49" s="552" t="n"/>
    </row>
    <row r="50" ht="15" customHeight="1" s="468">
      <c r="A50" s="646" t="n">
        <v>46149</v>
      </c>
      <c r="B50" s="213" t="inlineStr">
        <is>
          <t>PRODUTO</t>
        </is>
      </c>
      <c r="C50" s="214" t="inlineStr">
        <is>
          <t>EMBALAGEM</t>
        </is>
      </c>
      <c r="D50" s="244" t="inlineStr">
        <is>
          <t>CAIXAS</t>
        </is>
      </c>
      <c r="E50" s="215" t="inlineStr">
        <is>
          <t>UN</t>
        </is>
      </c>
      <c r="F50" s="687" t="inlineStr">
        <is>
          <t>CX/PALLET</t>
        </is>
      </c>
      <c r="G50" s="244" t="inlineStr">
        <is>
          <t>PALLETS (PBR)</t>
        </is>
      </c>
      <c r="H50" s="244" t="inlineStr">
        <is>
          <t>REAL (CX)</t>
        </is>
      </c>
      <c r="I50" s="244" t="inlineStr">
        <is>
          <t>TOTAL LATAS</t>
        </is>
      </c>
      <c r="J50" s="552" t="n"/>
      <c r="K50" s="552" t="n"/>
      <c r="L50" s="552" t="n"/>
      <c r="M50" s="552" t="n"/>
    </row>
    <row r="51" ht="15" customHeight="1" s="468">
      <c r="A51" s="685" t="n"/>
      <c r="B51" s="218" t="inlineStr">
        <is>
          <t>CORANTE REPETECO VERDE</t>
        </is>
      </c>
      <c r="C51" s="219" t="n">
        <v>70</v>
      </c>
      <c r="D51" s="220" t="n">
        <v>240</v>
      </c>
      <c r="E51" s="221" t="inlineStr">
        <is>
          <t>CX</t>
        </is>
      </c>
      <c r="F51" s="686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220">
        <f>IFERROR(ROUNDUP(D51/F51,0),"")</f>
        <v/>
      </c>
      <c r="H51" s="224" t="n"/>
      <c r="I51" s="220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552" t="n"/>
      <c r="K51" s="552" t="n"/>
      <c r="L51" s="552" t="n"/>
      <c r="M51" s="552" t="n"/>
    </row>
    <row r="52" ht="15" customHeight="1" s="468">
      <c r="A52" s="685" t="n"/>
      <c r="B52" s="218" t="inlineStr">
        <is>
          <t>CORANTE REPETECO LARANJA</t>
        </is>
      </c>
      <c r="C52" s="219" t="n">
        <v>70</v>
      </c>
      <c r="D52" s="220" t="n">
        <v>240</v>
      </c>
      <c r="E52" s="221" t="inlineStr">
        <is>
          <t>CX</t>
        </is>
      </c>
      <c r="F52" s="686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20">
        <f>IFERROR(ROUNDUP(D52/F52,0),"")</f>
        <v/>
      </c>
      <c r="H52" s="224" t="n"/>
      <c r="I52" s="220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552" t="n"/>
      <c r="K52" s="552" t="n"/>
      <c r="L52" s="552" t="n"/>
      <c r="M52" s="552" t="n"/>
    </row>
    <row r="53" ht="15" customHeight="1" s="468">
      <c r="A53" s="685" t="n"/>
      <c r="B53" s="218" t="inlineStr">
        <is>
          <t>CORANTE REPETECO VIOLETA</t>
        </is>
      </c>
      <c r="C53" s="219" t="n">
        <v>70</v>
      </c>
      <c r="D53" s="220" t="n">
        <v>240</v>
      </c>
      <c r="E53" s="221" t="inlineStr">
        <is>
          <t>CX</t>
        </is>
      </c>
      <c r="F53" s="68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20">
        <f>IFERROR(ROUNDUP(D53/F53,0),"")</f>
        <v/>
      </c>
      <c r="H53" s="224" t="n"/>
      <c r="I53" s="220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552" t="n"/>
      <c r="K53" s="552" t="n"/>
      <c r="L53" s="552" t="n"/>
      <c r="M53" s="552" t="n"/>
    </row>
    <row r="54" ht="15" customHeight="1" s="468">
      <c r="A54" s="685" t="n"/>
      <c r="B54" s="218" t="inlineStr">
        <is>
          <t xml:space="preserve">UNTA FACIL </t>
        </is>
      </c>
      <c r="C54" s="219" t="n">
        <v>180</v>
      </c>
      <c r="D54" s="220" t="n">
        <v>480</v>
      </c>
      <c r="E54" s="221" t="inlineStr">
        <is>
          <t>CX</t>
        </is>
      </c>
      <c r="F54" s="686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20">
        <f>IFERROR(ROUNDUP(D54/F54,0),"")</f>
        <v/>
      </c>
      <c r="H54" s="224" t="n"/>
      <c r="I54" s="220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552" t="n"/>
      <c r="K54" s="552" t="n"/>
      <c r="L54" s="552" t="n"/>
      <c r="M54" s="552" t="n"/>
    </row>
    <row r="55" ht="15" customHeight="1" s="468">
      <c r="A55" s="685" t="n"/>
      <c r="B55" s="218" t="inlineStr">
        <is>
          <t>CARREFOUR COCO</t>
        </is>
      </c>
      <c r="C55" s="219" t="n">
        <v>100</v>
      </c>
      <c r="D55" s="220" t="n">
        <v>250</v>
      </c>
      <c r="E55" s="221" t="inlineStr">
        <is>
          <t>CX</t>
        </is>
      </c>
      <c r="F55" s="68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20">
        <f>IFERROR(ROUNDUP(D55/F55,0),"")</f>
        <v/>
      </c>
      <c r="H55" s="224" t="n"/>
      <c r="I55" s="220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552" t="n"/>
      <c r="K55" s="552" t="n"/>
      <c r="L55" s="552" t="n"/>
      <c r="M55" s="552" t="n"/>
    </row>
    <row r="56" ht="21" customHeight="1" s="468">
      <c r="A56" s="685" t="n"/>
      <c r="B56" s="218" t="inlineStr">
        <is>
          <t xml:space="preserve">ADIMIX LISSE </t>
        </is>
      </c>
      <c r="C56" s="219" t="n">
        <v>600</v>
      </c>
      <c r="D56" s="220" t="n">
        <v>665</v>
      </c>
      <c r="E56" s="221" t="inlineStr">
        <is>
          <t>CX</t>
        </is>
      </c>
      <c r="F56" s="686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20">
        <f>IFERROR(ROUNDUP(D56/F56,0),"")</f>
        <v/>
      </c>
      <c r="H56" s="224" t="n"/>
      <c r="I56" s="220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552" t="n"/>
      <c r="K56" s="552" t="n"/>
      <c r="L56" s="552" t="n"/>
      <c r="M56" s="552" t="n"/>
    </row>
    <row r="57" ht="21" customHeight="1" s="468">
      <c r="A57" s="685" t="n"/>
      <c r="B57" s="218" t="inlineStr">
        <is>
          <t xml:space="preserve">UNTA FACIL </t>
        </is>
      </c>
      <c r="C57" s="219" t="n">
        <v>600</v>
      </c>
      <c r="D57" s="220" t="n">
        <v>665</v>
      </c>
      <c r="E57" s="221" t="inlineStr">
        <is>
          <t>CX</t>
        </is>
      </c>
      <c r="F57" s="686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/>
      </c>
      <c r="G57" s="220">
        <f>IFERROR(ROUNDUP(D57/F57,0),"")</f>
        <v/>
      </c>
      <c r="H57" s="224" t="n"/>
      <c r="I57" s="220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/>
      </c>
      <c r="J57" s="552" t="n"/>
      <c r="K57" s="552" t="n"/>
      <c r="L57" s="552" t="n"/>
      <c r="M57" s="552" t="n"/>
    </row>
    <row r="58" ht="21" customHeight="1" s="468">
      <c r="A58" s="685" t="n"/>
      <c r="B58" s="218" t="inlineStr">
        <is>
          <t xml:space="preserve">VIA PANE </t>
        </is>
      </c>
      <c r="C58" s="219" t="n">
        <v>600</v>
      </c>
      <c r="D58" s="220" t="n">
        <v>200</v>
      </c>
      <c r="E58" s="221" t="inlineStr">
        <is>
          <t>CX</t>
        </is>
      </c>
      <c r="F58" s="686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220">
        <f>IFERROR(ROUNDUP(D58/F58,0),"")</f>
        <v/>
      </c>
      <c r="H58" s="224" t="n"/>
      <c r="I58" s="220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  <c r="J58" s="552" t="n"/>
      <c r="K58" s="552" t="n"/>
      <c r="L58" s="552" t="n"/>
      <c r="M58" s="552" t="n"/>
    </row>
    <row r="59" ht="21" customHeight="1" s="468">
      <c r="A59" s="685" t="n"/>
      <c r="B59" s="218" t="inlineStr">
        <is>
          <t>CLEIDE DOCES</t>
        </is>
      </c>
      <c r="C59" s="219" t="n">
        <v>600</v>
      </c>
      <c r="D59" s="220" t="n">
        <v>282</v>
      </c>
      <c r="E59" s="221" t="inlineStr">
        <is>
          <t>CX</t>
        </is>
      </c>
      <c r="F59" s="686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220">
        <f>IFERROR(ROUNDUP(D59/F59,0),"")</f>
        <v/>
      </c>
      <c r="H59" s="224" t="n"/>
      <c r="I59" s="220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  <c r="J59" s="552" t="n"/>
      <c r="K59" s="552" t="n"/>
      <c r="L59" s="552" t="n"/>
      <c r="M59" s="552" t="n"/>
    </row>
    <row r="60" ht="21" customHeight="1" s="468">
      <c r="A60" s="685" t="n"/>
      <c r="B60" s="218" t="n"/>
      <c r="C60" s="219" t="n"/>
      <c r="D60" s="220" t="n"/>
      <c r="E60" s="221" t="inlineStr">
        <is>
          <t>CX</t>
        </is>
      </c>
      <c r="F60" s="68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20">
        <f>IFERROR(ROUNDUP(D60/F60,0),"")</f>
        <v/>
      </c>
      <c r="H60" s="224" t="n"/>
      <c r="I60" s="220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  <c r="J60" s="552" t="n"/>
      <c r="K60" s="552" t="n"/>
      <c r="L60" s="552" t="n"/>
      <c r="M60" s="552" t="n"/>
    </row>
    <row r="61" ht="21" customHeight="1" s="468">
      <c r="A61" s="685" t="n"/>
      <c r="B61" s="218" t="n"/>
      <c r="C61" s="219" t="n"/>
      <c r="D61" s="220" t="n"/>
      <c r="E61" s="221" t="inlineStr">
        <is>
          <t>CX</t>
        </is>
      </c>
      <c r="F61" s="68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20">
        <f>IFERROR(ROUNDUP(D61/F61,0),"")</f>
        <v/>
      </c>
      <c r="H61" s="224" t="n"/>
      <c r="I61" s="220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552" t="n"/>
      <c r="K61" s="552" t="n"/>
      <c r="L61" s="552" t="n"/>
      <c r="M61" s="552" t="n"/>
    </row>
    <row r="62" ht="21" customHeight="1" s="468">
      <c r="A62" s="685" t="n"/>
      <c r="B62" s="218" t="n"/>
      <c r="C62" s="219" t="n"/>
      <c r="D62" s="220" t="n"/>
      <c r="E62" s="221" t="inlineStr">
        <is>
          <t>CX</t>
        </is>
      </c>
      <c r="F62" s="686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20">
        <f>IFERROR(ROUNDUP(D62/F62,0),"")</f>
        <v/>
      </c>
      <c r="H62" s="224" t="n"/>
      <c r="I62" s="220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 t="n"/>
      <c r="K62" s="552" t="n"/>
      <c r="L62" s="552" t="n"/>
      <c r="M62" s="552" t="n"/>
    </row>
    <row r="63" ht="15" customHeight="1" s="468">
      <c r="A63" s="658" t="n"/>
      <c r="B63" s="640" t="inlineStr">
        <is>
          <t>TOTAL</t>
        </is>
      </c>
      <c r="C63" s="667" t="n"/>
      <c r="D63" s="642">
        <f>SUM(D56:D62)</f>
        <v/>
      </c>
      <c r="E63" s="668" t="n"/>
      <c r="F63" s="644" t="n"/>
      <c r="G63" s="642">
        <f>SUM(G56:G62)</f>
        <v/>
      </c>
      <c r="H63" s="642">
        <f>SUM(H56:H62)</f>
        <v/>
      </c>
      <c r="I63" s="642">
        <f>SUM(I56:I62)</f>
        <v/>
      </c>
      <c r="J63" s="644">
        <f>D63</f>
        <v/>
      </c>
      <c r="K63" s="644">
        <f>G63</f>
        <v/>
      </c>
      <c r="L63" s="644">
        <f>H63</f>
        <v/>
      </c>
      <c r="M63" s="644">
        <f>I63</f>
        <v/>
      </c>
    </row>
    <row r="64" ht="6" customHeight="1" s="468">
      <c r="A64" s="638" t="n"/>
      <c r="C64" s="71" t="n"/>
      <c r="D64" s="552" t="n"/>
      <c r="F64" s="552" t="n"/>
      <c r="G64" s="552" t="n"/>
      <c r="H64" s="552" t="n"/>
      <c r="I64" s="552" t="n"/>
      <c r="J64" s="552" t="n"/>
      <c r="K64" s="552" t="n"/>
      <c r="L64" s="552" t="n"/>
      <c r="M64" s="552" t="n"/>
    </row>
    <row r="65" ht="15" customHeight="1" s="468">
      <c r="A65" s="646" t="n">
        <v>46150</v>
      </c>
      <c r="B65" s="213" t="inlineStr">
        <is>
          <t>PRODUTO</t>
        </is>
      </c>
      <c r="C65" s="214" t="inlineStr">
        <is>
          <t>EMBALAGEM</t>
        </is>
      </c>
      <c r="D65" s="244" t="inlineStr">
        <is>
          <t>CAIXAS</t>
        </is>
      </c>
      <c r="E65" s="215" t="inlineStr">
        <is>
          <t>UN</t>
        </is>
      </c>
      <c r="F65" s="687" t="inlineStr">
        <is>
          <t>CX/PALLET</t>
        </is>
      </c>
      <c r="G65" s="244" t="inlineStr">
        <is>
          <t>PALLETS (PBR)</t>
        </is>
      </c>
      <c r="H65" s="244" t="inlineStr">
        <is>
          <t>REAL (CX)</t>
        </is>
      </c>
      <c r="I65" s="244" t="inlineStr">
        <is>
          <t>TOTAL LATAS</t>
        </is>
      </c>
      <c r="J65" s="552" t="n"/>
      <c r="K65" s="552" t="n"/>
      <c r="L65" s="552" t="n"/>
      <c r="M65" s="552" t="n"/>
    </row>
    <row r="66" ht="21" customHeight="1" s="468">
      <c r="A66" s="685" t="n"/>
      <c r="B66" s="218" t="n"/>
      <c r="C66" s="219" t="n"/>
      <c r="D66" s="220" t="n"/>
      <c r="E66" s="221" t="inlineStr">
        <is>
          <t>CX</t>
        </is>
      </c>
      <c r="F66" s="686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/>
      </c>
      <c r="G66" s="220">
        <f>IFERROR(ROUNDUP(D66/F66,0),"")</f>
        <v/>
      </c>
      <c r="H66" s="224" t="n"/>
      <c r="I66" s="220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/>
      </c>
      <c r="J66" s="552" t="n"/>
      <c r="K66" s="552" t="n"/>
      <c r="L66" s="552" t="n"/>
      <c r="M66" s="552" t="n"/>
    </row>
    <row r="67" ht="21" customHeight="1" s="468">
      <c r="A67" s="685" t="n"/>
      <c r="B67" s="218" t="inlineStr">
        <is>
          <t>PURATOS NORCAU</t>
        </is>
      </c>
      <c r="C67" s="219" t="n">
        <v>600</v>
      </c>
      <c r="D67" s="220" t="n">
        <v>1045</v>
      </c>
      <c r="E67" s="221" t="inlineStr">
        <is>
          <t>CX</t>
        </is>
      </c>
      <c r="F67" s="686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220">
        <f>IFERROR(ROUNDUP(D67/F67,0),"")</f>
        <v/>
      </c>
      <c r="H67" s="224" t="n"/>
      <c r="I67" s="220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  <c r="J67" s="552" t="n"/>
      <c r="K67" s="552" t="n"/>
      <c r="L67" s="552" t="n"/>
      <c r="M67" s="552" t="n"/>
    </row>
    <row r="68" ht="21" customHeight="1" s="468">
      <c r="A68" s="685" t="n"/>
      <c r="B68" s="218" t="n"/>
      <c r="C68" s="219" t="n"/>
      <c r="D68" s="220" t="n"/>
      <c r="E68" s="221" t="inlineStr">
        <is>
          <t>CX</t>
        </is>
      </c>
      <c r="F68" s="686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20">
        <f>IFERROR(ROUNDUP(D68/F68,0),"")</f>
        <v/>
      </c>
      <c r="H68" s="224" t="n"/>
      <c r="I68" s="220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552" t="n"/>
      <c r="K68" s="552" t="n"/>
      <c r="L68" s="552" t="n"/>
      <c r="M68" s="552" t="n"/>
    </row>
    <row r="69" ht="21" customHeight="1" s="468">
      <c r="A69" s="685" t="n"/>
      <c r="B69" s="218" t="n"/>
      <c r="C69" s="219" t="n"/>
      <c r="D69" s="220" t="n"/>
      <c r="E69" s="221" t="inlineStr">
        <is>
          <t>CX</t>
        </is>
      </c>
      <c r="F69" s="68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20">
        <f>IFERROR(ROUNDUP(D69/F69,0),"")</f>
        <v/>
      </c>
      <c r="H69" s="224" t="n"/>
      <c r="I69" s="220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552" t="n"/>
      <c r="K69" s="552" t="n"/>
      <c r="L69" s="552" t="n"/>
      <c r="M69" s="552" t="n"/>
    </row>
    <row r="70" ht="21" customHeight="1" s="468">
      <c r="A70" s="685" t="n"/>
      <c r="B70" s="218" t="n"/>
      <c r="C70" s="219" t="n"/>
      <c r="D70" s="220" t="n"/>
      <c r="E70" s="221" t="inlineStr">
        <is>
          <t>CX</t>
        </is>
      </c>
      <c r="F70" s="686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20">
        <f>IFERROR(ROUNDUP(D70/F70,0),"")</f>
        <v/>
      </c>
      <c r="H70" s="224" t="n"/>
      <c r="I70" s="22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552" t="n"/>
      <c r="K70" s="552" t="n"/>
      <c r="L70" s="552" t="n"/>
      <c r="M70" s="552" t="n"/>
    </row>
    <row r="71" ht="15" customHeight="1" s="468">
      <c r="A71" s="658" t="n"/>
      <c r="B71" s="640" t="inlineStr">
        <is>
          <t>TOTAL</t>
        </is>
      </c>
      <c r="C71" s="667" t="n"/>
      <c r="D71" s="642">
        <f>SUM(D66:D70)</f>
        <v/>
      </c>
      <c r="E71" s="668" t="n"/>
      <c r="F71" s="644" t="n"/>
      <c r="G71" s="642">
        <f>SUM(G66:G70)</f>
        <v/>
      </c>
      <c r="H71" s="642">
        <f>SUM(H66:H70)</f>
        <v/>
      </c>
      <c r="I71" s="642">
        <f>SUM(I66:I70)</f>
        <v/>
      </c>
      <c r="J71" s="644">
        <f>D71</f>
        <v/>
      </c>
      <c r="K71" s="644">
        <f>G71</f>
        <v/>
      </c>
      <c r="L71" s="644">
        <f>H71</f>
        <v/>
      </c>
      <c r="M71" s="644">
        <f>I71</f>
        <v/>
      </c>
    </row>
    <row r="72" ht="6" customHeight="1" s="468">
      <c r="A72" s="638" t="n"/>
      <c r="C72" s="71" t="n"/>
      <c r="D72" s="552" t="n"/>
      <c r="F72" s="552" t="n"/>
      <c r="G72" s="552" t="n"/>
      <c r="H72" s="552" t="n"/>
      <c r="I72" s="552" t="n"/>
      <c r="J72" s="552" t="n"/>
      <c r="K72" s="552" t="n"/>
      <c r="L72" s="552" t="n"/>
      <c r="M72" s="552" t="n"/>
    </row>
    <row r="73" ht="15" customHeight="1" s="468">
      <c r="A73" s="646" t="n">
        <v>46151</v>
      </c>
      <c r="B73" s="213" t="inlineStr">
        <is>
          <t>PRODUTO</t>
        </is>
      </c>
      <c r="C73" s="214" t="inlineStr">
        <is>
          <t>EMBALAGEM</t>
        </is>
      </c>
      <c r="D73" s="244" t="inlineStr">
        <is>
          <t>CAIXAS</t>
        </is>
      </c>
      <c r="E73" s="215" t="inlineStr">
        <is>
          <t>UN</t>
        </is>
      </c>
      <c r="F73" s="687" t="inlineStr">
        <is>
          <t>CX/PALLET</t>
        </is>
      </c>
      <c r="G73" s="244" t="inlineStr">
        <is>
          <t>PALLETS (PBR)</t>
        </is>
      </c>
      <c r="H73" s="244" t="inlineStr">
        <is>
          <t>REAL (CX)</t>
        </is>
      </c>
      <c r="I73" s="244" t="inlineStr">
        <is>
          <t>TOTAL LATAS</t>
        </is>
      </c>
      <c r="J73" s="552" t="n"/>
      <c r="K73" s="552" t="n"/>
      <c r="L73" s="552" t="n"/>
      <c r="M73" s="552" t="n"/>
    </row>
    <row r="74" ht="21" customHeight="1" s="468">
      <c r="A74" s="685" t="n"/>
      <c r="B74" s="218" t="inlineStr">
        <is>
          <t>PURATOS NORCAU</t>
        </is>
      </c>
      <c r="C74" s="219" t="n">
        <v>600</v>
      </c>
      <c r="D74" s="220" t="n"/>
      <c r="E74" s="221" t="inlineStr">
        <is>
          <t>CX</t>
        </is>
      </c>
      <c r="F74" s="686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220">
        <f>IFERROR(ROUNDUP(D74/F74,0),"")</f>
        <v/>
      </c>
      <c r="H74" s="224" t="n"/>
      <c r="I74" s="220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  <c r="J74" s="552" t="n"/>
      <c r="K74" s="552" t="n"/>
      <c r="L74" s="552" t="n"/>
      <c r="M74" s="552" t="n"/>
    </row>
    <row r="75" ht="21" customHeight="1" s="468">
      <c r="A75" s="685" t="n"/>
      <c r="B75" s="218" t="n"/>
      <c r="C75" s="219" t="n"/>
      <c r="D75" s="220" t="n"/>
      <c r="E75" s="221" t="inlineStr">
        <is>
          <t>CX</t>
        </is>
      </c>
      <c r="F75" s="686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220">
        <f>IFERROR(ROUNDUP(D75/F75,0),"")</f>
        <v/>
      </c>
      <c r="H75" s="224" t="n"/>
      <c r="I75" s="220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  <c r="J75" s="552" t="n"/>
      <c r="K75" s="552" t="n"/>
      <c r="L75" s="552" t="n"/>
      <c r="M75" s="552" t="n"/>
    </row>
    <row r="76" ht="21" customHeight="1" s="468">
      <c r="A76" s="685" t="n"/>
      <c r="B76" s="218" t="n"/>
      <c r="C76" s="219" t="n"/>
      <c r="D76" s="220" t="n"/>
      <c r="E76" s="221" t="inlineStr">
        <is>
          <t>CX</t>
        </is>
      </c>
      <c r="F76" s="68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20">
        <f>IFERROR(ROUNDUP(D76/F76,0),"")</f>
        <v/>
      </c>
      <c r="H76" s="224" t="n"/>
      <c r="I76" s="220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552" t="n"/>
      <c r="K76" s="552" t="n"/>
      <c r="L76" s="552" t="n"/>
      <c r="M76" s="552" t="n"/>
    </row>
    <row r="77" ht="21" customHeight="1" s="468">
      <c r="A77" s="685" t="n"/>
      <c r="B77" s="218" t="n"/>
      <c r="C77" s="219" t="n"/>
      <c r="D77" s="220" t="n"/>
      <c r="E77" s="221" t="inlineStr">
        <is>
          <t>CX</t>
        </is>
      </c>
      <c r="F77" s="68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20">
        <f>IFERROR(ROUNDUP(D77/F77,0),"")</f>
        <v/>
      </c>
      <c r="H77" s="224" t="n"/>
      <c r="I77" s="220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552" t="n"/>
      <c r="K77" s="552" t="n"/>
      <c r="L77" s="552" t="n"/>
      <c r="M77" s="552" t="n"/>
    </row>
    <row r="78" ht="21" customHeight="1" s="468">
      <c r="A78" s="685" t="n"/>
      <c r="B78" s="218" t="n"/>
      <c r="C78" s="219" t="n"/>
      <c r="D78" s="220" t="n"/>
      <c r="E78" s="221" t="inlineStr">
        <is>
          <t>CX</t>
        </is>
      </c>
      <c r="F78" s="686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20">
        <f>IFERROR(ROUNDUP(D78/F78,0),"")</f>
        <v/>
      </c>
      <c r="H78" s="224" t="n"/>
      <c r="I78" s="220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552" t="n"/>
      <c r="K78" s="552" t="n"/>
      <c r="L78" s="552" t="n"/>
      <c r="M78" s="552" t="n"/>
    </row>
    <row r="79" ht="15" customHeight="1" s="468">
      <c r="A79" s="658" t="n"/>
      <c r="B79" s="640" t="inlineStr">
        <is>
          <t>TOTAL</t>
        </is>
      </c>
      <c r="C79" s="667" t="n"/>
      <c r="D79" s="642">
        <f>SUM(D74:D78)</f>
        <v/>
      </c>
      <c r="E79" s="668" t="n"/>
      <c r="F79" s="644" t="n"/>
      <c r="G79" s="642">
        <f>SUM(G74:G78)</f>
        <v/>
      </c>
      <c r="H79" s="642">
        <f>SUM(H74:H78)</f>
        <v/>
      </c>
      <c r="I79" s="642">
        <f>SUM(I74:I78)</f>
        <v/>
      </c>
      <c r="J79" s="644">
        <f>D79</f>
        <v/>
      </c>
      <c r="K79" s="644">
        <f>G79</f>
        <v/>
      </c>
      <c r="L79" s="644">
        <f>H79</f>
        <v/>
      </c>
      <c r="M79" s="644">
        <f>I79</f>
        <v/>
      </c>
    </row>
    <row r="80" ht="6" customHeight="1" s="468">
      <c r="A80" s="638" t="n"/>
      <c r="C80" s="71" t="n"/>
      <c r="D80" s="552" t="n"/>
      <c r="F80" s="552" t="n"/>
      <c r="G80" s="552" t="n"/>
      <c r="H80" s="552" t="n"/>
      <c r="I80" s="552" t="n"/>
      <c r="J80" s="552" t="n"/>
      <c r="K80" s="552" t="n"/>
      <c r="L80" s="552" t="n"/>
      <c r="M80" s="552" t="n"/>
    </row>
    <row r="81" ht="15" customHeight="1" s="468">
      <c r="A81" s="646" t="n">
        <v>46153</v>
      </c>
      <c r="B81" s="213" t="inlineStr">
        <is>
          <t>PRODUTO</t>
        </is>
      </c>
      <c r="C81" s="214" t="inlineStr">
        <is>
          <t>EMBALAGEM</t>
        </is>
      </c>
      <c r="D81" s="244" t="inlineStr">
        <is>
          <t>CAIXAS</t>
        </is>
      </c>
      <c r="E81" s="215" t="inlineStr">
        <is>
          <t>UN</t>
        </is>
      </c>
      <c r="F81" s="687" t="inlineStr">
        <is>
          <t>CX/PALLET</t>
        </is>
      </c>
      <c r="G81" s="244" t="inlineStr">
        <is>
          <t>PALLETS (PBR)</t>
        </is>
      </c>
      <c r="H81" s="244" t="inlineStr">
        <is>
          <t>REAL (CX)</t>
        </is>
      </c>
      <c r="I81" s="244" t="inlineStr">
        <is>
          <t>TOTAL LATAS</t>
        </is>
      </c>
      <c r="J81" s="552" t="n"/>
      <c r="K81" s="552" t="n"/>
      <c r="L81" s="552" t="n"/>
      <c r="M81" s="552" t="n"/>
    </row>
    <row r="82" ht="21" customHeight="1" s="468">
      <c r="A82" s="685" t="n"/>
      <c r="B82" s="218" t="inlineStr">
        <is>
          <t>PURATOS NORCAU</t>
        </is>
      </c>
      <c r="C82" s="219" t="n">
        <v>600</v>
      </c>
      <c r="D82" s="220" t="n"/>
      <c r="E82" s="221" t="inlineStr">
        <is>
          <t>CX</t>
        </is>
      </c>
      <c r="F82" s="686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220">
        <f>IFERROR(ROUNDUP(D82/F82,0),"")</f>
        <v/>
      </c>
      <c r="H82" s="224" t="n"/>
      <c r="I82" s="220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  <c r="J82" s="552" t="n"/>
      <c r="K82" s="552" t="n"/>
      <c r="L82" s="552" t="n"/>
      <c r="M82" s="552" t="n"/>
    </row>
    <row r="83" ht="21" customHeight="1" s="468">
      <c r="A83" s="685" t="n"/>
      <c r="B83" s="218" t="inlineStr">
        <is>
          <t>ADIMIX LISSE</t>
        </is>
      </c>
      <c r="C83" s="219" t="n">
        <v>600</v>
      </c>
      <c r="D83" s="220" t="n">
        <v>665</v>
      </c>
      <c r="E83" s="221" t="inlineStr">
        <is>
          <t>CX</t>
        </is>
      </c>
      <c r="F83" s="686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/>
      </c>
      <c r="G83" s="220">
        <f>IFERROR(ROUNDUP(D83/F83,0),"")</f>
        <v/>
      </c>
      <c r="H83" s="224" t="n"/>
      <c r="I83" s="220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/>
      </c>
      <c r="J83" s="552" t="n"/>
      <c r="K83" s="552" t="n"/>
      <c r="L83" s="552" t="n"/>
      <c r="M83" s="552" t="n"/>
    </row>
    <row r="84" ht="21" customHeight="1" s="468">
      <c r="A84" s="685" t="n"/>
      <c r="B84" s="218" t="n"/>
      <c r="C84" s="219" t="n"/>
      <c r="D84" s="220" t="n"/>
      <c r="E84" s="221" t="inlineStr">
        <is>
          <t>CX</t>
        </is>
      </c>
      <c r="F84" s="686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20">
        <f>IFERROR(ROUNDUP(D84/F84,0),"")</f>
        <v/>
      </c>
      <c r="H84" s="224" t="n"/>
      <c r="I84" s="220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552" t="n"/>
      <c r="K84" s="552" t="n"/>
      <c r="L84" s="552" t="n"/>
      <c r="M84" s="552" t="n"/>
    </row>
    <row r="85" ht="21" customHeight="1" s="468">
      <c r="A85" s="685" t="n"/>
      <c r="B85" s="218" t="n"/>
      <c r="C85" s="219" t="n"/>
      <c r="D85" s="220" t="n"/>
      <c r="E85" s="221" t="inlineStr">
        <is>
          <t>CX</t>
        </is>
      </c>
      <c r="F85" s="686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20">
        <f>IFERROR(ROUNDUP(D85/F85,0),"")</f>
        <v/>
      </c>
      <c r="H85" s="224" t="n"/>
      <c r="I85" s="220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552" t="n"/>
      <c r="K85" s="552" t="n"/>
      <c r="L85" s="552" t="n"/>
      <c r="M85" s="552" t="n"/>
    </row>
    <row r="86" ht="21" customHeight="1" s="468">
      <c r="A86" s="685" t="n"/>
      <c r="B86" s="218" t="n"/>
      <c r="C86" s="219" t="n"/>
      <c r="D86" s="220" t="n"/>
      <c r="E86" s="221" t="inlineStr">
        <is>
          <t>CX</t>
        </is>
      </c>
      <c r="F86" s="6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20">
        <f>IFERROR(ROUNDUP(D86/F86,0),"")</f>
        <v/>
      </c>
      <c r="H86" s="224" t="n"/>
      <c r="I86" s="220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552" t="n"/>
      <c r="K86" s="552" t="n"/>
      <c r="L86" s="552" t="n"/>
      <c r="M86" s="552" t="n"/>
    </row>
    <row r="87" ht="15" customHeight="1" s="468">
      <c r="A87" s="658" t="n"/>
      <c r="B87" s="640" t="inlineStr">
        <is>
          <t>TOTAL</t>
        </is>
      </c>
      <c r="C87" s="667" t="n"/>
      <c r="D87" s="642">
        <f>SUM(D82:D86)</f>
        <v/>
      </c>
      <c r="E87" s="668" t="n"/>
      <c r="F87" s="644" t="n"/>
      <c r="G87" s="642">
        <f>SUM(G82:G86)</f>
        <v/>
      </c>
      <c r="H87" s="642">
        <f>SUM(H82:H86)</f>
        <v/>
      </c>
      <c r="I87" s="642">
        <f>SUM(I82:I86)</f>
        <v/>
      </c>
      <c r="J87" s="644">
        <f>D87</f>
        <v/>
      </c>
      <c r="K87" s="644">
        <f>G87</f>
        <v/>
      </c>
      <c r="L87" s="644">
        <f>H87</f>
        <v/>
      </c>
      <c r="M87" s="644">
        <f>I87</f>
        <v/>
      </c>
    </row>
    <row r="88" ht="6" customHeight="1" s="468">
      <c r="A88" s="638" t="n"/>
      <c r="C88" s="71" t="n"/>
      <c r="D88" s="552" t="n"/>
      <c r="F88" s="552" t="n"/>
      <c r="G88" s="552" t="n"/>
      <c r="H88" s="552" t="n"/>
      <c r="I88" s="552" t="n"/>
      <c r="J88" s="552" t="n"/>
      <c r="K88" s="552" t="n"/>
      <c r="L88" s="552" t="n"/>
      <c r="M88" s="552" t="n"/>
    </row>
    <row r="89" ht="15" customHeight="1" s="468">
      <c r="A89" s="646" t="n">
        <v>46154</v>
      </c>
      <c r="B89" s="213" t="inlineStr">
        <is>
          <t>PRODUTO</t>
        </is>
      </c>
      <c r="C89" s="214" t="inlineStr">
        <is>
          <t>EMBALAGEM</t>
        </is>
      </c>
      <c r="D89" s="244" t="inlineStr">
        <is>
          <t>CAIXAS</t>
        </is>
      </c>
      <c r="E89" s="215" t="inlineStr">
        <is>
          <t>UN</t>
        </is>
      </c>
      <c r="F89" s="687" t="inlineStr">
        <is>
          <t>CX/PALLET</t>
        </is>
      </c>
      <c r="G89" s="244" t="inlineStr">
        <is>
          <t>PALLETS (PBR)</t>
        </is>
      </c>
      <c r="H89" s="244" t="inlineStr">
        <is>
          <t>REAL (CX)</t>
        </is>
      </c>
      <c r="I89" s="244" t="inlineStr">
        <is>
          <t>TOTAL LATAS</t>
        </is>
      </c>
      <c r="J89" s="552" t="n"/>
      <c r="K89" s="552" t="n"/>
      <c r="L89" s="552" t="n"/>
      <c r="M89" s="552" t="n"/>
    </row>
    <row r="90" ht="21" customHeight="1" s="468">
      <c r="A90" s="685" t="n"/>
      <c r="B90" s="218" t="n"/>
      <c r="C90" s="219" t="n"/>
      <c r="D90" s="220" t="n"/>
      <c r="E90" s="221" t="inlineStr">
        <is>
          <t>CX</t>
        </is>
      </c>
      <c r="F90" s="686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220">
        <f>IFERROR(ROUNDUP(D90/F90,0),"")</f>
        <v/>
      </c>
      <c r="H90" s="224" t="n"/>
      <c r="I90" s="220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  <c r="J90" s="552" t="n"/>
      <c r="K90" s="552" t="n"/>
      <c r="L90" s="552" t="n"/>
      <c r="M90" s="552" t="n"/>
    </row>
    <row r="91" ht="21" customHeight="1" s="468">
      <c r="A91" s="685" t="n"/>
      <c r="B91" s="218" t="inlineStr">
        <is>
          <t>PURATOS DESTAK</t>
        </is>
      </c>
      <c r="C91" s="219" t="n">
        <v>600</v>
      </c>
      <c r="D91" s="220" t="n">
        <v>4560</v>
      </c>
      <c r="E91" s="221" t="inlineStr">
        <is>
          <t>CX</t>
        </is>
      </c>
      <c r="F91" s="686">
        <f>IF($B91="","",IF(SUMIFS(CONFIG_PALLETS!$C:$C,CONFIG_PALLETS!$A:$A,TRIM($B91),CONFIG_PALLETS!$B:$B,$C91&amp;" ml")&gt;0,SUMIFS(CONFIG_PALLETS!$C:$C,CONFIG_PALLETS!$A:$A,TRIM($B91),CONFIG_PALLETS!$B:$B,$C91&amp;" ml"),IF(SUMIFS(CONFIG_PALLETS!$C:$C,CONFIG_PALLETS!$A:$A,"GERAL",CONFIG_PALLETS!$B:$B,$C91&amp;" ml")&gt;0,SUMIFS(CONFIG_PALLETS!$C:$C,CONFIG_PALLETS!$A:$A,"GERAL",CONFIG_PALLETS!$B:$B,$C91&amp;" ml"),"")))</f>
        <v/>
      </c>
      <c r="G91" s="220">
        <f>IFERROR(ROUNDUP(D91/F91,0),"")</f>
        <v/>
      </c>
      <c r="H91" s="224" t="n"/>
      <c r="I91" s="220">
        <f>IF(H91="","",H91*IF(SUMIFS(CONFIG_PALLETS!$D:$D,CONFIG_PALLETS!$A:$A,IF(ISNUMBER(SEARCH("ESPUMA",$B91)),"ESPUMA",IF(OR(ISNUMBER(SEARCH("OLEO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ml")&gt;0,SUMIFS(CONFIG_PALLETS!$D:$D,CONFIG_PALLETS!$A:$A,IF(ISNUMBER(SEARCH("ESPUMA",$B91)),"ESPUMA",IF(OR(ISNUMBER(SEARCH("OLEO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ml"),IF(SUMIFS(CONFIG_PALLETS!$D:$D,CONFIG_PALLETS!$A:$A,"GERAL",CONFIG_PALLETS!$B:$B,$C91&amp;" ml")&gt;0,SUMIFS(CONFIG_PALLETS!$D:$D,CONFIG_PALLETS!$A:$A,"GERAL",CONFIG_PALLETS!$B:$B,$C91&amp;" ml"),12)))</f>
        <v/>
      </c>
      <c r="J91" s="552" t="n"/>
      <c r="K91" s="552" t="n"/>
      <c r="L91" s="552" t="n"/>
      <c r="M91" s="552" t="n"/>
    </row>
    <row r="92" ht="21" customHeight="1" s="468">
      <c r="A92" s="685" t="n"/>
      <c r="B92" s="218" t="n"/>
      <c r="C92" s="219" t="n"/>
      <c r="D92" s="220" t="n"/>
      <c r="E92" s="221" t="inlineStr">
        <is>
          <t>CX</t>
        </is>
      </c>
      <c r="F92" s="686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20">
        <f>IFERROR(ROUNDUP(D92/F92,0),"")</f>
        <v/>
      </c>
      <c r="H92" s="224" t="n"/>
      <c r="I92" s="220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552" t="n"/>
      <c r="K92" s="552" t="n"/>
      <c r="L92" s="552" t="n"/>
      <c r="M92" s="552" t="n"/>
    </row>
    <row r="93" ht="21" customHeight="1" s="468">
      <c r="A93" s="685" t="n"/>
      <c r="B93" s="218" t="n"/>
      <c r="C93" s="219" t="n"/>
      <c r="D93" s="220" t="n"/>
      <c r="E93" s="221" t="inlineStr">
        <is>
          <t>CX</t>
        </is>
      </c>
      <c r="F93" s="686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20">
        <f>IFERROR(ROUNDUP(D93/F93,0),"")</f>
        <v/>
      </c>
      <c r="H93" s="224" t="n"/>
      <c r="I93" s="220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552" t="n"/>
      <c r="K93" s="552" t="n"/>
      <c r="L93" s="552" t="n"/>
      <c r="M93" s="552" t="n"/>
    </row>
    <row r="94" ht="21" customHeight="1" s="468">
      <c r="A94" s="685" t="n"/>
      <c r="B94" s="218" t="n"/>
      <c r="C94" s="219" t="n"/>
      <c r="D94" s="220" t="n"/>
      <c r="E94" s="221" t="inlineStr">
        <is>
          <t>CX</t>
        </is>
      </c>
      <c r="F94" s="686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20">
        <f>IFERROR(ROUNDUP(D94/F94,0),"")</f>
        <v/>
      </c>
      <c r="H94" s="224" t="n"/>
      <c r="I94" s="220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552" t="n"/>
      <c r="K94" s="552" t="n"/>
      <c r="L94" s="552" t="n"/>
      <c r="M94" s="552" t="n"/>
    </row>
    <row r="95" ht="15" customHeight="1" s="468">
      <c r="A95" s="658" t="n"/>
      <c r="B95" s="640" t="inlineStr">
        <is>
          <t>TOTAL</t>
        </is>
      </c>
      <c r="C95" s="667" t="n"/>
      <c r="D95" s="642">
        <f>SUM(D90:D94)</f>
        <v/>
      </c>
      <c r="E95" s="668" t="n"/>
      <c r="F95" s="644" t="n"/>
      <c r="G95" s="642">
        <f>SUM(G90:G94)</f>
        <v/>
      </c>
      <c r="H95" s="642">
        <f>SUM(H90:H94)</f>
        <v/>
      </c>
      <c r="I95" s="642">
        <f>SUM(I90:I94)</f>
        <v/>
      </c>
      <c r="J95" s="644">
        <f>D95</f>
        <v/>
      </c>
      <c r="K95" s="644">
        <f>G95</f>
        <v/>
      </c>
      <c r="L95" s="644">
        <f>H95</f>
        <v/>
      </c>
      <c r="M95" s="644">
        <f>I95</f>
        <v/>
      </c>
    </row>
    <row r="96" ht="6" customHeight="1" s="468">
      <c r="A96" s="638" t="n"/>
      <c r="C96" s="71" t="n"/>
      <c r="D96" s="552" t="n"/>
      <c r="F96" s="552" t="n"/>
      <c r="G96" s="552" t="n"/>
      <c r="H96" s="552" t="n"/>
      <c r="I96" s="552" t="n"/>
      <c r="J96" s="552" t="n"/>
      <c r="K96" s="552" t="n"/>
      <c r="L96" s="552" t="n"/>
      <c r="M96" s="552" t="n"/>
    </row>
    <row r="97" ht="15" customHeight="1" s="468">
      <c r="A97" s="646" t="n">
        <v>46155</v>
      </c>
      <c r="B97" s="213" t="inlineStr">
        <is>
          <t>PRODUTO</t>
        </is>
      </c>
      <c r="C97" s="214" t="inlineStr">
        <is>
          <t>EMBALAGEM</t>
        </is>
      </c>
      <c r="D97" s="244" t="inlineStr">
        <is>
          <t>CAIXAS</t>
        </is>
      </c>
      <c r="E97" s="215" t="inlineStr">
        <is>
          <t>UN</t>
        </is>
      </c>
      <c r="F97" s="687" t="inlineStr">
        <is>
          <t>CX/PALLET</t>
        </is>
      </c>
      <c r="G97" s="244" t="inlineStr">
        <is>
          <t>PALLETS (PBR)</t>
        </is>
      </c>
      <c r="H97" s="244" t="inlineStr">
        <is>
          <t>REAL (CX)</t>
        </is>
      </c>
      <c r="I97" s="244" t="inlineStr">
        <is>
          <t>TOTAL LATAS</t>
        </is>
      </c>
      <c r="J97" s="552" t="n"/>
      <c r="K97" s="552" t="n"/>
      <c r="L97" s="552" t="n"/>
      <c r="M97" s="552" t="n"/>
    </row>
    <row r="98" ht="21" customHeight="1" s="468">
      <c r="A98" s="685" t="n"/>
      <c r="B98" s="218" t="n"/>
      <c r="C98" s="219" t="n"/>
      <c r="D98" s="220" t="n"/>
      <c r="E98" s="221" t="inlineStr">
        <is>
          <t>CX</t>
        </is>
      </c>
      <c r="F98" s="686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20">
        <f>IFERROR(ROUNDUP(D98/F98,0),"")</f>
        <v/>
      </c>
      <c r="H98" s="224" t="n"/>
      <c r="I98" s="220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  <c r="J98" s="552" t="n"/>
      <c r="K98" s="552" t="n"/>
      <c r="L98" s="552" t="n"/>
      <c r="M98" s="552" t="n"/>
    </row>
    <row r="99" ht="21" customHeight="1" s="468">
      <c r="A99" s="685" t="n"/>
      <c r="B99" s="218" t="inlineStr">
        <is>
          <t>PURATOS DESTAK</t>
        </is>
      </c>
      <c r="C99" s="219" t="n">
        <v>600</v>
      </c>
      <c r="D99" s="220" t="n"/>
      <c r="E99" s="221" t="inlineStr">
        <is>
          <t>CX</t>
        </is>
      </c>
      <c r="F99" s="686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220">
        <f>IFERROR(ROUNDUP(D99/F99,0),"")</f>
        <v/>
      </c>
      <c r="H99" s="224" t="n"/>
      <c r="I99" s="220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552" t="n"/>
      <c r="K99" s="552" t="n"/>
      <c r="L99" s="552" t="n"/>
      <c r="M99" s="552" t="n"/>
    </row>
    <row r="100" ht="21" customHeight="1" s="468">
      <c r="A100" s="685" t="n"/>
      <c r="B100" s="218" t="n"/>
      <c r="C100" s="219" t="n"/>
      <c r="D100" s="220" t="n"/>
      <c r="E100" s="221" t="inlineStr">
        <is>
          <t>CX</t>
        </is>
      </c>
      <c r="F100" s="686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20">
        <f>IFERROR(ROUNDUP(D100/F100,0),"")</f>
        <v/>
      </c>
      <c r="H100" s="224" t="n"/>
      <c r="I100" s="220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552" t="n"/>
      <c r="K100" s="552" t="n"/>
      <c r="L100" s="552" t="n"/>
      <c r="M100" s="552" t="n"/>
    </row>
    <row r="101" ht="21" customHeight="1" s="468">
      <c r="A101" s="685" t="n"/>
      <c r="B101" s="218" t="n"/>
      <c r="C101" s="219" t="n"/>
      <c r="D101" s="220" t="n"/>
      <c r="E101" s="221" t="inlineStr">
        <is>
          <t>CX</t>
        </is>
      </c>
      <c r="F101" s="686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20">
        <f>IFERROR(ROUNDUP(D101/F101,0),"")</f>
        <v/>
      </c>
      <c r="H101" s="224" t="n"/>
      <c r="I101" s="220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552" t="n"/>
      <c r="K101" s="552" t="n"/>
      <c r="L101" s="552" t="n"/>
      <c r="M101" s="552" t="n"/>
    </row>
    <row r="102" ht="21" customHeight="1" s="468">
      <c r="A102" s="685" t="n"/>
      <c r="B102" s="218" t="n"/>
      <c r="C102" s="219" t="n"/>
      <c r="D102" s="220" t="n"/>
      <c r="E102" s="221" t="inlineStr">
        <is>
          <t>CX</t>
        </is>
      </c>
      <c r="F102" s="686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20">
        <f>IFERROR(ROUNDUP(D102/F102,0),"")</f>
        <v/>
      </c>
      <c r="H102" s="224" t="n"/>
      <c r="I102" s="220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552" t="n"/>
      <c r="K102" s="552" t="n"/>
      <c r="L102" s="552" t="n"/>
      <c r="M102" s="552" t="n"/>
    </row>
    <row r="103" ht="15" customHeight="1" s="468">
      <c r="A103" s="658" t="n"/>
      <c r="B103" s="640" t="inlineStr">
        <is>
          <t>TOTAL</t>
        </is>
      </c>
      <c r="C103" s="667" t="n"/>
      <c r="D103" s="642">
        <f>SUM(D98:D102)</f>
        <v/>
      </c>
      <c r="E103" s="668" t="n"/>
      <c r="F103" s="644" t="n"/>
      <c r="G103" s="642">
        <f>SUM(G98:G102)</f>
        <v/>
      </c>
      <c r="H103" s="642">
        <f>SUM(H98:H102)</f>
        <v/>
      </c>
      <c r="I103" s="642">
        <f>SUM(I98:I102)</f>
        <v/>
      </c>
      <c r="J103" s="644">
        <f>D103</f>
        <v/>
      </c>
      <c r="K103" s="644">
        <f>G103</f>
        <v/>
      </c>
      <c r="L103" s="644">
        <f>H103</f>
        <v/>
      </c>
      <c r="M103" s="644">
        <f>I103</f>
        <v/>
      </c>
    </row>
    <row r="104" ht="6" customHeight="1" s="468">
      <c r="A104" s="638" t="n"/>
      <c r="C104" s="71" t="n"/>
      <c r="D104" s="552" t="n"/>
      <c r="F104" s="552" t="n"/>
      <c r="G104" s="552" t="n"/>
      <c r="H104" s="552" t="n"/>
      <c r="I104" s="552" t="n"/>
      <c r="J104" s="552" t="n"/>
      <c r="K104" s="552" t="n"/>
      <c r="L104" s="552" t="n"/>
      <c r="M104" s="552" t="n"/>
    </row>
    <row r="105" ht="15" customHeight="1" s="468">
      <c r="A105" s="646" t="n">
        <v>46156</v>
      </c>
      <c r="B105" s="213" t="inlineStr">
        <is>
          <t>PRODUTO</t>
        </is>
      </c>
      <c r="C105" s="214" t="inlineStr">
        <is>
          <t>EMBALAGEM</t>
        </is>
      </c>
      <c r="D105" s="244" t="inlineStr">
        <is>
          <t>CAIXAS</t>
        </is>
      </c>
      <c r="E105" s="215" t="inlineStr">
        <is>
          <t>UN</t>
        </is>
      </c>
      <c r="F105" s="687" t="inlineStr">
        <is>
          <t>CX/PALLET</t>
        </is>
      </c>
      <c r="G105" s="244" t="inlineStr">
        <is>
          <t>PALLETS (PBR)</t>
        </is>
      </c>
      <c r="H105" s="244" t="inlineStr">
        <is>
          <t>REAL (CX)</t>
        </is>
      </c>
      <c r="I105" s="244" t="inlineStr">
        <is>
          <t>TOTAL LATAS</t>
        </is>
      </c>
      <c r="J105" s="552" t="n"/>
      <c r="K105" s="552" t="n"/>
      <c r="L105" s="552" t="n"/>
      <c r="M105" s="552" t="n"/>
    </row>
    <row r="106" ht="21" customHeight="1" s="468">
      <c r="A106" s="685" t="n"/>
      <c r="B106" s="218" t="inlineStr">
        <is>
          <t>UNTA FACIL</t>
        </is>
      </c>
      <c r="C106" s="219" t="n">
        <v>600</v>
      </c>
      <c r="D106" s="220" t="n">
        <v>1330</v>
      </c>
      <c r="E106" s="221" t="inlineStr">
        <is>
          <t>CX</t>
        </is>
      </c>
      <c r="F106" s="68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220">
        <f>IFERROR(ROUNDUP(D106/F106,0),"")</f>
        <v/>
      </c>
      <c r="H106" s="224" t="n"/>
      <c r="I106" s="220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  <c r="J106" s="552" t="n"/>
      <c r="K106" s="552" t="n"/>
      <c r="L106" s="552" t="n"/>
      <c r="M106" s="552" t="n"/>
    </row>
    <row r="107" ht="21" customHeight="1" s="468">
      <c r="A107" s="685" t="n"/>
      <c r="B107" s="218" t="n"/>
      <c r="C107" s="219" t="n"/>
      <c r="D107" s="220" t="n"/>
      <c r="E107" s="221" t="inlineStr">
        <is>
          <t>CX</t>
        </is>
      </c>
      <c r="F107" s="686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220">
        <f>IFERROR(ROUNDUP(D107/F107,0),"")</f>
        <v/>
      </c>
      <c r="H107" s="224" t="n"/>
      <c r="I107" s="220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552" t="n"/>
      <c r="K107" s="552" t="n"/>
      <c r="L107" s="552" t="n"/>
      <c r="M107" s="552" t="n"/>
    </row>
    <row r="108" ht="21" customHeight="1" s="468">
      <c r="A108" s="685" t="n"/>
      <c r="B108" s="218" t="n"/>
      <c r="C108" s="219" t="n"/>
      <c r="D108" s="220" t="n"/>
      <c r="E108" s="221" t="inlineStr">
        <is>
          <t>CX</t>
        </is>
      </c>
      <c r="F108" s="686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20">
        <f>IFERROR(ROUNDUP(D108/F108,0),"")</f>
        <v/>
      </c>
      <c r="H108" s="224" t="n"/>
      <c r="I108" s="220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 t="n"/>
      <c r="K108" s="552" t="n"/>
      <c r="L108" s="552" t="n"/>
      <c r="M108" s="552" t="n"/>
    </row>
    <row r="109" ht="21" customHeight="1" s="468">
      <c r="A109" s="685" t="n"/>
      <c r="B109" s="218" t="n"/>
      <c r="C109" s="219" t="n"/>
      <c r="D109" s="220" t="n"/>
      <c r="E109" s="221" t="inlineStr">
        <is>
          <t>CX</t>
        </is>
      </c>
      <c r="F109" s="686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20">
        <f>IFERROR(ROUNDUP(D109/F109,0),"")</f>
        <v/>
      </c>
      <c r="H109" s="224" t="n"/>
      <c r="I109" s="220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  <c r="J109" s="552" t="n"/>
      <c r="K109" s="552" t="n"/>
      <c r="L109" s="552" t="n"/>
      <c r="M109" s="552" t="n"/>
    </row>
    <row r="110" ht="21" customHeight="1" s="468">
      <c r="A110" s="685" t="n"/>
      <c r="B110" s="218" t="n"/>
      <c r="C110" s="219" t="n"/>
      <c r="D110" s="220" t="n"/>
      <c r="E110" s="221" t="inlineStr">
        <is>
          <t>CX</t>
        </is>
      </c>
      <c r="F110" s="686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20">
        <f>IFERROR(ROUNDUP(D110/F110,0),"")</f>
        <v/>
      </c>
      <c r="H110" s="224" t="n"/>
      <c r="I110" s="220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  <c r="J110" s="552" t="n"/>
      <c r="K110" s="552" t="n"/>
      <c r="L110" s="552" t="n"/>
      <c r="M110" s="552" t="n"/>
    </row>
    <row r="111" ht="15" customHeight="1" s="468">
      <c r="A111" s="658" t="n"/>
      <c r="B111" s="640" t="inlineStr">
        <is>
          <t>TOTAL</t>
        </is>
      </c>
      <c r="C111" s="667" t="n"/>
      <c r="D111" s="642">
        <f>SUM(D106:D110)</f>
        <v/>
      </c>
      <c r="E111" s="668" t="n"/>
      <c r="F111" s="644" t="n"/>
      <c r="G111" s="642">
        <f>SUM(G106:G110)</f>
        <v/>
      </c>
      <c r="H111" s="642">
        <f>SUM(H106:H110)</f>
        <v/>
      </c>
      <c r="I111" s="642">
        <f>SUM(I106:I110)</f>
        <v/>
      </c>
      <c r="J111" s="644">
        <f>D111</f>
        <v/>
      </c>
      <c r="K111" s="644">
        <f>G111</f>
        <v/>
      </c>
      <c r="L111" s="644">
        <f>H111</f>
        <v/>
      </c>
      <c r="M111" s="644">
        <f>I111</f>
        <v/>
      </c>
    </row>
    <row r="112" ht="6" customHeight="1" s="468">
      <c r="A112" s="638" t="n"/>
      <c r="C112" s="71" t="n"/>
      <c r="D112" s="552" t="n"/>
      <c r="F112" s="552" t="n"/>
      <c r="G112" s="552" t="n"/>
      <c r="H112" s="552" t="n"/>
      <c r="I112" s="552" t="n"/>
      <c r="J112" s="552" t="n"/>
      <c r="K112" s="552" t="n"/>
      <c r="L112" s="552" t="n"/>
      <c r="M112" s="552" t="n"/>
    </row>
    <row r="113" ht="15" customHeight="1" s="468">
      <c r="A113" s="646" t="n">
        <v>46157</v>
      </c>
      <c r="B113" s="213" t="inlineStr">
        <is>
          <t>PRODUTO</t>
        </is>
      </c>
      <c r="C113" s="214" t="inlineStr">
        <is>
          <t>EMBALAGEM</t>
        </is>
      </c>
      <c r="D113" s="244" t="inlineStr">
        <is>
          <t>CAIXAS</t>
        </is>
      </c>
      <c r="E113" s="215" t="inlineStr">
        <is>
          <t>UN</t>
        </is>
      </c>
      <c r="F113" s="687" t="inlineStr">
        <is>
          <t>CX/PALLET</t>
        </is>
      </c>
      <c r="G113" s="244" t="inlineStr">
        <is>
          <t>PALLETS (PBR)</t>
        </is>
      </c>
      <c r="H113" s="244" t="inlineStr">
        <is>
          <t>REAL (CX)</t>
        </is>
      </c>
      <c r="I113" s="244" t="inlineStr">
        <is>
          <t>TOTAL LATAS</t>
        </is>
      </c>
      <c r="J113" s="552" t="n"/>
      <c r="K113" s="552" t="n"/>
      <c r="L113" s="552" t="n"/>
      <c r="M113" s="552" t="n"/>
    </row>
    <row r="114" ht="21" customHeight="1" s="468">
      <c r="A114" s="685" t="n"/>
      <c r="B114" s="218" t="n"/>
      <c r="C114" s="219" t="n"/>
      <c r="D114" s="220" t="n"/>
      <c r="E114" s="221" t="inlineStr">
        <is>
          <t>CX</t>
        </is>
      </c>
      <c r="F114" s="686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220">
        <f>IFERROR(ROUNDUP(D114/F114,0),"")</f>
        <v/>
      </c>
      <c r="H114" s="224" t="n"/>
      <c r="I114" s="220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  <c r="J114" s="552" t="n"/>
      <c r="K114" s="552" t="n"/>
      <c r="L114" s="552" t="n"/>
      <c r="M114" s="552" t="n"/>
    </row>
    <row r="115" ht="21" customHeight="1" s="468">
      <c r="A115" s="685" t="n"/>
      <c r="B115" s="218" t="n"/>
      <c r="C115" s="219" t="n"/>
      <c r="D115" s="220" t="n"/>
      <c r="E115" s="221" t="inlineStr">
        <is>
          <t>CX</t>
        </is>
      </c>
      <c r="F115" s="686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220">
        <f>IFERROR(ROUNDUP(D115/F115,0),"")</f>
        <v/>
      </c>
      <c r="H115" s="224" t="n"/>
      <c r="I115" s="220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  <c r="J115" s="552" t="n"/>
      <c r="K115" s="552" t="n"/>
      <c r="L115" s="552" t="n"/>
      <c r="M115" s="552" t="n"/>
    </row>
    <row r="116" ht="21" customHeight="1" s="468">
      <c r="A116" s="685" t="n"/>
      <c r="B116" s="218" t="n"/>
      <c r="C116" s="219" t="n"/>
      <c r="D116" s="220" t="n"/>
      <c r="E116" s="221" t="inlineStr">
        <is>
          <t>CX</t>
        </is>
      </c>
      <c r="F116" s="68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20">
        <f>IFERROR(ROUNDUP(D116/F116,0),"")</f>
        <v/>
      </c>
      <c r="H116" s="224" t="n"/>
      <c r="I116" s="220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552" t="n"/>
      <c r="K116" s="552" t="n"/>
      <c r="L116" s="552" t="n"/>
      <c r="M116" s="552" t="n"/>
    </row>
    <row r="117" ht="21" customHeight="1" s="468">
      <c r="A117" s="685" t="n"/>
      <c r="B117" s="218" t="n"/>
      <c r="C117" s="219" t="n"/>
      <c r="D117" s="220" t="n"/>
      <c r="E117" s="221" t="inlineStr">
        <is>
          <t>CX</t>
        </is>
      </c>
      <c r="F117" s="686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20">
        <f>IFERROR(ROUNDUP(D117/F117,0),"")</f>
        <v/>
      </c>
      <c r="H117" s="224" t="n"/>
      <c r="I117" s="220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52" t="n"/>
      <c r="K117" s="552" t="n"/>
      <c r="L117" s="552" t="n"/>
      <c r="M117" s="552" t="n"/>
    </row>
    <row r="118" ht="21" customHeight="1" s="468">
      <c r="A118" s="685" t="n"/>
      <c r="B118" s="218" t="n"/>
      <c r="C118" s="219" t="n"/>
      <c r="D118" s="220" t="n"/>
      <c r="E118" s="221" t="inlineStr">
        <is>
          <t>CX</t>
        </is>
      </c>
      <c r="F118" s="686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20">
        <f>IFERROR(ROUNDUP(D118/F118,0),"")</f>
        <v/>
      </c>
      <c r="H118" s="224" t="n"/>
      <c r="I118" s="220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552" t="n"/>
      <c r="K118" s="552" t="n"/>
      <c r="L118" s="552" t="n"/>
      <c r="M118" s="552" t="n"/>
    </row>
    <row r="119" ht="15" customHeight="1" s="468">
      <c r="A119" s="658" t="n"/>
      <c r="B119" s="640" t="inlineStr">
        <is>
          <t>TOTAL</t>
        </is>
      </c>
      <c r="C119" s="667" t="n"/>
      <c r="D119" s="642">
        <f>SUM(D114:D118)</f>
        <v/>
      </c>
      <c r="E119" s="668" t="n"/>
      <c r="F119" s="644" t="n"/>
      <c r="G119" s="642">
        <f>SUM(G114:G118)</f>
        <v/>
      </c>
      <c r="H119" s="642">
        <f>SUM(H114:H118)</f>
        <v/>
      </c>
      <c r="I119" s="642">
        <f>SUM(I114:I118)</f>
        <v/>
      </c>
      <c r="J119" s="644">
        <f>D119</f>
        <v/>
      </c>
      <c r="K119" s="644">
        <f>G119</f>
        <v/>
      </c>
      <c r="L119" s="644">
        <f>H119</f>
        <v/>
      </c>
      <c r="M119" s="644">
        <f>I119</f>
        <v/>
      </c>
    </row>
    <row r="120" ht="6" customHeight="1" s="468">
      <c r="A120" s="638" t="n"/>
      <c r="C120" s="71" t="n"/>
      <c r="D120" s="552" t="n"/>
      <c r="F120" s="552" t="n"/>
      <c r="G120" s="552" t="n"/>
      <c r="H120" s="552" t="n"/>
      <c r="I120" s="552" t="n"/>
      <c r="J120" s="552" t="n"/>
      <c r="K120" s="552" t="n"/>
      <c r="L120" s="552" t="n"/>
      <c r="M120" s="552" t="n"/>
    </row>
    <row r="121" ht="15" customHeight="1" s="468">
      <c r="A121" s="646" t="n">
        <v>46158</v>
      </c>
      <c r="B121" s="213" t="inlineStr">
        <is>
          <t>PRODUTO</t>
        </is>
      </c>
      <c r="C121" s="214" t="inlineStr">
        <is>
          <t>EMBALAGEM</t>
        </is>
      </c>
      <c r="D121" s="244" t="inlineStr">
        <is>
          <t>CAIXAS</t>
        </is>
      </c>
      <c r="E121" s="215" t="inlineStr">
        <is>
          <t>UN</t>
        </is>
      </c>
      <c r="F121" s="687" t="inlineStr">
        <is>
          <t>CX/PALLET</t>
        </is>
      </c>
      <c r="G121" s="244" t="inlineStr">
        <is>
          <t>PALLETS (PBR)</t>
        </is>
      </c>
      <c r="H121" s="244" t="inlineStr">
        <is>
          <t>REAL (CX)</t>
        </is>
      </c>
      <c r="I121" s="244" t="inlineStr">
        <is>
          <t>TOTAL LATAS</t>
        </is>
      </c>
      <c r="J121" s="552" t="n"/>
      <c r="K121" s="552" t="n"/>
      <c r="L121" s="552" t="n"/>
      <c r="M121" s="552" t="n"/>
    </row>
    <row r="122" ht="21" customHeight="1" s="468">
      <c r="A122" s="685" t="n"/>
      <c r="B122" s="218" t="n"/>
      <c r="C122" s="219" t="n"/>
      <c r="D122" s="220" t="n"/>
      <c r="E122" s="221" t="inlineStr">
        <is>
          <t>CX</t>
        </is>
      </c>
      <c r="F122" s="686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220">
        <f>IFERROR(ROUNDUP(D122/F122,0),"")</f>
        <v/>
      </c>
      <c r="H122" s="224" t="n"/>
      <c r="I122" s="220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  <c r="J122" s="552" t="n"/>
      <c r="K122" s="552" t="n"/>
      <c r="L122" s="552" t="n"/>
      <c r="M122" s="552" t="n"/>
    </row>
    <row r="123" ht="21" customHeight="1" s="468">
      <c r="A123" s="685" t="n"/>
      <c r="B123" s="218" t="n"/>
      <c r="C123" s="219" t="n"/>
      <c r="D123" s="220" t="n"/>
      <c r="E123" s="221" t="inlineStr">
        <is>
          <t>CX</t>
        </is>
      </c>
      <c r="F123" s="686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220">
        <f>IFERROR(ROUNDUP(D123/F123,0),"")</f>
        <v/>
      </c>
      <c r="H123" s="224" t="n"/>
      <c r="I123" s="220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  <c r="J123" s="552" t="n"/>
      <c r="K123" s="552" t="n"/>
      <c r="L123" s="552" t="n"/>
      <c r="M123" s="552" t="n"/>
    </row>
    <row r="124" ht="21" customHeight="1" s="468">
      <c r="A124" s="685" t="n"/>
      <c r="B124" s="218" t="n"/>
      <c r="C124" s="219" t="n"/>
      <c r="D124" s="220" t="n"/>
      <c r="E124" s="221" t="inlineStr">
        <is>
          <t>CX</t>
        </is>
      </c>
      <c r="F124" s="68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20">
        <f>IFERROR(ROUNDUP(D124/F124,0),"")</f>
        <v/>
      </c>
      <c r="H124" s="224" t="n"/>
      <c r="I124" s="22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552" t="n"/>
      <c r="K124" s="552" t="n"/>
      <c r="L124" s="552" t="n"/>
      <c r="M124" s="552" t="n"/>
    </row>
    <row r="125" ht="21" customHeight="1" s="468">
      <c r="A125" s="685" t="n"/>
      <c r="B125" s="218" t="n"/>
      <c r="C125" s="219" t="n"/>
      <c r="D125" s="220" t="n"/>
      <c r="E125" s="221" t="inlineStr">
        <is>
          <t>CX</t>
        </is>
      </c>
      <c r="F125" s="686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20">
        <f>IFERROR(ROUNDUP(D125/F125,0),"")</f>
        <v/>
      </c>
      <c r="H125" s="224" t="n"/>
      <c r="I125" s="220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52" t="n"/>
      <c r="K125" s="552" t="n"/>
      <c r="L125" s="552" t="n"/>
      <c r="M125" s="552" t="n"/>
    </row>
    <row r="126" ht="21" customHeight="1" s="468">
      <c r="A126" s="685" t="n"/>
      <c r="B126" s="218" t="n"/>
      <c r="C126" s="219" t="n"/>
      <c r="D126" s="220" t="n"/>
      <c r="E126" s="221" t="inlineStr">
        <is>
          <t>CX</t>
        </is>
      </c>
      <c r="F126" s="68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20">
        <f>IFERROR(ROUNDUP(D126/F126,0),"")</f>
        <v/>
      </c>
      <c r="H126" s="224" t="n"/>
      <c r="I126" s="220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552" t="n"/>
      <c r="K126" s="552" t="n"/>
      <c r="L126" s="552" t="n"/>
      <c r="M126" s="552" t="n"/>
    </row>
    <row r="127" ht="15" customHeight="1" s="468">
      <c r="A127" s="658" t="n"/>
      <c r="B127" s="640" t="inlineStr">
        <is>
          <t>TOTAL</t>
        </is>
      </c>
      <c r="C127" s="667" t="n"/>
      <c r="D127" s="642">
        <f>SUM(D122:D126)</f>
        <v/>
      </c>
      <c r="E127" s="668" t="n"/>
      <c r="F127" s="644" t="n"/>
      <c r="G127" s="642">
        <f>SUM(G122:G126)</f>
        <v/>
      </c>
      <c r="H127" s="642">
        <f>SUM(H122:H126)</f>
        <v/>
      </c>
      <c r="I127" s="642">
        <f>SUM(I122:I126)</f>
        <v/>
      </c>
      <c r="J127" s="644">
        <f>D127</f>
        <v/>
      </c>
      <c r="K127" s="644">
        <f>G127</f>
        <v/>
      </c>
      <c r="L127" s="644">
        <f>H127</f>
        <v/>
      </c>
      <c r="M127" s="644">
        <f>I127</f>
        <v/>
      </c>
    </row>
    <row r="128" ht="6" customHeight="1" s="468">
      <c r="A128" s="638" t="n"/>
      <c r="C128" s="71" t="n"/>
      <c r="D128" s="552" t="n"/>
      <c r="F128" s="552" t="n"/>
      <c r="G128" s="552" t="n"/>
      <c r="H128" s="552" t="n"/>
      <c r="I128" s="552" t="n"/>
      <c r="J128" s="552" t="n"/>
      <c r="K128" s="552" t="n"/>
      <c r="L128" s="552" t="n"/>
      <c r="M128" s="552" t="n"/>
    </row>
    <row r="129" ht="15" customHeight="1" s="468">
      <c r="A129" s="646" t="n">
        <v>46160</v>
      </c>
      <c r="B129" s="213" t="inlineStr">
        <is>
          <t>PRODUTO</t>
        </is>
      </c>
      <c r="C129" s="214" t="inlineStr">
        <is>
          <t>EMBALAGEM</t>
        </is>
      </c>
      <c r="D129" s="244" t="inlineStr">
        <is>
          <t>CAIXAS</t>
        </is>
      </c>
      <c r="E129" s="215" t="inlineStr">
        <is>
          <t>UN</t>
        </is>
      </c>
      <c r="F129" s="687" t="inlineStr">
        <is>
          <t>CX/PALLET</t>
        </is>
      </c>
      <c r="G129" s="244" t="inlineStr">
        <is>
          <t>PALLETS (PBR)</t>
        </is>
      </c>
      <c r="H129" s="244" t="inlineStr">
        <is>
          <t>REAL (CX)</t>
        </is>
      </c>
      <c r="I129" s="244" t="inlineStr">
        <is>
          <t>TOTAL LATAS</t>
        </is>
      </c>
      <c r="J129" s="552" t="n"/>
      <c r="K129" s="552" t="n"/>
      <c r="L129" s="552" t="n"/>
      <c r="M129" s="552" t="n"/>
    </row>
    <row r="130" ht="21" customHeight="1" s="468">
      <c r="A130" s="685" t="n"/>
      <c r="B130" s="218" t="n"/>
      <c r="C130" s="219" t="n"/>
      <c r="D130" s="220" t="n"/>
      <c r="E130" s="221" t="inlineStr">
        <is>
          <t>CX</t>
        </is>
      </c>
      <c r="F130" s="686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220">
        <f>IFERROR(ROUNDUP(D130/F130,0),"")</f>
        <v/>
      </c>
      <c r="H130" s="224" t="n"/>
      <c r="I130" s="220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  <c r="J130" s="552" t="n"/>
      <c r="K130" s="552" t="n"/>
      <c r="L130" s="552" t="n"/>
      <c r="M130" s="552" t="n"/>
    </row>
    <row r="131" ht="21" customHeight="1" s="468">
      <c r="A131" s="685" t="n"/>
      <c r="B131" s="218" t="n"/>
      <c r="C131" s="219" t="n"/>
      <c r="D131" s="220" t="n"/>
      <c r="E131" s="221" t="inlineStr">
        <is>
          <t>CX</t>
        </is>
      </c>
      <c r="F131" s="686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220">
        <f>IFERROR(ROUNDUP(D131/F131,0),"")</f>
        <v/>
      </c>
      <c r="H131" s="224" t="n"/>
      <c r="I131" s="220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  <c r="J131" s="552" t="n"/>
      <c r="K131" s="552" t="n"/>
      <c r="L131" s="552" t="n"/>
      <c r="M131" s="552" t="n"/>
    </row>
    <row r="132" ht="21" customHeight="1" s="468">
      <c r="A132" s="685" t="n"/>
      <c r="B132" s="218" t="n"/>
      <c r="C132" s="219" t="n"/>
      <c r="D132" s="220" t="n"/>
      <c r="E132" s="221" t="inlineStr">
        <is>
          <t>CX</t>
        </is>
      </c>
      <c r="F132" s="686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20">
        <f>IFERROR(ROUNDUP(D132/F132,0),"")</f>
        <v/>
      </c>
      <c r="H132" s="224" t="n"/>
      <c r="I132" s="220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552" t="n"/>
      <c r="K132" s="552" t="n"/>
      <c r="L132" s="552" t="n"/>
      <c r="M132" s="552" t="n"/>
    </row>
    <row r="133" ht="21" customHeight="1" s="468">
      <c r="A133" s="685" t="n"/>
      <c r="B133" s="218" t="n"/>
      <c r="C133" s="219" t="n"/>
      <c r="D133" s="220" t="n"/>
      <c r="E133" s="221" t="inlineStr">
        <is>
          <t>CX</t>
        </is>
      </c>
      <c r="F133" s="686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20">
        <f>IFERROR(ROUNDUP(D133/F133,0),"")</f>
        <v/>
      </c>
      <c r="H133" s="224" t="n"/>
      <c r="I133" s="220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52" t="n"/>
      <c r="K133" s="552" t="n"/>
      <c r="L133" s="552" t="n"/>
      <c r="M133" s="552" t="n"/>
    </row>
    <row r="134" ht="21" customHeight="1" s="468">
      <c r="A134" s="685" t="n"/>
      <c r="B134" s="218" t="n"/>
      <c r="C134" s="219" t="n"/>
      <c r="D134" s="220" t="n"/>
      <c r="E134" s="221" t="inlineStr">
        <is>
          <t>CX</t>
        </is>
      </c>
      <c r="F134" s="686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20">
        <f>IFERROR(ROUNDUP(D134/F134,0),"")</f>
        <v/>
      </c>
      <c r="H134" s="224" t="n"/>
      <c r="I134" s="220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552" t="n"/>
      <c r="K134" s="552" t="n"/>
      <c r="L134" s="552" t="n"/>
      <c r="M134" s="552" t="n"/>
    </row>
    <row r="135" ht="15" customHeight="1" s="468">
      <c r="A135" s="658" t="n"/>
      <c r="B135" s="640" t="inlineStr">
        <is>
          <t>TOTAL</t>
        </is>
      </c>
      <c r="C135" s="667" t="n"/>
      <c r="D135" s="642">
        <f>SUM(D130:D134)</f>
        <v/>
      </c>
      <c r="E135" s="668" t="n"/>
      <c r="F135" s="644" t="n"/>
      <c r="G135" s="642">
        <f>SUM(G130:G134)</f>
        <v/>
      </c>
      <c r="H135" s="642">
        <f>SUM(H130:H134)</f>
        <v/>
      </c>
      <c r="I135" s="642">
        <f>SUM(I130:I134)</f>
        <v/>
      </c>
      <c r="J135" s="644">
        <f>D135</f>
        <v/>
      </c>
      <c r="K135" s="644">
        <f>G135</f>
        <v/>
      </c>
      <c r="L135" s="644">
        <f>H135</f>
        <v/>
      </c>
      <c r="M135" s="644">
        <f>I135</f>
        <v/>
      </c>
    </row>
    <row r="136" ht="6" customHeight="1" s="468">
      <c r="A136" s="638" t="n"/>
      <c r="C136" s="71" t="n"/>
      <c r="D136" s="552" t="n"/>
      <c r="F136" s="552" t="n"/>
      <c r="G136" s="552" t="n"/>
      <c r="H136" s="552" t="n"/>
      <c r="I136" s="552" t="n"/>
      <c r="J136" s="552" t="n"/>
      <c r="K136" s="552" t="n"/>
      <c r="L136" s="552" t="n"/>
      <c r="M136" s="552" t="n"/>
    </row>
    <row r="137" ht="15" customHeight="1" s="468">
      <c r="A137" s="646" t="n">
        <v>46161</v>
      </c>
      <c r="B137" s="213" t="inlineStr">
        <is>
          <t>PRODUTO</t>
        </is>
      </c>
      <c r="C137" s="214" t="inlineStr">
        <is>
          <t>EMBALAGEM</t>
        </is>
      </c>
      <c r="D137" s="244" t="inlineStr">
        <is>
          <t>CAIXAS</t>
        </is>
      </c>
      <c r="E137" s="215" t="inlineStr">
        <is>
          <t>UN</t>
        </is>
      </c>
      <c r="F137" s="687" t="inlineStr">
        <is>
          <t>CX/PALLET</t>
        </is>
      </c>
      <c r="G137" s="244" t="inlineStr">
        <is>
          <t>PALLETS (PBR)</t>
        </is>
      </c>
      <c r="H137" s="244" t="inlineStr">
        <is>
          <t>REAL (CX)</t>
        </is>
      </c>
      <c r="I137" s="244" t="inlineStr">
        <is>
          <t>TOTAL LATAS</t>
        </is>
      </c>
      <c r="J137" s="552" t="n"/>
      <c r="K137" s="552" t="n"/>
      <c r="L137" s="552" t="n"/>
      <c r="M137" s="552" t="n"/>
    </row>
    <row r="138" ht="21" customHeight="1" s="468">
      <c r="A138" s="685" t="n"/>
      <c r="B138" s="218" t="n"/>
      <c r="C138" s="219" t="n"/>
      <c r="D138" s="220" t="n"/>
      <c r="E138" s="221" t="inlineStr">
        <is>
          <t>CX</t>
        </is>
      </c>
      <c r="F138" s="686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220">
        <f>IFERROR(ROUNDUP(D138/F138,0),"")</f>
        <v/>
      </c>
      <c r="H138" s="224" t="n"/>
      <c r="I138" s="220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  <c r="J138" s="552" t="n"/>
      <c r="K138" s="552" t="n"/>
      <c r="L138" s="552" t="n"/>
      <c r="M138" s="552" t="n"/>
    </row>
    <row r="139" ht="21" customHeight="1" s="468">
      <c r="A139" s="685" t="n"/>
      <c r="B139" s="218" t="n"/>
      <c r="C139" s="219" t="n"/>
      <c r="D139" s="220" t="n"/>
      <c r="E139" s="221" t="inlineStr">
        <is>
          <t>CX</t>
        </is>
      </c>
      <c r="F139" s="686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220">
        <f>IFERROR(ROUNDUP(D139/F139,0),"")</f>
        <v/>
      </c>
      <c r="H139" s="224" t="n"/>
      <c r="I139" s="220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  <c r="J139" s="552" t="n"/>
      <c r="K139" s="552" t="n"/>
      <c r="L139" s="552" t="n"/>
      <c r="M139" s="552" t="n"/>
    </row>
    <row r="140" ht="21" customHeight="1" s="468">
      <c r="A140" s="685" t="n"/>
      <c r="B140" s="218" t="n"/>
      <c r="C140" s="219" t="n"/>
      <c r="D140" s="220" t="n"/>
      <c r="E140" s="221" t="inlineStr">
        <is>
          <t>CX</t>
        </is>
      </c>
      <c r="F140" s="686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20">
        <f>IFERROR(ROUNDUP(D140/F140,0),"")</f>
        <v/>
      </c>
      <c r="H140" s="224" t="n"/>
      <c r="I140" s="220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552" t="n"/>
      <c r="K140" s="552" t="n"/>
      <c r="L140" s="552" t="n"/>
      <c r="M140" s="552" t="n"/>
    </row>
    <row r="141" ht="21" customHeight="1" s="468">
      <c r="A141" s="685" t="n"/>
      <c r="B141" s="218" t="n"/>
      <c r="C141" s="219" t="n"/>
      <c r="D141" s="220" t="n"/>
      <c r="E141" s="221" t="inlineStr">
        <is>
          <t>CX</t>
        </is>
      </c>
      <c r="F141" s="686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20">
        <f>IFERROR(ROUNDUP(D141/F141,0),"")</f>
        <v/>
      </c>
      <c r="H141" s="224" t="n"/>
      <c r="I141" s="220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552" t="n"/>
      <c r="K141" s="552" t="n"/>
      <c r="L141" s="552" t="n"/>
      <c r="M141" s="552" t="n"/>
    </row>
    <row r="142" ht="21" customHeight="1" s="468">
      <c r="A142" s="685" t="n"/>
      <c r="B142" s="218" t="n"/>
      <c r="C142" s="219" t="n"/>
      <c r="D142" s="220" t="n"/>
      <c r="E142" s="221" t="inlineStr">
        <is>
          <t>CX</t>
        </is>
      </c>
      <c r="F142" s="686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20">
        <f>IFERROR(ROUNDUP(D142/F142,0),"")</f>
        <v/>
      </c>
      <c r="H142" s="224" t="n"/>
      <c r="I142" s="220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552" t="n"/>
      <c r="K142" s="552" t="n"/>
      <c r="L142" s="552" t="n"/>
      <c r="M142" s="552" t="n"/>
    </row>
    <row r="143" ht="15" customHeight="1" s="468">
      <c r="A143" s="658" t="n"/>
      <c r="B143" s="640" t="inlineStr">
        <is>
          <t>TOTAL</t>
        </is>
      </c>
      <c r="C143" s="667" t="n"/>
      <c r="D143" s="642">
        <f>SUM(D138:D142)</f>
        <v/>
      </c>
      <c r="E143" s="668" t="n"/>
      <c r="F143" s="644" t="n"/>
      <c r="G143" s="642">
        <f>SUM(G138:G142)</f>
        <v/>
      </c>
      <c r="H143" s="642">
        <f>SUM(H138:H142)</f>
        <v/>
      </c>
      <c r="I143" s="642">
        <f>SUM(I138:I142)</f>
        <v/>
      </c>
      <c r="J143" s="644">
        <f>D143</f>
        <v/>
      </c>
      <c r="K143" s="644">
        <f>G143</f>
        <v/>
      </c>
      <c r="L143" s="644">
        <f>H143</f>
        <v/>
      </c>
      <c r="M143" s="644">
        <f>I143</f>
        <v/>
      </c>
    </row>
    <row r="144" ht="6" customHeight="1" s="468">
      <c r="A144" s="638" t="n"/>
      <c r="C144" s="71" t="n"/>
      <c r="D144" s="552" t="n"/>
      <c r="F144" s="552" t="n"/>
      <c r="G144" s="552" t="n"/>
      <c r="H144" s="552" t="n"/>
      <c r="I144" s="552" t="n"/>
      <c r="J144" s="552" t="n"/>
      <c r="K144" s="552" t="n"/>
      <c r="L144" s="552" t="n"/>
      <c r="M144" s="552" t="n"/>
    </row>
    <row r="145" ht="15" customHeight="1" s="468">
      <c r="A145" s="646" t="n">
        <v>46162</v>
      </c>
      <c r="B145" s="213" t="inlineStr">
        <is>
          <t>PRODUTO</t>
        </is>
      </c>
      <c r="C145" s="214" t="inlineStr">
        <is>
          <t>EMBALAGEM</t>
        </is>
      </c>
      <c r="D145" s="244" t="inlineStr">
        <is>
          <t>CAIXAS</t>
        </is>
      </c>
      <c r="E145" s="215" t="inlineStr">
        <is>
          <t>UN</t>
        </is>
      </c>
      <c r="F145" s="687" t="inlineStr">
        <is>
          <t>CX/PALLET</t>
        </is>
      </c>
      <c r="G145" s="244" t="inlineStr">
        <is>
          <t>PALLETS (PBR)</t>
        </is>
      </c>
      <c r="H145" s="244" t="inlineStr">
        <is>
          <t>REAL (CX)</t>
        </is>
      </c>
      <c r="I145" s="244" t="inlineStr">
        <is>
          <t>TOTAL LATAS</t>
        </is>
      </c>
      <c r="J145" s="552" t="n"/>
      <c r="K145" s="552" t="n"/>
      <c r="L145" s="552" t="n"/>
      <c r="M145" s="552" t="n"/>
    </row>
    <row r="146" ht="21" customHeight="1" s="468">
      <c r="A146" s="685" t="n"/>
      <c r="B146" s="218" t="n"/>
      <c r="C146" s="219" t="n"/>
      <c r="D146" s="220" t="n"/>
      <c r="E146" s="221" t="inlineStr">
        <is>
          <t>CX</t>
        </is>
      </c>
      <c r="F146" s="686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220">
        <f>IFERROR(ROUNDUP(D146/F146,0),"")</f>
        <v/>
      </c>
      <c r="H146" s="224" t="n"/>
      <c r="I146" s="220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  <c r="J146" s="552" t="n"/>
      <c r="K146" s="552" t="n"/>
      <c r="L146" s="552" t="n"/>
      <c r="M146" s="552" t="n"/>
    </row>
    <row r="147" ht="21" customHeight="1" s="468">
      <c r="A147" s="685" t="n"/>
      <c r="B147" s="218" t="n"/>
      <c r="C147" s="219" t="n"/>
      <c r="D147" s="220" t="n"/>
      <c r="E147" s="221" t="inlineStr">
        <is>
          <t>CX</t>
        </is>
      </c>
      <c r="F147" s="686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220">
        <f>IFERROR(ROUNDUP(D147/F147,0),"")</f>
        <v/>
      </c>
      <c r="H147" s="224" t="n"/>
      <c r="I147" s="220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  <c r="J147" s="552" t="n"/>
      <c r="K147" s="552" t="n"/>
      <c r="L147" s="552" t="n"/>
      <c r="M147" s="552" t="n"/>
    </row>
    <row r="148" ht="21" customHeight="1" s="468">
      <c r="A148" s="685" t="n"/>
      <c r="B148" s="218" t="n"/>
      <c r="C148" s="219" t="n"/>
      <c r="D148" s="220" t="n"/>
      <c r="E148" s="221" t="inlineStr">
        <is>
          <t>CX</t>
        </is>
      </c>
      <c r="F148" s="686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20">
        <f>IFERROR(ROUNDUP(D148/F148,0),"")</f>
        <v/>
      </c>
      <c r="H148" s="224" t="n"/>
      <c r="I148" s="220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552" t="n"/>
      <c r="K148" s="552" t="n"/>
      <c r="L148" s="552" t="n"/>
      <c r="M148" s="552" t="n"/>
    </row>
    <row r="149" ht="21" customHeight="1" s="468">
      <c r="A149" s="685" t="n"/>
      <c r="B149" s="218" t="n"/>
      <c r="C149" s="219" t="n"/>
      <c r="D149" s="220" t="n"/>
      <c r="E149" s="221" t="inlineStr">
        <is>
          <t>CX</t>
        </is>
      </c>
      <c r="F149" s="686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20">
        <f>IFERROR(ROUNDUP(D149/F149,0),"")</f>
        <v/>
      </c>
      <c r="H149" s="224" t="n"/>
      <c r="I149" s="220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552" t="n"/>
      <c r="K149" s="552" t="n"/>
      <c r="L149" s="552" t="n"/>
      <c r="M149" s="552" t="n"/>
    </row>
    <row r="150" ht="21" customHeight="1" s="468">
      <c r="A150" s="685" t="n"/>
      <c r="B150" s="218" t="n"/>
      <c r="C150" s="219" t="n"/>
      <c r="D150" s="220" t="n"/>
      <c r="E150" s="221" t="inlineStr">
        <is>
          <t>CX</t>
        </is>
      </c>
      <c r="F150" s="686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20">
        <f>IFERROR(ROUNDUP(D150/F150,0),"")</f>
        <v/>
      </c>
      <c r="H150" s="224" t="n"/>
      <c r="I150" s="220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552" t="n"/>
      <c r="K150" s="552" t="n"/>
      <c r="L150" s="552" t="n"/>
      <c r="M150" s="552" t="n"/>
    </row>
    <row r="151" ht="15" customHeight="1" s="468">
      <c r="A151" s="658" t="n"/>
      <c r="B151" s="640" t="inlineStr">
        <is>
          <t>TOTAL</t>
        </is>
      </c>
      <c r="C151" s="667" t="n"/>
      <c r="D151" s="642">
        <f>SUM(D146:D150)</f>
        <v/>
      </c>
      <c r="E151" s="668" t="n"/>
      <c r="F151" s="644" t="n"/>
      <c r="G151" s="642">
        <f>SUM(G146:G150)</f>
        <v/>
      </c>
      <c r="H151" s="642">
        <f>SUM(H146:H150)</f>
        <v/>
      </c>
      <c r="I151" s="642">
        <f>SUM(I146:I150)</f>
        <v/>
      </c>
      <c r="J151" s="644">
        <f>D151</f>
        <v/>
      </c>
      <c r="K151" s="644">
        <f>G151</f>
        <v/>
      </c>
      <c r="L151" s="644">
        <f>H151</f>
        <v/>
      </c>
      <c r="M151" s="644">
        <f>I151</f>
        <v/>
      </c>
    </row>
    <row r="152" ht="6" customHeight="1" s="468">
      <c r="A152" s="638" t="n"/>
      <c r="C152" s="71" t="n"/>
      <c r="D152" s="552" t="n"/>
      <c r="F152" s="552" t="n"/>
      <c r="G152" s="552" t="n"/>
      <c r="H152" s="552" t="n"/>
      <c r="I152" s="552" t="n"/>
      <c r="J152" s="552" t="n"/>
      <c r="K152" s="552" t="n"/>
      <c r="L152" s="552" t="n"/>
      <c r="M152" s="552" t="n"/>
    </row>
    <row r="153" ht="15" customHeight="1" s="468">
      <c r="A153" s="646" t="n">
        <v>46163</v>
      </c>
      <c r="B153" s="213" t="inlineStr">
        <is>
          <t>PRODUTO</t>
        </is>
      </c>
      <c r="C153" s="214" t="inlineStr">
        <is>
          <t>EMBALAGEM</t>
        </is>
      </c>
      <c r="D153" s="244" t="inlineStr">
        <is>
          <t>CAIXAS</t>
        </is>
      </c>
      <c r="E153" s="215" t="inlineStr">
        <is>
          <t>UN</t>
        </is>
      </c>
      <c r="F153" s="687" t="inlineStr">
        <is>
          <t>CX/PALLET</t>
        </is>
      </c>
      <c r="G153" s="244" t="inlineStr">
        <is>
          <t>PALLETS (PBR)</t>
        </is>
      </c>
      <c r="H153" s="244" t="inlineStr">
        <is>
          <t>REAL (CX)</t>
        </is>
      </c>
      <c r="I153" s="244" t="inlineStr">
        <is>
          <t>TOTAL LATAS</t>
        </is>
      </c>
      <c r="J153" s="552" t="n"/>
      <c r="K153" s="552" t="n"/>
      <c r="L153" s="552" t="n"/>
      <c r="M153" s="552" t="n"/>
    </row>
    <row r="154" ht="21" customHeight="1" s="468">
      <c r="A154" s="685" t="n"/>
      <c r="B154" s="218" t="n"/>
      <c r="C154" s="219" t="n"/>
      <c r="D154" s="220" t="n"/>
      <c r="E154" s="221" t="inlineStr">
        <is>
          <t>CX</t>
        </is>
      </c>
      <c r="F154" s="686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220">
        <f>IFERROR(ROUNDUP(D154/F154,0),"")</f>
        <v/>
      </c>
      <c r="H154" s="224" t="n"/>
      <c r="I154" s="220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552" t="n"/>
      <c r="K154" s="552" t="n"/>
      <c r="L154" s="552" t="n"/>
      <c r="M154" s="552" t="n"/>
    </row>
    <row r="155" ht="21" customHeight="1" s="468">
      <c r="A155" s="685" t="n"/>
      <c r="B155" s="218" t="n"/>
      <c r="C155" s="219" t="n"/>
      <c r="D155" s="220" t="n"/>
      <c r="E155" s="221" t="inlineStr">
        <is>
          <t>CX</t>
        </is>
      </c>
      <c r="F155" s="686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220">
        <f>IFERROR(ROUNDUP(D155/F155,0),"")</f>
        <v/>
      </c>
      <c r="H155" s="224" t="n"/>
      <c r="I155" s="220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  <c r="J155" s="552" t="n"/>
      <c r="K155" s="552" t="n"/>
      <c r="L155" s="552" t="n"/>
      <c r="M155" s="552" t="n"/>
    </row>
    <row r="156" ht="21" customHeight="1" s="468">
      <c r="A156" s="685" t="n"/>
      <c r="B156" s="218" t="n"/>
      <c r="C156" s="219" t="n"/>
      <c r="D156" s="220" t="n"/>
      <c r="E156" s="221" t="inlineStr">
        <is>
          <t>CX</t>
        </is>
      </c>
      <c r="F156" s="686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20">
        <f>IFERROR(ROUNDUP(D156/F156,0),"")</f>
        <v/>
      </c>
      <c r="H156" s="224" t="n"/>
      <c r="I156" s="220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552" t="n"/>
      <c r="K156" s="552" t="n"/>
      <c r="L156" s="552" t="n"/>
      <c r="M156" s="552" t="n"/>
    </row>
    <row r="157" ht="21" customHeight="1" s="468">
      <c r="A157" s="685" t="n"/>
      <c r="B157" s="218" t="n"/>
      <c r="C157" s="219" t="n"/>
      <c r="D157" s="220" t="n"/>
      <c r="E157" s="221" t="inlineStr">
        <is>
          <t>CX</t>
        </is>
      </c>
      <c r="F157" s="68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20">
        <f>IFERROR(ROUNDUP(D157/F157,0),"")</f>
        <v/>
      </c>
      <c r="H157" s="224" t="n"/>
      <c r="I157" s="220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 t="n"/>
      <c r="K157" s="552" t="n"/>
      <c r="L157" s="552" t="n"/>
      <c r="M157" s="552" t="n"/>
    </row>
    <row r="158" ht="21" customHeight="1" s="468">
      <c r="A158" s="685" t="n"/>
      <c r="B158" s="218" t="n"/>
      <c r="C158" s="219" t="n"/>
      <c r="D158" s="220" t="n"/>
      <c r="E158" s="221" t="inlineStr">
        <is>
          <t>CX</t>
        </is>
      </c>
      <c r="F158" s="68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20">
        <f>IFERROR(ROUNDUP(D158/F158,0),"")</f>
        <v/>
      </c>
      <c r="H158" s="224" t="n"/>
      <c r="I158" s="220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552" t="n"/>
      <c r="K158" s="552" t="n"/>
      <c r="L158" s="552" t="n"/>
      <c r="M158" s="552" t="n"/>
    </row>
    <row r="159" ht="15" customHeight="1" s="468">
      <c r="A159" s="658" t="n"/>
      <c r="B159" s="640" t="inlineStr">
        <is>
          <t>TOTAL</t>
        </is>
      </c>
      <c r="C159" s="667" t="n"/>
      <c r="D159" s="642">
        <f>SUM(D154:D158)</f>
        <v/>
      </c>
      <c r="E159" s="668" t="n"/>
      <c r="F159" s="644" t="n"/>
      <c r="G159" s="642">
        <f>SUM(G154:G158)</f>
        <v/>
      </c>
      <c r="H159" s="642">
        <f>SUM(H154:H158)</f>
        <v/>
      </c>
      <c r="I159" s="642">
        <f>SUM(I154:I158)</f>
        <v/>
      </c>
      <c r="J159" s="644">
        <f>D159</f>
        <v/>
      </c>
      <c r="K159" s="644">
        <f>G159</f>
        <v/>
      </c>
      <c r="L159" s="644">
        <f>H159</f>
        <v/>
      </c>
      <c r="M159" s="644">
        <f>I159</f>
        <v/>
      </c>
    </row>
    <row r="160" ht="6" customHeight="1" s="468">
      <c r="A160" s="638" t="n"/>
      <c r="C160" s="71" t="n"/>
      <c r="D160" s="552" t="n"/>
      <c r="F160" s="552" t="n"/>
      <c r="G160" s="552" t="n"/>
      <c r="H160" s="552" t="n"/>
      <c r="I160" s="552" t="n"/>
      <c r="J160" s="552" t="n"/>
      <c r="K160" s="552" t="n"/>
      <c r="L160" s="552" t="n"/>
      <c r="M160" s="552" t="n"/>
    </row>
    <row r="161" ht="15" customHeight="1" s="468">
      <c r="A161" s="646" t="n">
        <v>46164</v>
      </c>
      <c r="B161" s="213" t="inlineStr">
        <is>
          <t>PRODUTO</t>
        </is>
      </c>
      <c r="C161" s="214" t="inlineStr">
        <is>
          <t>EMBALAGEM</t>
        </is>
      </c>
      <c r="D161" s="244" t="inlineStr">
        <is>
          <t>CAIXAS</t>
        </is>
      </c>
      <c r="E161" s="215" t="inlineStr">
        <is>
          <t>UN</t>
        </is>
      </c>
      <c r="F161" s="687" t="inlineStr">
        <is>
          <t>CX/PALLET</t>
        </is>
      </c>
      <c r="G161" s="244" t="inlineStr">
        <is>
          <t>PALLETS (PBR)</t>
        </is>
      </c>
      <c r="H161" s="244" t="inlineStr">
        <is>
          <t>REAL (CX)</t>
        </is>
      </c>
      <c r="I161" s="244" t="inlineStr">
        <is>
          <t>TOTAL LATAS</t>
        </is>
      </c>
      <c r="J161" s="552" t="n"/>
      <c r="K161" s="552" t="n"/>
      <c r="L161" s="552" t="n"/>
      <c r="M161" s="552" t="n"/>
    </row>
    <row r="162" ht="21" customHeight="1" s="468">
      <c r="A162" s="685" t="n"/>
      <c r="B162" s="218" t="n"/>
      <c r="C162" s="219" t="n"/>
      <c r="D162" s="220" t="n"/>
      <c r="E162" s="221" t="inlineStr">
        <is>
          <t>CX</t>
        </is>
      </c>
      <c r="F162" s="686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220">
        <f>IFERROR(ROUNDUP(D162/F162,0),"")</f>
        <v/>
      </c>
      <c r="H162" s="224" t="n"/>
      <c r="I162" s="220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552" t="n"/>
      <c r="K162" s="552" t="n"/>
      <c r="L162" s="552" t="n"/>
      <c r="M162" s="552" t="n"/>
    </row>
    <row r="163" ht="21" customHeight="1" s="468">
      <c r="A163" s="685" t="n"/>
      <c r="B163" s="218" t="n"/>
      <c r="C163" s="219" t="n"/>
      <c r="D163" s="220" t="n"/>
      <c r="E163" s="221" t="inlineStr">
        <is>
          <t>CX</t>
        </is>
      </c>
      <c r="F163" s="686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220">
        <f>IFERROR(ROUNDUP(D163/F163,0),"")</f>
        <v/>
      </c>
      <c r="H163" s="224" t="n"/>
      <c r="I163" s="220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  <c r="J163" s="552" t="n"/>
      <c r="K163" s="552" t="n"/>
      <c r="L163" s="552" t="n"/>
      <c r="M163" s="552" t="n"/>
    </row>
    <row r="164" ht="21" customHeight="1" s="468">
      <c r="A164" s="685" t="n"/>
      <c r="B164" s="218" t="n"/>
      <c r="C164" s="219" t="n"/>
      <c r="D164" s="220" t="n"/>
      <c r="E164" s="221" t="inlineStr">
        <is>
          <t>CX</t>
        </is>
      </c>
      <c r="F164" s="686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20">
        <f>IFERROR(ROUNDUP(D164/F164,0),"")</f>
        <v/>
      </c>
      <c r="H164" s="224" t="n"/>
      <c r="I164" s="220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552" t="n"/>
      <c r="K164" s="552" t="n"/>
      <c r="L164" s="552" t="n"/>
      <c r="M164" s="552" t="n"/>
    </row>
    <row r="165" ht="21" customHeight="1" s="468">
      <c r="A165" s="685" t="n"/>
      <c r="B165" s="218" t="n"/>
      <c r="C165" s="219" t="n"/>
      <c r="D165" s="220" t="n"/>
      <c r="E165" s="221" t="inlineStr">
        <is>
          <t>CX</t>
        </is>
      </c>
      <c r="F165" s="686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20">
        <f>IFERROR(ROUNDUP(D165/F165,0),"")</f>
        <v/>
      </c>
      <c r="H165" s="224" t="n"/>
      <c r="I165" s="220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552" t="n"/>
      <c r="K165" s="552" t="n"/>
      <c r="L165" s="552" t="n"/>
      <c r="M165" s="552" t="n"/>
    </row>
    <row r="166" ht="21" customHeight="1" s="468">
      <c r="A166" s="685" t="n"/>
      <c r="B166" s="218" t="n"/>
      <c r="C166" s="219" t="n"/>
      <c r="D166" s="220" t="n"/>
      <c r="E166" s="221" t="inlineStr">
        <is>
          <t>CX</t>
        </is>
      </c>
      <c r="F166" s="686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20">
        <f>IFERROR(ROUNDUP(D166/F166,0),"")</f>
        <v/>
      </c>
      <c r="H166" s="224" t="n"/>
      <c r="I166" s="220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552" t="n"/>
      <c r="K166" s="552" t="n"/>
      <c r="L166" s="552" t="n"/>
      <c r="M166" s="552" t="n"/>
    </row>
    <row r="167" ht="15" customHeight="1" s="468">
      <c r="A167" s="658" t="n"/>
      <c r="B167" s="640" t="inlineStr">
        <is>
          <t>TOTAL</t>
        </is>
      </c>
      <c r="C167" s="667" t="n"/>
      <c r="D167" s="642">
        <f>SUM(D162:D166)</f>
        <v/>
      </c>
      <c r="E167" s="668" t="n"/>
      <c r="F167" s="644" t="n"/>
      <c r="G167" s="642">
        <f>SUM(G162:G166)</f>
        <v/>
      </c>
      <c r="H167" s="642">
        <f>SUM(H162:H166)</f>
        <v/>
      </c>
      <c r="I167" s="642">
        <f>SUM(I162:I166)</f>
        <v/>
      </c>
      <c r="J167" s="644">
        <f>D167</f>
        <v/>
      </c>
      <c r="K167" s="644">
        <f>G167</f>
        <v/>
      </c>
      <c r="L167" s="644">
        <f>H167</f>
        <v/>
      </c>
      <c r="M167" s="644">
        <f>I167</f>
        <v/>
      </c>
    </row>
    <row r="168" ht="6" customHeight="1" s="468">
      <c r="A168" s="638" t="n"/>
      <c r="C168" s="71" t="n"/>
      <c r="D168" s="552" t="n"/>
      <c r="F168" s="552" t="n"/>
      <c r="G168" s="552" t="n"/>
      <c r="H168" s="552" t="n"/>
      <c r="I168" s="552" t="n"/>
      <c r="J168" s="552" t="n"/>
      <c r="K168" s="552" t="n"/>
      <c r="L168" s="552" t="n"/>
      <c r="M168" s="552" t="n"/>
    </row>
    <row r="169" ht="15" customHeight="1" s="468">
      <c r="A169" s="646" t="n">
        <v>46165</v>
      </c>
      <c r="B169" s="213" t="inlineStr">
        <is>
          <t>PRODUTO</t>
        </is>
      </c>
      <c r="C169" s="214" t="inlineStr">
        <is>
          <t>EMBALAGEM</t>
        </is>
      </c>
      <c r="D169" s="244" t="inlineStr">
        <is>
          <t>CAIXAS</t>
        </is>
      </c>
      <c r="E169" s="215" t="inlineStr">
        <is>
          <t>UN</t>
        </is>
      </c>
      <c r="F169" s="687" t="inlineStr">
        <is>
          <t>CX/PALLET</t>
        </is>
      </c>
      <c r="G169" s="244" t="inlineStr">
        <is>
          <t>PALLETS (PBR)</t>
        </is>
      </c>
      <c r="H169" s="244" t="inlineStr">
        <is>
          <t>REAL (CX)</t>
        </is>
      </c>
      <c r="I169" s="244" t="inlineStr">
        <is>
          <t>TOTAL LATAS</t>
        </is>
      </c>
      <c r="J169" s="552" t="n"/>
      <c r="K169" s="552" t="n"/>
      <c r="L169" s="552" t="n"/>
      <c r="M169" s="552" t="n"/>
    </row>
    <row r="170" ht="21" customHeight="1" s="468">
      <c r="A170" s="685" t="n"/>
      <c r="B170" s="218" t="inlineStr">
        <is>
          <t>ADIMIX LISSE</t>
        </is>
      </c>
      <c r="C170" s="219" t="n">
        <v>600</v>
      </c>
      <c r="D170" s="220" t="n">
        <v>665</v>
      </c>
      <c r="E170" s="221" t="inlineStr">
        <is>
          <t>CX</t>
        </is>
      </c>
      <c r="F170" s="686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220">
        <f>IFERROR(ROUNDUP(D170/F170,0),"")</f>
        <v/>
      </c>
      <c r="H170" s="224" t="n"/>
      <c r="I170" s="220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J170" s="552" t="n"/>
      <c r="K170" s="552" t="n"/>
      <c r="L170" s="552" t="n"/>
      <c r="M170" s="552" t="n"/>
    </row>
    <row r="171" ht="21" customHeight="1" s="468">
      <c r="A171" s="685" t="n"/>
      <c r="B171" s="218" t="n"/>
      <c r="C171" s="219" t="n"/>
      <c r="D171" s="220" t="n"/>
      <c r="E171" s="221" t="inlineStr">
        <is>
          <t>CX</t>
        </is>
      </c>
      <c r="F171" s="686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220">
        <f>IFERROR(ROUNDUP(D171/F171,0),"")</f>
        <v/>
      </c>
      <c r="H171" s="224" t="n"/>
      <c r="I171" s="220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  <c r="J171" s="552" t="n"/>
      <c r="K171" s="552" t="n"/>
      <c r="L171" s="552" t="n"/>
      <c r="M171" s="552" t="n"/>
    </row>
    <row r="172" ht="21" customHeight="1" s="468">
      <c r="A172" s="685" t="n"/>
      <c r="B172" s="218" t="n"/>
      <c r="C172" s="219" t="n"/>
      <c r="D172" s="220" t="n"/>
      <c r="E172" s="221" t="inlineStr">
        <is>
          <t>CX</t>
        </is>
      </c>
      <c r="F172" s="686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20">
        <f>IFERROR(ROUNDUP(D172/F172,0),"")</f>
        <v/>
      </c>
      <c r="H172" s="224" t="n"/>
      <c r="I172" s="220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552" t="n"/>
      <c r="K172" s="552" t="n"/>
      <c r="L172" s="552" t="n"/>
      <c r="M172" s="552" t="n"/>
    </row>
    <row r="173" ht="21" customHeight="1" s="468">
      <c r="A173" s="685" t="n"/>
      <c r="B173" s="218" t="n"/>
      <c r="C173" s="219" t="n"/>
      <c r="D173" s="220" t="n"/>
      <c r="E173" s="221" t="inlineStr">
        <is>
          <t>CX</t>
        </is>
      </c>
      <c r="F173" s="686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20">
        <f>IFERROR(ROUNDUP(D173/F173,0),"")</f>
        <v/>
      </c>
      <c r="H173" s="224" t="n"/>
      <c r="I173" s="220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552" t="n"/>
      <c r="K173" s="552" t="n"/>
      <c r="L173" s="552" t="n"/>
      <c r="M173" s="552" t="n"/>
    </row>
    <row r="174" ht="21" customHeight="1" s="468">
      <c r="A174" s="685" t="n"/>
      <c r="B174" s="218" t="n"/>
      <c r="C174" s="219" t="n"/>
      <c r="D174" s="220" t="n"/>
      <c r="E174" s="221" t="inlineStr">
        <is>
          <t>CX</t>
        </is>
      </c>
      <c r="F174" s="686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20">
        <f>IFERROR(ROUNDUP(D174/F174,0),"")</f>
        <v/>
      </c>
      <c r="H174" s="224" t="n"/>
      <c r="I174" s="220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552" t="n"/>
      <c r="K174" s="552" t="n"/>
      <c r="L174" s="552" t="n"/>
      <c r="M174" s="552" t="n"/>
    </row>
    <row r="175" ht="15" customHeight="1" s="468">
      <c r="A175" s="658" t="n"/>
      <c r="B175" s="640" t="inlineStr">
        <is>
          <t>TOTAL</t>
        </is>
      </c>
      <c r="C175" s="667" t="n"/>
      <c r="D175" s="642">
        <f>SUM(D170:D174)</f>
        <v/>
      </c>
      <c r="E175" s="668" t="n"/>
      <c r="F175" s="644" t="n"/>
      <c r="G175" s="642">
        <f>SUM(G170:G174)</f>
        <v/>
      </c>
      <c r="H175" s="642">
        <f>SUM(H170:H174)</f>
        <v/>
      </c>
      <c r="I175" s="642">
        <f>SUM(I170:I174)</f>
        <v/>
      </c>
      <c r="J175" s="644">
        <f>D175</f>
        <v/>
      </c>
      <c r="K175" s="644">
        <f>G175</f>
        <v/>
      </c>
      <c r="L175" s="644">
        <f>H175</f>
        <v/>
      </c>
      <c r="M175" s="644">
        <f>I175</f>
        <v/>
      </c>
    </row>
    <row r="176" ht="6" customHeight="1" s="468">
      <c r="A176" s="638" t="n"/>
      <c r="C176" s="71" t="n"/>
      <c r="D176" s="552" t="n"/>
      <c r="F176" s="552" t="n"/>
      <c r="G176" s="552" t="n"/>
      <c r="H176" s="552" t="n"/>
      <c r="I176" s="552" t="n"/>
      <c r="J176" s="552" t="n"/>
      <c r="K176" s="552" t="n"/>
      <c r="L176" s="552" t="n"/>
      <c r="M176" s="552" t="n"/>
    </row>
    <row r="177" ht="15" customHeight="1" s="468">
      <c r="A177" s="646" t="n">
        <v>46167</v>
      </c>
      <c r="B177" s="213" t="inlineStr">
        <is>
          <t>PRODUTO</t>
        </is>
      </c>
      <c r="C177" s="214" t="inlineStr">
        <is>
          <t>EMBALAGEM</t>
        </is>
      </c>
      <c r="D177" s="244" t="inlineStr">
        <is>
          <t>CAIXAS</t>
        </is>
      </c>
      <c r="E177" s="215" t="inlineStr">
        <is>
          <t>UN</t>
        </is>
      </c>
      <c r="F177" s="687" t="inlineStr">
        <is>
          <t>CX/PALLET</t>
        </is>
      </c>
      <c r="G177" s="244" t="inlineStr">
        <is>
          <t>PALLETS (PBR)</t>
        </is>
      </c>
      <c r="H177" s="244" t="inlineStr">
        <is>
          <t>REAL (CX)</t>
        </is>
      </c>
      <c r="I177" s="244" t="inlineStr">
        <is>
          <t>TOTAL LATAS</t>
        </is>
      </c>
      <c r="J177" s="552" t="n"/>
      <c r="K177" s="552" t="n"/>
      <c r="L177" s="552" t="n"/>
      <c r="M177" s="552" t="n"/>
    </row>
    <row r="178" ht="21" customHeight="1" s="468">
      <c r="A178" s="685" t="n"/>
      <c r="B178" s="218" t="n"/>
      <c r="C178" s="219" t="n"/>
      <c r="D178" s="220" t="n"/>
      <c r="E178" s="221" t="inlineStr">
        <is>
          <t>CX</t>
        </is>
      </c>
      <c r="F178" s="686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220">
        <f>IFERROR(ROUNDUP(D178/F178,0),"")</f>
        <v/>
      </c>
      <c r="H178" s="224" t="n"/>
      <c r="I178" s="220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J178" s="552" t="n"/>
      <c r="K178" s="552" t="n"/>
      <c r="L178" s="552" t="n"/>
      <c r="M178" s="552" t="n"/>
    </row>
    <row r="179" ht="21" customHeight="1" s="468">
      <c r="A179" s="685" t="n"/>
      <c r="B179" s="218" t="n"/>
      <c r="C179" s="219" t="n"/>
      <c r="D179" s="220" t="n"/>
      <c r="E179" s="221" t="inlineStr">
        <is>
          <t>CX</t>
        </is>
      </c>
      <c r="F179" s="686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220">
        <f>IFERROR(ROUNDUP(D179/F179,0),"")</f>
        <v/>
      </c>
      <c r="H179" s="224" t="n"/>
      <c r="I179" s="220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  <c r="J179" s="552" t="n"/>
      <c r="K179" s="552" t="n"/>
      <c r="L179" s="552" t="n"/>
      <c r="M179" s="552" t="n"/>
    </row>
    <row r="180" ht="21" customHeight="1" s="468">
      <c r="A180" s="685" t="n"/>
      <c r="B180" s="218" t="n"/>
      <c r="C180" s="219" t="n"/>
      <c r="D180" s="220" t="n"/>
      <c r="E180" s="221" t="inlineStr">
        <is>
          <t>CX</t>
        </is>
      </c>
      <c r="F180" s="686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20">
        <f>IFERROR(ROUNDUP(D180/F180,0),"")</f>
        <v/>
      </c>
      <c r="H180" s="224" t="n"/>
      <c r="I180" s="220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552" t="n"/>
      <c r="K180" s="552" t="n"/>
      <c r="L180" s="552" t="n"/>
      <c r="M180" s="552" t="n"/>
    </row>
    <row r="181" ht="21" customHeight="1" s="468">
      <c r="A181" s="685" t="n"/>
      <c r="B181" s="218" t="n"/>
      <c r="C181" s="219" t="n"/>
      <c r="D181" s="220" t="n"/>
      <c r="E181" s="221" t="inlineStr">
        <is>
          <t>CX</t>
        </is>
      </c>
      <c r="F181" s="686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20">
        <f>IFERROR(ROUNDUP(D181/F181,0),"")</f>
        <v/>
      </c>
      <c r="H181" s="224" t="n"/>
      <c r="I181" s="220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552" t="n"/>
      <c r="K181" s="552" t="n"/>
      <c r="L181" s="552" t="n"/>
      <c r="M181" s="552" t="n"/>
    </row>
    <row r="182" ht="21" customHeight="1" s="468">
      <c r="A182" s="685" t="n"/>
      <c r="B182" s="218" t="n"/>
      <c r="C182" s="219" t="n"/>
      <c r="D182" s="220" t="n"/>
      <c r="E182" s="221" t="inlineStr">
        <is>
          <t>CX</t>
        </is>
      </c>
      <c r="F182" s="686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20">
        <f>IFERROR(ROUNDUP(D182/F182,0),"")</f>
        <v/>
      </c>
      <c r="H182" s="224" t="n"/>
      <c r="I182" s="220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552" t="n"/>
      <c r="K182" s="552" t="n"/>
      <c r="L182" s="552" t="n"/>
      <c r="M182" s="552" t="n"/>
    </row>
    <row r="183" ht="15" customHeight="1" s="468">
      <c r="A183" s="658" t="n"/>
      <c r="B183" s="640" t="inlineStr">
        <is>
          <t>TOTAL</t>
        </is>
      </c>
      <c r="C183" s="667" t="n"/>
      <c r="D183" s="642">
        <f>SUM(D178:D182)</f>
        <v/>
      </c>
      <c r="E183" s="668" t="n"/>
      <c r="F183" s="644" t="n"/>
      <c r="G183" s="642">
        <f>SUM(G178:G182)</f>
        <v/>
      </c>
      <c r="H183" s="642">
        <f>SUM(H178:H182)</f>
        <v/>
      </c>
      <c r="I183" s="642">
        <f>SUM(I178:I182)</f>
        <v/>
      </c>
      <c r="J183" s="644">
        <f>D183</f>
        <v/>
      </c>
      <c r="K183" s="644">
        <f>G183</f>
        <v/>
      </c>
      <c r="L183" s="644">
        <f>H183</f>
        <v/>
      </c>
      <c r="M183" s="644">
        <f>I183</f>
        <v/>
      </c>
    </row>
    <row r="184" ht="6" customHeight="1" s="468">
      <c r="A184" s="638" t="n"/>
      <c r="C184" s="71" t="n"/>
      <c r="D184" s="552" t="n"/>
      <c r="F184" s="552" t="n"/>
      <c r="G184" s="552" t="n"/>
      <c r="H184" s="552" t="n"/>
      <c r="I184" s="552" t="n"/>
      <c r="J184" s="552" t="n"/>
      <c r="K184" s="552" t="n"/>
      <c r="L184" s="552" t="n"/>
      <c r="M184" s="552" t="n"/>
    </row>
    <row r="185" ht="15" customHeight="1" s="468">
      <c r="A185" s="646" t="n">
        <v>46168</v>
      </c>
      <c r="B185" s="213" t="inlineStr">
        <is>
          <t>PRODUTO</t>
        </is>
      </c>
      <c r="C185" s="214" t="inlineStr">
        <is>
          <t>EMBALAGEM</t>
        </is>
      </c>
      <c r="D185" s="244" t="inlineStr">
        <is>
          <t>CAIXAS</t>
        </is>
      </c>
      <c r="E185" s="215" t="inlineStr">
        <is>
          <t>UN</t>
        </is>
      </c>
      <c r="F185" s="687" t="inlineStr">
        <is>
          <t>CX/PALLET</t>
        </is>
      </c>
      <c r="G185" s="244" t="inlineStr">
        <is>
          <t>PALLETS (PBR)</t>
        </is>
      </c>
      <c r="H185" s="244" t="inlineStr">
        <is>
          <t>REAL (CX)</t>
        </is>
      </c>
      <c r="I185" s="244" t="inlineStr">
        <is>
          <t>TOTAL LATAS</t>
        </is>
      </c>
      <c r="J185" s="552" t="n"/>
      <c r="K185" s="552" t="n"/>
      <c r="L185" s="552" t="n"/>
      <c r="M185" s="552" t="n"/>
    </row>
    <row r="186" ht="21" customHeight="1" s="468">
      <c r="A186" s="685" t="n"/>
      <c r="B186" s="218" t="n"/>
      <c r="C186" s="219" t="n"/>
      <c r="D186" s="220" t="n"/>
      <c r="E186" s="221" t="inlineStr">
        <is>
          <t>CX</t>
        </is>
      </c>
      <c r="F186" s="686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220">
        <f>IFERROR(ROUNDUP(D186/F186,0),"")</f>
        <v/>
      </c>
      <c r="H186" s="224" t="n"/>
      <c r="I186" s="220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  <c r="J186" s="552" t="n"/>
      <c r="K186" s="552" t="n"/>
      <c r="L186" s="552" t="n"/>
      <c r="M186" s="552" t="n"/>
    </row>
    <row r="187" ht="21" customHeight="1" s="468">
      <c r="A187" s="685" t="n"/>
      <c r="B187" s="218" t="n"/>
      <c r="C187" s="219" t="n"/>
      <c r="D187" s="220" t="n"/>
      <c r="E187" s="221" t="inlineStr">
        <is>
          <t>CX</t>
        </is>
      </c>
      <c r="F187" s="686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220">
        <f>IFERROR(ROUNDUP(D187/F187,0),"")</f>
        <v/>
      </c>
      <c r="H187" s="224" t="n"/>
      <c r="I187" s="220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  <c r="J187" s="552" t="n"/>
      <c r="K187" s="552" t="n"/>
      <c r="L187" s="552" t="n"/>
      <c r="M187" s="552" t="n"/>
    </row>
    <row r="188" ht="21" customHeight="1" s="468">
      <c r="A188" s="685" t="n"/>
      <c r="B188" s="218" t="n"/>
      <c r="C188" s="219" t="n"/>
      <c r="D188" s="220" t="n"/>
      <c r="E188" s="221" t="inlineStr">
        <is>
          <t>CX</t>
        </is>
      </c>
      <c r="F188" s="686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20">
        <f>IFERROR(ROUNDUP(D188/F188,0),"")</f>
        <v/>
      </c>
      <c r="H188" s="224" t="n"/>
      <c r="I188" s="220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552" t="n"/>
      <c r="K188" s="552" t="n"/>
      <c r="L188" s="552" t="n"/>
      <c r="M188" s="552" t="n"/>
    </row>
    <row r="189" ht="21" customHeight="1" s="468">
      <c r="A189" s="685" t="n"/>
      <c r="B189" s="218" t="n"/>
      <c r="C189" s="219" t="n"/>
      <c r="D189" s="220" t="n"/>
      <c r="E189" s="221" t="inlineStr">
        <is>
          <t>CX</t>
        </is>
      </c>
      <c r="F189" s="686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20">
        <f>IFERROR(ROUNDUP(D189/F189,0),"")</f>
        <v/>
      </c>
      <c r="H189" s="224" t="n"/>
      <c r="I189" s="220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552" t="n"/>
      <c r="K189" s="552" t="n"/>
      <c r="L189" s="552" t="n"/>
      <c r="M189" s="552" t="n"/>
    </row>
    <row r="190" ht="21" customHeight="1" s="468">
      <c r="A190" s="685" t="n"/>
      <c r="B190" s="218" t="n"/>
      <c r="C190" s="219" t="n"/>
      <c r="D190" s="220" t="n"/>
      <c r="E190" s="221" t="inlineStr">
        <is>
          <t>CX</t>
        </is>
      </c>
      <c r="F190" s="686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20">
        <f>IFERROR(ROUNDUP(D190/F190,0),"")</f>
        <v/>
      </c>
      <c r="H190" s="224" t="n"/>
      <c r="I190" s="220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552" t="n"/>
      <c r="K190" s="552" t="n"/>
      <c r="L190" s="552" t="n"/>
      <c r="M190" s="552" t="n"/>
    </row>
    <row r="191" ht="15" customHeight="1" s="468">
      <c r="A191" s="658" t="n"/>
      <c r="B191" s="640" t="inlineStr">
        <is>
          <t>TOTAL</t>
        </is>
      </c>
      <c r="C191" s="667" t="n"/>
      <c r="D191" s="642">
        <f>SUM(D186:D190)</f>
        <v/>
      </c>
      <c r="E191" s="668" t="n"/>
      <c r="F191" s="644" t="n"/>
      <c r="G191" s="642">
        <f>SUM(G186:G190)</f>
        <v/>
      </c>
      <c r="H191" s="642">
        <f>SUM(H186:H190)</f>
        <v/>
      </c>
      <c r="I191" s="642">
        <f>SUM(I186:I190)</f>
        <v/>
      </c>
      <c r="J191" s="644">
        <f>D191</f>
        <v/>
      </c>
      <c r="K191" s="644">
        <f>G191</f>
        <v/>
      </c>
      <c r="L191" s="644">
        <f>H191</f>
        <v/>
      </c>
      <c r="M191" s="644">
        <f>I191</f>
        <v/>
      </c>
    </row>
    <row r="192" ht="6" customHeight="1" s="468">
      <c r="A192" s="638" t="n"/>
      <c r="C192" s="71" t="n"/>
      <c r="D192" s="552" t="n"/>
      <c r="F192" s="552" t="n"/>
      <c r="G192" s="552" t="n"/>
      <c r="H192" s="552" t="n"/>
      <c r="I192" s="552" t="n"/>
      <c r="J192" s="552" t="n"/>
      <c r="K192" s="552" t="n"/>
      <c r="L192" s="552" t="n"/>
      <c r="M192" s="552" t="n"/>
    </row>
    <row r="193" ht="15" customHeight="1" s="468">
      <c r="A193" s="646" t="n">
        <v>46169</v>
      </c>
      <c r="B193" s="213" t="inlineStr">
        <is>
          <t>PRODUTO</t>
        </is>
      </c>
      <c r="C193" s="214" t="inlineStr">
        <is>
          <t>EMBALAGEM</t>
        </is>
      </c>
      <c r="D193" s="244" t="inlineStr">
        <is>
          <t>CAIXAS</t>
        </is>
      </c>
      <c r="E193" s="215" t="inlineStr">
        <is>
          <t>UN</t>
        </is>
      </c>
      <c r="F193" s="687" t="inlineStr">
        <is>
          <t>CX/PALLET</t>
        </is>
      </c>
      <c r="G193" s="244" t="inlineStr">
        <is>
          <t>PALLETS (PBR)</t>
        </is>
      </c>
      <c r="H193" s="244" t="inlineStr">
        <is>
          <t>REAL (CX)</t>
        </is>
      </c>
      <c r="I193" s="244" t="inlineStr">
        <is>
          <t>TOTAL LATAS</t>
        </is>
      </c>
      <c r="J193" s="552" t="n"/>
      <c r="K193" s="552" t="n"/>
      <c r="L193" s="552" t="n"/>
      <c r="M193" s="552" t="n"/>
    </row>
    <row r="194" ht="21" customHeight="1" s="468">
      <c r="A194" s="685" t="n"/>
      <c r="B194" s="218" t="n"/>
      <c r="C194" s="219" t="n"/>
      <c r="D194" s="220" t="n"/>
      <c r="E194" s="221" t="inlineStr">
        <is>
          <t>CX</t>
        </is>
      </c>
      <c r="F194" s="686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220">
        <f>IFERROR(ROUNDUP(D194/F194,0),"")</f>
        <v/>
      </c>
      <c r="H194" s="224" t="n"/>
      <c r="I194" s="220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  <c r="J194" s="552" t="n"/>
      <c r="K194" s="552" t="n"/>
      <c r="L194" s="552" t="n"/>
      <c r="M194" s="552" t="n"/>
    </row>
    <row r="195" ht="21" customHeight="1" s="468">
      <c r="A195" s="685" t="n"/>
      <c r="B195" s="218" t="n"/>
      <c r="C195" s="219" t="n"/>
      <c r="D195" s="220" t="n"/>
      <c r="E195" s="221" t="inlineStr">
        <is>
          <t>CX</t>
        </is>
      </c>
      <c r="F195" s="686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220">
        <f>IFERROR(ROUNDUP(D195/F195,0),"")</f>
        <v/>
      </c>
      <c r="H195" s="224" t="n"/>
      <c r="I195" s="220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  <c r="J195" s="552" t="n"/>
      <c r="K195" s="552" t="n"/>
      <c r="L195" s="552" t="n"/>
      <c r="M195" s="552" t="n"/>
    </row>
    <row r="196" ht="21" customHeight="1" s="468">
      <c r="A196" s="685" t="n"/>
      <c r="B196" s="218" t="n"/>
      <c r="C196" s="219" t="n"/>
      <c r="D196" s="220" t="n"/>
      <c r="E196" s="221" t="inlineStr">
        <is>
          <t>CX</t>
        </is>
      </c>
      <c r="F196" s="68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20">
        <f>IFERROR(ROUNDUP(D196/F196,0),"")</f>
        <v/>
      </c>
      <c r="H196" s="224" t="n"/>
      <c r="I196" s="220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552" t="n"/>
      <c r="K196" s="552" t="n"/>
      <c r="L196" s="552" t="n"/>
      <c r="M196" s="552" t="n"/>
    </row>
    <row r="197" ht="21" customHeight="1" s="468">
      <c r="A197" s="685" t="n"/>
      <c r="B197" s="218" t="n"/>
      <c r="C197" s="219" t="n"/>
      <c r="D197" s="220" t="n"/>
      <c r="E197" s="221" t="inlineStr">
        <is>
          <t>CX</t>
        </is>
      </c>
      <c r="F197" s="686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20">
        <f>IFERROR(ROUNDUP(D197/F197,0),"")</f>
        <v/>
      </c>
      <c r="H197" s="224" t="n"/>
      <c r="I197" s="220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552" t="n"/>
      <c r="K197" s="552" t="n"/>
      <c r="L197" s="552" t="n"/>
      <c r="M197" s="552" t="n"/>
    </row>
    <row r="198" ht="21" customHeight="1" s="468">
      <c r="A198" s="685" t="n"/>
      <c r="B198" s="218" t="n"/>
      <c r="C198" s="219" t="n"/>
      <c r="D198" s="220" t="n"/>
      <c r="E198" s="221" t="inlineStr">
        <is>
          <t>CX</t>
        </is>
      </c>
      <c r="F198" s="686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20">
        <f>IFERROR(ROUNDUP(D198/F198,0),"")</f>
        <v/>
      </c>
      <c r="H198" s="224" t="n"/>
      <c r="I198" s="220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552" t="n"/>
      <c r="K198" s="552" t="n"/>
      <c r="L198" s="552" t="n"/>
      <c r="M198" s="552" t="n"/>
    </row>
    <row r="199" ht="15" customHeight="1" s="468">
      <c r="A199" s="658" t="n"/>
      <c r="B199" s="640" t="inlineStr">
        <is>
          <t>TOTAL</t>
        </is>
      </c>
      <c r="C199" s="667" t="n"/>
      <c r="D199" s="642">
        <f>SUM(D194:D198)</f>
        <v/>
      </c>
      <c r="E199" s="668" t="n"/>
      <c r="F199" s="644" t="n"/>
      <c r="G199" s="642">
        <f>SUM(G194:G198)</f>
        <v/>
      </c>
      <c r="H199" s="642">
        <f>SUM(H194:H198)</f>
        <v/>
      </c>
      <c r="I199" s="642">
        <f>SUM(I194:I198)</f>
        <v/>
      </c>
      <c r="J199" s="644">
        <f>D199</f>
        <v/>
      </c>
      <c r="K199" s="644">
        <f>G199</f>
        <v/>
      </c>
      <c r="L199" s="644">
        <f>H199</f>
        <v/>
      </c>
      <c r="M199" s="644">
        <f>I199</f>
        <v/>
      </c>
    </row>
    <row r="200" ht="6" customHeight="1" s="468">
      <c r="A200" s="638" t="n"/>
      <c r="C200" s="71" t="n"/>
      <c r="D200" s="552" t="n"/>
      <c r="F200" s="552" t="n"/>
      <c r="G200" s="552" t="n"/>
      <c r="H200" s="552" t="n"/>
      <c r="I200" s="552" t="n"/>
      <c r="J200" s="552" t="n"/>
      <c r="K200" s="552" t="n"/>
      <c r="L200" s="552" t="n"/>
      <c r="M200" s="552" t="n"/>
    </row>
    <row r="201" ht="15" customHeight="1" s="468">
      <c r="A201" s="646" t="n">
        <v>46170</v>
      </c>
      <c r="B201" s="213" t="inlineStr">
        <is>
          <t>PRODUTO</t>
        </is>
      </c>
      <c r="C201" s="214" t="inlineStr">
        <is>
          <t>EMBALAGEM</t>
        </is>
      </c>
      <c r="D201" s="244" t="inlineStr">
        <is>
          <t>CAIXAS</t>
        </is>
      </c>
      <c r="E201" s="215" t="inlineStr">
        <is>
          <t>UN</t>
        </is>
      </c>
      <c r="F201" s="687" t="inlineStr">
        <is>
          <t>CX/PALLET</t>
        </is>
      </c>
      <c r="G201" s="244" t="inlineStr">
        <is>
          <t>PALLETS (PBR)</t>
        </is>
      </c>
      <c r="H201" s="244" t="inlineStr">
        <is>
          <t>REAL (CX)</t>
        </is>
      </c>
      <c r="I201" s="244" t="inlineStr">
        <is>
          <t>TOTAL LATAS</t>
        </is>
      </c>
      <c r="J201" s="552" t="n"/>
      <c r="K201" s="552" t="n"/>
      <c r="L201" s="552" t="n"/>
      <c r="M201" s="552" t="n"/>
    </row>
    <row r="202" ht="21" customHeight="1" s="468">
      <c r="A202" s="685" t="n"/>
      <c r="B202" s="218" t="n"/>
      <c r="C202" s="219" t="n"/>
      <c r="D202" s="220" t="n"/>
      <c r="E202" s="221" t="inlineStr">
        <is>
          <t>CX</t>
        </is>
      </c>
      <c r="F202" s="686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/>
      </c>
      <c r="G202" s="220">
        <f>IFERROR(ROUNDUP(D202/F202,0),"")</f>
        <v/>
      </c>
      <c r="H202" s="224" t="n"/>
      <c r="I202" s="220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/>
      </c>
      <c r="J202" s="552" t="n"/>
      <c r="K202" s="552" t="n"/>
      <c r="L202" s="552" t="n"/>
      <c r="M202" s="552" t="n"/>
    </row>
    <row r="203" ht="21" customHeight="1" s="468">
      <c r="A203" s="685" t="n"/>
      <c r="B203" s="218" t="n"/>
      <c r="C203" s="219" t="n"/>
      <c r="D203" s="220" t="n"/>
      <c r="E203" s="221" t="inlineStr">
        <is>
          <t>CX</t>
        </is>
      </c>
      <c r="F203" s="686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/>
      </c>
      <c r="G203" s="220">
        <f>IFERROR(ROUNDUP(D203/F203,0),"")</f>
        <v/>
      </c>
      <c r="H203" s="224" t="n"/>
      <c r="I203" s="220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/>
      </c>
      <c r="J203" s="552" t="n"/>
      <c r="K203" s="552" t="n"/>
      <c r="L203" s="552" t="n"/>
      <c r="M203" s="552" t="n"/>
    </row>
    <row r="204" ht="21" customHeight="1" s="468">
      <c r="A204" s="685" t="n"/>
      <c r="B204" s="218" t="n"/>
      <c r="C204" s="219" t="n"/>
      <c r="D204" s="220" t="n"/>
      <c r="E204" s="221" t="inlineStr">
        <is>
          <t>CX</t>
        </is>
      </c>
      <c r="F204" s="686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20">
        <f>IFERROR(ROUNDUP(D204/F204,0),"")</f>
        <v/>
      </c>
      <c r="H204" s="224" t="n"/>
      <c r="I204" s="220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  <c r="J204" s="552" t="n"/>
      <c r="K204" s="552" t="n"/>
      <c r="L204" s="552" t="n"/>
      <c r="M204" s="552" t="n"/>
    </row>
    <row r="205" ht="21" customHeight="1" s="468">
      <c r="A205" s="685" t="n"/>
      <c r="B205" s="218" t="n"/>
      <c r="C205" s="219" t="n"/>
      <c r="D205" s="220" t="n"/>
      <c r="E205" s="221" t="inlineStr">
        <is>
          <t>CX</t>
        </is>
      </c>
      <c r="F205" s="686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20">
        <f>IFERROR(ROUNDUP(D205/F205,0),"")</f>
        <v/>
      </c>
      <c r="H205" s="224" t="n"/>
      <c r="I205" s="220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  <c r="J205" s="552" t="n"/>
      <c r="K205" s="552" t="n"/>
      <c r="L205" s="552" t="n"/>
      <c r="M205" s="552" t="n"/>
    </row>
    <row r="206" ht="21" customHeight="1" s="468">
      <c r="A206" s="685" t="n"/>
      <c r="B206" s="218" t="n"/>
      <c r="C206" s="219" t="n"/>
      <c r="D206" s="220" t="n"/>
      <c r="E206" s="221" t="inlineStr">
        <is>
          <t>CX</t>
        </is>
      </c>
      <c r="F206" s="686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20">
        <f>IFERROR(ROUNDUP(D206/F206,0),"")</f>
        <v/>
      </c>
      <c r="H206" s="224" t="n"/>
      <c r="I206" s="220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  <c r="J206" s="552" t="n"/>
      <c r="K206" s="552" t="n"/>
      <c r="L206" s="552" t="n"/>
      <c r="M206" s="552" t="n"/>
    </row>
    <row r="207" ht="15" customHeight="1" s="468">
      <c r="A207" s="658" t="n"/>
      <c r="B207" s="640" t="inlineStr">
        <is>
          <t>TOTAL</t>
        </is>
      </c>
      <c r="C207" s="667" t="n"/>
      <c r="D207" s="642">
        <f>SUM(D202:D206)</f>
        <v/>
      </c>
      <c r="E207" s="668" t="n"/>
      <c r="F207" s="644" t="n"/>
      <c r="G207" s="642">
        <f>SUM(G202:G206)</f>
        <v/>
      </c>
      <c r="H207" s="642">
        <f>SUM(H202:H206)</f>
        <v/>
      </c>
      <c r="I207" s="642">
        <f>SUM(I202:I206)</f>
        <v/>
      </c>
      <c r="J207" s="644">
        <f>D207</f>
        <v/>
      </c>
      <c r="K207" s="644">
        <f>G207</f>
        <v/>
      </c>
      <c r="L207" s="644">
        <f>H207</f>
        <v/>
      </c>
      <c r="M207" s="644">
        <f>I207</f>
        <v/>
      </c>
    </row>
    <row r="208" ht="6" customHeight="1" s="468">
      <c r="A208" s="638" t="n"/>
      <c r="C208" s="71" t="n"/>
      <c r="D208" s="552" t="n"/>
      <c r="F208" s="552" t="n"/>
      <c r="G208" s="552" t="n"/>
      <c r="H208" s="552" t="n"/>
      <c r="I208" s="552" t="n"/>
      <c r="J208" s="552" t="n"/>
      <c r="K208" s="552" t="n"/>
      <c r="L208" s="552" t="n"/>
      <c r="M208" s="552" t="n"/>
    </row>
    <row r="209" ht="14.25" customHeight="1" s="468">
      <c r="A209" s="646" t="n">
        <v>46171</v>
      </c>
      <c r="B209" s="213" t="inlineStr">
        <is>
          <t>PRODUTO</t>
        </is>
      </c>
      <c r="C209" s="214" t="inlineStr">
        <is>
          <t>EMBALAGEM</t>
        </is>
      </c>
      <c r="D209" s="244" t="inlineStr">
        <is>
          <t>CAIXAS</t>
        </is>
      </c>
      <c r="E209" s="215" t="inlineStr">
        <is>
          <t>UN</t>
        </is>
      </c>
      <c r="F209" s="687" t="inlineStr">
        <is>
          <t>CX/PALLET</t>
        </is>
      </c>
      <c r="G209" s="244" t="inlineStr">
        <is>
          <t>PALLETS (PBR)</t>
        </is>
      </c>
      <c r="H209" s="244" t="inlineStr">
        <is>
          <t>REAL (CX)</t>
        </is>
      </c>
      <c r="I209" s="244" t="inlineStr">
        <is>
          <t>TOTAL LATAS</t>
        </is>
      </c>
      <c r="J209" s="552" t="n"/>
      <c r="K209" s="552" t="n"/>
      <c r="L209" s="552" t="n"/>
      <c r="M209" s="552" t="n"/>
    </row>
    <row r="210" ht="21" customHeight="1" s="468">
      <c r="A210" s="685" t="n"/>
      <c r="B210" s="218" t="n"/>
      <c r="C210" s="219" t="n"/>
      <c r="D210" s="220" t="n"/>
      <c r="E210" s="221" t="inlineStr">
        <is>
          <t>CX</t>
        </is>
      </c>
      <c r="F210" s="686">
        <f>IF($B210="","",IF(SUMIFS(CONFIG_PALLETS!$C:$C,CONFIG_PALLETS!$A:$A,TRIM($B210),CONFIG_PALLETS!$B:$B,$C210&amp;" ml")&gt;0,SUMIFS(CONFIG_PALLETS!$C:$C,CONFIG_PALLETS!$A:$A,TRIM($B210),CONFIG_PALLETS!$B:$B,$C210&amp;" ml"),IF(SUMIFS(CONFIG_PALLETS!$C:$C,CONFIG_PALLETS!$A:$A,"GERAL",CONFIG_PALLETS!$B:$B,$C210&amp;" ml")&gt;0,SUMIFS(CONFIG_PALLETS!$C:$C,CONFIG_PALLETS!$A:$A,"GERAL",CONFIG_PALLETS!$B:$B,$C210&amp;" ml"),"")))</f>
        <v/>
      </c>
      <c r="G210" s="220">
        <f>IFERROR(ROUNDUP(D210/F210,0),"")</f>
        <v/>
      </c>
      <c r="H210" s="224" t="n"/>
      <c r="I210" s="220">
        <f>IF(H210="","",H210*IF(SUMIFS(CONFIG_PALLETS!$D:$D,CONFIG_PALLETS!$A:$A,IF(ISNUMBER(SEARCH("ESPUMA",$B210)),"ESPUMA",IF(OR(ISNUMBER(SEARCH("OLEO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ml")&gt;0,SUMIFS(CONFIG_PALLETS!$D:$D,CONFIG_PALLETS!$A:$A,IF(ISNUMBER(SEARCH("ESPUMA",$B210)),"ESPUMA",IF(OR(ISNUMBER(SEARCH("OLEO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ml"),IF(SUMIFS(CONFIG_PALLETS!$D:$D,CONFIG_PALLETS!$A:$A,"GERAL",CONFIG_PALLETS!$B:$B,$C210&amp;" ml")&gt;0,SUMIFS(CONFIG_PALLETS!$D:$D,CONFIG_PALLETS!$A:$A,"GERAL",CONFIG_PALLETS!$B:$B,$C210&amp;" ml"),12)))</f>
        <v/>
      </c>
      <c r="J210" s="552" t="n"/>
      <c r="K210" s="552" t="n"/>
      <c r="L210" s="552" t="n"/>
      <c r="M210" s="552" t="n"/>
    </row>
    <row r="211" ht="21" customHeight="1" s="468">
      <c r="A211" s="685" t="n"/>
      <c r="B211" s="218" t="n"/>
      <c r="C211" s="219" t="n"/>
      <c r="D211" s="220" t="n"/>
      <c r="E211" s="221" t="inlineStr">
        <is>
          <t>CX</t>
        </is>
      </c>
      <c r="F211" s="686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/>
      </c>
      <c r="G211" s="220">
        <f>IFERROR(ROUNDUP(D211/F211,0),"")</f>
        <v/>
      </c>
      <c r="H211" s="224" t="n"/>
      <c r="I211" s="220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/>
      </c>
      <c r="J211" s="552" t="n"/>
      <c r="K211" s="552" t="n"/>
      <c r="L211" s="552" t="n"/>
      <c r="M211" s="552" t="n"/>
    </row>
    <row r="212" ht="21" customHeight="1" s="468">
      <c r="A212" s="685" t="n"/>
      <c r="B212" s="218" t="n"/>
      <c r="C212" s="219" t="n"/>
      <c r="D212" s="220" t="n"/>
      <c r="E212" s="221" t="inlineStr">
        <is>
          <t>CX</t>
        </is>
      </c>
      <c r="F212" s="686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20">
        <f>IFERROR(ROUNDUP(D212/F212,0),"")</f>
        <v/>
      </c>
      <c r="H212" s="224" t="n"/>
      <c r="I212" s="220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  <c r="J212" s="552" t="n"/>
      <c r="K212" s="552" t="n"/>
      <c r="L212" s="552" t="n"/>
      <c r="M212" s="552" t="n"/>
    </row>
    <row r="213" ht="21" customHeight="1" s="468">
      <c r="A213" s="685" t="n"/>
      <c r="B213" s="218" t="n"/>
      <c r="C213" s="219" t="n"/>
      <c r="D213" s="220" t="n"/>
      <c r="E213" s="221" t="inlineStr">
        <is>
          <t>CX</t>
        </is>
      </c>
      <c r="F213" s="686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20">
        <f>IFERROR(ROUNDUP(D213/F213,0),"")</f>
        <v/>
      </c>
      <c r="H213" s="224" t="n"/>
      <c r="I213" s="220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  <c r="J213" s="552" t="n"/>
      <c r="K213" s="552" t="n"/>
      <c r="L213" s="552" t="n"/>
      <c r="M213" s="552" t="n"/>
    </row>
    <row r="214" ht="21" customHeight="1" s="468">
      <c r="A214" s="685" t="n"/>
      <c r="B214" s="218" t="n"/>
      <c r="C214" s="219" t="n"/>
      <c r="D214" s="220" t="n"/>
      <c r="E214" s="221" t="inlineStr">
        <is>
          <t>CX</t>
        </is>
      </c>
      <c r="F214" s="686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20">
        <f>IFERROR(ROUNDUP(D214/F214,0),"")</f>
        <v/>
      </c>
      <c r="H214" s="224" t="n"/>
      <c r="I214" s="220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  <c r="J214" s="552" t="n"/>
      <c r="K214" s="552" t="n"/>
      <c r="L214" s="552" t="n"/>
      <c r="M214" s="552" t="n"/>
    </row>
    <row r="215" ht="14.25" customHeight="1" s="468">
      <c r="A215" s="658" t="n"/>
      <c r="B215" s="640" t="inlineStr">
        <is>
          <t>TOTAL</t>
        </is>
      </c>
      <c r="C215" s="667" t="n"/>
      <c r="D215" s="642">
        <f>SUM(D210:D214)</f>
        <v/>
      </c>
      <c r="E215" s="668" t="n"/>
      <c r="F215" s="644" t="n"/>
      <c r="G215" s="642">
        <f>SUM(G210:G214)</f>
        <v/>
      </c>
      <c r="H215" s="642">
        <f>SUM(H210:H214)</f>
        <v/>
      </c>
      <c r="I215" s="642">
        <f>SUM(I210:I214)</f>
        <v/>
      </c>
      <c r="J215" s="644">
        <f>D215</f>
        <v/>
      </c>
      <c r="K215" s="644">
        <f>G215</f>
        <v/>
      </c>
      <c r="L215" s="644">
        <f>H215</f>
        <v/>
      </c>
      <c r="M215" s="644">
        <f>I215</f>
        <v/>
      </c>
    </row>
    <row r="216" ht="6" customHeight="1" s="468">
      <c r="A216" s="638" t="n"/>
      <c r="C216" s="71" t="n"/>
      <c r="D216" s="552" t="n"/>
      <c r="F216" s="552" t="n"/>
      <c r="G216" s="552" t="n"/>
      <c r="H216" s="552" t="n"/>
      <c r="I216" s="552" t="n"/>
      <c r="J216" s="552" t="n"/>
      <c r="K216" s="552" t="n"/>
      <c r="L216" s="552" t="n"/>
      <c r="M216" s="552" t="n"/>
    </row>
    <row r="217" ht="14.25" customHeight="1" s="468">
      <c r="A217" s="646" t="n">
        <v>46172</v>
      </c>
      <c r="B217" s="213" t="inlineStr">
        <is>
          <t>PRODUTO</t>
        </is>
      </c>
      <c r="C217" s="214" t="inlineStr">
        <is>
          <t>EMBALAGEM</t>
        </is>
      </c>
      <c r="D217" s="244" t="inlineStr">
        <is>
          <t>CAIXAS</t>
        </is>
      </c>
      <c r="E217" s="215" t="inlineStr">
        <is>
          <t>UN</t>
        </is>
      </c>
      <c r="F217" s="687" t="inlineStr">
        <is>
          <t>CX/PALLET</t>
        </is>
      </c>
      <c r="G217" s="244" t="inlineStr">
        <is>
          <t>PALLETS (PBR)</t>
        </is>
      </c>
      <c r="H217" s="244" t="inlineStr">
        <is>
          <t>REAL (CX)</t>
        </is>
      </c>
      <c r="I217" s="244" t="inlineStr">
        <is>
          <t>TOTAL LATAS</t>
        </is>
      </c>
      <c r="J217" s="552" t="n"/>
      <c r="K217" s="552" t="n"/>
      <c r="L217" s="552" t="n"/>
      <c r="M217" s="552" t="n"/>
    </row>
    <row r="218" ht="21" customHeight="1" s="468">
      <c r="A218" s="685" t="n"/>
      <c r="B218" s="218" t="inlineStr">
        <is>
          <t>ADIMIX LISSE</t>
        </is>
      </c>
      <c r="C218" s="219" t="n">
        <v>600</v>
      </c>
      <c r="D218" s="220" t="n">
        <v>665</v>
      </c>
      <c r="E218" s="221" t="inlineStr">
        <is>
          <t>CX</t>
        </is>
      </c>
      <c r="F218" s="686">
        <f>IF($B218="","",IF(SUMIFS(CONFIG_PALLETS!$C:$C,CONFIG_PALLETS!$A:$A,TRIM($B218),CONFIG_PALLETS!$B:$B,$C218&amp;" ml")&gt;0,SUMIFS(CONFIG_PALLETS!$C:$C,CONFIG_PALLETS!$A:$A,TRIM($B218),CONFIG_PALLETS!$B:$B,$C218&amp;" ml"),IF(SUMIFS(CONFIG_PALLETS!$C:$C,CONFIG_PALLETS!$A:$A,"GERAL",CONFIG_PALLETS!$B:$B,$C218&amp;" ml")&gt;0,SUMIFS(CONFIG_PALLETS!$C:$C,CONFIG_PALLETS!$A:$A,"GERAL",CONFIG_PALLETS!$B:$B,$C218&amp;" ml"),"")))</f>
        <v/>
      </c>
      <c r="G218" s="220">
        <f>IFERROR(ROUNDUP(D218/F218,0),"")</f>
        <v/>
      </c>
      <c r="H218" s="224" t="n"/>
      <c r="I218" s="220">
        <f>IF(H218="","",H218*IF(SUMIFS(CONFIG_PALLETS!$D:$D,CONFIG_PALLETS!$A:$A,IF(ISNUMBER(SEARCH("ESPUMA",$B218)),"ESPUMA",IF(OR(ISNUMBER(SEARCH("OLEO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ml")&gt;0,SUMIFS(CONFIG_PALLETS!$D:$D,CONFIG_PALLETS!$A:$A,IF(ISNUMBER(SEARCH("ESPUMA",$B218)),"ESPUMA",IF(OR(ISNUMBER(SEARCH("OLEO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ml"),IF(SUMIFS(CONFIG_PALLETS!$D:$D,CONFIG_PALLETS!$A:$A,"GERAL",CONFIG_PALLETS!$B:$B,$C218&amp;" ml")&gt;0,SUMIFS(CONFIG_PALLETS!$D:$D,CONFIG_PALLETS!$A:$A,"GERAL",CONFIG_PALLETS!$B:$B,$C218&amp;" ml"),12)))</f>
        <v/>
      </c>
      <c r="J218" s="552" t="n"/>
      <c r="K218" s="552" t="n"/>
      <c r="L218" s="552" t="n"/>
      <c r="M218" s="552" t="n"/>
    </row>
    <row r="219" ht="21" customHeight="1" s="468">
      <c r="A219" s="685" t="n"/>
      <c r="B219" s="218" t="n"/>
      <c r="C219" s="219" t="n"/>
      <c r="D219" s="220" t="n"/>
      <c r="E219" s="221" t="inlineStr">
        <is>
          <t>CX</t>
        </is>
      </c>
      <c r="F219" s="686">
        <f>IF($B219="","",IF(SUMIFS(CONFIG_PALLETS!$C:$C,CONFIG_PALLETS!$A:$A,TRIM($B219),CONFIG_PALLETS!$B:$B,$C219&amp;" ml")&gt;0,SUMIFS(CONFIG_PALLETS!$C:$C,CONFIG_PALLETS!$A:$A,TRIM($B219),CONFIG_PALLETS!$B:$B,$C219&amp;" ml"),IF(SUMIFS(CONFIG_PALLETS!$C:$C,CONFIG_PALLETS!$A:$A,"GERAL",CONFIG_PALLETS!$B:$B,$C219&amp;" ml")&gt;0,SUMIFS(CONFIG_PALLETS!$C:$C,CONFIG_PALLETS!$A:$A,"GERAL",CONFIG_PALLETS!$B:$B,$C219&amp;" ml"),"")))</f>
        <v/>
      </c>
      <c r="G219" s="220">
        <f>IFERROR(ROUNDUP(D219/F219,0),"")</f>
        <v/>
      </c>
      <c r="H219" s="224" t="n"/>
      <c r="I219" s="220">
        <f>IF(H219="","",H219*IF(SUMIFS(CONFIG_PALLETS!$D:$D,CONFIG_PALLETS!$A:$A,IF(ISNUMBER(SEARCH("ESPUMA",$B219)),"ESPUMA",IF(OR(ISNUMBER(SEARCH("OLEO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ml")&gt;0,SUMIFS(CONFIG_PALLETS!$D:$D,CONFIG_PALLETS!$A:$A,IF(ISNUMBER(SEARCH("ESPUMA",$B219)),"ESPUMA",IF(OR(ISNUMBER(SEARCH("OLEO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ml"),IF(SUMIFS(CONFIG_PALLETS!$D:$D,CONFIG_PALLETS!$A:$A,"GERAL",CONFIG_PALLETS!$B:$B,$C219&amp;" ml")&gt;0,SUMIFS(CONFIG_PALLETS!$D:$D,CONFIG_PALLETS!$A:$A,"GERAL",CONFIG_PALLETS!$B:$B,$C219&amp;" ml"),12)))</f>
        <v/>
      </c>
      <c r="J219" s="552" t="n"/>
      <c r="K219" s="552" t="n"/>
      <c r="L219" s="552" t="n"/>
      <c r="M219" s="552" t="n"/>
    </row>
    <row r="220" ht="21" customHeight="1" s="468">
      <c r="A220" s="685" t="n"/>
      <c r="B220" s="218" t="n"/>
      <c r="C220" s="219" t="n"/>
      <c r="D220" s="220" t="n"/>
      <c r="E220" s="221" t="inlineStr">
        <is>
          <t>CX</t>
        </is>
      </c>
      <c r="F220" s="686">
        <f>IF($B220="","",IF(SUMIFS(CONFIG_PALLETS!$C:$C,CONFIG_PALLETS!$A:$A,TRIM($B220),CONFIG_PALLETS!$B:$B,$C220&amp;" ml")&gt;0,SUMIFS(CONFIG_PALLETS!$C:$C,CONFIG_PALLETS!$A:$A,TRIM($B220),CONFIG_PALLETS!$B:$B,$C220&amp;" ml"),IF(SUMIFS(CONFIG_PALLETS!$C:$C,CONFIG_PALLETS!$A:$A,"GERAL",CONFIG_PALLETS!$B:$B,$C220&amp;" ml")&gt;0,SUMIFS(CONFIG_PALLETS!$C:$C,CONFIG_PALLETS!$A:$A,"GERAL",CONFIG_PALLETS!$B:$B,$C220&amp;" ml"),"")))</f>
        <v/>
      </c>
      <c r="G220" s="220">
        <f>IFERROR(ROUNDUP(D220/F220,0),"")</f>
        <v/>
      </c>
      <c r="H220" s="224" t="n"/>
      <c r="I220" s="220">
        <f>IF(H220="","",H220*IF(SUMIFS(CONFIG_PALLETS!$D:$D,CONFIG_PALLETS!$A:$A,IF(ISNUMBER(SEARCH("ESPUMA",$B220)),"ESPUMA",IF(OR(ISNUMBER(SEARCH("OLEO DE COCO",$B220)),ISNUMBER(SEARCH("ÓLEO DE COCO",$B220)),ISNUMBER(SEARCH("COPRA",$B220))),"ÓLEO DE COCO",IF(ISNUMBER(SEARCH("CORANTE",$B220)),"CORANTE",TRIM($B220)))),CONFIG_PALLETS!$B:$B,$C220&amp;" ml")&gt;0,SUMIFS(CONFIG_PALLETS!$D:$D,CONFIG_PALLETS!$A:$A,IF(ISNUMBER(SEARCH("ESPUMA",$B220)),"ESPUMA",IF(OR(ISNUMBER(SEARCH("OLEO DE COCO",$B220)),ISNUMBER(SEARCH("ÓLEO DE COCO",$B220)),ISNUMBER(SEARCH("COPRA",$B220))),"ÓLEO DE COCO",IF(ISNUMBER(SEARCH("CORANTE",$B220)),"CORANTE",TRIM($B220)))),CONFIG_PALLETS!$B:$B,$C220&amp;" ml"),IF(SUMIFS(CONFIG_PALLETS!$D:$D,CONFIG_PALLETS!$A:$A,"GERAL",CONFIG_PALLETS!$B:$B,$C220&amp;" ml")&gt;0,SUMIFS(CONFIG_PALLETS!$D:$D,CONFIG_PALLETS!$A:$A,"GERAL",CONFIG_PALLETS!$B:$B,$C220&amp;" ml"),12)))</f>
        <v/>
      </c>
      <c r="J220" s="552" t="n"/>
      <c r="K220" s="552" t="n"/>
      <c r="L220" s="552" t="n"/>
      <c r="M220" s="552" t="n"/>
    </row>
    <row r="221" ht="21" customHeight="1" s="468">
      <c r="A221" s="685" t="n"/>
      <c r="B221" s="218" t="n"/>
      <c r="C221" s="219" t="n"/>
      <c r="D221" s="220" t="n"/>
      <c r="E221" s="221" t="inlineStr">
        <is>
          <t>CX</t>
        </is>
      </c>
      <c r="F221" s="686">
        <f>IF($B221="","",IF(SUMIFS(CONFIG_PALLETS!$C:$C,CONFIG_PALLETS!$A:$A,TRIM($B221),CONFIG_PALLETS!$B:$B,$C221&amp;" ml")&gt;0,SUMIFS(CONFIG_PALLETS!$C:$C,CONFIG_PALLETS!$A:$A,TRIM($B221),CONFIG_PALLETS!$B:$B,$C221&amp;" ml"),IF(SUMIFS(CONFIG_PALLETS!$C:$C,CONFIG_PALLETS!$A:$A,"GERAL",CONFIG_PALLETS!$B:$B,$C221&amp;" ml")&gt;0,SUMIFS(CONFIG_PALLETS!$C:$C,CONFIG_PALLETS!$A:$A,"GERAL",CONFIG_PALLETS!$B:$B,$C221&amp;" ml"),"")))</f>
        <v/>
      </c>
      <c r="G221" s="220">
        <f>IFERROR(ROUNDUP(D221/F221,0),"")</f>
        <v/>
      </c>
      <c r="H221" s="224" t="n"/>
      <c r="I221" s="220">
        <f>IF(H221="","",H221*IF(SUMIFS(CONFIG_PALLETS!$D:$D,CONFIG_PALLETS!$A:$A,IF(ISNUMBER(SEARCH("ESPUMA",$B221)),"ESPUMA",IF(OR(ISNUMBER(SEARCH("OLEO DE COCO",$B221)),ISNUMBER(SEARCH("ÓLEO DE COCO",$B221)),ISNUMBER(SEARCH("COPRA",$B221))),"ÓLEO DE COCO",IF(ISNUMBER(SEARCH("CORANTE",$B221)),"CORANTE",TRIM($B221)))),CONFIG_PALLETS!$B:$B,$C221&amp;" ml")&gt;0,SUMIFS(CONFIG_PALLETS!$D:$D,CONFIG_PALLETS!$A:$A,IF(ISNUMBER(SEARCH("ESPUMA",$B221)),"ESPUMA",IF(OR(ISNUMBER(SEARCH("OLEO DE COCO",$B221)),ISNUMBER(SEARCH("ÓLEO DE COCO",$B221)),ISNUMBER(SEARCH("COPRA",$B221))),"ÓLEO DE COCO",IF(ISNUMBER(SEARCH("CORANTE",$B221)),"CORANTE",TRIM($B221)))),CONFIG_PALLETS!$B:$B,$C221&amp;" ml"),IF(SUMIFS(CONFIG_PALLETS!$D:$D,CONFIG_PALLETS!$A:$A,"GERAL",CONFIG_PALLETS!$B:$B,$C221&amp;" ml")&gt;0,SUMIFS(CONFIG_PALLETS!$D:$D,CONFIG_PALLETS!$A:$A,"GERAL",CONFIG_PALLETS!$B:$B,$C221&amp;" ml"),12)))</f>
        <v/>
      </c>
      <c r="J221" s="552" t="n"/>
      <c r="K221" s="552" t="n"/>
      <c r="L221" s="552" t="n"/>
      <c r="M221" s="552" t="n"/>
    </row>
    <row r="222" ht="21" customHeight="1" s="468">
      <c r="A222" s="685" t="n"/>
      <c r="B222" s="218" t="n"/>
      <c r="C222" s="219" t="n"/>
      <c r="D222" s="220" t="n"/>
      <c r="E222" s="221" t="inlineStr">
        <is>
          <t>CX</t>
        </is>
      </c>
      <c r="F222" s="686">
        <f>IF($B222="","",IF(SUMIFS(CONFIG_PALLETS!$C:$C,CONFIG_PALLETS!$A:$A,TRIM($B222),CONFIG_PALLETS!$B:$B,$C222&amp;" ml")&gt;0,SUMIFS(CONFIG_PALLETS!$C:$C,CONFIG_PALLETS!$A:$A,TRIM($B222),CONFIG_PALLETS!$B:$B,$C222&amp;" ml"),IF(SUMIFS(CONFIG_PALLETS!$C:$C,CONFIG_PALLETS!$A:$A,"GERAL",CONFIG_PALLETS!$B:$B,$C222&amp;" ml")&gt;0,SUMIFS(CONFIG_PALLETS!$C:$C,CONFIG_PALLETS!$A:$A,"GERAL",CONFIG_PALLETS!$B:$B,$C222&amp;" ml"),"")))</f>
        <v/>
      </c>
      <c r="G222" s="220">
        <f>IFERROR(ROUNDUP(D222/F222,0),"")</f>
        <v/>
      </c>
      <c r="H222" s="224" t="n"/>
      <c r="I222" s="220">
        <f>IF(H222="","",H222*IF(SUMIFS(CONFIG_PALLETS!$D:$D,CONFIG_PALLETS!$A:$A,IF(ISNUMBER(SEARCH("ESPUMA",$B222)),"ESPUMA",IF(OR(ISNUMBER(SEARCH("OLEO DE COCO",$B222)),ISNUMBER(SEARCH("ÓLEO DE COCO",$B222)),ISNUMBER(SEARCH("COPRA",$B222))),"ÓLEO DE COCO",IF(ISNUMBER(SEARCH("CORANTE",$B222)),"CORANTE",TRIM($B222)))),CONFIG_PALLETS!$B:$B,$C222&amp;" ml")&gt;0,SUMIFS(CONFIG_PALLETS!$D:$D,CONFIG_PALLETS!$A:$A,IF(ISNUMBER(SEARCH("ESPUMA",$B222)),"ESPUMA",IF(OR(ISNUMBER(SEARCH("OLEO DE COCO",$B222)),ISNUMBER(SEARCH("ÓLEO DE COCO",$B222)),ISNUMBER(SEARCH("COPRA",$B222))),"ÓLEO DE COCO",IF(ISNUMBER(SEARCH("CORANTE",$B222)),"CORANTE",TRIM($B222)))),CONFIG_PALLETS!$B:$B,$C222&amp;" ml"),IF(SUMIFS(CONFIG_PALLETS!$D:$D,CONFIG_PALLETS!$A:$A,"GERAL",CONFIG_PALLETS!$B:$B,$C222&amp;" ml")&gt;0,SUMIFS(CONFIG_PALLETS!$D:$D,CONFIG_PALLETS!$A:$A,"GERAL",CONFIG_PALLETS!$B:$B,$C222&amp;" ml"),12)))</f>
        <v/>
      </c>
      <c r="J222" s="552" t="n"/>
      <c r="K222" s="552" t="n"/>
      <c r="L222" s="552" t="n"/>
      <c r="M222" s="552" t="n"/>
    </row>
    <row r="223" ht="14.25" customHeight="1" s="468">
      <c r="A223" s="658" t="n"/>
      <c r="B223" s="640" t="inlineStr">
        <is>
          <t>TOTAL</t>
        </is>
      </c>
      <c r="C223" s="667" t="n"/>
      <c r="D223" s="642">
        <f>SUM(D218:D222)</f>
        <v/>
      </c>
      <c r="E223" s="668" t="n"/>
      <c r="F223" s="644" t="n"/>
      <c r="G223" s="642">
        <f>SUM(G218:G222)</f>
        <v/>
      </c>
      <c r="H223" s="642">
        <f>SUM(H218:H222)</f>
        <v/>
      </c>
      <c r="I223" s="642">
        <f>SUM(I218:I222)</f>
        <v/>
      </c>
      <c r="J223" s="644">
        <f>D223</f>
        <v/>
      </c>
      <c r="K223" s="644">
        <f>G223</f>
        <v/>
      </c>
      <c r="L223" s="644">
        <f>H223</f>
        <v/>
      </c>
      <c r="M223" s="644">
        <f>I223</f>
        <v/>
      </c>
    </row>
  </sheetData>
  <mergeCells count="3">
    <mergeCell ref="A1:I1"/>
    <mergeCell ref="A2:F2"/>
    <mergeCell ref="G2:I2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207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tabColor rgb="FF0F766E"/>
    <outlinePr summaryBelow="1" summaryRight="1"/>
    <pageSetUpPr/>
  </sheetPr>
  <dimension ref="A1:Y59"/>
  <sheetViews>
    <sheetView showGridLines="0" tabSelected="1" zoomScale="90" zoomScaleNormal="90" workbookViewId="0">
      <pane ySplit="8" topLeftCell="A9" activePane="bottomLeft" state="frozen"/>
      <selection pane="bottomLeft" activeCell="J28" sqref="J28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width="13" customWidth="1" style="468" min="13" max="13"/>
    <col hidden="1" width="13" customWidth="1" style="468" min="24" max="25"/>
  </cols>
  <sheetData>
    <row r="1" ht="19.5" customHeight="1" s="468">
      <c r="A1" s="675" t="inlineStr">
        <is>
          <t>RESULTADOS E GRÁFICO - MAIO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SUM(C9:C34)</f>
        <v/>
      </c>
      <c r="D4" s="152">
        <f>SUM(D9:D34)</f>
        <v/>
      </c>
      <c r="F4" s="152">
        <f>IFERROR(SUMIFS(C9:C34,A9:A34,"&lt;="&amp;TODAY(),F9:F34,"&lt;&gt;*Feriado*")/COUNTIFS(A9:A34,"&lt;="&amp;TODAY(),F9:F34,"&lt;&gt;*Feriado*"),0)</f>
        <v/>
      </c>
      <c r="H4" s="152">
        <f>IFERROR(MAX(C9:C34),0)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5" customHeight="1" s="468">
      <c r="A9" s="676" t="n">
        <v>46143</v>
      </c>
      <c r="B9" s="677">
        <f>IF(D9&gt;0,COUNTIF($D$9:D9,"&gt;0"),"")</f>
        <v/>
      </c>
      <c r="C9" s="678">
        <f>'SEMANA MAIO'!$M$10</f>
        <v/>
      </c>
      <c r="D9" s="678">
        <f>CONFIG!$B$3</f>
        <v/>
      </c>
      <c r="E9" s="678">
        <f>C9-D9</f>
        <v/>
      </c>
      <c r="F9" s="679" t="inlineStr">
        <is>
          <t>Feriado - Dia do Trabalho - produção normal</t>
        </is>
      </c>
      <c r="X9">
        <f>IF(COUNTIF($F9,"*Feriado*")&gt;0,NA(),$C9)</f>
        <v/>
      </c>
      <c r="Y9">
        <f>IF(COUNTIF($F9,"*Feriado*")&gt;0,NA(),$D9)</f>
        <v/>
      </c>
    </row>
    <row r="10" ht="15" customHeight="1" s="468">
      <c r="A10" s="676" t="n">
        <v>46144</v>
      </c>
      <c r="B10" s="677">
        <f>IF(D10&gt;0,COUNTIF($D$9:D10,"&gt;0"),"")</f>
        <v/>
      </c>
      <c r="C10" s="678">
        <f>'SEMANA MAIO'!$M$18</f>
        <v/>
      </c>
      <c r="D10" s="678">
        <f>CONFIG!$B$3</f>
        <v/>
      </c>
      <c r="E10" s="678">
        <f>C10-D10</f>
        <v/>
      </c>
      <c r="F10" s="679" t="inlineStr">
        <is>
          <t>Sábado - produção normal</t>
        </is>
      </c>
    </row>
    <row r="11" ht="15" customHeight="1" s="468">
      <c r="A11" s="676" t="n">
        <v>46146</v>
      </c>
      <c r="B11" s="677">
        <f>IF(D11&gt;0,COUNTIF($D$9:D11,"&gt;0"),"")</f>
        <v/>
      </c>
      <c r="C11" s="678">
        <f>'SEMANA MAIO'!$M$26</f>
        <v/>
      </c>
      <c r="D11" s="678">
        <f>CONFIG!$B$3</f>
        <v/>
      </c>
      <c r="E11" s="678">
        <f>C11-D11</f>
        <v/>
      </c>
      <c r="F11" s="695" t="n"/>
      <c r="X11" s="552">
        <f>IF(COUNTIF($F10,"*Feriado*")&gt;0,NA(),$C10)</f>
        <v/>
      </c>
      <c r="Y11" s="552">
        <f>IF(COUNTIF($F10,"*Feriado*")&gt;0,NA(),$D10)</f>
        <v/>
      </c>
    </row>
    <row r="12" ht="15" customHeight="1" s="468">
      <c r="A12" s="676" t="n">
        <v>46147</v>
      </c>
      <c r="B12" s="677">
        <f>IF(D12&gt;0,COUNTIF($D$9:D12,"&gt;0"),"")</f>
        <v/>
      </c>
      <c r="C12" s="678">
        <f>'SEMANA MAIO'!$M$37</f>
        <v/>
      </c>
      <c r="D12" s="678">
        <f>CONFIG!$B$3</f>
        <v/>
      </c>
      <c r="E12" s="678">
        <f>C12-D12</f>
        <v/>
      </c>
      <c r="F12" s="695" t="inlineStr">
        <is>
          <t>Paramos por falta de gás 09:10. Voltamos 11:00.</t>
        </is>
      </c>
      <c r="X12" s="552">
        <f>IF(COUNTIF($F11,"*Feriado*")&gt;0,NA(),$C11)</f>
        <v/>
      </c>
      <c r="Y12" s="552">
        <f>IF(COUNTIF($F11,"*Feriado*")&gt;0,NA(),$D11)</f>
        <v/>
      </c>
    </row>
    <row r="13" ht="15" customHeight="1" s="468">
      <c r="A13" s="676" t="n">
        <v>46148</v>
      </c>
      <c r="B13" s="677">
        <f>IF(D13&gt;0,COUNTIF($D$9:D13,"&gt;0"),"")</f>
        <v/>
      </c>
      <c r="C13" s="678">
        <f>'SEMANA MAIO'!$M$48</f>
        <v/>
      </c>
      <c r="D13" s="678">
        <f>CONFIG!$B$3</f>
        <v/>
      </c>
      <c r="E13" s="678">
        <f>C13-D13</f>
        <v/>
      </c>
      <c r="F13" s="695" t="n"/>
      <c r="X13" s="552">
        <f>IF(COUNTIF($F12,"*Feriado*")&gt;0,NA(),$C12)</f>
        <v/>
      </c>
      <c r="Y13" s="552">
        <f>IF(COUNTIF($F12,"*Feriado*")&gt;0,NA(),$D12)</f>
        <v/>
      </c>
    </row>
    <row r="14" ht="15" customHeight="1" s="468">
      <c r="A14" s="676" t="n">
        <v>46149</v>
      </c>
      <c r="B14" s="677">
        <f>IF(D14&gt;0,COUNTIF($D$9:D14,"&gt;0"),"")</f>
        <v/>
      </c>
      <c r="C14" s="678">
        <f>'SEMANA MAIO'!$M$63</f>
        <v/>
      </c>
      <c r="D14" s="678">
        <f>CONFIG!$B$3</f>
        <v/>
      </c>
      <c r="E14" s="678">
        <f>C14-D14</f>
        <v/>
      </c>
      <c r="F14" s="695" t="n"/>
      <c r="X14" s="552">
        <f>IF(COUNTIF($F13,"*Feriado*")&gt;0,NA(),$C13)</f>
        <v/>
      </c>
      <c r="Y14" s="552">
        <f>IF(COUNTIF($F13,"*Feriado*")&gt;0,NA(),$D13)</f>
        <v/>
      </c>
    </row>
    <row r="15" ht="15" customHeight="1" s="468">
      <c r="A15" s="676" t="n">
        <v>46150</v>
      </c>
      <c r="B15" s="677">
        <f>IF(D15&gt;0,COUNTIF($D$9:D15,"&gt;0"),"")</f>
        <v/>
      </c>
      <c r="C15" s="678">
        <f>'SEMANA MAIO'!$M$71</f>
        <v/>
      </c>
      <c r="D15" s="678">
        <f>CONFIG!$B$3</f>
        <v/>
      </c>
      <c r="E15" s="678">
        <f>C15-D15</f>
        <v/>
      </c>
      <c r="F15" s="695" t="n"/>
      <c r="X15" s="552">
        <f>IF(COUNTIF($F14,"*Feriado*")&gt;0,NA(),$C14)</f>
        <v/>
      </c>
      <c r="Y15" s="552">
        <f>IF(COUNTIF($F14,"*Feriado*")&gt;0,NA(),$D14)</f>
        <v/>
      </c>
    </row>
    <row r="16" ht="15" customHeight="1" s="468">
      <c r="A16" s="676" t="n">
        <v>46151</v>
      </c>
      <c r="B16" s="677">
        <f>IF(D16&gt;0,COUNTIF($D$9:D16,"&gt;0"),"")</f>
        <v/>
      </c>
      <c r="C16" s="678">
        <f>'SEMANA MAIO'!$M$79</f>
        <v/>
      </c>
      <c r="D16" s="678">
        <f>CONFIG!$B$3</f>
        <v/>
      </c>
      <c r="E16" s="678">
        <f>C16-D16</f>
        <v/>
      </c>
      <c r="F16" s="679" t="inlineStr">
        <is>
          <t>Sábado - produção normal</t>
        </is>
      </c>
      <c r="X16" s="552">
        <f>IF(COUNTIF($F15,"*Feriado*")&gt;0,NA(),$C15)</f>
        <v/>
      </c>
      <c r="Y16" s="552">
        <f>IF(COUNTIF($F15,"*Feriado*")&gt;0,NA(),$D15)</f>
        <v/>
      </c>
    </row>
    <row r="17" ht="15" customHeight="1" s="468">
      <c r="A17" s="676" t="n">
        <v>46153</v>
      </c>
      <c r="B17" s="677">
        <f>IF(D17&gt;0,COUNTIF($D$9:D17,"&gt;0"),"")</f>
        <v/>
      </c>
      <c r="C17" s="678">
        <f>'SEMANA MAIO'!$M$87</f>
        <v/>
      </c>
      <c r="D17" s="678">
        <f>CONFIG!$B$3</f>
        <v/>
      </c>
      <c r="E17" s="678">
        <f>C17-D17</f>
        <v/>
      </c>
      <c r="F17" s="695" t="n"/>
      <c r="X17" s="552">
        <f>IF(COUNTIF($F16,"*Feriado*")&gt;0,NA(),$C16)</f>
        <v/>
      </c>
      <c r="Y17" s="552">
        <f>IF(COUNTIF($F16,"*Feriado*")&gt;0,NA(),$D16)</f>
        <v/>
      </c>
    </row>
    <row r="18" ht="15" customHeight="1" s="468">
      <c r="A18" s="676" t="n">
        <v>46154</v>
      </c>
      <c r="B18" s="677">
        <f>IF(D18&gt;0,COUNTIF($D$9:D18,"&gt;0"),"")</f>
        <v/>
      </c>
      <c r="C18" s="678">
        <f>'SEMANA MAIO'!$M$95</f>
        <v/>
      </c>
      <c r="D18" s="678">
        <f>CONFIG!$B$3</f>
        <v/>
      </c>
      <c r="E18" s="678">
        <f>C18-D18</f>
        <v/>
      </c>
      <c r="F18" s="695" t="n"/>
      <c r="X18" s="552">
        <f>IF(COUNTIF($F17,"*Feriado*")&gt;0,NA(),$C17)</f>
        <v/>
      </c>
      <c r="Y18" s="552">
        <f>IF(COUNTIF($F17,"*Feriado*")&gt;0,NA(),$D17)</f>
        <v/>
      </c>
    </row>
    <row r="19" ht="15" customHeight="1" s="468">
      <c r="A19" s="676" t="n">
        <v>46155</v>
      </c>
      <c r="B19" s="677">
        <f>IF(D19&gt;0,COUNTIF($D$9:D19,"&gt;0"),"")</f>
        <v/>
      </c>
      <c r="C19" s="678">
        <f>'SEMANA MAIO'!$M$103</f>
        <v/>
      </c>
      <c r="D19" s="678">
        <f>CONFIG!$B$3</f>
        <v/>
      </c>
      <c r="E19" s="678">
        <f>C19-D19</f>
        <v/>
      </c>
      <c r="F19" s="695" t="n"/>
      <c r="X19" s="552">
        <f>IF(COUNTIF($F18,"*Feriado*")&gt;0,NA(),$C18)</f>
        <v/>
      </c>
      <c r="Y19" s="552">
        <f>IF(COUNTIF($F18,"*Feriado*")&gt;0,NA(),$D18)</f>
        <v/>
      </c>
    </row>
    <row r="20" ht="15" customHeight="1" s="468">
      <c r="A20" s="676" t="n">
        <v>46156</v>
      </c>
      <c r="B20" s="677">
        <f>IF(D20&gt;0,COUNTIF($D$9:D20,"&gt;0"),"")</f>
        <v/>
      </c>
      <c r="C20" s="678">
        <f>'SEMANA MAIO'!$M$111</f>
        <v/>
      </c>
      <c r="D20" s="678">
        <f>CONFIG!$B$3</f>
        <v/>
      </c>
      <c r="E20" s="678">
        <f>C20-D20</f>
        <v/>
      </c>
      <c r="F20" s="695" t="n"/>
      <c r="X20" s="552">
        <f>IF(COUNTIF($F19,"*Feriado*")&gt;0,NA(),$C19)</f>
        <v/>
      </c>
      <c r="Y20" s="552">
        <f>IF(COUNTIF($F19,"*Feriado*")&gt;0,NA(),$D19)</f>
        <v/>
      </c>
    </row>
    <row r="21" ht="15" customHeight="1" s="468">
      <c r="A21" s="676" t="n">
        <v>46157</v>
      </c>
      <c r="B21" s="677">
        <f>IF(D21&gt;0,COUNTIF($D$9:D21,"&gt;0"),"")</f>
        <v/>
      </c>
      <c r="C21" s="678">
        <f>'SEMANA MAIO'!$M$119</f>
        <v/>
      </c>
      <c r="D21" s="678">
        <f>CONFIG!$B$3</f>
        <v/>
      </c>
      <c r="E21" s="678">
        <f>C21-D21</f>
        <v/>
      </c>
      <c r="F21" s="695" t="n"/>
      <c r="X21" s="552">
        <f>IF(COUNTIF($F20,"*Feriado*")&gt;0,NA(),$C20)</f>
        <v/>
      </c>
      <c r="Y21" s="552">
        <f>IF(COUNTIF($F20,"*Feriado*")&gt;0,NA(),$D20)</f>
        <v/>
      </c>
    </row>
    <row r="22" ht="15" customHeight="1" s="468">
      <c r="A22" s="676" t="n">
        <v>46158</v>
      </c>
      <c r="B22" s="677">
        <f>IF(D22&gt;0,COUNTIF($D$9:D22,"&gt;0"),"")</f>
        <v/>
      </c>
      <c r="C22" s="678">
        <f>'SEMANA MAIO'!$M$127</f>
        <v/>
      </c>
      <c r="D22" s="678">
        <f>CONFIG!$B$3</f>
        <v/>
      </c>
      <c r="E22" s="678">
        <f>C22-D22</f>
        <v/>
      </c>
      <c r="F22" s="679" t="inlineStr">
        <is>
          <t>Sábado - produção normal</t>
        </is>
      </c>
      <c r="X22" s="552">
        <f>IF(COUNTIF($F21,"*Feriado*")&gt;0,NA(),$C21)</f>
        <v/>
      </c>
      <c r="Y22" s="552">
        <f>IF(COUNTIF($F21,"*Feriado*")&gt;0,NA(),$D21)</f>
        <v/>
      </c>
    </row>
    <row r="23" ht="15" customHeight="1" s="468">
      <c r="A23" s="676" t="n">
        <v>46160</v>
      </c>
      <c r="B23" s="677">
        <f>IF(D23&gt;0,COUNTIF($D$9:D23,"&gt;0"),"")</f>
        <v/>
      </c>
      <c r="C23" s="678">
        <f>'SEMANA MAIO'!$M$135</f>
        <v/>
      </c>
      <c r="D23" s="678">
        <f>CONFIG!$B$3</f>
        <v/>
      </c>
      <c r="E23" s="678">
        <f>C23-D23</f>
        <v/>
      </c>
      <c r="F23" s="695" t="n"/>
      <c r="X23" s="552">
        <f>IF(COUNTIF($F22,"*Feriado*")&gt;0,NA(),$C22)</f>
        <v/>
      </c>
      <c r="Y23" s="552">
        <f>IF(COUNTIF($F22,"*Feriado*")&gt;0,NA(),$D22)</f>
        <v/>
      </c>
    </row>
    <row r="24" ht="15" customHeight="1" s="468">
      <c r="A24" s="676" t="n">
        <v>46161</v>
      </c>
      <c r="B24" s="677">
        <f>IF(D24&gt;0,COUNTIF($D$9:D24,"&gt;0"),"")</f>
        <v/>
      </c>
      <c r="C24" s="678">
        <f>'SEMANA MAIO'!$M$143</f>
        <v/>
      </c>
      <c r="D24" s="678">
        <f>CONFIG!$B$3</f>
        <v/>
      </c>
      <c r="E24" s="678">
        <f>C24-D24</f>
        <v/>
      </c>
      <c r="F24" s="695" t="n"/>
      <c r="X24" s="552">
        <f>IF(COUNTIF($F23,"*Feriado*")&gt;0,NA(),$C23)</f>
        <v/>
      </c>
      <c r="Y24" s="552">
        <f>IF(COUNTIF($F23,"*Feriado*")&gt;0,NA(),$D23)</f>
        <v/>
      </c>
    </row>
    <row r="25" ht="15" customHeight="1" s="468">
      <c r="A25" s="676" t="n">
        <v>46162</v>
      </c>
      <c r="B25" s="677">
        <f>IF(D25&gt;0,COUNTIF($D$9:D25,"&gt;0"),"")</f>
        <v/>
      </c>
      <c r="C25" s="678">
        <f>'SEMANA MAIO'!$M$151</f>
        <v/>
      </c>
      <c r="D25" s="678">
        <f>CONFIG!$B$3</f>
        <v/>
      </c>
      <c r="E25" s="678">
        <f>C25-D25</f>
        <v/>
      </c>
      <c r="F25" s="695" t="n"/>
      <c r="X25" s="552">
        <f>IF(COUNTIF($F24,"*Feriado*")&gt;0,NA(),$C24)</f>
        <v/>
      </c>
      <c r="Y25" s="552">
        <f>IF(COUNTIF($F24,"*Feriado*")&gt;0,NA(),$D24)</f>
        <v/>
      </c>
    </row>
    <row r="26" ht="15" customHeight="1" s="468">
      <c r="A26" s="676" t="n">
        <v>46163</v>
      </c>
      <c r="B26" s="677">
        <f>IF(D26&gt;0,COUNTIF($D$9:D26,"&gt;0"),"")</f>
        <v/>
      </c>
      <c r="C26" s="678">
        <f>'SEMANA MAIO'!$M$159</f>
        <v/>
      </c>
      <c r="D26" s="678">
        <f>CONFIG!$B$3</f>
        <v/>
      </c>
      <c r="E26" s="678">
        <f>C26-D26</f>
        <v/>
      </c>
      <c r="F26" s="695" t="n"/>
      <c r="X26" s="552">
        <f>IF(COUNTIF($F25,"*Feriado*")&gt;0,NA(),$C25)</f>
        <v/>
      </c>
      <c r="Y26" s="552">
        <f>IF(COUNTIF($F25,"*Feriado*")&gt;0,NA(),$D25)</f>
        <v/>
      </c>
    </row>
    <row r="27" ht="15" customHeight="1" s="468">
      <c r="A27" s="676" t="n">
        <v>46164</v>
      </c>
      <c r="B27" s="677">
        <f>IF(D27&gt;0,COUNTIF($D$9:D27,"&gt;0"),"")</f>
        <v/>
      </c>
      <c r="C27" s="678">
        <f>'SEMANA MAIO'!$M$167</f>
        <v/>
      </c>
      <c r="D27" s="678">
        <f>CONFIG!$B$3</f>
        <v/>
      </c>
      <c r="E27" s="678">
        <f>C27-D27</f>
        <v/>
      </c>
      <c r="F27" s="695" t="n"/>
      <c r="X27" s="552">
        <f>IF(COUNTIF($F26,"*Feriado*")&gt;0,NA(),$C26)</f>
        <v/>
      </c>
      <c r="Y27" s="552">
        <f>IF(COUNTIF($F26,"*Feriado*")&gt;0,NA(),$D26)</f>
        <v/>
      </c>
    </row>
    <row r="28" ht="15" customHeight="1" s="468">
      <c r="A28" s="676" t="n">
        <v>46165</v>
      </c>
      <c r="B28" s="677">
        <f>IF(D28&gt;0,COUNTIF($D$9:D28,"&gt;0"),"")</f>
        <v/>
      </c>
      <c r="C28" s="678">
        <f>'SEMANA MAIO'!$M$175</f>
        <v/>
      </c>
      <c r="D28" s="678">
        <f>CONFIG!$B$3</f>
        <v/>
      </c>
      <c r="E28" s="678">
        <f>C28-D28</f>
        <v/>
      </c>
      <c r="F28" s="679" t="inlineStr">
        <is>
          <t>Sábado - produção normal</t>
        </is>
      </c>
      <c r="X28" s="552">
        <f>IF(COUNTIF($F27,"*Feriado*")&gt;0,NA(),$C27)</f>
        <v/>
      </c>
      <c r="Y28" s="552">
        <f>IF(COUNTIF($F27,"*Feriado*")&gt;0,NA(),$D27)</f>
        <v/>
      </c>
    </row>
    <row r="29" ht="15" customHeight="1" s="468">
      <c r="A29" s="676" t="n">
        <v>46167</v>
      </c>
      <c r="B29" s="677">
        <f>IF(D29&gt;0,COUNTIF($D$9:D29,"&gt;0"),"")</f>
        <v/>
      </c>
      <c r="C29" s="678">
        <f>'SEMANA MAIO'!$M$183</f>
        <v/>
      </c>
      <c r="D29" s="678">
        <f>CONFIG!$B$3</f>
        <v/>
      </c>
      <c r="E29" s="678">
        <f>C29-D29</f>
        <v/>
      </c>
      <c r="F29" s="695" t="n"/>
      <c r="X29" s="552">
        <f>IF(COUNTIF($F28,"*Feriado*")&gt;0,NA(),$C28)</f>
        <v/>
      </c>
      <c r="Y29" s="552">
        <f>IF(COUNTIF($F28,"*Feriado*")&gt;0,NA(),$D28)</f>
        <v/>
      </c>
    </row>
    <row r="30" ht="14.25" customHeight="1" s="468">
      <c r="A30" s="676" t="n">
        <v>46168</v>
      </c>
      <c r="B30" s="677">
        <f>IF(D30&gt;0,COUNTIF($D$9:D30,"&gt;0"),"")</f>
        <v/>
      </c>
      <c r="C30" s="678">
        <f>'SEMANA MAIO'!$M$191</f>
        <v/>
      </c>
      <c r="D30" s="678">
        <f>CONFIG!$B$3</f>
        <v/>
      </c>
      <c r="E30" s="678">
        <f>C30-D30</f>
        <v/>
      </c>
      <c r="F30" s="695" t="n"/>
      <c r="X30" s="552">
        <f>IF(COUNTIF($F29,"*Feriado*")&gt;0,NA(),$C29)</f>
        <v/>
      </c>
      <c r="Y30" s="552">
        <f>IF(COUNTIF($F29,"*Feriado*")&gt;0,NA(),$D29)</f>
        <v/>
      </c>
    </row>
    <row r="31" ht="14.25" customHeight="1" s="468">
      <c r="A31" s="676" t="n">
        <v>46169</v>
      </c>
      <c r="B31" s="677">
        <f>IF(D31&gt;0,COUNTIF($D$9:D31,"&gt;0"),"")</f>
        <v/>
      </c>
      <c r="C31" s="678">
        <f>'SEMANA MAIO'!$M$199</f>
        <v/>
      </c>
      <c r="D31" s="678">
        <f>CONFIG!$B$3</f>
        <v/>
      </c>
      <c r="E31" s="678">
        <f>C31-D31</f>
        <v/>
      </c>
      <c r="F31" s="695" t="n"/>
    </row>
    <row r="32" ht="14.25" customHeight="1" s="468">
      <c r="A32" s="676" t="n">
        <v>46170</v>
      </c>
      <c r="B32" s="677">
        <f>IF(D32&gt;0,COUNTIF($D$9:D32,"&gt;0"),"")</f>
        <v/>
      </c>
      <c r="C32" s="678">
        <f>'SEMANA MAIO'!$M$207</f>
        <v/>
      </c>
      <c r="D32" s="678">
        <f>CONFIG!$B$3</f>
        <v/>
      </c>
      <c r="E32" s="678">
        <f>C32-D32</f>
        <v/>
      </c>
      <c r="F32" s="695" t="n"/>
    </row>
    <row r="33" ht="14.25" customHeight="1" s="468">
      <c r="A33" s="676" t="n">
        <v>46171</v>
      </c>
      <c r="B33" s="677">
        <f>IF(D33&gt;0,COUNTIF($D$9:D33,"&gt;0"),"")</f>
        <v/>
      </c>
      <c r="C33" s="678">
        <f>'SEMANA MAIO'!$M$215</f>
        <v/>
      </c>
      <c r="D33" s="678">
        <f>CONFIG!$B$3</f>
        <v/>
      </c>
      <c r="E33" s="678">
        <f>C33-D33</f>
        <v/>
      </c>
      <c r="F33" s="695" t="n"/>
    </row>
    <row r="34" ht="14.25" customHeight="1" s="468">
      <c r="A34" s="676" t="n">
        <v>46172</v>
      </c>
      <c r="B34" s="677">
        <f>IF(D34&gt;0,COUNTIF($D$9:D34,"&gt;0"),"")</f>
        <v/>
      </c>
      <c r="C34" s="678">
        <f>'SEMANA MAIO'!$M$223</f>
        <v/>
      </c>
      <c r="D34" s="678">
        <f>CONFIG!$B$3</f>
        <v/>
      </c>
      <c r="E34" s="678">
        <f>C34-D34</f>
        <v/>
      </c>
      <c r="F34" s="679" t="inlineStr">
        <is>
          <t>Sábado - produção normal</t>
        </is>
      </c>
    </row>
    <row r="35" ht="14.25" customHeight="1" s="468">
      <c r="A35" s="692" t="n"/>
      <c r="B35" s="693" t="n"/>
      <c r="C35" s="693" t="n"/>
      <c r="D35" s="693" t="n"/>
      <c r="E35" s="693" t="n"/>
      <c r="F35" s="683" t="n"/>
    </row>
    <row r="36" ht="14.25" customHeight="1" s="468">
      <c r="A36" s="692" t="n"/>
      <c r="B36" s="693" t="n"/>
      <c r="C36" s="693" t="n"/>
      <c r="D36" s="693" t="n"/>
      <c r="E36" s="693" t="n"/>
      <c r="F36" s="683" t="n"/>
    </row>
    <row r="37" ht="14.25" customHeight="1" s="468">
      <c r="A37" s="692" t="n"/>
      <c r="B37" s="693" t="n"/>
      <c r="C37" s="693" t="n"/>
      <c r="D37" s="693" t="n"/>
      <c r="E37" s="693" t="n"/>
      <c r="F37" s="683" t="n"/>
    </row>
    <row r="38" ht="14.25" customHeight="1" s="468">
      <c r="A38" s="692" t="n"/>
      <c r="B38" s="693" t="n"/>
      <c r="C38" s="693" t="n"/>
      <c r="D38" s="693" t="n"/>
      <c r="E38" s="693" t="n"/>
      <c r="F38" s="683" t="n"/>
    </row>
    <row r="39" ht="14.25" customHeight="1" s="468">
      <c r="A39" s="692" t="n"/>
      <c r="B39" s="693" t="n"/>
      <c r="C39" s="693" t="n"/>
      <c r="D39" s="693" t="n"/>
      <c r="E39" s="693" t="n"/>
      <c r="F39" s="683" t="n"/>
    </row>
    <row r="40" ht="14.25" customHeight="1" s="468">
      <c r="A40" s="692" t="n"/>
      <c r="B40" s="693" t="n"/>
      <c r="C40" s="693" t="n"/>
      <c r="D40" s="693" t="n"/>
      <c r="E40" s="693" t="n"/>
      <c r="F40" s="683" t="n"/>
    </row>
    <row r="41" ht="14.25" customHeight="1" s="468">
      <c r="A41" s="692" t="n"/>
      <c r="B41" s="693" t="n"/>
      <c r="C41" s="693" t="n"/>
      <c r="D41" s="693" t="n"/>
      <c r="E41" s="693" t="n"/>
      <c r="F41" s="683" t="n"/>
    </row>
    <row r="42" ht="14.25" customHeight="1" s="468">
      <c r="A42" s="692" t="n"/>
      <c r="B42" s="693" t="n"/>
      <c r="C42" s="693" t="n"/>
      <c r="D42" s="693" t="n"/>
      <c r="E42" s="693" t="n"/>
      <c r="F42" s="683" t="n"/>
    </row>
    <row r="43" ht="14.25" customHeight="1" s="468">
      <c r="A43" s="692" t="n"/>
      <c r="B43" s="693" t="n"/>
      <c r="C43" s="693" t="n"/>
      <c r="D43" s="693" t="n"/>
      <c r="E43" s="693" t="n"/>
      <c r="F43" s="683" t="n"/>
    </row>
    <row r="44" ht="14.25" customHeight="1" s="468">
      <c r="A44" s="692" t="n"/>
      <c r="B44" s="693" t="n"/>
      <c r="C44" s="693" t="n"/>
      <c r="D44" s="693" t="n"/>
      <c r="E44" s="693" t="n"/>
      <c r="F44" s="683" t="n"/>
    </row>
    <row r="45" ht="14.25" customHeight="1" s="468">
      <c r="A45" s="692" t="n"/>
      <c r="B45" s="693" t="n"/>
      <c r="C45" s="693" t="n"/>
      <c r="D45" s="693" t="n"/>
      <c r="E45" s="693" t="n"/>
      <c r="F45" s="683" t="n"/>
    </row>
    <row r="46" ht="14.25" customHeight="1" s="468">
      <c r="A46" s="692" t="n"/>
      <c r="B46" s="693" t="n"/>
      <c r="C46" s="693" t="n"/>
      <c r="D46" s="693" t="n"/>
      <c r="E46" s="693" t="n"/>
      <c r="F46" s="683" t="n"/>
    </row>
    <row r="47" ht="14.25" customHeight="1" s="468">
      <c r="A47" s="692" t="n"/>
      <c r="B47" s="693" t="n"/>
      <c r="C47" s="693" t="n"/>
      <c r="D47" s="693" t="n"/>
      <c r="E47" s="693" t="n"/>
      <c r="F47" s="683" t="n"/>
    </row>
    <row r="48" ht="14.25" customHeight="1" s="468">
      <c r="A48" s="692" t="n"/>
      <c r="B48" s="693" t="n"/>
      <c r="C48" s="693" t="n"/>
      <c r="D48" s="693" t="n"/>
      <c r="E48" s="693" t="n"/>
      <c r="F48" s="683" t="n"/>
    </row>
    <row r="49" ht="14.25" customHeight="1" s="468">
      <c r="A49" s="692" t="n"/>
      <c r="B49" s="693" t="n"/>
      <c r="C49" s="693" t="n"/>
      <c r="D49" s="693" t="n"/>
      <c r="E49" s="693" t="n"/>
      <c r="F49" s="683" t="n"/>
    </row>
    <row r="50" ht="14.25" customHeight="1" s="468">
      <c r="A50" s="692" t="n"/>
      <c r="B50" s="693" t="n"/>
      <c r="C50" s="693" t="n"/>
      <c r="D50" s="693" t="n"/>
      <c r="E50" s="693" t="n"/>
      <c r="F50" s="683" t="n"/>
    </row>
    <row r="51" ht="14.25" customHeight="1" s="468">
      <c r="A51" s="692" t="n"/>
      <c r="B51" s="693" t="n"/>
      <c r="C51" s="693" t="n"/>
      <c r="D51" s="693" t="n"/>
      <c r="E51" s="693" t="n"/>
      <c r="F51" s="683" t="n"/>
    </row>
    <row r="52" ht="14.25" customHeight="1" s="468">
      <c r="A52" s="692" t="n"/>
      <c r="B52" s="693" t="n"/>
      <c r="C52" s="693" t="n"/>
      <c r="D52" s="693" t="n"/>
      <c r="E52" s="693" t="n"/>
      <c r="F52" s="683" t="n"/>
    </row>
    <row r="53" ht="14.25" customHeight="1" s="468">
      <c r="A53" s="692" t="n"/>
      <c r="B53" s="693" t="n"/>
      <c r="C53" s="693" t="n"/>
      <c r="D53" s="693" t="n"/>
      <c r="E53" s="693" t="n"/>
      <c r="F53" s="683" t="n"/>
    </row>
    <row r="54" ht="14.25" customHeight="1" s="468">
      <c r="A54" s="692" t="n"/>
      <c r="B54" s="693" t="n"/>
      <c r="C54" s="693" t="n"/>
      <c r="D54" s="693" t="n"/>
      <c r="E54" s="693" t="n"/>
      <c r="F54" s="683" t="n"/>
    </row>
    <row r="55" ht="14.25" customHeight="1" s="468">
      <c r="A55" s="692" t="n"/>
      <c r="B55" s="693" t="n"/>
      <c r="C55" s="693" t="n"/>
      <c r="D55" s="693" t="n"/>
      <c r="E55" s="693" t="n"/>
      <c r="F55" s="683" t="n"/>
    </row>
    <row r="56" ht="14.25" customHeight="1" s="468">
      <c r="A56" s="692" t="n"/>
      <c r="B56" s="693" t="n"/>
      <c r="C56" s="693" t="n"/>
      <c r="D56" s="693" t="n"/>
      <c r="E56" s="693" t="n"/>
      <c r="F56" s="683" t="n"/>
    </row>
    <row r="57" ht="14.25" customHeight="1" s="468">
      <c r="A57" s="692" t="n"/>
      <c r="B57" s="693" t="n"/>
      <c r="C57" s="693" t="n"/>
      <c r="D57" s="693" t="n"/>
      <c r="E57" s="693" t="n"/>
      <c r="F57" s="683" t="n"/>
    </row>
    <row r="58" ht="14.25" customHeight="1" s="468">
      <c r="A58" s="692" t="n"/>
      <c r="B58" s="693" t="n"/>
      <c r="C58" s="693" t="n"/>
      <c r="D58" s="693" t="n"/>
      <c r="E58" s="693" t="n"/>
      <c r="F58" s="683" t="n"/>
    </row>
    <row r="59" ht="14.25" customHeight="1" s="468">
      <c r="A59" s="692" t="n"/>
      <c r="B59" s="693" t="n"/>
      <c r="C59" s="693" t="n"/>
      <c r="D59" s="693" t="n"/>
      <c r="E59" s="693" t="n"/>
      <c r="F59" s="683" t="n"/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C96B0A"/>
    <outlinePr summaryBelow="1" summaryRight="1"/>
    <pageSetUpPr/>
  </sheetPr>
  <dimension ref="B1:N300"/>
  <sheetViews>
    <sheetView showGridLines="0" zoomScaleNormal="100" workbookViewId="0">
      <selection activeCell="A1" sqref="A1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5" min="14" max="14"/>
  </cols>
  <sheetData>
    <row r="1" ht="21.75" customHeight="1" s="468">
      <c r="B1" s="511" t="inlineStr">
        <is>
          <t>ORDEM DE PRODUÇÃO - JUNHO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179" t="inlineStr">
        <is>
          <t>OP</t>
        </is>
      </c>
      <c r="C3" s="519" t="inlineStr">
        <is>
          <t xml:space="preserve">LOTE </t>
        </is>
      </c>
      <c r="D3" s="454" t="n"/>
      <c r="E3" s="519" t="inlineStr">
        <is>
          <t>LOTE CLIENTE</t>
        </is>
      </c>
      <c r="F3" s="454" t="n"/>
      <c r="G3" s="519" t="inlineStr">
        <is>
          <t>PRODUTO</t>
        </is>
      </c>
      <c r="H3" s="456" t="n"/>
      <c r="I3" s="456" t="n"/>
      <c r="J3" s="454" t="n"/>
      <c r="K3" s="519" t="inlineStr">
        <is>
          <t>CLIENTE</t>
        </is>
      </c>
      <c r="L3" s="454" t="n"/>
      <c r="M3" s="180" t="inlineStr">
        <is>
          <t>QTDE(Kg)</t>
        </is>
      </c>
      <c r="N3" s="417" t="inlineStr">
        <is>
          <t>FABRICAÇÃO</t>
        </is>
      </c>
    </row>
    <row r="4" ht="17.25" customHeight="1" s="468">
      <c r="B4" s="262" t="n"/>
      <c r="C4" s="510" t="n"/>
      <c r="D4" s="484" t="n"/>
      <c r="E4" s="510" t="n"/>
      <c r="F4" s="484" t="n"/>
      <c r="G4" s="510" t="n"/>
      <c r="H4" s="483" t="n"/>
      <c r="I4" s="483" t="n"/>
      <c r="J4" s="484" t="n"/>
      <c r="K4" s="510" t="n"/>
      <c r="L4" s="484" t="n"/>
      <c r="M4" s="263" t="n"/>
      <c r="N4" s="417" t="n"/>
    </row>
    <row r="5" ht="17.25" customHeight="1" s="468">
      <c r="B5" s="20" t="n"/>
      <c r="C5" s="490" t="n"/>
      <c r="D5" s="486" t="n"/>
      <c r="E5" s="490" t="n"/>
      <c r="F5" s="486" t="n"/>
      <c r="G5" s="490" t="n"/>
      <c r="H5" s="488" t="n"/>
      <c r="I5" s="488" t="n"/>
      <c r="J5" s="486" t="n"/>
      <c r="K5" s="490" t="n"/>
      <c r="L5" s="486" t="n"/>
      <c r="M5" s="21" t="n"/>
      <c r="N5" s="417" t="n"/>
    </row>
    <row r="6" ht="17.25" customHeight="1" s="468">
      <c r="B6" s="18" t="n"/>
      <c r="C6" s="485" t="n"/>
      <c r="D6" s="486" t="n"/>
      <c r="E6" s="485" t="n"/>
      <c r="F6" s="486" t="n"/>
      <c r="G6" s="485" t="n"/>
      <c r="H6" s="488" t="n"/>
      <c r="I6" s="488" t="n"/>
      <c r="J6" s="486" t="n"/>
      <c r="K6" s="485" t="n"/>
      <c r="L6" s="486" t="n"/>
      <c r="M6" s="22" t="n"/>
      <c r="N6" s="417" t="n"/>
    </row>
    <row r="7" ht="17.25" customHeight="1" s="468">
      <c r="B7" s="20" t="n"/>
      <c r="C7" s="490" t="n"/>
      <c r="D7" s="486" t="n"/>
      <c r="E7" s="490" t="n"/>
      <c r="F7" s="486" t="n"/>
      <c r="G7" s="490" t="n"/>
      <c r="H7" s="488" t="n"/>
      <c r="I7" s="488" t="n"/>
      <c r="J7" s="486" t="n"/>
      <c r="K7" s="490" t="n"/>
      <c r="L7" s="486" t="n"/>
      <c r="M7" s="23" t="n"/>
      <c r="N7" s="417" t="n"/>
    </row>
    <row r="8" ht="17.25" customHeight="1" s="468">
      <c r="B8" s="18" t="n"/>
      <c r="C8" s="485" t="n"/>
      <c r="D8" s="486" t="n"/>
      <c r="E8" s="485" t="n"/>
      <c r="F8" s="486" t="n"/>
      <c r="G8" s="485" t="n"/>
      <c r="H8" s="488" t="n"/>
      <c r="I8" s="488" t="n"/>
      <c r="J8" s="486" t="n"/>
      <c r="K8" s="485" t="n"/>
      <c r="L8" s="486" t="n"/>
      <c r="M8" s="22" t="n"/>
      <c r="N8" s="417" t="n"/>
    </row>
    <row r="9" ht="17.25" customHeight="1" s="468">
      <c r="B9" s="20" t="n"/>
      <c r="C9" s="490" t="n"/>
      <c r="D9" s="486" t="n"/>
      <c r="E9" s="490" t="n"/>
      <c r="F9" s="486" t="n"/>
      <c r="G9" s="490" t="n"/>
      <c r="H9" s="488" t="n"/>
      <c r="I9" s="488" t="n"/>
      <c r="J9" s="486" t="n"/>
      <c r="K9" s="490" t="n"/>
      <c r="L9" s="486" t="n"/>
      <c r="M9" s="21" t="n"/>
      <c r="N9" s="417" t="n"/>
    </row>
    <row r="10" ht="17.25" customHeight="1" s="468">
      <c r="B10" s="18" t="n"/>
      <c r="C10" s="485" t="n"/>
      <c r="D10" s="486" t="n"/>
      <c r="E10" s="485" t="n"/>
      <c r="F10" s="486" t="n"/>
      <c r="G10" s="485" t="n"/>
      <c r="H10" s="488" t="n"/>
      <c r="I10" s="488" t="n"/>
      <c r="J10" s="486" t="n"/>
      <c r="K10" s="485" t="n"/>
      <c r="L10" s="486" t="n"/>
      <c r="M10" s="19" t="n"/>
      <c r="N10" s="417" t="n"/>
    </row>
    <row r="11" ht="17.25" customHeight="1" s="468">
      <c r="B11" s="20" t="n"/>
      <c r="C11" s="490" t="n"/>
      <c r="D11" s="486" t="n"/>
      <c r="E11" s="490" t="n"/>
      <c r="F11" s="486" t="n"/>
      <c r="G11" s="490" t="n"/>
      <c r="H11" s="488" t="n"/>
      <c r="I11" s="488" t="n"/>
      <c r="J11" s="486" t="n"/>
      <c r="K11" s="490" t="n"/>
      <c r="L11" s="486" t="n"/>
      <c r="M11" s="21" t="n"/>
      <c r="N11" s="417" t="n"/>
    </row>
    <row r="12" ht="17.25" customHeight="1" s="468">
      <c r="B12" s="18" t="n"/>
      <c r="C12" s="485" t="n"/>
      <c r="D12" s="486" t="n"/>
      <c r="E12" s="485" t="n"/>
      <c r="F12" s="486" t="n"/>
      <c r="G12" s="485" t="n"/>
      <c r="H12" s="488" t="n"/>
      <c r="I12" s="488" t="n"/>
      <c r="J12" s="486" t="n"/>
      <c r="K12" s="485" t="n"/>
      <c r="L12" s="486" t="n"/>
      <c r="M12" s="19" t="n"/>
      <c r="N12" s="417" t="n"/>
    </row>
    <row r="13" ht="17.25" customHeight="1" s="468">
      <c r="B13" s="20" t="n"/>
      <c r="C13" s="490" t="n"/>
      <c r="D13" s="486" t="n"/>
      <c r="E13" s="490" t="n"/>
      <c r="F13" s="486" t="n"/>
      <c r="G13" s="490" t="n"/>
      <c r="H13" s="488" t="n"/>
      <c r="I13" s="488" t="n"/>
      <c r="J13" s="486" t="n"/>
      <c r="K13" s="490" t="n"/>
      <c r="L13" s="486" t="n"/>
      <c r="M13" s="21" t="n"/>
      <c r="N13" s="417" t="n"/>
    </row>
    <row r="14" ht="17.25" customHeight="1" s="468">
      <c r="B14" s="18" t="n"/>
      <c r="C14" s="485" t="n"/>
      <c r="D14" s="486" t="n"/>
      <c r="E14" s="485" t="n"/>
      <c r="F14" s="486" t="n"/>
      <c r="G14" s="485" t="n"/>
      <c r="H14" s="488" t="n"/>
      <c r="I14" s="488" t="n"/>
      <c r="J14" s="486" t="n"/>
      <c r="K14" s="485" t="n"/>
      <c r="L14" s="486" t="n"/>
      <c r="M14" s="19" t="n"/>
      <c r="N14" s="417" t="n"/>
    </row>
    <row r="15" ht="17.25" customHeight="1" s="468">
      <c r="B15" s="20" t="n"/>
      <c r="C15" s="490" t="n"/>
      <c r="D15" s="486" t="n"/>
      <c r="E15" s="490" t="n"/>
      <c r="F15" s="486" t="n"/>
      <c r="G15" s="490" t="n"/>
      <c r="H15" s="488" t="n"/>
      <c r="I15" s="488" t="n"/>
      <c r="J15" s="486" t="n"/>
      <c r="K15" s="490" t="n"/>
      <c r="L15" s="486" t="n"/>
      <c r="M15" s="21" t="n"/>
      <c r="N15" s="417" t="n"/>
    </row>
    <row r="16" ht="17.25" customHeight="1" s="468">
      <c r="B16" s="18" t="n"/>
      <c r="C16" s="485" t="n"/>
      <c r="D16" s="486" t="n"/>
      <c r="E16" s="485" t="n"/>
      <c r="F16" s="486" t="n"/>
      <c r="G16" s="485" t="n"/>
      <c r="H16" s="488" t="n"/>
      <c r="I16" s="488" t="n"/>
      <c r="J16" s="486" t="n"/>
      <c r="K16" s="485" t="n"/>
      <c r="L16" s="486" t="n"/>
      <c r="M16" s="19" t="n"/>
      <c r="N16" s="417" t="n"/>
    </row>
    <row r="17" ht="17.25" customHeight="1" s="468">
      <c r="B17" s="20" t="n"/>
      <c r="C17" s="490" t="n"/>
      <c r="D17" s="486" t="n"/>
      <c r="E17" s="490" t="n"/>
      <c r="F17" s="486" t="n"/>
      <c r="G17" s="490" t="n"/>
      <c r="H17" s="488" t="n"/>
      <c r="I17" s="488" t="n"/>
      <c r="J17" s="486" t="n"/>
      <c r="K17" s="490" t="n"/>
      <c r="L17" s="486" t="n"/>
      <c r="M17" s="23" t="n"/>
      <c r="N17" s="417" t="n"/>
    </row>
    <row r="18" ht="17.25" customHeight="1" s="468">
      <c r="B18" s="18" t="n"/>
      <c r="C18" s="485" t="n"/>
      <c r="D18" s="486" t="n"/>
      <c r="E18" s="485" t="n"/>
      <c r="F18" s="486" t="n"/>
      <c r="G18" s="485" t="n"/>
      <c r="H18" s="488" t="n"/>
      <c r="I18" s="488" t="n"/>
      <c r="J18" s="486" t="n"/>
      <c r="K18" s="485" t="n"/>
      <c r="L18" s="486" t="n"/>
      <c r="M18" s="19" t="n"/>
      <c r="N18" s="417" t="n"/>
    </row>
    <row r="19" ht="17.25" customHeight="1" s="468">
      <c r="B19" s="20" t="n"/>
      <c r="C19" s="490" t="n"/>
      <c r="D19" s="486" t="n"/>
      <c r="E19" s="490" t="n"/>
      <c r="F19" s="486" t="n"/>
      <c r="G19" s="490" t="n"/>
      <c r="H19" s="488" t="n"/>
      <c r="I19" s="488" t="n"/>
      <c r="J19" s="486" t="n"/>
      <c r="K19" s="490" t="n"/>
      <c r="L19" s="486" t="n"/>
      <c r="M19" s="21" t="n"/>
      <c r="N19" s="417" t="n"/>
    </row>
    <row r="20" ht="17.25" customHeight="1" s="468">
      <c r="B20" s="18" t="n"/>
      <c r="C20" s="485" t="n"/>
      <c r="D20" s="486" t="n"/>
      <c r="E20" s="485" t="n"/>
      <c r="F20" s="486" t="n"/>
      <c r="G20" s="485" t="n"/>
      <c r="H20" s="488" t="n"/>
      <c r="I20" s="488" t="n"/>
      <c r="J20" s="486" t="n"/>
      <c r="K20" s="485" t="n"/>
      <c r="L20" s="486" t="n"/>
      <c r="M20" s="19" t="n"/>
      <c r="N20" s="417" t="n"/>
    </row>
    <row r="21" ht="17.25" customHeight="1" s="468">
      <c r="B21" s="20" t="n"/>
      <c r="C21" s="490" t="n"/>
      <c r="D21" s="486" t="n"/>
      <c r="E21" s="490" t="n"/>
      <c r="F21" s="486" t="n"/>
      <c r="G21" s="490" t="n"/>
      <c r="H21" s="488" t="n"/>
      <c r="I21" s="488" t="n"/>
      <c r="J21" s="486" t="n"/>
      <c r="K21" s="490" t="n"/>
      <c r="L21" s="486" t="n"/>
      <c r="M21" s="21" t="n"/>
      <c r="N21" s="417" t="n"/>
    </row>
    <row r="22" ht="17.25" customHeight="1" s="468">
      <c r="B22" s="18" t="n"/>
      <c r="C22" s="485" t="n"/>
      <c r="D22" s="486" t="n"/>
      <c r="E22" s="485" t="n"/>
      <c r="F22" s="486" t="n"/>
      <c r="G22" s="485" t="n"/>
      <c r="H22" s="488" t="n"/>
      <c r="I22" s="488" t="n"/>
      <c r="J22" s="486" t="n"/>
      <c r="K22" s="485" t="n"/>
      <c r="L22" s="486" t="n"/>
      <c r="M22" s="19" t="n"/>
      <c r="N22" s="417" t="n"/>
    </row>
    <row r="23" ht="17.25" customHeight="1" s="468">
      <c r="B23" s="20" t="n"/>
      <c r="C23" s="490" t="n"/>
      <c r="D23" s="486" t="n"/>
      <c r="E23" s="490" t="n"/>
      <c r="F23" s="486" t="n"/>
      <c r="G23" s="490" t="n"/>
      <c r="H23" s="488" t="n"/>
      <c r="I23" s="488" t="n"/>
      <c r="J23" s="486" t="n"/>
      <c r="K23" s="490" t="n"/>
      <c r="L23" s="486" t="n"/>
      <c r="M23" s="21" t="n"/>
      <c r="N23" s="417" t="n"/>
    </row>
    <row r="24" ht="17.25" customHeight="1" s="468">
      <c r="B24" s="18" t="n"/>
      <c r="C24" s="485" t="n"/>
      <c r="D24" s="486" t="n"/>
      <c r="E24" s="485" t="n"/>
      <c r="F24" s="486" t="n"/>
      <c r="G24" s="485" t="n"/>
      <c r="H24" s="488" t="n"/>
      <c r="I24" s="488" t="n"/>
      <c r="J24" s="486" t="n"/>
      <c r="K24" s="485" t="n"/>
      <c r="L24" s="486" t="n"/>
      <c r="M24" s="19" t="n"/>
      <c r="N24" s="417" t="n"/>
    </row>
    <row r="25" ht="17.25" customHeight="1" s="468">
      <c r="B25" s="20" t="n"/>
      <c r="C25" s="490" t="n"/>
      <c r="D25" s="486" t="n"/>
      <c r="E25" s="490" t="n"/>
      <c r="F25" s="486" t="n"/>
      <c r="G25" s="490" t="n"/>
      <c r="H25" s="488" t="n"/>
      <c r="I25" s="488" t="n"/>
      <c r="J25" s="486" t="n"/>
      <c r="K25" s="490" t="n"/>
      <c r="L25" s="486" t="n"/>
      <c r="M25" s="23" t="n"/>
      <c r="N25" s="417" t="n"/>
    </row>
    <row r="26" ht="17.25" customHeight="1" s="468">
      <c r="B26" s="18" t="n"/>
      <c r="C26" s="485" t="n"/>
      <c r="D26" s="486" t="n"/>
      <c r="E26" s="485" t="n"/>
      <c r="F26" s="486" t="n"/>
      <c r="G26" s="485" t="n"/>
      <c r="H26" s="488" t="n"/>
      <c r="I26" s="488" t="n"/>
      <c r="J26" s="486" t="n"/>
      <c r="K26" s="485" t="n"/>
      <c r="L26" s="486" t="n"/>
      <c r="M26" s="19" t="n"/>
      <c r="N26" s="417" t="n"/>
    </row>
    <row r="27" ht="17.25" customHeight="1" s="468">
      <c r="B27" s="20" t="n"/>
      <c r="C27" s="490" t="n"/>
      <c r="D27" s="486" t="n"/>
      <c r="E27" s="490" t="n"/>
      <c r="F27" s="486" t="n"/>
      <c r="G27" s="490" t="n"/>
      <c r="H27" s="488" t="n"/>
      <c r="I27" s="488" t="n"/>
      <c r="J27" s="486" t="n"/>
      <c r="K27" s="490" t="n"/>
      <c r="L27" s="486" t="n"/>
      <c r="M27" s="21" t="n"/>
      <c r="N27" s="417" t="n"/>
    </row>
    <row r="28" ht="17.25" customHeight="1" s="468">
      <c r="B28" s="18" t="n"/>
      <c r="C28" s="485" t="n"/>
      <c r="D28" s="486" t="n"/>
      <c r="E28" s="485" t="n"/>
      <c r="F28" s="486" t="n"/>
      <c r="G28" s="485" t="n"/>
      <c r="H28" s="488" t="n"/>
      <c r="I28" s="488" t="n"/>
      <c r="J28" s="486" t="n"/>
      <c r="K28" s="485" t="n"/>
      <c r="L28" s="486" t="n"/>
      <c r="M28" s="19" t="n"/>
      <c r="N28" s="417" t="n"/>
    </row>
    <row r="29" ht="17.25" customHeight="1" s="468">
      <c r="B29" s="20" t="n"/>
      <c r="C29" s="490" t="n"/>
      <c r="D29" s="486" t="n"/>
      <c r="E29" s="490" t="n"/>
      <c r="F29" s="486" t="n"/>
      <c r="G29" s="490" t="n"/>
      <c r="H29" s="488" t="n"/>
      <c r="I29" s="488" t="n"/>
      <c r="J29" s="486" t="n"/>
      <c r="K29" s="490" t="n"/>
      <c r="L29" s="486" t="n"/>
      <c r="M29" s="21" t="n"/>
      <c r="N29" s="417" t="n"/>
    </row>
    <row r="30" ht="17.25" customHeight="1" s="468">
      <c r="B30" s="18" t="n"/>
      <c r="C30" s="485" t="n"/>
      <c r="D30" s="486" t="n"/>
      <c r="E30" s="485" t="n"/>
      <c r="F30" s="486" t="n"/>
      <c r="G30" s="485" t="n"/>
      <c r="H30" s="488" t="n"/>
      <c r="I30" s="488" t="n"/>
      <c r="J30" s="486" t="n"/>
      <c r="K30" s="485" t="n"/>
      <c r="L30" s="486" t="n"/>
      <c r="M30" s="19" t="n"/>
      <c r="N30" s="417" t="n"/>
    </row>
    <row r="31" ht="17.25" customHeight="1" s="468">
      <c r="B31" s="20" t="n"/>
      <c r="C31" s="490" t="n"/>
      <c r="D31" s="486" t="n"/>
      <c r="E31" s="490" t="n"/>
      <c r="F31" s="486" t="n"/>
      <c r="G31" s="490" t="n"/>
      <c r="H31" s="488" t="n"/>
      <c r="I31" s="488" t="n"/>
      <c r="J31" s="486" t="n"/>
      <c r="K31" s="490" t="n"/>
      <c r="L31" s="486" t="n"/>
      <c r="M31" s="21" t="n"/>
      <c r="N31" s="417" t="n"/>
    </row>
    <row r="32" ht="17.25" customHeight="1" s="468">
      <c r="B32" s="18" t="n"/>
      <c r="C32" s="485" t="n"/>
      <c r="D32" s="486" t="n"/>
      <c r="E32" s="485" t="n"/>
      <c r="F32" s="486" t="n"/>
      <c r="G32" s="485" t="n"/>
      <c r="H32" s="488" t="n"/>
      <c r="I32" s="488" t="n"/>
      <c r="J32" s="486" t="n"/>
      <c r="K32" s="485" t="n"/>
      <c r="L32" s="486" t="n"/>
      <c r="M32" s="19" t="n"/>
      <c r="N32" s="417" t="n"/>
    </row>
    <row r="33" ht="17.25" customHeight="1" s="468">
      <c r="B33" s="20" t="n"/>
      <c r="C33" s="490" t="n"/>
      <c r="D33" s="486" t="n"/>
      <c r="E33" s="490" t="n"/>
      <c r="F33" s="486" t="n"/>
      <c r="G33" s="490" t="n"/>
      <c r="H33" s="488" t="n"/>
      <c r="I33" s="488" t="n"/>
      <c r="J33" s="486" t="n"/>
      <c r="K33" s="490" t="n"/>
      <c r="L33" s="486" t="n"/>
      <c r="M33" s="21" t="n"/>
      <c r="N33" s="417" t="n"/>
    </row>
    <row r="34" ht="17.25" customHeight="1" s="468">
      <c r="B34" s="18" t="n"/>
      <c r="C34" s="485" t="n"/>
      <c r="D34" s="486" t="n"/>
      <c r="E34" s="485" t="n"/>
      <c r="F34" s="486" t="n"/>
      <c r="G34" s="485" t="n"/>
      <c r="H34" s="488" t="n"/>
      <c r="I34" s="488" t="n"/>
      <c r="J34" s="486" t="n"/>
      <c r="K34" s="485" t="n"/>
      <c r="L34" s="486" t="n"/>
      <c r="M34" s="22" t="n"/>
      <c r="N34" s="417" t="n"/>
    </row>
    <row r="35" ht="17.25" customHeight="1" s="468">
      <c r="B35" s="20" t="n"/>
      <c r="C35" s="490" t="n"/>
      <c r="D35" s="486" t="n"/>
      <c r="E35" s="490" t="n"/>
      <c r="F35" s="486" t="n"/>
      <c r="G35" s="490" t="n"/>
      <c r="H35" s="488" t="n"/>
      <c r="I35" s="488" t="n"/>
      <c r="J35" s="486" t="n"/>
      <c r="K35" s="490" t="n"/>
      <c r="L35" s="486" t="n"/>
      <c r="M35" s="21" t="n"/>
      <c r="N35" s="417" t="n"/>
    </row>
    <row r="36" ht="17.25" customHeight="1" s="468">
      <c r="B36" s="18" t="n"/>
      <c r="C36" s="485" t="n"/>
      <c r="D36" s="486" t="n"/>
      <c r="E36" s="485" t="n"/>
      <c r="F36" s="486" t="n"/>
      <c r="G36" s="485" t="n"/>
      <c r="H36" s="488" t="n"/>
      <c r="I36" s="488" t="n"/>
      <c r="J36" s="486" t="n"/>
      <c r="K36" s="485" t="n"/>
      <c r="L36" s="486" t="n"/>
      <c r="M36" s="19" t="n"/>
      <c r="N36" s="417" t="n"/>
    </row>
    <row r="37" ht="17.25" customHeight="1" s="468">
      <c r="B37" s="20" t="n"/>
      <c r="C37" s="490" t="n"/>
      <c r="D37" s="486" t="n"/>
      <c r="E37" s="490" t="n"/>
      <c r="F37" s="486" t="n"/>
      <c r="G37" s="490" t="n"/>
      <c r="H37" s="488" t="n"/>
      <c r="I37" s="488" t="n"/>
      <c r="J37" s="486" t="n"/>
      <c r="K37" s="490" t="n"/>
      <c r="L37" s="486" t="n"/>
      <c r="M37" s="21" t="n"/>
      <c r="N37" s="417" t="n"/>
    </row>
    <row r="38" ht="17.25" customHeight="1" s="468">
      <c r="B38" s="18" t="n"/>
      <c r="C38" s="485" t="n"/>
      <c r="D38" s="486" t="n"/>
      <c r="E38" s="485" t="n"/>
      <c r="F38" s="486" t="n"/>
      <c r="G38" s="485" t="n"/>
      <c r="H38" s="488" t="n"/>
      <c r="I38" s="488" t="n"/>
      <c r="J38" s="486" t="n"/>
      <c r="K38" s="485" t="n"/>
      <c r="L38" s="486" t="n"/>
      <c r="M38" s="19" t="n"/>
      <c r="N38" s="417" t="n"/>
    </row>
    <row r="39" ht="17.25" customHeight="1" s="468">
      <c r="B39" s="20" t="n"/>
      <c r="C39" s="490" t="n"/>
      <c r="D39" s="486" t="n"/>
      <c r="E39" s="490" t="n"/>
      <c r="F39" s="486" t="n"/>
      <c r="G39" s="490" t="n"/>
      <c r="H39" s="488" t="n"/>
      <c r="I39" s="488" t="n"/>
      <c r="J39" s="486" t="n"/>
      <c r="K39" s="490" t="n"/>
      <c r="L39" s="486" t="n"/>
      <c r="M39" s="21" t="n"/>
      <c r="N39" s="417" t="n"/>
    </row>
    <row r="40" ht="17.25" customHeight="1" s="468">
      <c r="B40" s="18" t="n"/>
      <c r="C40" s="485" t="n"/>
      <c r="D40" s="486" t="n"/>
      <c r="E40" s="485" t="n"/>
      <c r="F40" s="486" t="n"/>
      <c r="G40" s="485" t="n"/>
      <c r="H40" s="488" t="n"/>
      <c r="I40" s="488" t="n"/>
      <c r="J40" s="486" t="n"/>
      <c r="K40" s="485" t="n"/>
      <c r="L40" s="486" t="n"/>
      <c r="M40" s="19" t="n"/>
      <c r="N40" s="417" t="n"/>
    </row>
    <row r="41" ht="17.25" customHeight="1" s="468">
      <c r="B41" s="20" t="n"/>
      <c r="C41" s="490" t="n"/>
      <c r="D41" s="486" t="n"/>
      <c r="E41" s="490" t="n"/>
      <c r="F41" s="486" t="n"/>
      <c r="G41" s="490" t="n"/>
      <c r="H41" s="488" t="n"/>
      <c r="I41" s="488" t="n"/>
      <c r="J41" s="486" t="n"/>
      <c r="K41" s="490" t="n"/>
      <c r="L41" s="486" t="n"/>
      <c r="M41" s="21" t="n"/>
      <c r="N41" s="417" t="n"/>
    </row>
    <row r="42" ht="17.25" customHeight="1" s="468">
      <c r="B42" s="18" t="n"/>
      <c r="C42" s="485" t="n"/>
      <c r="D42" s="486" t="n"/>
      <c r="E42" s="485" t="n"/>
      <c r="F42" s="486" t="n"/>
      <c r="G42" s="485" t="n"/>
      <c r="H42" s="488" t="n"/>
      <c r="I42" s="488" t="n"/>
      <c r="J42" s="486" t="n"/>
      <c r="K42" s="485" t="n"/>
      <c r="L42" s="486" t="n"/>
      <c r="M42" s="22" t="n"/>
      <c r="N42" s="417" t="n"/>
    </row>
    <row r="43" ht="17.25" customHeight="1" s="468">
      <c r="B43" s="20" t="n"/>
      <c r="C43" s="490" t="n"/>
      <c r="D43" s="486" t="n"/>
      <c r="E43" s="490" t="n"/>
      <c r="F43" s="486" t="n"/>
      <c r="G43" s="490" t="n"/>
      <c r="H43" s="488" t="n"/>
      <c r="I43" s="488" t="n"/>
      <c r="J43" s="486" t="n"/>
      <c r="K43" s="490" t="n"/>
      <c r="L43" s="486" t="n"/>
      <c r="M43" s="21" t="n"/>
      <c r="N43" s="417" t="n"/>
    </row>
    <row r="44" ht="17.25" customHeight="1" s="468">
      <c r="B44" s="18" t="n"/>
      <c r="C44" s="485" t="n"/>
      <c r="D44" s="486" t="n"/>
      <c r="E44" s="485" t="n"/>
      <c r="F44" s="486" t="n"/>
      <c r="G44" s="485" t="n"/>
      <c r="H44" s="488" t="n"/>
      <c r="I44" s="488" t="n"/>
      <c r="J44" s="486" t="n"/>
      <c r="K44" s="485" t="n"/>
      <c r="L44" s="486" t="n"/>
      <c r="M44" s="19" t="n"/>
      <c r="N44" s="417" t="n"/>
    </row>
    <row r="45" ht="17.25" customHeight="1" s="468">
      <c r="B45" s="20" t="n"/>
      <c r="C45" s="490" t="n"/>
      <c r="D45" s="486" t="n"/>
      <c r="E45" s="490" t="n"/>
      <c r="F45" s="486" t="n"/>
      <c r="G45" s="490" t="n"/>
      <c r="H45" s="488" t="n"/>
      <c r="I45" s="488" t="n"/>
      <c r="J45" s="486" t="n"/>
      <c r="K45" s="490" t="n"/>
      <c r="L45" s="486" t="n"/>
      <c r="M45" s="21" t="n"/>
      <c r="N45" s="417" t="n"/>
    </row>
    <row r="46" ht="17.25" customHeight="1" s="468">
      <c r="B46" s="18" t="n"/>
      <c r="C46" s="485" t="n"/>
      <c r="D46" s="486" t="n"/>
      <c r="E46" s="485" t="n"/>
      <c r="F46" s="486" t="n"/>
      <c r="G46" s="485" t="n"/>
      <c r="H46" s="488" t="n"/>
      <c r="I46" s="488" t="n"/>
      <c r="J46" s="486" t="n"/>
      <c r="K46" s="485" t="n"/>
      <c r="L46" s="486" t="n"/>
      <c r="M46" s="19" t="n"/>
      <c r="N46" s="417" t="n"/>
    </row>
    <row r="47" ht="17.25" customHeight="1" s="468">
      <c r="B47" s="20" t="n"/>
      <c r="C47" s="490" t="n"/>
      <c r="D47" s="486" t="n"/>
      <c r="E47" s="490" t="n"/>
      <c r="F47" s="486" t="n"/>
      <c r="G47" s="490" t="n"/>
      <c r="H47" s="488" t="n"/>
      <c r="I47" s="488" t="n"/>
      <c r="J47" s="486" t="n"/>
      <c r="K47" s="490" t="n"/>
      <c r="L47" s="486" t="n"/>
      <c r="M47" s="21" t="n"/>
      <c r="N47" s="417" t="n"/>
    </row>
    <row r="48" ht="17.25" customHeight="1" s="468">
      <c r="B48" s="18" t="n"/>
      <c r="C48" s="485" t="n"/>
      <c r="D48" s="486" t="n"/>
      <c r="E48" s="485" t="n"/>
      <c r="F48" s="486" t="n"/>
      <c r="G48" s="485" t="n"/>
      <c r="H48" s="488" t="n"/>
      <c r="I48" s="488" t="n"/>
      <c r="J48" s="486" t="n"/>
      <c r="K48" s="485" t="n"/>
      <c r="L48" s="486" t="n"/>
      <c r="M48" s="19" t="n"/>
      <c r="N48" s="417" t="n"/>
    </row>
    <row r="49" ht="17.25" customHeight="1" s="468">
      <c r="B49" s="20" t="n"/>
      <c r="C49" s="490" t="n"/>
      <c r="D49" s="486" t="n"/>
      <c r="E49" s="490" t="n"/>
      <c r="F49" s="486" t="n"/>
      <c r="G49" s="490" t="n"/>
      <c r="H49" s="488" t="n"/>
      <c r="I49" s="488" t="n"/>
      <c r="J49" s="486" t="n"/>
      <c r="K49" s="490" t="n"/>
      <c r="L49" s="486" t="n"/>
      <c r="M49" s="21" t="n"/>
      <c r="N49" s="417" t="n"/>
    </row>
    <row r="50" ht="17.25" customHeight="1" s="468">
      <c r="B50" s="18" t="n"/>
      <c r="C50" s="485" t="n"/>
      <c r="D50" s="486" t="n"/>
      <c r="E50" s="485" t="n"/>
      <c r="F50" s="486" t="n"/>
      <c r="G50" s="485" t="n"/>
      <c r="H50" s="488" t="n"/>
      <c r="I50" s="488" t="n"/>
      <c r="J50" s="486" t="n"/>
      <c r="K50" s="485" t="n"/>
      <c r="L50" s="486" t="n"/>
      <c r="M50" s="19" t="n"/>
      <c r="N50" s="417" t="n"/>
    </row>
    <row r="51" ht="17.25" customHeight="1" s="468">
      <c r="B51" s="20" t="n"/>
      <c r="C51" s="490" t="n"/>
      <c r="D51" s="486" t="n"/>
      <c r="E51" s="490" t="n"/>
      <c r="F51" s="486" t="n"/>
      <c r="G51" s="490" t="n"/>
      <c r="H51" s="488" t="n"/>
      <c r="I51" s="488" t="n"/>
      <c r="J51" s="486" t="n"/>
      <c r="K51" s="490" t="n"/>
      <c r="L51" s="486" t="n"/>
      <c r="M51" s="23" t="n"/>
      <c r="N51" s="417" t="n"/>
    </row>
    <row r="52" ht="17.25" customHeight="1" s="468">
      <c r="B52" s="18" t="n"/>
      <c r="C52" s="485" t="n"/>
      <c r="D52" s="486" t="n"/>
      <c r="E52" s="485" t="n"/>
      <c r="F52" s="486" t="n"/>
      <c r="G52" s="485" t="n"/>
      <c r="H52" s="488" t="n"/>
      <c r="I52" s="488" t="n"/>
      <c r="J52" s="486" t="n"/>
      <c r="K52" s="485" t="n"/>
      <c r="L52" s="486" t="n"/>
      <c r="M52" s="19" t="n"/>
      <c r="N52" s="417" t="n"/>
    </row>
    <row r="53" ht="17.25" customHeight="1" s="468">
      <c r="B53" s="20" t="n"/>
      <c r="C53" s="490" t="n"/>
      <c r="D53" s="486" t="n"/>
      <c r="E53" s="490" t="n"/>
      <c r="F53" s="486" t="n"/>
      <c r="G53" s="490" t="n"/>
      <c r="H53" s="488" t="n"/>
      <c r="I53" s="488" t="n"/>
      <c r="J53" s="486" t="n"/>
      <c r="K53" s="490" t="n"/>
      <c r="L53" s="486" t="n"/>
      <c r="M53" s="21" t="n"/>
      <c r="N53" s="417" t="n"/>
    </row>
    <row r="54" ht="17.25" customHeight="1" s="468">
      <c r="B54" s="18" t="n"/>
      <c r="C54" s="485" t="n"/>
      <c r="D54" s="486" t="n"/>
      <c r="E54" s="485" t="n"/>
      <c r="F54" s="486" t="n"/>
      <c r="G54" s="485" t="n"/>
      <c r="H54" s="488" t="n"/>
      <c r="I54" s="488" t="n"/>
      <c r="J54" s="486" t="n"/>
      <c r="K54" s="485" t="n"/>
      <c r="L54" s="486" t="n"/>
      <c r="M54" s="19" t="n"/>
      <c r="N54" s="417" t="n"/>
    </row>
    <row r="55" ht="17.25" customHeight="1" s="468">
      <c r="B55" s="20" t="n"/>
      <c r="C55" s="490" t="n"/>
      <c r="D55" s="486" t="n"/>
      <c r="E55" s="490" t="n"/>
      <c r="F55" s="486" t="n"/>
      <c r="G55" s="490" t="n"/>
      <c r="H55" s="488" t="n"/>
      <c r="I55" s="488" t="n"/>
      <c r="J55" s="486" t="n"/>
      <c r="K55" s="490" t="n"/>
      <c r="L55" s="486" t="n"/>
      <c r="M55" s="21" t="n"/>
      <c r="N55" s="417" t="n"/>
    </row>
    <row r="56" ht="17.25" customHeight="1" s="468">
      <c r="B56" s="18" t="n"/>
      <c r="C56" s="485" t="n"/>
      <c r="D56" s="486" t="n"/>
      <c r="E56" s="485" t="n"/>
      <c r="F56" s="486" t="n"/>
      <c r="G56" s="485" t="n"/>
      <c r="H56" s="488" t="n"/>
      <c r="I56" s="488" t="n"/>
      <c r="J56" s="486" t="n"/>
      <c r="K56" s="485" t="n"/>
      <c r="L56" s="486" t="n"/>
      <c r="M56" s="19" t="n"/>
      <c r="N56" s="417" t="n"/>
    </row>
    <row r="57" ht="17.25" customHeight="1" s="468">
      <c r="B57" s="20" t="n"/>
      <c r="C57" s="490" t="n"/>
      <c r="D57" s="486" t="n"/>
      <c r="E57" s="490" t="n"/>
      <c r="F57" s="486" t="n"/>
      <c r="G57" s="490" t="n"/>
      <c r="H57" s="488" t="n"/>
      <c r="I57" s="488" t="n"/>
      <c r="J57" s="486" t="n"/>
      <c r="K57" s="490" t="n"/>
      <c r="L57" s="486" t="n"/>
      <c r="M57" s="21" t="n"/>
      <c r="N57" s="417" t="n"/>
    </row>
    <row r="58" ht="17.25" customHeight="1" s="468">
      <c r="B58" s="18" t="n"/>
      <c r="C58" s="485" t="n"/>
      <c r="D58" s="486" t="n"/>
      <c r="E58" s="485" t="n"/>
      <c r="F58" s="486" t="n"/>
      <c r="G58" s="485" t="n"/>
      <c r="H58" s="488" t="n"/>
      <c r="I58" s="488" t="n"/>
      <c r="J58" s="486" t="n"/>
      <c r="K58" s="485" t="n"/>
      <c r="L58" s="486" t="n"/>
      <c r="M58" s="19" t="n"/>
      <c r="N58" s="417" t="n"/>
    </row>
    <row r="59" ht="17.25" customHeight="1" s="468">
      <c r="B59" s="20" t="n"/>
      <c r="C59" s="490" t="n"/>
      <c r="D59" s="486" t="n"/>
      <c r="E59" s="490" t="n"/>
      <c r="F59" s="486" t="n"/>
      <c r="G59" s="490" t="n"/>
      <c r="H59" s="488" t="n"/>
      <c r="I59" s="488" t="n"/>
      <c r="J59" s="486" t="n"/>
      <c r="K59" s="490" t="n"/>
      <c r="L59" s="486" t="n"/>
      <c r="M59" s="23" t="n"/>
      <c r="N59" s="417" t="n"/>
    </row>
    <row r="60" ht="17.25" customHeight="1" s="468">
      <c r="B60" s="18" t="n"/>
      <c r="C60" s="485" t="n"/>
      <c r="D60" s="486" t="n"/>
      <c r="E60" s="485" t="n"/>
      <c r="F60" s="486" t="n"/>
      <c r="G60" s="485" t="n"/>
      <c r="H60" s="488" t="n"/>
      <c r="I60" s="488" t="n"/>
      <c r="J60" s="486" t="n"/>
      <c r="K60" s="485" t="n"/>
      <c r="L60" s="486" t="n"/>
      <c r="M60" s="19" t="n"/>
      <c r="N60" s="417" t="n"/>
    </row>
    <row r="61" ht="17.25" customHeight="1" s="468">
      <c r="B61" s="20" t="n"/>
      <c r="C61" s="490" t="n"/>
      <c r="D61" s="486" t="n"/>
      <c r="E61" s="490" t="n"/>
      <c r="F61" s="486" t="n"/>
      <c r="G61" s="490" t="n"/>
      <c r="H61" s="488" t="n"/>
      <c r="I61" s="488" t="n"/>
      <c r="J61" s="486" t="n"/>
      <c r="K61" s="490" t="n"/>
      <c r="L61" s="486" t="n"/>
      <c r="M61" s="21" t="n"/>
      <c r="N61" s="417" t="n"/>
    </row>
    <row r="62" ht="17.25" customHeight="1" s="468">
      <c r="B62" s="18" t="n"/>
      <c r="C62" s="485" t="n"/>
      <c r="D62" s="486" t="n"/>
      <c r="E62" s="485" t="n"/>
      <c r="F62" s="486" t="n"/>
      <c r="G62" s="485" t="n"/>
      <c r="H62" s="488" t="n"/>
      <c r="I62" s="488" t="n"/>
      <c r="J62" s="486" t="n"/>
      <c r="K62" s="485" t="n"/>
      <c r="L62" s="486" t="n"/>
      <c r="M62" s="19" t="n"/>
      <c r="N62" s="417" t="n"/>
    </row>
    <row r="63" ht="17.25" customHeight="1" s="468">
      <c r="B63" s="20" t="n"/>
      <c r="C63" s="490" t="n"/>
      <c r="D63" s="486" t="n"/>
      <c r="E63" s="490" t="n"/>
      <c r="F63" s="486" t="n"/>
      <c r="G63" s="490" t="n"/>
      <c r="H63" s="488" t="n"/>
      <c r="I63" s="488" t="n"/>
      <c r="J63" s="486" t="n"/>
      <c r="K63" s="490" t="n"/>
      <c r="L63" s="486" t="n"/>
      <c r="M63" s="21" t="n"/>
      <c r="N63" s="417" t="n"/>
    </row>
    <row r="64" ht="17.25" customHeight="1" s="468">
      <c r="B64" s="18" t="n"/>
      <c r="C64" s="485" t="n"/>
      <c r="D64" s="486" t="n"/>
      <c r="E64" s="485" t="n"/>
      <c r="F64" s="486" t="n"/>
      <c r="G64" s="485" t="n"/>
      <c r="H64" s="488" t="n"/>
      <c r="I64" s="488" t="n"/>
      <c r="J64" s="486" t="n"/>
      <c r="K64" s="485" t="n"/>
      <c r="L64" s="486" t="n"/>
      <c r="M64" s="19" t="n"/>
      <c r="N64" s="417" t="n"/>
    </row>
    <row r="65" ht="17.25" customHeight="1" s="468">
      <c r="B65" s="20" t="n"/>
      <c r="C65" s="490" t="n"/>
      <c r="D65" s="486" t="n"/>
      <c r="E65" s="490" t="n"/>
      <c r="F65" s="486" t="n"/>
      <c r="G65" s="490" t="n"/>
      <c r="H65" s="488" t="n"/>
      <c r="I65" s="488" t="n"/>
      <c r="J65" s="486" t="n"/>
      <c r="K65" s="490" t="n"/>
      <c r="L65" s="486" t="n"/>
      <c r="M65" s="21" t="n"/>
      <c r="N65" s="417" t="n"/>
    </row>
    <row r="66" ht="17.25" customHeight="1" s="468">
      <c r="B66" s="18" t="n"/>
      <c r="C66" s="485" t="n"/>
      <c r="D66" s="486" t="n"/>
      <c r="E66" s="485" t="n"/>
      <c r="F66" s="486" t="n"/>
      <c r="G66" s="485" t="n"/>
      <c r="H66" s="488" t="n"/>
      <c r="I66" s="488" t="n"/>
      <c r="J66" s="486" t="n"/>
      <c r="K66" s="485" t="n"/>
      <c r="L66" s="486" t="n"/>
      <c r="M66" s="19" t="n"/>
      <c r="N66" s="417" t="n"/>
    </row>
    <row r="67" ht="17.25" customHeight="1" s="468">
      <c r="B67" s="20" t="n"/>
      <c r="C67" s="490" t="n"/>
      <c r="D67" s="486" t="n"/>
      <c r="E67" s="490" t="n"/>
      <c r="F67" s="486" t="n"/>
      <c r="G67" s="490" t="n"/>
      <c r="H67" s="488" t="n"/>
      <c r="I67" s="488" t="n"/>
      <c r="J67" s="486" t="n"/>
      <c r="K67" s="490" t="n"/>
      <c r="L67" s="486" t="n"/>
      <c r="M67" s="21" t="n"/>
      <c r="N67" s="417" t="n"/>
    </row>
    <row r="68" ht="17.25" customHeight="1" s="468">
      <c r="B68" s="18" t="n"/>
      <c r="C68" s="485" t="n"/>
      <c r="D68" s="486" t="n"/>
      <c r="E68" s="485" t="n"/>
      <c r="F68" s="486" t="n"/>
      <c r="G68" s="485" t="n"/>
      <c r="H68" s="488" t="n"/>
      <c r="I68" s="488" t="n"/>
      <c r="J68" s="486" t="n"/>
      <c r="K68" s="485" t="n"/>
      <c r="L68" s="486" t="n"/>
      <c r="M68" s="22" t="n"/>
      <c r="N68" s="417" t="n"/>
    </row>
    <row r="69" ht="17.25" customHeight="1" s="468">
      <c r="B69" s="20" t="n"/>
      <c r="C69" s="490" t="n"/>
      <c r="D69" s="486" t="n"/>
      <c r="E69" s="490" t="n"/>
      <c r="F69" s="486" t="n"/>
      <c r="G69" s="490" t="n"/>
      <c r="H69" s="488" t="n"/>
      <c r="I69" s="488" t="n"/>
      <c r="J69" s="486" t="n"/>
      <c r="K69" s="490" t="n"/>
      <c r="L69" s="486" t="n"/>
      <c r="M69" s="21" t="n"/>
      <c r="N69" s="417" t="n"/>
    </row>
    <row r="70" ht="17.25" customHeight="1" s="468">
      <c r="B70" s="18" t="n"/>
      <c r="C70" s="485" t="n"/>
      <c r="D70" s="486" t="n"/>
      <c r="E70" s="485" t="n"/>
      <c r="F70" s="486" t="n"/>
      <c r="G70" s="485" t="n"/>
      <c r="H70" s="488" t="n"/>
      <c r="I70" s="488" t="n"/>
      <c r="J70" s="486" t="n"/>
      <c r="K70" s="485" t="n"/>
      <c r="L70" s="486" t="n"/>
      <c r="M70" s="19" t="n"/>
      <c r="N70" s="417" t="n"/>
    </row>
    <row r="71" ht="17.25" customHeight="1" s="468">
      <c r="B71" s="20" t="n"/>
      <c r="C71" s="490" t="n"/>
      <c r="D71" s="486" t="n"/>
      <c r="E71" s="490" t="n"/>
      <c r="F71" s="486" t="n"/>
      <c r="G71" s="490" t="n"/>
      <c r="H71" s="488" t="n"/>
      <c r="I71" s="488" t="n"/>
      <c r="J71" s="486" t="n"/>
      <c r="K71" s="490" t="n"/>
      <c r="L71" s="486" t="n"/>
      <c r="M71" s="21" t="n"/>
      <c r="N71" s="417" t="n"/>
    </row>
    <row r="72" ht="17.25" customHeight="1" s="468">
      <c r="B72" s="18" t="n"/>
      <c r="C72" s="485" t="n"/>
      <c r="D72" s="486" t="n"/>
      <c r="E72" s="485" t="n"/>
      <c r="F72" s="486" t="n"/>
      <c r="G72" s="485" t="n"/>
      <c r="H72" s="488" t="n"/>
      <c r="I72" s="488" t="n"/>
      <c r="J72" s="486" t="n"/>
      <c r="K72" s="485" t="n"/>
      <c r="L72" s="486" t="n"/>
      <c r="M72" s="19" t="n"/>
      <c r="N72" s="417" t="n"/>
    </row>
    <row r="73" ht="17.25" customHeight="1" s="468">
      <c r="B73" s="20" t="n"/>
      <c r="C73" s="490" t="n"/>
      <c r="D73" s="486" t="n"/>
      <c r="E73" s="490" t="n"/>
      <c r="F73" s="486" t="n"/>
      <c r="G73" s="490" t="n"/>
      <c r="H73" s="488" t="n"/>
      <c r="I73" s="488" t="n"/>
      <c r="J73" s="486" t="n"/>
      <c r="K73" s="490" t="n"/>
      <c r="L73" s="486" t="n"/>
      <c r="M73" s="21" t="n"/>
      <c r="N73" s="417" t="n"/>
    </row>
    <row r="74" ht="17.25" customHeight="1" s="468">
      <c r="B74" s="18" t="n"/>
      <c r="C74" s="485" t="n"/>
      <c r="D74" s="486" t="n"/>
      <c r="E74" s="485" t="n"/>
      <c r="F74" s="486" t="n"/>
      <c r="G74" s="485" t="n"/>
      <c r="H74" s="488" t="n"/>
      <c r="I74" s="488" t="n"/>
      <c r="J74" s="486" t="n"/>
      <c r="K74" s="485" t="n"/>
      <c r="L74" s="486" t="n"/>
      <c r="M74" s="19" t="n"/>
      <c r="N74" s="417" t="n"/>
    </row>
    <row r="75" ht="17.25" customHeight="1" s="468">
      <c r="B75" s="20" t="n"/>
      <c r="C75" s="490" t="n"/>
      <c r="D75" s="486" t="n"/>
      <c r="E75" s="490" t="n"/>
      <c r="F75" s="486" t="n"/>
      <c r="G75" s="490" t="n"/>
      <c r="H75" s="488" t="n"/>
      <c r="I75" s="488" t="n"/>
      <c r="J75" s="486" t="n"/>
      <c r="K75" s="490" t="n"/>
      <c r="L75" s="486" t="n"/>
      <c r="M75" s="21" t="n"/>
      <c r="N75" s="417" t="n"/>
    </row>
    <row r="76" ht="17.25" customHeight="1" s="468">
      <c r="B76" s="18" t="n"/>
      <c r="C76" s="485" t="n"/>
      <c r="D76" s="486" t="n"/>
      <c r="E76" s="485" t="n"/>
      <c r="F76" s="486" t="n"/>
      <c r="G76" s="485" t="n"/>
      <c r="H76" s="488" t="n"/>
      <c r="I76" s="488" t="n"/>
      <c r="J76" s="486" t="n"/>
      <c r="K76" s="485" t="n"/>
      <c r="L76" s="486" t="n"/>
      <c r="M76" s="22" t="n"/>
      <c r="N76" s="417" t="n"/>
    </row>
    <row r="77" ht="17.25" customHeight="1" s="468">
      <c r="B77" s="20" t="n"/>
      <c r="C77" s="490" t="n"/>
      <c r="D77" s="486" t="n"/>
      <c r="E77" s="490" t="n"/>
      <c r="F77" s="486" t="n"/>
      <c r="G77" s="490" t="n"/>
      <c r="H77" s="488" t="n"/>
      <c r="I77" s="488" t="n"/>
      <c r="J77" s="486" t="n"/>
      <c r="K77" s="490" t="n"/>
      <c r="L77" s="486" t="n"/>
      <c r="M77" s="21" t="n"/>
      <c r="N77" s="417" t="n"/>
    </row>
    <row r="78" ht="17.25" customHeight="1" s="468">
      <c r="B78" s="18" t="n"/>
      <c r="C78" s="485" t="n"/>
      <c r="D78" s="486" t="n"/>
      <c r="E78" s="485" t="n"/>
      <c r="F78" s="486" t="n"/>
      <c r="G78" s="485" t="n"/>
      <c r="H78" s="488" t="n"/>
      <c r="I78" s="488" t="n"/>
      <c r="J78" s="486" t="n"/>
      <c r="K78" s="485" t="n"/>
      <c r="L78" s="486" t="n"/>
      <c r="M78" s="19" t="n"/>
      <c r="N78" s="417" t="n"/>
    </row>
    <row r="79" ht="17.25" customHeight="1" s="468">
      <c r="B79" s="20" t="n"/>
      <c r="C79" s="490" t="n"/>
      <c r="D79" s="486" t="n"/>
      <c r="E79" s="490" t="n"/>
      <c r="F79" s="486" t="n"/>
      <c r="G79" s="490" t="n"/>
      <c r="H79" s="488" t="n"/>
      <c r="I79" s="488" t="n"/>
      <c r="J79" s="486" t="n"/>
      <c r="K79" s="490" t="n"/>
      <c r="L79" s="486" t="n"/>
      <c r="M79" s="21" t="n"/>
      <c r="N79" s="417" t="n"/>
    </row>
    <row r="80" ht="17.25" customHeight="1" s="468">
      <c r="B80" s="18" t="n"/>
      <c r="C80" s="485" t="n"/>
      <c r="D80" s="486" t="n"/>
      <c r="E80" s="485" t="n"/>
      <c r="F80" s="486" t="n"/>
      <c r="G80" s="485" t="n"/>
      <c r="H80" s="488" t="n"/>
      <c r="I80" s="488" t="n"/>
      <c r="J80" s="486" t="n"/>
      <c r="K80" s="485" t="n"/>
      <c r="L80" s="486" t="n"/>
      <c r="M80" s="19" t="n"/>
      <c r="N80" s="417" t="n"/>
    </row>
    <row r="81" ht="17.25" customHeight="1" s="468">
      <c r="B81" s="20" t="n"/>
      <c r="C81" s="490" t="n"/>
      <c r="D81" s="486" t="n"/>
      <c r="E81" s="490" t="n"/>
      <c r="F81" s="486" t="n"/>
      <c r="G81" s="490" t="n"/>
      <c r="H81" s="488" t="n"/>
      <c r="I81" s="488" t="n"/>
      <c r="J81" s="486" t="n"/>
      <c r="K81" s="490" t="n"/>
      <c r="L81" s="486" t="n"/>
      <c r="M81" s="21" t="n"/>
      <c r="N81" s="417" t="n"/>
    </row>
    <row r="82" ht="17.25" customHeight="1" s="468">
      <c r="B82" s="18" t="n"/>
      <c r="C82" s="485" t="n"/>
      <c r="D82" s="486" t="n"/>
      <c r="E82" s="485" t="n"/>
      <c r="F82" s="486" t="n"/>
      <c r="G82" s="485" t="n"/>
      <c r="H82" s="488" t="n"/>
      <c r="I82" s="488" t="n"/>
      <c r="J82" s="486" t="n"/>
      <c r="K82" s="485" t="n"/>
      <c r="L82" s="486" t="n"/>
      <c r="M82" s="19" t="n"/>
      <c r="N82" s="417" t="n"/>
    </row>
    <row r="83" ht="17.25" customHeight="1" s="468">
      <c r="B83" s="20" t="n"/>
      <c r="C83" s="490" t="n"/>
      <c r="D83" s="486" t="n"/>
      <c r="E83" s="490" t="n"/>
      <c r="F83" s="486" t="n"/>
      <c r="G83" s="490" t="n"/>
      <c r="H83" s="488" t="n"/>
      <c r="I83" s="488" t="n"/>
      <c r="J83" s="486" t="n"/>
      <c r="K83" s="490" t="n"/>
      <c r="L83" s="486" t="n"/>
      <c r="M83" s="21" t="n"/>
      <c r="N83" s="417" t="n"/>
    </row>
    <row r="84" ht="17.25" customHeight="1" s="468">
      <c r="B84" s="18" t="n"/>
      <c r="C84" s="485" t="n"/>
      <c r="D84" s="486" t="n"/>
      <c r="E84" s="485" t="n"/>
      <c r="F84" s="486" t="n"/>
      <c r="G84" s="485" t="n"/>
      <c r="H84" s="488" t="n"/>
      <c r="I84" s="488" t="n"/>
      <c r="J84" s="486" t="n"/>
      <c r="K84" s="485" t="n"/>
      <c r="L84" s="486" t="n"/>
      <c r="M84" s="19" t="n"/>
      <c r="N84" s="417" t="n"/>
    </row>
    <row r="85" ht="17.25" customHeight="1" s="468">
      <c r="B85" s="20" t="n"/>
      <c r="C85" s="490" t="n"/>
      <c r="D85" s="486" t="n"/>
      <c r="E85" s="490" t="n"/>
      <c r="F85" s="486" t="n"/>
      <c r="G85" s="490" t="n"/>
      <c r="H85" s="488" t="n"/>
      <c r="I85" s="488" t="n"/>
      <c r="J85" s="486" t="n"/>
      <c r="K85" s="490" t="n"/>
      <c r="L85" s="486" t="n"/>
      <c r="M85" s="23" t="n"/>
      <c r="N85" s="417" t="n"/>
    </row>
    <row r="86" ht="17.25" customHeight="1" s="468">
      <c r="B86" s="18" t="n"/>
      <c r="C86" s="485" t="n"/>
      <c r="D86" s="486" t="n"/>
      <c r="E86" s="485" t="n"/>
      <c r="F86" s="486" t="n"/>
      <c r="G86" s="485" t="n"/>
      <c r="H86" s="488" t="n"/>
      <c r="I86" s="488" t="n"/>
      <c r="J86" s="486" t="n"/>
      <c r="K86" s="485" t="n"/>
      <c r="L86" s="486" t="n"/>
      <c r="M86" s="19" t="n"/>
      <c r="N86" s="417" t="n"/>
    </row>
    <row r="87" ht="17.25" customHeight="1" s="468">
      <c r="B87" s="20" t="n"/>
      <c r="C87" s="490" t="n"/>
      <c r="D87" s="486" t="n"/>
      <c r="E87" s="490" t="n"/>
      <c r="F87" s="486" t="n"/>
      <c r="G87" s="490" t="n"/>
      <c r="H87" s="488" t="n"/>
      <c r="I87" s="488" t="n"/>
      <c r="J87" s="486" t="n"/>
      <c r="K87" s="490" t="n"/>
      <c r="L87" s="486" t="n"/>
      <c r="M87" s="21" t="n"/>
      <c r="N87" s="417" t="n"/>
    </row>
    <row r="88" ht="17.25" customHeight="1" s="468">
      <c r="B88" s="18" t="n"/>
      <c r="C88" s="485" t="n"/>
      <c r="D88" s="486" t="n"/>
      <c r="E88" s="485" t="n"/>
      <c r="F88" s="486" t="n"/>
      <c r="G88" s="485" t="n"/>
      <c r="H88" s="488" t="n"/>
      <c r="I88" s="488" t="n"/>
      <c r="J88" s="486" t="n"/>
      <c r="K88" s="485" t="n"/>
      <c r="L88" s="486" t="n"/>
      <c r="M88" s="19" t="n"/>
      <c r="N88" s="417" t="n"/>
    </row>
    <row r="89" ht="17.25" customHeight="1" s="468">
      <c r="B89" s="20" t="n"/>
      <c r="C89" s="490" t="n"/>
      <c r="D89" s="486" t="n"/>
      <c r="E89" s="490" t="n"/>
      <c r="F89" s="486" t="n"/>
      <c r="G89" s="490" t="n"/>
      <c r="H89" s="488" t="n"/>
      <c r="I89" s="488" t="n"/>
      <c r="J89" s="486" t="n"/>
      <c r="K89" s="490" t="n"/>
      <c r="L89" s="486" t="n"/>
      <c r="M89" s="21" t="n"/>
      <c r="N89" s="417" t="n"/>
    </row>
    <row r="90" ht="17.25" customHeight="1" s="468">
      <c r="B90" s="18" t="n"/>
      <c r="C90" s="485" t="n"/>
      <c r="D90" s="486" t="n"/>
      <c r="E90" s="485" t="n"/>
      <c r="F90" s="486" t="n"/>
      <c r="G90" s="485" t="n"/>
      <c r="H90" s="488" t="n"/>
      <c r="I90" s="488" t="n"/>
      <c r="J90" s="486" t="n"/>
      <c r="K90" s="485" t="n"/>
      <c r="L90" s="486" t="n"/>
      <c r="M90" s="19" t="n"/>
      <c r="N90" s="417" t="n"/>
    </row>
    <row r="91" ht="17.25" customHeight="1" s="468">
      <c r="B91" s="20" t="n"/>
      <c r="C91" s="490" t="n"/>
      <c r="D91" s="486" t="n"/>
      <c r="E91" s="490" t="n"/>
      <c r="F91" s="486" t="n"/>
      <c r="G91" s="490" t="n"/>
      <c r="H91" s="488" t="n"/>
      <c r="I91" s="488" t="n"/>
      <c r="J91" s="486" t="n"/>
      <c r="K91" s="490" t="n"/>
      <c r="L91" s="486" t="n"/>
      <c r="M91" s="21" t="n"/>
      <c r="N91" s="417" t="n"/>
    </row>
    <row r="92" ht="17.25" customHeight="1" s="468">
      <c r="B92" s="18" t="n"/>
      <c r="C92" s="485" t="n"/>
      <c r="D92" s="486" t="n"/>
      <c r="E92" s="485" t="n"/>
      <c r="F92" s="486" t="n"/>
      <c r="G92" s="485" t="n"/>
      <c r="H92" s="488" t="n"/>
      <c r="I92" s="488" t="n"/>
      <c r="J92" s="486" t="n"/>
      <c r="K92" s="485" t="n"/>
      <c r="L92" s="486" t="n"/>
      <c r="M92" s="19" t="n"/>
      <c r="N92" s="417" t="n"/>
    </row>
    <row r="93" ht="17.25" customHeight="1" s="468">
      <c r="B93" s="20" t="n"/>
      <c r="C93" s="490" t="n"/>
      <c r="D93" s="486" t="n"/>
      <c r="E93" s="490" t="n"/>
      <c r="F93" s="486" t="n"/>
      <c r="G93" s="490" t="n"/>
      <c r="H93" s="488" t="n"/>
      <c r="I93" s="488" t="n"/>
      <c r="J93" s="486" t="n"/>
      <c r="K93" s="490" t="n"/>
      <c r="L93" s="486" t="n"/>
      <c r="M93" s="23" t="n"/>
      <c r="N93" s="417" t="n"/>
    </row>
    <row r="94" ht="17.25" customHeight="1" s="468">
      <c r="B94" s="24" t="n"/>
      <c r="C94" s="506" t="n"/>
      <c r="D94" s="507" t="n"/>
      <c r="E94" s="506" t="n"/>
      <c r="F94" s="507" t="n"/>
      <c r="G94" s="506" t="n"/>
      <c r="H94" s="509" t="n"/>
      <c r="I94" s="509" t="n"/>
      <c r="J94" s="507" t="n"/>
      <c r="K94" s="506" t="n"/>
      <c r="L94" s="507" t="n"/>
      <c r="M94" s="25" t="n"/>
      <c r="N94" s="417" t="n"/>
    </row>
    <row r="95" ht="18" customHeight="1" s="468">
      <c r="N95" s="420" t="n"/>
    </row>
    <row r="96" ht="18" customHeight="1" s="468">
      <c r="N96" s="420" t="n"/>
    </row>
    <row r="97" ht="18" customHeight="1" s="468">
      <c r="N97" s="420" t="n"/>
    </row>
    <row r="98" ht="18" customHeight="1" s="468">
      <c r="N98" s="420" t="n"/>
    </row>
    <row r="99" ht="18" customHeight="1" s="468">
      <c r="N99" s="420" t="n"/>
    </row>
    <row r="100" ht="18" customHeight="1" s="468">
      <c r="N100" s="420" t="n"/>
    </row>
    <row r="101" ht="18" customHeight="1" s="468">
      <c r="N101" s="420" t="n"/>
    </row>
    <row r="102" ht="18" customHeight="1" s="468">
      <c r="N102" s="420" t="n"/>
    </row>
    <row r="103" ht="18" customHeight="1" s="468">
      <c r="N103" s="420" t="n"/>
    </row>
    <row r="104" ht="18" customHeight="1" s="468">
      <c r="N104" s="420" t="n"/>
    </row>
    <row r="105" ht="18" customHeight="1" s="468">
      <c r="N105" s="420" t="n"/>
    </row>
    <row r="106" ht="18" customHeight="1" s="468">
      <c r="N106" s="420" t="n"/>
    </row>
    <row r="107" ht="18" customHeight="1" s="468">
      <c r="N107" s="420" t="n"/>
    </row>
    <row r="108" ht="18" customHeight="1" s="468">
      <c r="N108" s="420" t="n"/>
    </row>
    <row r="109" ht="18" customHeight="1" s="468">
      <c r="N109" s="420" t="n"/>
    </row>
    <row r="110" ht="18" customHeight="1" s="468">
      <c r="N110" s="420" t="n"/>
    </row>
    <row r="111" ht="18" customHeight="1" s="468">
      <c r="N111" s="420" t="n"/>
    </row>
    <row r="112" ht="18" customHeight="1" s="468">
      <c r="N112" s="420" t="n"/>
    </row>
    <row r="113" ht="18" customHeight="1" s="468">
      <c r="N113" s="420" t="n"/>
    </row>
    <row r="114" ht="18" customHeight="1" s="468">
      <c r="N114" s="420" t="n"/>
    </row>
    <row r="115" ht="18" customHeight="1" s="468">
      <c r="N115" s="420" t="n"/>
    </row>
    <row r="116" ht="18" customHeight="1" s="468">
      <c r="N116" s="420" t="n"/>
    </row>
    <row r="117" ht="18" customHeight="1" s="468">
      <c r="N117" s="420" t="n"/>
    </row>
    <row r="118" ht="18" customHeight="1" s="468">
      <c r="N118" s="420" t="n"/>
    </row>
    <row r="119" ht="18" customHeight="1" s="468">
      <c r="N119" s="420" t="n"/>
    </row>
    <row r="120" ht="18" customHeight="1" s="468">
      <c r="N120" s="420" t="n"/>
    </row>
    <row r="121" ht="18" customHeight="1" s="468">
      <c r="N121" s="420" t="n"/>
    </row>
    <row r="122" ht="18" customHeight="1" s="468">
      <c r="N122" s="420" t="n"/>
    </row>
    <row r="123" ht="18" customHeight="1" s="468">
      <c r="N123" s="420" t="n"/>
    </row>
    <row r="124" ht="18" customHeight="1" s="468">
      <c r="N124" s="420" t="n"/>
    </row>
    <row r="125" ht="18" customHeight="1" s="468">
      <c r="N125" s="420" t="n"/>
    </row>
    <row r="126" ht="18" customHeight="1" s="468">
      <c r="N126" s="420" t="n"/>
    </row>
    <row r="127" ht="18" customHeight="1" s="468">
      <c r="N127" s="420" t="n"/>
    </row>
    <row r="128" ht="18" customHeight="1" s="468">
      <c r="N128" s="420" t="n"/>
    </row>
    <row r="129" ht="18" customHeight="1" s="468">
      <c r="N129" s="420" t="n"/>
    </row>
    <row r="130" ht="18" customHeight="1" s="468">
      <c r="N130" s="420" t="n"/>
    </row>
    <row r="131" ht="18" customHeight="1" s="468">
      <c r="N131" s="420" t="n"/>
    </row>
    <row r="132" ht="18" customHeight="1" s="468">
      <c r="N132" s="420" t="n"/>
    </row>
    <row r="133" ht="18" customHeight="1" s="468">
      <c r="N133" s="420" t="n"/>
    </row>
    <row r="134" ht="18" customHeight="1" s="468">
      <c r="N134" s="420" t="n"/>
    </row>
    <row r="135" ht="18" customHeight="1" s="468">
      <c r="N135" s="420" t="n"/>
    </row>
    <row r="136" ht="18" customHeight="1" s="468">
      <c r="N136" s="420" t="n"/>
    </row>
    <row r="137" ht="18" customHeight="1" s="468">
      <c r="N137" s="420" t="n"/>
    </row>
    <row r="138" ht="18" customHeight="1" s="468">
      <c r="N138" s="420" t="n"/>
    </row>
    <row r="139" ht="18" customHeight="1" s="468">
      <c r="N139" s="420" t="n"/>
    </row>
    <row r="140" ht="18" customHeight="1" s="468">
      <c r="N140" s="420" t="n"/>
    </row>
    <row r="141" ht="18" customHeight="1" s="468">
      <c r="N141" s="420" t="n"/>
    </row>
    <row r="142" ht="18" customHeight="1" s="468">
      <c r="N142" s="420" t="n"/>
    </row>
    <row r="143" ht="18" customHeight="1" s="468">
      <c r="N143" s="420" t="n"/>
    </row>
    <row r="144" ht="18" customHeight="1" s="468">
      <c r="N144" s="420" t="n"/>
    </row>
    <row r="145" ht="18" customHeight="1" s="468">
      <c r="N145" s="420" t="n"/>
    </row>
    <row r="146" ht="18" customHeight="1" s="468">
      <c r="N146" s="420" t="n"/>
    </row>
    <row r="147" ht="18" customHeight="1" s="468">
      <c r="N147" s="420" t="n"/>
    </row>
    <row r="148" ht="18" customHeight="1" s="468">
      <c r="N148" s="420" t="n"/>
    </row>
    <row r="149" ht="18" customHeight="1" s="468">
      <c r="N149" s="420" t="n"/>
    </row>
    <row r="150" ht="18" customHeight="1" s="468">
      <c r="N150" s="420" t="n"/>
    </row>
    <row r="151" ht="18" customHeight="1" s="468">
      <c r="N151" s="420" t="n"/>
    </row>
    <row r="152" ht="18" customHeight="1" s="468">
      <c r="N152" s="420" t="n"/>
    </row>
    <row r="153" ht="18" customHeight="1" s="468">
      <c r="N153" s="420" t="n"/>
    </row>
    <row r="154" ht="18" customHeight="1" s="468">
      <c r="N154" s="420" t="n"/>
    </row>
    <row r="155" ht="18" customHeight="1" s="468">
      <c r="N155" s="420" t="n"/>
    </row>
    <row r="156" ht="18" customHeight="1" s="468">
      <c r="N156" s="420" t="n"/>
    </row>
    <row r="157" ht="18" customHeight="1" s="468">
      <c r="N157" s="420" t="n"/>
    </row>
    <row r="158" ht="18" customHeight="1" s="468">
      <c r="N158" s="420" t="n"/>
    </row>
    <row r="159" ht="18" customHeight="1" s="468">
      <c r="N159" s="420" t="n"/>
    </row>
    <row r="160" ht="18" customHeight="1" s="468">
      <c r="N160" s="420" t="n"/>
    </row>
    <row r="161" ht="18" customHeight="1" s="468">
      <c r="N161" s="420" t="n"/>
    </row>
    <row r="162" ht="18" customHeight="1" s="468">
      <c r="N162" s="420" t="n"/>
    </row>
    <row r="163" ht="18" customHeight="1" s="468">
      <c r="N163" s="420" t="n"/>
    </row>
    <row r="164" ht="18" customHeight="1" s="468">
      <c r="N164" s="420" t="n"/>
    </row>
    <row r="165" ht="18" customHeight="1" s="468">
      <c r="N165" s="420" t="n"/>
    </row>
    <row r="166" ht="18" customHeight="1" s="468">
      <c r="N166" s="420" t="n"/>
    </row>
    <row r="167" ht="18" customHeight="1" s="468">
      <c r="N167" s="420" t="n"/>
    </row>
    <row r="168" ht="18" customHeight="1" s="468">
      <c r="N168" s="420" t="n"/>
    </row>
    <row r="169" ht="18" customHeight="1" s="468">
      <c r="N169" s="420" t="n"/>
    </row>
    <row r="170" ht="18" customHeight="1" s="468">
      <c r="N170" s="420" t="n"/>
    </row>
    <row r="171" ht="18" customHeight="1" s="468">
      <c r="N171" s="420" t="n"/>
    </row>
    <row r="172" ht="18" customHeight="1" s="468">
      <c r="N172" s="420" t="n"/>
    </row>
    <row r="173" ht="18" customHeight="1" s="468">
      <c r="N173" s="420" t="n"/>
    </row>
    <row r="174" ht="18" customHeight="1" s="468">
      <c r="N174" s="420" t="n"/>
    </row>
    <row r="175" ht="18" customHeight="1" s="468">
      <c r="N175" s="420" t="n"/>
    </row>
    <row r="176" ht="18" customHeight="1" s="468">
      <c r="N176" s="420" t="n"/>
    </row>
    <row r="177" ht="18" customHeight="1" s="468">
      <c r="N177" s="420" t="n"/>
    </row>
    <row r="178" ht="18" customHeight="1" s="468">
      <c r="N178" s="420" t="n"/>
    </row>
    <row r="179" ht="18" customHeight="1" s="468">
      <c r="N179" s="420" t="n"/>
    </row>
    <row r="180" ht="18" customHeight="1" s="468">
      <c r="N180" s="420" t="n"/>
    </row>
    <row r="181" ht="18" customHeight="1" s="468">
      <c r="N181" s="420" t="n"/>
    </row>
    <row r="182" ht="18" customHeight="1" s="468">
      <c r="N182" s="420" t="n"/>
    </row>
    <row r="183" ht="18" customHeight="1" s="468">
      <c r="N183" s="420" t="n"/>
    </row>
    <row r="184" ht="18" customHeight="1" s="468">
      <c r="N184" s="420" t="n"/>
    </row>
    <row r="185" ht="18" customHeight="1" s="468">
      <c r="N185" s="420" t="n"/>
    </row>
    <row r="186" ht="18" customHeight="1" s="468">
      <c r="N186" s="420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8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8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8" customHeight="1" s="468">
      <c r="N295" s="420" t="n"/>
    </row>
    <row r="296" ht="18" customHeight="1" s="468">
      <c r="N296" s="420" t="n"/>
    </row>
    <row r="297" ht="18" customHeight="1" s="468">
      <c r="N297" s="420" t="n"/>
    </row>
    <row r="298" ht="18" customHeight="1" s="468">
      <c r="N298" s="420" t="n"/>
    </row>
    <row r="299" ht="18" customHeight="1" s="468">
      <c r="N299" s="420" t="n"/>
    </row>
    <row r="300" ht="18" customHeight="1" s="468">
      <c r="N300" s="420" t="n"/>
    </row>
  </sheetData>
  <mergeCells count="369">
    <mergeCell ref="C15:D15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6:F6"/>
    <mergeCell ref="E77:F77"/>
    <mergeCell ref="E89:F89"/>
    <mergeCell ref="G13:J13"/>
    <mergeCell ref="G78:J78"/>
    <mergeCell ref="E72:F72"/>
    <mergeCell ref="K57:L57"/>
    <mergeCell ref="G15:J15"/>
    <mergeCell ref="G80:J80"/>
    <mergeCell ref="C49:D49"/>
    <mergeCell ref="C24:D24"/>
    <mergeCell ref="G79:J79"/>
    <mergeCell ref="E24:F24"/>
    <mergeCell ref="G73:J73"/>
    <mergeCell ref="C42:D42"/>
    <mergeCell ref="E42:F42"/>
    <mergeCell ref="C88:D88"/>
    <mergeCell ref="E17:F17"/>
    <mergeCell ref="C26:D26"/>
    <mergeCell ref="E88:F88"/>
    <mergeCell ref="E82:F82"/>
    <mergeCell ref="E19:F19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G3:J3"/>
    <mergeCell ref="C81:D81"/>
    <mergeCell ref="C37:D37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C8:D8"/>
    <mergeCell ref="G49:J49"/>
    <mergeCell ref="K10:L10"/>
    <mergeCell ref="K66:L66"/>
    <mergeCell ref="C66:D66"/>
    <mergeCell ref="G24:J24"/>
    <mergeCell ref="E66:F66"/>
    <mergeCell ref="C53:D53"/>
    <mergeCell ref="K3:L3"/>
    <mergeCell ref="C77:D77"/>
    <mergeCell ref="K74:L74"/>
    <mergeCell ref="K68:L68"/>
    <mergeCell ref="G88:J88"/>
    <mergeCell ref="C68:D68"/>
    <mergeCell ref="G26:J26"/>
    <mergeCell ref="E68:F68"/>
    <mergeCell ref="K5:L5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C16:D1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:D6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46:J46"/>
    <mergeCell ref="G40:J40"/>
    <mergeCell ref="E51:F51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G61:J61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K16:L16"/>
    <mergeCell ref="K9:L9"/>
    <mergeCell ref="G16:J16"/>
    <mergeCell ref="E83:F83"/>
    <mergeCell ref="K45:L45"/>
    <mergeCell ref="G76:J76"/>
    <mergeCell ref="C20:D20"/>
    <mergeCell ref="G9:J9"/>
    <mergeCell ref="K11:L11"/>
    <mergeCell ref="C85:D85"/>
    <mergeCell ref="E20:F20"/>
    <mergeCell ref="K47:L47"/>
    <mergeCell ref="C84:D84"/>
    <mergeCell ref="E13:F13"/>
    <mergeCell ref="C22:D22"/>
    <mergeCell ref="E84:F84"/>
    <mergeCell ref="K46:L46"/>
    <mergeCell ref="G11:J11"/>
    <mergeCell ref="E78:F78"/>
    <mergeCell ref="K40:L40"/>
    <mergeCell ref="E15:F15"/>
    <mergeCell ref="E86:F86"/>
    <mergeCell ref="C51:D51"/>
    <mergeCell ref="E80:F80"/>
    <mergeCell ref="K71:L71"/>
    <mergeCell ref="K73:L73"/>
    <mergeCell ref="C38:D38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10:D10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C56:D56"/>
    <mergeCell ref="E34:F34"/>
    <mergeCell ref="C43:D43"/>
    <mergeCell ref="K67:L67"/>
    <mergeCell ref="E49:F49"/>
    <mergeCell ref="C36:D36"/>
    <mergeCell ref="E36:F36"/>
    <mergeCell ref="C67:D67"/>
    <mergeCell ref="K69:L69"/>
    <mergeCell ref="C69:D69"/>
    <mergeCell ref="G20:J20"/>
    <mergeCell ref="G91:J91"/>
    <mergeCell ref="G85:J85"/>
    <mergeCell ref="K64:L64"/>
    <mergeCell ref="C4:D4"/>
    <mergeCell ref="G84:J84"/>
    <mergeCell ref="E4:F4"/>
    <mergeCell ref="G22:J22"/>
    <mergeCell ref="K51:L51"/>
    <mergeCell ref="K72:L72"/>
    <mergeCell ref="G86:J86"/>
    <mergeCell ref="C60:D60"/>
    <mergeCell ref="G38:J38"/>
    <mergeCell ref="E26:F26"/>
    <mergeCell ref="K17:L17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35:J35"/>
    <mergeCell ref="C58:D58"/>
    <mergeCell ref="E52:F52"/>
    <mergeCell ref="E39:F39"/>
    <mergeCell ref="E44:F44"/>
    <mergeCell ref="K60:L60"/>
    <mergeCell ref="C75:D75"/>
    <mergeCell ref="G59:J59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K91:L91"/>
    <mergeCell ref="G56:J56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13:D13"/>
    <mergeCell ref="K4:L4"/>
    <mergeCell ref="C78:D7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tabColor rgb="FF2F3A4A"/>
    <outlinePr summaryBelow="1" summaryRight="1"/>
    <pageSetUpPr/>
  </sheetPr>
  <dimension ref="A1:M209"/>
  <sheetViews>
    <sheetView showGridLines="0" zoomScale="90" zoomScaleNormal="90" workbookViewId="0">
      <pane ySplit="3" topLeftCell="A4" activePane="bottomLeft" state="frozen"/>
      <selection pane="bottomLeft" activeCell="B11" sqref="B11"/>
    </sheetView>
  </sheetViews>
  <sheetFormatPr baseColWidth="8" defaultColWidth="8.6640625" defaultRowHeight="14.25" customHeight="1"/>
  <cols>
    <col width="16" customWidth="1" style="468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8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8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</row>
    <row r="3" ht="15" customHeight="1" s="468">
      <c r="A3" s="631" t="n">
        <v>46174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</row>
    <row r="4" ht="21" customHeight="1" s="468">
      <c r="A4" s="685" t="n"/>
      <c r="B4" s="218" t="n"/>
      <c r="C4" s="219" t="n"/>
      <c r="D4" s="220" t="n"/>
      <c r="E4" s="221" t="inlineStr">
        <is>
          <t>CX</t>
        </is>
      </c>
      <c r="F4" s="68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20">
        <f>IFERROR(ROUNDUP(D4/F4,0),"")</f>
        <v/>
      </c>
      <c r="H4" s="224" t="n"/>
      <c r="I4" s="220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552" t="n"/>
      <c r="K4" s="552" t="n"/>
      <c r="L4" s="552" t="n"/>
      <c r="M4" s="552" t="n"/>
    </row>
    <row r="5" ht="21" customHeight="1" s="468">
      <c r="A5" s="685" t="n"/>
      <c r="B5" s="218" t="n"/>
      <c r="C5" s="219" t="n"/>
      <c r="D5" s="220" t="n"/>
      <c r="E5" s="221" t="inlineStr">
        <is>
          <t>CX</t>
        </is>
      </c>
      <c r="F5" s="68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20">
        <f>IFERROR(ROUNDUP(D5/F5,0),"")</f>
        <v/>
      </c>
      <c r="H5" s="224" t="n"/>
      <c r="I5" s="22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552" t="n"/>
      <c r="K5" s="552" t="n"/>
      <c r="L5" s="552" t="n"/>
      <c r="M5" s="552" t="n"/>
    </row>
    <row r="6" ht="21" customHeight="1" s="468">
      <c r="A6" s="685" t="n"/>
      <c r="B6" s="218" t="n"/>
      <c r="C6" s="219" t="n"/>
      <c r="D6" s="220" t="n"/>
      <c r="E6" s="221" t="inlineStr">
        <is>
          <t>CX</t>
        </is>
      </c>
      <c r="F6" s="68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20">
        <f>IFERROR(ROUNDUP(D6/F6,0),"")</f>
        <v/>
      </c>
      <c r="H6" s="224" t="n"/>
      <c r="I6" s="220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552" t="n"/>
      <c r="K6" s="552" t="n"/>
      <c r="L6" s="552" t="n"/>
      <c r="M6" s="552" t="n"/>
    </row>
    <row r="7" ht="21" customHeight="1" s="468">
      <c r="A7" s="685" t="n"/>
      <c r="B7" s="218" t="n"/>
      <c r="C7" s="219" t="n"/>
      <c r="D7" s="220" t="n"/>
      <c r="E7" s="221" t="inlineStr">
        <is>
          <t>CX</t>
        </is>
      </c>
      <c r="F7" s="68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20">
        <f>IFERROR(ROUNDUP(D7/F7,0),"")</f>
        <v/>
      </c>
      <c r="H7" s="224" t="n"/>
      <c r="I7" s="220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2" t="n"/>
      <c r="K7" s="552" t="n"/>
      <c r="L7" s="552" t="n"/>
      <c r="M7" s="552" t="n"/>
    </row>
    <row r="8" ht="21" customHeight="1" s="468">
      <c r="A8" s="685" t="n"/>
      <c r="B8" s="218" t="n"/>
      <c r="C8" s="219" t="n"/>
      <c r="D8" s="220" t="n"/>
      <c r="E8" s="221" t="inlineStr">
        <is>
          <t>CX</t>
        </is>
      </c>
      <c r="F8" s="68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20">
        <f>IFERROR(ROUNDUP(D8/F8,0),"")</f>
        <v/>
      </c>
      <c r="H8" s="224" t="n"/>
      <c r="I8" s="220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552" t="n"/>
      <c r="K8" s="552" t="n"/>
      <c r="L8" s="552" t="n"/>
      <c r="M8" s="552" t="n"/>
    </row>
    <row r="9" ht="15" customHeight="1" s="468">
      <c r="A9" s="658" t="n"/>
      <c r="B9" s="640" t="inlineStr">
        <is>
          <t>TOTAL</t>
        </is>
      </c>
      <c r="C9" s="667" t="n"/>
      <c r="D9" s="642">
        <f>SUM(D4:D8)</f>
        <v/>
      </c>
      <c r="E9" s="668" t="n"/>
      <c r="F9" s="644" t="n"/>
      <c r="G9" s="642">
        <f>SUM(G4:G8)</f>
        <v/>
      </c>
      <c r="H9" s="642">
        <f>SUM(H4:H8)</f>
        <v/>
      </c>
      <c r="I9" s="642">
        <f>SUM(I4:I8)</f>
        <v/>
      </c>
      <c r="J9" s="644">
        <f>D9</f>
        <v/>
      </c>
      <c r="K9" s="644">
        <f>G9</f>
        <v/>
      </c>
      <c r="L9" s="644">
        <f>H9</f>
        <v/>
      </c>
      <c r="M9" s="644">
        <f>I9</f>
        <v/>
      </c>
    </row>
    <row r="10" ht="6" customHeight="1" s="468">
      <c r="A10" s="638" t="n"/>
      <c r="C10" s="71" t="n"/>
      <c r="D10" s="552" t="n"/>
      <c r="F10" s="552" t="n"/>
      <c r="G10" s="552" t="n"/>
      <c r="H10" s="552" t="n"/>
      <c r="I10" s="552" t="n"/>
      <c r="J10" s="552" t="n"/>
      <c r="K10" s="552" t="n"/>
      <c r="L10" s="552" t="n"/>
      <c r="M10" s="552" t="n"/>
    </row>
    <row r="11" ht="15" customHeight="1" s="468">
      <c r="A11" s="646" t="n">
        <v>46175</v>
      </c>
      <c r="B11" s="213" t="inlineStr">
        <is>
          <t>PRODUTO</t>
        </is>
      </c>
      <c r="C11" s="214" t="inlineStr">
        <is>
          <t>EMBALAGEM</t>
        </is>
      </c>
      <c r="D11" s="244" t="inlineStr">
        <is>
          <t>CAIXAS</t>
        </is>
      </c>
      <c r="E11" s="215" t="inlineStr">
        <is>
          <t>UN</t>
        </is>
      </c>
      <c r="F11" s="687" t="inlineStr">
        <is>
          <t>CX/PALLET</t>
        </is>
      </c>
      <c r="G11" s="244" t="inlineStr">
        <is>
          <t>PALLETS (PBR)</t>
        </is>
      </c>
      <c r="H11" s="244" t="inlineStr">
        <is>
          <t>REAL (CX)</t>
        </is>
      </c>
      <c r="I11" s="244" t="inlineStr">
        <is>
          <t>TOTAL LATAS</t>
        </is>
      </c>
      <c r="J11" s="552" t="n"/>
      <c r="K11" s="552" t="n"/>
      <c r="L11" s="552" t="n"/>
      <c r="M11" s="552" t="n"/>
    </row>
    <row r="12" ht="21" customHeight="1" s="468">
      <c r="A12" s="685" t="n"/>
      <c r="B12" s="218" t="n"/>
      <c r="C12" s="219" t="n"/>
      <c r="D12" s="220" t="n"/>
      <c r="E12" s="221" t="inlineStr">
        <is>
          <t>CX</t>
        </is>
      </c>
      <c r="F12" s="686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20">
        <f>IFERROR(ROUNDUP(D12/F12,0),"")</f>
        <v/>
      </c>
      <c r="H12" s="224" t="n"/>
      <c r="I12" s="220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  <c r="J12" s="552" t="n"/>
      <c r="K12" s="552" t="n"/>
      <c r="L12" s="552" t="n"/>
      <c r="M12" s="552" t="n"/>
    </row>
    <row r="13" ht="21" customHeight="1" s="468">
      <c r="A13" s="685" t="n"/>
      <c r="B13" s="218" t="n"/>
      <c r="C13" s="219" t="n"/>
      <c r="D13" s="220" t="n"/>
      <c r="E13" s="221" t="inlineStr">
        <is>
          <t>CX</t>
        </is>
      </c>
      <c r="F13" s="68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20">
        <f>IFERROR(ROUNDUP(D13/F13,0),"")</f>
        <v/>
      </c>
      <c r="H13" s="224" t="n"/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552" t="n"/>
      <c r="K13" s="552" t="n"/>
      <c r="L13" s="552" t="n"/>
      <c r="M13" s="552" t="n"/>
    </row>
    <row r="14" ht="21" customHeight="1" s="468">
      <c r="A14" s="685" t="n"/>
      <c r="B14" s="218" t="n"/>
      <c r="C14" s="219" t="n"/>
      <c r="D14" s="220" t="n"/>
      <c r="E14" s="221" t="inlineStr">
        <is>
          <t>CX</t>
        </is>
      </c>
      <c r="F14" s="68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20">
        <f>IFERROR(ROUNDUP(D14/F14,0),"")</f>
        <v/>
      </c>
      <c r="H14" s="224" t="n"/>
      <c r="I14" s="220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52" t="n"/>
      <c r="K14" s="552" t="n"/>
      <c r="L14" s="552" t="n"/>
      <c r="M14" s="552" t="n"/>
    </row>
    <row r="15" ht="21" customHeight="1" s="468">
      <c r="A15" s="685" t="n"/>
      <c r="B15" s="218" t="n"/>
      <c r="C15" s="219" t="n"/>
      <c r="D15" s="220" t="n"/>
      <c r="E15" s="221" t="inlineStr">
        <is>
          <t>CX</t>
        </is>
      </c>
      <c r="F15" s="686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20">
        <f>IFERROR(ROUNDUP(D15/F15,0),"")</f>
        <v/>
      </c>
      <c r="H15" s="224" t="n"/>
      <c r="I15" s="220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2" t="n"/>
      <c r="K15" s="552" t="n"/>
      <c r="L15" s="552" t="n"/>
      <c r="M15" s="552" t="n"/>
    </row>
    <row r="16" ht="21" customHeight="1" s="468">
      <c r="A16" s="685" t="n"/>
      <c r="B16" s="218" t="n"/>
      <c r="C16" s="219" t="n"/>
      <c r="D16" s="220" t="n"/>
      <c r="E16" s="221" t="inlineStr">
        <is>
          <t>CX</t>
        </is>
      </c>
      <c r="F16" s="686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20">
        <f>IFERROR(ROUNDUP(D16/F16,0),"")</f>
        <v/>
      </c>
      <c r="H16" s="224" t="n"/>
      <c r="I16" s="220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552" t="n"/>
      <c r="K16" s="552" t="n"/>
      <c r="L16" s="552" t="n"/>
      <c r="M16" s="552" t="n"/>
    </row>
    <row r="17" ht="15" customHeight="1" s="468">
      <c r="A17" s="658" t="n"/>
      <c r="B17" s="640" t="inlineStr">
        <is>
          <t>TOTAL</t>
        </is>
      </c>
      <c r="C17" s="667" t="n"/>
      <c r="D17" s="642">
        <f>SUM(D12:D16)</f>
        <v/>
      </c>
      <c r="E17" s="668" t="n"/>
      <c r="F17" s="644" t="n"/>
      <c r="G17" s="642">
        <f>SUM(G12:G16)</f>
        <v/>
      </c>
      <c r="H17" s="642">
        <f>SUM(H12:H16)</f>
        <v/>
      </c>
      <c r="I17" s="642">
        <f>SUM(I12:I16)</f>
        <v/>
      </c>
      <c r="J17" s="644">
        <f>D17</f>
        <v/>
      </c>
      <c r="K17" s="644">
        <f>G17</f>
        <v/>
      </c>
      <c r="L17" s="644">
        <f>H17</f>
        <v/>
      </c>
      <c r="M17" s="644">
        <f>I17</f>
        <v/>
      </c>
    </row>
    <row r="18" ht="6" customHeight="1" s="468">
      <c r="A18" s="638" t="n"/>
      <c r="C18" s="71" t="n"/>
      <c r="D18" s="552" t="n"/>
      <c r="F18" s="552" t="n"/>
      <c r="G18" s="552" t="n"/>
      <c r="H18" s="552" t="n"/>
      <c r="I18" s="552" t="n"/>
      <c r="J18" s="552" t="n"/>
      <c r="K18" s="552" t="n"/>
      <c r="L18" s="552" t="n"/>
      <c r="M18" s="552" t="n"/>
    </row>
    <row r="19" ht="15" customHeight="1" s="468">
      <c r="A19" s="646" t="n">
        <v>46176</v>
      </c>
      <c r="B19" s="213" t="inlineStr">
        <is>
          <t>PRODUTO</t>
        </is>
      </c>
      <c r="C19" s="214" t="inlineStr">
        <is>
          <t>EMBALAGEM</t>
        </is>
      </c>
      <c r="D19" s="244" t="inlineStr">
        <is>
          <t>CAIXAS</t>
        </is>
      </c>
      <c r="E19" s="215" t="inlineStr">
        <is>
          <t>UN</t>
        </is>
      </c>
      <c r="F19" s="687" t="inlineStr">
        <is>
          <t>CX/PALLET</t>
        </is>
      </c>
      <c r="G19" s="244" t="inlineStr">
        <is>
          <t>PALLETS (PBR)</t>
        </is>
      </c>
      <c r="H19" s="244" t="inlineStr">
        <is>
          <t>REAL (CX)</t>
        </is>
      </c>
      <c r="I19" s="244" t="inlineStr">
        <is>
          <t>TOTAL LATAS</t>
        </is>
      </c>
      <c r="J19" s="552" t="n"/>
      <c r="K19" s="552" t="n"/>
      <c r="L19" s="552" t="n"/>
      <c r="M19" s="552" t="n"/>
    </row>
    <row r="20" ht="21" customHeight="1" s="468">
      <c r="A20" s="685" t="n"/>
      <c r="B20" s="218" t="n"/>
      <c r="C20" s="219" t="n"/>
      <c r="D20" s="220" t="n"/>
      <c r="E20" s="221" t="inlineStr">
        <is>
          <t>CX</t>
        </is>
      </c>
      <c r="F20" s="686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20">
        <f>IFERROR(ROUNDUP(D20/F20,0),"")</f>
        <v/>
      </c>
      <c r="H20" s="224" t="n"/>
      <c r="I20" s="220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552" t="n"/>
      <c r="K20" s="552" t="n"/>
      <c r="L20" s="552" t="n"/>
      <c r="M20" s="552" t="n"/>
    </row>
    <row r="21" ht="21" customHeight="1" s="468">
      <c r="A21" s="685" t="n"/>
      <c r="B21" s="218" t="n"/>
      <c r="C21" s="219" t="n"/>
      <c r="D21" s="220" t="n"/>
      <c r="E21" s="221" t="inlineStr">
        <is>
          <t>CX</t>
        </is>
      </c>
      <c r="F21" s="686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20">
        <f>IFERROR(ROUNDUP(D21/F21,0),"")</f>
        <v/>
      </c>
      <c r="H21" s="224" t="n"/>
      <c r="I21" s="22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552" t="n"/>
      <c r="K21" s="552" t="n"/>
      <c r="L21" s="552" t="n"/>
      <c r="M21" s="552" t="n"/>
    </row>
    <row r="22" ht="21" customHeight="1" s="468">
      <c r="A22" s="685" t="n"/>
      <c r="B22" s="218" t="n"/>
      <c r="C22" s="219" t="n"/>
      <c r="D22" s="220" t="n"/>
      <c r="E22" s="221" t="inlineStr">
        <is>
          <t>CX</t>
        </is>
      </c>
      <c r="F22" s="686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20">
        <f>IFERROR(ROUNDUP(D22/F22,0),"")</f>
        <v/>
      </c>
      <c r="H22" s="224" t="n"/>
      <c r="I22" s="220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552" t="n"/>
      <c r="K22" s="552" t="n"/>
      <c r="L22" s="552" t="n"/>
      <c r="M22" s="552" t="n"/>
    </row>
    <row r="23" ht="21" customHeight="1" s="468">
      <c r="A23" s="685" t="n"/>
      <c r="B23" s="218" t="n"/>
      <c r="C23" s="219" t="n"/>
      <c r="D23" s="220" t="n"/>
      <c r="E23" s="221" t="inlineStr">
        <is>
          <t>CX</t>
        </is>
      </c>
      <c r="F23" s="686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20">
        <f>IFERROR(ROUNDUP(D23/F23,0),"")</f>
        <v/>
      </c>
      <c r="H23" s="224" t="n"/>
      <c r="I23" s="220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52" t="n"/>
      <c r="K23" s="552" t="n"/>
      <c r="L23" s="552" t="n"/>
      <c r="M23" s="552" t="n"/>
    </row>
    <row r="24" ht="21" customHeight="1" s="468">
      <c r="A24" s="685" t="n"/>
      <c r="B24" s="218" t="n"/>
      <c r="C24" s="219" t="n"/>
      <c r="D24" s="220" t="n"/>
      <c r="E24" s="221" t="inlineStr">
        <is>
          <t>CX</t>
        </is>
      </c>
      <c r="F24" s="686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20">
        <f>IFERROR(ROUNDUP(D24/F24,0),"")</f>
        <v/>
      </c>
      <c r="H24" s="224" t="n"/>
      <c r="I24" s="220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552" t="n"/>
      <c r="K24" s="552" t="n"/>
      <c r="L24" s="552" t="n"/>
      <c r="M24" s="552" t="n"/>
    </row>
    <row r="25" ht="15" customHeight="1" s="468">
      <c r="A25" s="658" t="n"/>
      <c r="B25" s="640" t="inlineStr">
        <is>
          <t>TOTAL</t>
        </is>
      </c>
      <c r="C25" s="667" t="n"/>
      <c r="D25" s="642">
        <f>SUM(D20:D24)</f>
        <v/>
      </c>
      <c r="E25" s="668" t="n"/>
      <c r="F25" s="644" t="n"/>
      <c r="G25" s="642">
        <f>SUM(G20:G24)</f>
        <v/>
      </c>
      <c r="H25" s="642">
        <f>SUM(H20:H24)</f>
        <v/>
      </c>
      <c r="I25" s="642">
        <f>SUM(I20:I24)</f>
        <v/>
      </c>
      <c r="J25" s="644">
        <f>D25</f>
        <v/>
      </c>
      <c r="K25" s="644">
        <f>G25</f>
        <v/>
      </c>
      <c r="L25" s="644">
        <f>H25</f>
        <v/>
      </c>
      <c r="M25" s="644">
        <f>I25</f>
        <v/>
      </c>
    </row>
    <row r="26" ht="6" customHeight="1" s="468">
      <c r="A26" s="638" t="n"/>
      <c r="C26" s="71" t="n"/>
      <c r="D26" s="552" t="n"/>
      <c r="F26" s="552" t="n"/>
      <c r="G26" s="552" t="n"/>
      <c r="H26" s="552" t="n"/>
      <c r="I26" s="552" t="n"/>
      <c r="J26" s="552" t="n"/>
      <c r="K26" s="552" t="n"/>
      <c r="L26" s="552" t="n"/>
      <c r="M26" s="552" t="n"/>
    </row>
    <row r="27" ht="15" customHeight="1" s="468">
      <c r="A27" s="646" t="n">
        <v>46177</v>
      </c>
      <c r="B27" s="213" t="inlineStr">
        <is>
          <t>PRODUTO</t>
        </is>
      </c>
      <c r="C27" s="214" t="inlineStr">
        <is>
          <t>EMBALAGEM</t>
        </is>
      </c>
      <c r="D27" s="244" t="inlineStr">
        <is>
          <t>CAIXAS</t>
        </is>
      </c>
      <c r="E27" s="215" t="inlineStr">
        <is>
          <t>UN</t>
        </is>
      </c>
      <c r="F27" s="687" t="inlineStr">
        <is>
          <t>CX/PALLET</t>
        </is>
      </c>
      <c r="G27" s="244" t="inlineStr">
        <is>
          <t>PALLETS (PBR)</t>
        </is>
      </c>
      <c r="H27" s="244" t="inlineStr">
        <is>
          <t>REAL (CX)</t>
        </is>
      </c>
      <c r="I27" s="244" t="inlineStr">
        <is>
          <t>TOTAL LATAS</t>
        </is>
      </c>
      <c r="J27" s="552" t="n"/>
      <c r="K27" s="552" t="n"/>
      <c r="L27" s="552" t="n"/>
      <c r="M27" s="552" t="n"/>
    </row>
    <row r="28" ht="21" customHeight="1" s="468">
      <c r="A28" s="685" t="n"/>
      <c r="B28" s="218" t="n"/>
      <c r="C28" s="219" t="n"/>
      <c r="D28" s="220" t="n"/>
      <c r="E28" s="221" t="inlineStr">
        <is>
          <t>CX</t>
        </is>
      </c>
      <c r="F28" s="686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20">
        <f>IFERROR(ROUNDUP(D28/F28,0),"")</f>
        <v/>
      </c>
      <c r="H28" s="224" t="n"/>
      <c r="I28" s="220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552" t="n"/>
      <c r="K28" s="552" t="n"/>
      <c r="L28" s="552" t="n"/>
      <c r="M28" s="552" t="n"/>
    </row>
    <row r="29" ht="21" customHeight="1" s="468">
      <c r="A29" s="685" t="n"/>
      <c r="B29" s="218" t="n"/>
      <c r="C29" s="219" t="n"/>
      <c r="D29" s="220" t="n"/>
      <c r="E29" s="221" t="inlineStr">
        <is>
          <t>CX</t>
        </is>
      </c>
      <c r="F29" s="686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20">
        <f>IFERROR(ROUNDUP(D29/F29,0),"")</f>
        <v/>
      </c>
      <c r="H29" s="224" t="n"/>
      <c r="I29" s="220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52" t="n"/>
      <c r="K29" s="552" t="n"/>
      <c r="L29" s="552" t="n"/>
      <c r="M29" s="552" t="n"/>
    </row>
    <row r="30" ht="21" customHeight="1" s="468">
      <c r="A30" s="685" t="n"/>
      <c r="B30" s="218" t="n"/>
      <c r="C30" s="219" t="n"/>
      <c r="D30" s="220" t="n"/>
      <c r="E30" s="221" t="inlineStr">
        <is>
          <t>CX</t>
        </is>
      </c>
      <c r="F30" s="686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20">
        <f>IFERROR(ROUNDUP(D30/F30,0),"")</f>
        <v/>
      </c>
      <c r="H30" s="224" t="n"/>
      <c r="I30" s="220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552" t="n"/>
      <c r="K30" s="552" t="n"/>
      <c r="L30" s="552" t="n"/>
      <c r="M30" s="552" t="n"/>
    </row>
    <row r="31" ht="21" customHeight="1" s="468">
      <c r="A31" s="685" t="n"/>
      <c r="B31" s="218" t="n"/>
      <c r="C31" s="219" t="n"/>
      <c r="D31" s="220" t="n"/>
      <c r="E31" s="221" t="inlineStr">
        <is>
          <t>CX</t>
        </is>
      </c>
      <c r="F31" s="68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20">
        <f>IFERROR(ROUNDUP(D31/F31,0),"")</f>
        <v/>
      </c>
      <c r="H31" s="224" t="n"/>
      <c r="I31" s="220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552" t="n"/>
      <c r="K31" s="552" t="n"/>
      <c r="L31" s="552" t="n"/>
      <c r="M31" s="552" t="n"/>
    </row>
    <row r="32" ht="21" customHeight="1" s="468">
      <c r="A32" s="685" t="n"/>
      <c r="B32" s="218" t="n"/>
      <c r="C32" s="219" t="n"/>
      <c r="D32" s="220" t="n"/>
      <c r="E32" s="221" t="inlineStr">
        <is>
          <t>CX</t>
        </is>
      </c>
      <c r="F32" s="68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20">
        <f>IFERROR(ROUNDUP(D32/F32,0),"")</f>
        <v/>
      </c>
      <c r="H32" s="224" t="n"/>
      <c r="I32" s="220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552" t="n"/>
      <c r="K32" s="552" t="n"/>
      <c r="L32" s="552" t="n"/>
      <c r="M32" s="552" t="n"/>
    </row>
    <row r="33" ht="15" customHeight="1" s="468">
      <c r="A33" s="658" t="n"/>
      <c r="B33" s="640" t="inlineStr">
        <is>
          <t>TOTAL</t>
        </is>
      </c>
      <c r="C33" s="667" t="n"/>
      <c r="D33" s="642">
        <f>SUM(D28:D32)</f>
        <v/>
      </c>
      <c r="E33" s="668" t="n"/>
      <c r="F33" s="644" t="n"/>
      <c r="G33" s="642">
        <f>SUM(G28:G32)</f>
        <v/>
      </c>
      <c r="H33" s="642">
        <f>SUM(H28:H32)</f>
        <v/>
      </c>
      <c r="I33" s="642">
        <f>SUM(I28:I32)</f>
        <v/>
      </c>
      <c r="J33" s="644">
        <f>D33</f>
        <v/>
      </c>
      <c r="K33" s="644">
        <f>G33</f>
        <v/>
      </c>
      <c r="L33" s="644">
        <f>H33</f>
        <v/>
      </c>
      <c r="M33" s="644">
        <f>I33</f>
        <v/>
      </c>
    </row>
    <row r="34" ht="6" customHeight="1" s="468">
      <c r="A34" s="638" t="n"/>
      <c r="C34" s="71" t="n"/>
      <c r="D34" s="552" t="n"/>
      <c r="F34" s="552" t="n"/>
      <c r="G34" s="552" t="n"/>
      <c r="H34" s="552" t="n"/>
      <c r="I34" s="552" t="n"/>
      <c r="J34" s="552" t="n"/>
      <c r="K34" s="552" t="n"/>
      <c r="L34" s="552" t="n"/>
      <c r="M34" s="552" t="n"/>
    </row>
    <row r="35" ht="15" customHeight="1" s="468">
      <c r="A35" s="646" t="n">
        <v>46178</v>
      </c>
      <c r="B35" s="213" t="inlineStr">
        <is>
          <t>PRODUTO</t>
        </is>
      </c>
      <c r="C35" s="214" t="inlineStr">
        <is>
          <t>EMBALAGEM</t>
        </is>
      </c>
      <c r="D35" s="244" t="inlineStr">
        <is>
          <t>CAIXAS</t>
        </is>
      </c>
      <c r="E35" s="215" t="inlineStr">
        <is>
          <t>UN</t>
        </is>
      </c>
      <c r="F35" s="687" t="inlineStr">
        <is>
          <t>CX/PALLET</t>
        </is>
      </c>
      <c r="G35" s="244" t="inlineStr">
        <is>
          <t>PALLETS (PBR)</t>
        </is>
      </c>
      <c r="H35" s="244" t="inlineStr">
        <is>
          <t>REAL (CX)</t>
        </is>
      </c>
      <c r="I35" s="244" t="inlineStr">
        <is>
          <t>TOTAL LATAS</t>
        </is>
      </c>
      <c r="J35" s="552" t="n"/>
      <c r="K35" s="552" t="n"/>
      <c r="L35" s="552" t="n"/>
      <c r="M35" s="552" t="n"/>
    </row>
    <row r="36" ht="21" customHeight="1" s="468">
      <c r="A36" s="685" t="n"/>
      <c r="B36" s="218" t="n"/>
      <c r="C36" s="219" t="n"/>
      <c r="D36" s="220" t="n"/>
      <c r="E36" s="221" t="inlineStr">
        <is>
          <t>CX</t>
        </is>
      </c>
      <c r="F36" s="68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20">
        <f>IFERROR(ROUNDUP(D36/F36,0),"")</f>
        <v/>
      </c>
      <c r="H36" s="224" t="n"/>
      <c r="I36" s="220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552" t="n"/>
      <c r="K36" s="552" t="n"/>
      <c r="L36" s="552" t="n"/>
      <c r="M36" s="552" t="n"/>
    </row>
    <row r="37" ht="21" customHeight="1" s="468">
      <c r="A37" s="685" t="n"/>
      <c r="B37" s="218" t="n"/>
      <c r="C37" s="219" t="n"/>
      <c r="D37" s="220" t="n"/>
      <c r="E37" s="221" t="inlineStr">
        <is>
          <t>CX</t>
        </is>
      </c>
      <c r="F37" s="686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20">
        <f>IFERROR(ROUNDUP(D37/F37,0),"")</f>
        <v/>
      </c>
      <c r="H37" s="224" t="n"/>
      <c r="I37" s="220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552" t="n"/>
      <c r="K37" s="552" t="n"/>
      <c r="L37" s="552" t="n"/>
      <c r="M37" s="552" t="n"/>
    </row>
    <row r="38" ht="21" customHeight="1" s="468">
      <c r="A38" s="685" t="n"/>
      <c r="B38" s="218" t="n"/>
      <c r="C38" s="219" t="n"/>
      <c r="D38" s="220" t="n"/>
      <c r="E38" s="221" t="inlineStr">
        <is>
          <t>CX</t>
        </is>
      </c>
      <c r="F38" s="686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20">
        <f>IFERROR(ROUNDUP(D38/F38,0),"")</f>
        <v/>
      </c>
      <c r="H38" s="224" t="n"/>
      <c r="I38" s="220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552" t="n"/>
      <c r="K38" s="552" t="n"/>
      <c r="L38" s="552" t="n"/>
      <c r="M38" s="552" t="n"/>
    </row>
    <row r="39" ht="21" customHeight="1" s="468">
      <c r="A39" s="685" t="n"/>
      <c r="B39" s="218" t="n"/>
      <c r="C39" s="219" t="n"/>
      <c r="D39" s="220" t="n"/>
      <c r="E39" s="221" t="inlineStr">
        <is>
          <t>CX</t>
        </is>
      </c>
      <c r="F39" s="686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20">
        <f>IFERROR(ROUNDUP(D39/F39,0),"")</f>
        <v/>
      </c>
      <c r="H39" s="224" t="n"/>
      <c r="I39" s="220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52" t="n"/>
      <c r="K39" s="552" t="n"/>
      <c r="L39" s="552" t="n"/>
      <c r="M39" s="552" t="n"/>
    </row>
    <row r="40" ht="21" customHeight="1" s="468">
      <c r="A40" s="685" t="n"/>
      <c r="B40" s="218" t="n"/>
      <c r="C40" s="219" t="n"/>
      <c r="D40" s="220" t="n"/>
      <c r="E40" s="221" t="inlineStr">
        <is>
          <t>CX</t>
        </is>
      </c>
      <c r="F40" s="68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20">
        <f>IFERROR(ROUNDUP(D40/F40,0),"")</f>
        <v/>
      </c>
      <c r="H40" s="224" t="n"/>
      <c r="I40" s="220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552" t="n"/>
      <c r="K40" s="552" t="n"/>
      <c r="L40" s="552" t="n"/>
      <c r="M40" s="552" t="n"/>
    </row>
    <row r="41" ht="15" customHeight="1" s="468">
      <c r="A41" s="658" t="n"/>
      <c r="B41" s="640" t="inlineStr">
        <is>
          <t>TOTAL</t>
        </is>
      </c>
      <c r="C41" s="667" t="n"/>
      <c r="D41" s="642">
        <f>SUM(D36:D40)</f>
        <v/>
      </c>
      <c r="E41" s="668" t="n"/>
      <c r="F41" s="644" t="n"/>
      <c r="G41" s="642">
        <f>SUM(G36:G40)</f>
        <v/>
      </c>
      <c r="H41" s="642">
        <f>SUM(H36:H40)</f>
        <v/>
      </c>
      <c r="I41" s="642">
        <f>SUM(I36:I40)</f>
        <v/>
      </c>
      <c r="J41" s="644">
        <f>D41</f>
        <v/>
      </c>
      <c r="K41" s="644">
        <f>G41</f>
        <v/>
      </c>
      <c r="L41" s="644">
        <f>H41</f>
        <v/>
      </c>
      <c r="M41" s="644">
        <f>I41</f>
        <v/>
      </c>
    </row>
    <row r="42" ht="6" customHeight="1" s="468">
      <c r="A42" s="638" t="n"/>
      <c r="C42" s="71" t="n"/>
      <c r="D42" s="552" t="n"/>
      <c r="F42" s="552" t="n"/>
      <c r="G42" s="552" t="n"/>
      <c r="H42" s="552" t="n"/>
      <c r="I42" s="552" t="n"/>
      <c r="J42" s="552" t="n"/>
      <c r="K42" s="552" t="n"/>
      <c r="L42" s="552" t="n"/>
      <c r="M42" s="552" t="n"/>
    </row>
    <row r="43" ht="15" customHeight="1" s="468">
      <c r="A43" s="696" t="n">
        <v>46179</v>
      </c>
      <c r="B43" s="213" t="inlineStr">
        <is>
          <t>PRODUTO</t>
        </is>
      </c>
      <c r="C43" s="214" t="inlineStr">
        <is>
          <t>EMBALAGEM</t>
        </is>
      </c>
      <c r="D43" s="244" t="inlineStr">
        <is>
          <t>CAIXAS</t>
        </is>
      </c>
      <c r="E43" s="215" t="inlineStr">
        <is>
          <t>UN</t>
        </is>
      </c>
      <c r="F43" s="697" t="inlineStr">
        <is>
          <t>CX/PALLET</t>
        </is>
      </c>
      <c r="G43" s="244" t="inlineStr">
        <is>
          <t>PALLETS (PBR)</t>
        </is>
      </c>
      <c r="H43" s="244" t="inlineStr">
        <is>
          <t>REAL (CX)</t>
        </is>
      </c>
      <c r="I43" s="244" t="inlineStr">
        <is>
          <t>TOTAL LATAS</t>
        </is>
      </c>
      <c r="J43" s="274" t="n"/>
      <c r="K43" s="274" t="n"/>
      <c r="L43" s="274" t="n"/>
      <c r="M43" s="274" t="n"/>
    </row>
    <row r="44" ht="21" customHeight="1" s="468">
      <c r="A44" s="685" t="n"/>
      <c r="B44" s="266" t="n"/>
      <c r="C44" s="267" t="n"/>
      <c r="D44" s="268" t="n"/>
      <c r="E44" s="269" t="inlineStr">
        <is>
          <t>CX</t>
        </is>
      </c>
      <c r="F44" s="698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68">
        <f>IFERROR(ROUNDUP(D44/F44,0),"")</f>
        <v/>
      </c>
      <c r="H44" s="224" t="n"/>
      <c r="I44" s="268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274" t="n"/>
      <c r="K44" s="274" t="n"/>
      <c r="L44" s="274" t="n"/>
      <c r="M44" s="274" t="n"/>
    </row>
    <row r="45" ht="21" customHeight="1" s="468">
      <c r="A45" s="685" t="n"/>
      <c r="B45" s="266" t="n"/>
      <c r="C45" s="267" t="n"/>
      <c r="D45" s="268" t="n"/>
      <c r="E45" s="269" t="inlineStr">
        <is>
          <t>CX</t>
        </is>
      </c>
      <c r="F45" s="698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68">
        <f>IFERROR(ROUNDUP(D45/F45,0),"")</f>
        <v/>
      </c>
      <c r="H45" s="224" t="n"/>
      <c r="I45" s="268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274" t="n"/>
      <c r="K45" s="274" t="n"/>
      <c r="L45" s="274" t="n"/>
      <c r="M45" s="274" t="n"/>
    </row>
    <row r="46" ht="21" customHeight="1" s="468">
      <c r="A46" s="685" t="n"/>
      <c r="B46" s="266" t="n"/>
      <c r="C46" s="267" t="n"/>
      <c r="D46" s="268" t="n"/>
      <c r="E46" s="269" t="inlineStr">
        <is>
          <t>CX</t>
        </is>
      </c>
      <c r="F46" s="698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68">
        <f>IFERROR(ROUNDUP(D46/F46,0),"")</f>
        <v/>
      </c>
      <c r="H46" s="224" t="n"/>
      <c r="I46" s="268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274" t="n"/>
      <c r="K46" s="274" t="n"/>
      <c r="L46" s="274" t="n"/>
      <c r="M46" s="274" t="n"/>
    </row>
    <row r="47" ht="21" customHeight="1" s="468">
      <c r="A47" s="685" t="n"/>
      <c r="B47" s="266" t="n"/>
      <c r="C47" s="267" t="n"/>
      <c r="D47" s="268" t="n"/>
      <c r="E47" s="269" t="inlineStr">
        <is>
          <t>CX</t>
        </is>
      </c>
      <c r="F47" s="698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68">
        <f>IFERROR(ROUNDUP(D47/F47,0),"")</f>
        <v/>
      </c>
      <c r="H47" s="224" t="n"/>
      <c r="I47" s="268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274" t="n"/>
      <c r="K47" s="274" t="n"/>
      <c r="L47" s="274" t="n"/>
      <c r="M47" s="274" t="n"/>
    </row>
    <row r="48" ht="21" customHeight="1" s="468">
      <c r="A48" s="685" t="n"/>
      <c r="B48" s="266" t="n"/>
      <c r="C48" s="267" t="n"/>
      <c r="D48" s="268" t="n"/>
      <c r="E48" s="269" t="inlineStr">
        <is>
          <t>CX</t>
        </is>
      </c>
      <c r="F48" s="698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68">
        <f>IFERROR(ROUNDUP(D48/F48,0),"")</f>
        <v/>
      </c>
      <c r="H48" s="224" t="n"/>
      <c r="I48" s="268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274" t="n"/>
      <c r="K48" s="274" t="n"/>
      <c r="L48" s="274" t="n"/>
      <c r="M48" s="274" t="n"/>
    </row>
    <row r="49" ht="15" customHeight="1" s="468">
      <c r="A49" s="658" t="n"/>
      <c r="B49" s="640" t="inlineStr">
        <is>
          <t>TOTAL</t>
        </is>
      </c>
      <c r="C49" s="667" t="n"/>
      <c r="D49" s="642">
        <f>SUM(D44:D48)</f>
        <v/>
      </c>
      <c r="E49" s="668" t="n"/>
      <c r="F49" s="644" t="n"/>
      <c r="G49" s="642">
        <f>SUM(G44:G48)</f>
        <v/>
      </c>
      <c r="H49" s="642">
        <f>SUM(H44:H48)</f>
        <v/>
      </c>
      <c r="I49" s="642">
        <f>SUM(I44:I48)</f>
        <v/>
      </c>
      <c r="J49" s="644">
        <f>D49</f>
        <v/>
      </c>
      <c r="K49" s="644">
        <f>G49</f>
        <v/>
      </c>
      <c r="L49" s="644">
        <f>H49</f>
        <v/>
      </c>
      <c r="M49" s="644">
        <f>I49</f>
        <v/>
      </c>
    </row>
    <row r="50" ht="6" customHeight="1" s="468">
      <c r="A50" s="699" t="n"/>
      <c r="B50" s="265" t="n"/>
      <c r="C50" s="276" t="n"/>
      <c r="D50" s="274" t="n"/>
      <c r="E50" s="265" t="n"/>
      <c r="F50" s="274" t="n"/>
      <c r="G50" s="274" t="n"/>
      <c r="H50" s="274" t="n"/>
      <c r="I50" s="274" t="n"/>
      <c r="J50" s="274" t="n"/>
      <c r="K50" s="274" t="n"/>
      <c r="L50" s="274" t="n"/>
      <c r="M50" s="274" t="n"/>
    </row>
    <row r="51" ht="15" customHeight="1" s="468">
      <c r="A51" s="646" t="n">
        <v>46181</v>
      </c>
      <c r="B51" s="213" t="inlineStr">
        <is>
          <t>PRODUTO</t>
        </is>
      </c>
      <c r="C51" s="214" t="inlineStr">
        <is>
          <t>EMBALAGEM</t>
        </is>
      </c>
      <c r="D51" s="244" t="inlineStr">
        <is>
          <t>CAIXAS</t>
        </is>
      </c>
      <c r="E51" s="215" t="inlineStr">
        <is>
          <t>UN</t>
        </is>
      </c>
      <c r="F51" s="687" t="inlineStr">
        <is>
          <t>CX/PALLET</t>
        </is>
      </c>
      <c r="G51" s="244" t="inlineStr">
        <is>
          <t>PALLETS (PBR)</t>
        </is>
      </c>
      <c r="H51" s="244" t="inlineStr">
        <is>
          <t>REAL (CX)</t>
        </is>
      </c>
      <c r="I51" s="244" t="inlineStr">
        <is>
          <t>TOTAL LATAS</t>
        </is>
      </c>
      <c r="J51" s="552" t="n"/>
      <c r="K51" s="552" t="n"/>
      <c r="L51" s="552" t="n"/>
      <c r="M51" s="552" t="n"/>
    </row>
    <row r="52" ht="21" customHeight="1" s="468">
      <c r="A52" s="685" t="n"/>
      <c r="B52" s="218" t="n"/>
      <c r="C52" s="219" t="n"/>
      <c r="D52" s="220" t="n"/>
      <c r="E52" s="221" t="inlineStr">
        <is>
          <t>CX</t>
        </is>
      </c>
      <c r="F52" s="686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20">
        <f>IFERROR(ROUNDUP(D52/F52,0),"")</f>
        <v/>
      </c>
      <c r="H52" s="224" t="n"/>
      <c r="I52" s="220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552" t="n"/>
      <c r="K52" s="552" t="n"/>
      <c r="L52" s="552" t="n"/>
      <c r="M52" s="552" t="n"/>
    </row>
    <row r="53" ht="21" customHeight="1" s="468">
      <c r="A53" s="685" t="n"/>
      <c r="B53" s="218" t="n"/>
      <c r="C53" s="219" t="n"/>
      <c r="D53" s="220" t="n"/>
      <c r="E53" s="221" t="inlineStr">
        <is>
          <t>CX</t>
        </is>
      </c>
      <c r="F53" s="68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20">
        <f>IFERROR(ROUNDUP(D53/F53,0),"")</f>
        <v/>
      </c>
      <c r="H53" s="224" t="n"/>
      <c r="I53" s="220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552" t="n"/>
      <c r="K53" s="552" t="n"/>
      <c r="L53" s="552" t="n"/>
      <c r="M53" s="552" t="n"/>
    </row>
    <row r="54" ht="21" customHeight="1" s="468">
      <c r="A54" s="685" t="n"/>
      <c r="B54" s="218" t="n"/>
      <c r="C54" s="219" t="n"/>
      <c r="D54" s="220" t="n"/>
      <c r="E54" s="221" t="inlineStr">
        <is>
          <t>CX</t>
        </is>
      </c>
      <c r="F54" s="686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20">
        <f>IFERROR(ROUNDUP(D54/F54,0),"")</f>
        <v/>
      </c>
      <c r="H54" s="224" t="n"/>
      <c r="I54" s="220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552" t="n"/>
      <c r="K54" s="552" t="n"/>
      <c r="L54" s="552" t="n"/>
      <c r="M54" s="552" t="n"/>
    </row>
    <row r="55" ht="21" customHeight="1" s="468">
      <c r="A55" s="685" t="n"/>
      <c r="B55" s="218" t="n"/>
      <c r="C55" s="219" t="n"/>
      <c r="D55" s="220" t="n"/>
      <c r="E55" s="221" t="inlineStr">
        <is>
          <t>CX</t>
        </is>
      </c>
      <c r="F55" s="68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20">
        <f>IFERROR(ROUNDUP(D55/F55,0),"")</f>
        <v/>
      </c>
      <c r="H55" s="224" t="n"/>
      <c r="I55" s="220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552" t="n"/>
      <c r="K55" s="552" t="n"/>
      <c r="L55" s="552" t="n"/>
      <c r="M55" s="552" t="n"/>
    </row>
    <row r="56" ht="21" customHeight="1" s="468">
      <c r="A56" s="685" t="n"/>
      <c r="B56" s="218" t="n"/>
      <c r="C56" s="219" t="n"/>
      <c r="D56" s="220" t="n"/>
      <c r="E56" s="221" t="inlineStr">
        <is>
          <t>CX</t>
        </is>
      </c>
      <c r="F56" s="686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20">
        <f>IFERROR(ROUNDUP(D56/F56,0),"")</f>
        <v/>
      </c>
      <c r="H56" s="224" t="n"/>
      <c r="I56" s="220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552" t="n"/>
      <c r="K56" s="552" t="n"/>
      <c r="L56" s="552" t="n"/>
      <c r="M56" s="552" t="n"/>
    </row>
    <row r="57" ht="15" customHeight="1" s="468">
      <c r="A57" s="658" t="n"/>
      <c r="B57" s="640" t="inlineStr">
        <is>
          <t>TOTAL</t>
        </is>
      </c>
      <c r="C57" s="667" t="n"/>
      <c r="D57" s="642">
        <f>SUM(D52:D56)</f>
        <v/>
      </c>
      <c r="E57" s="668" t="n"/>
      <c r="F57" s="644" t="n"/>
      <c r="G57" s="642">
        <f>SUM(G52:G56)</f>
        <v/>
      </c>
      <c r="H57" s="642">
        <f>SUM(H52:H56)</f>
        <v/>
      </c>
      <c r="I57" s="642">
        <f>SUM(I52:I56)</f>
        <v/>
      </c>
      <c r="J57" s="644">
        <f>D57</f>
        <v/>
      </c>
      <c r="K57" s="644">
        <f>G57</f>
        <v/>
      </c>
      <c r="L57" s="644">
        <f>H57</f>
        <v/>
      </c>
      <c r="M57" s="644">
        <f>I57</f>
        <v/>
      </c>
    </row>
    <row r="58" ht="6" customHeight="1" s="468">
      <c r="A58" s="638" t="n"/>
      <c r="C58" s="71" t="n"/>
      <c r="D58" s="552" t="n"/>
      <c r="F58" s="552" t="n"/>
      <c r="G58" s="552" t="n"/>
      <c r="H58" s="552" t="n"/>
      <c r="I58" s="552" t="n"/>
      <c r="J58" s="552" t="n"/>
      <c r="K58" s="552" t="n"/>
      <c r="L58" s="552" t="n"/>
      <c r="M58" s="552" t="n"/>
    </row>
    <row r="59" ht="15" customHeight="1" s="468">
      <c r="A59" s="646" t="n">
        <v>46182</v>
      </c>
      <c r="B59" s="213" t="inlineStr">
        <is>
          <t>PRODUTO</t>
        </is>
      </c>
      <c r="C59" s="214" t="inlineStr">
        <is>
          <t>EMBALAGEM</t>
        </is>
      </c>
      <c r="D59" s="244" t="inlineStr">
        <is>
          <t>CAIXAS</t>
        </is>
      </c>
      <c r="E59" s="215" t="inlineStr">
        <is>
          <t>UN</t>
        </is>
      </c>
      <c r="F59" s="687" t="inlineStr">
        <is>
          <t>CX/PALLET</t>
        </is>
      </c>
      <c r="G59" s="244" t="inlineStr">
        <is>
          <t>PALLETS (PBR)</t>
        </is>
      </c>
      <c r="H59" s="244" t="inlineStr">
        <is>
          <t>REAL (CX)</t>
        </is>
      </c>
      <c r="I59" s="244" t="inlineStr">
        <is>
          <t>TOTAL LATAS</t>
        </is>
      </c>
      <c r="J59" s="552" t="n"/>
      <c r="K59" s="552" t="n"/>
      <c r="L59" s="552" t="n"/>
      <c r="M59" s="552" t="n"/>
    </row>
    <row r="60" ht="21" customHeight="1" s="468">
      <c r="A60" s="685" t="n"/>
      <c r="B60" s="218" t="n"/>
      <c r="C60" s="219" t="n"/>
      <c r="D60" s="220" t="n"/>
      <c r="E60" s="221" t="inlineStr">
        <is>
          <t>CX</t>
        </is>
      </c>
      <c r="F60" s="68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20">
        <f>IFERROR(ROUNDUP(D60/F60,0),"")</f>
        <v/>
      </c>
      <c r="H60" s="224" t="n"/>
      <c r="I60" s="220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  <c r="J60" s="552" t="n"/>
      <c r="K60" s="552" t="n"/>
      <c r="L60" s="552" t="n"/>
      <c r="M60" s="552" t="n"/>
    </row>
    <row r="61" ht="21" customHeight="1" s="468">
      <c r="A61" s="685" t="n"/>
      <c r="B61" s="218" t="n"/>
      <c r="C61" s="219" t="n"/>
      <c r="D61" s="220" t="n"/>
      <c r="E61" s="221" t="inlineStr">
        <is>
          <t>CX</t>
        </is>
      </c>
      <c r="F61" s="68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20">
        <f>IFERROR(ROUNDUP(D61/F61,0),"")</f>
        <v/>
      </c>
      <c r="H61" s="224" t="n"/>
      <c r="I61" s="220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552" t="n"/>
      <c r="K61" s="552" t="n"/>
      <c r="L61" s="552" t="n"/>
      <c r="M61" s="552" t="n"/>
    </row>
    <row r="62" ht="21" customHeight="1" s="468">
      <c r="A62" s="685" t="n"/>
      <c r="B62" s="218" t="n"/>
      <c r="C62" s="219" t="n"/>
      <c r="D62" s="220" t="n"/>
      <c r="E62" s="221" t="inlineStr">
        <is>
          <t>CX</t>
        </is>
      </c>
      <c r="F62" s="686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20">
        <f>IFERROR(ROUNDUP(D62/F62,0),"")</f>
        <v/>
      </c>
      <c r="H62" s="224" t="n"/>
      <c r="I62" s="220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 t="n"/>
      <c r="K62" s="552" t="n"/>
      <c r="L62" s="552" t="n"/>
      <c r="M62" s="552" t="n"/>
    </row>
    <row r="63" ht="21" customHeight="1" s="468">
      <c r="A63" s="685" t="n"/>
      <c r="B63" s="218" t="n"/>
      <c r="C63" s="219" t="n"/>
      <c r="D63" s="220" t="n"/>
      <c r="E63" s="221" t="inlineStr">
        <is>
          <t>CX</t>
        </is>
      </c>
      <c r="F63" s="68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20">
        <f>IFERROR(ROUNDUP(D63/F63,0),"")</f>
        <v/>
      </c>
      <c r="H63" s="224" t="n"/>
      <c r="I63" s="220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552" t="n"/>
      <c r="K63" s="552" t="n"/>
      <c r="L63" s="552" t="n"/>
      <c r="M63" s="552" t="n"/>
    </row>
    <row r="64" ht="21" customHeight="1" s="468">
      <c r="A64" s="685" t="n"/>
      <c r="B64" s="218" t="n"/>
      <c r="C64" s="219" t="n"/>
      <c r="D64" s="220" t="n"/>
      <c r="E64" s="221" t="inlineStr">
        <is>
          <t>CX</t>
        </is>
      </c>
      <c r="F64" s="686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20">
        <f>IFERROR(ROUNDUP(D64/F64,0),"")</f>
        <v/>
      </c>
      <c r="H64" s="224" t="n"/>
      <c r="I64" s="220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  <c r="J64" s="552" t="n"/>
      <c r="K64" s="552" t="n"/>
      <c r="L64" s="552" t="n"/>
      <c r="M64" s="552" t="n"/>
    </row>
    <row r="65" ht="15" customHeight="1" s="468">
      <c r="A65" s="658" t="n"/>
      <c r="B65" s="640" t="inlineStr">
        <is>
          <t>TOTAL</t>
        </is>
      </c>
      <c r="C65" s="667" t="n"/>
      <c r="D65" s="642">
        <f>SUM(D60:D64)</f>
        <v/>
      </c>
      <c r="E65" s="668" t="n"/>
      <c r="F65" s="644" t="n"/>
      <c r="G65" s="642">
        <f>SUM(G60:G64)</f>
        <v/>
      </c>
      <c r="H65" s="642">
        <f>SUM(H60:H64)</f>
        <v/>
      </c>
      <c r="I65" s="642">
        <f>SUM(I60:I64)</f>
        <v/>
      </c>
      <c r="J65" s="644">
        <f>D65</f>
        <v/>
      </c>
      <c r="K65" s="644">
        <f>G65</f>
        <v/>
      </c>
      <c r="L65" s="644">
        <f>H65</f>
        <v/>
      </c>
      <c r="M65" s="644">
        <f>I65</f>
        <v/>
      </c>
    </row>
    <row r="66" ht="6" customHeight="1" s="468">
      <c r="A66" s="638" t="n"/>
      <c r="C66" s="71" t="n"/>
      <c r="D66" s="552" t="n"/>
      <c r="F66" s="552" t="n"/>
      <c r="G66" s="552" t="n"/>
      <c r="H66" s="552" t="n"/>
      <c r="I66" s="552" t="n"/>
      <c r="J66" s="552" t="n"/>
      <c r="K66" s="552" t="n"/>
      <c r="L66" s="552" t="n"/>
      <c r="M66" s="552" t="n"/>
    </row>
    <row r="67" ht="15" customHeight="1" s="468">
      <c r="A67" s="646" t="n">
        <v>46183</v>
      </c>
      <c r="B67" s="213" t="inlineStr">
        <is>
          <t>PRODUTO</t>
        </is>
      </c>
      <c r="C67" s="214" t="inlineStr">
        <is>
          <t>EMBALAGEM</t>
        </is>
      </c>
      <c r="D67" s="244" t="inlineStr">
        <is>
          <t>CAIXAS</t>
        </is>
      </c>
      <c r="E67" s="215" t="inlineStr">
        <is>
          <t>UN</t>
        </is>
      </c>
      <c r="F67" s="687" t="inlineStr">
        <is>
          <t>CX/PALLET</t>
        </is>
      </c>
      <c r="G67" s="244" t="inlineStr">
        <is>
          <t>PALLETS (PBR)</t>
        </is>
      </c>
      <c r="H67" s="244" t="inlineStr">
        <is>
          <t>REAL (CX)</t>
        </is>
      </c>
      <c r="I67" s="244" t="inlineStr">
        <is>
          <t>TOTAL LATAS</t>
        </is>
      </c>
      <c r="J67" s="552" t="n"/>
      <c r="K67" s="552" t="n"/>
      <c r="L67" s="552" t="n"/>
      <c r="M67" s="552" t="n"/>
    </row>
    <row r="68" ht="21" customHeight="1" s="468">
      <c r="A68" s="685" t="n"/>
      <c r="B68" s="218" t="n"/>
      <c r="C68" s="219" t="n"/>
      <c r="D68" s="220" t="n"/>
      <c r="E68" s="221" t="inlineStr">
        <is>
          <t>CX</t>
        </is>
      </c>
      <c r="F68" s="686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20">
        <f>IFERROR(ROUNDUP(D68/F68,0),"")</f>
        <v/>
      </c>
      <c r="H68" s="224" t="n"/>
      <c r="I68" s="220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552" t="n"/>
      <c r="K68" s="552" t="n"/>
      <c r="L68" s="552" t="n"/>
      <c r="M68" s="552" t="n"/>
    </row>
    <row r="69" ht="21" customHeight="1" s="468">
      <c r="A69" s="685" t="n"/>
      <c r="B69" s="218" t="n"/>
      <c r="C69" s="219" t="n"/>
      <c r="D69" s="220" t="n"/>
      <c r="E69" s="221" t="inlineStr">
        <is>
          <t>CX</t>
        </is>
      </c>
      <c r="F69" s="68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20">
        <f>IFERROR(ROUNDUP(D69/F69,0),"")</f>
        <v/>
      </c>
      <c r="H69" s="224" t="n"/>
      <c r="I69" s="220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552" t="n"/>
      <c r="K69" s="552" t="n"/>
      <c r="L69" s="552" t="n"/>
      <c r="M69" s="552" t="n"/>
    </row>
    <row r="70" ht="21" customHeight="1" s="468">
      <c r="A70" s="685" t="n"/>
      <c r="B70" s="218" t="n"/>
      <c r="C70" s="219" t="n"/>
      <c r="D70" s="220" t="n"/>
      <c r="E70" s="221" t="inlineStr">
        <is>
          <t>CX</t>
        </is>
      </c>
      <c r="F70" s="686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20">
        <f>IFERROR(ROUNDUP(D70/F70,0),"")</f>
        <v/>
      </c>
      <c r="H70" s="224" t="n"/>
      <c r="I70" s="22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552" t="n"/>
      <c r="K70" s="552" t="n"/>
      <c r="L70" s="552" t="n"/>
      <c r="M70" s="552" t="n"/>
    </row>
    <row r="71" ht="21" customHeight="1" s="468">
      <c r="A71" s="685" t="n"/>
      <c r="B71" s="218" t="n"/>
      <c r="C71" s="219" t="n"/>
      <c r="D71" s="220" t="n"/>
      <c r="E71" s="221" t="inlineStr">
        <is>
          <t>CX</t>
        </is>
      </c>
      <c r="F71" s="686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20">
        <f>IFERROR(ROUNDUP(D71/F71,0),"")</f>
        <v/>
      </c>
      <c r="H71" s="224" t="n"/>
      <c r="I71" s="220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552" t="n"/>
      <c r="K71" s="552" t="n"/>
      <c r="L71" s="552" t="n"/>
      <c r="M71" s="552" t="n"/>
    </row>
    <row r="72" ht="21" customHeight="1" s="468">
      <c r="A72" s="685" t="n"/>
      <c r="B72" s="218" t="n"/>
      <c r="C72" s="219" t="n"/>
      <c r="D72" s="220" t="n"/>
      <c r="E72" s="221" t="inlineStr">
        <is>
          <t>CX</t>
        </is>
      </c>
      <c r="F72" s="686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20">
        <f>IFERROR(ROUNDUP(D72/F72,0),"")</f>
        <v/>
      </c>
      <c r="H72" s="224" t="n"/>
      <c r="I72" s="220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552" t="n"/>
      <c r="K72" s="552" t="n"/>
      <c r="L72" s="552" t="n"/>
      <c r="M72" s="552" t="n"/>
    </row>
    <row r="73" ht="15" customHeight="1" s="468">
      <c r="A73" s="658" t="n"/>
      <c r="B73" s="640" t="inlineStr">
        <is>
          <t>TOTAL</t>
        </is>
      </c>
      <c r="C73" s="667" t="n"/>
      <c r="D73" s="642">
        <f>SUM(D68:D72)</f>
        <v/>
      </c>
      <c r="E73" s="668" t="n"/>
      <c r="F73" s="644" t="n"/>
      <c r="G73" s="642">
        <f>SUM(G68:G72)</f>
        <v/>
      </c>
      <c r="H73" s="642">
        <f>SUM(H68:H72)</f>
        <v/>
      </c>
      <c r="I73" s="642">
        <f>SUM(I68:I72)</f>
        <v/>
      </c>
      <c r="J73" s="644">
        <f>D73</f>
        <v/>
      </c>
      <c r="K73" s="644">
        <f>G73</f>
        <v/>
      </c>
      <c r="L73" s="644">
        <f>H73</f>
        <v/>
      </c>
      <c r="M73" s="644">
        <f>I73</f>
        <v/>
      </c>
    </row>
    <row r="74" ht="6" customHeight="1" s="468">
      <c r="A74" s="638" t="n"/>
      <c r="C74" s="71" t="n"/>
      <c r="D74" s="552" t="n"/>
      <c r="F74" s="552" t="n"/>
      <c r="G74" s="552" t="n"/>
      <c r="H74" s="552" t="n"/>
      <c r="I74" s="552" t="n"/>
      <c r="J74" s="552" t="n"/>
      <c r="K74" s="552" t="n"/>
      <c r="L74" s="552" t="n"/>
      <c r="M74" s="552" t="n"/>
    </row>
    <row r="75" ht="15" customHeight="1" s="468">
      <c r="A75" s="646" t="n">
        <v>46184</v>
      </c>
      <c r="B75" s="213" t="inlineStr">
        <is>
          <t>PRODUTO</t>
        </is>
      </c>
      <c r="C75" s="214" t="inlineStr">
        <is>
          <t>EMBALAGEM</t>
        </is>
      </c>
      <c r="D75" s="244" t="inlineStr">
        <is>
          <t>CAIXAS</t>
        </is>
      </c>
      <c r="E75" s="215" t="inlineStr">
        <is>
          <t>UN</t>
        </is>
      </c>
      <c r="F75" s="687" t="inlineStr">
        <is>
          <t>CX/PALLET</t>
        </is>
      </c>
      <c r="G75" s="244" t="inlineStr">
        <is>
          <t>PALLETS (PBR)</t>
        </is>
      </c>
      <c r="H75" s="244" t="inlineStr">
        <is>
          <t>REAL (CX)</t>
        </is>
      </c>
      <c r="I75" s="244" t="inlineStr">
        <is>
          <t>TOTAL LATAS</t>
        </is>
      </c>
      <c r="J75" s="552" t="n"/>
      <c r="K75" s="552" t="n"/>
      <c r="L75" s="552" t="n"/>
      <c r="M75" s="552" t="n"/>
    </row>
    <row r="76" ht="21" customHeight="1" s="468">
      <c r="A76" s="685" t="n"/>
      <c r="B76" s="218" t="n"/>
      <c r="C76" s="219" t="n"/>
      <c r="D76" s="220" t="n"/>
      <c r="E76" s="221" t="inlineStr">
        <is>
          <t>CX</t>
        </is>
      </c>
      <c r="F76" s="68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20">
        <f>IFERROR(ROUNDUP(D76/F76,0),"")</f>
        <v/>
      </c>
      <c r="H76" s="224" t="n"/>
      <c r="I76" s="220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552" t="n"/>
      <c r="K76" s="552" t="n"/>
      <c r="L76" s="552" t="n"/>
      <c r="M76" s="552" t="n"/>
    </row>
    <row r="77" ht="21" customHeight="1" s="468">
      <c r="A77" s="685" t="n"/>
      <c r="B77" s="218" t="n"/>
      <c r="C77" s="219" t="n"/>
      <c r="D77" s="220" t="n"/>
      <c r="E77" s="221" t="inlineStr">
        <is>
          <t>CX</t>
        </is>
      </c>
      <c r="F77" s="68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20">
        <f>IFERROR(ROUNDUP(D77/F77,0),"")</f>
        <v/>
      </c>
      <c r="H77" s="224" t="n"/>
      <c r="I77" s="220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552" t="n"/>
      <c r="K77" s="552" t="n"/>
      <c r="L77" s="552" t="n"/>
      <c r="M77" s="552" t="n"/>
    </row>
    <row r="78" ht="21" customHeight="1" s="468">
      <c r="A78" s="685" t="n"/>
      <c r="B78" s="218" t="n"/>
      <c r="C78" s="219" t="n"/>
      <c r="D78" s="220" t="n"/>
      <c r="E78" s="221" t="inlineStr">
        <is>
          <t>CX</t>
        </is>
      </c>
      <c r="F78" s="686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20">
        <f>IFERROR(ROUNDUP(D78/F78,0),"")</f>
        <v/>
      </c>
      <c r="H78" s="224" t="n"/>
      <c r="I78" s="220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552" t="n"/>
      <c r="K78" s="552" t="n"/>
      <c r="L78" s="552" t="n"/>
      <c r="M78" s="552" t="n"/>
    </row>
    <row r="79" ht="21" customHeight="1" s="468">
      <c r="A79" s="685" t="n"/>
      <c r="B79" s="218" t="n"/>
      <c r="C79" s="219" t="n"/>
      <c r="D79" s="220" t="n"/>
      <c r="E79" s="221" t="inlineStr">
        <is>
          <t>CX</t>
        </is>
      </c>
      <c r="F79" s="686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20">
        <f>IFERROR(ROUNDUP(D79/F79,0),"")</f>
        <v/>
      </c>
      <c r="H79" s="224" t="n"/>
      <c r="I79" s="220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552" t="n"/>
      <c r="K79" s="552" t="n"/>
      <c r="L79" s="552" t="n"/>
      <c r="M79" s="552" t="n"/>
    </row>
    <row r="80" ht="21" customHeight="1" s="468">
      <c r="A80" s="685" t="n"/>
      <c r="B80" s="218" t="n"/>
      <c r="C80" s="219" t="n"/>
      <c r="D80" s="220" t="n"/>
      <c r="E80" s="221" t="inlineStr">
        <is>
          <t>CX</t>
        </is>
      </c>
      <c r="F80" s="686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20">
        <f>IFERROR(ROUNDUP(D80/F80,0),"")</f>
        <v/>
      </c>
      <c r="H80" s="224" t="n"/>
      <c r="I80" s="220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552" t="n"/>
      <c r="K80" s="552" t="n"/>
      <c r="L80" s="552" t="n"/>
      <c r="M80" s="552" t="n"/>
    </row>
    <row r="81" ht="15" customHeight="1" s="468">
      <c r="A81" s="658" t="n"/>
      <c r="B81" s="640" t="inlineStr">
        <is>
          <t>TOTAL</t>
        </is>
      </c>
      <c r="C81" s="667" t="n"/>
      <c r="D81" s="642">
        <f>SUM(D76:D80)</f>
        <v/>
      </c>
      <c r="E81" s="668" t="n"/>
      <c r="F81" s="644" t="n"/>
      <c r="G81" s="642">
        <f>SUM(G76:G80)</f>
        <v/>
      </c>
      <c r="H81" s="642">
        <f>SUM(H76:H80)</f>
        <v/>
      </c>
      <c r="I81" s="642">
        <f>SUM(I76:I80)</f>
        <v/>
      </c>
      <c r="J81" s="644">
        <f>D81</f>
        <v/>
      </c>
      <c r="K81" s="644">
        <f>G81</f>
        <v/>
      </c>
      <c r="L81" s="644">
        <f>H81</f>
        <v/>
      </c>
      <c r="M81" s="644">
        <f>I81</f>
        <v/>
      </c>
    </row>
    <row r="82" ht="6" customHeight="1" s="468">
      <c r="A82" s="638" t="n"/>
      <c r="C82" s="71" t="n"/>
      <c r="D82" s="552" t="n"/>
      <c r="F82" s="552" t="n"/>
      <c r="G82" s="552" t="n"/>
      <c r="H82" s="552" t="n"/>
      <c r="I82" s="552" t="n"/>
      <c r="J82" s="552" t="n"/>
      <c r="K82" s="552" t="n"/>
      <c r="L82" s="552" t="n"/>
      <c r="M82" s="552" t="n"/>
    </row>
    <row r="83" ht="15" customHeight="1" s="468">
      <c r="A83" s="646" t="n">
        <v>46185</v>
      </c>
      <c r="B83" s="213" t="inlineStr">
        <is>
          <t>PRODUTO</t>
        </is>
      </c>
      <c r="C83" s="214" t="inlineStr">
        <is>
          <t>EMBALAGEM</t>
        </is>
      </c>
      <c r="D83" s="244" t="inlineStr">
        <is>
          <t>CAIXAS</t>
        </is>
      </c>
      <c r="E83" s="215" t="inlineStr">
        <is>
          <t>UN</t>
        </is>
      </c>
      <c r="F83" s="687" t="inlineStr">
        <is>
          <t>CX/PALLET</t>
        </is>
      </c>
      <c r="G83" s="244" t="inlineStr">
        <is>
          <t>PALLETS (PBR)</t>
        </is>
      </c>
      <c r="H83" s="244" t="inlineStr">
        <is>
          <t>REAL (CX)</t>
        </is>
      </c>
      <c r="I83" s="244" t="inlineStr">
        <is>
          <t>TOTAL LATAS</t>
        </is>
      </c>
      <c r="J83" s="552" t="n"/>
      <c r="K83" s="552" t="n"/>
      <c r="L83" s="552" t="n"/>
      <c r="M83" s="552" t="n"/>
    </row>
    <row r="84" ht="21" customHeight="1" s="468">
      <c r="A84" s="685" t="n"/>
      <c r="B84" s="218" t="n"/>
      <c r="C84" s="219" t="n"/>
      <c r="D84" s="220" t="n"/>
      <c r="E84" s="221" t="inlineStr">
        <is>
          <t>CX</t>
        </is>
      </c>
      <c r="F84" s="686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20">
        <f>IFERROR(ROUNDUP(D84/F84,0),"")</f>
        <v/>
      </c>
      <c r="H84" s="224" t="n"/>
      <c r="I84" s="220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552" t="n"/>
      <c r="K84" s="552" t="n"/>
      <c r="L84" s="552" t="n"/>
      <c r="M84" s="552" t="n"/>
    </row>
    <row r="85" ht="21" customHeight="1" s="468">
      <c r="A85" s="685" t="n"/>
      <c r="B85" s="218" t="n"/>
      <c r="C85" s="219" t="n"/>
      <c r="D85" s="220" t="n"/>
      <c r="E85" s="221" t="inlineStr">
        <is>
          <t>CX</t>
        </is>
      </c>
      <c r="F85" s="686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20">
        <f>IFERROR(ROUNDUP(D85/F85,0),"")</f>
        <v/>
      </c>
      <c r="H85" s="224" t="n"/>
      <c r="I85" s="220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552" t="n"/>
      <c r="K85" s="552" t="n"/>
      <c r="L85" s="552" t="n"/>
      <c r="M85" s="552" t="n"/>
    </row>
    <row r="86" ht="21" customHeight="1" s="468">
      <c r="A86" s="685" t="n"/>
      <c r="B86" s="218" t="n"/>
      <c r="C86" s="219" t="n"/>
      <c r="D86" s="220" t="n"/>
      <c r="E86" s="221" t="inlineStr">
        <is>
          <t>CX</t>
        </is>
      </c>
      <c r="F86" s="6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20">
        <f>IFERROR(ROUNDUP(D86/F86,0),"")</f>
        <v/>
      </c>
      <c r="H86" s="224" t="n"/>
      <c r="I86" s="220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552" t="n"/>
      <c r="K86" s="552" t="n"/>
      <c r="L86" s="552" t="n"/>
      <c r="M86" s="552" t="n"/>
    </row>
    <row r="87" ht="21" customHeight="1" s="468">
      <c r="A87" s="685" t="n"/>
      <c r="B87" s="218" t="n"/>
      <c r="C87" s="219" t="n"/>
      <c r="D87" s="220" t="n"/>
      <c r="E87" s="221" t="inlineStr">
        <is>
          <t>CX</t>
        </is>
      </c>
      <c r="F87" s="686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20">
        <f>IFERROR(ROUNDUP(D87/F87,0),"")</f>
        <v/>
      </c>
      <c r="H87" s="224" t="n"/>
      <c r="I87" s="220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552" t="n"/>
      <c r="K87" s="552" t="n"/>
      <c r="L87" s="552" t="n"/>
      <c r="M87" s="552" t="n"/>
    </row>
    <row r="88" ht="21" customHeight="1" s="468">
      <c r="A88" s="685" t="n"/>
      <c r="B88" s="218" t="n"/>
      <c r="C88" s="219" t="n"/>
      <c r="D88" s="220" t="n"/>
      <c r="E88" s="221" t="inlineStr">
        <is>
          <t>CX</t>
        </is>
      </c>
      <c r="F88" s="686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20">
        <f>IFERROR(ROUNDUP(D88/F88,0),"")</f>
        <v/>
      </c>
      <c r="H88" s="224" t="n"/>
      <c r="I88" s="220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552" t="n"/>
      <c r="K88" s="552" t="n"/>
      <c r="L88" s="552" t="n"/>
      <c r="M88" s="552" t="n"/>
    </row>
    <row r="89" ht="15" customHeight="1" s="468">
      <c r="A89" s="658" t="n"/>
      <c r="B89" s="640" t="inlineStr">
        <is>
          <t>TOTAL</t>
        </is>
      </c>
      <c r="C89" s="667" t="n"/>
      <c r="D89" s="642">
        <f>SUM(D84:D88)</f>
        <v/>
      </c>
      <c r="E89" s="668" t="n"/>
      <c r="F89" s="644" t="n"/>
      <c r="G89" s="642">
        <f>SUM(G84:G88)</f>
        <v/>
      </c>
      <c r="H89" s="642">
        <f>SUM(H84:H88)</f>
        <v/>
      </c>
      <c r="I89" s="642">
        <f>SUM(I84:I88)</f>
        <v/>
      </c>
      <c r="J89" s="644">
        <f>D89</f>
        <v/>
      </c>
      <c r="K89" s="644">
        <f>G89</f>
        <v/>
      </c>
      <c r="L89" s="644">
        <f>H89</f>
        <v/>
      </c>
      <c r="M89" s="644">
        <f>I89</f>
        <v/>
      </c>
    </row>
    <row r="90" ht="6" customHeight="1" s="468">
      <c r="A90" s="638" t="n"/>
      <c r="C90" s="71" t="n"/>
      <c r="D90" s="552" t="n"/>
      <c r="F90" s="552" t="n"/>
      <c r="G90" s="552" t="n"/>
      <c r="H90" s="552" t="n"/>
      <c r="I90" s="552" t="n"/>
      <c r="J90" s="552" t="n"/>
      <c r="K90" s="552" t="n"/>
      <c r="L90" s="552" t="n"/>
      <c r="M90" s="552" t="n"/>
    </row>
    <row r="91" ht="15" customHeight="1" s="468">
      <c r="A91" s="696" t="n">
        <v>46186</v>
      </c>
      <c r="B91" s="213" t="inlineStr">
        <is>
          <t>PRODUTO</t>
        </is>
      </c>
      <c r="C91" s="214" t="inlineStr">
        <is>
          <t>EMBALAGEM</t>
        </is>
      </c>
      <c r="D91" s="244" t="inlineStr">
        <is>
          <t>CAIXAS</t>
        </is>
      </c>
      <c r="E91" s="215" t="inlineStr">
        <is>
          <t>UN</t>
        </is>
      </c>
      <c r="F91" s="697" t="inlineStr">
        <is>
          <t>CX/PALLET</t>
        </is>
      </c>
      <c r="G91" s="244" t="inlineStr">
        <is>
          <t>PALLETS (PBR)</t>
        </is>
      </c>
      <c r="H91" s="244" t="inlineStr">
        <is>
          <t>REAL (CX)</t>
        </is>
      </c>
      <c r="I91" s="244" t="inlineStr">
        <is>
          <t>TOTAL LATAS</t>
        </is>
      </c>
      <c r="J91" s="274" t="n"/>
      <c r="K91" s="274" t="n"/>
      <c r="L91" s="274" t="n"/>
      <c r="M91" s="274" t="n"/>
    </row>
    <row r="92" ht="21" customHeight="1" s="468">
      <c r="A92" s="685" t="n"/>
      <c r="B92" s="266" t="n"/>
      <c r="C92" s="267" t="n"/>
      <c r="D92" s="268" t="n"/>
      <c r="E92" s="269" t="inlineStr">
        <is>
          <t>CX</t>
        </is>
      </c>
      <c r="F92" s="698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68">
        <f>IFERROR(ROUNDUP(D92/F92,0),"")</f>
        <v/>
      </c>
      <c r="H92" s="224" t="n"/>
      <c r="I92" s="268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274" t="n"/>
      <c r="K92" s="274" t="n"/>
      <c r="L92" s="274" t="n"/>
      <c r="M92" s="274" t="n"/>
    </row>
    <row r="93" ht="21" customHeight="1" s="468">
      <c r="A93" s="685" t="n"/>
      <c r="B93" s="266" t="n"/>
      <c r="C93" s="267" t="n"/>
      <c r="D93" s="268" t="n"/>
      <c r="E93" s="269" t="inlineStr">
        <is>
          <t>CX</t>
        </is>
      </c>
      <c r="F93" s="698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68">
        <f>IFERROR(ROUNDUP(D93/F93,0),"")</f>
        <v/>
      </c>
      <c r="H93" s="224" t="n"/>
      <c r="I93" s="268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274" t="n"/>
      <c r="K93" s="274" t="n"/>
      <c r="L93" s="274" t="n"/>
      <c r="M93" s="274" t="n"/>
    </row>
    <row r="94" ht="21" customHeight="1" s="468">
      <c r="A94" s="685" t="n"/>
      <c r="B94" s="266" t="n"/>
      <c r="C94" s="267" t="n"/>
      <c r="D94" s="268" t="n"/>
      <c r="E94" s="269" t="inlineStr">
        <is>
          <t>CX</t>
        </is>
      </c>
      <c r="F94" s="698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68">
        <f>IFERROR(ROUNDUP(D94/F94,0),"")</f>
        <v/>
      </c>
      <c r="H94" s="224" t="n"/>
      <c r="I94" s="268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274" t="n"/>
      <c r="K94" s="274" t="n"/>
      <c r="L94" s="274" t="n"/>
      <c r="M94" s="274" t="n"/>
    </row>
    <row r="95" ht="21" customHeight="1" s="468">
      <c r="A95" s="685" t="n"/>
      <c r="B95" s="266" t="n"/>
      <c r="C95" s="267" t="n"/>
      <c r="D95" s="268" t="n"/>
      <c r="E95" s="269" t="inlineStr">
        <is>
          <t>CX</t>
        </is>
      </c>
      <c r="F95" s="698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68">
        <f>IFERROR(ROUNDUP(D95/F95,0),"")</f>
        <v/>
      </c>
      <c r="H95" s="224" t="n"/>
      <c r="I95" s="268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274" t="n"/>
      <c r="K95" s="274" t="n"/>
      <c r="L95" s="274" t="n"/>
      <c r="M95" s="274" t="n"/>
    </row>
    <row r="96" ht="21" customHeight="1" s="468">
      <c r="A96" s="685" t="n"/>
      <c r="B96" s="266" t="n"/>
      <c r="C96" s="267" t="n"/>
      <c r="D96" s="268" t="n"/>
      <c r="E96" s="269" t="inlineStr">
        <is>
          <t>CX</t>
        </is>
      </c>
      <c r="F96" s="698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68">
        <f>IFERROR(ROUNDUP(D96/F96,0),"")</f>
        <v/>
      </c>
      <c r="H96" s="224" t="n"/>
      <c r="I96" s="268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274" t="n"/>
      <c r="K96" s="274" t="n"/>
      <c r="L96" s="274" t="n"/>
      <c r="M96" s="274" t="n"/>
    </row>
    <row r="97" ht="15" customHeight="1" s="468">
      <c r="A97" s="658" t="n"/>
      <c r="B97" s="640" t="inlineStr">
        <is>
          <t>TOTAL</t>
        </is>
      </c>
      <c r="C97" s="667" t="n"/>
      <c r="D97" s="642">
        <f>SUM(D92:D96)</f>
        <v/>
      </c>
      <c r="E97" s="668" t="n"/>
      <c r="F97" s="644" t="n"/>
      <c r="G97" s="642">
        <f>SUM(G92:G96)</f>
        <v/>
      </c>
      <c r="H97" s="642">
        <f>SUM(H92:H96)</f>
        <v/>
      </c>
      <c r="I97" s="642">
        <f>SUM(I92:I96)</f>
        <v/>
      </c>
      <c r="J97" s="644">
        <f>D97</f>
        <v/>
      </c>
      <c r="K97" s="644">
        <f>G97</f>
        <v/>
      </c>
      <c r="L97" s="644">
        <f>H97</f>
        <v/>
      </c>
      <c r="M97" s="644">
        <f>I97</f>
        <v/>
      </c>
    </row>
    <row r="98" ht="6" customHeight="1" s="468">
      <c r="A98" s="699" t="n"/>
      <c r="B98" s="265" t="n"/>
      <c r="C98" s="276" t="n"/>
      <c r="D98" s="274" t="n"/>
      <c r="E98" s="265" t="n"/>
      <c r="F98" s="274" t="n"/>
      <c r="G98" s="274" t="n"/>
      <c r="H98" s="274" t="n"/>
      <c r="I98" s="274" t="n"/>
      <c r="J98" s="274" t="n"/>
      <c r="K98" s="274" t="n"/>
      <c r="L98" s="274" t="n"/>
      <c r="M98" s="274" t="n"/>
    </row>
    <row r="99" ht="15" customHeight="1" s="468">
      <c r="A99" s="646" t="n">
        <v>46188</v>
      </c>
      <c r="B99" s="213" t="inlineStr">
        <is>
          <t>PRODUTO</t>
        </is>
      </c>
      <c r="C99" s="214" t="inlineStr">
        <is>
          <t>EMBALAGEM</t>
        </is>
      </c>
      <c r="D99" s="244" t="inlineStr">
        <is>
          <t>CAIXAS</t>
        </is>
      </c>
      <c r="E99" s="215" t="inlineStr">
        <is>
          <t>UN</t>
        </is>
      </c>
      <c r="F99" s="687" t="inlineStr">
        <is>
          <t>CX/PALLET</t>
        </is>
      </c>
      <c r="G99" s="244" t="inlineStr">
        <is>
          <t>PALLETS (PBR)</t>
        </is>
      </c>
      <c r="H99" s="244" t="inlineStr">
        <is>
          <t>REAL (CX)</t>
        </is>
      </c>
      <c r="I99" s="244" t="inlineStr">
        <is>
          <t>TOTAL LATAS</t>
        </is>
      </c>
      <c r="J99" s="552" t="n"/>
      <c r="K99" s="552" t="n"/>
      <c r="L99" s="552" t="n"/>
      <c r="M99" s="552" t="n"/>
    </row>
    <row r="100" ht="21" customHeight="1" s="468">
      <c r="A100" s="685" t="n"/>
      <c r="B100" s="218" t="n"/>
      <c r="C100" s="219" t="n"/>
      <c r="D100" s="220" t="n"/>
      <c r="E100" s="221" t="inlineStr">
        <is>
          <t>CX</t>
        </is>
      </c>
      <c r="F100" s="686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20">
        <f>IFERROR(ROUNDUP(D100/F100,0),"")</f>
        <v/>
      </c>
      <c r="H100" s="224" t="n"/>
      <c r="I100" s="220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552" t="n"/>
      <c r="K100" s="552" t="n"/>
      <c r="L100" s="552" t="n"/>
      <c r="M100" s="552" t="n"/>
    </row>
    <row r="101" ht="21" customHeight="1" s="468">
      <c r="A101" s="685" t="n"/>
      <c r="B101" s="218" t="n"/>
      <c r="C101" s="219" t="n"/>
      <c r="D101" s="220" t="n"/>
      <c r="E101" s="221" t="inlineStr">
        <is>
          <t>CX</t>
        </is>
      </c>
      <c r="F101" s="686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20">
        <f>IFERROR(ROUNDUP(D101/F101,0),"")</f>
        <v/>
      </c>
      <c r="H101" s="224" t="n"/>
      <c r="I101" s="220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552" t="n"/>
      <c r="K101" s="552" t="n"/>
      <c r="L101" s="552" t="n"/>
      <c r="M101" s="552" t="n"/>
    </row>
    <row r="102" ht="21" customHeight="1" s="468">
      <c r="A102" s="685" t="n"/>
      <c r="B102" s="218" t="n"/>
      <c r="C102" s="219" t="n"/>
      <c r="D102" s="220" t="n"/>
      <c r="E102" s="221" t="inlineStr">
        <is>
          <t>CX</t>
        </is>
      </c>
      <c r="F102" s="686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20">
        <f>IFERROR(ROUNDUP(D102/F102,0),"")</f>
        <v/>
      </c>
      <c r="H102" s="224" t="n"/>
      <c r="I102" s="220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552" t="n"/>
      <c r="K102" s="552" t="n"/>
      <c r="L102" s="552" t="n"/>
      <c r="M102" s="552" t="n"/>
    </row>
    <row r="103" ht="21" customHeight="1" s="468">
      <c r="A103" s="685" t="n"/>
      <c r="B103" s="218" t="n"/>
      <c r="C103" s="219" t="n"/>
      <c r="D103" s="220" t="n"/>
      <c r="E103" s="221" t="inlineStr">
        <is>
          <t>CX</t>
        </is>
      </c>
      <c r="F103" s="68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20">
        <f>IFERROR(ROUNDUP(D103/F103,0),"")</f>
        <v/>
      </c>
      <c r="H103" s="224" t="n"/>
      <c r="I103" s="220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552" t="n"/>
      <c r="K103" s="552" t="n"/>
      <c r="L103" s="552" t="n"/>
      <c r="M103" s="552" t="n"/>
    </row>
    <row r="104" ht="21" customHeight="1" s="468">
      <c r="A104" s="685" t="n"/>
      <c r="B104" s="218" t="n"/>
      <c r="C104" s="219" t="n"/>
      <c r="D104" s="220" t="n"/>
      <c r="E104" s="221" t="inlineStr">
        <is>
          <t>CX</t>
        </is>
      </c>
      <c r="F104" s="686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20">
        <f>IFERROR(ROUNDUP(D104/F104,0),"")</f>
        <v/>
      </c>
      <c r="H104" s="224" t="n"/>
      <c r="I104" s="220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552" t="n"/>
      <c r="K104" s="552" t="n"/>
      <c r="L104" s="552" t="n"/>
      <c r="M104" s="552" t="n"/>
    </row>
    <row r="105" ht="15" customHeight="1" s="468">
      <c r="A105" s="658" t="n"/>
      <c r="B105" s="640" t="inlineStr">
        <is>
          <t>TOTAL</t>
        </is>
      </c>
      <c r="C105" s="667" t="n"/>
      <c r="D105" s="642">
        <f>SUM(D100:D104)</f>
        <v/>
      </c>
      <c r="E105" s="668" t="n"/>
      <c r="F105" s="644" t="n"/>
      <c r="G105" s="642">
        <f>SUM(G100:G104)</f>
        <v/>
      </c>
      <c r="H105" s="642">
        <f>SUM(H100:H104)</f>
        <v/>
      </c>
      <c r="I105" s="642">
        <f>SUM(I100:I104)</f>
        <v/>
      </c>
      <c r="J105" s="644">
        <f>D105</f>
        <v/>
      </c>
      <c r="K105" s="644">
        <f>G105</f>
        <v/>
      </c>
      <c r="L105" s="644">
        <f>H105</f>
        <v/>
      </c>
      <c r="M105" s="644">
        <f>I105</f>
        <v/>
      </c>
    </row>
    <row r="106" ht="6" customHeight="1" s="468">
      <c r="A106" s="638" t="n"/>
      <c r="C106" s="71" t="n"/>
      <c r="D106" s="552" t="n"/>
      <c r="F106" s="552" t="n"/>
      <c r="G106" s="552" t="n"/>
      <c r="H106" s="552" t="n"/>
      <c r="I106" s="552" t="n"/>
      <c r="J106" s="552" t="n"/>
      <c r="K106" s="552" t="n"/>
      <c r="L106" s="552" t="n"/>
      <c r="M106" s="552" t="n"/>
    </row>
    <row r="107" ht="15" customHeight="1" s="468">
      <c r="A107" s="646" t="n">
        <v>46189</v>
      </c>
      <c r="B107" s="213" t="inlineStr">
        <is>
          <t>PRODUTO</t>
        </is>
      </c>
      <c r="C107" s="214" t="inlineStr">
        <is>
          <t>EMBALAGEM</t>
        </is>
      </c>
      <c r="D107" s="244" t="inlineStr">
        <is>
          <t>CAIXAS</t>
        </is>
      </c>
      <c r="E107" s="215" t="inlineStr">
        <is>
          <t>UN</t>
        </is>
      </c>
      <c r="F107" s="687" t="inlineStr">
        <is>
          <t>CX/PALLET</t>
        </is>
      </c>
      <c r="G107" s="244" t="inlineStr">
        <is>
          <t>PALLETS (PBR)</t>
        </is>
      </c>
      <c r="H107" s="244" t="inlineStr">
        <is>
          <t>REAL (CX)</t>
        </is>
      </c>
      <c r="I107" s="244" t="inlineStr">
        <is>
          <t>TOTAL LATAS</t>
        </is>
      </c>
      <c r="J107" s="552" t="n"/>
      <c r="K107" s="552" t="n"/>
      <c r="L107" s="552" t="n"/>
      <c r="M107" s="552" t="n"/>
    </row>
    <row r="108" ht="21" customHeight="1" s="468">
      <c r="A108" s="685" t="n"/>
      <c r="B108" s="218" t="n"/>
      <c r="C108" s="219" t="n"/>
      <c r="D108" s="220" t="n"/>
      <c r="E108" s="221" t="inlineStr">
        <is>
          <t>CX</t>
        </is>
      </c>
      <c r="F108" s="686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20">
        <f>IFERROR(ROUNDUP(D108/F108,0),"")</f>
        <v/>
      </c>
      <c r="H108" s="224" t="n"/>
      <c r="I108" s="220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 t="n"/>
      <c r="K108" s="552" t="n"/>
      <c r="L108" s="552" t="n"/>
      <c r="M108" s="552" t="n"/>
    </row>
    <row r="109" ht="21" customHeight="1" s="468">
      <c r="A109" s="685" t="n"/>
      <c r="B109" s="218" t="n"/>
      <c r="C109" s="219" t="n"/>
      <c r="D109" s="220" t="n"/>
      <c r="E109" s="221" t="inlineStr">
        <is>
          <t>CX</t>
        </is>
      </c>
      <c r="F109" s="686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20">
        <f>IFERROR(ROUNDUP(D109/F109,0),"")</f>
        <v/>
      </c>
      <c r="H109" s="224" t="n"/>
      <c r="I109" s="220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  <c r="J109" s="552" t="n"/>
      <c r="K109" s="552" t="n"/>
      <c r="L109" s="552" t="n"/>
      <c r="M109" s="552" t="n"/>
    </row>
    <row r="110" ht="21" customHeight="1" s="468">
      <c r="A110" s="685" t="n"/>
      <c r="B110" s="218" t="n"/>
      <c r="C110" s="219" t="n"/>
      <c r="D110" s="220" t="n"/>
      <c r="E110" s="221" t="inlineStr">
        <is>
          <t>CX</t>
        </is>
      </c>
      <c r="F110" s="686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20">
        <f>IFERROR(ROUNDUP(D110/F110,0),"")</f>
        <v/>
      </c>
      <c r="H110" s="224" t="n"/>
      <c r="I110" s="220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  <c r="J110" s="552" t="n"/>
      <c r="K110" s="552" t="n"/>
      <c r="L110" s="552" t="n"/>
      <c r="M110" s="552" t="n"/>
    </row>
    <row r="111" ht="21" customHeight="1" s="468">
      <c r="A111" s="685" t="n"/>
      <c r="B111" s="218" t="n"/>
      <c r="C111" s="219" t="n"/>
      <c r="D111" s="220" t="n"/>
      <c r="E111" s="221" t="inlineStr">
        <is>
          <t>CX</t>
        </is>
      </c>
      <c r="F111" s="686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20">
        <f>IFERROR(ROUNDUP(D111/F111,0),"")</f>
        <v/>
      </c>
      <c r="H111" s="224" t="n"/>
      <c r="I111" s="220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  <c r="J111" s="552" t="n"/>
      <c r="K111" s="552" t="n"/>
      <c r="L111" s="552" t="n"/>
      <c r="M111" s="552" t="n"/>
    </row>
    <row r="112" ht="21" customHeight="1" s="468">
      <c r="A112" s="685" t="n"/>
      <c r="B112" s="218" t="n"/>
      <c r="C112" s="219" t="n"/>
      <c r="D112" s="220" t="n"/>
      <c r="E112" s="221" t="inlineStr">
        <is>
          <t>CX</t>
        </is>
      </c>
      <c r="F112" s="68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20">
        <f>IFERROR(ROUNDUP(D112/F112,0),"")</f>
        <v/>
      </c>
      <c r="H112" s="224" t="n"/>
      <c r="I112" s="220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  <c r="J112" s="552" t="n"/>
      <c r="K112" s="552" t="n"/>
      <c r="L112" s="552" t="n"/>
      <c r="M112" s="552" t="n"/>
    </row>
    <row r="113" ht="15" customHeight="1" s="468">
      <c r="A113" s="658" t="n"/>
      <c r="B113" s="640" t="inlineStr">
        <is>
          <t>TOTAL</t>
        </is>
      </c>
      <c r="C113" s="667" t="n"/>
      <c r="D113" s="642">
        <f>SUM(D108:D112)</f>
        <v/>
      </c>
      <c r="E113" s="668" t="n"/>
      <c r="F113" s="644" t="n"/>
      <c r="G113" s="642">
        <f>SUM(G108:G112)</f>
        <v/>
      </c>
      <c r="H113" s="642">
        <f>SUM(H108:H112)</f>
        <v/>
      </c>
      <c r="I113" s="642">
        <f>SUM(I108:I112)</f>
        <v/>
      </c>
      <c r="J113" s="644">
        <f>D113</f>
        <v/>
      </c>
      <c r="K113" s="644">
        <f>G113</f>
        <v/>
      </c>
      <c r="L113" s="644">
        <f>H113</f>
        <v/>
      </c>
      <c r="M113" s="644">
        <f>I113</f>
        <v/>
      </c>
    </row>
    <row r="114" ht="6" customHeight="1" s="468">
      <c r="A114" s="638" t="n"/>
      <c r="C114" s="71" t="n"/>
      <c r="D114" s="552" t="n"/>
      <c r="F114" s="552" t="n"/>
      <c r="G114" s="552" t="n"/>
      <c r="H114" s="552" t="n"/>
      <c r="I114" s="552" t="n"/>
      <c r="J114" s="552" t="n"/>
      <c r="K114" s="552" t="n"/>
      <c r="L114" s="552" t="n"/>
      <c r="M114" s="552" t="n"/>
    </row>
    <row r="115" ht="15" customHeight="1" s="468">
      <c r="A115" s="646" t="n">
        <v>46190</v>
      </c>
      <c r="B115" s="213" t="inlineStr">
        <is>
          <t>PRODUTO</t>
        </is>
      </c>
      <c r="C115" s="214" t="inlineStr">
        <is>
          <t>EMBALAGEM</t>
        </is>
      </c>
      <c r="D115" s="244" t="inlineStr">
        <is>
          <t>CAIXAS</t>
        </is>
      </c>
      <c r="E115" s="215" t="inlineStr">
        <is>
          <t>UN</t>
        </is>
      </c>
      <c r="F115" s="687" t="inlineStr">
        <is>
          <t>CX/PALLET</t>
        </is>
      </c>
      <c r="G115" s="244" t="inlineStr">
        <is>
          <t>PALLETS (PBR)</t>
        </is>
      </c>
      <c r="H115" s="244" t="inlineStr">
        <is>
          <t>REAL (CX)</t>
        </is>
      </c>
      <c r="I115" s="244" t="inlineStr">
        <is>
          <t>TOTAL LATAS</t>
        </is>
      </c>
      <c r="J115" s="552" t="n"/>
      <c r="K115" s="552" t="n"/>
      <c r="L115" s="552" t="n"/>
      <c r="M115" s="552" t="n"/>
    </row>
    <row r="116" ht="21" customHeight="1" s="468">
      <c r="A116" s="685" t="n"/>
      <c r="B116" s="218" t="n"/>
      <c r="C116" s="219" t="n"/>
      <c r="D116" s="220" t="n"/>
      <c r="E116" s="221" t="inlineStr">
        <is>
          <t>CX</t>
        </is>
      </c>
      <c r="F116" s="68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20">
        <f>IFERROR(ROUNDUP(D116/F116,0),"")</f>
        <v/>
      </c>
      <c r="H116" s="224" t="n"/>
      <c r="I116" s="220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552" t="n"/>
      <c r="K116" s="552" t="n"/>
      <c r="L116" s="552" t="n"/>
      <c r="M116" s="552" t="n"/>
    </row>
    <row r="117" ht="21" customHeight="1" s="468">
      <c r="A117" s="685" t="n"/>
      <c r="B117" s="218" t="n"/>
      <c r="C117" s="219" t="n"/>
      <c r="D117" s="220" t="n"/>
      <c r="E117" s="221" t="inlineStr">
        <is>
          <t>CX</t>
        </is>
      </c>
      <c r="F117" s="686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20">
        <f>IFERROR(ROUNDUP(D117/F117,0),"")</f>
        <v/>
      </c>
      <c r="H117" s="224" t="n"/>
      <c r="I117" s="220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52" t="n"/>
      <c r="K117" s="552" t="n"/>
      <c r="L117" s="552" t="n"/>
      <c r="M117" s="552" t="n"/>
    </row>
    <row r="118" ht="21" customHeight="1" s="468">
      <c r="A118" s="685" t="n"/>
      <c r="B118" s="218" t="n"/>
      <c r="C118" s="219" t="n"/>
      <c r="D118" s="220" t="n"/>
      <c r="E118" s="221" t="inlineStr">
        <is>
          <t>CX</t>
        </is>
      </c>
      <c r="F118" s="686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20">
        <f>IFERROR(ROUNDUP(D118/F118,0),"")</f>
        <v/>
      </c>
      <c r="H118" s="224" t="n"/>
      <c r="I118" s="220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552" t="n"/>
      <c r="K118" s="552" t="n"/>
      <c r="L118" s="552" t="n"/>
      <c r="M118" s="552" t="n"/>
    </row>
    <row r="119" ht="21" customHeight="1" s="468">
      <c r="A119" s="685" t="n"/>
      <c r="B119" s="218" t="n"/>
      <c r="C119" s="219" t="n"/>
      <c r="D119" s="220" t="n"/>
      <c r="E119" s="221" t="inlineStr">
        <is>
          <t>CX</t>
        </is>
      </c>
      <c r="F119" s="686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20">
        <f>IFERROR(ROUNDUP(D119/F119,0),"")</f>
        <v/>
      </c>
      <c r="H119" s="224" t="n"/>
      <c r="I119" s="220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552" t="n"/>
      <c r="K119" s="552" t="n"/>
      <c r="L119" s="552" t="n"/>
      <c r="M119" s="552" t="n"/>
    </row>
    <row r="120" ht="21" customHeight="1" s="468">
      <c r="A120" s="685" t="n"/>
      <c r="B120" s="218" t="n"/>
      <c r="C120" s="219" t="n"/>
      <c r="D120" s="220" t="n"/>
      <c r="E120" s="221" t="inlineStr">
        <is>
          <t>CX</t>
        </is>
      </c>
      <c r="F120" s="686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20">
        <f>IFERROR(ROUNDUP(D120/F120,0),"")</f>
        <v/>
      </c>
      <c r="H120" s="224" t="n"/>
      <c r="I120" s="220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552" t="n"/>
      <c r="K120" s="552" t="n"/>
      <c r="L120" s="552" t="n"/>
      <c r="M120" s="552" t="n"/>
    </row>
    <row r="121" ht="15" customHeight="1" s="468">
      <c r="A121" s="658" t="n"/>
      <c r="B121" s="640" t="inlineStr">
        <is>
          <t>TOTAL</t>
        </is>
      </c>
      <c r="C121" s="667" t="n"/>
      <c r="D121" s="642">
        <f>SUM(D116:D120)</f>
        <v/>
      </c>
      <c r="E121" s="668" t="n"/>
      <c r="F121" s="644" t="n"/>
      <c r="G121" s="642">
        <f>SUM(G116:G120)</f>
        <v/>
      </c>
      <c r="H121" s="642">
        <f>SUM(H116:H120)</f>
        <v/>
      </c>
      <c r="I121" s="642">
        <f>SUM(I116:I120)</f>
        <v/>
      </c>
      <c r="J121" s="644">
        <f>D121</f>
        <v/>
      </c>
      <c r="K121" s="644">
        <f>G121</f>
        <v/>
      </c>
      <c r="L121" s="644">
        <f>H121</f>
        <v/>
      </c>
      <c r="M121" s="644">
        <f>I121</f>
        <v/>
      </c>
    </row>
    <row r="122" ht="6" customHeight="1" s="468">
      <c r="A122" s="638" t="n"/>
      <c r="C122" s="71" t="n"/>
      <c r="D122" s="552" t="n"/>
      <c r="F122" s="552" t="n"/>
      <c r="G122" s="552" t="n"/>
      <c r="H122" s="552" t="n"/>
      <c r="I122" s="552" t="n"/>
      <c r="J122" s="552" t="n"/>
      <c r="K122" s="552" t="n"/>
      <c r="L122" s="552" t="n"/>
      <c r="M122" s="552" t="n"/>
    </row>
    <row r="123" ht="15" customHeight="1" s="468">
      <c r="A123" s="646" t="n">
        <v>46191</v>
      </c>
      <c r="B123" s="213" t="inlineStr">
        <is>
          <t>PRODUTO</t>
        </is>
      </c>
      <c r="C123" s="214" t="inlineStr">
        <is>
          <t>EMBALAGEM</t>
        </is>
      </c>
      <c r="D123" s="244" t="inlineStr">
        <is>
          <t>CAIXAS</t>
        </is>
      </c>
      <c r="E123" s="215" t="inlineStr">
        <is>
          <t>UN</t>
        </is>
      </c>
      <c r="F123" s="687" t="inlineStr">
        <is>
          <t>CX/PALLET</t>
        </is>
      </c>
      <c r="G123" s="244" t="inlineStr">
        <is>
          <t>PALLETS (PBR)</t>
        </is>
      </c>
      <c r="H123" s="244" t="inlineStr">
        <is>
          <t>REAL (CX)</t>
        </is>
      </c>
      <c r="I123" s="244" t="inlineStr">
        <is>
          <t>TOTAL LATAS</t>
        </is>
      </c>
      <c r="J123" s="552" t="n"/>
      <c r="K123" s="552" t="n"/>
      <c r="L123" s="552" t="n"/>
      <c r="M123" s="552" t="n"/>
    </row>
    <row r="124" ht="21" customHeight="1" s="468">
      <c r="A124" s="685" t="n"/>
      <c r="B124" s="218" t="n"/>
      <c r="C124" s="219" t="n"/>
      <c r="D124" s="220" t="n"/>
      <c r="E124" s="221" t="inlineStr">
        <is>
          <t>CX</t>
        </is>
      </c>
      <c r="F124" s="68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20">
        <f>IFERROR(ROUNDUP(D124/F124,0),"")</f>
        <v/>
      </c>
      <c r="H124" s="224" t="n"/>
      <c r="I124" s="22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552" t="n"/>
      <c r="K124" s="552" t="n"/>
      <c r="L124" s="552" t="n"/>
      <c r="M124" s="552" t="n"/>
    </row>
    <row r="125" ht="21" customHeight="1" s="468">
      <c r="A125" s="685" t="n"/>
      <c r="B125" s="218" t="n"/>
      <c r="C125" s="219" t="n"/>
      <c r="D125" s="220" t="n"/>
      <c r="E125" s="221" t="inlineStr">
        <is>
          <t>CX</t>
        </is>
      </c>
      <c r="F125" s="686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20">
        <f>IFERROR(ROUNDUP(D125/F125,0),"")</f>
        <v/>
      </c>
      <c r="H125" s="224" t="n"/>
      <c r="I125" s="220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52" t="n"/>
      <c r="K125" s="552" t="n"/>
      <c r="L125" s="552" t="n"/>
      <c r="M125" s="552" t="n"/>
    </row>
    <row r="126" ht="21" customHeight="1" s="468">
      <c r="A126" s="685" t="n"/>
      <c r="B126" s="218" t="n"/>
      <c r="C126" s="219" t="n"/>
      <c r="D126" s="220" t="n"/>
      <c r="E126" s="221" t="inlineStr">
        <is>
          <t>CX</t>
        </is>
      </c>
      <c r="F126" s="68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20">
        <f>IFERROR(ROUNDUP(D126/F126,0),"")</f>
        <v/>
      </c>
      <c r="H126" s="224" t="n"/>
      <c r="I126" s="220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552" t="n"/>
      <c r="K126" s="552" t="n"/>
      <c r="L126" s="552" t="n"/>
      <c r="M126" s="552" t="n"/>
    </row>
    <row r="127" ht="21" customHeight="1" s="468">
      <c r="A127" s="685" t="n"/>
      <c r="B127" s="218" t="n"/>
      <c r="C127" s="219" t="n"/>
      <c r="D127" s="220" t="n"/>
      <c r="E127" s="221" t="inlineStr">
        <is>
          <t>CX</t>
        </is>
      </c>
      <c r="F127" s="686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20">
        <f>IFERROR(ROUNDUP(D127/F127,0),"")</f>
        <v/>
      </c>
      <c r="H127" s="224" t="n"/>
      <c r="I127" s="220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552" t="n"/>
      <c r="K127" s="552" t="n"/>
      <c r="L127" s="552" t="n"/>
      <c r="M127" s="552" t="n"/>
    </row>
    <row r="128" ht="21" customHeight="1" s="468">
      <c r="A128" s="685" t="n"/>
      <c r="B128" s="218" t="n"/>
      <c r="C128" s="219" t="n"/>
      <c r="D128" s="220" t="n"/>
      <c r="E128" s="221" t="inlineStr">
        <is>
          <t>CX</t>
        </is>
      </c>
      <c r="F128" s="686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20">
        <f>IFERROR(ROUNDUP(D128/F128,0),"")</f>
        <v/>
      </c>
      <c r="H128" s="224" t="n"/>
      <c r="I128" s="220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552" t="n"/>
      <c r="K128" s="552" t="n"/>
      <c r="L128" s="552" t="n"/>
      <c r="M128" s="552" t="n"/>
    </row>
    <row r="129" ht="15" customHeight="1" s="468">
      <c r="A129" s="658" t="n"/>
      <c r="B129" s="640" t="inlineStr">
        <is>
          <t>TOTAL</t>
        </is>
      </c>
      <c r="C129" s="667" t="n"/>
      <c r="D129" s="642">
        <f>SUM(D124:D128)</f>
        <v/>
      </c>
      <c r="E129" s="668" t="n"/>
      <c r="F129" s="644" t="n"/>
      <c r="G129" s="642">
        <f>SUM(G124:G128)</f>
        <v/>
      </c>
      <c r="H129" s="642">
        <f>SUM(H124:H128)</f>
        <v/>
      </c>
      <c r="I129" s="642">
        <f>SUM(I124:I128)</f>
        <v/>
      </c>
      <c r="J129" s="644">
        <f>D129</f>
        <v/>
      </c>
      <c r="K129" s="644">
        <f>G129</f>
        <v/>
      </c>
      <c r="L129" s="644">
        <f>H129</f>
        <v/>
      </c>
      <c r="M129" s="644">
        <f>I129</f>
        <v/>
      </c>
    </row>
    <row r="130" ht="6" customHeight="1" s="468">
      <c r="A130" s="638" t="n"/>
      <c r="C130" s="71" t="n"/>
      <c r="D130" s="552" t="n"/>
      <c r="F130" s="552" t="n"/>
      <c r="G130" s="552" t="n"/>
      <c r="H130" s="552" t="n"/>
      <c r="I130" s="552" t="n"/>
      <c r="J130" s="552" t="n"/>
      <c r="K130" s="552" t="n"/>
      <c r="L130" s="552" t="n"/>
      <c r="M130" s="552" t="n"/>
    </row>
    <row r="131" ht="15" customHeight="1" s="468">
      <c r="A131" s="646" t="n">
        <v>46192</v>
      </c>
      <c r="B131" s="213" t="inlineStr">
        <is>
          <t>PRODUTO</t>
        </is>
      </c>
      <c r="C131" s="214" t="inlineStr">
        <is>
          <t>EMBALAGEM</t>
        </is>
      </c>
      <c r="D131" s="244" t="inlineStr">
        <is>
          <t>CAIXAS</t>
        </is>
      </c>
      <c r="E131" s="215" t="inlineStr">
        <is>
          <t>UN</t>
        </is>
      </c>
      <c r="F131" s="687" t="inlineStr">
        <is>
          <t>CX/PALLET</t>
        </is>
      </c>
      <c r="G131" s="244" t="inlineStr">
        <is>
          <t>PALLETS (PBR)</t>
        </is>
      </c>
      <c r="H131" s="244" t="inlineStr">
        <is>
          <t>REAL (CX)</t>
        </is>
      </c>
      <c r="I131" s="244" t="inlineStr">
        <is>
          <t>TOTAL LATAS</t>
        </is>
      </c>
      <c r="J131" s="552" t="n"/>
      <c r="K131" s="552" t="n"/>
      <c r="L131" s="552" t="n"/>
      <c r="M131" s="552" t="n"/>
    </row>
    <row r="132" ht="21" customHeight="1" s="468">
      <c r="A132" s="685" t="n"/>
      <c r="B132" s="218" t="n"/>
      <c r="C132" s="219" t="n"/>
      <c r="D132" s="220" t="n"/>
      <c r="E132" s="221" t="inlineStr">
        <is>
          <t>CX</t>
        </is>
      </c>
      <c r="F132" s="686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20">
        <f>IFERROR(ROUNDUP(D132/F132,0),"")</f>
        <v/>
      </c>
      <c r="H132" s="224" t="n"/>
      <c r="I132" s="220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552" t="n"/>
      <c r="K132" s="552" t="n"/>
      <c r="L132" s="552" t="n"/>
      <c r="M132" s="552" t="n"/>
    </row>
    <row r="133" ht="21" customHeight="1" s="468">
      <c r="A133" s="685" t="n"/>
      <c r="B133" s="218" t="n"/>
      <c r="C133" s="219" t="n"/>
      <c r="D133" s="220" t="n"/>
      <c r="E133" s="221" t="inlineStr">
        <is>
          <t>CX</t>
        </is>
      </c>
      <c r="F133" s="686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20">
        <f>IFERROR(ROUNDUP(D133/F133,0),"")</f>
        <v/>
      </c>
      <c r="H133" s="224" t="n"/>
      <c r="I133" s="220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52" t="n"/>
      <c r="K133" s="552" t="n"/>
      <c r="L133" s="552" t="n"/>
      <c r="M133" s="552" t="n"/>
    </row>
    <row r="134" ht="21" customHeight="1" s="468">
      <c r="A134" s="685" t="n"/>
      <c r="B134" s="218" t="n"/>
      <c r="C134" s="219" t="n"/>
      <c r="D134" s="220" t="n"/>
      <c r="E134" s="221" t="inlineStr">
        <is>
          <t>CX</t>
        </is>
      </c>
      <c r="F134" s="686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20">
        <f>IFERROR(ROUNDUP(D134/F134,0),"")</f>
        <v/>
      </c>
      <c r="H134" s="224" t="n"/>
      <c r="I134" s="220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552" t="n"/>
      <c r="K134" s="552" t="n"/>
      <c r="L134" s="552" t="n"/>
      <c r="M134" s="552" t="n"/>
    </row>
    <row r="135" ht="21" customHeight="1" s="468">
      <c r="A135" s="685" t="n"/>
      <c r="B135" s="218" t="n"/>
      <c r="C135" s="219" t="n"/>
      <c r="D135" s="220" t="n"/>
      <c r="E135" s="221" t="inlineStr">
        <is>
          <t>CX</t>
        </is>
      </c>
      <c r="F135" s="686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20">
        <f>IFERROR(ROUNDUP(D135/F135,0),"")</f>
        <v/>
      </c>
      <c r="H135" s="224" t="n"/>
      <c r="I135" s="220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552" t="n"/>
      <c r="K135" s="552" t="n"/>
      <c r="L135" s="552" t="n"/>
      <c r="M135" s="552" t="n"/>
    </row>
    <row r="136" ht="21" customHeight="1" s="468">
      <c r="A136" s="685" t="n"/>
      <c r="B136" s="218" t="n"/>
      <c r="C136" s="219" t="n"/>
      <c r="D136" s="220" t="n"/>
      <c r="E136" s="221" t="inlineStr">
        <is>
          <t>CX</t>
        </is>
      </c>
      <c r="F136" s="686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20">
        <f>IFERROR(ROUNDUP(D136/F136,0),"")</f>
        <v/>
      </c>
      <c r="H136" s="224" t="n"/>
      <c r="I136" s="220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552" t="n"/>
      <c r="K136" s="552" t="n"/>
      <c r="L136" s="552" t="n"/>
      <c r="M136" s="552" t="n"/>
    </row>
    <row r="137" ht="15" customHeight="1" s="468">
      <c r="A137" s="658" t="n"/>
      <c r="B137" s="640" t="inlineStr">
        <is>
          <t>TOTAL</t>
        </is>
      </c>
      <c r="C137" s="667" t="n"/>
      <c r="D137" s="642">
        <f>SUM(D132:D136)</f>
        <v/>
      </c>
      <c r="E137" s="668" t="n"/>
      <c r="F137" s="644" t="n"/>
      <c r="G137" s="642">
        <f>SUM(G132:G136)</f>
        <v/>
      </c>
      <c r="H137" s="642">
        <f>SUM(H132:H136)</f>
        <v/>
      </c>
      <c r="I137" s="642">
        <f>SUM(I132:I136)</f>
        <v/>
      </c>
      <c r="J137" s="644">
        <f>D137</f>
        <v/>
      </c>
      <c r="K137" s="644">
        <f>G137</f>
        <v/>
      </c>
      <c r="L137" s="644">
        <f>H137</f>
        <v/>
      </c>
      <c r="M137" s="644">
        <f>I137</f>
        <v/>
      </c>
    </row>
    <row r="138" ht="6" customHeight="1" s="468">
      <c r="A138" s="638" t="n"/>
      <c r="C138" s="71" t="n"/>
      <c r="D138" s="552" t="n"/>
      <c r="F138" s="552" t="n"/>
      <c r="G138" s="552" t="n"/>
      <c r="H138" s="552" t="n"/>
      <c r="I138" s="552" t="n"/>
      <c r="J138" s="552" t="n"/>
      <c r="K138" s="552" t="n"/>
      <c r="L138" s="552" t="n"/>
      <c r="M138" s="552" t="n"/>
    </row>
    <row r="139" ht="15" customHeight="1" s="468">
      <c r="A139" s="696" t="n">
        <v>46193</v>
      </c>
      <c r="B139" s="213" t="inlineStr">
        <is>
          <t>PRODUTO</t>
        </is>
      </c>
      <c r="C139" s="214" t="inlineStr">
        <is>
          <t>EMBALAGEM</t>
        </is>
      </c>
      <c r="D139" s="244" t="inlineStr">
        <is>
          <t>CAIXAS</t>
        </is>
      </c>
      <c r="E139" s="215" t="inlineStr">
        <is>
          <t>UN</t>
        </is>
      </c>
      <c r="F139" s="697" t="inlineStr">
        <is>
          <t>CX/PALLET</t>
        </is>
      </c>
      <c r="G139" s="244" t="inlineStr">
        <is>
          <t>PALLETS (PBR)</t>
        </is>
      </c>
      <c r="H139" s="244" t="inlineStr">
        <is>
          <t>REAL (CX)</t>
        </is>
      </c>
      <c r="I139" s="244" t="inlineStr">
        <is>
          <t>TOTAL LATAS</t>
        </is>
      </c>
      <c r="J139" s="274" t="n"/>
      <c r="K139" s="274" t="n"/>
      <c r="L139" s="274" t="n"/>
      <c r="M139" s="274" t="n"/>
    </row>
    <row r="140" ht="21" customHeight="1" s="468">
      <c r="A140" s="685" t="n"/>
      <c r="B140" s="266" t="n"/>
      <c r="C140" s="267" t="n"/>
      <c r="D140" s="268" t="n"/>
      <c r="E140" s="269" t="inlineStr">
        <is>
          <t>CX</t>
        </is>
      </c>
      <c r="F140" s="698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68">
        <f>IFERROR(ROUNDUP(D140/F140,0),"")</f>
        <v/>
      </c>
      <c r="H140" s="224" t="n"/>
      <c r="I140" s="268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274" t="n"/>
      <c r="K140" s="274" t="n"/>
      <c r="L140" s="274" t="n"/>
      <c r="M140" s="274" t="n"/>
    </row>
    <row r="141" ht="21" customHeight="1" s="468">
      <c r="A141" s="685" t="n"/>
      <c r="B141" s="266" t="n"/>
      <c r="C141" s="267" t="n"/>
      <c r="D141" s="268" t="n"/>
      <c r="E141" s="269" t="inlineStr">
        <is>
          <t>CX</t>
        </is>
      </c>
      <c r="F141" s="698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68">
        <f>IFERROR(ROUNDUP(D141/F141,0),"")</f>
        <v/>
      </c>
      <c r="H141" s="224" t="n"/>
      <c r="I141" s="268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274" t="n"/>
      <c r="K141" s="274" t="n"/>
      <c r="L141" s="274" t="n"/>
      <c r="M141" s="274" t="n"/>
    </row>
    <row r="142" ht="21" customHeight="1" s="468">
      <c r="A142" s="685" t="n"/>
      <c r="B142" s="266" t="n"/>
      <c r="C142" s="267" t="n"/>
      <c r="D142" s="268" t="n"/>
      <c r="E142" s="269" t="inlineStr">
        <is>
          <t>CX</t>
        </is>
      </c>
      <c r="F142" s="698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68">
        <f>IFERROR(ROUNDUP(D142/F142,0),"")</f>
        <v/>
      </c>
      <c r="H142" s="224" t="n"/>
      <c r="I142" s="268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274" t="n"/>
      <c r="K142" s="274" t="n"/>
      <c r="L142" s="274" t="n"/>
      <c r="M142" s="274" t="n"/>
    </row>
    <row r="143" ht="21" customHeight="1" s="468">
      <c r="A143" s="685" t="n"/>
      <c r="B143" s="266" t="n"/>
      <c r="C143" s="267" t="n"/>
      <c r="D143" s="268" t="n"/>
      <c r="E143" s="269" t="inlineStr">
        <is>
          <t>CX</t>
        </is>
      </c>
      <c r="F143" s="698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68">
        <f>IFERROR(ROUNDUP(D143/F143,0),"")</f>
        <v/>
      </c>
      <c r="H143" s="224" t="n"/>
      <c r="I143" s="268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274" t="n"/>
      <c r="K143" s="274" t="n"/>
      <c r="L143" s="274" t="n"/>
      <c r="M143" s="274" t="n"/>
    </row>
    <row r="144" ht="21" customHeight="1" s="468">
      <c r="A144" s="685" t="n"/>
      <c r="B144" s="266" t="n"/>
      <c r="C144" s="267" t="n"/>
      <c r="D144" s="268" t="n"/>
      <c r="E144" s="269" t="inlineStr">
        <is>
          <t>CX</t>
        </is>
      </c>
      <c r="F144" s="698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68">
        <f>IFERROR(ROUNDUP(D144/F144,0),"")</f>
        <v/>
      </c>
      <c r="H144" s="224" t="n"/>
      <c r="I144" s="268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274" t="n"/>
      <c r="K144" s="274" t="n"/>
      <c r="L144" s="274" t="n"/>
      <c r="M144" s="274" t="n"/>
    </row>
    <row r="145" ht="15" customHeight="1" s="468">
      <c r="A145" s="658" t="n"/>
      <c r="B145" s="640" t="inlineStr">
        <is>
          <t>TOTAL</t>
        </is>
      </c>
      <c r="C145" s="667" t="n"/>
      <c r="D145" s="642">
        <f>SUM(D140:D144)</f>
        <v/>
      </c>
      <c r="E145" s="668" t="n"/>
      <c r="F145" s="644" t="n"/>
      <c r="G145" s="642">
        <f>SUM(G140:G144)</f>
        <v/>
      </c>
      <c r="H145" s="642">
        <f>SUM(H140:H144)</f>
        <v/>
      </c>
      <c r="I145" s="642">
        <f>SUM(I140:I144)</f>
        <v/>
      </c>
      <c r="J145" s="644">
        <f>D145</f>
        <v/>
      </c>
      <c r="K145" s="644">
        <f>G145</f>
        <v/>
      </c>
      <c r="L145" s="644">
        <f>H145</f>
        <v/>
      </c>
      <c r="M145" s="644">
        <f>I145</f>
        <v/>
      </c>
    </row>
    <row r="146" ht="6" customHeight="1" s="468">
      <c r="A146" s="699" t="n"/>
      <c r="B146" s="265" t="n"/>
      <c r="C146" s="276" t="n"/>
      <c r="D146" s="274" t="n"/>
      <c r="E146" s="265" t="n"/>
      <c r="F146" s="274" t="n"/>
      <c r="G146" s="274" t="n"/>
      <c r="H146" s="274" t="n"/>
      <c r="I146" s="274" t="n"/>
      <c r="J146" s="274" t="n"/>
      <c r="K146" s="274" t="n"/>
      <c r="L146" s="274" t="n"/>
      <c r="M146" s="274" t="n"/>
    </row>
    <row r="147" ht="15" customHeight="1" s="468">
      <c r="A147" s="646" t="n">
        <v>46195</v>
      </c>
      <c r="B147" s="213" t="inlineStr">
        <is>
          <t>PRODUTO</t>
        </is>
      </c>
      <c r="C147" s="214" t="inlineStr">
        <is>
          <t>EMBALAGEM</t>
        </is>
      </c>
      <c r="D147" s="244" t="inlineStr">
        <is>
          <t>CAIXAS</t>
        </is>
      </c>
      <c r="E147" s="215" t="inlineStr">
        <is>
          <t>UN</t>
        </is>
      </c>
      <c r="F147" s="687" t="inlineStr">
        <is>
          <t>CX/PALLET</t>
        </is>
      </c>
      <c r="G147" s="244" t="inlineStr">
        <is>
          <t>PALLETS (PBR)</t>
        </is>
      </c>
      <c r="H147" s="244" t="inlineStr">
        <is>
          <t>REAL (CX)</t>
        </is>
      </c>
      <c r="I147" s="244" t="inlineStr">
        <is>
          <t>TOTAL LATAS</t>
        </is>
      </c>
      <c r="J147" s="552" t="n"/>
      <c r="K147" s="552" t="n"/>
      <c r="L147" s="552" t="n"/>
      <c r="M147" s="552" t="n"/>
    </row>
    <row r="148" ht="21" customHeight="1" s="468">
      <c r="A148" s="685" t="n"/>
      <c r="B148" s="218" t="n"/>
      <c r="C148" s="219" t="n"/>
      <c r="D148" s="220" t="n"/>
      <c r="E148" s="221" t="inlineStr">
        <is>
          <t>CX</t>
        </is>
      </c>
      <c r="F148" s="686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20">
        <f>IFERROR(ROUNDUP(D148/F148,0),"")</f>
        <v/>
      </c>
      <c r="H148" s="224" t="n"/>
      <c r="I148" s="220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552" t="n"/>
      <c r="K148" s="552" t="n"/>
      <c r="L148" s="552" t="n"/>
      <c r="M148" s="552" t="n"/>
    </row>
    <row r="149" ht="21" customHeight="1" s="468">
      <c r="A149" s="685" t="n"/>
      <c r="B149" s="218" t="n"/>
      <c r="C149" s="219" t="n"/>
      <c r="D149" s="220" t="n"/>
      <c r="E149" s="221" t="inlineStr">
        <is>
          <t>CX</t>
        </is>
      </c>
      <c r="F149" s="686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20">
        <f>IFERROR(ROUNDUP(D149/F149,0),"")</f>
        <v/>
      </c>
      <c r="H149" s="224" t="n"/>
      <c r="I149" s="220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552" t="n"/>
      <c r="K149" s="552" t="n"/>
      <c r="L149" s="552" t="n"/>
      <c r="M149" s="552" t="n"/>
    </row>
    <row r="150" ht="21" customHeight="1" s="468">
      <c r="A150" s="685" t="n"/>
      <c r="B150" s="218" t="n"/>
      <c r="C150" s="219" t="n"/>
      <c r="D150" s="220" t="n"/>
      <c r="E150" s="221" t="inlineStr">
        <is>
          <t>CX</t>
        </is>
      </c>
      <c r="F150" s="686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20">
        <f>IFERROR(ROUNDUP(D150/F150,0),"")</f>
        <v/>
      </c>
      <c r="H150" s="224" t="n"/>
      <c r="I150" s="220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552" t="n"/>
      <c r="K150" s="552" t="n"/>
      <c r="L150" s="552" t="n"/>
      <c r="M150" s="552" t="n"/>
    </row>
    <row r="151" ht="21" customHeight="1" s="468">
      <c r="A151" s="685" t="n"/>
      <c r="B151" s="218" t="n"/>
      <c r="C151" s="219" t="n"/>
      <c r="D151" s="220" t="n"/>
      <c r="E151" s="221" t="inlineStr">
        <is>
          <t>CX</t>
        </is>
      </c>
      <c r="F151" s="686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20">
        <f>IFERROR(ROUNDUP(D151/F151,0),"")</f>
        <v/>
      </c>
      <c r="H151" s="224" t="n"/>
      <c r="I151" s="220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52" t="n"/>
      <c r="K151" s="552" t="n"/>
      <c r="L151" s="552" t="n"/>
      <c r="M151" s="552" t="n"/>
    </row>
    <row r="152" ht="21" customHeight="1" s="468">
      <c r="A152" s="685" t="n"/>
      <c r="B152" s="218" t="n"/>
      <c r="C152" s="219" t="n"/>
      <c r="D152" s="220" t="n"/>
      <c r="E152" s="221" t="inlineStr">
        <is>
          <t>CX</t>
        </is>
      </c>
      <c r="F152" s="68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20">
        <f>IFERROR(ROUNDUP(D152/F152,0),"")</f>
        <v/>
      </c>
      <c r="H152" s="224" t="n"/>
      <c r="I152" s="220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552" t="n"/>
      <c r="K152" s="552" t="n"/>
      <c r="L152" s="552" t="n"/>
      <c r="M152" s="552" t="n"/>
    </row>
    <row r="153" ht="15" customHeight="1" s="468">
      <c r="A153" s="658" t="n"/>
      <c r="B153" s="640" t="inlineStr">
        <is>
          <t>TOTAL</t>
        </is>
      </c>
      <c r="C153" s="667" t="n"/>
      <c r="D153" s="642">
        <f>SUM(D148:D152)</f>
        <v/>
      </c>
      <c r="E153" s="668" t="n"/>
      <c r="F153" s="644" t="n"/>
      <c r="G153" s="642">
        <f>SUM(G148:G152)</f>
        <v/>
      </c>
      <c r="H153" s="642">
        <f>SUM(H148:H152)</f>
        <v/>
      </c>
      <c r="I153" s="642">
        <f>SUM(I148:I152)</f>
        <v/>
      </c>
      <c r="J153" s="644">
        <f>D153</f>
        <v/>
      </c>
      <c r="K153" s="644">
        <f>G153</f>
        <v/>
      </c>
      <c r="L153" s="644">
        <f>H153</f>
        <v/>
      </c>
      <c r="M153" s="644">
        <f>I153</f>
        <v/>
      </c>
    </row>
    <row r="154" ht="6" customHeight="1" s="468">
      <c r="A154" s="638" t="n"/>
      <c r="C154" s="71" t="n"/>
      <c r="D154" s="552" t="n"/>
      <c r="F154" s="552" t="n"/>
      <c r="G154" s="552" t="n"/>
      <c r="H154" s="552" t="n"/>
      <c r="I154" s="552" t="n"/>
      <c r="J154" s="552" t="n"/>
      <c r="K154" s="552" t="n"/>
      <c r="L154" s="552" t="n"/>
      <c r="M154" s="552" t="n"/>
    </row>
    <row r="155" ht="15" customHeight="1" s="468">
      <c r="A155" s="646" t="n">
        <v>46196</v>
      </c>
      <c r="B155" s="213" t="inlineStr">
        <is>
          <t>PRODUTO</t>
        </is>
      </c>
      <c r="C155" s="214" t="inlineStr">
        <is>
          <t>EMBALAGEM</t>
        </is>
      </c>
      <c r="D155" s="244" t="inlineStr">
        <is>
          <t>CAIXAS</t>
        </is>
      </c>
      <c r="E155" s="215" t="inlineStr">
        <is>
          <t>UN</t>
        </is>
      </c>
      <c r="F155" s="687" t="inlineStr">
        <is>
          <t>CX/PALLET</t>
        </is>
      </c>
      <c r="G155" s="244" t="inlineStr">
        <is>
          <t>PALLETS (PBR)</t>
        </is>
      </c>
      <c r="H155" s="244" t="inlineStr">
        <is>
          <t>REAL (CX)</t>
        </is>
      </c>
      <c r="I155" s="244" t="inlineStr">
        <is>
          <t>TOTAL LATAS</t>
        </is>
      </c>
      <c r="J155" s="552" t="n"/>
      <c r="K155" s="552" t="n"/>
      <c r="L155" s="552" t="n"/>
      <c r="M155" s="552" t="n"/>
    </row>
    <row r="156" ht="21" customHeight="1" s="468">
      <c r="A156" s="685" t="n"/>
      <c r="B156" s="218" t="n"/>
      <c r="C156" s="219" t="n"/>
      <c r="D156" s="220" t="n"/>
      <c r="E156" s="221" t="inlineStr">
        <is>
          <t>CX</t>
        </is>
      </c>
      <c r="F156" s="686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20">
        <f>IFERROR(ROUNDUP(D156/F156,0),"")</f>
        <v/>
      </c>
      <c r="H156" s="224" t="n"/>
      <c r="I156" s="220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552" t="n"/>
      <c r="K156" s="552" t="n"/>
      <c r="L156" s="552" t="n"/>
      <c r="M156" s="552" t="n"/>
    </row>
    <row r="157" ht="21" customHeight="1" s="468">
      <c r="A157" s="685" t="n"/>
      <c r="B157" s="218" t="n"/>
      <c r="C157" s="219" t="n"/>
      <c r="D157" s="220" t="n"/>
      <c r="E157" s="221" t="inlineStr">
        <is>
          <t>CX</t>
        </is>
      </c>
      <c r="F157" s="68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20">
        <f>IFERROR(ROUNDUP(D157/F157,0),"")</f>
        <v/>
      </c>
      <c r="H157" s="224" t="n"/>
      <c r="I157" s="220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 t="n"/>
      <c r="K157" s="552" t="n"/>
      <c r="L157" s="552" t="n"/>
      <c r="M157" s="552" t="n"/>
    </row>
    <row r="158" ht="21" customHeight="1" s="468">
      <c r="A158" s="685" t="n"/>
      <c r="B158" s="218" t="n"/>
      <c r="C158" s="219" t="n"/>
      <c r="D158" s="220" t="n"/>
      <c r="E158" s="221" t="inlineStr">
        <is>
          <t>CX</t>
        </is>
      </c>
      <c r="F158" s="68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20">
        <f>IFERROR(ROUNDUP(D158/F158,0),"")</f>
        <v/>
      </c>
      <c r="H158" s="224" t="n"/>
      <c r="I158" s="220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552" t="n"/>
      <c r="K158" s="552" t="n"/>
      <c r="L158" s="552" t="n"/>
      <c r="M158" s="552" t="n"/>
    </row>
    <row r="159" ht="21" customHeight="1" s="468">
      <c r="A159" s="685" t="n"/>
      <c r="B159" s="218" t="n"/>
      <c r="C159" s="219" t="n"/>
      <c r="D159" s="220" t="n"/>
      <c r="E159" s="221" t="inlineStr">
        <is>
          <t>CX</t>
        </is>
      </c>
      <c r="F159" s="686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20">
        <f>IFERROR(ROUNDUP(D159/F159,0),"")</f>
        <v/>
      </c>
      <c r="H159" s="224" t="n"/>
      <c r="I159" s="220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52" t="n"/>
      <c r="K159" s="552" t="n"/>
      <c r="L159" s="552" t="n"/>
      <c r="M159" s="552" t="n"/>
    </row>
    <row r="160" ht="21" customHeight="1" s="468">
      <c r="A160" s="685" t="n"/>
      <c r="B160" s="218" t="n"/>
      <c r="C160" s="219" t="n"/>
      <c r="D160" s="220" t="n"/>
      <c r="E160" s="221" t="inlineStr">
        <is>
          <t>CX</t>
        </is>
      </c>
      <c r="F160" s="68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20">
        <f>IFERROR(ROUNDUP(D160/F160,0),"")</f>
        <v/>
      </c>
      <c r="H160" s="224" t="n"/>
      <c r="I160" s="22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552" t="n"/>
      <c r="K160" s="552" t="n"/>
      <c r="L160" s="552" t="n"/>
      <c r="M160" s="552" t="n"/>
    </row>
    <row r="161" ht="15" customHeight="1" s="468">
      <c r="A161" s="658" t="n"/>
      <c r="B161" s="640" t="inlineStr">
        <is>
          <t>TOTAL</t>
        </is>
      </c>
      <c r="C161" s="667" t="n"/>
      <c r="D161" s="642">
        <f>SUM(D156:D160)</f>
        <v/>
      </c>
      <c r="E161" s="668" t="n"/>
      <c r="F161" s="644" t="n"/>
      <c r="G161" s="642">
        <f>SUM(G156:G160)</f>
        <v/>
      </c>
      <c r="H161" s="642">
        <f>SUM(H156:H160)</f>
        <v/>
      </c>
      <c r="I161" s="642">
        <f>SUM(I156:I160)</f>
        <v/>
      </c>
      <c r="J161" s="644">
        <f>D161</f>
        <v/>
      </c>
      <c r="K161" s="644">
        <f>G161</f>
        <v/>
      </c>
      <c r="L161" s="644">
        <f>H161</f>
        <v/>
      </c>
      <c r="M161" s="644">
        <f>I161</f>
        <v/>
      </c>
    </row>
    <row r="162" ht="6" customHeight="1" s="468">
      <c r="A162" s="638" t="n"/>
      <c r="C162" s="71" t="n"/>
      <c r="D162" s="552" t="n"/>
      <c r="F162" s="552" t="n"/>
      <c r="G162" s="552" t="n"/>
      <c r="H162" s="552" t="n"/>
      <c r="I162" s="552" t="n"/>
      <c r="J162" s="552" t="n"/>
      <c r="K162" s="552" t="n"/>
      <c r="L162" s="552" t="n"/>
      <c r="M162" s="552" t="n"/>
    </row>
    <row r="163" ht="15" customHeight="1" s="468">
      <c r="A163" s="646" t="n">
        <v>46197</v>
      </c>
      <c r="B163" s="213" t="inlineStr">
        <is>
          <t>PRODUTO</t>
        </is>
      </c>
      <c r="C163" s="214" t="inlineStr">
        <is>
          <t>EMBALAGEM</t>
        </is>
      </c>
      <c r="D163" s="244" t="inlineStr">
        <is>
          <t>CAIXAS</t>
        </is>
      </c>
      <c r="E163" s="215" t="inlineStr">
        <is>
          <t>UN</t>
        </is>
      </c>
      <c r="F163" s="687" t="inlineStr">
        <is>
          <t>CX/PALLET</t>
        </is>
      </c>
      <c r="G163" s="244" t="inlineStr">
        <is>
          <t>PALLETS (PBR)</t>
        </is>
      </c>
      <c r="H163" s="244" t="inlineStr">
        <is>
          <t>REAL (CX)</t>
        </is>
      </c>
      <c r="I163" s="244" t="inlineStr">
        <is>
          <t>TOTAL LATAS</t>
        </is>
      </c>
      <c r="J163" s="552" t="n"/>
      <c r="K163" s="552" t="n"/>
      <c r="L163" s="552" t="n"/>
      <c r="M163" s="552" t="n"/>
    </row>
    <row r="164" ht="21" customHeight="1" s="468">
      <c r="A164" s="685" t="n"/>
      <c r="B164" s="218" t="n"/>
      <c r="C164" s="219" t="n"/>
      <c r="D164" s="220" t="n"/>
      <c r="E164" s="221" t="inlineStr">
        <is>
          <t>CX</t>
        </is>
      </c>
      <c r="F164" s="686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20">
        <f>IFERROR(ROUNDUP(D164/F164,0),"")</f>
        <v/>
      </c>
      <c r="H164" s="224" t="n"/>
      <c r="I164" s="220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552" t="n"/>
      <c r="K164" s="552" t="n"/>
      <c r="L164" s="552" t="n"/>
      <c r="M164" s="552" t="n"/>
    </row>
    <row r="165" ht="21" customHeight="1" s="468">
      <c r="A165" s="685" t="n"/>
      <c r="B165" s="218" t="n"/>
      <c r="C165" s="219" t="n"/>
      <c r="D165" s="220" t="n"/>
      <c r="E165" s="221" t="inlineStr">
        <is>
          <t>CX</t>
        </is>
      </c>
      <c r="F165" s="686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20">
        <f>IFERROR(ROUNDUP(D165/F165,0),"")</f>
        <v/>
      </c>
      <c r="H165" s="224" t="n"/>
      <c r="I165" s="220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552" t="n"/>
      <c r="K165" s="552" t="n"/>
      <c r="L165" s="552" t="n"/>
      <c r="M165" s="552" t="n"/>
    </row>
    <row r="166" ht="21" customHeight="1" s="468">
      <c r="A166" s="685" t="n"/>
      <c r="B166" s="218" t="n"/>
      <c r="C166" s="219" t="n"/>
      <c r="D166" s="220" t="n"/>
      <c r="E166" s="221" t="inlineStr">
        <is>
          <t>CX</t>
        </is>
      </c>
      <c r="F166" s="686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20">
        <f>IFERROR(ROUNDUP(D166/F166,0),"")</f>
        <v/>
      </c>
      <c r="H166" s="224" t="n"/>
      <c r="I166" s="220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552" t="n"/>
      <c r="K166" s="552" t="n"/>
      <c r="L166" s="552" t="n"/>
      <c r="M166" s="552" t="n"/>
    </row>
    <row r="167" ht="21" customHeight="1" s="468">
      <c r="A167" s="685" t="n"/>
      <c r="B167" s="218" t="n"/>
      <c r="C167" s="219" t="n"/>
      <c r="D167" s="220" t="n"/>
      <c r="E167" s="221" t="inlineStr">
        <is>
          <t>CX</t>
        </is>
      </c>
      <c r="F167" s="686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20">
        <f>IFERROR(ROUNDUP(D167/F167,0),"")</f>
        <v/>
      </c>
      <c r="H167" s="224" t="n"/>
      <c r="I167" s="220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552" t="n"/>
      <c r="K167" s="552" t="n"/>
      <c r="L167" s="552" t="n"/>
      <c r="M167" s="552" t="n"/>
    </row>
    <row r="168" ht="21" customHeight="1" s="468">
      <c r="A168" s="685" t="n"/>
      <c r="B168" s="218" t="n"/>
      <c r="C168" s="219" t="n"/>
      <c r="D168" s="220" t="n"/>
      <c r="E168" s="221" t="inlineStr">
        <is>
          <t>CX</t>
        </is>
      </c>
      <c r="F168" s="68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20">
        <f>IFERROR(ROUNDUP(D168/F168,0),"")</f>
        <v/>
      </c>
      <c r="H168" s="224" t="n"/>
      <c r="I168" s="220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 t="n"/>
      <c r="K168" s="552" t="n"/>
      <c r="L168" s="552" t="n"/>
      <c r="M168" s="552" t="n"/>
    </row>
    <row r="169" ht="15" customHeight="1" s="468">
      <c r="A169" s="658" t="n"/>
      <c r="B169" s="640" t="inlineStr">
        <is>
          <t>TOTAL</t>
        </is>
      </c>
      <c r="C169" s="667" t="n"/>
      <c r="D169" s="642">
        <f>SUM(D164:D168)</f>
        <v/>
      </c>
      <c r="E169" s="668" t="n"/>
      <c r="F169" s="644" t="n"/>
      <c r="G169" s="642">
        <f>SUM(G164:G168)</f>
        <v/>
      </c>
      <c r="H169" s="642">
        <f>SUM(H164:H168)</f>
        <v/>
      </c>
      <c r="I169" s="642">
        <f>SUM(I164:I168)</f>
        <v/>
      </c>
      <c r="J169" s="644">
        <f>D169</f>
        <v/>
      </c>
      <c r="K169" s="644">
        <f>G169</f>
        <v/>
      </c>
      <c r="L169" s="644">
        <f>H169</f>
        <v/>
      </c>
      <c r="M169" s="644">
        <f>I169</f>
        <v/>
      </c>
    </row>
    <row r="170" ht="6" customHeight="1" s="468">
      <c r="A170" s="638" t="n"/>
      <c r="C170" s="71" t="n"/>
      <c r="D170" s="552" t="n"/>
      <c r="F170" s="552" t="n"/>
      <c r="G170" s="552" t="n"/>
      <c r="H170" s="552" t="n"/>
      <c r="I170" s="552" t="n"/>
      <c r="J170" s="552" t="n"/>
      <c r="K170" s="552" t="n"/>
      <c r="L170" s="552" t="n"/>
      <c r="M170" s="552" t="n"/>
    </row>
    <row r="171" ht="15" customHeight="1" s="468">
      <c r="A171" s="646" t="n">
        <v>46198</v>
      </c>
      <c r="B171" s="213" t="inlineStr">
        <is>
          <t>PRODUTO</t>
        </is>
      </c>
      <c r="C171" s="214" t="inlineStr">
        <is>
          <t>EMBALAGEM</t>
        </is>
      </c>
      <c r="D171" s="244" t="inlineStr">
        <is>
          <t>CAIXAS</t>
        </is>
      </c>
      <c r="E171" s="215" t="inlineStr">
        <is>
          <t>UN</t>
        </is>
      </c>
      <c r="F171" s="687" t="inlineStr">
        <is>
          <t>CX/PALLET</t>
        </is>
      </c>
      <c r="G171" s="244" t="inlineStr">
        <is>
          <t>PALLETS (PBR)</t>
        </is>
      </c>
      <c r="H171" s="244" t="inlineStr">
        <is>
          <t>REAL (CX)</t>
        </is>
      </c>
      <c r="I171" s="244" t="inlineStr">
        <is>
          <t>TOTAL LATAS</t>
        </is>
      </c>
      <c r="J171" s="552" t="n"/>
      <c r="K171" s="552" t="n"/>
      <c r="L171" s="552" t="n"/>
      <c r="M171" s="552" t="n"/>
    </row>
    <row r="172" ht="21" customHeight="1" s="468">
      <c r="A172" s="685" t="n"/>
      <c r="B172" s="218" t="n"/>
      <c r="C172" s="219" t="n"/>
      <c r="D172" s="220" t="n"/>
      <c r="E172" s="221" t="inlineStr">
        <is>
          <t>CX</t>
        </is>
      </c>
      <c r="F172" s="686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20">
        <f>IFERROR(ROUNDUP(D172/F172,0),"")</f>
        <v/>
      </c>
      <c r="H172" s="224" t="n"/>
      <c r="I172" s="220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552" t="n"/>
      <c r="K172" s="552" t="n"/>
      <c r="L172" s="552" t="n"/>
      <c r="M172" s="552" t="n"/>
    </row>
    <row r="173" ht="21" customHeight="1" s="468">
      <c r="A173" s="685" t="n"/>
      <c r="B173" s="218" t="n"/>
      <c r="C173" s="219" t="n"/>
      <c r="D173" s="220" t="n"/>
      <c r="E173" s="221" t="inlineStr">
        <is>
          <t>CX</t>
        </is>
      </c>
      <c r="F173" s="686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20">
        <f>IFERROR(ROUNDUP(D173/F173,0),"")</f>
        <v/>
      </c>
      <c r="H173" s="224" t="n"/>
      <c r="I173" s="220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552" t="n"/>
      <c r="K173" s="552" t="n"/>
      <c r="L173" s="552" t="n"/>
      <c r="M173" s="552" t="n"/>
    </row>
    <row r="174" ht="21" customHeight="1" s="468">
      <c r="A174" s="685" t="n"/>
      <c r="B174" s="218" t="n"/>
      <c r="C174" s="219" t="n"/>
      <c r="D174" s="220" t="n"/>
      <c r="E174" s="221" t="inlineStr">
        <is>
          <t>CX</t>
        </is>
      </c>
      <c r="F174" s="686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20">
        <f>IFERROR(ROUNDUP(D174/F174,0),"")</f>
        <v/>
      </c>
      <c r="H174" s="224" t="n"/>
      <c r="I174" s="220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552" t="n"/>
      <c r="K174" s="552" t="n"/>
      <c r="L174" s="552" t="n"/>
      <c r="M174" s="552" t="n"/>
    </row>
    <row r="175" ht="21" customHeight="1" s="468">
      <c r="A175" s="685" t="n"/>
      <c r="B175" s="218" t="n"/>
      <c r="C175" s="219" t="n"/>
      <c r="D175" s="220" t="n"/>
      <c r="E175" s="221" t="inlineStr">
        <is>
          <t>CX</t>
        </is>
      </c>
      <c r="F175" s="686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20">
        <f>IFERROR(ROUNDUP(D175/F175,0),"")</f>
        <v/>
      </c>
      <c r="H175" s="224" t="n"/>
      <c r="I175" s="220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552" t="n"/>
      <c r="K175" s="552" t="n"/>
      <c r="L175" s="552" t="n"/>
      <c r="M175" s="552" t="n"/>
    </row>
    <row r="176" ht="21" customHeight="1" s="468">
      <c r="A176" s="685" t="n"/>
      <c r="B176" s="218" t="n"/>
      <c r="C176" s="219" t="n"/>
      <c r="D176" s="220" t="n"/>
      <c r="E176" s="221" t="inlineStr">
        <is>
          <t>CX</t>
        </is>
      </c>
      <c r="F176" s="68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20">
        <f>IFERROR(ROUNDUP(D176/F176,0),"")</f>
        <v/>
      </c>
      <c r="H176" s="224" t="n"/>
      <c r="I176" s="220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 t="n"/>
      <c r="K176" s="552" t="n"/>
      <c r="L176" s="552" t="n"/>
      <c r="M176" s="552" t="n"/>
    </row>
    <row r="177" ht="15" customHeight="1" s="468">
      <c r="A177" s="658" t="n"/>
      <c r="B177" s="640" t="inlineStr">
        <is>
          <t>TOTAL</t>
        </is>
      </c>
      <c r="C177" s="667" t="n"/>
      <c r="D177" s="642">
        <f>SUM(D172:D176)</f>
        <v/>
      </c>
      <c r="E177" s="668" t="n"/>
      <c r="F177" s="644" t="n"/>
      <c r="G177" s="642">
        <f>SUM(G172:G176)</f>
        <v/>
      </c>
      <c r="H177" s="642">
        <f>SUM(H172:H176)</f>
        <v/>
      </c>
      <c r="I177" s="642">
        <f>SUM(I172:I176)</f>
        <v/>
      </c>
      <c r="J177" s="644">
        <f>D177</f>
        <v/>
      </c>
      <c r="K177" s="644">
        <f>G177</f>
        <v/>
      </c>
      <c r="L177" s="644">
        <f>H177</f>
        <v/>
      </c>
      <c r="M177" s="644">
        <f>I177</f>
        <v/>
      </c>
    </row>
    <row r="178" ht="6" customHeight="1" s="468">
      <c r="A178" s="638" t="n"/>
      <c r="C178" s="71" t="n"/>
      <c r="D178" s="552" t="n"/>
      <c r="F178" s="552" t="n"/>
      <c r="G178" s="552" t="n"/>
      <c r="H178" s="552" t="n"/>
      <c r="I178" s="552" t="n"/>
      <c r="J178" s="552" t="n"/>
      <c r="K178" s="552" t="n"/>
      <c r="L178" s="552" t="n"/>
      <c r="M178" s="552" t="n"/>
    </row>
    <row r="179" ht="14.25" customHeight="1" s="468">
      <c r="A179" s="646" t="n">
        <v>46199</v>
      </c>
      <c r="B179" s="213" t="inlineStr">
        <is>
          <t>PRODUTO</t>
        </is>
      </c>
      <c r="C179" s="214" t="inlineStr">
        <is>
          <t>EMBALAGEM</t>
        </is>
      </c>
      <c r="D179" s="244" t="inlineStr">
        <is>
          <t>CAIXAS</t>
        </is>
      </c>
      <c r="E179" s="215" t="inlineStr">
        <is>
          <t>UN</t>
        </is>
      </c>
      <c r="F179" s="687" t="inlineStr">
        <is>
          <t>CX/PALLET</t>
        </is>
      </c>
      <c r="G179" s="244" t="inlineStr">
        <is>
          <t>PALLETS (PBR)</t>
        </is>
      </c>
      <c r="H179" s="244" t="inlineStr">
        <is>
          <t>REAL (CX)</t>
        </is>
      </c>
      <c r="I179" s="244" t="inlineStr">
        <is>
          <t>TOTAL LATAS</t>
        </is>
      </c>
      <c r="J179" s="552" t="n"/>
      <c r="K179" s="552" t="n"/>
      <c r="L179" s="552" t="n"/>
      <c r="M179" s="552" t="n"/>
    </row>
    <row r="180" ht="21" customHeight="1" s="468">
      <c r="A180" s="685" t="n"/>
      <c r="B180" s="218" t="n"/>
      <c r="C180" s="219" t="n"/>
      <c r="D180" s="220" t="n"/>
      <c r="E180" s="221" t="inlineStr">
        <is>
          <t>CX</t>
        </is>
      </c>
      <c r="F180" s="686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20">
        <f>IFERROR(ROUNDUP(D180/F180,0),"")</f>
        <v/>
      </c>
      <c r="H180" s="224" t="n"/>
      <c r="I180" s="220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552" t="n"/>
      <c r="K180" s="552" t="n"/>
      <c r="L180" s="552" t="n"/>
      <c r="M180" s="552" t="n"/>
    </row>
    <row r="181" ht="21" customHeight="1" s="468">
      <c r="A181" s="685" t="n"/>
      <c r="B181" s="218" t="n"/>
      <c r="C181" s="219" t="n"/>
      <c r="D181" s="220" t="n"/>
      <c r="E181" s="221" t="inlineStr">
        <is>
          <t>CX</t>
        </is>
      </c>
      <c r="F181" s="686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20">
        <f>IFERROR(ROUNDUP(D181/F181,0),"")</f>
        <v/>
      </c>
      <c r="H181" s="224" t="n"/>
      <c r="I181" s="220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552" t="n"/>
      <c r="K181" s="552" t="n"/>
      <c r="L181" s="552" t="n"/>
      <c r="M181" s="552" t="n"/>
    </row>
    <row r="182" ht="21" customHeight="1" s="468">
      <c r="A182" s="685" t="n"/>
      <c r="B182" s="218" t="n"/>
      <c r="C182" s="219" t="n"/>
      <c r="D182" s="220" t="n"/>
      <c r="E182" s="221" t="inlineStr">
        <is>
          <t>CX</t>
        </is>
      </c>
      <c r="F182" s="686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20">
        <f>IFERROR(ROUNDUP(D182/F182,0),"")</f>
        <v/>
      </c>
      <c r="H182" s="224" t="n"/>
      <c r="I182" s="220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552" t="n"/>
      <c r="K182" s="552" t="n"/>
      <c r="L182" s="552" t="n"/>
      <c r="M182" s="552" t="n"/>
    </row>
    <row r="183" ht="21" customHeight="1" s="468">
      <c r="A183" s="685" t="n"/>
      <c r="B183" s="218" t="n"/>
      <c r="C183" s="219" t="n"/>
      <c r="D183" s="220" t="n"/>
      <c r="E183" s="221" t="inlineStr">
        <is>
          <t>CX</t>
        </is>
      </c>
      <c r="F183" s="686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20">
        <f>IFERROR(ROUNDUP(D183/F183,0),"")</f>
        <v/>
      </c>
      <c r="H183" s="224" t="n"/>
      <c r="I183" s="220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552" t="n"/>
      <c r="K183" s="552" t="n"/>
      <c r="L183" s="552" t="n"/>
      <c r="M183" s="552" t="n"/>
    </row>
    <row r="184" ht="21" customHeight="1" s="468">
      <c r="A184" s="685" t="n"/>
      <c r="B184" s="218" t="n"/>
      <c r="C184" s="219" t="n"/>
      <c r="D184" s="220" t="n"/>
      <c r="E184" s="221" t="inlineStr">
        <is>
          <t>CX</t>
        </is>
      </c>
      <c r="F184" s="686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20">
        <f>IFERROR(ROUNDUP(D184/F184,0),"")</f>
        <v/>
      </c>
      <c r="H184" s="224" t="n"/>
      <c r="I184" s="220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552" t="n"/>
      <c r="K184" s="552" t="n"/>
      <c r="L184" s="552" t="n"/>
      <c r="M184" s="552" t="n"/>
    </row>
    <row r="185" ht="14.25" customHeight="1" s="468">
      <c r="A185" s="658" t="n"/>
      <c r="B185" s="640" t="inlineStr">
        <is>
          <t>TOTAL</t>
        </is>
      </c>
      <c r="C185" s="667" t="n"/>
      <c r="D185" s="642">
        <f>SUM(D180:D184)</f>
        <v/>
      </c>
      <c r="E185" s="668" t="n"/>
      <c r="F185" s="644" t="n"/>
      <c r="G185" s="642">
        <f>SUM(G180:G184)</f>
        <v/>
      </c>
      <c r="H185" s="642">
        <f>SUM(H180:H184)</f>
        <v/>
      </c>
      <c r="I185" s="642">
        <f>SUM(I180:I184)</f>
        <v/>
      </c>
      <c r="J185" s="644">
        <f>D185</f>
        <v/>
      </c>
      <c r="K185" s="644">
        <f>G185</f>
        <v/>
      </c>
      <c r="L185" s="644">
        <f>H185</f>
        <v/>
      </c>
      <c r="M185" s="644">
        <f>I185</f>
        <v/>
      </c>
    </row>
    <row r="186" ht="14.25" customHeight="1" s="468">
      <c r="A186" s="638" t="n"/>
      <c r="C186" s="71" t="n"/>
      <c r="D186" s="552" t="n"/>
      <c r="F186" s="552" t="n"/>
      <c r="G186" s="552" t="n"/>
      <c r="H186" s="552" t="n"/>
      <c r="I186" s="552" t="n"/>
      <c r="J186" s="552" t="n"/>
      <c r="K186" s="552" t="n"/>
      <c r="L186" s="552" t="n"/>
      <c r="M186" s="552" t="n"/>
    </row>
    <row r="187" ht="14.25" customHeight="1" s="468">
      <c r="A187" s="696" t="n">
        <v>46200</v>
      </c>
      <c r="B187" s="213" t="inlineStr">
        <is>
          <t>PRODUTO</t>
        </is>
      </c>
      <c r="C187" s="214" t="inlineStr">
        <is>
          <t>EMBALAGEM</t>
        </is>
      </c>
      <c r="D187" s="244" t="inlineStr">
        <is>
          <t>CAIXAS</t>
        </is>
      </c>
      <c r="E187" s="215" t="inlineStr">
        <is>
          <t>UN</t>
        </is>
      </c>
      <c r="F187" s="697" t="inlineStr">
        <is>
          <t>CX/PALLET</t>
        </is>
      </c>
      <c r="G187" s="244" t="inlineStr">
        <is>
          <t>PALLETS (PBR)</t>
        </is>
      </c>
      <c r="H187" s="244" t="inlineStr">
        <is>
          <t>REAL (CX)</t>
        </is>
      </c>
      <c r="I187" s="244" t="inlineStr">
        <is>
          <t>TOTAL LATAS</t>
        </is>
      </c>
      <c r="J187" s="274" t="n"/>
      <c r="K187" s="274" t="n"/>
      <c r="L187" s="274" t="n"/>
      <c r="M187" s="274" t="n"/>
    </row>
    <row r="188" ht="21" customHeight="1" s="468">
      <c r="A188" s="685" t="n"/>
      <c r="B188" s="266" t="n"/>
      <c r="C188" s="267" t="n"/>
      <c r="D188" s="268" t="n"/>
      <c r="E188" s="269" t="inlineStr">
        <is>
          <t>CX</t>
        </is>
      </c>
      <c r="F188" s="698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68">
        <f>IFERROR(ROUNDUP(D188/F188,0),"")</f>
        <v/>
      </c>
      <c r="H188" s="224" t="n"/>
      <c r="I188" s="268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274" t="n"/>
      <c r="K188" s="274" t="n"/>
      <c r="L188" s="274" t="n"/>
      <c r="M188" s="274" t="n"/>
    </row>
    <row r="189" ht="21" customHeight="1" s="468">
      <c r="A189" s="685" t="n"/>
      <c r="B189" s="266" t="n"/>
      <c r="C189" s="267" t="n"/>
      <c r="D189" s="268" t="n"/>
      <c r="E189" s="269" t="inlineStr">
        <is>
          <t>CX</t>
        </is>
      </c>
      <c r="F189" s="698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68">
        <f>IFERROR(ROUNDUP(D189/F189,0),"")</f>
        <v/>
      </c>
      <c r="H189" s="224" t="n"/>
      <c r="I189" s="268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274" t="n"/>
      <c r="K189" s="274" t="n"/>
      <c r="L189" s="274" t="n"/>
      <c r="M189" s="274" t="n"/>
    </row>
    <row r="190" ht="21" customHeight="1" s="468">
      <c r="A190" s="685" t="n"/>
      <c r="B190" s="266" t="n"/>
      <c r="C190" s="267" t="n"/>
      <c r="D190" s="268" t="n"/>
      <c r="E190" s="269" t="inlineStr">
        <is>
          <t>CX</t>
        </is>
      </c>
      <c r="F190" s="698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68">
        <f>IFERROR(ROUNDUP(D190/F190,0),"")</f>
        <v/>
      </c>
      <c r="H190" s="224" t="n"/>
      <c r="I190" s="268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274" t="n"/>
      <c r="K190" s="274" t="n"/>
      <c r="L190" s="274" t="n"/>
      <c r="M190" s="274" t="n"/>
    </row>
    <row r="191" ht="21" customHeight="1" s="468">
      <c r="A191" s="685" t="n"/>
      <c r="B191" s="266" t="n"/>
      <c r="C191" s="267" t="n"/>
      <c r="D191" s="268" t="n"/>
      <c r="E191" s="269" t="inlineStr">
        <is>
          <t>CX</t>
        </is>
      </c>
      <c r="F191" s="698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68">
        <f>IFERROR(ROUNDUP(D191/F191,0),"")</f>
        <v/>
      </c>
      <c r="H191" s="224" t="n"/>
      <c r="I191" s="268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274" t="n"/>
      <c r="K191" s="274" t="n"/>
      <c r="L191" s="274" t="n"/>
      <c r="M191" s="274" t="n"/>
    </row>
    <row r="192" ht="21" customHeight="1" s="468">
      <c r="A192" s="685" t="n"/>
      <c r="B192" s="266" t="n"/>
      <c r="C192" s="267" t="n"/>
      <c r="D192" s="268" t="n"/>
      <c r="E192" s="269" t="inlineStr">
        <is>
          <t>CX</t>
        </is>
      </c>
      <c r="F192" s="698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68">
        <f>IFERROR(ROUNDUP(D192/F192,0),"")</f>
        <v/>
      </c>
      <c r="H192" s="224" t="n"/>
      <c r="I192" s="268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274" t="n"/>
      <c r="K192" s="274" t="n"/>
      <c r="L192" s="274" t="n"/>
      <c r="M192" s="274" t="n"/>
    </row>
    <row r="193" ht="14.25" customHeight="1" s="468">
      <c r="A193" s="658" t="n"/>
      <c r="B193" s="640" t="inlineStr">
        <is>
          <t>TOTAL</t>
        </is>
      </c>
      <c r="C193" s="667" t="n"/>
      <c r="D193" s="642">
        <f>SUM(D188:D192)</f>
        <v/>
      </c>
      <c r="E193" s="668" t="n"/>
      <c r="F193" s="644" t="n"/>
      <c r="G193" s="642">
        <f>SUM(G188:G192)</f>
        <v/>
      </c>
      <c r="H193" s="642">
        <f>SUM(H188:H192)</f>
        <v/>
      </c>
      <c r="I193" s="642">
        <f>SUM(I188:I192)</f>
        <v/>
      </c>
      <c r="J193" s="644">
        <f>D193</f>
        <v/>
      </c>
      <c r="K193" s="644">
        <f>G193</f>
        <v/>
      </c>
      <c r="L193" s="644">
        <f>H193</f>
        <v/>
      </c>
      <c r="M193" s="644">
        <f>I193</f>
        <v/>
      </c>
    </row>
    <row r="194" ht="14.25" customHeight="1" s="468">
      <c r="A194" s="699" t="n"/>
      <c r="B194" s="265" t="n"/>
      <c r="C194" s="276" t="n"/>
      <c r="D194" s="274" t="n"/>
      <c r="E194" s="265" t="n"/>
      <c r="F194" s="274" t="n"/>
      <c r="G194" s="274" t="n"/>
      <c r="H194" s="274" t="n"/>
      <c r="I194" s="274" t="n"/>
      <c r="J194" s="274" t="n"/>
      <c r="K194" s="274" t="n"/>
      <c r="L194" s="274" t="n"/>
      <c r="M194" s="274" t="n"/>
    </row>
    <row r="195" ht="14.25" customHeight="1" s="468">
      <c r="A195" s="646" t="n">
        <v>46202</v>
      </c>
      <c r="B195" s="213" t="inlineStr">
        <is>
          <t>PRODUTO</t>
        </is>
      </c>
      <c r="C195" s="214" t="inlineStr">
        <is>
          <t>EMBALAGEM</t>
        </is>
      </c>
      <c r="D195" s="244" t="inlineStr">
        <is>
          <t>CAIXAS</t>
        </is>
      </c>
      <c r="E195" s="215" t="inlineStr">
        <is>
          <t>UN</t>
        </is>
      </c>
      <c r="F195" s="687" t="inlineStr">
        <is>
          <t>CX/PALLET</t>
        </is>
      </c>
      <c r="G195" s="244" t="inlineStr">
        <is>
          <t>PALLETS (PBR)</t>
        </is>
      </c>
      <c r="H195" s="244" t="inlineStr">
        <is>
          <t>REAL (CX)</t>
        </is>
      </c>
      <c r="I195" s="244" t="inlineStr">
        <is>
          <t>TOTAL LATAS</t>
        </is>
      </c>
      <c r="J195" s="552" t="n"/>
      <c r="K195" s="552" t="n"/>
      <c r="L195" s="552" t="n"/>
      <c r="M195" s="552" t="n"/>
    </row>
    <row r="196" ht="21" customHeight="1" s="468">
      <c r="A196" s="685" t="n"/>
      <c r="B196" s="218" t="n"/>
      <c r="C196" s="219" t="n"/>
      <c r="D196" s="220" t="n"/>
      <c r="E196" s="221" t="inlineStr">
        <is>
          <t>CX</t>
        </is>
      </c>
      <c r="F196" s="68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20">
        <f>IFERROR(ROUNDUP(D196/F196,0),"")</f>
        <v/>
      </c>
      <c r="H196" s="224" t="n"/>
      <c r="I196" s="220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552" t="n"/>
      <c r="K196" s="552" t="n"/>
      <c r="L196" s="552" t="n"/>
      <c r="M196" s="552" t="n"/>
    </row>
    <row r="197" ht="21" customHeight="1" s="468">
      <c r="A197" s="685" t="n"/>
      <c r="B197" s="218" t="n"/>
      <c r="C197" s="219" t="n"/>
      <c r="D197" s="220" t="n"/>
      <c r="E197" s="221" t="inlineStr">
        <is>
          <t>CX</t>
        </is>
      </c>
      <c r="F197" s="686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20">
        <f>IFERROR(ROUNDUP(D197/F197,0),"")</f>
        <v/>
      </c>
      <c r="H197" s="224" t="n"/>
      <c r="I197" s="220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552" t="n"/>
      <c r="K197" s="552" t="n"/>
      <c r="L197" s="552" t="n"/>
      <c r="M197" s="552" t="n"/>
    </row>
    <row r="198" ht="21" customHeight="1" s="468">
      <c r="A198" s="685" t="n"/>
      <c r="B198" s="218" t="n"/>
      <c r="C198" s="219" t="n"/>
      <c r="D198" s="220" t="n"/>
      <c r="E198" s="221" t="inlineStr">
        <is>
          <t>CX</t>
        </is>
      </c>
      <c r="F198" s="686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20">
        <f>IFERROR(ROUNDUP(D198/F198,0),"")</f>
        <v/>
      </c>
      <c r="H198" s="224" t="n"/>
      <c r="I198" s="220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552" t="n"/>
      <c r="K198" s="552" t="n"/>
      <c r="L198" s="552" t="n"/>
      <c r="M198" s="552" t="n"/>
    </row>
    <row r="199" ht="21" customHeight="1" s="468">
      <c r="A199" s="685" t="n"/>
      <c r="B199" s="218" t="n"/>
      <c r="C199" s="219" t="n"/>
      <c r="D199" s="220" t="n"/>
      <c r="E199" s="221" t="inlineStr">
        <is>
          <t>CX</t>
        </is>
      </c>
      <c r="F199" s="686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20">
        <f>IFERROR(ROUNDUP(D199/F199,0),"")</f>
        <v/>
      </c>
      <c r="H199" s="224" t="n"/>
      <c r="I199" s="220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552" t="n"/>
      <c r="K199" s="552" t="n"/>
      <c r="L199" s="552" t="n"/>
      <c r="M199" s="552" t="n"/>
    </row>
    <row r="200" ht="21" customHeight="1" s="468">
      <c r="A200" s="685" t="n"/>
      <c r="B200" s="218" t="n"/>
      <c r="C200" s="219" t="n"/>
      <c r="D200" s="220" t="n"/>
      <c r="E200" s="221" t="inlineStr">
        <is>
          <t>CX</t>
        </is>
      </c>
      <c r="F200" s="686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20">
        <f>IFERROR(ROUNDUP(D200/F200,0),"")</f>
        <v/>
      </c>
      <c r="H200" s="224" t="n"/>
      <c r="I200" s="220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552" t="n"/>
      <c r="K200" s="552" t="n"/>
      <c r="L200" s="552" t="n"/>
      <c r="M200" s="552" t="n"/>
    </row>
    <row r="201" ht="14.25" customHeight="1" s="468">
      <c r="A201" s="658" t="n"/>
      <c r="B201" s="640" t="inlineStr">
        <is>
          <t>TOTAL</t>
        </is>
      </c>
      <c r="C201" s="667" t="n"/>
      <c r="D201" s="642">
        <f>SUM(D196:D200)</f>
        <v/>
      </c>
      <c r="E201" s="668" t="n"/>
      <c r="F201" s="644" t="n"/>
      <c r="G201" s="642">
        <f>SUM(G196:G200)</f>
        <v/>
      </c>
      <c r="H201" s="642">
        <f>SUM(H196:H200)</f>
        <v/>
      </c>
      <c r="I201" s="642">
        <f>SUM(I196:I200)</f>
        <v/>
      </c>
      <c r="J201" s="644">
        <f>D201</f>
        <v/>
      </c>
      <c r="K201" s="644">
        <f>G201</f>
        <v/>
      </c>
      <c r="L201" s="644">
        <f>H201</f>
        <v/>
      </c>
      <c r="M201" s="644">
        <f>I201</f>
        <v/>
      </c>
    </row>
    <row r="202" ht="14.25" customHeight="1" s="468">
      <c r="A202" s="638" t="n"/>
      <c r="C202" s="71" t="n"/>
      <c r="D202" s="552" t="n"/>
      <c r="F202" s="552" t="n"/>
      <c r="G202" s="552" t="n"/>
      <c r="H202" s="552" t="n"/>
      <c r="I202" s="552" t="n"/>
      <c r="J202" s="552" t="n"/>
      <c r="K202" s="552" t="n"/>
      <c r="L202" s="552" t="n"/>
      <c r="M202" s="552" t="n"/>
    </row>
    <row r="203" ht="14.25" customHeight="1" s="468">
      <c r="A203" s="646" t="n">
        <v>46203</v>
      </c>
      <c r="B203" s="213" t="inlineStr">
        <is>
          <t>PRODUTO</t>
        </is>
      </c>
      <c r="C203" s="214" t="inlineStr">
        <is>
          <t>EMBALAGEM</t>
        </is>
      </c>
      <c r="D203" s="244" t="inlineStr">
        <is>
          <t>CAIXAS</t>
        </is>
      </c>
      <c r="E203" s="215" t="inlineStr">
        <is>
          <t>UN</t>
        </is>
      </c>
      <c r="F203" s="687" t="inlineStr">
        <is>
          <t>CX/PALLET</t>
        </is>
      </c>
      <c r="G203" s="244" t="inlineStr">
        <is>
          <t>PALLETS (PBR)</t>
        </is>
      </c>
      <c r="H203" s="244" t="inlineStr">
        <is>
          <t>REAL (CX)</t>
        </is>
      </c>
      <c r="I203" s="244" t="inlineStr">
        <is>
          <t>TOTAL LATAS</t>
        </is>
      </c>
      <c r="J203" s="552" t="n"/>
      <c r="K203" s="552" t="n"/>
      <c r="L203" s="552" t="n"/>
      <c r="M203" s="552" t="n"/>
    </row>
    <row r="204" ht="21" customHeight="1" s="468">
      <c r="A204" s="685" t="n"/>
      <c r="B204" s="218" t="n"/>
      <c r="C204" s="219" t="n"/>
      <c r="D204" s="220" t="n"/>
      <c r="E204" s="221" t="inlineStr">
        <is>
          <t>CX</t>
        </is>
      </c>
      <c r="F204" s="686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20">
        <f>IFERROR(ROUNDUP(D204/F204,0),"")</f>
        <v/>
      </c>
      <c r="H204" s="224" t="n"/>
      <c r="I204" s="220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  <c r="J204" s="552" t="n"/>
      <c r="K204" s="552" t="n"/>
      <c r="L204" s="552" t="n"/>
      <c r="M204" s="552" t="n"/>
    </row>
    <row r="205" ht="21" customHeight="1" s="468">
      <c r="A205" s="685" t="n"/>
      <c r="B205" s="218" t="n"/>
      <c r="C205" s="219" t="n"/>
      <c r="D205" s="220" t="n"/>
      <c r="E205" s="221" t="inlineStr">
        <is>
          <t>CX</t>
        </is>
      </c>
      <c r="F205" s="686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20">
        <f>IFERROR(ROUNDUP(D205/F205,0),"")</f>
        <v/>
      </c>
      <c r="H205" s="224" t="n"/>
      <c r="I205" s="220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  <c r="J205" s="552" t="n"/>
      <c r="K205" s="552" t="n"/>
      <c r="L205" s="552" t="n"/>
      <c r="M205" s="552" t="n"/>
    </row>
    <row r="206" ht="21" customHeight="1" s="468">
      <c r="A206" s="685" t="n"/>
      <c r="B206" s="218" t="n"/>
      <c r="C206" s="219" t="n"/>
      <c r="D206" s="220" t="n"/>
      <c r="E206" s="221" t="inlineStr">
        <is>
          <t>CX</t>
        </is>
      </c>
      <c r="F206" s="686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20">
        <f>IFERROR(ROUNDUP(D206/F206,0),"")</f>
        <v/>
      </c>
      <c r="H206" s="224" t="n"/>
      <c r="I206" s="220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  <c r="J206" s="552" t="n"/>
      <c r="K206" s="552" t="n"/>
      <c r="L206" s="552" t="n"/>
      <c r="M206" s="552" t="n"/>
    </row>
    <row r="207" ht="21" customHeight="1" s="468">
      <c r="A207" s="685" t="n"/>
      <c r="B207" s="218" t="n"/>
      <c r="C207" s="219" t="n"/>
      <c r="D207" s="220" t="n"/>
      <c r="E207" s="221" t="inlineStr">
        <is>
          <t>CX</t>
        </is>
      </c>
      <c r="F207" s="686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20">
        <f>IFERROR(ROUNDUP(D207/F207,0),"")</f>
        <v/>
      </c>
      <c r="H207" s="224" t="n"/>
      <c r="I207" s="220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  <c r="J207" s="552" t="n"/>
      <c r="K207" s="552" t="n"/>
      <c r="L207" s="552" t="n"/>
      <c r="M207" s="552" t="n"/>
    </row>
    <row r="208" ht="21" customHeight="1" s="468">
      <c r="A208" s="685" t="n"/>
      <c r="B208" s="218" t="n"/>
      <c r="C208" s="219" t="n"/>
      <c r="D208" s="220" t="n"/>
      <c r="E208" s="221" t="inlineStr">
        <is>
          <t>CX</t>
        </is>
      </c>
      <c r="F208" s="686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20">
        <f>IFERROR(ROUNDUP(D208/F208,0),"")</f>
        <v/>
      </c>
      <c r="H208" s="224" t="n"/>
      <c r="I208" s="220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  <c r="J208" s="552" t="n"/>
      <c r="K208" s="552" t="n"/>
      <c r="L208" s="552" t="n"/>
      <c r="M208" s="552" t="n"/>
    </row>
    <row r="209" ht="14.25" customHeight="1" s="468">
      <c r="A209" s="658" t="n"/>
      <c r="B209" s="640" t="inlineStr">
        <is>
          <t>TOTAL</t>
        </is>
      </c>
      <c r="C209" s="667" t="n"/>
      <c r="D209" s="642">
        <f>SUM(D204:D208)</f>
        <v/>
      </c>
      <c r="E209" s="668" t="n"/>
      <c r="F209" s="644" t="n"/>
      <c r="G209" s="642">
        <f>SUM(G204:G208)</f>
        <v/>
      </c>
      <c r="H209" s="642">
        <f>SUM(H204:H208)</f>
        <v/>
      </c>
      <c r="I209" s="642">
        <f>SUM(I204:I208)</f>
        <v/>
      </c>
      <c r="J209" s="644">
        <f>D209</f>
        <v/>
      </c>
      <c r="K209" s="644">
        <f>G209</f>
        <v/>
      </c>
      <c r="L209" s="644">
        <f>H209</f>
        <v/>
      </c>
      <c r="M209" s="644">
        <f>I209</f>
        <v/>
      </c>
    </row>
  </sheetData>
  <mergeCells count="3">
    <mergeCell ref="A1:I1"/>
    <mergeCell ref="A2:F2"/>
    <mergeCell ref="G2:I2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77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tabColor rgb="FF0F766E"/>
    <outlinePr summaryBelow="1" summaryRight="1"/>
    <pageSetUpPr/>
  </sheetPr>
  <dimension ref="A1:Y59"/>
  <sheetViews>
    <sheetView showGridLines="0" topLeftCell="A10" zoomScale="90" zoomScaleNormal="90" workbookViewId="0">
      <pane ySplit="8" topLeftCell="A9" activePane="bottomLeft" state="frozen"/>
      <selection pane="bottomLeft" activeCell="F14" sqref="F14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width="13" customWidth="1" style="468" min="13" max="13"/>
    <col hidden="1" width="13" customWidth="1" style="468" min="24" max="25"/>
  </cols>
  <sheetData>
    <row r="1" ht="19.5" customHeight="1" s="468">
      <c r="A1" s="675" t="inlineStr">
        <is>
          <t>RESULTADOS E GRÁFICO - JUNHO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SUM(C9:C34)</f>
        <v/>
      </c>
      <c r="D4" s="152">
        <f>SUM(D9:D34)</f>
        <v/>
      </c>
      <c r="F4" s="152">
        <f>IFERROR(SUMIFS(C9:C34,A9:A34,"&lt;="&amp;TODAY(),F9:F34,"&lt;&gt;*Feriado*")/COUNTIFS(A9:A34,"&lt;="&amp;TODAY(),F9:F34,"&lt;&gt;*Feriado*"),0)</f>
        <v/>
      </c>
      <c r="H4" s="152">
        <f>IFERROR(MAX(C9:C34),0)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5" customHeight="1" s="468">
      <c r="A9" s="676" t="n">
        <v>46174</v>
      </c>
      <c r="B9" s="677">
        <f>IF(D9&gt;0,COUNTIF($D$9:D9,"&gt;0"),"")</f>
        <v/>
      </c>
      <c r="C9" s="678">
        <f>'SEMANA JUNHO'!$M$9</f>
        <v/>
      </c>
      <c r="D9" s="678">
        <f>CONFIG!$B$3</f>
        <v/>
      </c>
      <c r="E9" s="678">
        <f>C9-D9</f>
        <v/>
      </c>
      <c r="F9" s="700" t="n"/>
      <c r="X9" s="552">
        <f>IF(COUNTIF($F9,"*Feriado*")&gt;0,NA(),$C9)</f>
        <v/>
      </c>
      <c r="Y9" s="552">
        <f>IF(COUNTIF($F9,"*Feriado*")&gt;0,NA(),$D9)</f>
        <v/>
      </c>
    </row>
    <row r="10" ht="15" customHeight="1" s="468">
      <c r="A10" s="676" t="n">
        <v>46175</v>
      </c>
      <c r="B10" s="677">
        <f>IF(D10&gt;0,COUNTIF($D$9:D10,"&gt;0"),"")</f>
        <v/>
      </c>
      <c r="C10" s="678">
        <f>'SEMANA JUNHO'!$M$17</f>
        <v/>
      </c>
      <c r="D10" s="678">
        <f>CONFIG!$B$3</f>
        <v/>
      </c>
      <c r="E10" s="678">
        <f>C10-D10</f>
        <v/>
      </c>
      <c r="F10" s="700" t="n"/>
      <c r="X10" s="552">
        <f>IF(COUNTIF($F10,"*Feriado*")&gt;0,NA(),$C10)</f>
        <v/>
      </c>
      <c r="Y10" s="552">
        <f>IF(COUNTIF($F10,"*Feriado*")&gt;0,NA(),$D10)</f>
        <v/>
      </c>
    </row>
    <row r="11" ht="15" customHeight="1" s="468">
      <c r="A11" s="676" t="n">
        <v>46176</v>
      </c>
      <c r="B11" s="677">
        <f>IF(D11&gt;0,COUNTIF($D$9:D11,"&gt;0"),"")</f>
        <v/>
      </c>
      <c r="C11" s="678">
        <f>'SEMANA JUNHO'!$M$25</f>
        <v/>
      </c>
      <c r="D11" s="678">
        <f>CONFIG!$B$3</f>
        <v/>
      </c>
      <c r="E11" s="678">
        <f>C11-D11</f>
        <v/>
      </c>
      <c r="F11" s="700" t="n"/>
      <c r="X11" s="552">
        <f>IF(COUNTIF($F11,"*Feriado*")&gt;0,NA(),$C11)</f>
        <v/>
      </c>
      <c r="Y11" s="552">
        <f>IF(COUNTIF($F11,"*Feriado*")&gt;0,NA(),$D11)</f>
        <v/>
      </c>
    </row>
    <row r="12" ht="15" customHeight="1" s="468">
      <c r="A12" s="676" t="n">
        <v>46177</v>
      </c>
      <c r="B12" s="677">
        <f>IF(D12&gt;0,COUNTIF($D$9:D12,"&gt;0"),"")</f>
        <v/>
      </c>
      <c r="C12" s="678">
        <f>'SEMANA JUNHO'!$M$33</f>
        <v/>
      </c>
      <c r="D12" s="678">
        <f>CONFIG!$B$3</f>
        <v/>
      </c>
      <c r="E12" s="678">
        <f>C12-D12</f>
        <v/>
      </c>
      <c r="F12" s="700" t="n"/>
      <c r="X12" s="552">
        <f>IF(COUNTIF($F12,"*Feriado*")&gt;0,NA(),$C12)</f>
        <v/>
      </c>
      <c r="Y12" s="552">
        <f>IF(COUNTIF($F12,"*Feriado*")&gt;0,NA(),$D12)</f>
        <v/>
      </c>
    </row>
    <row r="13" ht="15" customHeight="1" s="468">
      <c r="A13" s="676" t="n">
        <v>46178</v>
      </c>
      <c r="B13" s="677">
        <f>IF(D13&gt;0,COUNTIF($D$9:D13,"&gt;0"),"")</f>
        <v/>
      </c>
      <c r="C13" s="678">
        <f>'SEMANA JUNHO'!$M$41</f>
        <v/>
      </c>
      <c r="D13" s="678">
        <f>CONFIG!$B$3</f>
        <v/>
      </c>
      <c r="E13" s="678">
        <f>C13-D13</f>
        <v/>
      </c>
      <c r="F13" s="700" t="n"/>
      <c r="X13" s="552">
        <f>IF(COUNTIF($F13,"*Feriado*")&gt;0,NA(),$C13)</f>
        <v/>
      </c>
      <c r="Y13" s="552">
        <f>IF(COUNTIF($F13,"*Feriado*")&gt;0,NA(),$D13)</f>
        <v/>
      </c>
    </row>
    <row r="14" ht="15" customHeight="1" s="468">
      <c r="A14" s="676" t="n">
        <v>46179</v>
      </c>
      <c r="B14" s="677">
        <f>IF(D14&gt;0,COUNTIF($D$9:D14,"&gt;0"),"")</f>
        <v/>
      </c>
      <c r="C14" s="678">
        <f>'SEMANA JUNHO'!$M$49</f>
        <v/>
      </c>
      <c r="D14" s="678">
        <f>CONFIG!$B$3</f>
        <v/>
      </c>
      <c r="E14" s="678">
        <f>C14-D14</f>
        <v/>
      </c>
      <c r="F14" s="679" t="inlineStr">
        <is>
          <t>Sábado - produção normal</t>
        </is>
      </c>
      <c r="X14" s="552">
        <f>IF(COUNTIF($F14,"*Feriado*")&gt;0,NA(),$C14)</f>
        <v/>
      </c>
      <c r="Y14" s="552">
        <f>IF(COUNTIF($F14,"*Feriado*")&gt;0,NA(),$D14)</f>
        <v/>
      </c>
    </row>
    <row r="15" ht="15" customHeight="1" s="468">
      <c r="A15" s="676" t="n">
        <v>46181</v>
      </c>
      <c r="B15" s="677">
        <f>IF(D15&gt;0,COUNTIF($D$9:D15,"&gt;0"),"")</f>
        <v/>
      </c>
      <c r="C15" s="678">
        <f>'SEMANA JUNHO'!$M$57</f>
        <v/>
      </c>
      <c r="D15" s="678">
        <f>CONFIG!$B$3</f>
        <v/>
      </c>
      <c r="E15" s="678">
        <f>C15-D15</f>
        <v/>
      </c>
      <c r="F15" s="700" t="n"/>
      <c r="X15" s="552">
        <f>IF(COUNTIF($F15,"*Feriado*")&gt;0,NA(),$C15)</f>
        <v/>
      </c>
      <c r="Y15" s="552">
        <f>IF(COUNTIF($F15,"*Feriado*")&gt;0,NA(),$D15)</f>
        <v/>
      </c>
    </row>
    <row r="16" ht="15" customHeight="1" s="468">
      <c r="A16" s="676" t="n">
        <v>46182</v>
      </c>
      <c r="B16" s="677">
        <f>IF(D16&gt;0,COUNTIF($D$9:D16,"&gt;0"),"")</f>
        <v/>
      </c>
      <c r="C16" s="678">
        <f>'SEMANA JUNHO'!$M$65</f>
        <v/>
      </c>
      <c r="D16" s="678">
        <f>CONFIG!$B$3</f>
        <v/>
      </c>
      <c r="E16" s="678">
        <f>C16-D16</f>
        <v/>
      </c>
      <c r="F16" s="700" t="n"/>
      <c r="X16" s="552">
        <f>IF(COUNTIF($F16,"*Feriado*")&gt;0,NA(),$C16)</f>
        <v/>
      </c>
      <c r="Y16" s="552">
        <f>IF(COUNTIF($F16,"*Feriado*")&gt;0,NA(),$D16)</f>
        <v/>
      </c>
    </row>
    <row r="17" ht="15" customHeight="1" s="468">
      <c r="A17" s="676" t="n">
        <v>46183</v>
      </c>
      <c r="B17" s="677">
        <f>IF(D17&gt;0,COUNTIF($D$9:D17,"&gt;0"),"")</f>
        <v/>
      </c>
      <c r="C17" s="678">
        <f>'SEMANA JUNHO'!$M$73</f>
        <v/>
      </c>
      <c r="D17" s="678">
        <f>CONFIG!$B$3</f>
        <v/>
      </c>
      <c r="E17" s="678">
        <f>C17-D17</f>
        <v/>
      </c>
      <c r="F17" s="700" t="n"/>
      <c r="X17" s="552">
        <f>IF(COUNTIF($F17,"*Feriado*")&gt;0,NA(),$C17)</f>
        <v/>
      </c>
      <c r="Y17" s="552">
        <f>IF(COUNTIF($F17,"*Feriado*")&gt;0,NA(),$D17)</f>
        <v/>
      </c>
    </row>
    <row r="18" ht="15" customHeight="1" s="468">
      <c r="A18" s="676" t="n">
        <v>46184</v>
      </c>
      <c r="B18" s="677">
        <f>IF(D18&gt;0,COUNTIF($D$9:D18,"&gt;0"),"")</f>
        <v/>
      </c>
      <c r="C18" s="678">
        <f>'SEMANA JUNHO'!$M$81</f>
        <v/>
      </c>
      <c r="D18" s="678">
        <f>CONFIG!$B$3</f>
        <v/>
      </c>
      <c r="E18" s="678">
        <f>C18-D18</f>
        <v/>
      </c>
      <c r="F18" s="700" t="n"/>
      <c r="X18" s="552">
        <f>IF(COUNTIF($F18,"*Feriado*")&gt;0,NA(),$C18)</f>
        <v/>
      </c>
      <c r="Y18" s="552">
        <f>IF(COUNTIF($F18,"*Feriado*")&gt;0,NA(),$D18)</f>
        <v/>
      </c>
    </row>
    <row r="19" ht="15" customHeight="1" s="468">
      <c r="A19" s="676" t="n">
        <v>46185</v>
      </c>
      <c r="B19" s="677">
        <f>IF(D19&gt;0,COUNTIF($D$9:D19,"&gt;0"),"")</f>
        <v/>
      </c>
      <c r="C19" s="678">
        <f>'SEMANA JUNHO'!$M$89</f>
        <v/>
      </c>
      <c r="D19" s="678">
        <f>CONFIG!$B$3</f>
        <v/>
      </c>
      <c r="E19" s="678">
        <f>C19-D19</f>
        <v/>
      </c>
      <c r="F19" s="700" t="n"/>
      <c r="X19" s="552">
        <f>IF(COUNTIF($F19,"*Feriado*")&gt;0,NA(),$C19)</f>
        <v/>
      </c>
      <c r="Y19" s="552">
        <f>IF(COUNTIF($F19,"*Feriado*")&gt;0,NA(),$D19)</f>
        <v/>
      </c>
    </row>
    <row r="20" ht="15" customHeight="1" s="468">
      <c r="A20" s="676" t="n">
        <v>46186</v>
      </c>
      <c r="B20" s="677">
        <f>IF(D20&gt;0,COUNTIF($D$9:D20,"&gt;0"),"")</f>
        <v/>
      </c>
      <c r="C20" s="678">
        <f>'SEMANA JUNHO'!$M$97</f>
        <v/>
      </c>
      <c r="D20" s="678">
        <f>CONFIG!$B$3</f>
        <v/>
      </c>
      <c r="E20" s="678">
        <f>C20-D20</f>
        <v/>
      </c>
      <c r="F20" s="679" t="inlineStr">
        <is>
          <t>Sábado - produção normal</t>
        </is>
      </c>
      <c r="X20" s="552">
        <f>IF(COUNTIF($F20,"*Feriado*")&gt;0,NA(),$C20)</f>
        <v/>
      </c>
      <c r="Y20" s="552">
        <f>IF(COUNTIF($F20,"*Feriado*")&gt;0,NA(),$D20)</f>
        <v/>
      </c>
    </row>
    <row r="21" ht="15" customHeight="1" s="468">
      <c r="A21" s="676" t="n">
        <v>46188</v>
      </c>
      <c r="B21" s="677">
        <f>IF(D21&gt;0,COUNTIF($D$9:D21,"&gt;0"),"")</f>
        <v/>
      </c>
      <c r="C21" s="678">
        <f>'SEMANA JUNHO'!$M$105</f>
        <v/>
      </c>
      <c r="D21" s="678">
        <f>CONFIG!$B$3</f>
        <v/>
      </c>
      <c r="E21" s="678">
        <f>C21-D21</f>
        <v/>
      </c>
      <c r="F21" s="700" t="n"/>
      <c r="X21" s="552">
        <f>IF(COUNTIF($F21,"*Feriado*")&gt;0,NA(),$C21)</f>
        <v/>
      </c>
      <c r="Y21" s="552">
        <f>IF(COUNTIF($F21,"*Feriado*")&gt;0,NA(),$D21)</f>
        <v/>
      </c>
    </row>
    <row r="22" ht="15" customHeight="1" s="468">
      <c r="A22" s="676" t="n">
        <v>46189</v>
      </c>
      <c r="B22" s="677">
        <f>IF(D22&gt;0,COUNTIF($D$9:D22,"&gt;0"),"")</f>
        <v/>
      </c>
      <c r="C22" s="678">
        <f>'SEMANA JUNHO'!$M$113</f>
        <v/>
      </c>
      <c r="D22" s="678">
        <f>CONFIG!$B$3</f>
        <v/>
      </c>
      <c r="E22" s="678">
        <f>C22-D22</f>
        <v/>
      </c>
      <c r="F22" s="700" t="n"/>
      <c r="X22" s="552">
        <f>IF(COUNTIF($F22,"*Feriado*")&gt;0,NA(),$C22)</f>
        <v/>
      </c>
      <c r="Y22" s="552">
        <f>IF(COUNTIF($F22,"*Feriado*")&gt;0,NA(),$D22)</f>
        <v/>
      </c>
    </row>
    <row r="23" ht="15" customHeight="1" s="468">
      <c r="A23" s="676" t="n">
        <v>46190</v>
      </c>
      <c r="B23" s="677">
        <f>IF(D23&gt;0,COUNTIF($D$9:D23,"&gt;0"),"")</f>
        <v/>
      </c>
      <c r="C23" s="678">
        <f>'SEMANA JUNHO'!$M$121</f>
        <v/>
      </c>
      <c r="D23" s="678">
        <f>CONFIG!$B$3</f>
        <v/>
      </c>
      <c r="E23" s="678">
        <f>C23-D23</f>
        <v/>
      </c>
      <c r="F23" s="700" t="n"/>
      <c r="X23" s="552">
        <f>IF(COUNTIF($F23,"*Feriado*")&gt;0,NA(),$C23)</f>
        <v/>
      </c>
      <c r="Y23" s="552">
        <f>IF(COUNTIF($F23,"*Feriado*")&gt;0,NA(),$D23)</f>
        <v/>
      </c>
    </row>
    <row r="24" ht="15" customHeight="1" s="468">
      <c r="A24" s="676" t="n">
        <v>46191</v>
      </c>
      <c r="B24" s="677">
        <f>IF(D24&gt;0,COUNTIF($D$9:D24,"&gt;0"),"")</f>
        <v/>
      </c>
      <c r="C24" s="678">
        <f>'SEMANA JUNHO'!$M$129</f>
        <v/>
      </c>
      <c r="D24" s="678">
        <f>CONFIG!$B$3</f>
        <v/>
      </c>
      <c r="E24" s="678">
        <f>C24-D24</f>
        <v/>
      </c>
      <c r="F24" s="700" t="n"/>
      <c r="X24" s="552">
        <f>IF(COUNTIF($F24,"*Feriado*")&gt;0,NA(),$C24)</f>
        <v/>
      </c>
      <c r="Y24" s="552">
        <f>IF(COUNTIF($F24,"*Feriado*")&gt;0,NA(),$D24)</f>
        <v/>
      </c>
    </row>
    <row r="25" ht="15" customHeight="1" s="468">
      <c r="A25" s="676" t="n">
        <v>46192</v>
      </c>
      <c r="B25" s="677">
        <f>IF(D25&gt;0,COUNTIF($D$9:D25,"&gt;0"),"")</f>
        <v/>
      </c>
      <c r="C25" s="678">
        <f>'SEMANA JUNHO'!$M$137</f>
        <v/>
      </c>
      <c r="D25" s="678">
        <f>CONFIG!$B$3</f>
        <v/>
      </c>
      <c r="E25" s="678">
        <f>C25-D25</f>
        <v/>
      </c>
      <c r="F25" s="700" t="n"/>
      <c r="X25" s="552">
        <f>IF(COUNTIF($F25,"*Feriado*")&gt;0,NA(),$C25)</f>
        <v/>
      </c>
      <c r="Y25" s="552">
        <f>IF(COUNTIF($F25,"*Feriado*")&gt;0,NA(),$D25)</f>
        <v/>
      </c>
    </row>
    <row r="26" ht="15" customHeight="1" s="468">
      <c r="A26" s="676" t="n">
        <v>46193</v>
      </c>
      <c r="B26" s="677">
        <f>IF(D26&gt;0,COUNTIF($D$9:D26,"&gt;0"),"")</f>
        <v/>
      </c>
      <c r="C26" s="678">
        <f>'SEMANA JUNHO'!$M$145</f>
        <v/>
      </c>
      <c r="D26" s="678">
        <f>CONFIG!$B$3</f>
        <v/>
      </c>
      <c r="E26" s="678">
        <f>C26-D26</f>
        <v/>
      </c>
      <c r="F26" s="679" t="inlineStr">
        <is>
          <t>Sábado - produção normal</t>
        </is>
      </c>
      <c r="X26" s="552">
        <f>IF(COUNTIF($F26,"*Feriado*")&gt;0,NA(),$C26)</f>
        <v/>
      </c>
      <c r="Y26" s="552">
        <f>IF(COUNTIF($F26,"*Feriado*")&gt;0,NA(),$D26)</f>
        <v/>
      </c>
    </row>
    <row r="27" ht="15" customHeight="1" s="468">
      <c r="A27" s="676" t="n">
        <v>46195</v>
      </c>
      <c r="B27" s="677">
        <f>IF(D27&gt;0,COUNTIF($D$9:D27,"&gt;0"),"")</f>
        <v/>
      </c>
      <c r="C27" s="678">
        <f>'SEMANA JUNHO'!$M$153</f>
        <v/>
      </c>
      <c r="D27" s="678">
        <f>CONFIG!$B$3</f>
        <v/>
      </c>
      <c r="E27" s="678">
        <f>C27-D27</f>
        <v/>
      </c>
      <c r="F27" s="700" t="n"/>
      <c r="X27" s="552">
        <f>IF(COUNTIF($F27,"*Feriado*")&gt;0,NA(),$C27)</f>
        <v/>
      </c>
      <c r="Y27" s="552">
        <f>IF(COUNTIF($F27,"*Feriado*")&gt;0,NA(),$D27)</f>
        <v/>
      </c>
    </row>
    <row r="28" ht="15" customHeight="1" s="468">
      <c r="A28" s="676" t="n">
        <v>46196</v>
      </c>
      <c r="B28" s="677">
        <f>IF(D28&gt;0,COUNTIF($D$9:D28,"&gt;0"),"")</f>
        <v/>
      </c>
      <c r="C28" s="678">
        <f>'SEMANA JUNHO'!$M$161</f>
        <v/>
      </c>
      <c r="D28" s="678">
        <f>CONFIG!$B$3</f>
        <v/>
      </c>
      <c r="E28" s="678">
        <f>C28-D28</f>
        <v/>
      </c>
      <c r="F28" s="700" t="n"/>
      <c r="X28" s="552">
        <f>IF(COUNTIF($F28,"*Feriado*")&gt;0,NA(),$C28)</f>
        <v/>
      </c>
      <c r="Y28" s="552">
        <f>IF(COUNTIF($F28,"*Feriado*")&gt;0,NA(),$D28)</f>
        <v/>
      </c>
    </row>
    <row r="29" ht="15" customHeight="1" s="468">
      <c r="A29" s="676" t="n">
        <v>46197</v>
      </c>
      <c r="B29" s="677">
        <f>IF(D29&gt;0,COUNTIF($D$9:D29,"&gt;0"),"")</f>
        <v/>
      </c>
      <c r="C29" s="678">
        <f>'SEMANA JUNHO'!$M$169</f>
        <v/>
      </c>
      <c r="D29" s="678">
        <f>CONFIG!$B$3</f>
        <v/>
      </c>
      <c r="E29" s="678">
        <f>C29-D29</f>
        <v/>
      </c>
      <c r="F29" s="700" t="n"/>
      <c r="X29" s="552">
        <f>IF(COUNTIF($F29,"*Feriado*")&gt;0,NA(),$C29)</f>
        <v/>
      </c>
      <c r="Y29" s="552">
        <f>IF(COUNTIF($F29,"*Feriado*")&gt;0,NA(),$D29)</f>
        <v/>
      </c>
    </row>
    <row r="30" ht="15" customHeight="1" s="468">
      <c r="A30" s="676" t="n">
        <v>46198</v>
      </c>
      <c r="B30" s="677">
        <f>IF(D30&gt;0,COUNTIF($D$9:D30,"&gt;0"),"")</f>
        <v/>
      </c>
      <c r="C30" s="678">
        <f>'SEMANA JUNHO'!$M$177</f>
        <v/>
      </c>
      <c r="D30" s="678">
        <f>CONFIG!$B$3</f>
        <v/>
      </c>
      <c r="E30" s="678">
        <f>C30-D30</f>
        <v/>
      </c>
      <c r="F30" s="700" t="n"/>
      <c r="X30" s="552">
        <f>IF(COUNTIF($F30,"*Feriado*")&gt;0,NA(),$C30)</f>
        <v/>
      </c>
      <c r="Y30" s="552">
        <f>IF(COUNTIF($F30,"*Feriado*")&gt;0,NA(),$D30)</f>
        <v/>
      </c>
    </row>
    <row r="31" ht="14.25" customHeight="1" s="468">
      <c r="A31" s="676" t="n">
        <v>46199</v>
      </c>
      <c r="B31" s="677">
        <f>IF(D31&gt;0,COUNTIF($D$9:D31,"&gt;0"),"")</f>
        <v/>
      </c>
      <c r="C31" s="678">
        <f>'SEMANA JUNHO'!$M$185</f>
        <v/>
      </c>
      <c r="D31" s="678">
        <f>CONFIG!$B$3</f>
        <v/>
      </c>
      <c r="E31" s="678">
        <f>C31-D31</f>
        <v/>
      </c>
      <c r="F31" s="700" t="n"/>
    </row>
    <row r="32" ht="14.25" customHeight="1" s="468">
      <c r="A32" s="676" t="n">
        <v>46200</v>
      </c>
      <c r="B32" s="677">
        <f>IF(D32&gt;0,COUNTIF($D$9:D32,"&gt;0"),"")</f>
        <v/>
      </c>
      <c r="C32" s="678">
        <f>'SEMANA JUNHO'!$M$193</f>
        <v/>
      </c>
      <c r="D32" s="678">
        <f>CONFIG!$B$3</f>
        <v/>
      </c>
      <c r="E32" s="678">
        <f>C32-D32</f>
        <v/>
      </c>
      <c r="F32" s="679" t="inlineStr">
        <is>
          <t>Sábado - produção normal</t>
        </is>
      </c>
    </row>
    <row r="33" ht="14.25" customHeight="1" s="468">
      <c r="A33" s="676" t="n">
        <v>46202</v>
      </c>
      <c r="B33" s="677">
        <f>IF(D33&gt;0,COUNTIF($D$9:D33,"&gt;0"),"")</f>
        <v/>
      </c>
      <c r="C33" s="678">
        <f>'SEMANA JUNHO'!$M$201</f>
        <v/>
      </c>
      <c r="D33" s="678">
        <f>CONFIG!$B$3</f>
        <v/>
      </c>
      <c r="E33" s="678">
        <f>C33-D33</f>
        <v/>
      </c>
      <c r="F33" s="700" t="n"/>
    </row>
    <row r="34" ht="14.25" customHeight="1" s="468">
      <c r="A34" s="676" t="n">
        <v>46203</v>
      </c>
      <c r="B34" s="677">
        <f>IF(D34&gt;0,COUNTIF($D$9:D34,"&gt;0"),"")</f>
        <v/>
      </c>
      <c r="C34" s="678">
        <f>'SEMANA JUNHO'!$M$209</f>
        <v/>
      </c>
      <c r="D34" s="678">
        <f>CONFIG!$B$3</f>
        <v/>
      </c>
      <c r="E34" s="678">
        <f>C34-D34</f>
        <v/>
      </c>
      <c r="F34" s="700" t="n"/>
    </row>
    <row r="35" ht="14.25" customHeight="1" s="468">
      <c r="A35" s="692" t="n"/>
      <c r="B35" s="693" t="n"/>
      <c r="C35" s="693" t="n"/>
      <c r="D35" s="693" t="n"/>
      <c r="E35" s="693" t="n"/>
      <c r="F35" s="683" t="n"/>
    </row>
    <row r="36" ht="14.25" customHeight="1" s="468">
      <c r="A36" s="692" t="n"/>
      <c r="B36" s="693" t="n"/>
      <c r="C36" s="693" t="n"/>
      <c r="D36" s="693" t="n"/>
      <c r="E36" s="693" t="n"/>
      <c r="F36" s="683" t="n"/>
    </row>
    <row r="37" ht="14.25" customHeight="1" s="468">
      <c r="A37" s="692" t="n"/>
      <c r="B37" s="693" t="n"/>
      <c r="C37" s="693" t="n"/>
      <c r="D37" s="693" t="n"/>
      <c r="E37" s="693" t="n"/>
      <c r="F37" s="683" t="n"/>
    </row>
    <row r="38" ht="14.25" customHeight="1" s="468">
      <c r="A38" s="692" t="n"/>
      <c r="B38" s="693" t="n"/>
      <c r="C38" s="693" t="n"/>
      <c r="D38" s="693" t="n"/>
      <c r="E38" s="693" t="n"/>
      <c r="F38" s="683" t="n"/>
    </row>
    <row r="39" ht="14.25" customHeight="1" s="468">
      <c r="A39" s="692" t="n"/>
      <c r="B39" s="693" t="n"/>
      <c r="C39" s="693" t="n"/>
      <c r="D39" s="693" t="n"/>
      <c r="E39" s="693" t="n"/>
      <c r="F39" s="683" t="n"/>
    </row>
    <row r="40" ht="14.25" customHeight="1" s="468">
      <c r="A40" s="692" t="n"/>
      <c r="B40" s="693" t="n"/>
      <c r="C40" s="693" t="n"/>
      <c r="D40" s="693" t="n"/>
      <c r="E40" s="693" t="n"/>
      <c r="F40" s="683" t="n"/>
    </row>
    <row r="41" ht="14.25" customHeight="1" s="468">
      <c r="A41" s="692" t="n"/>
      <c r="B41" s="693" t="n"/>
      <c r="C41" s="693" t="n"/>
      <c r="D41" s="693" t="n"/>
      <c r="E41" s="693" t="n"/>
      <c r="F41" s="683" t="n"/>
    </row>
    <row r="42" ht="14.25" customHeight="1" s="468">
      <c r="A42" s="692" t="n"/>
      <c r="B42" s="693" t="n"/>
      <c r="C42" s="693" t="n"/>
      <c r="D42" s="693" t="n"/>
      <c r="E42" s="693" t="n"/>
      <c r="F42" s="683" t="n"/>
    </row>
    <row r="43" ht="14.25" customHeight="1" s="468">
      <c r="A43" s="692" t="n"/>
      <c r="B43" s="693" t="n"/>
      <c r="C43" s="693" t="n"/>
      <c r="D43" s="693" t="n"/>
      <c r="E43" s="693" t="n"/>
      <c r="F43" s="683" t="n"/>
    </row>
    <row r="44" ht="14.25" customHeight="1" s="468">
      <c r="A44" s="692" t="n"/>
      <c r="B44" s="693" t="n"/>
      <c r="C44" s="693" t="n"/>
      <c r="D44" s="693" t="n"/>
      <c r="E44" s="693" t="n"/>
      <c r="F44" s="683" t="n"/>
    </row>
    <row r="45" ht="14.25" customHeight="1" s="468">
      <c r="A45" s="692" t="n"/>
      <c r="B45" s="693" t="n"/>
      <c r="C45" s="693" t="n"/>
      <c r="D45" s="693" t="n"/>
      <c r="E45" s="693" t="n"/>
      <c r="F45" s="683" t="n"/>
    </row>
    <row r="46" ht="14.25" customHeight="1" s="468">
      <c r="A46" s="692" t="n"/>
      <c r="B46" s="693" t="n"/>
      <c r="C46" s="693" t="n"/>
      <c r="D46" s="693" t="n"/>
      <c r="E46" s="693" t="n"/>
      <c r="F46" s="683" t="n"/>
    </row>
    <row r="47" ht="14.25" customHeight="1" s="468">
      <c r="A47" s="692" t="n"/>
      <c r="B47" s="693" t="n"/>
      <c r="C47" s="693" t="n"/>
      <c r="D47" s="693" t="n"/>
      <c r="E47" s="693" t="n"/>
      <c r="F47" s="683" t="n"/>
    </row>
    <row r="48" ht="14.25" customHeight="1" s="468">
      <c r="A48" s="692" t="n"/>
      <c r="B48" s="693" t="n"/>
      <c r="C48" s="693" t="n"/>
      <c r="D48" s="693" t="n"/>
      <c r="E48" s="693" t="n"/>
      <c r="F48" s="683" t="n"/>
    </row>
    <row r="49" ht="14.25" customHeight="1" s="468">
      <c r="A49" s="692" t="n"/>
      <c r="B49" s="693" t="n"/>
      <c r="C49" s="693" t="n"/>
      <c r="D49" s="693" t="n"/>
      <c r="E49" s="693" t="n"/>
      <c r="F49" s="683" t="n"/>
    </row>
    <row r="50" ht="14.25" customHeight="1" s="468">
      <c r="A50" s="692" t="n"/>
      <c r="B50" s="693" t="n"/>
      <c r="C50" s="693" t="n"/>
      <c r="D50" s="693" t="n"/>
      <c r="E50" s="693" t="n"/>
      <c r="F50" s="683" t="n"/>
    </row>
    <row r="51" ht="14.25" customHeight="1" s="468">
      <c r="A51" s="692" t="n"/>
      <c r="B51" s="693" t="n"/>
      <c r="C51" s="693" t="n"/>
      <c r="D51" s="693" t="n"/>
      <c r="E51" s="693" t="n"/>
      <c r="F51" s="683" t="n"/>
    </row>
    <row r="52" ht="14.25" customHeight="1" s="468">
      <c r="A52" s="692" t="n"/>
      <c r="B52" s="693" t="n"/>
      <c r="C52" s="693" t="n"/>
      <c r="D52" s="693" t="n"/>
      <c r="E52" s="693" t="n"/>
      <c r="F52" s="683" t="n"/>
    </row>
    <row r="53" ht="14.25" customHeight="1" s="468">
      <c r="A53" s="692" t="n"/>
      <c r="B53" s="693" t="n"/>
      <c r="C53" s="693" t="n"/>
      <c r="D53" s="693" t="n"/>
      <c r="E53" s="693" t="n"/>
      <c r="F53" s="683" t="n"/>
    </row>
    <row r="54" ht="14.25" customHeight="1" s="468">
      <c r="A54" s="692" t="n"/>
      <c r="B54" s="693" t="n"/>
      <c r="C54" s="693" t="n"/>
      <c r="D54" s="693" t="n"/>
      <c r="E54" s="693" t="n"/>
      <c r="F54" s="683" t="n"/>
    </row>
    <row r="55" ht="14.25" customHeight="1" s="468">
      <c r="A55" s="692" t="n"/>
      <c r="B55" s="693" t="n"/>
      <c r="C55" s="693" t="n"/>
      <c r="D55" s="693" t="n"/>
      <c r="E55" s="693" t="n"/>
      <c r="F55" s="683" t="n"/>
    </row>
    <row r="56" ht="14.25" customHeight="1" s="468">
      <c r="A56" s="692" t="n"/>
      <c r="B56" s="693" t="n"/>
      <c r="C56" s="693" t="n"/>
      <c r="D56" s="693" t="n"/>
      <c r="E56" s="693" t="n"/>
      <c r="F56" s="683" t="n"/>
    </row>
    <row r="57" ht="14.25" customHeight="1" s="468">
      <c r="A57" s="692" t="n"/>
      <c r="B57" s="693" t="n"/>
      <c r="C57" s="693" t="n"/>
      <c r="D57" s="693" t="n"/>
      <c r="E57" s="693" t="n"/>
      <c r="F57" s="683" t="n"/>
    </row>
    <row r="58" ht="14.25" customHeight="1" s="468">
      <c r="A58" s="692" t="n"/>
      <c r="B58" s="693" t="n"/>
      <c r="C58" s="693" t="n"/>
      <c r="D58" s="693" t="n"/>
      <c r="E58" s="693" t="n"/>
      <c r="F58" s="683" t="n"/>
    </row>
    <row r="59" ht="14.25" customHeight="1" s="468">
      <c r="A59" s="692" t="n"/>
      <c r="B59" s="693" t="n"/>
      <c r="C59" s="693" t="n"/>
      <c r="D59" s="693" t="n"/>
      <c r="E59" s="693" t="n"/>
      <c r="F59" s="683" t="n"/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FFC96B0A"/>
    <outlinePr summaryBelow="1" summaryRight="1"/>
    <pageSetUpPr/>
  </sheetPr>
  <dimension ref="B1:N300"/>
  <sheetViews>
    <sheetView showGridLines="0" zoomScaleNormal="100" workbookViewId="0">
      <selection activeCell="A1" sqref="A1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5" min="14" max="14"/>
  </cols>
  <sheetData>
    <row r="1" ht="21.75" customHeight="1" s="468">
      <c r="B1" s="511" t="inlineStr">
        <is>
          <t>ORDEM DE PRODUÇÃO - JULHO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179" t="inlineStr">
        <is>
          <t>OP</t>
        </is>
      </c>
      <c r="C3" s="519" t="inlineStr">
        <is>
          <t xml:space="preserve">LOTE </t>
        </is>
      </c>
      <c r="D3" s="454" t="n"/>
      <c r="E3" s="519" t="inlineStr">
        <is>
          <t>LOTE CLIENTE</t>
        </is>
      </c>
      <c r="F3" s="454" t="n"/>
      <c r="G3" s="519" t="inlineStr">
        <is>
          <t>PRODUTO</t>
        </is>
      </c>
      <c r="H3" s="456" t="n"/>
      <c r="I3" s="456" t="n"/>
      <c r="J3" s="454" t="n"/>
      <c r="K3" s="519" t="inlineStr">
        <is>
          <t>CLIENTE</t>
        </is>
      </c>
      <c r="L3" s="454" t="n"/>
      <c r="M3" s="180" t="inlineStr">
        <is>
          <t>QTDE(Kg)</t>
        </is>
      </c>
      <c r="N3" s="417" t="inlineStr">
        <is>
          <t>FABRICAÇÃO</t>
        </is>
      </c>
    </row>
    <row r="4" ht="17.25" customHeight="1" s="468">
      <c r="B4" s="280" t="n"/>
      <c r="C4" s="556" t="n"/>
      <c r="D4" s="494" t="n"/>
      <c r="E4" s="556" t="n"/>
      <c r="F4" s="494" t="n"/>
      <c r="G4" s="556" t="n"/>
      <c r="H4" s="557" t="n"/>
      <c r="I4" s="557" t="n"/>
      <c r="J4" s="494" t="n"/>
      <c r="K4" s="556" t="n"/>
      <c r="L4" s="494" t="n"/>
      <c r="M4" s="281" t="n"/>
      <c r="N4" s="417" t="n"/>
    </row>
    <row r="5" ht="17.25" customHeight="1" s="468">
      <c r="B5" s="20" t="n"/>
      <c r="C5" s="490" t="n"/>
      <c r="D5" s="486" t="n"/>
      <c r="E5" s="490" t="n"/>
      <c r="F5" s="486" t="n"/>
      <c r="G5" s="490" t="n"/>
      <c r="H5" s="488" t="n"/>
      <c r="I5" s="488" t="n"/>
      <c r="J5" s="486" t="n"/>
      <c r="K5" s="490" t="n"/>
      <c r="L5" s="486" t="n"/>
      <c r="M5" s="21" t="n"/>
      <c r="N5" s="417" t="n"/>
    </row>
    <row r="6" ht="17.25" customHeight="1" s="468">
      <c r="B6" s="18" t="n"/>
      <c r="C6" s="485" t="n"/>
      <c r="D6" s="486" t="n"/>
      <c r="E6" s="485" t="n"/>
      <c r="F6" s="486" t="n"/>
      <c r="G6" s="485" t="n"/>
      <c r="H6" s="488" t="n"/>
      <c r="I6" s="488" t="n"/>
      <c r="J6" s="486" t="n"/>
      <c r="K6" s="485" t="n"/>
      <c r="L6" s="486" t="n"/>
      <c r="M6" s="22" t="n"/>
      <c r="N6" s="417" t="n"/>
    </row>
    <row r="7" ht="17.25" customHeight="1" s="468">
      <c r="B7" s="20" t="n"/>
      <c r="C7" s="490" t="n"/>
      <c r="D7" s="486" t="n"/>
      <c r="E7" s="490" t="n"/>
      <c r="F7" s="486" t="n"/>
      <c r="G7" s="490" t="n"/>
      <c r="H7" s="488" t="n"/>
      <c r="I7" s="488" t="n"/>
      <c r="J7" s="486" t="n"/>
      <c r="K7" s="490" t="n"/>
      <c r="L7" s="486" t="n"/>
      <c r="M7" s="23" t="n"/>
      <c r="N7" s="417" t="n"/>
    </row>
    <row r="8" ht="17.25" customHeight="1" s="468">
      <c r="B8" s="18" t="n"/>
      <c r="C8" s="485" t="n"/>
      <c r="D8" s="486" t="n"/>
      <c r="E8" s="485" t="n"/>
      <c r="F8" s="486" t="n"/>
      <c r="G8" s="485" t="n"/>
      <c r="H8" s="488" t="n"/>
      <c r="I8" s="488" t="n"/>
      <c r="J8" s="486" t="n"/>
      <c r="K8" s="485" t="n"/>
      <c r="L8" s="486" t="n"/>
      <c r="M8" s="22" t="n"/>
      <c r="N8" s="417" t="n"/>
    </row>
    <row r="9" ht="17.25" customHeight="1" s="468">
      <c r="B9" s="20" t="n"/>
      <c r="C9" s="490" t="n"/>
      <c r="D9" s="486" t="n"/>
      <c r="E9" s="490" t="n"/>
      <c r="F9" s="486" t="n"/>
      <c r="G9" s="490" t="n"/>
      <c r="H9" s="488" t="n"/>
      <c r="I9" s="488" t="n"/>
      <c r="J9" s="486" t="n"/>
      <c r="K9" s="490" t="n"/>
      <c r="L9" s="486" t="n"/>
      <c r="M9" s="21" t="n"/>
      <c r="N9" s="417" t="n"/>
    </row>
    <row r="10" ht="17.25" customHeight="1" s="468">
      <c r="B10" s="18" t="n"/>
      <c r="C10" s="485" t="n"/>
      <c r="D10" s="486" t="n"/>
      <c r="E10" s="485" t="n"/>
      <c r="F10" s="486" t="n"/>
      <c r="G10" s="485" t="n"/>
      <c r="H10" s="488" t="n"/>
      <c r="I10" s="488" t="n"/>
      <c r="J10" s="486" t="n"/>
      <c r="K10" s="485" t="n"/>
      <c r="L10" s="486" t="n"/>
      <c r="M10" s="19" t="n"/>
      <c r="N10" s="417" t="n"/>
    </row>
    <row r="11" ht="17.25" customHeight="1" s="468">
      <c r="B11" s="20" t="n"/>
      <c r="C11" s="490" t="n"/>
      <c r="D11" s="486" t="n"/>
      <c r="E11" s="490" t="n"/>
      <c r="F11" s="486" t="n"/>
      <c r="G11" s="490" t="n"/>
      <c r="H11" s="488" t="n"/>
      <c r="I11" s="488" t="n"/>
      <c r="J11" s="486" t="n"/>
      <c r="K11" s="490" t="n"/>
      <c r="L11" s="486" t="n"/>
      <c r="M11" s="21" t="n"/>
      <c r="N11" s="417" t="n"/>
    </row>
    <row r="12" ht="17.25" customHeight="1" s="468">
      <c r="B12" s="18" t="n"/>
      <c r="C12" s="485" t="n"/>
      <c r="D12" s="486" t="n"/>
      <c r="E12" s="485" t="n"/>
      <c r="F12" s="486" t="n"/>
      <c r="G12" s="485" t="n"/>
      <c r="H12" s="488" t="n"/>
      <c r="I12" s="488" t="n"/>
      <c r="J12" s="486" t="n"/>
      <c r="K12" s="485" t="n"/>
      <c r="L12" s="486" t="n"/>
      <c r="M12" s="19" t="n"/>
      <c r="N12" s="417" t="n"/>
    </row>
    <row r="13" ht="17.25" customHeight="1" s="468">
      <c r="B13" s="20" t="n"/>
      <c r="C13" s="490" t="n"/>
      <c r="D13" s="486" t="n"/>
      <c r="E13" s="490" t="n"/>
      <c r="F13" s="486" t="n"/>
      <c r="G13" s="490" t="n"/>
      <c r="H13" s="488" t="n"/>
      <c r="I13" s="488" t="n"/>
      <c r="J13" s="486" t="n"/>
      <c r="K13" s="490" t="n"/>
      <c r="L13" s="486" t="n"/>
      <c r="M13" s="21" t="n"/>
      <c r="N13" s="417" t="n"/>
    </row>
    <row r="14" ht="17.25" customHeight="1" s="468">
      <c r="B14" s="18" t="n"/>
      <c r="C14" s="485" t="n"/>
      <c r="D14" s="486" t="n"/>
      <c r="E14" s="485" t="n"/>
      <c r="F14" s="486" t="n"/>
      <c r="G14" s="485" t="n"/>
      <c r="H14" s="488" t="n"/>
      <c r="I14" s="488" t="n"/>
      <c r="J14" s="486" t="n"/>
      <c r="K14" s="485" t="n"/>
      <c r="L14" s="486" t="n"/>
      <c r="M14" s="19" t="n"/>
      <c r="N14" s="417" t="n"/>
    </row>
    <row r="15" ht="17.25" customHeight="1" s="468">
      <c r="B15" s="20" t="n"/>
      <c r="C15" s="490" t="n"/>
      <c r="D15" s="486" t="n"/>
      <c r="E15" s="490" t="n"/>
      <c r="F15" s="486" t="n"/>
      <c r="G15" s="490" t="n"/>
      <c r="H15" s="488" t="n"/>
      <c r="I15" s="488" t="n"/>
      <c r="J15" s="486" t="n"/>
      <c r="K15" s="490" t="n"/>
      <c r="L15" s="486" t="n"/>
      <c r="M15" s="21" t="n"/>
      <c r="N15" s="417" t="n"/>
    </row>
    <row r="16" ht="17.25" customHeight="1" s="468">
      <c r="B16" s="18" t="n"/>
      <c r="C16" s="485" t="n"/>
      <c r="D16" s="486" t="n"/>
      <c r="E16" s="485" t="n"/>
      <c r="F16" s="486" t="n"/>
      <c r="G16" s="485" t="n"/>
      <c r="H16" s="488" t="n"/>
      <c r="I16" s="488" t="n"/>
      <c r="J16" s="486" t="n"/>
      <c r="K16" s="485" t="n"/>
      <c r="L16" s="486" t="n"/>
      <c r="M16" s="19" t="n"/>
      <c r="N16" s="417" t="n"/>
    </row>
    <row r="17" ht="17.25" customHeight="1" s="468">
      <c r="B17" s="20" t="n"/>
      <c r="C17" s="490" t="n"/>
      <c r="D17" s="486" t="n"/>
      <c r="E17" s="490" t="n"/>
      <c r="F17" s="486" t="n"/>
      <c r="G17" s="490" t="n"/>
      <c r="H17" s="488" t="n"/>
      <c r="I17" s="488" t="n"/>
      <c r="J17" s="486" t="n"/>
      <c r="K17" s="490" t="n"/>
      <c r="L17" s="486" t="n"/>
      <c r="M17" s="23" t="n"/>
      <c r="N17" s="417" t="n"/>
    </row>
    <row r="18" ht="17.25" customHeight="1" s="468">
      <c r="B18" s="18" t="n"/>
      <c r="C18" s="485" t="n"/>
      <c r="D18" s="486" t="n"/>
      <c r="E18" s="485" t="n"/>
      <c r="F18" s="486" t="n"/>
      <c r="G18" s="485" t="n"/>
      <c r="H18" s="488" t="n"/>
      <c r="I18" s="488" t="n"/>
      <c r="J18" s="486" t="n"/>
      <c r="K18" s="485" t="n"/>
      <c r="L18" s="486" t="n"/>
      <c r="M18" s="19" t="n"/>
      <c r="N18" s="417" t="n"/>
    </row>
    <row r="19" ht="17.25" customHeight="1" s="468">
      <c r="B19" s="20" t="n"/>
      <c r="C19" s="490" t="n"/>
      <c r="D19" s="486" t="n"/>
      <c r="E19" s="490" t="n"/>
      <c r="F19" s="486" t="n"/>
      <c r="G19" s="490" t="n"/>
      <c r="H19" s="488" t="n"/>
      <c r="I19" s="488" t="n"/>
      <c r="J19" s="486" t="n"/>
      <c r="K19" s="490" t="n"/>
      <c r="L19" s="486" t="n"/>
      <c r="M19" s="21" t="n"/>
      <c r="N19" s="417" t="n"/>
    </row>
    <row r="20" ht="17.25" customHeight="1" s="468">
      <c r="B20" s="18" t="n"/>
      <c r="C20" s="485" t="n"/>
      <c r="D20" s="486" t="n"/>
      <c r="E20" s="485" t="n"/>
      <c r="F20" s="486" t="n"/>
      <c r="G20" s="485" t="n"/>
      <c r="H20" s="488" t="n"/>
      <c r="I20" s="488" t="n"/>
      <c r="J20" s="486" t="n"/>
      <c r="K20" s="485" t="n"/>
      <c r="L20" s="486" t="n"/>
      <c r="M20" s="19" t="n"/>
      <c r="N20" s="417" t="n"/>
    </row>
    <row r="21" ht="17.25" customHeight="1" s="468">
      <c r="B21" s="20" t="n"/>
      <c r="C21" s="490" t="n"/>
      <c r="D21" s="486" t="n"/>
      <c r="E21" s="490" t="n"/>
      <c r="F21" s="486" t="n"/>
      <c r="G21" s="490" t="n"/>
      <c r="H21" s="488" t="n"/>
      <c r="I21" s="488" t="n"/>
      <c r="J21" s="486" t="n"/>
      <c r="K21" s="490" t="n"/>
      <c r="L21" s="486" t="n"/>
      <c r="M21" s="21" t="n"/>
      <c r="N21" s="417" t="n"/>
    </row>
    <row r="22" ht="17.25" customHeight="1" s="468">
      <c r="B22" s="18" t="n"/>
      <c r="C22" s="485" t="n"/>
      <c r="D22" s="486" t="n"/>
      <c r="E22" s="485" t="n"/>
      <c r="F22" s="486" t="n"/>
      <c r="G22" s="485" t="n"/>
      <c r="H22" s="488" t="n"/>
      <c r="I22" s="488" t="n"/>
      <c r="J22" s="486" t="n"/>
      <c r="K22" s="485" t="n"/>
      <c r="L22" s="486" t="n"/>
      <c r="M22" s="19" t="n"/>
      <c r="N22" s="417" t="n"/>
    </row>
    <row r="23" ht="17.25" customHeight="1" s="468">
      <c r="B23" s="20" t="n"/>
      <c r="C23" s="490" t="n"/>
      <c r="D23" s="486" t="n"/>
      <c r="E23" s="490" t="n"/>
      <c r="F23" s="486" t="n"/>
      <c r="G23" s="490" t="n"/>
      <c r="H23" s="488" t="n"/>
      <c r="I23" s="488" t="n"/>
      <c r="J23" s="486" t="n"/>
      <c r="K23" s="490" t="n"/>
      <c r="L23" s="486" t="n"/>
      <c r="M23" s="21" t="n"/>
      <c r="N23" s="417" t="n"/>
    </row>
    <row r="24" ht="17.25" customHeight="1" s="468">
      <c r="B24" s="18" t="n"/>
      <c r="C24" s="485" t="n"/>
      <c r="D24" s="486" t="n"/>
      <c r="E24" s="485" t="n"/>
      <c r="F24" s="486" t="n"/>
      <c r="G24" s="485" t="n"/>
      <c r="H24" s="488" t="n"/>
      <c r="I24" s="488" t="n"/>
      <c r="J24" s="486" t="n"/>
      <c r="K24" s="485" t="n"/>
      <c r="L24" s="486" t="n"/>
      <c r="M24" s="19" t="n"/>
      <c r="N24" s="417" t="n"/>
    </row>
    <row r="25" ht="17.25" customHeight="1" s="468">
      <c r="B25" s="20" t="n"/>
      <c r="C25" s="490" t="n"/>
      <c r="D25" s="486" t="n"/>
      <c r="E25" s="490" t="n"/>
      <c r="F25" s="486" t="n"/>
      <c r="G25" s="490" t="n"/>
      <c r="H25" s="488" t="n"/>
      <c r="I25" s="488" t="n"/>
      <c r="J25" s="486" t="n"/>
      <c r="K25" s="490" t="n"/>
      <c r="L25" s="486" t="n"/>
      <c r="M25" s="23" t="n"/>
      <c r="N25" s="417" t="n"/>
    </row>
    <row r="26" ht="17.25" customHeight="1" s="468">
      <c r="B26" s="18" t="n"/>
      <c r="C26" s="485" t="n"/>
      <c r="D26" s="486" t="n"/>
      <c r="E26" s="485" t="n"/>
      <c r="F26" s="486" t="n"/>
      <c r="G26" s="485" t="n"/>
      <c r="H26" s="488" t="n"/>
      <c r="I26" s="488" t="n"/>
      <c r="J26" s="486" t="n"/>
      <c r="K26" s="485" t="n"/>
      <c r="L26" s="486" t="n"/>
      <c r="M26" s="19" t="n"/>
      <c r="N26" s="417" t="n"/>
    </row>
    <row r="27" ht="17.25" customHeight="1" s="468">
      <c r="B27" s="20" t="n"/>
      <c r="C27" s="490" t="n"/>
      <c r="D27" s="486" t="n"/>
      <c r="E27" s="490" t="n"/>
      <c r="F27" s="486" t="n"/>
      <c r="G27" s="490" t="n"/>
      <c r="H27" s="488" t="n"/>
      <c r="I27" s="488" t="n"/>
      <c r="J27" s="486" t="n"/>
      <c r="K27" s="490" t="n"/>
      <c r="L27" s="486" t="n"/>
      <c r="M27" s="21" t="n"/>
      <c r="N27" s="417" t="n"/>
    </row>
    <row r="28" ht="17.25" customHeight="1" s="468">
      <c r="B28" s="18" t="n"/>
      <c r="C28" s="485" t="n"/>
      <c r="D28" s="486" t="n"/>
      <c r="E28" s="485" t="n"/>
      <c r="F28" s="486" t="n"/>
      <c r="G28" s="485" t="n"/>
      <c r="H28" s="488" t="n"/>
      <c r="I28" s="488" t="n"/>
      <c r="J28" s="486" t="n"/>
      <c r="K28" s="485" t="n"/>
      <c r="L28" s="486" t="n"/>
      <c r="M28" s="19" t="n"/>
      <c r="N28" s="417" t="n"/>
    </row>
    <row r="29" ht="17.25" customHeight="1" s="468">
      <c r="B29" s="20" t="n"/>
      <c r="C29" s="490" t="n"/>
      <c r="D29" s="486" t="n"/>
      <c r="E29" s="490" t="n"/>
      <c r="F29" s="486" t="n"/>
      <c r="G29" s="490" t="n"/>
      <c r="H29" s="488" t="n"/>
      <c r="I29" s="488" t="n"/>
      <c r="J29" s="486" t="n"/>
      <c r="K29" s="490" t="n"/>
      <c r="L29" s="486" t="n"/>
      <c r="M29" s="21" t="n"/>
      <c r="N29" s="417" t="n"/>
    </row>
    <row r="30" ht="17.25" customHeight="1" s="468">
      <c r="B30" s="18" t="n"/>
      <c r="C30" s="485" t="n"/>
      <c r="D30" s="486" t="n"/>
      <c r="E30" s="485" t="n"/>
      <c r="F30" s="486" t="n"/>
      <c r="G30" s="485" t="n"/>
      <c r="H30" s="488" t="n"/>
      <c r="I30" s="488" t="n"/>
      <c r="J30" s="486" t="n"/>
      <c r="K30" s="485" t="n"/>
      <c r="L30" s="486" t="n"/>
      <c r="M30" s="19" t="n"/>
      <c r="N30" s="417" t="n"/>
    </row>
    <row r="31" ht="17.25" customHeight="1" s="468">
      <c r="B31" s="20" t="n"/>
      <c r="C31" s="490" t="n"/>
      <c r="D31" s="486" t="n"/>
      <c r="E31" s="490" t="n"/>
      <c r="F31" s="486" t="n"/>
      <c r="G31" s="490" t="n"/>
      <c r="H31" s="488" t="n"/>
      <c r="I31" s="488" t="n"/>
      <c r="J31" s="486" t="n"/>
      <c r="K31" s="490" t="n"/>
      <c r="L31" s="486" t="n"/>
      <c r="M31" s="21" t="n"/>
      <c r="N31" s="417" t="n"/>
    </row>
    <row r="32" ht="17.25" customHeight="1" s="468">
      <c r="B32" s="18" t="n"/>
      <c r="C32" s="485" t="n"/>
      <c r="D32" s="486" t="n"/>
      <c r="E32" s="485" t="n"/>
      <c r="F32" s="486" t="n"/>
      <c r="G32" s="485" t="n"/>
      <c r="H32" s="488" t="n"/>
      <c r="I32" s="488" t="n"/>
      <c r="J32" s="486" t="n"/>
      <c r="K32" s="485" t="n"/>
      <c r="L32" s="486" t="n"/>
      <c r="M32" s="19" t="n"/>
      <c r="N32" s="417" t="n"/>
    </row>
    <row r="33" ht="17.25" customHeight="1" s="468">
      <c r="B33" s="20" t="n"/>
      <c r="C33" s="490" t="n"/>
      <c r="D33" s="486" t="n"/>
      <c r="E33" s="490" t="n"/>
      <c r="F33" s="486" t="n"/>
      <c r="G33" s="490" t="n"/>
      <c r="H33" s="488" t="n"/>
      <c r="I33" s="488" t="n"/>
      <c r="J33" s="486" t="n"/>
      <c r="K33" s="490" t="n"/>
      <c r="L33" s="486" t="n"/>
      <c r="M33" s="21" t="n"/>
      <c r="N33" s="417" t="n"/>
    </row>
    <row r="34" ht="17.25" customHeight="1" s="468">
      <c r="B34" s="18" t="n"/>
      <c r="C34" s="485" t="n"/>
      <c r="D34" s="486" t="n"/>
      <c r="E34" s="485" t="n"/>
      <c r="F34" s="486" t="n"/>
      <c r="G34" s="485" t="n"/>
      <c r="H34" s="488" t="n"/>
      <c r="I34" s="488" t="n"/>
      <c r="J34" s="486" t="n"/>
      <c r="K34" s="485" t="n"/>
      <c r="L34" s="486" t="n"/>
      <c r="M34" s="22" t="n"/>
      <c r="N34" s="417" t="n"/>
    </row>
    <row r="35" ht="17.25" customHeight="1" s="468">
      <c r="B35" s="20" t="n"/>
      <c r="C35" s="490" t="n"/>
      <c r="D35" s="486" t="n"/>
      <c r="E35" s="490" t="n"/>
      <c r="F35" s="486" t="n"/>
      <c r="G35" s="490" t="n"/>
      <c r="H35" s="488" t="n"/>
      <c r="I35" s="488" t="n"/>
      <c r="J35" s="486" t="n"/>
      <c r="K35" s="490" t="n"/>
      <c r="L35" s="486" t="n"/>
      <c r="M35" s="21" t="n"/>
      <c r="N35" s="417" t="n"/>
    </row>
    <row r="36" ht="17.25" customHeight="1" s="468">
      <c r="B36" s="18" t="n"/>
      <c r="C36" s="485" t="n"/>
      <c r="D36" s="486" t="n"/>
      <c r="E36" s="485" t="n"/>
      <c r="F36" s="486" t="n"/>
      <c r="G36" s="485" t="n"/>
      <c r="H36" s="488" t="n"/>
      <c r="I36" s="488" t="n"/>
      <c r="J36" s="486" t="n"/>
      <c r="K36" s="485" t="n"/>
      <c r="L36" s="486" t="n"/>
      <c r="M36" s="19" t="n"/>
      <c r="N36" s="417" t="n"/>
    </row>
    <row r="37" ht="17.25" customHeight="1" s="468">
      <c r="B37" s="20" t="n"/>
      <c r="C37" s="490" t="n"/>
      <c r="D37" s="486" t="n"/>
      <c r="E37" s="490" t="n"/>
      <c r="F37" s="486" t="n"/>
      <c r="G37" s="490" t="n"/>
      <c r="H37" s="488" t="n"/>
      <c r="I37" s="488" t="n"/>
      <c r="J37" s="486" t="n"/>
      <c r="K37" s="490" t="n"/>
      <c r="L37" s="486" t="n"/>
      <c r="M37" s="21" t="n"/>
      <c r="N37" s="417" t="n"/>
    </row>
    <row r="38" ht="17.25" customHeight="1" s="468">
      <c r="B38" s="18" t="n"/>
      <c r="C38" s="485" t="n"/>
      <c r="D38" s="486" t="n"/>
      <c r="E38" s="485" t="n"/>
      <c r="F38" s="486" t="n"/>
      <c r="G38" s="485" t="n"/>
      <c r="H38" s="488" t="n"/>
      <c r="I38" s="488" t="n"/>
      <c r="J38" s="486" t="n"/>
      <c r="K38" s="485" t="n"/>
      <c r="L38" s="486" t="n"/>
      <c r="M38" s="19" t="n"/>
      <c r="N38" s="417" t="n"/>
    </row>
    <row r="39" ht="17.25" customHeight="1" s="468">
      <c r="B39" s="20" t="n"/>
      <c r="C39" s="490" t="n"/>
      <c r="D39" s="486" t="n"/>
      <c r="E39" s="490" t="n"/>
      <c r="F39" s="486" t="n"/>
      <c r="G39" s="490" t="n"/>
      <c r="H39" s="488" t="n"/>
      <c r="I39" s="488" t="n"/>
      <c r="J39" s="486" t="n"/>
      <c r="K39" s="490" t="n"/>
      <c r="L39" s="486" t="n"/>
      <c r="M39" s="21" t="n"/>
      <c r="N39" s="417" t="n"/>
    </row>
    <row r="40" ht="17.25" customHeight="1" s="468">
      <c r="B40" s="18" t="n"/>
      <c r="C40" s="485" t="n"/>
      <c r="D40" s="486" t="n"/>
      <c r="E40" s="485" t="n"/>
      <c r="F40" s="486" t="n"/>
      <c r="G40" s="485" t="n"/>
      <c r="H40" s="488" t="n"/>
      <c r="I40" s="488" t="n"/>
      <c r="J40" s="486" t="n"/>
      <c r="K40" s="485" t="n"/>
      <c r="L40" s="486" t="n"/>
      <c r="M40" s="19" t="n"/>
      <c r="N40" s="417" t="n"/>
    </row>
    <row r="41" ht="17.25" customHeight="1" s="468">
      <c r="B41" s="20" t="n"/>
      <c r="C41" s="490" t="n"/>
      <c r="D41" s="486" t="n"/>
      <c r="E41" s="490" t="n"/>
      <c r="F41" s="486" t="n"/>
      <c r="G41" s="490" t="n"/>
      <c r="H41" s="488" t="n"/>
      <c r="I41" s="488" t="n"/>
      <c r="J41" s="486" t="n"/>
      <c r="K41" s="490" t="n"/>
      <c r="L41" s="486" t="n"/>
      <c r="M41" s="21" t="n"/>
      <c r="N41" s="417" t="n"/>
    </row>
    <row r="42" ht="17.25" customHeight="1" s="468">
      <c r="B42" s="18" t="n"/>
      <c r="C42" s="485" t="n"/>
      <c r="D42" s="486" t="n"/>
      <c r="E42" s="485" t="n"/>
      <c r="F42" s="486" t="n"/>
      <c r="G42" s="485" t="n"/>
      <c r="H42" s="488" t="n"/>
      <c r="I42" s="488" t="n"/>
      <c r="J42" s="486" t="n"/>
      <c r="K42" s="485" t="n"/>
      <c r="L42" s="486" t="n"/>
      <c r="M42" s="22" t="n"/>
      <c r="N42" s="417" t="n"/>
    </row>
    <row r="43" ht="17.25" customHeight="1" s="468">
      <c r="B43" s="20" t="n"/>
      <c r="C43" s="490" t="n"/>
      <c r="D43" s="486" t="n"/>
      <c r="E43" s="490" t="n"/>
      <c r="F43" s="486" t="n"/>
      <c r="G43" s="490" t="n"/>
      <c r="H43" s="488" t="n"/>
      <c r="I43" s="488" t="n"/>
      <c r="J43" s="486" t="n"/>
      <c r="K43" s="490" t="n"/>
      <c r="L43" s="486" t="n"/>
      <c r="M43" s="21" t="n"/>
      <c r="N43" s="417" t="n"/>
    </row>
    <row r="44" ht="17.25" customHeight="1" s="468">
      <c r="B44" s="18" t="n"/>
      <c r="C44" s="485" t="n"/>
      <c r="D44" s="486" t="n"/>
      <c r="E44" s="485" t="n"/>
      <c r="F44" s="486" t="n"/>
      <c r="G44" s="485" t="n"/>
      <c r="H44" s="488" t="n"/>
      <c r="I44" s="488" t="n"/>
      <c r="J44" s="486" t="n"/>
      <c r="K44" s="485" t="n"/>
      <c r="L44" s="486" t="n"/>
      <c r="M44" s="19" t="n"/>
      <c r="N44" s="417" t="n"/>
    </row>
    <row r="45" ht="17.25" customHeight="1" s="468">
      <c r="B45" s="20" t="n"/>
      <c r="C45" s="490" t="n"/>
      <c r="D45" s="486" t="n"/>
      <c r="E45" s="490" t="n"/>
      <c r="F45" s="486" t="n"/>
      <c r="G45" s="490" t="n"/>
      <c r="H45" s="488" t="n"/>
      <c r="I45" s="488" t="n"/>
      <c r="J45" s="486" t="n"/>
      <c r="K45" s="490" t="n"/>
      <c r="L45" s="486" t="n"/>
      <c r="M45" s="21" t="n"/>
      <c r="N45" s="417" t="n"/>
    </row>
    <row r="46" ht="17.25" customHeight="1" s="468">
      <c r="B46" s="18" t="n"/>
      <c r="C46" s="485" t="n"/>
      <c r="D46" s="486" t="n"/>
      <c r="E46" s="485" t="n"/>
      <c r="F46" s="486" t="n"/>
      <c r="G46" s="485" t="n"/>
      <c r="H46" s="488" t="n"/>
      <c r="I46" s="488" t="n"/>
      <c r="J46" s="486" t="n"/>
      <c r="K46" s="485" t="n"/>
      <c r="L46" s="486" t="n"/>
      <c r="M46" s="19" t="n"/>
      <c r="N46" s="417" t="n"/>
    </row>
    <row r="47" ht="17.25" customHeight="1" s="468">
      <c r="B47" s="20" t="n"/>
      <c r="C47" s="490" t="n"/>
      <c r="D47" s="486" t="n"/>
      <c r="E47" s="490" t="n"/>
      <c r="F47" s="486" t="n"/>
      <c r="G47" s="490" t="n"/>
      <c r="H47" s="488" t="n"/>
      <c r="I47" s="488" t="n"/>
      <c r="J47" s="486" t="n"/>
      <c r="K47" s="490" t="n"/>
      <c r="L47" s="486" t="n"/>
      <c r="M47" s="21" t="n"/>
      <c r="N47" s="417" t="n"/>
    </row>
    <row r="48" ht="17.25" customHeight="1" s="468">
      <c r="B48" s="18" t="n"/>
      <c r="C48" s="485" t="n"/>
      <c r="D48" s="486" t="n"/>
      <c r="E48" s="485" t="n"/>
      <c r="F48" s="486" t="n"/>
      <c r="G48" s="485" t="n"/>
      <c r="H48" s="488" t="n"/>
      <c r="I48" s="488" t="n"/>
      <c r="J48" s="486" t="n"/>
      <c r="K48" s="485" t="n"/>
      <c r="L48" s="486" t="n"/>
      <c r="M48" s="19" t="n"/>
      <c r="N48" s="417" t="n"/>
    </row>
    <row r="49" ht="17.25" customHeight="1" s="468">
      <c r="B49" s="20" t="n"/>
      <c r="C49" s="490" t="n"/>
      <c r="D49" s="486" t="n"/>
      <c r="E49" s="490" t="n"/>
      <c r="F49" s="486" t="n"/>
      <c r="G49" s="490" t="n"/>
      <c r="H49" s="488" t="n"/>
      <c r="I49" s="488" t="n"/>
      <c r="J49" s="486" t="n"/>
      <c r="K49" s="490" t="n"/>
      <c r="L49" s="486" t="n"/>
      <c r="M49" s="21" t="n"/>
      <c r="N49" s="417" t="n"/>
    </row>
    <row r="50" ht="17.25" customHeight="1" s="468">
      <c r="B50" s="18" t="n"/>
      <c r="C50" s="485" t="n"/>
      <c r="D50" s="486" t="n"/>
      <c r="E50" s="485" t="n"/>
      <c r="F50" s="486" t="n"/>
      <c r="G50" s="485" t="n"/>
      <c r="H50" s="488" t="n"/>
      <c r="I50" s="488" t="n"/>
      <c r="J50" s="486" t="n"/>
      <c r="K50" s="485" t="n"/>
      <c r="L50" s="486" t="n"/>
      <c r="M50" s="19" t="n"/>
      <c r="N50" s="417" t="n"/>
    </row>
    <row r="51" ht="17.25" customHeight="1" s="468">
      <c r="B51" s="20" t="n"/>
      <c r="C51" s="490" t="n"/>
      <c r="D51" s="486" t="n"/>
      <c r="E51" s="490" t="n"/>
      <c r="F51" s="486" t="n"/>
      <c r="G51" s="490" t="n"/>
      <c r="H51" s="488" t="n"/>
      <c r="I51" s="488" t="n"/>
      <c r="J51" s="486" t="n"/>
      <c r="K51" s="490" t="n"/>
      <c r="L51" s="486" t="n"/>
      <c r="M51" s="23" t="n"/>
      <c r="N51" s="417" t="n"/>
    </row>
    <row r="52" ht="17.25" customHeight="1" s="468">
      <c r="B52" s="18" t="n"/>
      <c r="C52" s="485" t="n"/>
      <c r="D52" s="486" t="n"/>
      <c r="E52" s="485" t="n"/>
      <c r="F52" s="486" t="n"/>
      <c r="G52" s="485" t="n"/>
      <c r="H52" s="488" t="n"/>
      <c r="I52" s="488" t="n"/>
      <c r="J52" s="486" t="n"/>
      <c r="K52" s="485" t="n"/>
      <c r="L52" s="486" t="n"/>
      <c r="M52" s="19" t="n"/>
      <c r="N52" s="417" t="n"/>
    </row>
    <row r="53" ht="17.25" customHeight="1" s="468">
      <c r="B53" s="20" t="n"/>
      <c r="C53" s="490" t="n"/>
      <c r="D53" s="486" t="n"/>
      <c r="E53" s="490" t="n"/>
      <c r="F53" s="486" t="n"/>
      <c r="G53" s="490" t="n"/>
      <c r="H53" s="488" t="n"/>
      <c r="I53" s="488" t="n"/>
      <c r="J53" s="486" t="n"/>
      <c r="K53" s="490" t="n"/>
      <c r="L53" s="486" t="n"/>
      <c r="M53" s="21" t="n"/>
      <c r="N53" s="417" t="n"/>
    </row>
    <row r="54" ht="17.25" customHeight="1" s="468">
      <c r="B54" s="18" t="n"/>
      <c r="C54" s="485" t="n"/>
      <c r="D54" s="486" t="n"/>
      <c r="E54" s="485" t="n"/>
      <c r="F54" s="486" t="n"/>
      <c r="G54" s="485" t="n"/>
      <c r="H54" s="488" t="n"/>
      <c r="I54" s="488" t="n"/>
      <c r="J54" s="486" t="n"/>
      <c r="K54" s="485" t="n"/>
      <c r="L54" s="486" t="n"/>
      <c r="M54" s="19" t="n"/>
      <c r="N54" s="417" t="n"/>
    </row>
    <row r="55" ht="17.25" customHeight="1" s="468">
      <c r="B55" s="20" t="n"/>
      <c r="C55" s="490" t="n"/>
      <c r="D55" s="486" t="n"/>
      <c r="E55" s="490" t="n"/>
      <c r="F55" s="486" t="n"/>
      <c r="G55" s="490" t="n"/>
      <c r="H55" s="488" t="n"/>
      <c r="I55" s="488" t="n"/>
      <c r="J55" s="486" t="n"/>
      <c r="K55" s="490" t="n"/>
      <c r="L55" s="486" t="n"/>
      <c r="M55" s="21" t="n"/>
      <c r="N55" s="417" t="n"/>
    </row>
    <row r="56" ht="17.25" customHeight="1" s="468">
      <c r="B56" s="18" t="n"/>
      <c r="C56" s="485" t="n"/>
      <c r="D56" s="486" t="n"/>
      <c r="E56" s="485" t="n"/>
      <c r="F56" s="486" t="n"/>
      <c r="G56" s="485" t="n"/>
      <c r="H56" s="488" t="n"/>
      <c r="I56" s="488" t="n"/>
      <c r="J56" s="486" t="n"/>
      <c r="K56" s="485" t="n"/>
      <c r="L56" s="486" t="n"/>
      <c r="M56" s="19" t="n"/>
      <c r="N56" s="417" t="n"/>
    </row>
    <row r="57" ht="17.25" customHeight="1" s="468">
      <c r="B57" s="20" t="n"/>
      <c r="C57" s="490" t="n"/>
      <c r="D57" s="486" t="n"/>
      <c r="E57" s="490" t="n"/>
      <c r="F57" s="486" t="n"/>
      <c r="G57" s="490" t="n"/>
      <c r="H57" s="488" t="n"/>
      <c r="I57" s="488" t="n"/>
      <c r="J57" s="486" t="n"/>
      <c r="K57" s="490" t="n"/>
      <c r="L57" s="486" t="n"/>
      <c r="M57" s="21" t="n"/>
      <c r="N57" s="417" t="n"/>
    </row>
    <row r="58" ht="17.25" customHeight="1" s="468">
      <c r="B58" s="18" t="n"/>
      <c r="C58" s="485" t="n"/>
      <c r="D58" s="486" t="n"/>
      <c r="E58" s="485" t="n"/>
      <c r="F58" s="486" t="n"/>
      <c r="G58" s="485" t="n"/>
      <c r="H58" s="488" t="n"/>
      <c r="I58" s="488" t="n"/>
      <c r="J58" s="486" t="n"/>
      <c r="K58" s="485" t="n"/>
      <c r="L58" s="486" t="n"/>
      <c r="M58" s="19" t="n"/>
      <c r="N58" s="417" t="n"/>
    </row>
    <row r="59" ht="17.25" customHeight="1" s="468">
      <c r="B59" s="20" t="n"/>
      <c r="C59" s="490" t="n"/>
      <c r="D59" s="486" t="n"/>
      <c r="E59" s="490" t="n"/>
      <c r="F59" s="486" t="n"/>
      <c r="G59" s="490" t="n"/>
      <c r="H59" s="488" t="n"/>
      <c r="I59" s="488" t="n"/>
      <c r="J59" s="486" t="n"/>
      <c r="K59" s="490" t="n"/>
      <c r="L59" s="486" t="n"/>
      <c r="M59" s="23" t="n"/>
      <c r="N59" s="417" t="n"/>
    </row>
    <row r="60" ht="17.25" customHeight="1" s="468">
      <c r="B60" s="18" t="n"/>
      <c r="C60" s="485" t="n"/>
      <c r="D60" s="486" t="n"/>
      <c r="E60" s="485" t="n"/>
      <c r="F60" s="486" t="n"/>
      <c r="G60" s="485" t="n"/>
      <c r="H60" s="488" t="n"/>
      <c r="I60" s="488" t="n"/>
      <c r="J60" s="486" t="n"/>
      <c r="K60" s="485" t="n"/>
      <c r="L60" s="486" t="n"/>
      <c r="M60" s="19" t="n"/>
      <c r="N60" s="417" t="n"/>
    </row>
    <row r="61" ht="17.25" customHeight="1" s="468">
      <c r="B61" s="20" t="n"/>
      <c r="C61" s="490" t="n"/>
      <c r="D61" s="486" t="n"/>
      <c r="E61" s="490" t="n"/>
      <c r="F61" s="486" t="n"/>
      <c r="G61" s="490" t="n"/>
      <c r="H61" s="488" t="n"/>
      <c r="I61" s="488" t="n"/>
      <c r="J61" s="486" t="n"/>
      <c r="K61" s="490" t="n"/>
      <c r="L61" s="486" t="n"/>
      <c r="M61" s="21" t="n"/>
      <c r="N61" s="417" t="n"/>
    </row>
    <row r="62" ht="17.25" customHeight="1" s="468">
      <c r="B62" s="18" t="n"/>
      <c r="C62" s="485" t="n"/>
      <c r="D62" s="486" t="n"/>
      <c r="E62" s="485" t="n"/>
      <c r="F62" s="486" t="n"/>
      <c r="G62" s="485" t="n"/>
      <c r="H62" s="488" t="n"/>
      <c r="I62" s="488" t="n"/>
      <c r="J62" s="486" t="n"/>
      <c r="K62" s="485" t="n"/>
      <c r="L62" s="486" t="n"/>
      <c r="M62" s="19" t="n"/>
      <c r="N62" s="417" t="n"/>
    </row>
    <row r="63" ht="17.25" customHeight="1" s="468">
      <c r="B63" s="20" t="n"/>
      <c r="C63" s="490" t="n"/>
      <c r="D63" s="486" t="n"/>
      <c r="E63" s="490" t="n"/>
      <c r="F63" s="486" t="n"/>
      <c r="G63" s="490" t="n"/>
      <c r="H63" s="488" t="n"/>
      <c r="I63" s="488" t="n"/>
      <c r="J63" s="486" t="n"/>
      <c r="K63" s="490" t="n"/>
      <c r="L63" s="486" t="n"/>
      <c r="M63" s="21" t="n"/>
      <c r="N63" s="417" t="n"/>
    </row>
    <row r="64" ht="17.25" customHeight="1" s="468">
      <c r="B64" s="18" t="n"/>
      <c r="C64" s="485" t="n"/>
      <c r="D64" s="486" t="n"/>
      <c r="E64" s="485" t="n"/>
      <c r="F64" s="486" t="n"/>
      <c r="G64" s="485" t="n"/>
      <c r="H64" s="488" t="n"/>
      <c r="I64" s="488" t="n"/>
      <c r="J64" s="486" t="n"/>
      <c r="K64" s="485" t="n"/>
      <c r="L64" s="486" t="n"/>
      <c r="M64" s="19" t="n"/>
      <c r="N64" s="417" t="n"/>
    </row>
    <row r="65" ht="17.25" customHeight="1" s="468">
      <c r="B65" s="20" t="n"/>
      <c r="C65" s="490" t="n"/>
      <c r="D65" s="486" t="n"/>
      <c r="E65" s="490" t="n"/>
      <c r="F65" s="486" t="n"/>
      <c r="G65" s="490" t="n"/>
      <c r="H65" s="488" t="n"/>
      <c r="I65" s="488" t="n"/>
      <c r="J65" s="486" t="n"/>
      <c r="K65" s="490" t="n"/>
      <c r="L65" s="486" t="n"/>
      <c r="M65" s="21" t="n"/>
      <c r="N65" s="417" t="n"/>
    </row>
    <row r="66" ht="17.25" customHeight="1" s="468">
      <c r="B66" s="18" t="n"/>
      <c r="C66" s="485" t="n"/>
      <c r="D66" s="486" t="n"/>
      <c r="E66" s="485" t="n"/>
      <c r="F66" s="486" t="n"/>
      <c r="G66" s="485" t="n"/>
      <c r="H66" s="488" t="n"/>
      <c r="I66" s="488" t="n"/>
      <c r="J66" s="486" t="n"/>
      <c r="K66" s="485" t="n"/>
      <c r="L66" s="486" t="n"/>
      <c r="M66" s="19" t="n"/>
      <c r="N66" s="417" t="n"/>
    </row>
    <row r="67" ht="17.25" customHeight="1" s="468">
      <c r="B67" s="20" t="n"/>
      <c r="C67" s="490" t="n"/>
      <c r="D67" s="486" t="n"/>
      <c r="E67" s="490" t="n"/>
      <c r="F67" s="486" t="n"/>
      <c r="G67" s="490" t="n"/>
      <c r="H67" s="488" t="n"/>
      <c r="I67" s="488" t="n"/>
      <c r="J67" s="486" t="n"/>
      <c r="K67" s="490" t="n"/>
      <c r="L67" s="486" t="n"/>
      <c r="M67" s="21" t="n"/>
      <c r="N67" s="417" t="n"/>
    </row>
    <row r="68" ht="17.25" customHeight="1" s="468">
      <c r="B68" s="18" t="n"/>
      <c r="C68" s="485" t="n"/>
      <c r="D68" s="486" t="n"/>
      <c r="E68" s="485" t="n"/>
      <c r="F68" s="486" t="n"/>
      <c r="G68" s="485" t="n"/>
      <c r="H68" s="488" t="n"/>
      <c r="I68" s="488" t="n"/>
      <c r="J68" s="486" t="n"/>
      <c r="K68" s="485" t="n"/>
      <c r="L68" s="486" t="n"/>
      <c r="M68" s="22" t="n"/>
      <c r="N68" s="417" t="n"/>
    </row>
    <row r="69" ht="17.25" customHeight="1" s="468">
      <c r="B69" s="20" t="n"/>
      <c r="C69" s="490" t="n"/>
      <c r="D69" s="486" t="n"/>
      <c r="E69" s="490" t="n"/>
      <c r="F69" s="486" t="n"/>
      <c r="G69" s="490" t="n"/>
      <c r="H69" s="488" t="n"/>
      <c r="I69" s="488" t="n"/>
      <c r="J69" s="486" t="n"/>
      <c r="K69" s="490" t="n"/>
      <c r="L69" s="486" t="n"/>
      <c r="M69" s="21" t="n"/>
      <c r="N69" s="417" t="n"/>
    </row>
    <row r="70" ht="17.25" customHeight="1" s="468">
      <c r="B70" s="18" t="n"/>
      <c r="C70" s="485" t="n"/>
      <c r="D70" s="486" t="n"/>
      <c r="E70" s="485" t="n"/>
      <c r="F70" s="486" t="n"/>
      <c r="G70" s="485" t="n"/>
      <c r="H70" s="488" t="n"/>
      <c r="I70" s="488" t="n"/>
      <c r="J70" s="486" t="n"/>
      <c r="K70" s="485" t="n"/>
      <c r="L70" s="486" t="n"/>
      <c r="M70" s="19" t="n"/>
      <c r="N70" s="417" t="n"/>
    </row>
    <row r="71" ht="17.25" customHeight="1" s="468">
      <c r="B71" s="20" t="n"/>
      <c r="C71" s="490" t="n"/>
      <c r="D71" s="486" t="n"/>
      <c r="E71" s="490" t="n"/>
      <c r="F71" s="486" t="n"/>
      <c r="G71" s="490" t="n"/>
      <c r="H71" s="488" t="n"/>
      <c r="I71" s="488" t="n"/>
      <c r="J71" s="486" t="n"/>
      <c r="K71" s="490" t="n"/>
      <c r="L71" s="486" t="n"/>
      <c r="M71" s="21" t="n"/>
      <c r="N71" s="417" t="n"/>
    </row>
    <row r="72" ht="17.25" customHeight="1" s="468">
      <c r="B72" s="18" t="n"/>
      <c r="C72" s="485" t="n"/>
      <c r="D72" s="486" t="n"/>
      <c r="E72" s="485" t="n"/>
      <c r="F72" s="486" t="n"/>
      <c r="G72" s="485" t="n"/>
      <c r="H72" s="488" t="n"/>
      <c r="I72" s="488" t="n"/>
      <c r="J72" s="486" t="n"/>
      <c r="K72" s="485" t="n"/>
      <c r="L72" s="486" t="n"/>
      <c r="M72" s="19" t="n"/>
      <c r="N72" s="417" t="n"/>
    </row>
    <row r="73" ht="17.25" customHeight="1" s="468">
      <c r="B73" s="20" t="n"/>
      <c r="C73" s="490" t="n"/>
      <c r="D73" s="486" t="n"/>
      <c r="E73" s="490" t="n"/>
      <c r="F73" s="486" t="n"/>
      <c r="G73" s="490" t="n"/>
      <c r="H73" s="488" t="n"/>
      <c r="I73" s="488" t="n"/>
      <c r="J73" s="486" t="n"/>
      <c r="K73" s="490" t="n"/>
      <c r="L73" s="486" t="n"/>
      <c r="M73" s="21" t="n"/>
      <c r="N73" s="417" t="n"/>
    </row>
    <row r="74" ht="17.25" customHeight="1" s="468">
      <c r="B74" s="18" t="n"/>
      <c r="C74" s="485" t="n"/>
      <c r="D74" s="486" t="n"/>
      <c r="E74" s="485" t="n"/>
      <c r="F74" s="486" t="n"/>
      <c r="G74" s="485" t="n"/>
      <c r="H74" s="488" t="n"/>
      <c r="I74" s="488" t="n"/>
      <c r="J74" s="486" t="n"/>
      <c r="K74" s="485" t="n"/>
      <c r="L74" s="486" t="n"/>
      <c r="M74" s="19" t="n"/>
      <c r="N74" s="417" t="n"/>
    </row>
    <row r="75" ht="17.25" customHeight="1" s="468">
      <c r="B75" s="20" t="n"/>
      <c r="C75" s="490" t="n"/>
      <c r="D75" s="486" t="n"/>
      <c r="E75" s="490" t="n"/>
      <c r="F75" s="486" t="n"/>
      <c r="G75" s="490" t="n"/>
      <c r="H75" s="488" t="n"/>
      <c r="I75" s="488" t="n"/>
      <c r="J75" s="486" t="n"/>
      <c r="K75" s="490" t="n"/>
      <c r="L75" s="486" t="n"/>
      <c r="M75" s="21" t="n"/>
      <c r="N75" s="417" t="n"/>
    </row>
    <row r="76" ht="17.25" customHeight="1" s="468">
      <c r="B76" s="18" t="n"/>
      <c r="C76" s="485" t="n"/>
      <c r="D76" s="486" t="n"/>
      <c r="E76" s="485" t="n"/>
      <c r="F76" s="486" t="n"/>
      <c r="G76" s="485" t="n"/>
      <c r="H76" s="488" t="n"/>
      <c r="I76" s="488" t="n"/>
      <c r="J76" s="486" t="n"/>
      <c r="K76" s="485" t="n"/>
      <c r="L76" s="486" t="n"/>
      <c r="M76" s="22" t="n"/>
      <c r="N76" s="417" t="n"/>
    </row>
    <row r="77" ht="17.25" customHeight="1" s="468">
      <c r="B77" s="20" t="n"/>
      <c r="C77" s="490" t="n"/>
      <c r="D77" s="486" t="n"/>
      <c r="E77" s="490" t="n"/>
      <c r="F77" s="486" t="n"/>
      <c r="G77" s="490" t="n"/>
      <c r="H77" s="488" t="n"/>
      <c r="I77" s="488" t="n"/>
      <c r="J77" s="486" t="n"/>
      <c r="K77" s="490" t="n"/>
      <c r="L77" s="486" t="n"/>
      <c r="M77" s="21" t="n"/>
      <c r="N77" s="417" t="n"/>
    </row>
    <row r="78" ht="17.25" customHeight="1" s="468">
      <c r="B78" s="18" t="n"/>
      <c r="C78" s="485" t="n"/>
      <c r="D78" s="486" t="n"/>
      <c r="E78" s="485" t="n"/>
      <c r="F78" s="486" t="n"/>
      <c r="G78" s="485" t="n"/>
      <c r="H78" s="488" t="n"/>
      <c r="I78" s="488" t="n"/>
      <c r="J78" s="486" t="n"/>
      <c r="K78" s="485" t="n"/>
      <c r="L78" s="486" t="n"/>
      <c r="M78" s="19" t="n"/>
      <c r="N78" s="417" t="n"/>
    </row>
    <row r="79" ht="17.25" customHeight="1" s="468">
      <c r="B79" s="20" t="n"/>
      <c r="C79" s="490" t="n"/>
      <c r="D79" s="486" t="n"/>
      <c r="E79" s="490" t="n"/>
      <c r="F79" s="486" t="n"/>
      <c r="G79" s="490" t="n"/>
      <c r="H79" s="488" t="n"/>
      <c r="I79" s="488" t="n"/>
      <c r="J79" s="486" t="n"/>
      <c r="K79" s="490" t="n"/>
      <c r="L79" s="486" t="n"/>
      <c r="M79" s="21" t="n"/>
      <c r="N79" s="417" t="n"/>
    </row>
    <row r="80" ht="17.25" customHeight="1" s="468">
      <c r="B80" s="18" t="n"/>
      <c r="C80" s="485" t="n"/>
      <c r="D80" s="486" t="n"/>
      <c r="E80" s="485" t="n"/>
      <c r="F80" s="486" t="n"/>
      <c r="G80" s="485" t="n"/>
      <c r="H80" s="488" t="n"/>
      <c r="I80" s="488" t="n"/>
      <c r="J80" s="486" t="n"/>
      <c r="K80" s="485" t="n"/>
      <c r="L80" s="486" t="n"/>
      <c r="M80" s="19" t="n"/>
      <c r="N80" s="417" t="n"/>
    </row>
    <row r="81" ht="17.25" customHeight="1" s="468">
      <c r="B81" s="20" t="n"/>
      <c r="C81" s="490" t="n"/>
      <c r="D81" s="486" t="n"/>
      <c r="E81" s="490" t="n"/>
      <c r="F81" s="486" t="n"/>
      <c r="G81" s="490" t="n"/>
      <c r="H81" s="488" t="n"/>
      <c r="I81" s="488" t="n"/>
      <c r="J81" s="486" t="n"/>
      <c r="K81" s="490" t="n"/>
      <c r="L81" s="486" t="n"/>
      <c r="M81" s="21" t="n"/>
      <c r="N81" s="417" t="n"/>
    </row>
    <row r="82" ht="17.25" customHeight="1" s="468">
      <c r="B82" s="18" t="n"/>
      <c r="C82" s="485" t="n"/>
      <c r="D82" s="486" t="n"/>
      <c r="E82" s="485" t="n"/>
      <c r="F82" s="486" t="n"/>
      <c r="G82" s="485" t="n"/>
      <c r="H82" s="488" t="n"/>
      <c r="I82" s="488" t="n"/>
      <c r="J82" s="486" t="n"/>
      <c r="K82" s="485" t="n"/>
      <c r="L82" s="486" t="n"/>
      <c r="M82" s="19" t="n"/>
      <c r="N82" s="417" t="n"/>
    </row>
    <row r="83" ht="17.25" customHeight="1" s="468">
      <c r="B83" s="20" t="n"/>
      <c r="C83" s="490" t="n"/>
      <c r="D83" s="486" t="n"/>
      <c r="E83" s="490" t="n"/>
      <c r="F83" s="486" t="n"/>
      <c r="G83" s="490" t="n"/>
      <c r="H83" s="488" t="n"/>
      <c r="I83" s="488" t="n"/>
      <c r="J83" s="486" t="n"/>
      <c r="K83" s="490" t="n"/>
      <c r="L83" s="486" t="n"/>
      <c r="M83" s="21" t="n"/>
      <c r="N83" s="417" t="n"/>
    </row>
    <row r="84" ht="17.25" customHeight="1" s="468">
      <c r="B84" s="18" t="n"/>
      <c r="C84" s="485" t="n"/>
      <c r="D84" s="486" t="n"/>
      <c r="E84" s="485" t="n"/>
      <c r="F84" s="486" t="n"/>
      <c r="G84" s="485" t="n"/>
      <c r="H84" s="488" t="n"/>
      <c r="I84" s="488" t="n"/>
      <c r="J84" s="486" t="n"/>
      <c r="K84" s="485" t="n"/>
      <c r="L84" s="486" t="n"/>
      <c r="M84" s="19" t="n"/>
      <c r="N84" s="417" t="n"/>
    </row>
    <row r="85" ht="17.25" customHeight="1" s="468">
      <c r="B85" s="20" t="n"/>
      <c r="C85" s="490" t="n"/>
      <c r="D85" s="486" t="n"/>
      <c r="E85" s="490" t="n"/>
      <c r="F85" s="486" t="n"/>
      <c r="G85" s="490" t="n"/>
      <c r="H85" s="488" t="n"/>
      <c r="I85" s="488" t="n"/>
      <c r="J85" s="486" t="n"/>
      <c r="K85" s="490" t="n"/>
      <c r="L85" s="486" t="n"/>
      <c r="M85" s="23" t="n"/>
      <c r="N85" s="417" t="n"/>
    </row>
    <row r="86" ht="17.25" customHeight="1" s="468">
      <c r="B86" s="18" t="n"/>
      <c r="C86" s="485" t="n"/>
      <c r="D86" s="486" t="n"/>
      <c r="E86" s="485" t="n"/>
      <c r="F86" s="486" t="n"/>
      <c r="G86" s="485" t="n"/>
      <c r="H86" s="488" t="n"/>
      <c r="I86" s="488" t="n"/>
      <c r="J86" s="486" t="n"/>
      <c r="K86" s="485" t="n"/>
      <c r="L86" s="486" t="n"/>
      <c r="M86" s="19" t="n"/>
      <c r="N86" s="417" t="n"/>
    </row>
    <row r="87" ht="17.25" customHeight="1" s="468">
      <c r="B87" s="20" t="n"/>
      <c r="C87" s="490" t="n"/>
      <c r="D87" s="486" t="n"/>
      <c r="E87" s="490" t="n"/>
      <c r="F87" s="486" t="n"/>
      <c r="G87" s="490" t="n"/>
      <c r="H87" s="488" t="n"/>
      <c r="I87" s="488" t="n"/>
      <c r="J87" s="486" t="n"/>
      <c r="K87" s="490" t="n"/>
      <c r="L87" s="486" t="n"/>
      <c r="M87" s="21" t="n"/>
      <c r="N87" s="417" t="n"/>
    </row>
    <row r="88" ht="17.25" customHeight="1" s="468">
      <c r="B88" s="18" t="n"/>
      <c r="C88" s="485" t="n"/>
      <c r="D88" s="486" t="n"/>
      <c r="E88" s="485" t="n"/>
      <c r="F88" s="486" t="n"/>
      <c r="G88" s="485" t="n"/>
      <c r="H88" s="488" t="n"/>
      <c r="I88" s="488" t="n"/>
      <c r="J88" s="486" t="n"/>
      <c r="K88" s="485" t="n"/>
      <c r="L88" s="486" t="n"/>
      <c r="M88" s="19" t="n"/>
      <c r="N88" s="417" t="n"/>
    </row>
    <row r="89" ht="17.25" customHeight="1" s="468">
      <c r="B89" s="20" t="n"/>
      <c r="C89" s="490" t="n"/>
      <c r="D89" s="486" t="n"/>
      <c r="E89" s="490" t="n"/>
      <c r="F89" s="486" t="n"/>
      <c r="G89" s="490" t="n"/>
      <c r="H89" s="488" t="n"/>
      <c r="I89" s="488" t="n"/>
      <c r="J89" s="486" t="n"/>
      <c r="K89" s="490" t="n"/>
      <c r="L89" s="486" t="n"/>
      <c r="M89" s="21" t="n"/>
      <c r="N89" s="417" t="n"/>
    </row>
    <row r="90" ht="17.25" customHeight="1" s="468">
      <c r="B90" s="18" t="n"/>
      <c r="C90" s="485" t="n"/>
      <c r="D90" s="486" t="n"/>
      <c r="E90" s="485" t="n"/>
      <c r="F90" s="486" t="n"/>
      <c r="G90" s="485" t="n"/>
      <c r="H90" s="488" t="n"/>
      <c r="I90" s="488" t="n"/>
      <c r="J90" s="486" t="n"/>
      <c r="K90" s="485" t="n"/>
      <c r="L90" s="486" t="n"/>
      <c r="M90" s="19" t="n"/>
      <c r="N90" s="417" t="n"/>
    </row>
    <row r="91" ht="17.25" customHeight="1" s="468">
      <c r="B91" s="20" t="n"/>
      <c r="C91" s="490" t="n"/>
      <c r="D91" s="486" t="n"/>
      <c r="E91" s="490" t="n"/>
      <c r="F91" s="486" t="n"/>
      <c r="G91" s="490" t="n"/>
      <c r="H91" s="488" t="n"/>
      <c r="I91" s="488" t="n"/>
      <c r="J91" s="486" t="n"/>
      <c r="K91" s="490" t="n"/>
      <c r="L91" s="486" t="n"/>
      <c r="M91" s="21" t="n"/>
      <c r="N91" s="417" t="n"/>
    </row>
    <row r="92" ht="17.25" customHeight="1" s="468">
      <c r="B92" s="18" t="n"/>
      <c r="C92" s="485" t="n"/>
      <c r="D92" s="486" t="n"/>
      <c r="E92" s="485" t="n"/>
      <c r="F92" s="486" t="n"/>
      <c r="G92" s="485" t="n"/>
      <c r="H92" s="488" t="n"/>
      <c r="I92" s="488" t="n"/>
      <c r="J92" s="486" t="n"/>
      <c r="K92" s="485" t="n"/>
      <c r="L92" s="486" t="n"/>
      <c r="M92" s="19" t="n"/>
      <c r="N92" s="417" t="n"/>
    </row>
    <row r="93" ht="17.25" customHeight="1" s="468">
      <c r="B93" s="20" t="n"/>
      <c r="C93" s="490" t="n"/>
      <c r="D93" s="486" t="n"/>
      <c r="E93" s="490" t="n"/>
      <c r="F93" s="486" t="n"/>
      <c r="G93" s="490" t="n"/>
      <c r="H93" s="488" t="n"/>
      <c r="I93" s="488" t="n"/>
      <c r="J93" s="486" t="n"/>
      <c r="K93" s="490" t="n"/>
      <c r="L93" s="486" t="n"/>
      <c r="M93" s="23" t="n"/>
      <c r="N93" s="417" t="n"/>
    </row>
    <row r="94" ht="17.25" customHeight="1" s="468">
      <c r="B94" s="24" t="n"/>
      <c r="C94" s="506" t="n"/>
      <c r="D94" s="507" t="n"/>
      <c r="E94" s="506" t="n"/>
      <c r="F94" s="507" t="n"/>
      <c r="G94" s="506" t="n"/>
      <c r="H94" s="509" t="n"/>
      <c r="I94" s="509" t="n"/>
      <c r="J94" s="507" t="n"/>
      <c r="K94" s="506" t="n"/>
      <c r="L94" s="507" t="n"/>
      <c r="M94" s="25" t="n"/>
      <c r="N94" s="417" t="n"/>
    </row>
    <row r="95" ht="18" customHeight="1" s="468">
      <c r="N95" s="420" t="n"/>
    </row>
    <row r="96" ht="18" customHeight="1" s="468">
      <c r="N96" s="420" t="n"/>
    </row>
    <row r="97" ht="18" customHeight="1" s="468">
      <c r="N97" s="420" t="n"/>
    </row>
    <row r="98" ht="18" customHeight="1" s="468">
      <c r="N98" s="420" t="n"/>
    </row>
    <row r="99" ht="18" customHeight="1" s="468">
      <c r="N99" s="420" t="n"/>
    </row>
    <row r="100" ht="18" customHeight="1" s="468">
      <c r="N100" s="420" t="n"/>
    </row>
    <row r="101" ht="18" customHeight="1" s="468">
      <c r="N101" s="420" t="n"/>
    </row>
    <row r="102" ht="18" customHeight="1" s="468">
      <c r="N102" s="420" t="n"/>
    </row>
    <row r="103" ht="18" customHeight="1" s="468">
      <c r="N103" s="420" t="n"/>
    </row>
    <row r="104" ht="18" customHeight="1" s="468">
      <c r="N104" s="420" t="n"/>
    </row>
    <row r="105" ht="18" customHeight="1" s="468">
      <c r="N105" s="420" t="n"/>
    </row>
    <row r="106" ht="18" customHeight="1" s="468">
      <c r="N106" s="420" t="n"/>
    </row>
    <row r="107" ht="18" customHeight="1" s="468">
      <c r="N107" s="420" t="n"/>
    </row>
    <row r="108" ht="18" customHeight="1" s="468">
      <c r="N108" s="420" t="n"/>
    </row>
    <row r="109" ht="18" customHeight="1" s="468">
      <c r="N109" s="420" t="n"/>
    </row>
    <row r="110" ht="18" customHeight="1" s="468">
      <c r="N110" s="420" t="n"/>
    </row>
    <row r="111" ht="18" customHeight="1" s="468">
      <c r="N111" s="420" t="n"/>
    </row>
    <row r="112" ht="18" customHeight="1" s="468">
      <c r="N112" s="420" t="n"/>
    </row>
    <row r="113" ht="18" customHeight="1" s="468">
      <c r="N113" s="420" t="n"/>
    </row>
    <row r="114" ht="18" customHeight="1" s="468">
      <c r="N114" s="420" t="n"/>
    </row>
    <row r="115" ht="18" customHeight="1" s="468">
      <c r="N115" s="420" t="n"/>
    </row>
    <row r="116" ht="18" customHeight="1" s="468">
      <c r="N116" s="420" t="n"/>
    </row>
    <row r="117" ht="18" customHeight="1" s="468">
      <c r="N117" s="420" t="n"/>
    </row>
    <row r="118" ht="18" customHeight="1" s="468">
      <c r="N118" s="420" t="n"/>
    </row>
    <row r="119" ht="18" customHeight="1" s="468">
      <c r="N119" s="420" t="n"/>
    </row>
    <row r="120" ht="18" customHeight="1" s="468">
      <c r="N120" s="420" t="n"/>
    </row>
    <row r="121" ht="18" customHeight="1" s="468">
      <c r="N121" s="420" t="n"/>
    </row>
    <row r="122" ht="18" customHeight="1" s="468">
      <c r="N122" s="420" t="n"/>
    </row>
    <row r="123" ht="18" customHeight="1" s="468">
      <c r="N123" s="420" t="n"/>
    </row>
    <row r="124" ht="18" customHeight="1" s="468">
      <c r="N124" s="420" t="n"/>
    </row>
    <row r="125" ht="18" customHeight="1" s="468">
      <c r="N125" s="420" t="n"/>
    </row>
    <row r="126" ht="18" customHeight="1" s="468">
      <c r="N126" s="420" t="n"/>
    </row>
    <row r="127" ht="18" customHeight="1" s="468">
      <c r="N127" s="420" t="n"/>
    </row>
    <row r="128" ht="18" customHeight="1" s="468">
      <c r="N128" s="420" t="n"/>
    </row>
    <row r="129" ht="18" customHeight="1" s="468">
      <c r="N129" s="420" t="n"/>
    </row>
    <row r="130" ht="18" customHeight="1" s="468">
      <c r="N130" s="420" t="n"/>
    </row>
    <row r="131" ht="18" customHeight="1" s="468">
      <c r="N131" s="420" t="n"/>
    </row>
    <row r="132" ht="18" customHeight="1" s="468">
      <c r="N132" s="420" t="n"/>
    </row>
    <row r="133" ht="18" customHeight="1" s="468">
      <c r="N133" s="420" t="n"/>
    </row>
    <row r="134" ht="18" customHeight="1" s="468">
      <c r="N134" s="420" t="n"/>
    </row>
    <row r="135" ht="18" customHeight="1" s="468">
      <c r="N135" s="420" t="n"/>
    </row>
    <row r="136" ht="18" customHeight="1" s="468">
      <c r="N136" s="420" t="n"/>
    </row>
    <row r="137" ht="18" customHeight="1" s="468">
      <c r="N137" s="420" t="n"/>
    </row>
    <row r="138" ht="18" customHeight="1" s="468">
      <c r="N138" s="420" t="n"/>
    </row>
    <row r="139" ht="18" customHeight="1" s="468">
      <c r="N139" s="420" t="n"/>
    </row>
    <row r="140" ht="18" customHeight="1" s="468">
      <c r="N140" s="420" t="n"/>
    </row>
    <row r="141" ht="18" customHeight="1" s="468">
      <c r="N141" s="420" t="n"/>
    </row>
    <row r="142" ht="18" customHeight="1" s="468">
      <c r="N142" s="420" t="n"/>
    </row>
    <row r="143" ht="18" customHeight="1" s="468">
      <c r="N143" s="420" t="n"/>
    </row>
    <row r="144" ht="18" customHeight="1" s="468">
      <c r="N144" s="420" t="n"/>
    </row>
    <row r="145" ht="18" customHeight="1" s="468">
      <c r="N145" s="420" t="n"/>
    </row>
    <row r="146" ht="18" customHeight="1" s="468">
      <c r="N146" s="420" t="n"/>
    </row>
    <row r="147" ht="18" customHeight="1" s="468">
      <c r="N147" s="420" t="n"/>
    </row>
    <row r="148" ht="18" customHeight="1" s="468">
      <c r="N148" s="420" t="n"/>
    </row>
    <row r="149" ht="18" customHeight="1" s="468">
      <c r="N149" s="420" t="n"/>
    </row>
    <row r="150" ht="18" customHeight="1" s="468">
      <c r="N150" s="420" t="n"/>
    </row>
    <row r="151" ht="18" customHeight="1" s="468">
      <c r="N151" s="420" t="n"/>
    </row>
    <row r="152" ht="18" customHeight="1" s="468">
      <c r="N152" s="420" t="n"/>
    </row>
    <row r="153" ht="18" customHeight="1" s="468">
      <c r="N153" s="420" t="n"/>
    </row>
    <row r="154" ht="18" customHeight="1" s="468">
      <c r="N154" s="420" t="n"/>
    </row>
    <row r="155" ht="18" customHeight="1" s="468">
      <c r="N155" s="420" t="n"/>
    </row>
    <row r="156" ht="18" customHeight="1" s="468">
      <c r="N156" s="420" t="n"/>
    </row>
    <row r="157" ht="18" customHeight="1" s="468">
      <c r="N157" s="420" t="n"/>
    </row>
    <row r="158" ht="18" customHeight="1" s="468">
      <c r="N158" s="420" t="n"/>
    </row>
    <row r="159" ht="18" customHeight="1" s="468">
      <c r="N159" s="420" t="n"/>
    </row>
    <row r="160" ht="18" customHeight="1" s="468">
      <c r="N160" s="420" t="n"/>
    </row>
    <row r="161" ht="18" customHeight="1" s="468">
      <c r="N161" s="420" t="n"/>
    </row>
    <row r="162" ht="18" customHeight="1" s="468">
      <c r="N162" s="420" t="n"/>
    </row>
    <row r="163" ht="18" customHeight="1" s="468">
      <c r="N163" s="420" t="n"/>
    </row>
    <row r="164" ht="18" customHeight="1" s="468">
      <c r="N164" s="420" t="n"/>
    </row>
    <row r="165" ht="18" customHeight="1" s="468">
      <c r="N165" s="420" t="n"/>
    </row>
    <row r="166" ht="18" customHeight="1" s="468">
      <c r="N166" s="420" t="n"/>
    </row>
    <row r="167" ht="18" customHeight="1" s="468">
      <c r="N167" s="420" t="n"/>
    </row>
    <row r="168" ht="18" customHeight="1" s="468">
      <c r="N168" s="420" t="n"/>
    </row>
    <row r="169" ht="18" customHeight="1" s="468">
      <c r="N169" s="420" t="n"/>
    </row>
    <row r="170" ht="18" customHeight="1" s="468">
      <c r="N170" s="420" t="n"/>
    </row>
    <row r="171" ht="18" customHeight="1" s="468">
      <c r="N171" s="420" t="n"/>
    </row>
    <row r="172" ht="18" customHeight="1" s="468">
      <c r="N172" s="420" t="n"/>
    </row>
    <row r="173" ht="18" customHeight="1" s="468">
      <c r="N173" s="420" t="n"/>
    </row>
    <row r="174" ht="18" customHeight="1" s="468">
      <c r="N174" s="420" t="n"/>
    </row>
    <row r="175" ht="18" customHeight="1" s="468">
      <c r="N175" s="420" t="n"/>
    </row>
    <row r="176" ht="18" customHeight="1" s="468">
      <c r="N176" s="420" t="n"/>
    </row>
    <row r="177" ht="18" customHeight="1" s="468">
      <c r="N177" s="420" t="n"/>
    </row>
    <row r="178" ht="18" customHeight="1" s="468">
      <c r="N178" s="420" t="n"/>
    </row>
    <row r="179" ht="18" customHeight="1" s="468">
      <c r="N179" s="420" t="n"/>
    </row>
    <row r="180" ht="18" customHeight="1" s="468">
      <c r="N180" s="420" t="n"/>
    </row>
    <row r="181" ht="18" customHeight="1" s="468">
      <c r="N181" s="420" t="n"/>
    </row>
    <row r="182" ht="18" customHeight="1" s="468">
      <c r="N182" s="420" t="n"/>
    </row>
    <row r="183" ht="18" customHeight="1" s="468">
      <c r="N183" s="420" t="n"/>
    </row>
    <row r="184" ht="18" customHeight="1" s="468">
      <c r="N184" s="420" t="n"/>
    </row>
    <row r="185" ht="18" customHeight="1" s="468">
      <c r="N185" s="420" t="n"/>
    </row>
    <row r="186" ht="18" customHeight="1" s="468">
      <c r="N186" s="420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8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8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8" customHeight="1" s="468">
      <c r="N295" s="420" t="n"/>
    </row>
    <row r="296" ht="18" customHeight="1" s="468">
      <c r="N296" s="420" t="n"/>
    </row>
    <row r="297" ht="18" customHeight="1" s="468">
      <c r="N297" s="420" t="n"/>
    </row>
    <row r="298" ht="18" customHeight="1" s="468">
      <c r="N298" s="420" t="n"/>
    </row>
    <row r="299" ht="18" customHeight="1" s="468">
      <c r="N299" s="420" t="n"/>
    </row>
    <row r="300" ht="18" customHeight="1" s="468">
      <c r="N300" s="420" t="n"/>
    </row>
  </sheetData>
  <mergeCells count="369">
    <mergeCell ref="C15:D15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6:F6"/>
    <mergeCell ref="E77:F77"/>
    <mergeCell ref="E89:F89"/>
    <mergeCell ref="G13:J13"/>
    <mergeCell ref="G78:J78"/>
    <mergeCell ref="E72:F72"/>
    <mergeCell ref="K57:L57"/>
    <mergeCell ref="G15:J15"/>
    <mergeCell ref="G80:J80"/>
    <mergeCell ref="C49:D49"/>
    <mergeCell ref="C24:D24"/>
    <mergeCell ref="G79:J79"/>
    <mergeCell ref="E24:F24"/>
    <mergeCell ref="G73:J73"/>
    <mergeCell ref="C42:D42"/>
    <mergeCell ref="E42:F42"/>
    <mergeCell ref="C88:D88"/>
    <mergeCell ref="E17:F17"/>
    <mergeCell ref="C26:D26"/>
    <mergeCell ref="E88:F88"/>
    <mergeCell ref="E82:F82"/>
    <mergeCell ref="E19:F19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G3:J3"/>
    <mergeCell ref="C81:D81"/>
    <mergeCell ref="C37:D37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C8:D8"/>
    <mergeCell ref="G49:J49"/>
    <mergeCell ref="K10:L10"/>
    <mergeCell ref="K66:L66"/>
    <mergeCell ref="C66:D66"/>
    <mergeCell ref="G24:J24"/>
    <mergeCell ref="E66:F66"/>
    <mergeCell ref="C53:D53"/>
    <mergeCell ref="K3:L3"/>
    <mergeCell ref="C77:D77"/>
    <mergeCell ref="K74:L74"/>
    <mergeCell ref="K68:L68"/>
    <mergeCell ref="G88:J88"/>
    <mergeCell ref="C68:D68"/>
    <mergeCell ref="G26:J26"/>
    <mergeCell ref="E68:F68"/>
    <mergeCell ref="K5:L5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C16:D1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:D6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46:J46"/>
    <mergeCell ref="G40:J40"/>
    <mergeCell ref="E51:F51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G61:J61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K16:L16"/>
    <mergeCell ref="K9:L9"/>
    <mergeCell ref="G16:J16"/>
    <mergeCell ref="E83:F83"/>
    <mergeCell ref="K45:L45"/>
    <mergeCell ref="G76:J76"/>
    <mergeCell ref="C20:D20"/>
    <mergeCell ref="G9:J9"/>
    <mergeCell ref="K11:L11"/>
    <mergeCell ref="C85:D85"/>
    <mergeCell ref="E20:F20"/>
    <mergeCell ref="K47:L47"/>
    <mergeCell ref="C84:D84"/>
    <mergeCell ref="E13:F13"/>
    <mergeCell ref="C22:D22"/>
    <mergeCell ref="E84:F84"/>
    <mergeCell ref="K46:L46"/>
    <mergeCell ref="G11:J11"/>
    <mergeCell ref="E78:F78"/>
    <mergeCell ref="K40:L40"/>
    <mergeCell ref="E15:F15"/>
    <mergeCell ref="E86:F86"/>
    <mergeCell ref="C51:D51"/>
    <mergeCell ref="E80:F80"/>
    <mergeCell ref="K71:L71"/>
    <mergeCell ref="K73:L73"/>
    <mergeCell ref="C38:D38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10:D10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C56:D56"/>
    <mergeCell ref="E34:F34"/>
    <mergeCell ref="C43:D43"/>
    <mergeCell ref="K67:L67"/>
    <mergeCell ref="E49:F49"/>
    <mergeCell ref="C36:D36"/>
    <mergeCell ref="E36:F36"/>
    <mergeCell ref="C67:D67"/>
    <mergeCell ref="K69:L69"/>
    <mergeCell ref="C69:D69"/>
    <mergeCell ref="G20:J20"/>
    <mergeCell ref="G91:J91"/>
    <mergeCell ref="G85:J85"/>
    <mergeCell ref="K64:L64"/>
    <mergeCell ref="C4:D4"/>
    <mergeCell ref="G84:J84"/>
    <mergeCell ref="E4:F4"/>
    <mergeCell ref="G22:J22"/>
    <mergeCell ref="K51:L51"/>
    <mergeCell ref="K72:L72"/>
    <mergeCell ref="G86:J86"/>
    <mergeCell ref="C60:D60"/>
    <mergeCell ref="G38:J38"/>
    <mergeCell ref="E26:F26"/>
    <mergeCell ref="K17:L17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35:J35"/>
    <mergeCell ref="C58:D58"/>
    <mergeCell ref="E52:F52"/>
    <mergeCell ref="E39:F39"/>
    <mergeCell ref="E44:F44"/>
    <mergeCell ref="K60:L60"/>
    <mergeCell ref="C75:D75"/>
    <mergeCell ref="G59:J59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K91:L91"/>
    <mergeCell ref="G56:J56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13:D13"/>
    <mergeCell ref="K4:L4"/>
    <mergeCell ref="C78:D7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tabColor rgb="FF2F3A4A"/>
    <outlinePr summaryBelow="1" summaryRight="1"/>
    <pageSetUpPr/>
  </sheetPr>
  <dimension ref="A1:M217"/>
  <sheetViews>
    <sheetView showGridLines="0" zoomScale="90" zoomScaleNormal="9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25" customHeight="1"/>
  <cols>
    <col width="16" customWidth="1" style="468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8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8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</row>
    <row r="3" ht="15" customHeight="1" s="468">
      <c r="A3" s="631" t="n">
        <v>46204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</row>
    <row r="4" ht="21" customHeight="1" s="468">
      <c r="A4" s="685" t="n"/>
      <c r="B4" s="218" t="n"/>
      <c r="C4" s="219" t="n"/>
      <c r="D4" s="220" t="n"/>
      <c r="E4" s="221" t="inlineStr">
        <is>
          <t>CX</t>
        </is>
      </c>
      <c r="F4" s="68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20">
        <f>IFERROR(ROUNDUP(D4/F4,0),"")</f>
        <v/>
      </c>
      <c r="H4" s="224" t="n"/>
      <c r="I4" s="220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552" t="n"/>
      <c r="K4" s="552" t="n"/>
      <c r="L4" s="552" t="n"/>
      <c r="M4" s="552" t="n"/>
    </row>
    <row r="5" ht="21" customHeight="1" s="468">
      <c r="A5" s="685" t="n"/>
      <c r="B5" s="218" t="n"/>
      <c r="C5" s="219" t="n"/>
      <c r="D5" s="220" t="n"/>
      <c r="E5" s="221" t="inlineStr">
        <is>
          <t>CX</t>
        </is>
      </c>
      <c r="F5" s="68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20">
        <f>IFERROR(ROUNDUP(D5/F5,0),"")</f>
        <v/>
      </c>
      <c r="H5" s="224" t="n"/>
      <c r="I5" s="22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552" t="n"/>
      <c r="K5" s="552" t="n"/>
      <c r="L5" s="552" t="n"/>
      <c r="M5" s="552" t="n"/>
    </row>
    <row r="6" ht="21" customHeight="1" s="468">
      <c r="A6" s="685" t="n"/>
      <c r="B6" s="218" t="n"/>
      <c r="C6" s="219" t="n"/>
      <c r="D6" s="220" t="n"/>
      <c r="E6" s="221" t="inlineStr">
        <is>
          <t>CX</t>
        </is>
      </c>
      <c r="F6" s="68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20">
        <f>IFERROR(ROUNDUP(D6/F6,0),"")</f>
        <v/>
      </c>
      <c r="H6" s="224" t="n"/>
      <c r="I6" s="220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552" t="n"/>
      <c r="K6" s="552" t="n"/>
      <c r="L6" s="552" t="n"/>
      <c r="M6" s="552" t="n"/>
    </row>
    <row r="7" ht="21" customHeight="1" s="468">
      <c r="A7" s="685" t="n"/>
      <c r="B7" s="218" t="n"/>
      <c r="C7" s="219" t="n"/>
      <c r="D7" s="220" t="n"/>
      <c r="E7" s="221" t="inlineStr">
        <is>
          <t>CX</t>
        </is>
      </c>
      <c r="F7" s="68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20">
        <f>IFERROR(ROUNDUP(D7/F7,0),"")</f>
        <v/>
      </c>
      <c r="H7" s="224" t="n"/>
      <c r="I7" s="220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2" t="n"/>
      <c r="K7" s="552" t="n"/>
      <c r="L7" s="552" t="n"/>
      <c r="M7" s="552" t="n"/>
    </row>
    <row r="8" ht="21" customHeight="1" s="468">
      <c r="A8" s="685" t="n"/>
      <c r="B8" s="218" t="n"/>
      <c r="C8" s="219" t="n"/>
      <c r="D8" s="220" t="n"/>
      <c r="E8" s="221" t="inlineStr">
        <is>
          <t>CX</t>
        </is>
      </c>
      <c r="F8" s="68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20">
        <f>IFERROR(ROUNDUP(D8/F8,0),"")</f>
        <v/>
      </c>
      <c r="H8" s="224" t="n"/>
      <c r="I8" s="220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552" t="n"/>
      <c r="K8" s="552" t="n"/>
      <c r="L8" s="552" t="n"/>
      <c r="M8" s="552" t="n"/>
    </row>
    <row r="9" ht="15" customHeight="1" s="468">
      <c r="A9" s="658" t="n"/>
      <c r="B9" s="640" t="inlineStr">
        <is>
          <t>TOTAL</t>
        </is>
      </c>
      <c r="C9" s="667" t="n"/>
      <c r="D9" s="642">
        <f>SUM(D4:D8)</f>
        <v/>
      </c>
      <c r="E9" s="668" t="n"/>
      <c r="F9" s="644" t="n"/>
      <c r="G9" s="642">
        <f>SUM(G4:G8)</f>
        <v/>
      </c>
      <c r="H9" s="642">
        <f>SUM(H4:H8)</f>
        <v/>
      </c>
      <c r="I9" s="642">
        <f>SUM(I4:I8)</f>
        <v/>
      </c>
      <c r="J9" s="644">
        <f>D9</f>
        <v/>
      </c>
      <c r="K9" s="644">
        <f>G9</f>
        <v/>
      </c>
      <c r="L9" s="644">
        <f>H9</f>
        <v/>
      </c>
      <c r="M9" s="644">
        <f>I9</f>
        <v/>
      </c>
    </row>
    <row r="10" ht="6" customHeight="1" s="468">
      <c r="A10" s="638" t="n"/>
      <c r="C10" s="71" t="n"/>
      <c r="D10" s="552" t="n"/>
      <c r="F10" s="552" t="n"/>
      <c r="G10" s="552" t="n"/>
      <c r="H10" s="552" t="n"/>
      <c r="I10" s="552" t="n"/>
      <c r="J10" s="552" t="n"/>
      <c r="K10" s="552" t="n"/>
      <c r="L10" s="552" t="n"/>
      <c r="M10" s="552" t="n"/>
    </row>
    <row r="11" ht="15" customHeight="1" s="468">
      <c r="A11" s="646" t="n">
        <v>46205</v>
      </c>
      <c r="B11" s="213" t="inlineStr">
        <is>
          <t>PRODUTO</t>
        </is>
      </c>
      <c r="C11" s="214" t="inlineStr">
        <is>
          <t>EMBALAGEM</t>
        </is>
      </c>
      <c r="D11" s="244" t="inlineStr">
        <is>
          <t>CAIXAS</t>
        </is>
      </c>
      <c r="E11" s="215" t="inlineStr">
        <is>
          <t>UN</t>
        </is>
      </c>
      <c r="F11" s="687" t="inlineStr">
        <is>
          <t>CX/PALLET</t>
        </is>
      </c>
      <c r="G11" s="244" t="inlineStr">
        <is>
          <t>PALLETS (PBR)</t>
        </is>
      </c>
      <c r="H11" s="244" t="inlineStr">
        <is>
          <t>REAL (CX)</t>
        </is>
      </c>
      <c r="I11" s="244" t="inlineStr">
        <is>
          <t>TOTAL LATAS</t>
        </is>
      </c>
      <c r="J11" s="552" t="n"/>
      <c r="K11" s="552" t="n"/>
      <c r="L11" s="552" t="n"/>
      <c r="M11" s="552" t="n"/>
    </row>
    <row r="12" ht="21" customHeight="1" s="468">
      <c r="A12" s="685" t="n"/>
      <c r="B12" s="218" t="n"/>
      <c r="C12" s="219" t="n"/>
      <c r="D12" s="220" t="n"/>
      <c r="E12" s="221" t="inlineStr">
        <is>
          <t>CX</t>
        </is>
      </c>
      <c r="F12" s="686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20">
        <f>IFERROR(ROUNDUP(D12/F12,0),"")</f>
        <v/>
      </c>
      <c r="H12" s="224" t="n"/>
      <c r="I12" s="220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  <c r="J12" s="552" t="n"/>
      <c r="K12" s="552" t="n"/>
      <c r="L12" s="552" t="n"/>
      <c r="M12" s="552" t="n"/>
    </row>
    <row r="13" ht="21" customHeight="1" s="468">
      <c r="A13" s="685" t="n"/>
      <c r="B13" s="218" t="n"/>
      <c r="C13" s="219" t="n"/>
      <c r="D13" s="220" t="n"/>
      <c r="E13" s="221" t="inlineStr">
        <is>
          <t>CX</t>
        </is>
      </c>
      <c r="F13" s="68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20">
        <f>IFERROR(ROUNDUP(D13/F13,0),"")</f>
        <v/>
      </c>
      <c r="H13" s="224" t="n"/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552" t="n"/>
      <c r="K13" s="552" t="n"/>
      <c r="L13" s="552" t="n"/>
      <c r="M13" s="552" t="n"/>
    </row>
    <row r="14" ht="21" customHeight="1" s="468">
      <c r="A14" s="685" t="n"/>
      <c r="B14" s="218" t="n"/>
      <c r="C14" s="219" t="n"/>
      <c r="D14" s="220" t="n"/>
      <c r="E14" s="221" t="inlineStr">
        <is>
          <t>CX</t>
        </is>
      </c>
      <c r="F14" s="68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20">
        <f>IFERROR(ROUNDUP(D14/F14,0),"")</f>
        <v/>
      </c>
      <c r="H14" s="224" t="n"/>
      <c r="I14" s="220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52" t="n"/>
      <c r="K14" s="552" t="n"/>
      <c r="L14" s="552" t="n"/>
      <c r="M14" s="552" t="n"/>
    </row>
    <row r="15" ht="21" customHeight="1" s="468">
      <c r="A15" s="685" t="n"/>
      <c r="B15" s="218" t="n"/>
      <c r="C15" s="219" t="n"/>
      <c r="D15" s="220" t="n"/>
      <c r="E15" s="221" t="inlineStr">
        <is>
          <t>CX</t>
        </is>
      </c>
      <c r="F15" s="686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20">
        <f>IFERROR(ROUNDUP(D15/F15,0),"")</f>
        <v/>
      </c>
      <c r="H15" s="224" t="n"/>
      <c r="I15" s="220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2" t="n"/>
      <c r="K15" s="552" t="n"/>
      <c r="L15" s="552" t="n"/>
      <c r="M15" s="552" t="n"/>
    </row>
    <row r="16" ht="21" customHeight="1" s="468">
      <c r="A16" s="685" t="n"/>
      <c r="B16" s="218" t="n"/>
      <c r="C16" s="219" t="n"/>
      <c r="D16" s="220" t="n"/>
      <c r="E16" s="221" t="inlineStr">
        <is>
          <t>CX</t>
        </is>
      </c>
      <c r="F16" s="686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20">
        <f>IFERROR(ROUNDUP(D16/F16,0),"")</f>
        <v/>
      </c>
      <c r="H16" s="224" t="n"/>
      <c r="I16" s="220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552" t="n"/>
      <c r="K16" s="552" t="n"/>
      <c r="L16" s="552" t="n"/>
      <c r="M16" s="552" t="n"/>
    </row>
    <row r="17" ht="15" customHeight="1" s="468">
      <c r="A17" s="658" t="n"/>
      <c r="B17" s="640" t="inlineStr">
        <is>
          <t>TOTAL</t>
        </is>
      </c>
      <c r="C17" s="667" t="n"/>
      <c r="D17" s="642">
        <f>SUM(D12:D16)</f>
        <v/>
      </c>
      <c r="E17" s="668" t="n"/>
      <c r="F17" s="644" t="n"/>
      <c r="G17" s="642">
        <f>SUM(G12:G16)</f>
        <v/>
      </c>
      <c r="H17" s="642">
        <f>SUM(H12:H16)</f>
        <v/>
      </c>
      <c r="I17" s="642">
        <f>SUM(I12:I16)</f>
        <v/>
      </c>
      <c r="J17" s="644">
        <f>D17</f>
        <v/>
      </c>
      <c r="K17" s="644">
        <f>G17</f>
        <v/>
      </c>
      <c r="L17" s="644">
        <f>H17</f>
        <v/>
      </c>
      <c r="M17" s="644">
        <f>I17</f>
        <v/>
      </c>
    </row>
    <row r="18" ht="6" customHeight="1" s="468">
      <c r="A18" s="638" t="n"/>
      <c r="C18" s="71" t="n"/>
      <c r="D18" s="552" t="n"/>
      <c r="F18" s="552" t="n"/>
      <c r="G18" s="552" t="n"/>
      <c r="H18" s="552" t="n"/>
      <c r="I18" s="552" t="n"/>
      <c r="J18" s="552" t="n"/>
      <c r="K18" s="552" t="n"/>
      <c r="L18" s="552" t="n"/>
      <c r="M18" s="552" t="n"/>
    </row>
    <row r="19" ht="15" customHeight="1" s="468">
      <c r="A19" s="646" t="n">
        <v>46206</v>
      </c>
      <c r="B19" s="213" t="inlineStr">
        <is>
          <t>PRODUTO</t>
        </is>
      </c>
      <c r="C19" s="214" t="inlineStr">
        <is>
          <t>EMBALAGEM</t>
        </is>
      </c>
      <c r="D19" s="244" t="inlineStr">
        <is>
          <t>CAIXAS</t>
        </is>
      </c>
      <c r="E19" s="215" t="inlineStr">
        <is>
          <t>UN</t>
        </is>
      </c>
      <c r="F19" s="687" t="inlineStr">
        <is>
          <t>CX/PALLET</t>
        </is>
      </c>
      <c r="G19" s="244" t="inlineStr">
        <is>
          <t>PALLETS (PBR)</t>
        </is>
      </c>
      <c r="H19" s="244" t="inlineStr">
        <is>
          <t>REAL (CX)</t>
        </is>
      </c>
      <c r="I19" s="244" t="inlineStr">
        <is>
          <t>TOTAL LATAS</t>
        </is>
      </c>
      <c r="J19" s="552" t="n"/>
      <c r="K19" s="552" t="n"/>
      <c r="L19" s="552" t="n"/>
      <c r="M19" s="552" t="n"/>
    </row>
    <row r="20" ht="21" customHeight="1" s="468">
      <c r="A20" s="685" t="n"/>
      <c r="B20" s="218" t="n"/>
      <c r="C20" s="219" t="n"/>
      <c r="D20" s="220" t="n"/>
      <c r="E20" s="221" t="inlineStr">
        <is>
          <t>CX</t>
        </is>
      </c>
      <c r="F20" s="686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20">
        <f>IFERROR(ROUNDUP(D20/F20,0),"")</f>
        <v/>
      </c>
      <c r="H20" s="224" t="n"/>
      <c r="I20" s="220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552" t="n"/>
      <c r="K20" s="552" t="n"/>
      <c r="L20" s="552" t="n"/>
      <c r="M20" s="552" t="n"/>
    </row>
    <row r="21" ht="21" customHeight="1" s="468">
      <c r="A21" s="685" t="n"/>
      <c r="B21" s="218" t="n"/>
      <c r="C21" s="219" t="n"/>
      <c r="D21" s="220" t="n"/>
      <c r="E21" s="221" t="inlineStr">
        <is>
          <t>CX</t>
        </is>
      </c>
      <c r="F21" s="686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20">
        <f>IFERROR(ROUNDUP(D21/F21,0),"")</f>
        <v/>
      </c>
      <c r="H21" s="224" t="n"/>
      <c r="I21" s="22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552" t="n"/>
      <c r="K21" s="552" t="n"/>
      <c r="L21" s="552" t="n"/>
      <c r="M21" s="552" t="n"/>
    </row>
    <row r="22" ht="21" customHeight="1" s="468">
      <c r="A22" s="685" t="n"/>
      <c r="B22" s="218" t="n"/>
      <c r="C22" s="219" t="n"/>
      <c r="D22" s="220" t="n"/>
      <c r="E22" s="221" t="inlineStr">
        <is>
          <t>CX</t>
        </is>
      </c>
      <c r="F22" s="686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20">
        <f>IFERROR(ROUNDUP(D22/F22,0),"")</f>
        <v/>
      </c>
      <c r="H22" s="224" t="n"/>
      <c r="I22" s="220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552" t="n"/>
      <c r="K22" s="552" t="n"/>
      <c r="L22" s="552" t="n"/>
      <c r="M22" s="552" t="n"/>
    </row>
    <row r="23" ht="21" customHeight="1" s="468">
      <c r="A23" s="685" t="n"/>
      <c r="B23" s="218" t="n"/>
      <c r="C23" s="219" t="n"/>
      <c r="D23" s="220" t="n"/>
      <c r="E23" s="221" t="inlineStr">
        <is>
          <t>CX</t>
        </is>
      </c>
      <c r="F23" s="686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20">
        <f>IFERROR(ROUNDUP(D23/F23,0),"")</f>
        <v/>
      </c>
      <c r="H23" s="224" t="n"/>
      <c r="I23" s="220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52" t="n"/>
      <c r="K23" s="552" t="n"/>
      <c r="L23" s="552" t="n"/>
      <c r="M23" s="552" t="n"/>
    </row>
    <row r="24" ht="21" customHeight="1" s="468">
      <c r="A24" s="685" t="n"/>
      <c r="B24" s="218" t="n"/>
      <c r="C24" s="219" t="n"/>
      <c r="D24" s="220" t="n"/>
      <c r="E24" s="221" t="inlineStr">
        <is>
          <t>CX</t>
        </is>
      </c>
      <c r="F24" s="686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20">
        <f>IFERROR(ROUNDUP(D24/F24,0),"")</f>
        <v/>
      </c>
      <c r="H24" s="224" t="n"/>
      <c r="I24" s="220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552" t="n"/>
      <c r="K24" s="552" t="n"/>
      <c r="L24" s="552" t="n"/>
      <c r="M24" s="552" t="n"/>
    </row>
    <row r="25" ht="15" customHeight="1" s="468">
      <c r="A25" s="658" t="n"/>
      <c r="B25" s="640" t="inlineStr">
        <is>
          <t>TOTAL</t>
        </is>
      </c>
      <c r="C25" s="667" t="n"/>
      <c r="D25" s="642">
        <f>SUM(D20:D24)</f>
        <v/>
      </c>
      <c r="E25" s="668" t="n"/>
      <c r="F25" s="644" t="n"/>
      <c r="G25" s="642">
        <f>SUM(G20:G24)</f>
        <v/>
      </c>
      <c r="H25" s="642">
        <f>SUM(H20:H24)</f>
        <v/>
      </c>
      <c r="I25" s="642">
        <f>SUM(I20:I24)</f>
        <v/>
      </c>
      <c r="J25" s="644">
        <f>D25</f>
        <v/>
      </c>
      <c r="K25" s="644">
        <f>G25</f>
        <v/>
      </c>
      <c r="L25" s="644">
        <f>H25</f>
        <v/>
      </c>
      <c r="M25" s="644">
        <f>I25</f>
        <v/>
      </c>
    </row>
    <row r="26" ht="6" customHeight="1" s="468">
      <c r="A26" s="638" t="n"/>
      <c r="C26" s="71" t="n"/>
      <c r="D26" s="552" t="n"/>
      <c r="F26" s="552" t="n"/>
      <c r="G26" s="552" t="n"/>
      <c r="H26" s="552" t="n"/>
      <c r="I26" s="552" t="n"/>
      <c r="J26" s="552" t="n"/>
      <c r="K26" s="552" t="n"/>
      <c r="L26" s="552" t="n"/>
      <c r="M26" s="552" t="n"/>
    </row>
    <row r="27" ht="15" customHeight="1" s="468">
      <c r="A27" s="696" t="n">
        <v>46207</v>
      </c>
      <c r="B27" s="213" t="inlineStr">
        <is>
          <t>PRODUTO</t>
        </is>
      </c>
      <c r="C27" s="214" t="inlineStr">
        <is>
          <t>EMBALAGEM</t>
        </is>
      </c>
      <c r="D27" s="244" t="inlineStr">
        <is>
          <t>CAIXAS</t>
        </is>
      </c>
      <c r="E27" s="215" t="inlineStr">
        <is>
          <t>UN</t>
        </is>
      </c>
      <c r="F27" s="697" t="inlineStr">
        <is>
          <t>CX/PALLET</t>
        </is>
      </c>
      <c r="G27" s="244" t="inlineStr">
        <is>
          <t>PALLETS (PBR)</t>
        </is>
      </c>
      <c r="H27" s="244" t="inlineStr">
        <is>
          <t>REAL (CX)</t>
        </is>
      </c>
      <c r="I27" s="244" t="inlineStr">
        <is>
          <t>TOTAL LATAS</t>
        </is>
      </c>
      <c r="J27" s="274" t="n"/>
      <c r="K27" s="274" t="n"/>
      <c r="L27" s="274" t="n"/>
      <c r="M27" s="274" t="n"/>
    </row>
    <row r="28" ht="21" customHeight="1" s="468">
      <c r="A28" s="685" t="n"/>
      <c r="B28" s="266" t="n"/>
      <c r="C28" s="267" t="n"/>
      <c r="D28" s="268" t="n"/>
      <c r="E28" s="269" t="inlineStr">
        <is>
          <t>CX</t>
        </is>
      </c>
      <c r="F28" s="698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68">
        <f>IFERROR(ROUNDUP(D28/F28,0),"")</f>
        <v/>
      </c>
      <c r="H28" s="224" t="n"/>
      <c r="I28" s="268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274" t="n"/>
      <c r="K28" s="274" t="n"/>
      <c r="L28" s="274" t="n"/>
      <c r="M28" s="274" t="n"/>
    </row>
    <row r="29" ht="21" customHeight="1" s="468">
      <c r="A29" s="685" t="n"/>
      <c r="B29" s="266" t="n"/>
      <c r="C29" s="267" t="n"/>
      <c r="D29" s="268" t="n"/>
      <c r="E29" s="269" t="inlineStr">
        <is>
          <t>CX</t>
        </is>
      </c>
      <c r="F29" s="698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68">
        <f>IFERROR(ROUNDUP(D29/F29,0),"")</f>
        <v/>
      </c>
      <c r="H29" s="224" t="n"/>
      <c r="I29" s="268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274" t="n"/>
      <c r="K29" s="274" t="n"/>
      <c r="L29" s="274" t="n"/>
      <c r="M29" s="274" t="n"/>
    </row>
    <row r="30" ht="21" customHeight="1" s="468">
      <c r="A30" s="685" t="n"/>
      <c r="B30" s="266" t="n"/>
      <c r="C30" s="267" t="n"/>
      <c r="D30" s="268" t="n"/>
      <c r="E30" s="269" t="inlineStr">
        <is>
          <t>CX</t>
        </is>
      </c>
      <c r="F30" s="698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68">
        <f>IFERROR(ROUNDUP(D30/F30,0),"")</f>
        <v/>
      </c>
      <c r="H30" s="224" t="n"/>
      <c r="I30" s="268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274" t="n"/>
      <c r="K30" s="274" t="n"/>
      <c r="L30" s="274" t="n"/>
      <c r="M30" s="274" t="n"/>
    </row>
    <row r="31" ht="21" customHeight="1" s="468">
      <c r="A31" s="685" t="n"/>
      <c r="B31" s="266" t="n"/>
      <c r="C31" s="267" t="n"/>
      <c r="D31" s="268" t="n"/>
      <c r="E31" s="269" t="inlineStr">
        <is>
          <t>CX</t>
        </is>
      </c>
      <c r="F31" s="698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68">
        <f>IFERROR(ROUNDUP(D31/F31,0),"")</f>
        <v/>
      </c>
      <c r="H31" s="224" t="n"/>
      <c r="I31" s="268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274" t="n"/>
      <c r="K31" s="274" t="n"/>
      <c r="L31" s="274" t="n"/>
      <c r="M31" s="274" t="n"/>
    </row>
    <row r="32" ht="21" customHeight="1" s="468">
      <c r="A32" s="685" t="n"/>
      <c r="B32" s="266" t="n"/>
      <c r="C32" s="267" t="n"/>
      <c r="D32" s="268" t="n"/>
      <c r="E32" s="269" t="inlineStr">
        <is>
          <t>CX</t>
        </is>
      </c>
      <c r="F32" s="698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68">
        <f>IFERROR(ROUNDUP(D32/F32,0),"")</f>
        <v/>
      </c>
      <c r="H32" s="224" t="n"/>
      <c r="I32" s="268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274" t="n"/>
      <c r="K32" s="274" t="n"/>
      <c r="L32" s="274" t="n"/>
      <c r="M32" s="274" t="n"/>
    </row>
    <row r="33" ht="15" customHeight="1" s="468">
      <c r="A33" s="658" t="n"/>
      <c r="B33" s="640" t="inlineStr">
        <is>
          <t>TOTAL</t>
        </is>
      </c>
      <c r="C33" s="667" t="n"/>
      <c r="D33" s="642">
        <f>SUM(D28:D32)</f>
        <v/>
      </c>
      <c r="E33" s="668" t="n"/>
      <c r="F33" s="644" t="n"/>
      <c r="G33" s="642">
        <f>SUM(G28:G32)</f>
        <v/>
      </c>
      <c r="H33" s="642">
        <f>SUM(H28:H32)</f>
        <v/>
      </c>
      <c r="I33" s="642">
        <f>SUM(I28:I32)</f>
        <v/>
      </c>
      <c r="J33" s="644">
        <f>D33</f>
        <v/>
      </c>
      <c r="K33" s="644">
        <f>G33</f>
        <v/>
      </c>
      <c r="L33" s="644">
        <f>H33</f>
        <v/>
      </c>
      <c r="M33" s="644">
        <f>I33</f>
        <v/>
      </c>
    </row>
    <row r="34" ht="6" customHeight="1" s="468">
      <c r="A34" s="699" t="n"/>
      <c r="B34" s="265" t="n"/>
      <c r="C34" s="276" t="n"/>
      <c r="D34" s="274" t="n"/>
      <c r="E34" s="265" t="n"/>
      <c r="F34" s="274" t="n"/>
      <c r="G34" s="274" t="n"/>
      <c r="H34" s="274" t="n"/>
      <c r="I34" s="274" t="n"/>
      <c r="J34" s="274" t="n"/>
      <c r="K34" s="274" t="n"/>
      <c r="L34" s="274" t="n"/>
      <c r="M34" s="274" t="n"/>
    </row>
    <row r="35" ht="15" customHeight="1" s="468">
      <c r="A35" s="646" t="n">
        <v>46209</v>
      </c>
      <c r="B35" s="213" t="inlineStr">
        <is>
          <t>PRODUTO</t>
        </is>
      </c>
      <c r="C35" s="214" t="inlineStr">
        <is>
          <t>EMBALAGEM</t>
        </is>
      </c>
      <c r="D35" s="244" t="inlineStr">
        <is>
          <t>CAIXAS</t>
        </is>
      </c>
      <c r="E35" s="215" t="inlineStr">
        <is>
          <t>UN</t>
        </is>
      </c>
      <c r="F35" s="687" t="inlineStr">
        <is>
          <t>CX/PALLET</t>
        </is>
      </c>
      <c r="G35" s="244" t="inlineStr">
        <is>
          <t>PALLETS (PBR)</t>
        </is>
      </c>
      <c r="H35" s="244" t="inlineStr">
        <is>
          <t>REAL (CX)</t>
        </is>
      </c>
      <c r="I35" s="244" t="inlineStr">
        <is>
          <t>TOTAL LATAS</t>
        </is>
      </c>
      <c r="J35" s="552" t="n"/>
      <c r="K35" s="552" t="n"/>
      <c r="L35" s="552" t="n"/>
      <c r="M35" s="552" t="n"/>
    </row>
    <row r="36" ht="21" customHeight="1" s="468">
      <c r="A36" s="685" t="n"/>
      <c r="B36" s="218" t="n"/>
      <c r="C36" s="219" t="n"/>
      <c r="D36" s="220" t="n"/>
      <c r="E36" s="221" t="inlineStr">
        <is>
          <t>CX</t>
        </is>
      </c>
      <c r="F36" s="68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20">
        <f>IFERROR(ROUNDUP(D36/F36,0),"")</f>
        <v/>
      </c>
      <c r="H36" s="224" t="n"/>
      <c r="I36" s="220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552" t="n"/>
      <c r="K36" s="552" t="n"/>
      <c r="L36" s="552" t="n"/>
      <c r="M36" s="552" t="n"/>
    </row>
    <row r="37" ht="21" customHeight="1" s="468">
      <c r="A37" s="685" t="n"/>
      <c r="B37" s="218" t="n"/>
      <c r="C37" s="219" t="n"/>
      <c r="D37" s="220" t="n"/>
      <c r="E37" s="221" t="inlineStr">
        <is>
          <t>CX</t>
        </is>
      </c>
      <c r="F37" s="686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20">
        <f>IFERROR(ROUNDUP(D37/F37,0),"")</f>
        <v/>
      </c>
      <c r="H37" s="224" t="n"/>
      <c r="I37" s="220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552" t="n"/>
      <c r="K37" s="552" t="n"/>
      <c r="L37" s="552" t="n"/>
      <c r="M37" s="552" t="n"/>
    </row>
    <row r="38" ht="21" customHeight="1" s="468">
      <c r="A38" s="685" t="n"/>
      <c r="B38" s="218" t="n"/>
      <c r="C38" s="219" t="n"/>
      <c r="D38" s="220" t="n"/>
      <c r="E38" s="221" t="inlineStr">
        <is>
          <t>CX</t>
        </is>
      </c>
      <c r="F38" s="686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20">
        <f>IFERROR(ROUNDUP(D38/F38,0),"")</f>
        <v/>
      </c>
      <c r="H38" s="224" t="n"/>
      <c r="I38" s="220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552" t="n"/>
      <c r="K38" s="552" t="n"/>
      <c r="L38" s="552" t="n"/>
      <c r="M38" s="552" t="n"/>
    </row>
    <row r="39" ht="21" customHeight="1" s="468">
      <c r="A39" s="685" t="n"/>
      <c r="B39" s="218" t="n"/>
      <c r="C39" s="219" t="n"/>
      <c r="D39" s="220" t="n"/>
      <c r="E39" s="221" t="inlineStr">
        <is>
          <t>CX</t>
        </is>
      </c>
      <c r="F39" s="686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20">
        <f>IFERROR(ROUNDUP(D39/F39,0),"")</f>
        <v/>
      </c>
      <c r="H39" s="224" t="n"/>
      <c r="I39" s="220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52" t="n"/>
      <c r="K39" s="552" t="n"/>
      <c r="L39" s="552" t="n"/>
      <c r="M39" s="552" t="n"/>
    </row>
    <row r="40" ht="21" customHeight="1" s="468">
      <c r="A40" s="685" t="n"/>
      <c r="B40" s="218" t="n"/>
      <c r="C40" s="219" t="n"/>
      <c r="D40" s="220" t="n"/>
      <c r="E40" s="221" t="inlineStr">
        <is>
          <t>CX</t>
        </is>
      </c>
      <c r="F40" s="68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20">
        <f>IFERROR(ROUNDUP(D40/F40,0),"")</f>
        <v/>
      </c>
      <c r="H40" s="224" t="n"/>
      <c r="I40" s="220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552" t="n"/>
      <c r="K40" s="552" t="n"/>
      <c r="L40" s="552" t="n"/>
      <c r="M40" s="552" t="n"/>
    </row>
    <row r="41" ht="15" customHeight="1" s="468">
      <c r="A41" s="658" t="n"/>
      <c r="B41" s="640" t="inlineStr">
        <is>
          <t>TOTAL</t>
        </is>
      </c>
      <c r="C41" s="667" t="n"/>
      <c r="D41" s="642">
        <f>SUM(D36:D40)</f>
        <v/>
      </c>
      <c r="E41" s="668" t="n"/>
      <c r="F41" s="644" t="n"/>
      <c r="G41" s="642">
        <f>SUM(G36:G40)</f>
        <v/>
      </c>
      <c r="H41" s="642">
        <f>SUM(H36:H40)</f>
        <v/>
      </c>
      <c r="I41" s="642">
        <f>SUM(I36:I40)</f>
        <v/>
      </c>
      <c r="J41" s="644">
        <f>D41</f>
        <v/>
      </c>
      <c r="K41" s="644">
        <f>G41</f>
        <v/>
      </c>
      <c r="L41" s="644">
        <f>H41</f>
        <v/>
      </c>
      <c r="M41" s="644">
        <f>I41</f>
        <v/>
      </c>
    </row>
    <row r="42" ht="6" customHeight="1" s="468">
      <c r="A42" s="638" t="n"/>
      <c r="C42" s="71" t="n"/>
      <c r="D42" s="552" t="n"/>
      <c r="F42" s="552" t="n"/>
      <c r="G42" s="552" t="n"/>
      <c r="H42" s="552" t="n"/>
      <c r="I42" s="552" t="n"/>
      <c r="J42" s="552" t="n"/>
      <c r="K42" s="552" t="n"/>
      <c r="L42" s="552" t="n"/>
      <c r="M42" s="552" t="n"/>
    </row>
    <row r="43" ht="15" customHeight="1" s="468">
      <c r="A43" s="646" t="n">
        <v>46210</v>
      </c>
      <c r="B43" s="213" t="inlineStr">
        <is>
          <t>PRODUTO</t>
        </is>
      </c>
      <c r="C43" s="214" t="inlineStr">
        <is>
          <t>EMBALAGEM</t>
        </is>
      </c>
      <c r="D43" s="244" t="inlineStr">
        <is>
          <t>CAIXAS</t>
        </is>
      </c>
      <c r="E43" s="215" t="inlineStr">
        <is>
          <t>UN</t>
        </is>
      </c>
      <c r="F43" s="687" t="inlineStr">
        <is>
          <t>CX/PALLET</t>
        </is>
      </c>
      <c r="G43" s="244" t="inlineStr">
        <is>
          <t>PALLETS (PBR)</t>
        </is>
      </c>
      <c r="H43" s="244" t="inlineStr">
        <is>
          <t>REAL (CX)</t>
        </is>
      </c>
      <c r="I43" s="244" t="inlineStr">
        <is>
          <t>TOTAL LATAS</t>
        </is>
      </c>
      <c r="J43" s="552" t="n"/>
      <c r="K43" s="552" t="n"/>
      <c r="L43" s="552" t="n"/>
      <c r="M43" s="552" t="n"/>
    </row>
    <row r="44" ht="21" customHeight="1" s="468">
      <c r="A44" s="685" t="n"/>
      <c r="B44" s="218" t="n"/>
      <c r="C44" s="219" t="n"/>
      <c r="D44" s="220" t="n"/>
      <c r="E44" s="221" t="inlineStr">
        <is>
          <t>CX</t>
        </is>
      </c>
      <c r="F44" s="686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20">
        <f>IFERROR(ROUNDUP(D44/F44,0),"")</f>
        <v/>
      </c>
      <c r="H44" s="224" t="n"/>
      <c r="I44" s="220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552" t="n"/>
      <c r="K44" s="552" t="n"/>
      <c r="L44" s="552" t="n"/>
      <c r="M44" s="552" t="n"/>
    </row>
    <row r="45" ht="21" customHeight="1" s="468">
      <c r="A45" s="685" t="n"/>
      <c r="B45" s="218" t="n"/>
      <c r="C45" s="219" t="n"/>
      <c r="D45" s="220" t="n"/>
      <c r="E45" s="221" t="inlineStr">
        <is>
          <t>CX</t>
        </is>
      </c>
      <c r="F45" s="68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20">
        <f>IFERROR(ROUNDUP(D45/F45,0),"")</f>
        <v/>
      </c>
      <c r="H45" s="224" t="n"/>
      <c r="I45" s="220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552" t="n"/>
      <c r="K45" s="552" t="n"/>
      <c r="L45" s="552" t="n"/>
      <c r="M45" s="552" t="n"/>
    </row>
    <row r="46" ht="21" customHeight="1" s="468">
      <c r="A46" s="685" t="n"/>
      <c r="B46" s="218" t="n"/>
      <c r="C46" s="219" t="n"/>
      <c r="D46" s="220" t="n"/>
      <c r="E46" s="221" t="inlineStr">
        <is>
          <t>CX</t>
        </is>
      </c>
      <c r="F46" s="686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20">
        <f>IFERROR(ROUNDUP(D46/F46,0),"")</f>
        <v/>
      </c>
      <c r="H46" s="224" t="n"/>
      <c r="I46" s="220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552" t="n"/>
      <c r="K46" s="552" t="n"/>
      <c r="L46" s="552" t="n"/>
      <c r="M46" s="552" t="n"/>
    </row>
    <row r="47" ht="21" customHeight="1" s="468">
      <c r="A47" s="685" t="n"/>
      <c r="B47" s="218" t="n"/>
      <c r="C47" s="219" t="n"/>
      <c r="D47" s="220" t="n"/>
      <c r="E47" s="221" t="inlineStr">
        <is>
          <t>CX</t>
        </is>
      </c>
      <c r="F47" s="686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20">
        <f>IFERROR(ROUNDUP(D47/F47,0),"")</f>
        <v/>
      </c>
      <c r="H47" s="224" t="n"/>
      <c r="I47" s="220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52" t="n"/>
      <c r="K47" s="552" t="n"/>
      <c r="L47" s="552" t="n"/>
      <c r="M47" s="552" t="n"/>
    </row>
    <row r="48" ht="21" customHeight="1" s="468">
      <c r="A48" s="685" t="n"/>
      <c r="B48" s="218" t="n"/>
      <c r="C48" s="219" t="n"/>
      <c r="D48" s="220" t="n"/>
      <c r="E48" s="221" t="inlineStr">
        <is>
          <t>CX</t>
        </is>
      </c>
      <c r="F48" s="686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20">
        <f>IFERROR(ROUNDUP(D48/F48,0),"")</f>
        <v/>
      </c>
      <c r="H48" s="224" t="n"/>
      <c r="I48" s="220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552" t="n"/>
      <c r="K48" s="552" t="n"/>
      <c r="L48" s="552" t="n"/>
      <c r="M48" s="552" t="n"/>
    </row>
    <row r="49" ht="15" customHeight="1" s="468">
      <c r="A49" s="658" t="n"/>
      <c r="B49" s="640" t="inlineStr">
        <is>
          <t>TOTAL</t>
        </is>
      </c>
      <c r="C49" s="667" t="n"/>
      <c r="D49" s="642">
        <f>SUM(D44:D48)</f>
        <v/>
      </c>
      <c r="E49" s="668" t="n"/>
      <c r="F49" s="644" t="n"/>
      <c r="G49" s="642">
        <f>SUM(G44:G48)</f>
        <v/>
      </c>
      <c r="H49" s="642">
        <f>SUM(H44:H48)</f>
        <v/>
      </c>
      <c r="I49" s="642">
        <f>SUM(I44:I48)</f>
        <v/>
      </c>
      <c r="J49" s="644">
        <f>D49</f>
        <v/>
      </c>
      <c r="K49" s="644">
        <f>G49</f>
        <v/>
      </c>
      <c r="L49" s="644">
        <f>H49</f>
        <v/>
      </c>
      <c r="M49" s="644">
        <f>I49</f>
        <v/>
      </c>
    </row>
    <row r="50" ht="6" customHeight="1" s="468">
      <c r="A50" s="638" t="n"/>
      <c r="C50" s="71" t="n"/>
      <c r="D50" s="552" t="n"/>
      <c r="F50" s="552" t="n"/>
      <c r="G50" s="552" t="n"/>
      <c r="H50" s="552" t="n"/>
      <c r="I50" s="552" t="n"/>
      <c r="J50" s="552" t="n"/>
      <c r="K50" s="552" t="n"/>
      <c r="L50" s="552" t="n"/>
      <c r="M50" s="552" t="n"/>
    </row>
    <row r="51" ht="15" customHeight="1" s="468">
      <c r="A51" s="646" t="n">
        <v>46211</v>
      </c>
      <c r="B51" s="213" t="inlineStr">
        <is>
          <t>PRODUTO</t>
        </is>
      </c>
      <c r="C51" s="214" t="inlineStr">
        <is>
          <t>EMBALAGEM</t>
        </is>
      </c>
      <c r="D51" s="244" t="inlineStr">
        <is>
          <t>CAIXAS</t>
        </is>
      </c>
      <c r="E51" s="215" t="inlineStr">
        <is>
          <t>UN</t>
        </is>
      </c>
      <c r="F51" s="687" t="inlineStr">
        <is>
          <t>CX/PALLET</t>
        </is>
      </c>
      <c r="G51" s="244" t="inlineStr">
        <is>
          <t>PALLETS (PBR)</t>
        </is>
      </c>
      <c r="H51" s="244" t="inlineStr">
        <is>
          <t>REAL (CX)</t>
        </is>
      </c>
      <c r="I51" s="244" t="inlineStr">
        <is>
          <t>TOTAL LATAS</t>
        </is>
      </c>
      <c r="J51" s="552" t="n"/>
      <c r="K51" s="552" t="n"/>
      <c r="L51" s="552" t="n"/>
      <c r="M51" s="552" t="n"/>
    </row>
    <row r="52" ht="21" customHeight="1" s="468">
      <c r="A52" s="685" t="n"/>
      <c r="B52" s="218" t="n"/>
      <c r="C52" s="219" t="n"/>
      <c r="D52" s="220" t="n"/>
      <c r="E52" s="221" t="inlineStr">
        <is>
          <t>CX</t>
        </is>
      </c>
      <c r="F52" s="686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20">
        <f>IFERROR(ROUNDUP(D52/F52,0),"")</f>
        <v/>
      </c>
      <c r="H52" s="224" t="n"/>
      <c r="I52" s="220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552" t="n"/>
      <c r="K52" s="552" t="n"/>
      <c r="L52" s="552" t="n"/>
      <c r="M52" s="552" t="n"/>
    </row>
    <row r="53" ht="21" customHeight="1" s="468">
      <c r="A53" s="685" t="n"/>
      <c r="B53" s="218" t="n"/>
      <c r="C53" s="219" t="n"/>
      <c r="D53" s="220" t="n"/>
      <c r="E53" s="221" t="inlineStr">
        <is>
          <t>CX</t>
        </is>
      </c>
      <c r="F53" s="68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20">
        <f>IFERROR(ROUNDUP(D53/F53,0),"")</f>
        <v/>
      </c>
      <c r="H53" s="224" t="n"/>
      <c r="I53" s="220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552" t="n"/>
      <c r="K53" s="552" t="n"/>
      <c r="L53" s="552" t="n"/>
      <c r="M53" s="552" t="n"/>
    </row>
    <row r="54" ht="21" customHeight="1" s="468">
      <c r="A54" s="685" t="n"/>
      <c r="B54" s="218" t="n"/>
      <c r="C54" s="219" t="n"/>
      <c r="D54" s="220" t="n"/>
      <c r="E54" s="221" t="inlineStr">
        <is>
          <t>CX</t>
        </is>
      </c>
      <c r="F54" s="686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20">
        <f>IFERROR(ROUNDUP(D54/F54,0),"")</f>
        <v/>
      </c>
      <c r="H54" s="224" t="n"/>
      <c r="I54" s="220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552" t="n"/>
      <c r="K54" s="552" t="n"/>
      <c r="L54" s="552" t="n"/>
      <c r="M54" s="552" t="n"/>
    </row>
    <row r="55" ht="21" customHeight="1" s="468">
      <c r="A55" s="685" t="n"/>
      <c r="B55" s="218" t="n"/>
      <c r="C55" s="219" t="n"/>
      <c r="D55" s="220" t="n"/>
      <c r="E55" s="221" t="inlineStr">
        <is>
          <t>CX</t>
        </is>
      </c>
      <c r="F55" s="68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20">
        <f>IFERROR(ROUNDUP(D55/F55,0),"")</f>
        <v/>
      </c>
      <c r="H55" s="224" t="n"/>
      <c r="I55" s="220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552" t="n"/>
      <c r="K55" s="552" t="n"/>
      <c r="L55" s="552" t="n"/>
      <c r="M55" s="552" t="n"/>
    </row>
    <row r="56" ht="21" customHeight="1" s="468">
      <c r="A56" s="685" t="n"/>
      <c r="B56" s="218" t="n"/>
      <c r="C56" s="219" t="n"/>
      <c r="D56" s="220" t="n"/>
      <c r="E56" s="221" t="inlineStr">
        <is>
          <t>CX</t>
        </is>
      </c>
      <c r="F56" s="686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20">
        <f>IFERROR(ROUNDUP(D56/F56,0),"")</f>
        <v/>
      </c>
      <c r="H56" s="224" t="n"/>
      <c r="I56" s="220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552" t="n"/>
      <c r="K56" s="552" t="n"/>
      <c r="L56" s="552" t="n"/>
      <c r="M56" s="552" t="n"/>
    </row>
    <row r="57" ht="15" customHeight="1" s="468">
      <c r="A57" s="658" t="n"/>
      <c r="B57" s="640" t="inlineStr">
        <is>
          <t>TOTAL</t>
        </is>
      </c>
      <c r="C57" s="667" t="n"/>
      <c r="D57" s="642">
        <f>SUM(D52:D56)</f>
        <v/>
      </c>
      <c r="E57" s="668" t="n"/>
      <c r="F57" s="644" t="n"/>
      <c r="G57" s="642">
        <f>SUM(G52:G56)</f>
        <v/>
      </c>
      <c r="H57" s="642">
        <f>SUM(H52:H56)</f>
        <v/>
      </c>
      <c r="I57" s="642">
        <f>SUM(I52:I56)</f>
        <v/>
      </c>
      <c r="J57" s="644">
        <f>D57</f>
        <v/>
      </c>
      <c r="K57" s="644">
        <f>G57</f>
        <v/>
      </c>
      <c r="L57" s="644">
        <f>H57</f>
        <v/>
      </c>
      <c r="M57" s="644">
        <f>I57</f>
        <v/>
      </c>
    </row>
    <row r="58" ht="6" customHeight="1" s="468">
      <c r="A58" s="638" t="n"/>
      <c r="C58" s="71" t="n"/>
      <c r="D58" s="552" t="n"/>
      <c r="F58" s="552" t="n"/>
      <c r="G58" s="552" t="n"/>
      <c r="H58" s="552" t="n"/>
      <c r="I58" s="552" t="n"/>
      <c r="J58" s="552" t="n"/>
      <c r="K58" s="552" t="n"/>
      <c r="L58" s="552" t="n"/>
      <c r="M58" s="552" t="n"/>
    </row>
    <row r="59" ht="15" customHeight="1" s="468">
      <c r="A59" s="646" t="n">
        <v>46212</v>
      </c>
      <c r="B59" s="213" t="inlineStr">
        <is>
          <t>PRODUTO</t>
        </is>
      </c>
      <c r="C59" s="214" t="inlineStr">
        <is>
          <t>EMBALAGEM</t>
        </is>
      </c>
      <c r="D59" s="244" t="inlineStr">
        <is>
          <t>CAIXAS</t>
        </is>
      </c>
      <c r="E59" s="215" t="inlineStr">
        <is>
          <t>UN</t>
        </is>
      </c>
      <c r="F59" s="687" t="inlineStr">
        <is>
          <t>CX/PALLET</t>
        </is>
      </c>
      <c r="G59" s="244" t="inlineStr">
        <is>
          <t>PALLETS (PBR)</t>
        </is>
      </c>
      <c r="H59" s="244" t="inlineStr">
        <is>
          <t>REAL (CX)</t>
        </is>
      </c>
      <c r="I59" s="244" t="inlineStr">
        <is>
          <t>TOTAL LATAS</t>
        </is>
      </c>
      <c r="J59" s="552" t="n"/>
      <c r="K59" s="552" t="n"/>
      <c r="L59" s="552" t="n"/>
      <c r="M59" s="552" t="n"/>
    </row>
    <row r="60" ht="21" customHeight="1" s="468">
      <c r="A60" s="685" t="n"/>
      <c r="B60" s="218" t="n"/>
      <c r="C60" s="219" t="n"/>
      <c r="D60" s="220" t="n"/>
      <c r="E60" s="221" t="inlineStr">
        <is>
          <t>CX</t>
        </is>
      </c>
      <c r="F60" s="68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20">
        <f>IFERROR(ROUNDUP(D60/F60,0),"")</f>
        <v/>
      </c>
      <c r="H60" s="224" t="n"/>
      <c r="I60" s="220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  <c r="J60" s="552" t="n"/>
      <c r="K60" s="552" t="n"/>
      <c r="L60" s="552" t="n"/>
      <c r="M60" s="552" t="n"/>
    </row>
    <row r="61" ht="21" customHeight="1" s="468">
      <c r="A61" s="685" t="n"/>
      <c r="B61" s="218" t="n"/>
      <c r="C61" s="219" t="n"/>
      <c r="D61" s="220" t="n"/>
      <c r="E61" s="221" t="inlineStr">
        <is>
          <t>CX</t>
        </is>
      </c>
      <c r="F61" s="68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20">
        <f>IFERROR(ROUNDUP(D61/F61,0),"")</f>
        <v/>
      </c>
      <c r="H61" s="224" t="n"/>
      <c r="I61" s="220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552" t="n"/>
      <c r="K61" s="552" t="n"/>
      <c r="L61" s="552" t="n"/>
      <c r="M61" s="552" t="n"/>
    </row>
    <row r="62" ht="21" customHeight="1" s="468">
      <c r="A62" s="685" t="n"/>
      <c r="B62" s="218" t="n"/>
      <c r="C62" s="219" t="n"/>
      <c r="D62" s="220" t="n"/>
      <c r="E62" s="221" t="inlineStr">
        <is>
          <t>CX</t>
        </is>
      </c>
      <c r="F62" s="686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20">
        <f>IFERROR(ROUNDUP(D62/F62,0),"")</f>
        <v/>
      </c>
      <c r="H62" s="224" t="n"/>
      <c r="I62" s="220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 t="n"/>
      <c r="K62" s="552" t="n"/>
      <c r="L62" s="552" t="n"/>
      <c r="M62" s="552" t="n"/>
    </row>
    <row r="63" ht="21" customHeight="1" s="468">
      <c r="A63" s="685" t="n"/>
      <c r="B63" s="218" t="n"/>
      <c r="C63" s="219" t="n"/>
      <c r="D63" s="220" t="n"/>
      <c r="E63" s="221" t="inlineStr">
        <is>
          <t>CX</t>
        </is>
      </c>
      <c r="F63" s="68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20">
        <f>IFERROR(ROUNDUP(D63/F63,0),"")</f>
        <v/>
      </c>
      <c r="H63" s="224" t="n"/>
      <c r="I63" s="220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552" t="n"/>
      <c r="K63" s="552" t="n"/>
      <c r="L63" s="552" t="n"/>
      <c r="M63" s="552" t="n"/>
    </row>
    <row r="64" ht="21" customHeight="1" s="468">
      <c r="A64" s="685" t="n"/>
      <c r="B64" s="218" t="n"/>
      <c r="C64" s="219" t="n"/>
      <c r="D64" s="220" t="n"/>
      <c r="E64" s="221" t="inlineStr">
        <is>
          <t>CX</t>
        </is>
      </c>
      <c r="F64" s="686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20">
        <f>IFERROR(ROUNDUP(D64/F64,0),"")</f>
        <v/>
      </c>
      <c r="H64" s="224" t="n"/>
      <c r="I64" s="220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  <c r="J64" s="552" t="n"/>
      <c r="K64" s="552" t="n"/>
      <c r="L64" s="552" t="n"/>
      <c r="M64" s="552" t="n"/>
    </row>
    <row r="65" ht="15" customHeight="1" s="468">
      <c r="A65" s="658" t="n"/>
      <c r="B65" s="640" t="inlineStr">
        <is>
          <t>TOTAL</t>
        </is>
      </c>
      <c r="C65" s="667" t="n"/>
      <c r="D65" s="642">
        <f>SUM(D60:D64)</f>
        <v/>
      </c>
      <c r="E65" s="668" t="n"/>
      <c r="F65" s="644" t="n"/>
      <c r="G65" s="642">
        <f>SUM(G60:G64)</f>
        <v/>
      </c>
      <c r="H65" s="642">
        <f>SUM(H60:H64)</f>
        <v/>
      </c>
      <c r="I65" s="642">
        <f>SUM(I60:I64)</f>
        <v/>
      </c>
      <c r="J65" s="644">
        <f>D65</f>
        <v/>
      </c>
      <c r="K65" s="644">
        <f>G65</f>
        <v/>
      </c>
      <c r="L65" s="644">
        <f>H65</f>
        <v/>
      </c>
      <c r="M65" s="644">
        <f>I65</f>
        <v/>
      </c>
    </row>
    <row r="66" ht="6" customHeight="1" s="468">
      <c r="A66" s="638" t="n"/>
      <c r="C66" s="71" t="n"/>
      <c r="D66" s="552" t="n"/>
      <c r="F66" s="552" t="n"/>
      <c r="G66" s="552" t="n"/>
      <c r="H66" s="552" t="n"/>
      <c r="I66" s="552" t="n"/>
      <c r="J66" s="552" t="n"/>
      <c r="K66" s="552" t="n"/>
      <c r="L66" s="552" t="n"/>
      <c r="M66" s="552" t="n"/>
    </row>
    <row r="67" ht="15" customHeight="1" s="468">
      <c r="A67" s="646" t="n">
        <v>46213</v>
      </c>
      <c r="B67" s="213" t="inlineStr">
        <is>
          <t>PRODUTO</t>
        </is>
      </c>
      <c r="C67" s="214" t="inlineStr">
        <is>
          <t>EMBALAGEM</t>
        </is>
      </c>
      <c r="D67" s="244" t="inlineStr">
        <is>
          <t>CAIXAS</t>
        </is>
      </c>
      <c r="E67" s="215" t="inlineStr">
        <is>
          <t>UN</t>
        </is>
      </c>
      <c r="F67" s="687" t="inlineStr">
        <is>
          <t>CX/PALLET</t>
        </is>
      </c>
      <c r="G67" s="244" t="inlineStr">
        <is>
          <t>PALLETS (PBR)</t>
        </is>
      </c>
      <c r="H67" s="244" t="inlineStr">
        <is>
          <t>REAL (CX)</t>
        </is>
      </c>
      <c r="I67" s="244" t="inlineStr">
        <is>
          <t>TOTAL LATAS</t>
        </is>
      </c>
      <c r="J67" s="552" t="n"/>
      <c r="K67" s="552" t="n"/>
      <c r="L67" s="552" t="n"/>
      <c r="M67" s="552" t="n"/>
    </row>
    <row r="68" ht="21" customHeight="1" s="468">
      <c r="A68" s="685" t="n"/>
      <c r="B68" s="218" t="n"/>
      <c r="C68" s="219" t="n"/>
      <c r="D68" s="220" t="n"/>
      <c r="E68" s="221" t="inlineStr">
        <is>
          <t>CX</t>
        </is>
      </c>
      <c r="F68" s="686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20">
        <f>IFERROR(ROUNDUP(D68/F68,0),"")</f>
        <v/>
      </c>
      <c r="H68" s="224" t="n"/>
      <c r="I68" s="220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552" t="n"/>
      <c r="K68" s="552" t="n"/>
      <c r="L68" s="552" t="n"/>
      <c r="M68" s="552" t="n"/>
    </row>
    <row r="69" ht="21" customHeight="1" s="468">
      <c r="A69" s="685" t="n"/>
      <c r="B69" s="218" t="n"/>
      <c r="C69" s="219" t="n"/>
      <c r="D69" s="220" t="n"/>
      <c r="E69" s="221" t="inlineStr">
        <is>
          <t>CX</t>
        </is>
      </c>
      <c r="F69" s="68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20">
        <f>IFERROR(ROUNDUP(D69/F69,0),"")</f>
        <v/>
      </c>
      <c r="H69" s="224" t="n"/>
      <c r="I69" s="220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552" t="n"/>
      <c r="K69" s="552" t="n"/>
      <c r="L69" s="552" t="n"/>
      <c r="M69" s="552" t="n"/>
    </row>
    <row r="70" ht="21" customHeight="1" s="468">
      <c r="A70" s="685" t="n"/>
      <c r="B70" s="218" t="n"/>
      <c r="C70" s="219" t="n"/>
      <c r="D70" s="220" t="n"/>
      <c r="E70" s="221" t="inlineStr">
        <is>
          <t>CX</t>
        </is>
      </c>
      <c r="F70" s="686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20">
        <f>IFERROR(ROUNDUP(D70/F70,0),"")</f>
        <v/>
      </c>
      <c r="H70" s="224" t="n"/>
      <c r="I70" s="22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552" t="n"/>
      <c r="K70" s="552" t="n"/>
      <c r="L70" s="552" t="n"/>
      <c r="M70" s="552" t="n"/>
    </row>
    <row r="71" ht="21" customHeight="1" s="468">
      <c r="A71" s="685" t="n"/>
      <c r="B71" s="218" t="n"/>
      <c r="C71" s="219" t="n"/>
      <c r="D71" s="220" t="n"/>
      <c r="E71" s="221" t="inlineStr">
        <is>
          <t>CX</t>
        </is>
      </c>
      <c r="F71" s="686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20">
        <f>IFERROR(ROUNDUP(D71/F71,0),"")</f>
        <v/>
      </c>
      <c r="H71" s="224" t="n"/>
      <c r="I71" s="220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552" t="n"/>
      <c r="K71" s="552" t="n"/>
      <c r="L71" s="552" t="n"/>
      <c r="M71" s="552" t="n"/>
    </row>
    <row r="72" ht="21" customHeight="1" s="468">
      <c r="A72" s="685" t="n"/>
      <c r="B72" s="218" t="n"/>
      <c r="C72" s="219" t="n"/>
      <c r="D72" s="220" t="n"/>
      <c r="E72" s="221" t="inlineStr">
        <is>
          <t>CX</t>
        </is>
      </c>
      <c r="F72" s="686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20">
        <f>IFERROR(ROUNDUP(D72/F72,0),"")</f>
        <v/>
      </c>
      <c r="H72" s="224" t="n"/>
      <c r="I72" s="220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552" t="n"/>
      <c r="K72" s="552" t="n"/>
      <c r="L72" s="552" t="n"/>
      <c r="M72" s="552" t="n"/>
    </row>
    <row r="73" ht="15" customHeight="1" s="468">
      <c r="A73" s="658" t="n"/>
      <c r="B73" s="640" t="inlineStr">
        <is>
          <t>TOTAL</t>
        </is>
      </c>
      <c r="C73" s="667" t="n"/>
      <c r="D73" s="642">
        <f>SUM(D68:D72)</f>
        <v/>
      </c>
      <c r="E73" s="668" t="n"/>
      <c r="F73" s="644" t="n"/>
      <c r="G73" s="642">
        <f>SUM(G68:G72)</f>
        <v/>
      </c>
      <c r="H73" s="642">
        <f>SUM(H68:H72)</f>
        <v/>
      </c>
      <c r="I73" s="642">
        <f>SUM(I68:I72)</f>
        <v/>
      </c>
      <c r="J73" s="644">
        <f>D73</f>
        <v/>
      </c>
      <c r="K73" s="644">
        <f>G73</f>
        <v/>
      </c>
      <c r="L73" s="644">
        <f>H73</f>
        <v/>
      </c>
      <c r="M73" s="644">
        <f>I73</f>
        <v/>
      </c>
    </row>
    <row r="74" ht="6" customHeight="1" s="468">
      <c r="A74" s="638" t="n"/>
      <c r="C74" s="71" t="n"/>
      <c r="D74" s="552" t="n"/>
      <c r="F74" s="552" t="n"/>
      <c r="G74" s="552" t="n"/>
      <c r="H74" s="552" t="n"/>
      <c r="I74" s="552" t="n"/>
      <c r="J74" s="552" t="n"/>
      <c r="K74" s="552" t="n"/>
      <c r="L74" s="552" t="n"/>
      <c r="M74" s="552" t="n"/>
    </row>
    <row r="75" ht="15" customHeight="1" s="468">
      <c r="A75" s="696" t="n">
        <v>46214</v>
      </c>
      <c r="B75" s="213" t="inlineStr">
        <is>
          <t>PRODUTO</t>
        </is>
      </c>
      <c r="C75" s="214" t="inlineStr">
        <is>
          <t>EMBALAGEM</t>
        </is>
      </c>
      <c r="D75" s="244" t="inlineStr">
        <is>
          <t>CAIXAS</t>
        </is>
      </c>
      <c r="E75" s="215" t="inlineStr">
        <is>
          <t>UN</t>
        </is>
      </c>
      <c r="F75" s="697" t="inlineStr">
        <is>
          <t>CX/PALLET</t>
        </is>
      </c>
      <c r="G75" s="244" t="inlineStr">
        <is>
          <t>PALLETS (PBR)</t>
        </is>
      </c>
      <c r="H75" s="244" t="inlineStr">
        <is>
          <t>REAL (CX)</t>
        </is>
      </c>
      <c r="I75" s="244" t="inlineStr">
        <is>
          <t>TOTAL LATAS</t>
        </is>
      </c>
      <c r="J75" s="274" t="n"/>
      <c r="K75" s="274" t="n"/>
      <c r="L75" s="274" t="n"/>
      <c r="M75" s="274" t="n"/>
    </row>
    <row r="76" ht="21" customHeight="1" s="468">
      <c r="A76" s="685" t="n"/>
      <c r="B76" s="266" t="n"/>
      <c r="C76" s="267" t="n"/>
      <c r="D76" s="268" t="n"/>
      <c r="E76" s="269" t="inlineStr">
        <is>
          <t>CX</t>
        </is>
      </c>
      <c r="F76" s="698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68">
        <f>IFERROR(ROUNDUP(D76/F76,0),"")</f>
        <v/>
      </c>
      <c r="H76" s="224" t="n"/>
      <c r="I76" s="268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274" t="n"/>
      <c r="K76" s="274" t="n"/>
      <c r="L76" s="274" t="n"/>
      <c r="M76" s="274" t="n"/>
    </row>
    <row r="77" ht="21" customHeight="1" s="468">
      <c r="A77" s="685" t="n"/>
      <c r="B77" s="266" t="n"/>
      <c r="C77" s="267" t="n"/>
      <c r="D77" s="268" t="n"/>
      <c r="E77" s="269" t="inlineStr">
        <is>
          <t>CX</t>
        </is>
      </c>
      <c r="F77" s="698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68">
        <f>IFERROR(ROUNDUP(D77/F77,0),"")</f>
        <v/>
      </c>
      <c r="H77" s="224" t="n"/>
      <c r="I77" s="268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274" t="n"/>
      <c r="K77" s="274" t="n"/>
      <c r="L77" s="274" t="n"/>
      <c r="M77" s="274" t="n"/>
    </row>
    <row r="78" ht="21" customHeight="1" s="468">
      <c r="A78" s="685" t="n"/>
      <c r="B78" s="266" t="n"/>
      <c r="C78" s="267" t="n"/>
      <c r="D78" s="268" t="n"/>
      <c r="E78" s="269" t="inlineStr">
        <is>
          <t>CX</t>
        </is>
      </c>
      <c r="F78" s="698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68">
        <f>IFERROR(ROUNDUP(D78/F78,0),"")</f>
        <v/>
      </c>
      <c r="H78" s="224" t="n"/>
      <c r="I78" s="268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274" t="n"/>
      <c r="K78" s="274" t="n"/>
      <c r="L78" s="274" t="n"/>
      <c r="M78" s="274" t="n"/>
    </row>
    <row r="79" ht="21" customHeight="1" s="468">
      <c r="A79" s="685" t="n"/>
      <c r="B79" s="266" t="n"/>
      <c r="C79" s="267" t="n"/>
      <c r="D79" s="268" t="n"/>
      <c r="E79" s="269" t="inlineStr">
        <is>
          <t>CX</t>
        </is>
      </c>
      <c r="F79" s="698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68">
        <f>IFERROR(ROUNDUP(D79/F79,0),"")</f>
        <v/>
      </c>
      <c r="H79" s="224" t="n"/>
      <c r="I79" s="268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274" t="n"/>
      <c r="K79" s="274" t="n"/>
      <c r="L79" s="274" t="n"/>
      <c r="M79" s="274" t="n"/>
    </row>
    <row r="80" ht="21" customHeight="1" s="468">
      <c r="A80" s="685" t="n"/>
      <c r="B80" s="266" t="n"/>
      <c r="C80" s="267" t="n"/>
      <c r="D80" s="268" t="n"/>
      <c r="E80" s="269" t="inlineStr">
        <is>
          <t>CX</t>
        </is>
      </c>
      <c r="F80" s="698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68">
        <f>IFERROR(ROUNDUP(D80/F80,0),"")</f>
        <v/>
      </c>
      <c r="H80" s="224" t="n"/>
      <c r="I80" s="268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274" t="n"/>
      <c r="K80" s="274" t="n"/>
      <c r="L80" s="274" t="n"/>
      <c r="M80" s="274" t="n"/>
    </row>
    <row r="81" ht="15" customHeight="1" s="468">
      <c r="A81" s="658" t="n"/>
      <c r="B81" s="640" t="inlineStr">
        <is>
          <t>TOTAL</t>
        </is>
      </c>
      <c r="C81" s="667" t="n"/>
      <c r="D81" s="642">
        <f>SUM(D76:D80)</f>
        <v/>
      </c>
      <c r="E81" s="668" t="n"/>
      <c r="F81" s="644" t="n"/>
      <c r="G81" s="642">
        <f>SUM(G76:G80)</f>
        <v/>
      </c>
      <c r="H81" s="642">
        <f>SUM(H76:H80)</f>
        <v/>
      </c>
      <c r="I81" s="642">
        <f>SUM(I76:I80)</f>
        <v/>
      </c>
      <c r="J81" s="644">
        <f>D81</f>
        <v/>
      </c>
      <c r="K81" s="644">
        <f>G81</f>
        <v/>
      </c>
      <c r="L81" s="644">
        <f>H81</f>
        <v/>
      </c>
      <c r="M81" s="644">
        <f>I81</f>
        <v/>
      </c>
    </row>
    <row r="82" ht="6" customHeight="1" s="468">
      <c r="A82" s="699" t="n"/>
      <c r="B82" s="265" t="n"/>
      <c r="C82" s="276" t="n"/>
      <c r="D82" s="274" t="n"/>
      <c r="E82" s="265" t="n"/>
      <c r="F82" s="274" t="n"/>
      <c r="G82" s="274" t="n"/>
      <c r="H82" s="274" t="n"/>
      <c r="I82" s="274" t="n"/>
      <c r="J82" s="274" t="n"/>
      <c r="K82" s="274" t="n"/>
      <c r="L82" s="274" t="n"/>
      <c r="M82" s="274" t="n"/>
    </row>
    <row r="83" ht="15" customHeight="1" s="468">
      <c r="A83" s="646" t="n">
        <v>46216</v>
      </c>
      <c r="B83" s="213" t="inlineStr">
        <is>
          <t>PRODUTO</t>
        </is>
      </c>
      <c r="C83" s="214" t="inlineStr">
        <is>
          <t>EMBALAGEM</t>
        </is>
      </c>
      <c r="D83" s="244" t="inlineStr">
        <is>
          <t>CAIXAS</t>
        </is>
      </c>
      <c r="E83" s="215" t="inlineStr">
        <is>
          <t>UN</t>
        </is>
      </c>
      <c r="F83" s="687" t="inlineStr">
        <is>
          <t>CX/PALLET</t>
        </is>
      </c>
      <c r="G83" s="244" t="inlineStr">
        <is>
          <t>PALLETS (PBR)</t>
        </is>
      </c>
      <c r="H83" s="244" t="inlineStr">
        <is>
          <t>REAL (CX)</t>
        </is>
      </c>
      <c r="I83" s="244" t="inlineStr">
        <is>
          <t>TOTAL LATAS</t>
        </is>
      </c>
      <c r="J83" s="552" t="n"/>
      <c r="K83" s="552" t="n"/>
      <c r="L83" s="552" t="n"/>
      <c r="M83" s="552" t="n"/>
    </row>
    <row r="84" ht="21" customHeight="1" s="468">
      <c r="A84" s="685" t="n"/>
      <c r="B84" s="218" t="n"/>
      <c r="C84" s="219" t="n"/>
      <c r="D84" s="220" t="n"/>
      <c r="E84" s="221" t="inlineStr">
        <is>
          <t>CX</t>
        </is>
      </c>
      <c r="F84" s="686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20">
        <f>IFERROR(ROUNDUP(D84/F84,0),"")</f>
        <v/>
      </c>
      <c r="H84" s="224" t="n"/>
      <c r="I84" s="220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552" t="n"/>
      <c r="K84" s="552" t="n"/>
      <c r="L84" s="552" t="n"/>
      <c r="M84" s="552" t="n"/>
    </row>
    <row r="85" ht="21" customHeight="1" s="468">
      <c r="A85" s="685" t="n"/>
      <c r="B85" s="218" t="n"/>
      <c r="C85" s="219" t="n"/>
      <c r="D85" s="220" t="n"/>
      <c r="E85" s="221" t="inlineStr">
        <is>
          <t>CX</t>
        </is>
      </c>
      <c r="F85" s="686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20">
        <f>IFERROR(ROUNDUP(D85/F85,0),"")</f>
        <v/>
      </c>
      <c r="H85" s="224" t="n"/>
      <c r="I85" s="220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552" t="n"/>
      <c r="K85" s="552" t="n"/>
      <c r="L85" s="552" t="n"/>
      <c r="M85" s="552" t="n"/>
    </row>
    <row r="86" ht="21" customHeight="1" s="468">
      <c r="A86" s="685" t="n"/>
      <c r="B86" s="218" t="n"/>
      <c r="C86" s="219" t="n"/>
      <c r="D86" s="220" t="n"/>
      <c r="E86" s="221" t="inlineStr">
        <is>
          <t>CX</t>
        </is>
      </c>
      <c r="F86" s="6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20">
        <f>IFERROR(ROUNDUP(D86/F86,0),"")</f>
        <v/>
      </c>
      <c r="H86" s="224" t="n"/>
      <c r="I86" s="220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552" t="n"/>
      <c r="K86" s="552" t="n"/>
      <c r="L86" s="552" t="n"/>
      <c r="M86" s="552" t="n"/>
    </row>
    <row r="87" ht="21" customHeight="1" s="468">
      <c r="A87" s="685" t="n"/>
      <c r="B87" s="218" t="n"/>
      <c r="C87" s="219" t="n"/>
      <c r="D87" s="220" t="n"/>
      <c r="E87" s="221" t="inlineStr">
        <is>
          <t>CX</t>
        </is>
      </c>
      <c r="F87" s="686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20">
        <f>IFERROR(ROUNDUP(D87/F87,0),"")</f>
        <v/>
      </c>
      <c r="H87" s="224" t="n"/>
      <c r="I87" s="220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552" t="n"/>
      <c r="K87" s="552" t="n"/>
      <c r="L87" s="552" t="n"/>
      <c r="M87" s="552" t="n"/>
    </row>
    <row r="88" ht="21" customHeight="1" s="468">
      <c r="A88" s="685" t="n"/>
      <c r="B88" s="218" t="n"/>
      <c r="C88" s="219" t="n"/>
      <c r="D88" s="220" t="n"/>
      <c r="E88" s="221" t="inlineStr">
        <is>
          <t>CX</t>
        </is>
      </c>
      <c r="F88" s="686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20">
        <f>IFERROR(ROUNDUP(D88/F88,0),"")</f>
        <v/>
      </c>
      <c r="H88" s="224" t="n"/>
      <c r="I88" s="220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552" t="n"/>
      <c r="K88" s="552" t="n"/>
      <c r="L88" s="552" t="n"/>
      <c r="M88" s="552" t="n"/>
    </row>
    <row r="89" ht="15" customHeight="1" s="468">
      <c r="A89" s="658" t="n"/>
      <c r="B89" s="640" t="inlineStr">
        <is>
          <t>TOTAL</t>
        </is>
      </c>
      <c r="C89" s="667" t="n"/>
      <c r="D89" s="642">
        <f>SUM(D84:D88)</f>
        <v/>
      </c>
      <c r="E89" s="668" t="n"/>
      <c r="F89" s="644" t="n"/>
      <c r="G89" s="642">
        <f>SUM(G84:G88)</f>
        <v/>
      </c>
      <c r="H89" s="642">
        <f>SUM(H84:H88)</f>
        <v/>
      </c>
      <c r="I89" s="642">
        <f>SUM(I84:I88)</f>
        <v/>
      </c>
      <c r="J89" s="644">
        <f>D89</f>
        <v/>
      </c>
      <c r="K89" s="644">
        <f>G89</f>
        <v/>
      </c>
      <c r="L89" s="644">
        <f>H89</f>
        <v/>
      </c>
      <c r="M89" s="644">
        <f>I89</f>
        <v/>
      </c>
    </row>
    <row r="90" ht="6" customHeight="1" s="468">
      <c r="A90" s="638" t="n"/>
      <c r="C90" s="71" t="n"/>
      <c r="D90" s="552" t="n"/>
      <c r="F90" s="552" t="n"/>
      <c r="G90" s="552" t="n"/>
      <c r="H90" s="552" t="n"/>
      <c r="I90" s="552" t="n"/>
      <c r="J90" s="552" t="n"/>
      <c r="K90" s="552" t="n"/>
      <c r="L90" s="552" t="n"/>
      <c r="M90" s="552" t="n"/>
    </row>
    <row r="91" ht="15" customHeight="1" s="468">
      <c r="A91" s="646" t="n">
        <v>46217</v>
      </c>
      <c r="B91" s="213" t="inlineStr">
        <is>
          <t>PRODUTO</t>
        </is>
      </c>
      <c r="C91" s="214" t="inlineStr">
        <is>
          <t>EMBALAGEM</t>
        </is>
      </c>
      <c r="D91" s="244" t="inlineStr">
        <is>
          <t>CAIXAS</t>
        </is>
      </c>
      <c r="E91" s="215" t="inlineStr">
        <is>
          <t>UN</t>
        </is>
      </c>
      <c r="F91" s="687" t="inlineStr">
        <is>
          <t>CX/PALLET</t>
        </is>
      </c>
      <c r="G91" s="244" t="inlineStr">
        <is>
          <t>PALLETS (PBR)</t>
        </is>
      </c>
      <c r="H91" s="244" t="inlineStr">
        <is>
          <t>REAL (CX)</t>
        </is>
      </c>
      <c r="I91" s="244" t="inlineStr">
        <is>
          <t>TOTAL LATAS</t>
        </is>
      </c>
      <c r="J91" s="552" t="n"/>
      <c r="K91" s="552" t="n"/>
      <c r="L91" s="552" t="n"/>
      <c r="M91" s="552" t="n"/>
    </row>
    <row r="92" ht="21" customHeight="1" s="468">
      <c r="A92" s="685" t="n"/>
      <c r="B92" s="218" t="n"/>
      <c r="C92" s="219" t="n"/>
      <c r="D92" s="220" t="n"/>
      <c r="E92" s="221" t="inlineStr">
        <is>
          <t>CX</t>
        </is>
      </c>
      <c r="F92" s="686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20">
        <f>IFERROR(ROUNDUP(D92/F92,0),"")</f>
        <v/>
      </c>
      <c r="H92" s="224" t="n"/>
      <c r="I92" s="220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552" t="n"/>
      <c r="K92" s="552" t="n"/>
      <c r="L92" s="552" t="n"/>
      <c r="M92" s="552" t="n"/>
    </row>
    <row r="93" ht="21" customHeight="1" s="468">
      <c r="A93" s="685" t="n"/>
      <c r="B93" s="218" t="n"/>
      <c r="C93" s="219" t="n"/>
      <c r="D93" s="220" t="n"/>
      <c r="E93" s="221" t="inlineStr">
        <is>
          <t>CX</t>
        </is>
      </c>
      <c r="F93" s="686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20">
        <f>IFERROR(ROUNDUP(D93/F93,0),"")</f>
        <v/>
      </c>
      <c r="H93" s="224" t="n"/>
      <c r="I93" s="220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552" t="n"/>
      <c r="K93" s="552" t="n"/>
      <c r="L93" s="552" t="n"/>
      <c r="M93" s="552" t="n"/>
    </row>
    <row r="94" ht="21" customHeight="1" s="468">
      <c r="A94" s="685" t="n"/>
      <c r="B94" s="218" t="n"/>
      <c r="C94" s="219" t="n"/>
      <c r="D94" s="220" t="n"/>
      <c r="E94" s="221" t="inlineStr">
        <is>
          <t>CX</t>
        </is>
      </c>
      <c r="F94" s="686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20">
        <f>IFERROR(ROUNDUP(D94/F94,0),"")</f>
        <v/>
      </c>
      <c r="H94" s="224" t="n"/>
      <c r="I94" s="220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552" t="n"/>
      <c r="K94" s="552" t="n"/>
      <c r="L94" s="552" t="n"/>
      <c r="M94" s="552" t="n"/>
    </row>
    <row r="95" ht="21" customHeight="1" s="468">
      <c r="A95" s="685" t="n"/>
      <c r="B95" s="218" t="n"/>
      <c r="C95" s="219" t="n"/>
      <c r="D95" s="220" t="n"/>
      <c r="E95" s="221" t="inlineStr">
        <is>
          <t>CX</t>
        </is>
      </c>
      <c r="F95" s="686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20">
        <f>IFERROR(ROUNDUP(D95/F95,0),"")</f>
        <v/>
      </c>
      <c r="H95" s="224" t="n"/>
      <c r="I95" s="220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552" t="n"/>
      <c r="K95" s="552" t="n"/>
      <c r="L95" s="552" t="n"/>
      <c r="M95" s="552" t="n"/>
    </row>
    <row r="96" ht="21" customHeight="1" s="468">
      <c r="A96" s="685" t="n"/>
      <c r="B96" s="218" t="n"/>
      <c r="C96" s="219" t="n"/>
      <c r="D96" s="220" t="n"/>
      <c r="E96" s="221" t="inlineStr">
        <is>
          <t>CX</t>
        </is>
      </c>
      <c r="F96" s="68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20">
        <f>IFERROR(ROUNDUP(D96/F96,0),"")</f>
        <v/>
      </c>
      <c r="H96" s="224" t="n"/>
      <c r="I96" s="220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552" t="n"/>
      <c r="K96" s="552" t="n"/>
      <c r="L96" s="552" t="n"/>
      <c r="M96" s="552" t="n"/>
    </row>
    <row r="97" ht="15" customHeight="1" s="468">
      <c r="A97" s="658" t="n"/>
      <c r="B97" s="640" t="inlineStr">
        <is>
          <t>TOTAL</t>
        </is>
      </c>
      <c r="C97" s="667" t="n"/>
      <c r="D97" s="642">
        <f>SUM(D92:D96)</f>
        <v/>
      </c>
      <c r="E97" s="668" t="n"/>
      <c r="F97" s="644" t="n"/>
      <c r="G97" s="642">
        <f>SUM(G92:G96)</f>
        <v/>
      </c>
      <c r="H97" s="642">
        <f>SUM(H92:H96)</f>
        <v/>
      </c>
      <c r="I97" s="642">
        <f>SUM(I92:I96)</f>
        <v/>
      </c>
      <c r="J97" s="644">
        <f>D97</f>
        <v/>
      </c>
      <c r="K97" s="644">
        <f>G97</f>
        <v/>
      </c>
      <c r="L97" s="644">
        <f>H97</f>
        <v/>
      </c>
      <c r="M97" s="644">
        <f>I97</f>
        <v/>
      </c>
    </row>
    <row r="98" ht="6" customHeight="1" s="468">
      <c r="A98" s="638" t="n"/>
      <c r="C98" s="71" t="n"/>
      <c r="D98" s="552" t="n"/>
      <c r="F98" s="552" t="n"/>
      <c r="G98" s="552" t="n"/>
      <c r="H98" s="552" t="n"/>
      <c r="I98" s="552" t="n"/>
      <c r="J98" s="552" t="n"/>
      <c r="K98" s="552" t="n"/>
      <c r="L98" s="552" t="n"/>
      <c r="M98" s="552" t="n"/>
    </row>
    <row r="99" ht="15" customHeight="1" s="468">
      <c r="A99" s="646" t="n">
        <v>46218</v>
      </c>
      <c r="B99" s="213" t="inlineStr">
        <is>
          <t>PRODUTO</t>
        </is>
      </c>
      <c r="C99" s="214" t="inlineStr">
        <is>
          <t>EMBALAGEM</t>
        </is>
      </c>
      <c r="D99" s="244" t="inlineStr">
        <is>
          <t>CAIXAS</t>
        </is>
      </c>
      <c r="E99" s="215" t="inlineStr">
        <is>
          <t>UN</t>
        </is>
      </c>
      <c r="F99" s="687" t="inlineStr">
        <is>
          <t>CX/PALLET</t>
        </is>
      </c>
      <c r="G99" s="244" t="inlineStr">
        <is>
          <t>PALLETS (PBR)</t>
        </is>
      </c>
      <c r="H99" s="244" t="inlineStr">
        <is>
          <t>REAL (CX)</t>
        </is>
      </c>
      <c r="I99" s="244" t="inlineStr">
        <is>
          <t>TOTAL LATAS</t>
        </is>
      </c>
      <c r="J99" s="552" t="n"/>
      <c r="K99" s="552" t="n"/>
      <c r="L99" s="552" t="n"/>
      <c r="M99" s="552" t="n"/>
    </row>
    <row r="100" ht="21" customHeight="1" s="468">
      <c r="A100" s="685" t="n"/>
      <c r="B100" s="218" t="n"/>
      <c r="C100" s="219" t="n"/>
      <c r="D100" s="220" t="n"/>
      <c r="E100" s="221" t="inlineStr">
        <is>
          <t>CX</t>
        </is>
      </c>
      <c r="F100" s="686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20">
        <f>IFERROR(ROUNDUP(D100/F100,0),"")</f>
        <v/>
      </c>
      <c r="H100" s="224" t="n"/>
      <c r="I100" s="220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552" t="n"/>
      <c r="K100" s="552" t="n"/>
      <c r="L100" s="552" t="n"/>
      <c r="M100" s="552" t="n"/>
    </row>
    <row r="101" ht="21" customHeight="1" s="468">
      <c r="A101" s="685" t="n"/>
      <c r="B101" s="218" t="n"/>
      <c r="C101" s="219" t="n"/>
      <c r="D101" s="220" t="n"/>
      <c r="E101" s="221" t="inlineStr">
        <is>
          <t>CX</t>
        </is>
      </c>
      <c r="F101" s="686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20">
        <f>IFERROR(ROUNDUP(D101/F101,0),"")</f>
        <v/>
      </c>
      <c r="H101" s="224" t="n"/>
      <c r="I101" s="220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552" t="n"/>
      <c r="K101" s="552" t="n"/>
      <c r="L101" s="552" t="n"/>
      <c r="M101" s="552" t="n"/>
    </row>
    <row r="102" ht="21" customHeight="1" s="468">
      <c r="A102" s="685" t="n"/>
      <c r="B102" s="218" t="n"/>
      <c r="C102" s="219" t="n"/>
      <c r="D102" s="220" t="n"/>
      <c r="E102" s="221" t="inlineStr">
        <is>
          <t>CX</t>
        </is>
      </c>
      <c r="F102" s="686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20">
        <f>IFERROR(ROUNDUP(D102/F102,0),"")</f>
        <v/>
      </c>
      <c r="H102" s="224" t="n"/>
      <c r="I102" s="220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552" t="n"/>
      <c r="K102" s="552" t="n"/>
      <c r="L102" s="552" t="n"/>
      <c r="M102" s="552" t="n"/>
    </row>
    <row r="103" ht="21" customHeight="1" s="468">
      <c r="A103" s="685" t="n"/>
      <c r="B103" s="218" t="n"/>
      <c r="C103" s="219" t="n"/>
      <c r="D103" s="220" t="n"/>
      <c r="E103" s="221" t="inlineStr">
        <is>
          <t>CX</t>
        </is>
      </c>
      <c r="F103" s="68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20">
        <f>IFERROR(ROUNDUP(D103/F103,0),"")</f>
        <v/>
      </c>
      <c r="H103" s="224" t="n"/>
      <c r="I103" s="220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552" t="n"/>
      <c r="K103" s="552" t="n"/>
      <c r="L103" s="552" t="n"/>
      <c r="M103" s="552" t="n"/>
    </row>
    <row r="104" ht="21" customHeight="1" s="468">
      <c r="A104" s="685" t="n"/>
      <c r="B104" s="218" t="n"/>
      <c r="C104" s="219" t="n"/>
      <c r="D104" s="220" t="n"/>
      <c r="E104" s="221" t="inlineStr">
        <is>
          <t>CX</t>
        </is>
      </c>
      <c r="F104" s="686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20">
        <f>IFERROR(ROUNDUP(D104/F104,0),"")</f>
        <v/>
      </c>
      <c r="H104" s="224" t="n"/>
      <c r="I104" s="220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552" t="n"/>
      <c r="K104" s="552" t="n"/>
      <c r="L104" s="552" t="n"/>
      <c r="M104" s="552" t="n"/>
    </row>
    <row r="105" ht="15" customHeight="1" s="468">
      <c r="A105" s="658" t="n"/>
      <c r="B105" s="640" t="inlineStr">
        <is>
          <t>TOTAL</t>
        </is>
      </c>
      <c r="C105" s="667" t="n"/>
      <c r="D105" s="642">
        <f>SUM(D100:D104)</f>
        <v/>
      </c>
      <c r="E105" s="668" t="n"/>
      <c r="F105" s="644" t="n"/>
      <c r="G105" s="642">
        <f>SUM(G100:G104)</f>
        <v/>
      </c>
      <c r="H105" s="642">
        <f>SUM(H100:H104)</f>
        <v/>
      </c>
      <c r="I105" s="642">
        <f>SUM(I100:I104)</f>
        <v/>
      </c>
      <c r="J105" s="644">
        <f>D105</f>
        <v/>
      </c>
      <c r="K105" s="644">
        <f>G105</f>
        <v/>
      </c>
      <c r="L105" s="644">
        <f>H105</f>
        <v/>
      </c>
      <c r="M105" s="644">
        <f>I105</f>
        <v/>
      </c>
    </row>
    <row r="106" ht="6" customHeight="1" s="468">
      <c r="A106" s="638" t="n"/>
      <c r="C106" s="71" t="n"/>
      <c r="D106" s="552" t="n"/>
      <c r="F106" s="552" t="n"/>
      <c r="G106" s="552" t="n"/>
      <c r="H106" s="552" t="n"/>
      <c r="I106" s="552" t="n"/>
      <c r="J106" s="552" t="n"/>
      <c r="K106" s="552" t="n"/>
      <c r="L106" s="552" t="n"/>
      <c r="M106" s="552" t="n"/>
    </row>
    <row r="107" ht="15" customHeight="1" s="468">
      <c r="A107" s="646" t="n">
        <v>46219</v>
      </c>
      <c r="B107" s="213" t="inlineStr">
        <is>
          <t>PRODUTO</t>
        </is>
      </c>
      <c r="C107" s="214" t="inlineStr">
        <is>
          <t>EMBALAGEM</t>
        </is>
      </c>
      <c r="D107" s="244" t="inlineStr">
        <is>
          <t>CAIXAS</t>
        </is>
      </c>
      <c r="E107" s="215" t="inlineStr">
        <is>
          <t>UN</t>
        </is>
      </c>
      <c r="F107" s="687" t="inlineStr">
        <is>
          <t>CX/PALLET</t>
        </is>
      </c>
      <c r="G107" s="244" t="inlineStr">
        <is>
          <t>PALLETS (PBR)</t>
        </is>
      </c>
      <c r="H107" s="244" t="inlineStr">
        <is>
          <t>REAL (CX)</t>
        </is>
      </c>
      <c r="I107" s="244" t="inlineStr">
        <is>
          <t>TOTAL LATAS</t>
        </is>
      </c>
      <c r="J107" s="552" t="n"/>
      <c r="K107" s="552" t="n"/>
      <c r="L107" s="552" t="n"/>
      <c r="M107" s="552" t="n"/>
    </row>
    <row r="108" ht="21" customHeight="1" s="468">
      <c r="A108" s="685" t="n"/>
      <c r="B108" s="218" t="n"/>
      <c r="C108" s="219" t="n"/>
      <c r="D108" s="220" t="n"/>
      <c r="E108" s="221" t="inlineStr">
        <is>
          <t>CX</t>
        </is>
      </c>
      <c r="F108" s="686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20">
        <f>IFERROR(ROUNDUP(D108/F108,0),"")</f>
        <v/>
      </c>
      <c r="H108" s="224" t="n"/>
      <c r="I108" s="220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 t="n"/>
      <c r="K108" s="552" t="n"/>
      <c r="L108" s="552" t="n"/>
      <c r="M108" s="552" t="n"/>
    </row>
    <row r="109" ht="21" customHeight="1" s="468">
      <c r="A109" s="685" t="n"/>
      <c r="B109" s="218" t="n"/>
      <c r="C109" s="219" t="n"/>
      <c r="D109" s="220" t="n"/>
      <c r="E109" s="221" t="inlineStr">
        <is>
          <t>CX</t>
        </is>
      </c>
      <c r="F109" s="686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20">
        <f>IFERROR(ROUNDUP(D109/F109,0),"")</f>
        <v/>
      </c>
      <c r="H109" s="224" t="n"/>
      <c r="I109" s="220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  <c r="J109" s="552" t="n"/>
      <c r="K109" s="552" t="n"/>
      <c r="L109" s="552" t="n"/>
      <c r="M109" s="552" t="n"/>
    </row>
    <row r="110" ht="21" customHeight="1" s="468">
      <c r="A110" s="685" t="n"/>
      <c r="B110" s="218" t="n"/>
      <c r="C110" s="219" t="n"/>
      <c r="D110" s="220" t="n"/>
      <c r="E110" s="221" t="inlineStr">
        <is>
          <t>CX</t>
        </is>
      </c>
      <c r="F110" s="686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20">
        <f>IFERROR(ROUNDUP(D110/F110,0),"")</f>
        <v/>
      </c>
      <c r="H110" s="224" t="n"/>
      <c r="I110" s="220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  <c r="J110" s="552" t="n"/>
      <c r="K110" s="552" t="n"/>
      <c r="L110" s="552" t="n"/>
      <c r="M110" s="552" t="n"/>
    </row>
    <row r="111" ht="21" customHeight="1" s="468">
      <c r="A111" s="685" t="n"/>
      <c r="B111" s="218" t="n"/>
      <c r="C111" s="219" t="n"/>
      <c r="D111" s="220" t="n"/>
      <c r="E111" s="221" t="inlineStr">
        <is>
          <t>CX</t>
        </is>
      </c>
      <c r="F111" s="686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20">
        <f>IFERROR(ROUNDUP(D111/F111,0),"")</f>
        <v/>
      </c>
      <c r="H111" s="224" t="n"/>
      <c r="I111" s="220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  <c r="J111" s="552" t="n"/>
      <c r="K111" s="552" t="n"/>
      <c r="L111" s="552" t="n"/>
      <c r="M111" s="552" t="n"/>
    </row>
    <row r="112" ht="21" customHeight="1" s="468">
      <c r="A112" s="685" t="n"/>
      <c r="B112" s="218" t="n"/>
      <c r="C112" s="219" t="n"/>
      <c r="D112" s="220" t="n"/>
      <c r="E112" s="221" t="inlineStr">
        <is>
          <t>CX</t>
        </is>
      </c>
      <c r="F112" s="68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20">
        <f>IFERROR(ROUNDUP(D112/F112,0),"")</f>
        <v/>
      </c>
      <c r="H112" s="224" t="n"/>
      <c r="I112" s="220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  <c r="J112" s="552" t="n"/>
      <c r="K112" s="552" t="n"/>
      <c r="L112" s="552" t="n"/>
      <c r="M112" s="552" t="n"/>
    </row>
    <row r="113" ht="15" customHeight="1" s="468">
      <c r="A113" s="658" t="n"/>
      <c r="B113" s="640" t="inlineStr">
        <is>
          <t>TOTAL</t>
        </is>
      </c>
      <c r="C113" s="667" t="n"/>
      <c r="D113" s="642">
        <f>SUM(D108:D112)</f>
        <v/>
      </c>
      <c r="E113" s="668" t="n"/>
      <c r="F113" s="644" t="n"/>
      <c r="G113" s="642">
        <f>SUM(G108:G112)</f>
        <v/>
      </c>
      <c r="H113" s="642">
        <f>SUM(H108:H112)</f>
        <v/>
      </c>
      <c r="I113" s="642">
        <f>SUM(I108:I112)</f>
        <v/>
      </c>
      <c r="J113" s="644">
        <f>D113</f>
        <v/>
      </c>
      <c r="K113" s="644">
        <f>G113</f>
        <v/>
      </c>
      <c r="L113" s="644">
        <f>H113</f>
        <v/>
      </c>
      <c r="M113" s="644">
        <f>I113</f>
        <v/>
      </c>
    </row>
    <row r="114" ht="6" customHeight="1" s="468">
      <c r="A114" s="638" t="n"/>
      <c r="C114" s="71" t="n"/>
      <c r="D114" s="552" t="n"/>
      <c r="F114" s="552" t="n"/>
      <c r="G114" s="552" t="n"/>
      <c r="H114" s="552" t="n"/>
      <c r="I114" s="552" t="n"/>
      <c r="J114" s="552" t="n"/>
      <c r="K114" s="552" t="n"/>
      <c r="L114" s="552" t="n"/>
      <c r="M114" s="552" t="n"/>
    </row>
    <row r="115" ht="15" customHeight="1" s="468">
      <c r="A115" s="646" t="n">
        <v>46220</v>
      </c>
      <c r="B115" s="213" t="inlineStr">
        <is>
          <t>PRODUTO</t>
        </is>
      </c>
      <c r="C115" s="214" t="inlineStr">
        <is>
          <t>EMBALAGEM</t>
        </is>
      </c>
      <c r="D115" s="244" t="inlineStr">
        <is>
          <t>CAIXAS</t>
        </is>
      </c>
      <c r="E115" s="215" t="inlineStr">
        <is>
          <t>UN</t>
        </is>
      </c>
      <c r="F115" s="687" t="inlineStr">
        <is>
          <t>CX/PALLET</t>
        </is>
      </c>
      <c r="G115" s="244" t="inlineStr">
        <is>
          <t>PALLETS (PBR)</t>
        </is>
      </c>
      <c r="H115" s="244" t="inlineStr">
        <is>
          <t>REAL (CX)</t>
        </is>
      </c>
      <c r="I115" s="244" t="inlineStr">
        <is>
          <t>TOTAL LATAS</t>
        </is>
      </c>
      <c r="J115" s="552" t="n"/>
      <c r="K115" s="552" t="n"/>
      <c r="L115" s="552" t="n"/>
      <c r="M115" s="552" t="n"/>
    </row>
    <row r="116" ht="21" customHeight="1" s="468">
      <c r="A116" s="685" t="n"/>
      <c r="B116" s="218" t="n"/>
      <c r="C116" s="219" t="n"/>
      <c r="D116" s="220" t="n"/>
      <c r="E116" s="221" t="inlineStr">
        <is>
          <t>CX</t>
        </is>
      </c>
      <c r="F116" s="68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20">
        <f>IFERROR(ROUNDUP(D116/F116,0),"")</f>
        <v/>
      </c>
      <c r="H116" s="224" t="n"/>
      <c r="I116" s="220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552" t="n"/>
      <c r="K116" s="552" t="n"/>
      <c r="L116" s="552" t="n"/>
      <c r="M116" s="552" t="n"/>
    </row>
    <row r="117" ht="21" customHeight="1" s="468">
      <c r="A117" s="685" t="n"/>
      <c r="B117" s="218" t="n"/>
      <c r="C117" s="219" t="n"/>
      <c r="D117" s="220" t="n"/>
      <c r="E117" s="221" t="inlineStr">
        <is>
          <t>CX</t>
        </is>
      </c>
      <c r="F117" s="686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20">
        <f>IFERROR(ROUNDUP(D117/F117,0),"")</f>
        <v/>
      </c>
      <c r="H117" s="224" t="n"/>
      <c r="I117" s="220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52" t="n"/>
      <c r="K117" s="552" t="n"/>
      <c r="L117" s="552" t="n"/>
      <c r="M117" s="552" t="n"/>
    </row>
    <row r="118" ht="21" customHeight="1" s="468">
      <c r="A118" s="685" t="n"/>
      <c r="B118" s="218" t="n"/>
      <c r="C118" s="219" t="n"/>
      <c r="D118" s="220" t="n"/>
      <c r="E118" s="221" t="inlineStr">
        <is>
          <t>CX</t>
        </is>
      </c>
      <c r="F118" s="686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20">
        <f>IFERROR(ROUNDUP(D118/F118,0),"")</f>
        <v/>
      </c>
      <c r="H118" s="224" t="n"/>
      <c r="I118" s="220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552" t="n"/>
      <c r="K118" s="552" t="n"/>
      <c r="L118" s="552" t="n"/>
      <c r="M118" s="552" t="n"/>
    </row>
    <row r="119" ht="21" customHeight="1" s="468">
      <c r="A119" s="685" t="n"/>
      <c r="B119" s="218" t="n"/>
      <c r="C119" s="219" t="n"/>
      <c r="D119" s="220" t="n"/>
      <c r="E119" s="221" t="inlineStr">
        <is>
          <t>CX</t>
        </is>
      </c>
      <c r="F119" s="686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20">
        <f>IFERROR(ROUNDUP(D119/F119,0),"")</f>
        <v/>
      </c>
      <c r="H119" s="224" t="n"/>
      <c r="I119" s="220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552" t="n"/>
      <c r="K119" s="552" t="n"/>
      <c r="L119" s="552" t="n"/>
      <c r="M119" s="552" t="n"/>
    </row>
    <row r="120" ht="21" customHeight="1" s="468">
      <c r="A120" s="685" t="n"/>
      <c r="B120" s="218" t="n"/>
      <c r="C120" s="219" t="n"/>
      <c r="D120" s="220" t="n"/>
      <c r="E120" s="221" t="inlineStr">
        <is>
          <t>CX</t>
        </is>
      </c>
      <c r="F120" s="686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20">
        <f>IFERROR(ROUNDUP(D120/F120,0),"")</f>
        <v/>
      </c>
      <c r="H120" s="224" t="n"/>
      <c r="I120" s="220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552" t="n"/>
      <c r="K120" s="552" t="n"/>
      <c r="L120" s="552" t="n"/>
      <c r="M120" s="552" t="n"/>
    </row>
    <row r="121" ht="15" customHeight="1" s="468">
      <c r="A121" s="658" t="n"/>
      <c r="B121" s="640" t="inlineStr">
        <is>
          <t>TOTAL</t>
        </is>
      </c>
      <c r="C121" s="667" t="n"/>
      <c r="D121" s="642">
        <f>SUM(D116:D120)</f>
        <v/>
      </c>
      <c r="E121" s="668" t="n"/>
      <c r="F121" s="644" t="n"/>
      <c r="G121" s="642">
        <f>SUM(G116:G120)</f>
        <v/>
      </c>
      <c r="H121" s="642">
        <f>SUM(H116:H120)</f>
        <v/>
      </c>
      <c r="I121" s="642">
        <f>SUM(I116:I120)</f>
        <v/>
      </c>
      <c r="J121" s="644">
        <f>D121</f>
        <v/>
      </c>
      <c r="K121" s="644">
        <f>G121</f>
        <v/>
      </c>
      <c r="L121" s="644">
        <f>H121</f>
        <v/>
      </c>
      <c r="M121" s="644">
        <f>I121</f>
        <v/>
      </c>
    </row>
    <row r="122" ht="6" customHeight="1" s="468">
      <c r="A122" s="638" t="n"/>
      <c r="C122" s="71" t="n"/>
      <c r="D122" s="552" t="n"/>
      <c r="F122" s="552" t="n"/>
      <c r="G122" s="552" t="n"/>
      <c r="H122" s="552" t="n"/>
      <c r="I122" s="552" t="n"/>
      <c r="J122" s="552" t="n"/>
      <c r="K122" s="552" t="n"/>
      <c r="L122" s="552" t="n"/>
      <c r="M122" s="552" t="n"/>
    </row>
    <row r="123" ht="15" customHeight="1" s="468">
      <c r="A123" s="696" t="n">
        <v>46221</v>
      </c>
      <c r="B123" s="213" t="inlineStr">
        <is>
          <t>PRODUTO</t>
        </is>
      </c>
      <c r="C123" s="214" t="inlineStr">
        <is>
          <t>EMBALAGEM</t>
        </is>
      </c>
      <c r="D123" s="244" t="inlineStr">
        <is>
          <t>CAIXAS</t>
        </is>
      </c>
      <c r="E123" s="215" t="inlineStr">
        <is>
          <t>UN</t>
        </is>
      </c>
      <c r="F123" s="697" t="inlineStr">
        <is>
          <t>CX/PALLET</t>
        </is>
      </c>
      <c r="G123" s="244" t="inlineStr">
        <is>
          <t>PALLETS (PBR)</t>
        </is>
      </c>
      <c r="H123" s="244" t="inlineStr">
        <is>
          <t>REAL (CX)</t>
        </is>
      </c>
      <c r="I123" s="244" t="inlineStr">
        <is>
          <t>TOTAL LATAS</t>
        </is>
      </c>
      <c r="J123" s="274" t="n"/>
      <c r="K123" s="274" t="n"/>
      <c r="L123" s="274" t="n"/>
      <c r="M123" s="274" t="n"/>
    </row>
    <row r="124" ht="21" customHeight="1" s="468">
      <c r="A124" s="685" t="n"/>
      <c r="B124" s="266" t="n"/>
      <c r="C124" s="267" t="n"/>
      <c r="D124" s="268" t="n"/>
      <c r="E124" s="269" t="inlineStr">
        <is>
          <t>CX</t>
        </is>
      </c>
      <c r="F124" s="698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68">
        <f>IFERROR(ROUNDUP(D124/F124,0),"")</f>
        <v/>
      </c>
      <c r="H124" s="224" t="n"/>
      <c r="I124" s="268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274" t="n"/>
      <c r="K124" s="274" t="n"/>
      <c r="L124" s="274" t="n"/>
      <c r="M124" s="274" t="n"/>
    </row>
    <row r="125" ht="21" customHeight="1" s="468">
      <c r="A125" s="685" t="n"/>
      <c r="B125" s="266" t="n"/>
      <c r="C125" s="267" t="n"/>
      <c r="D125" s="268" t="n"/>
      <c r="E125" s="269" t="inlineStr">
        <is>
          <t>CX</t>
        </is>
      </c>
      <c r="F125" s="698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68">
        <f>IFERROR(ROUNDUP(D125/F125,0),"")</f>
        <v/>
      </c>
      <c r="H125" s="224" t="n"/>
      <c r="I125" s="268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274" t="n"/>
      <c r="K125" s="274" t="n"/>
      <c r="L125" s="274" t="n"/>
      <c r="M125" s="274" t="n"/>
    </row>
    <row r="126" ht="21" customHeight="1" s="468">
      <c r="A126" s="685" t="n"/>
      <c r="B126" s="266" t="n"/>
      <c r="C126" s="267" t="n"/>
      <c r="D126" s="268" t="n"/>
      <c r="E126" s="269" t="inlineStr">
        <is>
          <t>CX</t>
        </is>
      </c>
      <c r="F126" s="698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68">
        <f>IFERROR(ROUNDUP(D126/F126,0),"")</f>
        <v/>
      </c>
      <c r="H126" s="224" t="n"/>
      <c r="I126" s="268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274" t="n"/>
      <c r="K126" s="274" t="n"/>
      <c r="L126" s="274" t="n"/>
      <c r="M126" s="274" t="n"/>
    </row>
    <row r="127" ht="21" customHeight="1" s="468">
      <c r="A127" s="685" t="n"/>
      <c r="B127" s="266" t="n"/>
      <c r="C127" s="267" t="n"/>
      <c r="D127" s="268" t="n"/>
      <c r="E127" s="269" t="inlineStr">
        <is>
          <t>CX</t>
        </is>
      </c>
      <c r="F127" s="698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68">
        <f>IFERROR(ROUNDUP(D127/F127,0),"")</f>
        <v/>
      </c>
      <c r="H127" s="224" t="n"/>
      <c r="I127" s="268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274" t="n"/>
      <c r="K127" s="274" t="n"/>
      <c r="L127" s="274" t="n"/>
      <c r="M127" s="274" t="n"/>
    </row>
    <row r="128" ht="21" customHeight="1" s="468">
      <c r="A128" s="685" t="n"/>
      <c r="B128" s="266" t="n"/>
      <c r="C128" s="267" t="n"/>
      <c r="D128" s="268" t="n"/>
      <c r="E128" s="269" t="inlineStr">
        <is>
          <t>CX</t>
        </is>
      </c>
      <c r="F128" s="698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68">
        <f>IFERROR(ROUNDUP(D128/F128,0),"")</f>
        <v/>
      </c>
      <c r="H128" s="224" t="n"/>
      <c r="I128" s="268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274" t="n"/>
      <c r="K128" s="274" t="n"/>
      <c r="L128" s="274" t="n"/>
      <c r="M128" s="274" t="n"/>
    </row>
    <row r="129" ht="15" customHeight="1" s="468">
      <c r="A129" s="658" t="n"/>
      <c r="B129" s="640" t="inlineStr">
        <is>
          <t>TOTAL</t>
        </is>
      </c>
      <c r="C129" s="667" t="n"/>
      <c r="D129" s="642">
        <f>SUM(D124:D128)</f>
        <v/>
      </c>
      <c r="E129" s="668" t="n"/>
      <c r="F129" s="644" t="n"/>
      <c r="G129" s="642">
        <f>SUM(G124:G128)</f>
        <v/>
      </c>
      <c r="H129" s="642">
        <f>SUM(H124:H128)</f>
        <v/>
      </c>
      <c r="I129" s="642">
        <f>SUM(I124:I128)</f>
        <v/>
      </c>
      <c r="J129" s="644">
        <f>D129</f>
        <v/>
      </c>
      <c r="K129" s="644">
        <f>G129</f>
        <v/>
      </c>
      <c r="L129" s="644">
        <f>H129</f>
        <v/>
      </c>
      <c r="M129" s="644">
        <f>I129</f>
        <v/>
      </c>
    </row>
    <row r="130" ht="6" customHeight="1" s="468">
      <c r="A130" s="699" t="n"/>
      <c r="B130" s="265" t="n"/>
      <c r="C130" s="276" t="n"/>
      <c r="D130" s="274" t="n"/>
      <c r="E130" s="265" t="n"/>
      <c r="F130" s="274" t="n"/>
      <c r="G130" s="274" t="n"/>
      <c r="H130" s="274" t="n"/>
      <c r="I130" s="274" t="n"/>
      <c r="J130" s="274" t="n"/>
      <c r="K130" s="274" t="n"/>
      <c r="L130" s="274" t="n"/>
      <c r="M130" s="274" t="n"/>
    </row>
    <row r="131" ht="15" customHeight="1" s="468">
      <c r="A131" s="646" t="n">
        <v>46223</v>
      </c>
      <c r="B131" s="213" t="inlineStr">
        <is>
          <t>PRODUTO</t>
        </is>
      </c>
      <c r="C131" s="214" t="inlineStr">
        <is>
          <t>EMBALAGEM</t>
        </is>
      </c>
      <c r="D131" s="244" t="inlineStr">
        <is>
          <t>CAIXAS</t>
        </is>
      </c>
      <c r="E131" s="215" t="inlineStr">
        <is>
          <t>UN</t>
        </is>
      </c>
      <c r="F131" s="687" t="inlineStr">
        <is>
          <t>CX/PALLET</t>
        </is>
      </c>
      <c r="G131" s="244" t="inlineStr">
        <is>
          <t>PALLETS (PBR)</t>
        </is>
      </c>
      <c r="H131" s="244" t="inlineStr">
        <is>
          <t>REAL (CX)</t>
        </is>
      </c>
      <c r="I131" s="244" t="inlineStr">
        <is>
          <t>TOTAL LATAS</t>
        </is>
      </c>
      <c r="J131" s="552" t="n"/>
      <c r="K131" s="552" t="n"/>
      <c r="L131" s="552" t="n"/>
      <c r="M131" s="552" t="n"/>
    </row>
    <row r="132" ht="21" customHeight="1" s="468">
      <c r="A132" s="685" t="n"/>
      <c r="B132" s="218" t="n"/>
      <c r="C132" s="219" t="n"/>
      <c r="D132" s="220" t="n"/>
      <c r="E132" s="221" t="inlineStr">
        <is>
          <t>CX</t>
        </is>
      </c>
      <c r="F132" s="686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20">
        <f>IFERROR(ROUNDUP(D132/F132,0),"")</f>
        <v/>
      </c>
      <c r="H132" s="224" t="n"/>
      <c r="I132" s="220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552" t="n"/>
      <c r="K132" s="552" t="n"/>
      <c r="L132" s="552" t="n"/>
      <c r="M132" s="552" t="n"/>
    </row>
    <row r="133" ht="21" customHeight="1" s="468">
      <c r="A133" s="685" t="n"/>
      <c r="B133" s="218" t="n"/>
      <c r="C133" s="219" t="n"/>
      <c r="D133" s="220" t="n"/>
      <c r="E133" s="221" t="inlineStr">
        <is>
          <t>CX</t>
        </is>
      </c>
      <c r="F133" s="686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20">
        <f>IFERROR(ROUNDUP(D133/F133,0),"")</f>
        <v/>
      </c>
      <c r="H133" s="224" t="n"/>
      <c r="I133" s="220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52" t="n"/>
      <c r="K133" s="552" t="n"/>
      <c r="L133" s="552" t="n"/>
      <c r="M133" s="552" t="n"/>
    </row>
    <row r="134" ht="21" customHeight="1" s="468">
      <c r="A134" s="685" t="n"/>
      <c r="B134" s="218" t="n"/>
      <c r="C134" s="219" t="n"/>
      <c r="D134" s="220" t="n"/>
      <c r="E134" s="221" t="inlineStr">
        <is>
          <t>CX</t>
        </is>
      </c>
      <c r="F134" s="686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20">
        <f>IFERROR(ROUNDUP(D134/F134,0),"")</f>
        <v/>
      </c>
      <c r="H134" s="224" t="n"/>
      <c r="I134" s="220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552" t="n"/>
      <c r="K134" s="552" t="n"/>
      <c r="L134" s="552" t="n"/>
      <c r="M134" s="552" t="n"/>
    </row>
    <row r="135" ht="21" customHeight="1" s="468">
      <c r="A135" s="685" t="n"/>
      <c r="B135" s="218" t="n"/>
      <c r="C135" s="219" t="n"/>
      <c r="D135" s="220" t="n"/>
      <c r="E135" s="221" t="inlineStr">
        <is>
          <t>CX</t>
        </is>
      </c>
      <c r="F135" s="686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20">
        <f>IFERROR(ROUNDUP(D135/F135,0),"")</f>
        <v/>
      </c>
      <c r="H135" s="224" t="n"/>
      <c r="I135" s="220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552" t="n"/>
      <c r="K135" s="552" t="n"/>
      <c r="L135" s="552" t="n"/>
      <c r="M135" s="552" t="n"/>
    </row>
    <row r="136" ht="21" customHeight="1" s="468">
      <c r="A136" s="685" t="n"/>
      <c r="B136" s="218" t="n"/>
      <c r="C136" s="219" t="n"/>
      <c r="D136" s="220" t="n"/>
      <c r="E136" s="221" t="inlineStr">
        <is>
          <t>CX</t>
        </is>
      </c>
      <c r="F136" s="686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20">
        <f>IFERROR(ROUNDUP(D136/F136,0),"")</f>
        <v/>
      </c>
      <c r="H136" s="224" t="n"/>
      <c r="I136" s="220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552" t="n"/>
      <c r="K136" s="552" t="n"/>
      <c r="L136" s="552" t="n"/>
      <c r="M136" s="552" t="n"/>
    </row>
    <row r="137" ht="15" customHeight="1" s="468">
      <c r="A137" s="658" t="n"/>
      <c r="B137" s="640" t="inlineStr">
        <is>
          <t>TOTAL</t>
        </is>
      </c>
      <c r="C137" s="667" t="n"/>
      <c r="D137" s="642">
        <f>SUM(D132:D136)</f>
        <v/>
      </c>
      <c r="E137" s="668" t="n"/>
      <c r="F137" s="644" t="n"/>
      <c r="G137" s="642">
        <f>SUM(G132:G136)</f>
        <v/>
      </c>
      <c r="H137" s="642">
        <f>SUM(H132:H136)</f>
        <v/>
      </c>
      <c r="I137" s="642">
        <f>SUM(I132:I136)</f>
        <v/>
      </c>
      <c r="J137" s="644">
        <f>D137</f>
        <v/>
      </c>
      <c r="K137" s="644">
        <f>G137</f>
        <v/>
      </c>
      <c r="L137" s="644">
        <f>H137</f>
        <v/>
      </c>
      <c r="M137" s="644">
        <f>I137</f>
        <v/>
      </c>
    </row>
    <row r="138" ht="6" customHeight="1" s="468">
      <c r="A138" s="638" t="n"/>
      <c r="C138" s="71" t="n"/>
      <c r="D138" s="552" t="n"/>
      <c r="F138" s="552" t="n"/>
      <c r="G138" s="552" t="n"/>
      <c r="H138" s="552" t="n"/>
      <c r="I138" s="552" t="n"/>
      <c r="J138" s="552" t="n"/>
      <c r="K138" s="552" t="n"/>
      <c r="L138" s="552" t="n"/>
      <c r="M138" s="552" t="n"/>
    </row>
    <row r="139" ht="15" customHeight="1" s="468">
      <c r="A139" s="646" t="n">
        <v>46224</v>
      </c>
      <c r="B139" s="213" t="inlineStr">
        <is>
          <t>PRODUTO</t>
        </is>
      </c>
      <c r="C139" s="214" t="inlineStr">
        <is>
          <t>EMBALAGEM</t>
        </is>
      </c>
      <c r="D139" s="244" t="inlineStr">
        <is>
          <t>CAIXAS</t>
        </is>
      </c>
      <c r="E139" s="215" t="inlineStr">
        <is>
          <t>UN</t>
        </is>
      </c>
      <c r="F139" s="687" t="inlineStr">
        <is>
          <t>CX/PALLET</t>
        </is>
      </c>
      <c r="G139" s="244" t="inlineStr">
        <is>
          <t>PALLETS (PBR)</t>
        </is>
      </c>
      <c r="H139" s="244" t="inlineStr">
        <is>
          <t>REAL (CX)</t>
        </is>
      </c>
      <c r="I139" s="244" t="inlineStr">
        <is>
          <t>TOTAL LATAS</t>
        </is>
      </c>
      <c r="J139" s="552" t="n"/>
      <c r="K139" s="552" t="n"/>
      <c r="L139" s="552" t="n"/>
      <c r="M139" s="552" t="n"/>
    </row>
    <row r="140" ht="21" customHeight="1" s="468">
      <c r="A140" s="685" t="n"/>
      <c r="B140" s="218" t="n"/>
      <c r="C140" s="219" t="n"/>
      <c r="D140" s="220" t="n"/>
      <c r="E140" s="221" t="inlineStr">
        <is>
          <t>CX</t>
        </is>
      </c>
      <c r="F140" s="686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20">
        <f>IFERROR(ROUNDUP(D140/F140,0),"")</f>
        <v/>
      </c>
      <c r="H140" s="224" t="n"/>
      <c r="I140" s="220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552" t="n"/>
      <c r="K140" s="552" t="n"/>
      <c r="L140" s="552" t="n"/>
      <c r="M140" s="552" t="n"/>
    </row>
    <row r="141" ht="21" customHeight="1" s="468">
      <c r="A141" s="685" t="n"/>
      <c r="B141" s="218" t="n"/>
      <c r="C141" s="219" t="n"/>
      <c r="D141" s="220" t="n"/>
      <c r="E141" s="221" t="inlineStr">
        <is>
          <t>CX</t>
        </is>
      </c>
      <c r="F141" s="686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20">
        <f>IFERROR(ROUNDUP(D141/F141,0),"")</f>
        <v/>
      </c>
      <c r="H141" s="224" t="n"/>
      <c r="I141" s="220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552" t="n"/>
      <c r="K141" s="552" t="n"/>
      <c r="L141" s="552" t="n"/>
      <c r="M141" s="552" t="n"/>
    </row>
    <row r="142" ht="21" customHeight="1" s="468">
      <c r="A142" s="685" t="n"/>
      <c r="B142" s="218" t="n"/>
      <c r="C142" s="219" t="n"/>
      <c r="D142" s="220" t="n"/>
      <c r="E142" s="221" t="inlineStr">
        <is>
          <t>CX</t>
        </is>
      </c>
      <c r="F142" s="686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20">
        <f>IFERROR(ROUNDUP(D142/F142,0),"")</f>
        <v/>
      </c>
      <c r="H142" s="224" t="n"/>
      <c r="I142" s="220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552" t="n"/>
      <c r="K142" s="552" t="n"/>
      <c r="L142" s="552" t="n"/>
      <c r="M142" s="552" t="n"/>
    </row>
    <row r="143" ht="21" customHeight="1" s="468">
      <c r="A143" s="685" t="n"/>
      <c r="B143" s="218" t="n"/>
      <c r="C143" s="219" t="n"/>
      <c r="D143" s="220" t="n"/>
      <c r="E143" s="221" t="inlineStr">
        <is>
          <t>CX</t>
        </is>
      </c>
      <c r="F143" s="686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20">
        <f>IFERROR(ROUNDUP(D143/F143,0),"")</f>
        <v/>
      </c>
      <c r="H143" s="224" t="n"/>
      <c r="I143" s="220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552" t="n"/>
      <c r="K143" s="552" t="n"/>
      <c r="L143" s="552" t="n"/>
      <c r="M143" s="552" t="n"/>
    </row>
    <row r="144" ht="21" customHeight="1" s="468">
      <c r="A144" s="685" t="n"/>
      <c r="B144" s="218" t="n"/>
      <c r="C144" s="219" t="n"/>
      <c r="D144" s="220" t="n"/>
      <c r="E144" s="221" t="inlineStr">
        <is>
          <t>CX</t>
        </is>
      </c>
      <c r="F144" s="686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20">
        <f>IFERROR(ROUNDUP(D144/F144,0),"")</f>
        <v/>
      </c>
      <c r="H144" s="224" t="n"/>
      <c r="I144" s="220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552" t="n"/>
      <c r="K144" s="552" t="n"/>
      <c r="L144" s="552" t="n"/>
      <c r="M144" s="552" t="n"/>
    </row>
    <row r="145" ht="15" customHeight="1" s="468">
      <c r="A145" s="658" t="n"/>
      <c r="B145" s="640" t="inlineStr">
        <is>
          <t>TOTAL</t>
        </is>
      </c>
      <c r="C145" s="667" t="n"/>
      <c r="D145" s="642">
        <f>SUM(D140:D144)</f>
        <v/>
      </c>
      <c r="E145" s="668" t="n"/>
      <c r="F145" s="644" t="n"/>
      <c r="G145" s="642">
        <f>SUM(G140:G144)</f>
        <v/>
      </c>
      <c r="H145" s="642">
        <f>SUM(H140:H144)</f>
        <v/>
      </c>
      <c r="I145" s="642">
        <f>SUM(I140:I144)</f>
        <v/>
      </c>
      <c r="J145" s="644">
        <f>D145</f>
        <v/>
      </c>
      <c r="K145" s="644">
        <f>G145</f>
        <v/>
      </c>
      <c r="L145" s="644">
        <f>H145</f>
        <v/>
      </c>
      <c r="M145" s="644">
        <f>I145</f>
        <v/>
      </c>
    </row>
    <row r="146" ht="6" customHeight="1" s="468">
      <c r="A146" s="638" t="n"/>
      <c r="C146" s="71" t="n"/>
      <c r="D146" s="552" t="n"/>
      <c r="F146" s="552" t="n"/>
      <c r="G146" s="552" t="n"/>
      <c r="H146" s="552" t="n"/>
      <c r="I146" s="552" t="n"/>
      <c r="J146" s="552" t="n"/>
      <c r="K146" s="552" t="n"/>
      <c r="L146" s="552" t="n"/>
      <c r="M146" s="552" t="n"/>
    </row>
    <row r="147" ht="15" customHeight="1" s="468">
      <c r="A147" s="646" t="n">
        <v>46225</v>
      </c>
      <c r="B147" s="213" t="inlineStr">
        <is>
          <t>PRODUTO</t>
        </is>
      </c>
      <c r="C147" s="214" t="inlineStr">
        <is>
          <t>EMBALAGEM</t>
        </is>
      </c>
      <c r="D147" s="244" t="inlineStr">
        <is>
          <t>CAIXAS</t>
        </is>
      </c>
      <c r="E147" s="215" t="inlineStr">
        <is>
          <t>UN</t>
        </is>
      </c>
      <c r="F147" s="687" t="inlineStr">
        <is>
          <t>CX/PALLET</t>
        </is>
      </c>
      <c r="G147" s="244" t="inlineStr">
        <is>
          <t>PALLETS (PBR)</t>
        </is>
      </c>
      <c r="H147" s="244" t="inlineStr">
        <is>
          <t>REAL (CX)</t>
        </is>
      </c>
      <c r="I147" s="244" t="inlineStr">
        <is>
          <t>TOTAL LATAS</t>
        </is>
      </c>
      <c r="J147" s="552" t="n"/>
      <c r="K147" s="552" t="n"/>
      <c r="L147" s="552" t="n"/>
      <c r="M147" s="552" t="n"/>
    </row>
    <row r="148" ht="21" customHeight="1" s="468">
      <c r="A148" s="685" t="n"/>
      <c r="B148" s="218" t="n"/>
      <c r="C148" s="219" t="n"/>
      <c r="D148" s="220" t="n"/>
      <c r="E148" s="221" t="inlineStr">
        <is>
          <t>CX</t>
        </is>
      </c>
      <c r="F148" s="686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20">
        <f>IFERROR(ROUNDUP(D148/F148,0),"")</f>
        <v/>
      </c>
      <c r="H148" s="224" t="n"/>
      <c r="I148" s="220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552" t="n"/>
      <c r="K148" s="552" t="n"/>
      <c r="L148" s="552" t="n"/>
      <c r="M148" s="552" t="n"/>
    </row>
    <row r="149" ht="21" customHeight="1" s="468">
      <c r="A149" s="685" t="n"/>
      <c r="B149" s="218" t="n"/>
      <c r="C149" s="219" t="n"/>
      <c r="D149" s="220" t="n"/>
      <c r="E149" s="221" t="inlineStr">
        <is>
          <t>CX</t>
        </is>
      </c>
      <c r="F149" s="686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20">
        <f>IFERROR(ROUNDUP(D149/F149,0),"")</f>
        <v/>
      </c>
      <c r="H149" s="224" t="n"/>
      <c r="I149" s="220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552" t="n"/>
      <c r="K149" s="552" t="n"/>
      <c r="L149" s="552" t="n"/>
      <c r="M149" s="552" t="n"/>
    </row>
    <row r="150" ht="21" customHeight="1" s="468">
      <c r="A150" s="685" t="n"/>
      <c r="B150" s="218" t="n"/>
      <c r="C150" s="219" t="n"/>
      <c r="D150" s="220" t="n"/>
      <c r="E150" s="221" t="inlineStr">
        <is>
          <t>CX</t>
        </is>
      </c>
      <c r="F150" s="686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20">
        <f>IFERROR(ROUNDUP(D150/F150,0),"")</f>
        <v/>
      </c>
      <c r="H150" s="224" t="n"/>
      <c r="I150" s="220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552" t="n"/>
      <c r="K150" s="552" t="n"/>
      <c r="L150" s="552" t="n"/>
      <c r="M150" s="552" t="n"/>
    </row>
    <row r="151" ht="21" customHeight="1" s="468">
      <c r="A151" s="685" t="n"/>
      <c r="B151" s="218" t="n"/>
      <c r="C151" s="219" t="n"/>
      <c r="D151" s="220" t="n"/>
      <c r="E151" s="221" t="inlineStr">
        <is>
          <t>CX</t>
        </is>
      </c>
      <c r="F151" s="686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20">
        <f>IFERROR(ROUNDUP(D151/F151,0),"")</f>
        <v/>
      </c>
      <c r="H151" s="224" t="n"/>
      <c r="I151" s="220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52" t="n"/>
      <c r="K151" s="552" t="n"/>
      <c r="L151" s="552" t="n"/>
      <c r="M151" s="552" t="n"/>
    </row>
    <row r="152" ht="21" customHeight="1" s="468">
      <c r="A152" s="685" t="n"/>
      <c r="B152" s="218" t="n"/>
      <c r="C152" s="219" t="n"/>
      <c r="D152" s="220" t="n"/>
      <c r="E152" s="221" t="inlineStr">
        <is>
          <t>CX</t>
        </is>
      </c>
      <c r="F152" s="68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20">
        <f>IFERROR(ROUNDUP(D152/F152,0),"")</f>
        <v/>
      </c>
      <c r="H152" s="224" t="n"/>
      <c r="I152" s="220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552" t="n"/>
      <c r="K152" s="552" t="n"/>
      <c r="L152" s="552" t="n"/>
      <c r="M152" s="552" t="n"/>
    </row>
    <row r="153" ht="15" customHeight="1" s="468">
      <c r="A153" s="658" t="n"/>
      <c r="B153" s="640" t="inlineStr">
        <is>
          <t>TOTAL</t>
        </is>
      </c>
      <c r="C153" s="667" t="n"/>
      <c r="D153" s="642">
        <f>SUM(D148:D152)</f>
        <v/>
      </c>
      <c r="E153" s="668" t="n"/>
      <c r="F153" s="644" t="n"/>
      <c r="G153" s="642">
        <f>SUM(G148:G152)</f>
        <v/>
      </c>
      <c r="H153" s="642">
        <f>SUM(H148:H152)</f>
        <v/>
      </c>
      <c r="I153" s="642">
        <f>SUM(I148:I152)</f>
        <v/>
      </c>
      <c r="J153" s="644">
        <f>D153</f>
        <v/>
      </c>
      <c r="K153" s="644">
        <f>G153</f>
        <v/>
      </c>
      <c r="L153" s="644">
        <f>H153</f>
        <v/>
      </c>
      <c r="M153" s="644">
        <f>I153</f>
        <v/>
      </c>
    </row>
    <row r="154" ht="6" customHeight="1" s="468">
      <c r="A154" s="638" t="n"/>
      <c r="C154" s="71" t="n"/>
      <c r="D154" s="552" t="n"/>
      <c r="F154" s="552" t="n"/>
      <c r="G154" s="552" t="n"/>
      <c r="H154" s="552" t="n"/>
      <c r="I154" s="552" t="n"/>
      <c r="J154" s="552" t="n"/>
      <c r="K154" s="552" t="n"/>
      <c r="L154" s="552" t="n"/>
      <c r="M154" s="552" t="n"/>
    </row>
    <row r="155" ht="15" customHeight="1" s="468">
      <c r="A155" s="646" t="n">
        <v>46226</v>
      </c>
      <c r="B155" s="213" t="inlineStr">
        <is>
          <t>PRODUTO</t>
        </is>
      </c>
      <c r="C155" s="214" t="inlineStr">
        <is>
          <t>EMBALAGEM</t>
        </is>
      </c>
      <c r="D155" s="244" t="inlineStr">
        <is>
          <t>CAIXAS</t>
        </is>
      </c>
      <c r="E155" s="215" t="inlineStr">
        <is>
          <t>UN</t>
        </is>
      </c>
      <c r="F155" s="687" t="inlineStr">
        <is>
          <t>CX/PALLET</t>
        </is>
      </c>
      <c r="G155" s="244" t="inlineStr">
        <is>
          <t>PALLETS (PBR)</t>
        </is>
      </c>
      <c r="H155" s="244" t="inlineStr">
        <is>
          <t>REAL (CX)</t>
        </is>
      </c>
      <c r="I155" s="244" t="inlineStr">
        <is>
          <t>TOTAL LATAS</t>
        </is>
      </c>
      <c r="J155" s="552" t="n"/>
      <c r="K155" s="552" t="n"/>
      <c r="L155" s="552" t="n"/>
      <c r="M155" s="552" t="n"/>
    </row>
    <row r="156" ht="21" customHeight="1" s="468">
      <c r="A156" s="685" t="n"/>
      <c r="B156" s="218" t="n"/>
      <c r="C156" s="219" t="n"/>
      <c r="D156" s="220" t="n"/>
      <c r="E156" s="221" t="inlineStr">
        <is>
          <t>CX</t>
        </is>
      </c>
      <c r="F156" s="686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20">
        <f>IFERROR(ROUNDUP(D156/F156,0),"")</f>
        <v/>
      </c>
      <c r="H156" s="224" t="n"/>
      <c r="I156" s="220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552" t="n"/>
      <c r="K156" s="552" t="n"/>
      <c r="L156" s="552" t="n"/>
      <c r="M156" s="552" t="n"/>
    </row>
    <row r="157" ht="21" customHeight="1" s="468">
      <c r="A157" s="685" t="n"/>
      <c r="B157" s="218" t="n"/>
      <c r="C157" s="219" t="n"/>
      <c r="D157" s="220" t="n"/>
      <c r="E157" s="221" t="inlineStr">
        <is>
          <t>CX</t>
        </is>
      </c>
      <c r="F157" s="68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20">
        <f>IFERROR(ROUNDUP(D157/F157,0),"")</f>
        <v/>
      </c>
      <c r="H157" s="224" t="n"/>
      <c r="I157" s="220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 t="n"/>
      <c r="K157" s="552" t="n"/>
      <c r="L157" s="552" t="n"/>
      <c r="M157" s="552" t="n"/>
    </row>
    <row r="158" ht="21" customHeight="1" s="468">
      <c r="A158" s="685" t="n"/>
      <c r="B158" s="218" t="n"/>
      <c r="C158" s="219" t="n"/>
      <c r="D158" s="220" t="n"/>
      <c r="E158" s="221" t="inlineStr">
        <is>
          <t>CX</t>
        </is>
      </c>
      <c r="F158" s="68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20">
        <f>IFERROR(ROUNDUP(D158/F158,0),"")</f>
        <v/>
      </c>
      <c r="H158" s="224" t="n"/>
      <c r="I158" s="220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552" t="n"/>
      <c r="K158" s="552" t="n"/>
      <c r="L158" s="552" t="n"/>
      <c r="M158" s="552" t="n"/>
    </row>
    <row r="159" ht="21" customHeight="1" s="468">
      <c r="A159" s="685" t="n"/>
      <c r="B159" s="218" t="n"/>
      <c r="C159" s="219" t="n"/>
      <c r="D159" s="220" t="n"/>
      <c r="E159" s="221" t="inlineStr">
        <is>
          <t>CX</t>
        </is>
      </c>
      <c r="F159" s="686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20">
        <f>IFERROR(ROUNDUP(D159/F159,0),"")</f>
        <v/>
      </c>
      <c r="H159" s="224" t="n"/>
      <c r="I159" s="220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52" t="n"/>
      <c r="K159" s="552" t="n"/>
      <c r="L159" s="552" t="n"/>
      <c r="M159" s="552" t="n"/>
    </row>
    <row r="160" ht="21" customHeight="1" s="468">
      <c r="A160" s="685" t="n"/>
      <c r="B160" s="218" t="n"/>
      <c r="C160" s="219" t="n"/>
      <c r="D160" s="220" t="n"/>
      <c r="E160" s="221" t="inlineStr">
        <is>
          <t>CX</t>
        </is>
      </c>
      <c r="F160" s="68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20">
        <f>IFERROR(ROUNDUP(D160/F160,0),"")</f>
        <v/>
      </c>
      <c r="H160" s="224" t="n"/>
      <c r="I160" s="22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552" t="n"/>
      <c r="K160" s="552" t="n"/>
      <c r="L160" s="552" t="n"/>
      <c r="M160" s="552" t="n"/>
    </row>
    <row r="161" ht="15" customHeight="1" s="468">
      <c r="A161" s="658" t="n"/>
      <c r="B161" s="640" t="inlineStr">
        <is>
          <t>TOTAL</t>
        </is>
      </c>
      <c r="C161" s="667" t="n"/>
      <c r="D161" s="642">
        <f>SUM(D156:D160)</f>
        <v/>
      </c>
      <c r="E161" s="668" t="n"/>
      <c r="F161" s="644" t="n"/>
      <c r="G161" s="642">
        <f>SUM(G156:G160)</f>
        <v/>
      </c>
      <c r="H161" s="642">
        <f>SUM(H156:H160)</f>
        <v/>
      </c>
      <c r="I161" s="642">
        <f>SUM(I156:I160)</f>
        <v/>
      </c>
      <c r="J161" s="644">
        <f>D161</f>
        <v/>
      </c>
      <c r="K161" s="644">
        <f>G161</f>
        <v/>
      </c>
      <c r="L161" s="644">
        <f>H161</f>
        <v/>
      </c>
      <c r="M161" s="644">
        <f>I161</f>
        <v/>
      </c>
    </row>
    <row r="162" ht="6" customHeight="1" s="468">
      <c r="A162" s="638" t="n"/>
      <c r="C162" s="71" t="n"/>
      <c r="D162" s="552" t="n"/>
      <c r="F162" s="552" t="n"/>
      <c r="G162" s="552" t="n"/>
      <c r="H162" s="552" t="n"/>
      <c r="I162" s="552" t="n"/>
      <c r="J162" s="552" t="n"/>
      <c r="K162" s="552" t="n"/>
      <c r="L162" s="552" t="n"/>
      <c r="M162" s="552" t="n"/>
    </row>
    <row r="163" ht="15" customHeight="1" s="468">
      <c r="A163" s="646" t="n">
        <v>46227</v>
      </c>
      <c r="B163" s="213" t="inlineStr">
        <is>
          <t>PRODUTO</t>
        </is>
      </c>
      <c r="C163" s="214" t="inlineStr">
        <is>
          <t>EMBALAGEM</t>
        </is>
      </c>
      <c r="D163" s="244" t="inlineStr">
        <is>
          <t>CAIXAS</t>
        </is>
      </c>
      <c r="E163" s="215" t="inlineStr">
        <is>
          <t>UN</t>
        </is>
      </c>
      <c r="F163" s="687" t="inlineStr">
        <is>
          <t>CX/PALLET</t>
        </is>
      </c>
      <c r="G163" s="244" t="inlineStr">
        <is>
          <t>PALLETS (PBR)</t>
        </is>
      </c>
      <c r="H163" s="244" t="inlineStr">
        <is>
          <t>REAL (CX)</t>
        </is>
      </c>
      <c r="I163" s="244" t="inlineStr">
        <is>
          <t>TOTAL LATAS</t>
        </is>
      </c>
      <c r="J163" s="552" t="n"/>
      <c r="K163" s="552" t="n"/>
      <c r="L163" s="552" t="n"/>
      <c r="M163" s="552" t="n"/>
    </row>
    <row r="164" ht="21" customHeight="1" s="468">
      <c r="A164" s="685" t="n"/>
      <c r="B164" s="218" t="n"/>
      <c r="C164" s="219" t="n"/>
      <c r="D164" s="220" t="n"/>
      <c r="E164" s="221" t="inlineStr">
        <is>
          <t>CX</t>
        </is>
      </c>
      <c r="F164" s="686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20">
        <f>IFERROR(ROUNDUP(D164/F164,0),"")</f>
        <v/>
      </c>
      <c r="H164" s="224" t="n"/>
      <c r="I164" s="220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552" t="n"/>
      <c r="K164" s="552" t="n"/>
      <c r="L164" s="552" t="n"/>
      <c r="M164" s="552" t="n"/>
    </row>
    <row r="165" ht="21" customHeight="1" s="468">
      <c r="A165" s="685" t="n"/>
      <c r="B165" s="218" t="n"/>
      <c r="C165" s="219" t="n"/>
      <c r="D165" s="220" t="n"/>
      <c r="E165" s="221" t="inlineStr">
        <is>
          <t>CX</t>
        </is>
      </c>
      <c r="F165" s="686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20">
        <f>IFERROR(ROUNDUP(D165/F165,0),"")</f>
        <v/>
      </c>
      <c r="H165" s="224" t="n"/>
      <c r="I165" s="220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552" t="n"/>
      <c r="K165" s="552" t="n"/>
      <c r="L165" s="552" t="n"/>
      <c r="M165" s="552" t="n"/>
    </row>
    <row r="166" ht="21" customHeight="1" s="468">
      <c r="A166" s="685" t="n"/>
      <c r="B166" s="218" t="n"/>
      <c r="C166" s="219" t="n"/>
      <c r="D166" s="220" t="n"/>
      <c r="E166" s="221" t="inlineStr">
        <is>
          <t>CX</t>
        </is>
      </c>
      <c r="F166" s="686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20">
        <f>IFERROR(ROUNDUP(D166/F166,0),"")</f>
        <v/>
      </c>
      <c r="H166" s="224" t="n"/>
      <c r="I166" s="220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552" t="n"/>
      <c r="K166" s="552" t="n"/>
      <c r="L166" s="552" t="n"/>
      <c r="M166" s="552" t="n"/>
    </row>
    <row r="167" ht="21" customHeight="1" s="468">
      <c r="A167" s="685" t="n"/>
      <c r="B167" s="218" t="n"/>
      <c r="C167" s="219" t="n"/>
      <c r="D167" s="220" t="n"/>
      <c r="E167" s="221" t="inlineStr">
        <is>
          <t>CX</t>
        </is>
      </c>
      <c r="F167" s="686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20">
        <f>IFERROR(ROUNDUP(D167/F167,0),"")</f>
        <v/>
      </c>
      <c r="H167" s="224" t="n"/>
      <c r="I167" s="220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552" t="n"/>
      <c r="K167" s="552" t="n"/>
      <c r="L167" s="552" t="n"/>
      <c r="M167" s="552" t="n"/>
    </row>
    <row r="168" ht="21" customHeight="1" s="468">
      <c r="A168" s="685" t="n"/>
      <c r="B168" s="218" t="n"/>
      <c r="C168" s="219" t="n"/>
      <c r="D168" s="220" t="n"/>
      <c r="E168" s="221" t="inlineStr">
        <is>
          <t>CX</t>
        </is>
      </c>
      <c r="F168" s="68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20">
        <f>IFERROR(ROUNDUP(D168/F168,0),"")</f>
        <v/>
      </c>
      <c r="H168" s="224" t="n"/>
      <c r="I168" s="220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 t="n"/>
      <c r="K168" s="552" t="n"/>
      <c r="L168" s="552" t="n"/>
      <c r="M168" s="552" t="n"/>
    </row>
    <row r="169" ht="15" customHeight="1" s="468">
      <c r="A169" s="658" t="n"/>
      <c r="B169" s="640" t="inlineStr">
        <is>
          <t>TOTAL</t>
        </is>
      </c>
      <c r="C169" s="667" t="n"/>
      <c r="D169" s="642">
        <f>SUM(D164:D168)</f>
        <v/>
      </c>
      <c r="E169" s="668" t="n"/>
      <c r="F169" s="644" t="n"/>
      <c r="G169" s="642">
        <f>SUM(G164:G168)</f>
        <v/>
      </c>
      <c r="H169" s="642">
        <f>SUM(H164:H168)</f>
        <v/>
      </c>
      <c r="I169" s="642">
        <f>SUM(I164:I168)</f>
        <v/>
      </c>
      <c r="J169" s="644">
        <f>D169</f>
        <v/>
      </c>
      <c r="K169" s="644">
        <f>G169</f>
        <v/>
      </c>
      <c r="L169" s="644">
        <f>H169</f>
        <v/>
      </c>
      <c r="M169" s="644">
        <f>I169</f>
        <v/>
      </c>
    </row>
    <row r="170" ht="6" customHeight="1" s="468">
      <c r="A170" s="638" t="n"/>
      <c r="C170" s="71" t="n"/>
      <c r="D170" s="552" t="n"/>
      <c r="F170" s="552" t="n"/>
      <c r="G170" s="552" t="n"/>
      <c r="H170" s="552" t="n"/>
      <c r="I170" s="552" t="n"/>
      <c r="J170" s="552" t="n"/>
      <c r="K170" s="552" t="n"/>
      <c r="L170" s="552" t="n"/>
      <c r="M170" s="552" t="n"/>
    </row>
    <row r="171" ht="15" customHeight="1" s="468">
      <c r="A171" s="696" t="n">
        <v>46228</v>
      </c>
      <c r="B171" s="213" t="inlineStr">
        <is>
          <t>PRODUTO</t>
        </is>
      </c>
      <c r="C171" s="214" t="inlineStr">
        <is>
          <t>EMBALAGEM</t>
        </is>
      </c>
      <c r="D171" s="244" t="inlineStr">
        <is>
          <t>CAIXAS</t>
        </is>
      </c>
      <c r="E171" s="215" t="inlineStr">
        <is>
          <t>UN</t>
        </is>
      </c>
      <c r="F171" s="697" t="inlineStr">
        <is>
          <t>CX/PALLET</t>
        </is>
      </c>
      <c r="G171" s="244" t="inlineStr">
        <is>
          <t>PALLETS (PBR)</t>
        </is>
      </c>
      <c r="H171" s="244" t="inlineStr">
        <is>
          <t>REAL (CX)</t>
        </is>
      </c>
      <c r="I171" s="244" t="inlineStr">
        <is>
          <t>TOTAL LATAS</t>
        </is>
      </c>
      <c r="J171" s="274" t="n"/>
      <c r="K171" s="274" t="n"/>
      <c r="L171" s="274" t="n"/>
      <c r="M171" s="274" t="n"/>
    </row>
    <row r="172" ht="21" customHeight="1" s="468">
      <c r="A172" s="685" t="n"/>
      <c r="B172" s="266" t="n"/>
      <c r="C172" s="267" t="n"/>
      <c r="D172" s="268" t="n"/>
      <c r="E172" s="269" t="inlineStr">
        <is>
          <t>CX</t>
        </is>
      </c>
      <c r="F172" s="698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68">
        <f>IFERROR(ROUNDUP(D172/F172,0),"")</f>
        <v/>
      </c>
      <c r="H172" s="224" t="n"/>
      <c r="I172" s="268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274" t="n"/>
      <c r="K172" s="274" t="n"/>
      <c r="L172" s="274" t="n"/>
      <c r="M172" s="274" t="n"/>
    </row>
    <row r="173" ht="21" customHeight="1" s="468">
      <c r="A173" s="685" t="n"/>
      <c r="B173" s="266" t="n"/>
      <c r="C173" s="267" t="n"/>
      <c r="D173" s="268" t="n"/>
      <c r="E173" s="269" t="inlineStr">
        <is>
          <t>CX</t>
        </is>
      </c>
      <c r="F173" s="698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68">
        <f>IFERROR(ROUNDUP(D173/F173,0),"")</f>
        <v/>
      </c>
      <c r="H173" s="224" t="n"/>
      <c r="I173" s="268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274" t="n"/>
      <c r="K173" s="274" t="n"/>
      <c r="L173" s="274" t="n"/>
      <c r="M173" s="274" t="n"/>
    </row>
    <row r="174" ht="21" customHeight="1" s="468">
      <c r="A174" s="685" t="n"/>
      <c r="B174" s="266" t="n"/>
      <c r="C174" s="267" t="n"/>
      <c r="D174" s="268" t="n"/>
      <c r="E174" s="269" t="inlineStr">
        <is>
          <t>CX</t>
        </is>
      </c>
      <c r="F174" s="698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68">
        <f>IFERROR(ROUNDUP(D174/F174,0),"")</f>
        <v/>
      </c>
      <c r="H174" s="224" t="n"/>
      <c r="I174" s="268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274" t="n"/>
      <c r="K174" s="274" t="n"/>
      <c r="L174" s="274" t="n"/>
      <c r="M174" s="274" t="n"/>
    </row>
    <row r="175" ht="21" customHeight="1" s="468">
      <c r="A175" s="685" t="n"/>
      <c r="B175" s="266" t="n"/>
      <c r="C175" s="267" t="n"/>
      <c r="D175" s="268" t="n"/>
      <c r="E175" s="269" t="inlineStr">
        <is>
          <t>CX</t>
        </is>
      </c>
      <c r="F175" s="698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68">
        <f>IFERROR(ROUNDUP(D175/F175,0),"")</f>
        <v/>
      </c>
      <c r="H175" s="224" t="n"/>
      <c r="I175" s="268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274" t="n"/>
      <c r="K175" s="274" t="n"/>
      <c r="L175" s="274" t="n"/>
      <c r="M175" s="274" t="n"/>
    </row>
    <row r="176" ht="21" customHeight="1" s="468">
      <c r="A176" s="685" t="n"/>
      <c r="B176" s="266" t="n"/>
      <c r="C176" s="267" t="n"/>
      <c r="D176" s="268" t="n"/>
      <c r="E176" s="269" t="inlineStr">
        <is>
          <t>CX</t>
        </is>
      </c>
      <c r="F176" s="698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68">
        <f>IFERROR(ROUNDUP(D176/F176,0),"")</f>
        <v/>
      </c>
      <c r="H176" s="224" t="n"/>
      <c r="I176" s="268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274" t="n"/>
      <c r="K176" s="274" t="n"/>
      <c r="L176" s="274" t="n"/>
      <c r="M176" s="274" t="n"/>
    </row>
    <row r="177" ht="15" customHeight="1" s="468">
      <c r="A177" s="658" t="n"/>
      <c r="B177" s="640" t="inlineStr">
        <is>
          <t>TOTAL</t>
        </is>
      </c>
      <c r="C177" s="667" t="n"/>
      <c r="D177" s="642">
        <f>SUM(D172:D176)</f>
        <v/>
      </c>
      <c r="E177" s="668" t="n"/>
      <c r="F177" s="644" t="n"/>
      <c r="G177" s="642">
        <f>SUM(G172:G176)</f>
        <v/>
      </c>
      <c r="H177" s="642">
        <f>SUM(H172:H176)</f>
        <v/>
      </c>
      <c r="I177" s="642">
        <f>SUM(I172:I176)</f>
        <v/>
      </c>
      <c r="J177" s="644">
        <f>D177</f>
        <v/>
      </c>
      <c r="K177" s="644">
        <f>G177</f>
        <v/>
      </c>
      <c r="L177" s="644">
        <f>H177</f>
        <v/>
      </c>
      <c r="M177" s="644">
        <f>I177</f>
        <v/>
      </c>
    </row>
    <row r="178" ht="6" customHeight="1" s="468">
      <c r="A178" s="699" t="n"/>
      <c r="B178" s="265" t="n"/>
      <c r="C178" s="276" t="n"/>
      <c r="D178" s="274" t="n"/>
      <c r="E178" s="265" t="n"/>
      <c r="F178" s="274" t="n"/>
      <c r="G178" s="274" t="n"/>
      <c r="H178" s="274" t="n"/>
      <c r="I178" s="274" t="n"/>
      <c r="J178" s="274" t="n"/>
      <c r="K178" s="274" t="n"/>
      <c r="L178" s="274" t="n"/>
      <c r="M178" s="274" t="n"/>
    </row>
    <row r="179" ht="15" customHeight="1" s="468">
      <c r="A179" s="646" t="n">
        <v>46230</v>
      </c>
      <c r="B179" s="213" t="inlineStr">
        <is>
          <t>PRODUTO</t>
        </is>
      </c>
      <c r="C179" s="214" t="inlineStr">
        <is>
          <t>EMBALAGEM</t>
        </is>
      </c>
      <c r="D179" s="244" t="inlineStr">
        <is>
          <t>CAIXAS</t>
        </is>
      </c>
      <c r="E179" s="215" t="inlineStr">
        <is>
          <t>UN</t>
        </is>
      </c>
      <c r="F179" s="687" t="inlineStr">
        <is>
          <t>CX/PALLET</t>
        </is>
      </c>
      <c r="G179" s="244" t="inlineStr">
        <is>
          <t>PALLETS (PBR)</t>
        </is>
      </c>
      <c r="H179" s="244" t="inlineStr">
        <is>
          <t>REAL (CX)</t>
        </is>
      </c>
      <c r="I179" s="244" t="inlineStr">
        <is>
          <t>TOTAL LATAS</t>
        </is>
      </c>
      <c r="J179" s="552" t="n"/>
      <c r="K179" s="552" t="n"/>
      <c r="L179" s="552" t="n"/>
      <c r="M179" s="552" t="n"/>
    </row>
    <row r="180" ht="21" customHeight="1" s="468">
      <c r="A180" s="685" t="n"/>
      <c r="B180" s="218" t="n"/>
      <c r="C180" s="219" t="n"/>
      <c r="D180" s="220" t="n"/>
      <c r="E180" s="221" t="inlineStr">
        <is>
          <t>CX</t>
        </is>
      </c>
      <c r="F180" s="686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20">
        <f>IFERROR(ROUNDUP(D180/F180,0),"")</f>
        <v/>
      </c>
      <c r="H180" s="224" t="n"/>
      <c r="I180" s="220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552" t="n"/>
      <c r="K180" s="552" t="n"/>
      <c r="L180" s="552" t="n"/>
      <c r="M180" s="552" t="n"/>
    </row>
    <row r="181" ht="21" customHeight="1" s="468">
      <c r="A181" s="685" t="n"/>
      <c r="B181" s="218" t="n"/>
      <c r="C181" s="219" t="n"/>
      <c r="D181" s="220" t="n"/>
      <c r="E181" s="221" t="inlineStr">
        <is>
          <t>CX</t>
        </is>
      </c>
      <c r="F181" s="686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20">
        <f>IFERROR(ROUNDUP(D181/F181,0),"")</f>
        <v/>
      </c>
      <c r="H181" s="224" t="n"/>
      <c r="I181" s="220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552" t="n"/>
      <c r="K181" s="552" t="n"/>
      <c r="L181" s="552" t="n"/>
      <c r="M181" s="552" t="n"/>
    </row>
    <row r="182" ht="21" customHeight="1" s="468">
      <c r="A182" s="685" t="n"/>
      <c r="B182" s="218" t="n"/>
      <c r="C182" s="219" t="n"/>
      <c r="D182" s="220" t="n"/>
      <c r="E182" s="221" t="inlineStr">
        <is>
          <t>CX</t>
        </is>
      </c>
      <c r="F182" s="686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20">
        <f>IFERROR(ROUNDUP(D182/F182,0),"")</f>
        <v/>
      </c>
      <c r="H182" s="224" t="n"/>
      <c r="I182" s="220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552" t="n"/>
      <c r="K182" s="552" t="n"/>
      <c r="L182" s="552" t="n"/>
      <c r="M182" s="552" t="n"/>
    </row>
    <row r="183" ht="21" customHeight="1" s="468">
      <c r="A183" s="685" t="n"/>
      <c r="B183" s="218" t="n"/>
      <c r="C183" s="219" t="n"/>
      <c r="D183" s="220" t="n"/>
      <c r="E183" s="221" t="inlineStr">
        <is>
          <t>CX</t>
        </is>
      </c>
      <c r="F183" s="686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20">
        <f>IFERROR(ROUNDUP(D183/F183,0),"")</f>
        <v/>
      </c>
      <c r="H183" s="224" t="n"/>
      <c r="I183" s="220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552" t="n"/>
      <c r="K183" s="552" t="n"/>
      <c r="L183" s="552" t="n"/>
      <c r="M183" s="552" t="n"/>
    </row>
    <row r="184" ht="21" customHeight="1" s="468">
      <c r="A184" s="685" t="n"/>
      <c r="B184" s="218" t="n"/>
      <c r="C184" s="219" t="n"/>
      <c r="D184" s="220" t="n"/>
      <c r="E184" s="221" t="inlineStr">
        <is>
          <t>CX</t>
        </is>
      </c>
      <c r="F184" s="686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20">
        <f>IFERROR(ROUNDUP(D184/F184,0),"")</f>
        <v/>
      </c>
      <c r="H184" s="224" t="n"/>
      <c r="I184" s="220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552" t="n"/>
      <c r="K184" s="552" t="n"/>
      <c r="L184" s="552" t="n"/>
      <c r="M184" s="552" t="n"/>
    </row>
    <row r="185" ht="15" customHeight="1" s="468">
      <c r="A185" s="658" t="n"/>
      <c r="B185" s="640" t="inlineStr">
        <is>
          <t>TOTAL</t>
        </is>
      </c>
      <c r="C185" s="667" t="n"/>
      <c r="D185" s="642">
        <f>SUM(D180:D184)</f>
        <v/>
      </c>
      <c r="E185" s="668" t="n"/>
      <c r="F185" s="644" t="n"/>
      <c r="G185" s="642">
        <f>SUM(G180:G184)</f>
        <v/>
      </c>
      <c r="H185" s="642">
        <f>SUM(H180:H184)</f>
        <v/>
      </c>
      <c r="I185" s="642">
        <f>SUM(I180:I184)</f>
        <v/>
      </c>
      <c r="J185" s="644">
        <f>D185</f>
        <v/>
      </c>
      <c r="K185" s="644">
        <f>G185</f>
        <v/>
      </c>
      <c r="L185" s="644">
        <f>H185</f>
        <v/>
      </c>
      <c r="M185" s="644">
        <f>I185</f>
        <v/>
      </c>
    </row>
    <row r="186" ht="6" customHeight="1" s="468">
      <c r="A186" s="638" t="n"/>
      <c r="C186" s="71" t="n"/>
      <c r="D186" s="552" t="n"/>
      <c r="F186" s="552" t="n"/>
      <c r="G186" s="552" t="n"/>
      <c r="H186" s="552" t="n"/>
      <c r="I186" s="552" t="n"/>
      <c r="J186" s="552" t="n"/>
      <c r="K186" s="552" t="n"/>
      <c r="L186" s="552" t="n"/>
      <c r="M186" s="552" t="n"/>
    </row>
    <row r="187" ht="14.25" customHeight="1" s="468">
      <c r="A187" s="646" t="n">
        <v>46231</v>
      </c>
      <c r="B187" s="213" t="inlineStr">
        <is>
          <t>PRODUTO</t>
        </is>
      </c>
      <c r="C187" s="214" t="inlineStr">
        <is>
          <t>EMBALAGEM</t>
        </is>
      </c>
      <c r="D187" s="244" t="inlineStr">
        <is>
          <t>CAIXAS</t>
        </is>
      </c>
      <c r="E187" s="215" t="inlineStr">
        <is>
          <t>UN</t>
        </is>
      </c>
      <c r="F187" s="687" t="inlineStr">
        <is>
          <t>CX/PALLET</t>
        </is>
      </c>
      <c r="G187" s="244" t="inlineStr">
        <is>
          <t>PALLETS (PBR)</t>
        </is>
      </c>
      <c r="H187" s="244" t="inlineStr">
        <is>
          <t>REAL (CX)</t>
        </is>
      </c>
      <c r="I187" s="244" t="inlineStr">
        <is>
          <t>TOTAL LATAS</t>
        </is>
      </c>
      <c r="J187" s="552" t="n"/>
      <c r="K187" s="552" t="n"/>
      <c r="L187" s="552" t="n"/>
      <c r="M187" s="552" t="n"/>
    </row>
    <row r="188" ht="21" customHeight="1" s="468">
      <c r="A188" s="685" t="n"/>
      <c r="B188" s="218" t="n"/>
      <c r="C188" s="219" t="n"/>
      <c r="D188" s="220" t="n"/>
      <c r="E188" s="221" t="inlineStr">
        <is>
          <t>CX</t>
        </is>
      </c>
      <c r="F188" s="686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20">
        <f>IFERROR(ROUNDUP(D188/F188,0),"")</f>
        <v/>
      </c>
      <c r="H188" s="224" t="n"/>
      <c r="I188" s="220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552" t="n"/>
      <c r="K188" s="552" t="n"/>
      <c r="L188" s="552" t="n"/>
      <c r="M188" s="552" t="n"/>
    </row>
    <row r="189" ht="21" customHeight="1" s="468">
      <c r="A189" s="685" t="n"/>
      <c r="B189" s="218" t="n"/>
      <c r="C189" s="219" t="n"/>
      <c r="D189" s="220" t="n"/>
      <c r="E189" s="221" t="inlineStr">
        <is>
          <t>CX</t>
        </is>
      </c>
      <c r="F189" s="686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20">
        <f>IFERROR(ROUNDUP(D189/F189,0),"")</f>
        <v/>
      </c>
      <c r="H189" s="224" t="n"/>
      <c r="I189" s="220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552" t="n"/>
      <c r="K189" s="552" t="n"/>
      <c r="L189" s="552" t="n"/>
      <c r="M189" s="552" t="n"/>
    </row>
    <row r="190" ht="21" customHeight="1" s="468">
      <c r="A190" s="685" t="n"/>
      <c r="B190" s="218" t="n"/>
      <c r="C190" s="219" t="n"/>
      <c r="D190" s="220" t="n"/>
      <c r="E190" s="221" t="inlineStr">
        <is>
          <t>CX</t>
        </is>
      </c>
      <c r="F190" s="686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20">
        <f>IFERROR(ROUNDUP(D190/F190,0),"")</f>
        <v/>
      </c>
      <c r="H190" s="224" t="n"/>
      <c r="I190" s="220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552" t="n"/>
      <c r="K190" s="552" t="n"/>
      <c r="L190" s="552" t="n"/>
      <c r="M190" s="552" t="n"/>
    </row>
    <row r="191" ht="21" customHeight="1" s="468">
      <c r="A191" s="685" t="n"/>
      <c r="B191" s="218" t="n"/>
      <c r="C191" s="219" t="n"/>
      <c r="D191" s="220" t="n"/>
      <c r="E191" s="221" t="inlineStr">
        <is>
          <t>CX</t>
        </is>
      </c>
      <c r="F191" s="686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20">
        <f>IFERROR(ROUNDUP(D191/F191,0),"")</f>
        <v/>
      </c>
      <c r="H191" s="224" t="n"/>
      <c r="I191" s="220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552" t="n"/>
      <c r="K191" s="552" t="n"/>
      <c r="L191" s="552" t="n"/>
      <c r="M191" s="552" t="n"/>
    </row>
    <row r="192" ht="21" customHeight="1" s="468">
      <c r="A192" s="685" t="n"/>
      <c r="B192" s="218" t="n"/>
      <c r="C192" s="219" t="n"/>
      <c r="D192" s="220" t="n"/>
      <c r="E192" s="221" t="inlineStr">
        <is>
          <t>CX</t>
        </is>
      </c>
      <c r="F192" s="686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20">
        <f>IFERROR(ROUNDUP(D192/F192,0),"")</f>
        <v/>
      </c>
      <c r="H192" s="224" t="n"/>
      <c r="I192" s="220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552" t="n"/>
      <c r="K192" s="552" t="n"/>
      <c r="L192" s="552" t="n"/>
      <c r="M192" s="552" t="n"/>
    </row>
    <row r="193" ht="14.25" customHeight="1" s="468">
      <c r="A193" s="658" t="n"/>
      <c r="B193" s="640" t="inlineStr">
        <is>
          <t>TOTAL</t>
        </is>
      </c>
      <c r="C193" s="667" t="n"/>
      <c r="D193" s="642">
        <f>SUM(D188:D192)</f>
        <v/>
      </c>
      <c r="E193" s="668" t="n"/>
      <c r="F193" s="644" t="n"/>
      <c r="G193" s="642">
        <f>SUM(G188:G192)</f>
        <v/>
      </c>
      <c r="H193" s="642">
        <f>SUM(H188:H192)</f>
        <v/>
      </c>
      <c r="I193" s="642">
        <f>SUM(I188:I192)</f>
        <v/>
      </c>
      <c r="J193" s="644">
        <f>D193</f>
        <v/>
      </c>
      <c r="K193" s="644">
        <f>G193</f>
        <v/>
      </c>
      <c r="L193" s="644">
        <f>H193</f>
        <v/>
      </c>
      <c r="M193" s="644">
        <f>I193</f>
        <v/>
      </c>
    </row>
    <row r="194" ht="14.25" customHeight="1" s="468">
      <c r="A194" s="638" t="n"/>
      <c r="C194" s="71" t="n"/>
      <c r="D194" s="552" t="n"/>
      <c r="F194" s="552" t="n"/>
      <c r="G194" s="552" t="n"/>
      <c r="H194" s="552" t="n"/>
      <c r="I194" s="552" t="n"/>
      <c r="J194" s="552" t="n"/>
      <c r="K194" s="552" t="n"/>
      <c r="L194" s="552" t="n"/>
      <c r="M194" s="552" t="n"/>
    </row>
    <row r="195" ht="14.25" customHeight="1" s="468">
      <c r="A195" s="646" t="n">
        <v>46232</v>
      </c>
      <c r="B195" s="213" t="inlineStr">
        <is>
          <t>PRODUTO</t>
        </is>
      </c>
      <c r="C195" s="214" t="inlineStr">
        <is>
          <t>EMBALAGEM</t>
        </is>
      </c>
      <c r="D195" s="244" t="inlineStr">
        <is>
          <t>CAIXAS</t>
        </is>
      </c>
      <c r="E195" s="215" t="inlineStr">
        <is>
          <t>UN</t>
        </is>
      </c>
      <c r="F195" s="687" t="inlineStr">
        <is>
          <t>CX/PALLET</t>
        </is>
      </c>
      <c r="G195" s="244" t="inlineStr">
        <is>
          <t>PALLETS (PBR)</t>
        </is>
      </c>
      <c r="H195" s="244" t="inlineStr">
        <is>
          <t>REAL (CX)</t>
        </is>
      </c>
      <c r="I195" s="244" t="inlineStr">
        <is>
          <t>TOTAL LATAS</t>
        </is>
      </c>
      <c r="J195" s="552" t="n"/>
      <c r="K195" s="552" t="n"/>
      <c r="L195" s="552" t="n"/>
      <c r="M195" s="552" t="n"/>
    </row>
    <row r="196" ht="21" customHeight="1" s="468">
      <c r="A196" s="685" t="n"/>
      <c r="B196" s="218" t="n"/>
      <c r="C196" s="219" t="n"/>
      <c r="D196" s="220" t="n"/>
      <c r="E196" s="221" t="inlineStr">
        <is>
          <t>CX</t>
        </is>
      </c>
      <c r="F196" s="68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20">
        <f>IFERROR(ROUNDUP(D196/F196,0),"")</f>
        <v/>
      </c>
      <c r="H196" s="224" t="n"/>
      <c r="I196" s="220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552" t="n"/>
      <c r="K196" s="552" t="n"/>
      <c r="L196" s="552" t="n"/>
      <c r="M196" s="552" t="n"/>
    </row>
    <row r="197" ht="21" customHeight="1" s="468">
      <c r="A197" s="685" t="n"/>
      <c r="B197" s="218" t="n"/>
      <c r="C197" s="219" t="n"/>
      <c r="D197" s="220" t="n"/>
      <c r="E197" s="221" t="inlineStr">
        <is>
          <t>CX</t>
        </is>
      </c>
      <c r="F197" s="686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20">
        <f>IFERROR(ROUNDUP(D197/F197,0),"")</f>
        <v/>
      </c>
      <c r="H197" s="224" t="n"/>
      <c r="I197" s="220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552" t="n"/>
      <c r="K197" s="552" t="n"/>
      <c r="L197" s="552" t="n"/>
      <c r="M197" s="552" t="n"/>
    </row>
    <row r="198" ht="21" customHeight="1" s="468">
      <c r="A198" s="685" t="n"/>
      <c r="B198" s="218" t="n"/>
      <c r="C198" s="219" t="n"/>
      <c r="D198" s="220" t="n"/>
      <c r="E198" s="221" t="inlineStr">
        <is>
          <t>CX</t>
        </is>
      </c>
      <c r="F198" s="686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20">
        <f>IFERROR(ROUNDUP(D198/F198,0),"")</f>
        <v/>
      </c>
      <c r="H198" s="224" t="n"/>
      <c r="I198" s="220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552" t="n"/>
      <c r="K198" s="552" t="n"/>
      <c r="L198" s="552" t="n"/>
      <c r="M198" s="552" t="n"/>
    </row>
    <row r="199" ht="21" customHeight="1" s="468">
      <c r="A199" s="685" t="n"/>
      <c r="B199" s="218" t="n"/>
      <c r="C199" s="219" t="n"/>
      <c r="D199" s="220" t="n"/>
      <c r="E199" s="221" t="inlineStr">
        <is>
          <t>CX</t>
        </is>
      </c>
      <c r="F199" s="686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20">
        <f>IFERROR(ROUNDUP(D199/F199,0),"")</f>
        <v/>
      </c>
      <c r="H199" s="224" t="n"/>
      <c r="I199" s="220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552" t="n"/>
      <c r="K199" s="552" t="n"/>
      <c r="L199" s="552" t="n"/>
      <c r="M199" s="552" t="n"/>
    </row>
    <row r="200" ht="21" customHeight="1" s="468">
      <c r="A200" s="685" t="n"/>
      <c r="B200" s="218" t="n"/>
      <c r="C200" s="219" t="n"/>
      <c r="D200" s="220" t="n"/>
      <c r="E200" s="221" t="inlineStr">
        <is>
          <t>CX</t>
        </is>
      </c>
      <c r="F200" s="686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20">
        <f>IFERROR(ROUNDUP(D200/F200,0),"")</f>
        <v/>
      </c>
      <c r="H200" s="224" t="n"/>
      <c r="I200" s="220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552" t="n"/>
      <c r="K200" s="552" t="n"/>
      <c r="L200" s="552" t="n"/>
      <c r="M200" s="552" t="n"/>
    </row>
    <row r="201" ht="14.25" customHeight="1" s="468">
      <c r="A201" s="658" t="n"/>
      <c r="B201" s="640" t="inlineStr">
        <is>
          <t>TOTAL</t>
        </is>
      </c>
      <c r="C201" s="667" t="n"/>
      <c r="D201" s="642">
        <f>SUM(D196:D200)</f>
        <v/>
      </c>
      <c r="E201" s="668" t="n"/>
      <c r="F201" s="644" t="n"/>
      <c r="G201" s="642">
        <f>SUM(G196:G200)</f>
        <v/>
      </c>
      <c r="H201" s="642">
        <f>SUM(H196:H200)</f>
        <v/>
      </c>
      <c r="I201" s="642">
        <f>SUM(I196:I200)</f>
        <v/>
      </c>
      <c r="J201" s="644">
        <f>D201</f>
        <v/>
      </c>
      <c r="K201" s="644">
        <f>G201</f>
        <v/>
      </c>
      <c r="L201" s="644">
        <f>H201</f>
        <v/>
      </c>
      <c r="M201" s="644">
        <f>I201</f>
        <v/>
      </c>
    </row>
    <row r="202" ht="14.25" customHeight="1" s="468">
      <c r="A202" s="638" t="n"/>
      <c r="C202" s="71" t="n"/>
      <c r="D202" s="552" t="n"/>
      <c r="F202" s="552" t="n"/>
      <c r="G202" s="552" t="n"/>
      <c r="H202" s="552" t="n"/>
      <c r="I202" s="552" t="n"/>
      <c r="J202" s="552" t="n"/>
      <c r="K202" s="552" t="n"/>
      <c r="L202" s="552" t="n"/>
      <c r="M202" s="552" t="n"/>
    </row>
    <row r="203" ht="14.25" customHeight="1" s="468">
      <c r="A203" s="646" t="n">
        <v>46233</v>
      </c>
      <c r="B203" s="213" t="inlineStr">
        <is>
          <t>PRODUTO</t>
        </is>
      </c>
      <c r="C203" s="214" t="inlineStr">
        <is>
          <t>EMBALAGEM</t>
        </is>
      </c>
      <c r="D203" s="244" t="inlineStr">
        <is>
          <t>CAIXAS</t>
        </is>
      </c>
      <c r="E203" s="215" t="inlineStr">
        <is>
          <t>UN</t>
        </is>
      </c>
      <c r="F203" s="687" t="inlineStr">
        <is>
          <t>CX/PALLET</t>
        </is>
      </c>
      <c r="G203" s="244" t="inlineStr">
        <is>
          <t>PALLETS (PBR)</t>
        </is>
      </c>
      <c r="H203" s="244" t="inlineStr">
        <is>
          <t>REAL (CX)</t>
        </is>
      </c>
      <c r="I203" s="244" t="inlineStr">
        <is>
          <t>TOTAL LATAS</t>
        </is>
      </c>
      <c r="J203" s="552" t="n"/>
      <c r="K203" s="552" t="n"/>
      <c r="L203" s="552" t="n"/>
      <c r="M203" s="552" t="n"/>
    </row>
    <row r="204" ht="21" customHeight="1" s="468">
      <c r="A204" s="685" t="n"/>
      <c r="B204" s="218" t="n"/>
      <c r="C204" s="219" t="n"/>
      <c r="D204" s="220" t="n"/>
      <c r="E204" s="221" t="inlineStr">
        <is>
          <t>CX</t>
        </is>
      </c>
      <c r="F204" s="686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20">
        <f>IFERROR(ROUNDUP(D204/F204,0),"")</f>
        <v/>
      </c>
      <c r="H204" s="224" t="n"/>
      <c r="I204" s="220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  <c r="J204" s="552" t="n"/>
      <c r="K204" s="552" t="n"/>
      <c r="L204" s="552" t="n"/>
      <c r="M204" s="552" t="n"/>
    </row>
    <row r="205" ht="21" customHeight="1" s="468">
      <c r="A205" s="685" t="n"/>
      <c r="B205" s="218" t="n"/>
      <c r="C205" s="219" t="n"/>
      <c r="D205" s="220" t="n"/>
      <c r="E205" s="221" t="inlineStr">
        <is>
          <t>CX</t>
        </is>
      </c>
      <c r="F205" s="686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20">
        <f>IFERROR(ROUNDUP(D205/F205,0),"")</f>
        <v/>
      </c>
      <c r="H205" s="224" t="n"/>
      <c r="I205" s="220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  <c r="J205" s="552" t="n"/>
      <c r="K205" s="552" t="n"/>
      <c r="L205" s="552" t="n"/>
      <c r="M205" s="552" t="n"/>
    </row>
    <row r="206" ht="21" customHeight="1" s="468">
      <c r="A206" s="685" t="n"/>
      <c r="B206" s="218" t="n"/>
      <c r="C206" s="219" t="n"/>
      <c r="D206" s="220" t="n"/>
      <c r="E206" s="221" t="inlineStr">
        <is>
          <t>CX</t>
        </is>
      </c>
      <c r="F206" s="686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20">
        <f>IFERROR(ROUNDUP(D206/F206,0),"")</f>
        <v/>
      </c>
      <c r="H206" s="224" t="n"/>
      <c r="I206" s="220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  <c r="J206" s="552" t="n"/>
      <c r="K206" s="552" t="n"/>
      <c r="L206" s="552" t="n"/>
      <c r="M206" s="552" t="n"/>
    </row>
    <row r="207" ht="21" customHeight="1" s="468">
      <c r="A207" s="685" t="n"/>
      <c r="B207" s="218" t="n"/>
      <c r="C207" s="219" t="n"/>
      <c r="D207" s="220" t="n"/>
      <c r="E207" s="221" t="inlineStr">
        <is>
          <t>CX</t>
        </is>
      </c>
      <c r="F207" s="686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20">
        <f>IFERROR(ROUNDUP(D207/F207,0),"")</f>
        <v/>
      </c>
      <c r="H207" s="224" t="n"/>
      <c r="I207" s="220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  <c r="J207" s="552" t="n"/>
      <c r="K207" s="552" t="n"/>
      <c r="L207" s="552" t="n"/>
      <c r="M207" s="552" t="n"/>
    </row>
    <row r="208" ht="21" customHeight="1" s="468">
      <c r="A208" s="685" t="n"/>
      <c r="B208" s="218" t="n"/>
      <c r="C208" s="219" t="n"/>
      <c r="D208" s="220" t="n"/>
      <c r="E208" s="221" t="inlineStr">
        <is>
          <t>CX</t>
        </is>
      </c>
      <c r="F208" s="686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20">
        <f>IFERROR(ROUNDUP(D208/F208,0),"")</f>
        <v/>
      </c>
      <c r="H208" s="224" t="n"/>
      <c r="I208" s="220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  <c r="J208" s="552" t="n"/>
      <c r="K208" s="552" t="n"/>
      <c r="L208" s="552" t="n"/>
      <c r="M208" s="552" t="n"/>
    </row>
    <row r="209" ht="14.25" customHeight="1" s="468">
      <c r="A209" s="658" t="n"/>
      <c r="B209" s="640" t="inlineStr">
        <is>
          <t>TOTAL</t>
        </is>
      </c>
      <c r="C209" s="667" t="n"/>
      <c r="D209" s="642">
        <f>SUM(D204:D208)</f>
        <v/>
      </c>
      <c r="E209" s="668" t="n"/>
      <c r="F209" s="644" t="n"/>
      <c r="G209" s="642">
        <f>SUM(G204:G208)</f>
        <v/>
      </c>
      <c r="H209" s="642">
        <f>SUM(H204:H208)</f>
        <v/>
      </c>
      <c r="I209" s="642">
        <f>SUM(I204:I208)</f>
        <v/>
      </c>
      <c r="J209" s="644">
        <f>D209</f>
        <v/>
      </c>
      <c r="K209" s="644">
        <f>G209</f>
        <v/>
      </c>
      <c r="L209" s="644">
        <f>H209</f>
        <v/>
      </c>
      <c r="M209" s="644">
        <f>I209</f>
        <v/>
      </c>
    </row>
    <row r="210" ht="14.25" customHeight="1" s="468">
      <c r="A210" s="638" t="n"/>
      <c r="C210" s="71" t="n"/>
      <c r="D210" s="552" t="n"/>
      <c r="F210" s="552" t="n"/>
      <c r="G210" s="552" t="n"/>
      <c r="H210" s="552" t="n"/>
      <c r="I210" s="552" t="n"/>
      <c r="J210" s="552" t="n"/>
      <c r="K210" s="552" t="n"/>
      <c r="L210" s="552" t="n"/>
      <c r="M210" s="552" t="n"/>
    </row>
    <row r="211" ht="14.25" customHeight="1" s="468">
      <c r="A211" s="646" t="n">
        <v>46234</v>
      </c>
      <c r="B211" s="213" t="inlineStr">
        <is>
          <t>PRODUTO</t>
        </is>
      </c>
      <c r="C211" s="214" t="inlineStr">
        <is>
          <t>EMBALAGEM</t>
        </is>
      </c>
      <c r="D211" s="244" t="inlineStr">
        <is>
          <t>CAIXAS</t>
        </is>
      </c>
      <c r="E211" s="215" t="inlineStr">
        <is>
          <t>UN</t>
        </is>
      </c>
      <c r="F211" s="687" t="inlineStr">
        <is>
          <t>CX/PALLET</t>
        </is>
      </c>
      <c r="G211" s="244" t="inlineStr">
        <is>
          <t>PALLETS (PBR)</t>
        </is>
      </c>
      <c r="H211" s="244" t="inlineStr">
        <is>
          <t>REAL (CX)</t>
        </is>
      </c>
      <c r="I211" s="244" t="inlineStr">
        <is>
          <t>TOTAL LATAS</t>
        </is>
      </c>
      <c r="J211" s="552" t="n"/>
      <c r="K211" s="552" t="n"/>
      <c r="L211" s="552" t="n"/>
      <c r="M211" s="552" t="n"/>
    </row>
    <row r="212" ht="21" customHeight="1" s="468">
      <c r="A212" s="685" t="n"/>
      <c r="B212" s="218" t="n"/>
      <c r="C212" s="219" t="n"/>
      <c r="D212" s="220" t="n"/>
      <c r="E212" s="221" t="inlineStr">
        <is>
          <t>CX</t>
        </is>
      </c>
      <c r="F212" s="686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20">
        <f>IFERROR(ROUNDUP(D212/F212,0),"")</f>
        <v/>
      </c>
      <c r="H212" s="224" t="n"/>
      <c r="I212" s="220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  <c r="J212" s="552" t="n"/>
      <c r="K212" s="552" t="n"/>
      <c r="L212" s="552" t="n"/>
      <c r="M212" s="552" t="n"/>
    </row>
    <row r="213" ht="21" customHeight="1" s="468">
      <c r="A213" s="685" t="n"/>
      <c r="B213" s="218" t="n"/>
      <c r="C213" s="219" t="n"/>
      <c r="D213" s="220" t="n"/>
      <c r="E213" s="221" t="inlineStr">
        <is>
          <t>CX</t>
        </is>
      </c>
      <c r="F213" s="686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20">
        <f>IFERROR(ROUNDUP(D213/F213,0),"")</f>
        <v/>
      </c>
      <c r="H213" s="224" t="n"/>
      <c r="I213" s="220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  <c r="J213" s="552" t="n"/>
      <c r="K213" s="552" t="n"/>
      <c r="L213" s="552" t="n"/>
      <c r="M213" s="552" t="n"/>
    </row>
    <row r="214" ht="21" customHeight="1" s="468">
      <c r="A214" s="685" t="n"/>
      <c r="B214" s="218" t="n"/>
      <c r="C214" s="219" t="n"/>
      <c r="D214" s="220" t="n"/>
      <c r="E214" s="221" t="inlineStr">
        <is>
          <t>CX</t>
        </is>
      </c>
      <c r="F214" s="686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20">
        <f>IFERROR(ROUNDUP(D214/F214,0),"")</f>
        <v/>
      </c>
      <c r="H214" s="224" t="n"/>
      <c r="I214" s="220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  <c r="J214" s="552" t="n"/>
      <c r="K214" s="552" t="n"/>
      <c r="L214" s="552" t="n"/>
      <c r="M214" s="552" t="n"/>
    </row>
    <row r="215" ht="21" customHeight="1" s="468">
      <c r="A215" s="685" t="n"/>
      <c r="B215" s="218" t="n"/>
      <c r="C215" s="219" t="n"/>
      <c r="D215" s="220" t="n"/>
      <c r="E215" s="221" t="inlineStr">
        <is>
          <t>CX</t>
        </is>
      </c>
      <c r="F215" s="686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220">
        <f>IFERROR(ROUNDUP(D215/F215,0),"")</f>
        <v/>
      </c>
      <c r="H215" s="224" t="n"/>
      <c r="I215" s="220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  <c r="J215" s="552" t="n"/>
      <c r="K215" s="552" t="n"/>
      <c r="L215" s="552" t="n"/>
      <c r="M215" s="552" t="n"/>
    </row>
    <row r="216" ht="21" customHeight="1" s="468">
      <c r="A216" s="685" t="n"/>
      <c r="B216" s="218" t="n"/>
      <c r="C216" s="219" t="n"/>
      <c r="D216" s="220" t="n"/>
      <c r="E216" s="221" t="inlineStr">
        <is>
          <t>CX</t>
        </is>
      </c>
      <c r="F216" s="686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220">
        <f>IFERROR(ROUNDUP(D216/F216,0),"")</f>
        <v/>
      </c>
      <c r="H216" s="224" t="n"/>
      <c r="I216" s="220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  <c r="J216" s="552" t="n"/>
      <c r="K216" s="552" t="n"/>
      <c r="L216" s="552" t="n"/>
      <c r="M216" s="552" t="n"/>
    </row>
    <row r="217" ht="14.25" customHeight="1" s="468">
      <c r="A217" s="658" t="n"/>
      <c r="B217" s="640" t="inlineStr">
        <is>
          <t>TOTAL</t>
        </is>
      </c>
      <c r="C217" s="667" t="n"/>
      <c r="D217" s="642">
        <f>SUM(D212:D216)</f>
        <v/>
      </c>
      <c r="E217" s="668" t="n"/>
      <c r="F217" s="644" t="n"/>
      <c r="G217" s="642">
        <f>SUM(G212:G216)</f>
        <v/>
      </c>
      <c r="H217" s="642">
        <f>SUM(H212:H216)</f>
        <v/>
      </c>
      <c r="I217" s="642">
        <f>SUM(I212:I216)</f>
        <v/>
      </c>
      <c r="J217" s="644">
        <f>D217</f>
        <v/>
      </c>
      <c r="K217" s="644">
        <f>G217</f>
        <v/>
      </c>
      <c r="L217" s="644">
        <f>H217</f>
        <v/>
      </c>
      <c r="M217" s="644">
        <f>I217</f>
        <v/>
      </c>
    </row>
  </sheetData>
  <mergeCells count="3">
    <mergeCell ref="A1:I1"/>
    <mergeCell ref="A2:F2"/>
    <mergeCell ref="G2:I2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85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tabColor rgb="FF0F766E"/>
    <outlinePr summaryBelow="1" summaryRight="1"/>
    <pageSetUpPr/>
  </sheetPr>
  <dimension ref="A1:Y59"/>
  <sheetViews>
    <sheetView showGridLines="0" zoomScale="90" zoomScaleNormal="9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width="13" customWidth="1" style="468" min="13" max="13"/>
    <col hidden="1" width="13" customWidth="1" style="468" min="24" max="25"/>
  </cols>
  <sheetData>
    <row r="1" ht="19.5" customHeight="1" s="468">
      <c r="A1" s="675" t="inlineStr">
        <is>
          <t>RESULTADOS E GRÁFICO - JULHO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SUM(C9:C35)</f>
        <v/>
      </c>
      <c r="D4" s="152">
        <f>SUM(D9:D35)</f>
        <v/>
      </c>
      <c r="F4" s="152">
        <f>IFERROR(SUMIFS(C9:C35,A9:A35,"&lt;="&amp;TODAY(),F9:F35,"&lt;&gt;*Feriado*")/COUNTIFS(A9:A35,"&lt;="&amp;TODAY(),F9:F35,"&lt;&gt;*Feriado*"),0)</f>
        <v/>
      </c>
      <c r="H4" s="152">
        <f>IFERROR(MAX(C9:C35),0)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5" customHeight="1" s="468">
      <c r="A9" s="676" t="n">
        <v>46204</v>
      </c>
      <c r="B9" s="677">
        <f>IF(D9&gt;0,COUNTIF($D$9:D9,"&gt;0"),"")</f>
        <v/>
      </c>
      <c r="C9" s="678">
        <f>'SEMANA JULHO'!$M$9</f>
        <v/>
      </c>
      <c r="D9" s="678">
        <f>CONFIG!$B$3</f>
        <v/>
      </c>
      <c r="E9" s="678">
        <f>C9-D9</f>
        <v/>
      </c>
      <c r="F9" s="700" t="n"/>
      <c r="X9" s="552">
        <f>IF(COUNTIF($F9,"*Feriado*")&gt;0,NA(),$C9)</f>
        <v/>
      </c>
      <c r="Y9" s="552">
        <f>IF(COUNTIF($F9,"*Feriado*")&gt;0,NA(),$D9)</f>
        <v/>
      </c>
    </row>
    <row r="10" ht="15" customHeight="1" s="468">
      <c r="A10" s="676" t="n">
        <v>46205</v>
      </c>
      <c r="B10" s="677">
        <f>IF(D10&gt;0,COUNTIF($D$9:D10,"&gt;0"),"")</f>
        <v/>
      </c>
      <c r="C10" s="678">
        <f>'SEMANA JULHO'!$M$17</f>
        <v/>
      </c>
      <c r="D10" s="678">
        <f>CONFIG!$B$3</f>
        <v/>
      </c>
      <c r="E10" s="678">
        <f>C10-D10</f>
        <v/>
      </c>
      <c r="F10" s="700" t="n"/>
      <c r="X10" s="552">
        <f>IF(COUNTIF($F10,"*Feriado*")&gt;0,NA(),$C10)</f>
        <v/>
      </c>
      <c r="Y10" s="552">
        <f>IF(COUNTIF($F10,"*Feriado*")&gt;0,NA(),$D10)</f>
        <v/>
      </c>
    </row>
    <row r="11" ht="15" customHeight="1" s="468">
      <c r="A11" s="676" t="n">
        <v>46206</v>
      </c>
      <c r="B11" s="677">
        <f>IF(D11&gt;0,COUNTIF($D$9:D11,"&gt;0"),"")</f>
        <v/>
      </c>
      <c r="C11" s="678">
        <f>'SEMANA JULHO'!$M$25</f>
        <v/>
      </c>
      <c r="D11" s="678">
        <f>CONFIG!$B$3</f>
        <v/>
      </c>
      <c r="E11" s="678">
        <f>C11-D11</f>
        <v/>
      </c>
      <c r="F11" s="700" t="n"/>
      <c r="X11" s="552">
        <f>IF(COUNTIF($F11,"*Feriado*")&gt;0,NA(),$C11)</f>
        <v/>
      </c>
      <c r="Y11" s="552">
        <f>IF(COUNTIF($F11,"*Feriado*")&gt;0,NA(),$D11)</f>
        <v/>
      </c>
    </row>
    <row r="12" ht="15" customHeight="1" s="468">
      <c r="A12" s="676" t="n">
        <v>46207</v>
      </c>
      <c r="B12" s="677">
        <f>IF(D12&gt;0,COUNTIF($D$9:D12,"&gt;0"),"")</f>
        <v/>
      </c>
      <c r="C12" s="678">
        <f>'SEMANA JULHO'!$M$33</f>
        <v/>
      </c>
      <c r="D12" s="678">
        <f>CONFIG!$B$3</f>
        <v/>
      </c>
      <c r="E12" s="678">
        <f>C12-D12</f>
        <v/>
      </c>
      <c r="F12" s="679" t="inlineStr">
        <is>
          <t>Sábado - produção normal</t>
        </is>
      </c>
      <c r="X12" s="552">
        <f>IF(COUNTIF($F12,"*Feriado*")&gt;0,NA(),$C12)</f>
        <v/>
      </c>
      <c r="Y12" s="552">
        <f>IF(COUNTIF($F12,"*Feriado*")&gt;0,NA(),$D12)</f>
        <v/>
      </c>
    </row>
    <row r="13" ht="15" customHeight="1" s="468">
      <c r="A13" s="676" t="n">
        <v>46209</v>
      </c>
      <c r="B13" s="677">
        <f>IF(D13&gt;0,COUNTIF($D$9:D13,"&gt;0"),"")</f>
        <v/>
      </c>
      <c r="C13" s="678">
        <f>'SEMANA JULHO'!$M$41</f>
        <v/>
      </c>
      <c r="D13" s="678">
        <f>CONFIG!$B$3</f>
        <v/>
      </c>
      <c r="E13" s="678">
        <f>C13-D13</f>
        <v/>
      </c>
      <c r="F13" s="700" t="n"/>
      <c r="X13" s="552">
        <f>IF(COUNTIF($F13,"*Feriado*")&gt;0,NA(),$C13)</f>
        <v/>
      </c>
      <c r="Y13" s="552">
        <f>IF(COUNTIF($F13,"*Feriado*")&gt;0,NA(),$D13)</f>
        <v/>
      </c>
    </row>
    <row r="14" ht="15" customHeight="1" s="468">
      <c r="A14" s="676" t="n">
        <v>46210</v>
      </c>
      <c r="B14" s="677">
        <f>IF(D14&gt;0,COUNTIF($D$9:D14,"&gt;0"),"")</f>
        <v/>
      </c>
      <c r="C14" s="678">
        <f>'SEMANA JULHO'!$M$49</f>
        <v/>
      </c>
      <c r="D14" s="678">
        <f>CONFIG!$B$3</f>
        <v/>
      </c>
      <c r="E14" s="678">
        <f>C14-D14</f>
        <v/>
      </c>
      <c r="F14" s="700" t="n"/>
      <c r="X14" s="552">
        <f>IF(COUNTIF($F14,"*Feriado*")&gt;0,NA(),$C14)</f>
        <v/>
      </c>
      <c r="Y14" s="552">
        <f>IF(COUNTIF($F14,"*Feriado*")&gt;0,NA(),$D14)</f>
        <v/>
      </c>
    </row>
    <row r="15" ht="15" customHeight="1" s="468">
      <c r="A15" s="676" t="n">
        <v>46211</v>
      </c>
      <c r="B15" s="677">
        <f>IF(D15&gt;0,COUNTIF($D$9:D15,"&gt;0"),"")</f>
        <v/>
      </c>
      <c r="C15" s="678">
        <f>'SEMANA JULHO'!$M$57</f>
        <v/>
      </c>
      <c r="D15" s="678">
        <f>CONFIG!$B$3</f>
        <v/>
      </c>
      <c r="E15" s="678">
        <f>C15-D15</f>
        <v/>
      </c>
      <c r="F15" s="700" t="n"/>
      <c r="X15" s="552">
        <f>IF(COUNTIF($F15,"*Feriado*")&gt;0,NA(),$C15)</f>
        <v/>
      </c>
      <c r="Y15" s="552">
        <f>IF(COUNTIF($F15,"*Feriado*")&gt;0,NA(),$D15)</f>
        <v/>
      </c>
    </row>
    <row r="16" ht="15" customHeight="1" s="468">
      <c r="A16" s="676" t="n">
        <v>46212</v>
      </c>
      <c r="B16" s="677">
        <f>IF(D16&gt;0,COUNTIF($D$9:D16,"&gt;0"),"")</f>
        <v/>
      </c>
      <c r="C16" s="678">
        <f>'SEMANA JULHO'!$M$65</f>
        <v/>
      </c>
      <c r="D16" s="678">
        <f>CONFIG!$B$3</f>
        <v/>
      </c>
      <c r="E16" s="678">
        <f>C16-D16</f>
        <v/>
      </c>
      <c r="F16" s="700" t="n"/>
      <c r="X16" s="552">
        <f>IF(COUNTIF($F16,"*Feriado*")&gt;0,NA(),$C16)</f>
        <v/>
      </c>
      <c r="Y16" s="552">
        <f>IF(COUNTIF($F16,"*Feriado*")&gt;0,NA(),$D16)</f>
        <v/>
      </c>
    </row>
    <row r="17" ht="15" customHeight="1" s="468">
      <c r="A17" s="676" t="n">
        <v>46213</v>
      </c>
      <c r="B17" s="677">
        <f>IF(D17&gt;0,COUNTIF($D$9:D17,"&gt;0"),"")</f>
        <v/>
      </c>
      <c r="C17" s="678">
        <f>'SEMANA JULHO'!$M$73</f>
        <v/>
      </c>
      <c r="D17" s="678">
        <f>CONFIG!$B$3</f>
        <v/>
      </c>
      <c r="E17" s="678">
        <f>C17-D17</f>
        <v/>
      </c>
      <c r="F17" s="700" t="n"/>
      <c r="X17" s="552">
        <f>IF(COUNTIF($F17,"*Feriado*")&gt;0,NA(),$C17)</f>
        <v/>
      </c>
      <c r="Y17" s="552">
        <f>IF(COUNTIF($F17,"*Feriado*")&gt;0,NA(),$D17)</f>
        <v/>
      </c>
    </row>
    <row r="18" ht="15" customHeight="1" s="468">
      <c r="A18" s="676" t="n">
        <v>46214</v>
      </c>
      <c r="B18" s="677">
        <f>IF(D18&gt;0,COUNTIF($D$9:D18,"&gt;0"),"")</f>
        <v/>
      </c>
      <c r="C18" s="678">
        <f>'SEMANA JULHO'!$M$81</f>
        <v/>
      </c>
      <c r="D18" s="678">
        <f>CONFIG!$B$3</f>
        <v/>
      </c>
      <c r="E18" s="678">
        <f>C18-D18</f>
        <v/>
      </c>
      <c r="F18" s="679" t="inlineStr">
        <is>
          <t>Sábado - produção normal</t>
        </is>
      </c>
      <c r="X18" s="552">
        <f>IF(COUNTIF($F18,"*Feriado*")&gt;0,NA(),$C18)</f>
        <v/>
      </c>
      <c r="Y18" s="552">
        <f>IF(COUNTIF($F18,"*Feriado*")&gt;0,NA(),$D18)</f>
        <v/>
      </c>
    </row>
    <row r="19" ht="15" customHeight="1" s="468">
      <c r="A19" s="676" t="n">
        <v>46216</v>
      </c>
      <c r="B19" s="677">
        <f>IF(D19&gt;0,COUNTIF($D$9:D19,"&gt;0"),"")</f>
        <v/>
      </c>
      <c r="C19" s="678">
        <f>'SEMANA JULHO'!$M$89</f>
        <v/>
      </c>
      <c r="D19" s="678">
        <f>CONFIG!$B$3</f>
        <v/>
      </c>
      <c r="E19" s="678">
        <f>C19-D19</f>
        <v/>
      </c>
      <c r="F19" s="700" t="n"/>
      <c r="X19" s="552">
        <f>IF(COUNTIF($F19,"*Feriado*")&gt;0,NA(),$C19)</f>
        <v/>
      </c>
      <c r="Y19" s="552">
        <f>IF(COUNTIF($F19,"*Feriado*")&gt;0,NA(),$D19)</f>
        <v/>
      </c>
    </row>
    <row r="20" ht="15" customHeight="1" s="468">
      <c r="A20" s="676" t="n">
        <v>46217</v>
      </c>
      <c r="B20" s="677">
        <f>IF(D20&gt;0,COUNTIF($D$9:D20,"&gt;0"),"")</f>
        <v/>
      </c>
      <c r="C20" s="678">
        <f>'SEMANA JULHO'!$M$97</f>
        <v/>
      </c>
      <c r="D20" s="678">
        <f>CONFIG!$B$3</f>
        <v/>
      </c>
      <c r="E20" s="678">
        <f>C20-D20</f>
        <v/>
      </c>
      <c r="F20" s="700" t="n"/>
      <c r="X20" s="552">
        <f>IF(COUNTIF($F20,"*Feriado*")&gt;0,NA(),$C20)</f>
        <v/>
      </c>
      <c r="Y20" s="552">
        <f>IF(COUNTIF($F20,"*Feriado*")&gt;0,NA(),$D20)</f>
        <v/>
      </c>
    </row>
    <row r="21" ht="15" customHeight="1" s="468">
      <c r="A21" s="676" t="n">
        <v>46218</v>
      </c>
      <c r="B21" s="677">
        <f>IF(D21&gt;0,COUNTIF($D$9:D21,"&gt;0"),"")</f>
        <v/>
      </c>
      <c r="C21" s="678">
        <f>'SEMANA JULHO'!$M$105</f>
        <v/>
      </c>
      <c r="D21" s="678">
        <f>CONFIG!$B$3</f>
        <v/>
      </c>
      <c r="E21" s="678">
        <f>C21-D21</f>
        <v/>
      </c>
      <c r="F21" s="700" t="n"/>
      <c r="X21" s="552">
        <f>IF(COUNTIF($F21,"*Feriado*")&gt;0,NA(),$C21)</f>
        <v/>
      </c>
      <c r="Y21" s="552">
        <f>IF(COUNTIF($F21,"*Feriado*")&gt;0,NA(),$D21)</f>
        <v/>
      </c>
    </row>
    <row r="22" ht="15" customHeight="1" s="468">
      <c r="A22" s="676" t="n">
        <v>46219</v>
      </c>
      <c r="B22" s="677">
        <f>IF(D22&gt;0,COUNTIF($D$9:D22,"&gt;0"),"")</f>
        <v/>
      </c>
      <c r="C22" s="678">
        <f>'SEMANA JULHO'!$M$113</f>
        <v/>
      </c>
      <c r="D22" s="678">
        <f>CONFIG!$B$3</f>
        <v/>
      </c>
      <c r="E22" s="678">
        <f>C22-D22</f>
        <v/>
      </c>
      <c r="F22" s="700" t="n"/>
      <c r="X22" s="552">
        <f>IF(COUNTIF($F22,"*Feriado*")&gt;0,NA(),$C22)</f>
        <v/>
      </c>
      <c r="Y22" s="552">
        <f>IF(COUNTIF($F22,"*Feriado*")&gt;0,NA(),$D22)</f>
        <v/>
      </c>
    </row>
    <row r="23" ht="15" customHeight="1" s="468">
      <c r="A23" s="676" t="n">
        <v>46220</v>
      </c>
      <c r="B23" s="677">
        <f>IF(D23&gt;0,COUNTIF($D$9:D23,"&gt;0"),"")</f>
        <v/>
      </c>
      <c r="C23" s="678">
        <f>'SEMANA JULHO'!$M$121</f>
        <v/>
      </c>
      <c r="D23" s="678">
        <f>CONFIG!$B$3</f>
        <v/>
      </c>
      <c r="E23" s="678">
        <f>C23-D23</f>
        <v/>
      </c>
      <c r="F23" s="700" t="n"/>
      <c r="X23" s="552">
        <f>IF(COUNTIF($F23,"*Feriado*")&gt;0,NA(),$C23)</f>
        <v/>
      </c>
      <c r="Y23" s="552">
        <f>IF(COUNTIF($F23,"*Feriado*")&gt;0,NA(),$D23)</f>
        <v/>
      </c>
    </row>
    <row r="24" ht="15" customHeight="1" s="468">
      <c r="A24" s="676" t="n">
        <v>46221</v>
      </c>
      <c r="B24" s="677">
        <f>IF(D24&gt;0,COUNTIF($D$9:D24,"&gt;0"),"")</f>
        <v/>
      </c>
      <c r="C24" s="678">
        <f>'SEMANA JULHO'!$M$129</f>
        <v/>
      </c>
      <c r="D24" s="678">
        <f>CONFIG!$B$3</f>
        <v/>
      </c>
      <c r="E24" s="678">
        <f>C24-D24</f>
        <v/>
      </c>
      <c r="F24" s="679" t="inlineStr">
        <is>
          <t>Sábado - produção normal</t>
        </is>
      </c>
      <c r="X24" s="552">
        <f>IF(COUNTIF($F24,"*Feriado*")&gt;0,NA(),$C24)</f>
        <v/>
      </c>
      <c r="Y24" s="552">
        <f>IF(COUNTIF($F24,"*Feriado*")&gt;0,NA(),$D24)</f>
        <v/>
      </c>
    </row>
    <row r="25" ht="15" customHeight="1" s="468">
      <c r="A25" s="676" t="n">
        <v>46223</v>
      </c>
      <c r="B25" s="677">
        <f>IF(D25&gt;0,COUNTIF($D$9:D25,"&gt;0"),"")</f>
        <v/>
      </c>
      <c r="C25" s="678">
        <f>'SEMANA JULHO'!$M$137</f>
        <v/>
      </c>
      <c r="D25" s="678">
        <f>CONFIG!$B$3</f>
        <v/>
      </c>
      <c r="E25" s="678">
        <f>C25-D25</f>
        <v/>
      </c>
      <c r="F25" s="700" t="n"/>
      <c r="X25" s="552">
        <f>IF(COUNTIF($F25,"*Feriado*")&gt;0,NA(),$C25)</f>
        <v/>
      </c>
      <c r="Y25" s="552">
        <f>IF(COUNTIF($F25,"*Feriado*")&gt;0,NA(),$D25)</f>
        <v/>
      </c>
    </row>
    <row r="26" ht="15" customHeight="1" s="468">
      <c r="A26" s="676" t="n">
        <v>46224</v>
      </c>
      <c r="B26" s="677">
        <f>IF(D26&gt;0,COUNTIF($D$9:D26,"&gt;0"),"")</f>
        <v/>
      </c>
      <c r="C26" s="678">
        <f>'SEMANA JULHO'!$M$145</f>
        <v/>
      </c>
      <c r="D26" s="678">
        <f>CONFIG!$B$3</f>
        <v/>
      </c>
      <c r="E26" s="678">
        <f>C26-D26</f>
        <v/>
      </c>
      <c r="F26" s="700" t="n"/>
      <c r="X26" s="552">
        <f>IF(COUNTIF($F26,"*Feriado*")&gt;0,NA(),$C26)</f>
        <v/>
      </c>
      <c r="Y26" s="552">
        <f>IF(COUNTIF($F26,"*Feriado*")&gt;0,NA(),$D26)</f>
        <v/>
      </c>
    </row>
    <row r="27" ht="15" customHeight="1" s="468">
      <c r="A27" s="676" t="n">
        <v>46225</v>
      </c>
      <c r="B27" s="677">
        <f>IF(D27&gt;0,COUNTIF($D$9:D27,"&gt;0"),"")</f>
        <v/>
      </c>
      <c r="C27" s="678">
        <f>'SEMANA JULHO'!$M$153</f>
        <v/>
      </c>
      <c r="D27" s="678">
        <f>CONFIG!$B$3</f>
        <v/>
      </c>
      <c r="E27" s="678">
        <f>C27-D27</f>
        <v/>
      </c>
      <c r="F27" s="700" t="n"/>
      <c r="X27" s="552">
        <f>IF(COUNTIF($F27,"*Feriado*")&gt;0,NA(),$C27)</f>
        <v/>
      </c>
      <c r="Y27" s="552">
        <f>IF(COUNTIF($F27,"*Feriado*")&gt;0,NA(),$D27)</f>
        <v/>
      </c>
    </row>
    <row r="28" ht="15" customHeight="1" s="468">
      <c r="A28" s="676" t="n">
        <v>46226</v>
      </c>
      <c r="B28" s="677">
        <f>IF(D28&gt;0,COUNTIF($D$9:D28,"&gt;0"),"")</f>
        <v/>
      </c>
      <c r="C28" s="678">
        <f>'SEMANA JULHO'!$M$161</f>
        <v/>
      </c>
      <c r="D28" s="678">
        <f>CONFIG!$B$3</f>
        <v/>
      </c>
      <c r="E28" s="678">
        <f>C28-D28</f>
        <v/>
      </c>
      <c r="F28" s="700" t="n"/>
      <c r="X28" s="552">
        <f>IF(COUNTIF($F28,"*Feriado*")&gt;0,NA(),$C28)</f>
        <v/>
      </c>
      <c r="Y28" s="552">
        <f>IF(COUNTIF($F28,"*Feriado*")&gt;0,NA(),$D28)</f>
        <v/>
      </c>
    </row>
    <row r="29" ht="15" customHeight="1" s="468">
      <c r="A29" s="676" t="n">
        <v>46227</v>
      </c>
      <c r="B29" s="677">
        <f>IF(D29&gt;0,COUNTIF($D$9:D29,"&gt;0"),"")</f>
        <v/>
      </c>
      <c r="C29" s="678">
        <f>'SEMANA JULHO'!$M$169</f>
        <v/>
      </c>
      <c r="D29" s="678">
        <f>CONFIG!$B$3</f>
        <v/>
      </c>
      <c r="E29" s="678">
        <f>C29-D29</f>
        <v/>
      </c>
      <c r="F29" s="700" t="n"/>
      <c r="X29" s="552">
        <f>IF(COUNTIF($F29,"*Feriado*")&gt;0,NA(),$C29)</f>
        <v/>
      </c>
      <c r="Y29" s="552">
        <f>IF(COUNTIF($F29,"*Feriado*")&gt;0,NA(),$D29)</f>
        <v/>
      </c>
    </row>
    <row r="30" ht="15" customHeight="1" s="468">
      <c r="A30" s="676" t="n">
        <v>46228</v>
      </c>
      <c r="B30" s="677">
        <f>IF(D30&gt;0,COUNTIF($D$9:D30,"&gt;0"),"")</f>
        <v/>
      </c>
      <c r="C30" s="678">
        <f>'SEMANA JULHO'!$M$177</f>
        <v/>
      </c>
      <c r="D30" s="678">
        <f>CONFIG!$B$3</f>
        <v/>
      </c>
      <c r="E30" s="678">
        <f>C30-D30</f>
        <v/>
      </c>
      <c r="F30" s="679" t="inlineStr">
        <is>
          <t>Sábado - produção normal</t>
        </is>
      </c>
      <c r="X30" s="552">
        <f>IF(COUNTIF($F30,"*Feriado*")&gt;0,NA(),$C30)</f>
        <v/>
      </c>
      <c r="Y30" s="552">
        <f>IF(COUNTIF($F30,"*Feriado*")&gt;0,NA(),$D30)</f>
        <v/>
      </c>
    </row>
    <row r="31" ht="15" customHeight="1" s="468">
      <c r="A31" s="676" t="n">
        <v>46230</v>
      </c>
      <c r="B31" s="677">
        <f>IF(D31&gt;0,COUNTIF($D$9:D31,"&gt;0"),"")</f>
        <v/>
      </c>
      <c r="C31" s="678">
        <f>'SEMANA JULHO'!$M$185</f>
        <v/>
      </c>
      <c r="D31" s="678">
        <f>CONFIG!$B$3</f>
        <v/>
      </c>
      <c r="E31" s="678">
        <f>C31-D31</f>
        <v/>
      </c>
      <c r="F31" s="700" t="n"/>
      <c r="X31" s="552">
        <f>IF(COUNTIF($F31,"*Feriado*")&gt;0,NA(),$C31)</f>
        <v/>
      </c>
      <c r="Y31" s="552">
        <f>IF(COUNTIF($F31,"*Feriado*")&gt;0,NA(),$D31)</f>
        <v/>
      </c>
    </row>
    <row r="32" ht="14.25" customHeight="1" s="468">
      <c r="A32" s="676" t="n">
        <v>46231</v>
      </c>
      <c r="B32" s="677">
        <f>IF(D32&gt;0,COUNTIF($D$9:D32,"&gt;0"),"")</f>
        <v/>
      </c>
      <c r="C32" s="678">
        <f>'SEMANA JULHO'!$M$193</f>
        <v/>
      </c>
      <c r="D32" s="678">
        <f>CONFIG!$B$3</f>
        <v/>
      </c>
      <c r="E32" s="678">
        <f>C32-D32</f>
        <v/>
      </c>
      <c r="F32" s="700" t="n"/>
    </row>
    <row r="33" ht="14.25" customHeight="1" s="468">
      <c r="A33" s="676" t="n">
        <v>46232</v>
      </c>
      <c r="B33" s="677">
        <f>IF(D33&gt;0,COUNTIF($D$9:D33,"&gt;0"),"")</f>
        <v/>
      </c>
      <c r="C33" s="678">
        <f>'SEMANA JULHO'!$M$201</f>
        <v/>
      </c>
      <c r="D33" s="678">
        <f>CONFIG!$B$3</f>
        <v/>
      </c>
      <c r="E33" s="678">
        <f>C33-D33</f>
        <v/>
      </c>
      <c r="F33" s="700" t="n"/>
    </row>
    <row r="34" ht="14.25" customHeight="1" s="468">
      <c r="A34" s="676" t="n">
        <v>46233</v>
      </c>
      <c r="B34" s="677">
        <f>IF(D34&gt;0,COUNTIF($D$9:D34,"&gt;0"),"")</f>
        <v/>
      </c>
      <c r="C34" s="678">
        <f>'SEMANA JULHO'!$M$209</f>
        <v/>
      </c>
      <c r="D34" s="678">
        <f>CONFIG!$B$3</f>
        <v/>
      </c>
      <c r="E34" s="678">
        <f>C34-D34</f>
        <v/>
      </c>
      <c r="F34" s="700" t="n"/>
    </row>
    <row r="35" ht="14.25" customHeight="1" s="468">
      <c r="A35" s="676" t="n">
        <v>46234</v>
      </c>
      <c r="B35" s="677">
        <f>IF(D35&gt;0,COUNTIF($D$9:D35,"&gt;0"),"")</f>
        <v/>
      </c>
      <c r="C35" s="678">
        <f>'SEMANA JULHO'!$M$217</f>
        <v/>
      </c>
      <c r="D35" s="678">
        <f>CONFIG!$B$3</f>
        <v/>
      </c>
      <c r="E35" s="678">
        <f>C35-D35</f>
        <v/>
      </c>
      <c r="F35" s="700" t="n"/>
    </row>
    <row r="36" ht="14.25" customHeight="1" s="468">
      <c r="A36" s="692" t="n"/>
      <c r="B36" s="693" t="n"/>
      <c r="C36" s="693" t="n"/>
      <c r="D36" s="693" t="n"/>
      <c r="E36" s="693" t="n"/>
      <c r="F36" s="683" t="n"/>
    </row>
    <row r="37" ht="14.25" customHeight="1" s="468">
      <c r="A37" s="692" t="n"/>
      <c r="B37" s="693" t="n"/>
      <c r="C37" s="693" t="n"/>
      <c r="D37" s="693" t="n"/>
      <c r="E37" s="693" t="n"/>
      <c r="F37" s="683" t="n"/>
    </row>
    <row r="38" ht="14.25" customHeight="1" s="468">
      <c r="A38" s="692" t="n"/>
      <c r="B38" s="693" t="n"/>
      <c r="C38" s="693" t="n"/>
      <c r="D38" s="693" t="n"/>
      <c r="E38" s="693" t="n"/>
      <c r="F38" s="683" t="n"/>
    </row>
    <row r="39" ht="14.25" customHeight="1" s="468">
      <c r="A39" s="692" t="n"/>
      <c r="B39" s="693" t="n"/>
      <c r="C39" s="693" t="n"/>
      <c r="D39" s="693" t="n"/>
      <c r="E39" s="693" t="n"/>
      <c r="F39" s="683" t="n"/>
    </row>
    <row r="40" ht="14.25" customHeight="1" s="468">
      <c r="A40" s="692" t="n"/>
      <c r="B40" s="693" t="n"/>
      <c r="C40" s="693" t="n"/>
      <c r="D40" s="693" t="n"/>
      <c r="E40" s="693" t="n"/>
      <c r="F40" s="683" t="n"/>
    </row>
    <row r="41" ht="14.25" customHeight="1" s="468">
      <c r="A41" s="692" t="n"/>
      <c r="B41" s="693" t="n"/>
      <c r="C41" s="693" t="n"/>
      <c r="D41" s="693" t="n"/>
      <c r="E41" s="693" t="n"/>
      <c r="F41" s="683" t="n"/>
    </row>
    <row r="42" ht="14.25" customHeight="1" s="468">
      <c r="A42" s="692" t="n"/>
      <c r="B42" s="693" t="n"/>
      <c r="C42" s="693" t="n"/>
      <c r="D42" s="693" t="n"/>
      <c r="E42" s="693" t="n"/>
      <c r="F42" s="683" t="n"/>
    </row>
    <row r="43" ht="14.25" customHeight="1" s="468">
      <c r="A43" s="692" t="n"/>
      <c r="B43" s="693" t="n"/>
      <c r="C43" s="693" t="n"/>
      <c r="D43" s="693" t="n"/>
      <c r="E43" s="693" t="n"/>
      <c r="F43" s="683" t="n"/>
    </row>
    <row r="44" ht="14.25" customHeight="1" s="468">
      <c r="A44" s="692" t="n"/>
      <c r="B44" s="693" t="n"/>
      <c r="C44" s="693" t="n"/>
      <c r="D44" s="693" t="n"/>
      <c r="E44" s="693" t="n"/>
      <c r="F44" s="683" t="n"/>
    </row>
    <row r="45" ht="14.25" customHeight="1" s="468">
      <c r="A45" s="692" t="n"/>
      <c r="B45" s="693" t="n"/>
      <c r="C45" s="693" t="n"/>
      <c r="D45" s="693" t="n"/>
      <c r="E45" s="693" t="n"/>
      <c r="F45" s="683" t="n"/>
    </row>
    <row r="46" ht="14.25" customHeight="1" s="468">
      <c r="A46" s="692" t="n"/>
      <c r="B46" s="693" t="n"/>
      <c r="C46" s="693" t="n"/>
      <c r="D46" s="693" t="n"/>
      <c r="E46" s="693" t="n"/>
      <c r="F46" s="683" t="n"/>
    </row>
    <row r="47" ht="14.25" customHeight="1" s="468">
      <c r="A47" s="692" t="n"/>
      <c r="B47" s="693" t="n"/>
      <c r="C47" s="693" t="n"/>
      <c r="D47" s="693" t="n"/>
      <c r="E47" s="693" t="n"/>
      <c r="F47" s="683" t="n"/>
    </row>
    <row r="48" ht="14.25" customHeight="1" s="468">
      <c r="A48" s="692" t="n"/>
      <c r="B48" s="693" t="n"/>
      <c r="C48" s="693" t="n"/>
      <c r="D48" s="693" t="n"/>
      <c r="E48" s="693" t="n"/>
      <c r="F48" s="683" t="n"/>
    </row>
    <row r="49" ht="14.25" customHeight="1" s="468">
      <c r="A49" s="692" t="n"/>
      <c r="B49" s="693" t="n"/>
      <c r="C49" s="693" t="n"/>
      <c r="D49" s="693" t="n"/>
      <c r="E49" s="693" t="n"/>
      <c r="F49" s="683" t="n"/>
    </row>
    <row r="50" ht="14.25" customHeight="1" s="468">
      <c r="A50" s="692" t="n"/>
      <c r="B50" s="693" t="n"/>
      <c r="C50" s="693" t="n"/>
      <c r="D50" s="693" t="n"/>
      <c r="E50" s="693" t="n"/>
      <c r="F50" s="683" t="n"/>
    </row>
    <row r="51" ht="14.25" customHeight="1" s="468">
      <c r="A51" s="692" t="n"/>
      <c r="B51" s="693" t="n"/>
      <c r="C51" s="693" t="n"/>
      <c r="D51" s="693" t="n"/>
      <c r="E51" s="693" t="n"/>
      <c r="F51" s="683" t="n"/>
    </row>
    <row r="52" ht="14.25" customHeight="1" s="468">
      <c r="A52" s="692" t="n"/>
      <c r="B52" s="693" t="n"/>
      <c r="C52" s="693" t="n"/>
      <c r="D52" s="693" t="n"/>
      <c r="E52" s="693" t="n"/>
      <c r="F52" s="683" t="n"/>
    </row>
    <row r="53" ht="14.25" customHeight="1" s="468">
      <c r="A53" s="692" t="n"/>
      <c r="B53" s="693" t="n"/>
      <c r="C53" s="693" t="n"/>
      <c r="D53" s="693" t="n"/>
      <c r="E53" s="693" t="n"/>
      <c r="F53" s="683" t="n"/>
    </row>
    <row r="54" ht="14.25" customHeight="1" s="468">
      <c r="A54" s="692" t="n"/>
      <c r="B54" s="693" t="n"/>
      <c r="C54" s="693" t="n"/>
      <c r="D54" s="693" t="n"/>
      <c r="E54" s="693" t="n"/>
      <c r="F54" s="683" t="n"/>
    </row>
    <row r="55" ht="14.25" customHeight="1" s="468">
      <c r="A55" s="692" t="n"/>
      <c r="B55" s="693" t="n"/>
      <c r="C55" s="693" t="n"/>
      <c r="D55" s="693" t="n"/>
      <c r="E55" s="693" t="n"/>
      <c r="F55" s="683" t="n"/>
    </row>
    <row r="56" ht="14.25" customHeight="1" s="468">
      <c r="A56" s="692" t="n"/>
      <c r="B56" s="693" t="n"/>
      <c r="C56" s="693" t="n"/>
      <c r="D56" s="693" t="n"/>
      <c r="E56" s="693" t="n"/>
      <c r="F56" s="683" t="n"/>
    </row>
    <row r="57" ht="14.25" customHeight="1" s="468">
      <c r="A57" s="692" t="n"/>
      <c r="B57" s="693" t="n"/>
      <c r="C57" s="693" t="n"/>
      <c r="D57" s="693" t="n"/>
      <c r="E57" s="693" t="n"/>
      <c r="F57" s="683" t="n"/>
    </row>
    <row r="58" ht="14.25" customHeight="1" s="468">
      <c r="A58" s="692" t="n"/>
      <c r="B58" s="693" t="n"/>
      <c r="C58" s="693" t="n"/>
      <c r="D58" s="693" t="n"/>
      <c r="E58" s="693" t="n"/>
      <c r="F58" s="683" t="n"/>
    </row>
    <row r="59" ht="14.25" customHeight="1" s="468">
      <c r="A59" s="692" t="n"/>
      <c r="B59" s="693" t="n"/>
      <c r="C59" s="693" t="n"/>
      <c r="D59" s="693" t="n"/>
      <c r="E59" s="693" t="n"/>
      <c r="F59" s="683" t="n"/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tabColor rgb="FFC96B0A"/>
    <outlinePr summaryBelow="1" summaryRight="1"/>
    <pageSetUpPr/>
  </sheetPr>
  <dimension ref="B1:N300"/>
  <sheetViews>
    <sheetView showGridLines="0" zoomScaleNormal="100" workbookViewId="0">
      <selection activeCell="A1" sqref="A1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5" min="14" max="14"/>
  </cols>
  <sheetData>
    <row r="1" ht="21.75" customHeight="1" s="468">
      <c r="B1" s="511" t="inlineStr">
        <is>
          <t>ORDEM DE PRODUÇÃO - AGOSTO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179" t="inlineStr">
        <is>
          <t>OP</t>
        </is>
      </c>
      <c r="C3" s="519" t="inlineStr">
        <is>
          <t xml:space="preserve">LOTE </t>
        </is>
      </c>
      <c r="D3" s="454" t="n"/>
      <c r="E3" s="519" t="inlineStr">
        <is>
          <t>LOTE CLIENTE</t>
        </is>
      </c>
      <c r="F3" s="454" t="n"/>
      <c r="G3" s="519" t="inlineStr">
        <is>
          <t>PRODUTO</t>
        </is>
      </c>
      <c r="H3" s="456" t="n"/>
      <c r="I3" s="456" t="n"/>
      <c r="J3" s="454" t="n"/>
      <c r="K3" s="519" t="inlineStr">
        <is>
          <t>CLIENTE</t>
        </is>
      </c>
      <c r="L3" s="454" t="n"/>
      <c r="M3" s="180" t="inlineStr">
        <is>
          <t>QTDE(Kg)</t>
        </is>
      </c>
      <c r="N3" s="417" t="inlineStr">
        <is>
          <t>FABRICAÇÃO</t>
        </is>
      </c>
    </row>
    <row r="4" ht="17.25" customHeight="1" s="468">
      <c r="B4" s="262" t="n"/>
      <c r="C4" s="510" t="n"/>
      <c r="D4" s="484" t="n"/>
      <c r="E4" s="510" t="n"/>
      <c r="F4" s="484" t="n"/>
      <c r="G4" s="510" t="n"/>
      <c r="H4" s="483" t="n"/>
      <c r="I4" s="483" t="n"/>
      <c r="J4" s="484" t="n"/>
      <c r="K4" s="510" t="n"/>
      <c r="L4" s="484" t="n"/>
      <c r="M4" s="263" t="n"/>
      <c r="N4" s="417" t="n"/>
    </row>
    <row r="5" ht="17.25" customHeight="1" s="468">
      <c r="B5" s="20" t="n"/>
      <c r="C5" s="490" t="n"/>
      <c r="D5" s="486" t="n"/>
      <c r="E5" s="490" t="n"/>
      <c r="F5" s="486" t="n"/>
      <c r="G5" s="490" t="n"/>
      <c r="H5" s="488" t="n"/>
      <c r="I5" s="488" t="n"/>
      <c r="J5" s="486" t="n"/>
      <c r="K5" s="490" t="n"/>
      <c r="L5" s="486" t="n"/>
      <c r="M5" s="21" t="n"/>
      <c r="N5" s="417" t="n"/>
    </row>
    <row r="6" ht="17.25" customHeight="1" s="468">
      <c r="B6" s="18" t="n"/>
      <c r="C6" s="485" t="n"/>
      <c r="D6" s="486" t="n"/>
      <c r="E6" s="485" t="n"/>
      <c r="F6" s="486" t="n"/>
      <c r="G6" s="485" t="n"/>
      <c r="H6" s="488" t="n"/>
      <c r="I6" s="488" t="n"/>
      <c r="J6" s="486" t="n"/>
      <c r="K6" s="485" t="n"/>
      <c r="L6" s="486" t="n"/>
      <c r="M6" s="22" t="n"/>
      <c r="N6" s="417" t="n"/>
    </row>
    <row r="7" ht="17.25" customHeight="1" s="468">
      <c r="B7" s="20" t="n"/>
      <c r="C7" s="490" t="n"/>
      <c r="D7" s="486" t="n"/>
      <c r="E7" s="490" t="n"/>
      <c r="F7" s="486" t="n"/>
      <c r="G7" s="490" t="n"/>
      <c r="H7" s="488" t="n"/>
      <c r="I7" s="488" t="n"/>
      <c r="J7" s="486" t="n"/>
      <c r="K7" s="490" t="n"/>
      <c r="L7" s="486" t="n"/>
      <c r="M7" s="23" t="n"/>
      <c r="N7" s="417" t="n"/>
    </row>
    <row r="8" ht="17.25" customHeight="1" s="468">
      <c r="B8" s="18" t="n"/>
      <c r="C8" s="485" t="n"/>
      <c r="D8" s="486" t="n"/>
      <c r="E8" s="485" t="n"/>
      <c r="F8" s="486" t="n"/>
      <c r="G8" s="485" t="n"/>
      <c r="H8" s="488" t="n"/>
      <c r="I8" s="488" t="n"/>
      <c r="J8" s="486" t="n"/>
      <c r="K8" s="485" t="n"/>
      <c r="L8" s="486" t="n"/>
      <c r="M8" s="22" t="n"/>
      <c r="N8" s="417" t="n"/>
    </row>
    <row r="9" ht="17.25" customHeight="1" s="468">
      <c r="B9" s="20" t="n"/>
      <c r="C9" s="490" t="n"/>
      <c r="D9" s="486" t="n"/>
      <c r="E9" s="490" t="n"/>
      <c r="F9" s="486" t="n"/>
      <c r="G9" s="490" t="n"/>
      <c r="H9" s="488" t="n"/>
      <c r="I9" s="488" t="n"/>
      <c r="J9" s="486" t="n"/>
      <c r="K9" s="490" t="n"/>
      <c r="L9" s="486" t="n"/>
      <c r="M9" s="21" t="n"/>
      <c r="N9" s="417" t="n"/>
    </row>
    <row r="10" ht="17.25" customHeight="1" s="468">
      <c r="B10" s="18" t="n"/>
      <c r="C10" s="485" t="n"/>
      <c r="D10" s="486" t="n"/>
      <c r="E10" s="485" t="n"/>
      <c r="F10" s="486" t="n"/>
      <c r="G10" s="485" t="n"/>
      <c r="H10" s="488" t="n"/>
      <c r="I10" s="488" t="n"/>
      <c r="J10" s="486" t="n"/>
      <c r="K10" s="485" t="n"/>
      <c r="L10" s="486" t="n"/>
      <c r="M10" s="19" t="n"/>
      <c r="N10" s="417" t="n"/>
    </row>
    <row r="11" ht="17.25" customHeight="1" s="468">
      <c r="B11" s="20" t="n"/>
      <c r="C11" s="490" t="n"/>
      <c r="D11" s="486" t="n"/>
      <c r="E11" s="490" t="n"/>
      <c r="F11" s="486" t="n"/>
      <c r="G11" s="490" t="n"/>
      <c r="H11" s="488" t="n"/>
      <c r="I11" s="488" t="n"/>
      <c r="J11" s="486" t="n"/>
      <c r="K11" s="490" t="n"/>
      <c r="L11" s="486" t="n"/>
      <c r="M11" s="21" t="n"/>
      <c r="N11" s="417" t="n"/>
    </row>
    <row r="12" ht="17.25" customHeight="1" s="468">
      <c r="B12" s="18" t="n"/>
      <c r="C12" s="485" t="n"/>
      <c r="D12" s="486" t="n"/>
      <c r="E12" s="485" t="n"/>
      <c r="F12" s="486" t="n"/>
      <c r="G12" s="485" t="n"/>
      <c r="H12" s="488" t="n"/>
      <c r="I12" s="488" t="n"/>
      <c r="J12" s="486" t="n"/>
      <c r="K12" s="485" t="n"/>
      <c r="L12" s="486" t="n"/>
      <c r="M12" s="19" t="n"/>
      <c r="N12" s="417" t="n"/>
    </row>
    <row r="13" ht="17.25" customHeight="1" s="468">
      <c r="B13" s="20" t="n"/>
      <c r="C13" s="490" t="n"/>
      <c r="D13" s="486" t="n"/>
      <c r="E13" s="490" t="n"/>
      <c r="F13" s="486" t="n"/>
      <c r="G13" s="490" t="n"/>
      <c r="H13" s="488" t="n"/>
      <c r="I13" s="488" t="n"/>
      <c r="J13" s="486" t="n"/>
      <c r="K13" s="490" t="n"/>
      <c r="L13" s="486" t="n"/>
      <c r="M13" s="21" t="n"/>
      <c r="N13" s="417" t="n"/>
    </row>
    <row r="14" ht="17.25" customHeight="1" s="468">
      <c r="B14" s="18" t="n"/>
      <c r="C14" s="485" t="n"/>
      <c r="D14" s="486" t="n"/>
      <c r="E14" s="485" t="n"/>
      <c r="F14" s="486" t="n"/>
      <c r="G14" s="485" t="n"/>
      <c r="H14" s="488" t="n"/>
      <c r="I14" s="488" t="n"/>
      <c r="J14" s="486" t="n"/>
      <c r="K14" s="485" t="n"/>
      <c r="L14" s="486" t="n"/>
      <c r="M14" s="19" t="n"/>
      <c r="N14" s="417" t="n"/>
    </row>
    <row r="15" ht="17.25" customHeight="1" s="468">
      <c r="B15" s="20" t="n"/>
      <c r="C15" s="490" t="n"/>
      <c r="D15" s="486" t="n"/>
      <c r="E15" s="490" t="n"/>
      <c r="F15" s="486" t="n"/>
      <c r="G15" s="490" t="n"/>
      <c r="H15" s="488" t="n"/>
      <c r="I15" s="488" t="n"/>
      <c r="J15" s="486" t="n"/>
      <c r="K15" s="490" t="n"/>
      <c r="L15" s="486" t="n"/>
      <c r="M15" s="21" t="n"/>
      <c r="N15" s="417" t="n"/>
    </row>
    <row r="16" ht="17.25" customHeight="1" s="468">
      <c r="B16" s="18" t="n"/>
      <c r="C16" s="485" t="n"/>
      <c r="D16" s="486" t="n"/>
      <c r="E16" s="485" t="n"/>
      <c r="F16" s="486" t="n"/>
      <c r="G16" s="485" t="n"/>
      <c r="H16" s="488" t="n"/>
      <c r="I16" s="488" t="n"/>
      <c r="J16" s="486" t="n"/>
      <c r="K16" s="485" t="n"/>
      <c r="L16" s="486" t="n"/>
      <c r="M16" s="19" t="n"/>
      <c r="N16" s="417" t="n"/>
    </row>
    <row r="17" ht="17.25" customHeight="1" s="468">
      <c r="B17" s="20" t="n"/>
      <c r="C17" s="490" t="n"/>
      <c r="D17" s="486" t="n"/>
      <c r="E17" s="490" t="n"/>
      <c r="F17" s="486" t="n"/>
      <c r="G17" s="490" t="n"/>
      <c r="H17" s="488" t="n"/>
      <c r="I17" s="488" t="n"/>
      <c r="J17" s="486" t="n"/>
      <c r="K17" s="490" t="n"/>
      <c r="L17" s="486" t="n"/>
      <c r="M17" s="23" t="n"/>
      <c r="N17" s="417" t="n"/>
    </row>
    <row r="18" ht="17.25" customHeight="1" s="468">
      <c r="B18" s="18" t="n"/>
      <c r="C18" s="485" t="n"/>
      <c r="D18" s="486" t="n"/>
      <c r="E18" s="485" t="n"/>
      <c r="F18" s="486" t="n"/>
      <c r="G18" s="485" t="n"/>
      <c r="H18" s="488" t="n"/>
      <c r="I18" s="488" t="n"/>
      <c r="J18" s="486" t="n"/>
      <c r="K18" s="485" t="n"/>
      <c r="L18" s="486" t="n"/>
      <c r="M18" s="19" t="n"/>
      <c r="N18" s="417" t="n"/>
    </row>
    <row r="19" ht="17.25" customHeight="1" s="468">
      <c r="B19" s="20" t="n"/>
      <c r="C19" s="490" t="n"/>
      <c r="D19" s="486" t="n"/>
      <c r="E19" s="490" t="n"/>
      <c r="F19" s="486" t="n"/>
      <c r="G19" s="490" t="n"/>
      <c r="H19" s="488" t="n"/>
      <c r="I19" s="488" t="n"/>
      <c r="J19" s="486" t="n"/>
      <c r="K19" s="490" t="n"/>
      <c r="L19" s="486" t="n"/>
      <c r="M19" s="21" t="n"/>
      <c r="N19" s="417" t="n"/>
    </row>
    <row r="20" ht="17.25" customHeight="1" s="468">
      <c r="B20" s="18" t="n"/>
      <c r="C20" s="485" t="n"/>
      <c r="D20" s="486" t="n"/>
      <c r="E20" s="485" t="n"/>
      <c r="F20" s="486" t="n"/>
      <c r="G20" s="485" t="n"/>
      <c r="H20" s="488" t="n"/>
      <c r="I20" s="488" t="n"/>
      <c r="J20" s="486" t="n"/>
      <c r="K20" s="485" t="n"/>
      <c r="L20" s="486" t="n"/>
      <c r="M20" s="19" t="n"/>
      <c r="N20" s="417" t="n"/>
    </row>
    <row r="21" ht="17.25" customHeight="1" s="468">
      <c r="B21" s="20" t="n"/>
      <c r="C21" s="490" t="n"/>
      <c r="D21" s="486" t="n"/>
      <c r="E21" s="490" t="n"/>
      <c r="F21" s="486" t="n"/>
      <c r="G21" s="490" t="n"/>
      <c r="H21" s="488" t="n"/>
      <c r="I21" s="488" t="n"/>
      <c r="J21" s="486" t="n"/>
      <c r="K21" s="490" t="n"/>
      <c r="L21" s="486" t="n"/>
      <c r="M21" s="21" t="n"/>
      <c r="N21" s="417" t="n"/>
    </row>
    <row r="22" ht="17.25" customHeight="1" s="468">
      <c r="B22" s="18" t="n"/>
      <c r="C22" s="485" t="n"/>
      <c r="D22" s="486" t="n"/>
      <c r="E22" s="485" t="n"/>
      <c r="F22" s="486" t="n"/>
      <c r="G22" s="485" t="n"/>
      <c r="H22" s="488" t="n"/>
      <c r="I22" s="488" t="n"/>
      <c r="J22" s="486" t="n"/>
      <c r="K22" s="485" t="n"/>
      <c r="L22" s="486" t="n"/>
      <c r="M22" s="19" t="n"/>
      <c r="N22" s="417" t="n"/>
    </row>
    <row r="23" ht="17.25" customHeight="1" s="468">
      <c r="B23" s="20" t="n"/>
      <c r="C23" s="490" t="n"/>
      <c r="D23" s="486" t="n"/>
      <c r="E23" s="490" t="n"/>
      <c r="F23" s="486" t="n"/>
      <c r="G23" s="490" t="n"/>
      <c r="H23" s="488" t="n"/>
      <c r="I23" s="488" t="n"/>
      <c r="J23" s="486" t="n"/>
      <c r="K23" s="490" t="n"/>
      <c r="L23" s="486" t="n"/>
      <c r="M23" s="21" t="n"/>
      <c r="N23" s="417" t="n"/>
    </row>
    <row r="24" ht="17.25" customHeight="1" s="468">
      <c r="B24" s="18" t="n"/>
      <c r="C24" s="485" t="n"/>
      <c r="D24" s="486" t="n"/>
      <c r="E24" s="485" t="n"/>
      <c r="F24" s="486" t="n"/>
      <c r="G24" s="485" t="n"/>
      <c r="H24" s="488" t="n"/>
      <c r="I24" s="488" t="n"/>
      <c r="J24" s="486" t="n"/>
      <c r="K24" s="485" t="n"/>
      <c r="L24" s="486" t="n"/>
      <c r="M24" s="19" t="n"/>
      <c r="N24" s="417" t="n"/>
    </row>
    <row r="25" ht="17.25" customHeight="1" s="468">
      <c r="B25" s="20" t="n"/>
      <c r="C25" s="490" t="n"/>
      <c r="D25" s="486" t="n"/>
      <c r="E25" s="490" t="n"/>
      <c r="F25" s="486" t="n"/>
      <c r="G25" s="490" t="n"/>
      <c r="H25" s="488" t="n"/>
      <c r="I25" s="488" t="n"/>
      <c r="J25" s="486" t="n"/>
      <c r="K25" s="490" t="n"/>
      <c r="L25" s="486" t="n"/>
      <c r="M25" s="23" t="n"/>
      <c r="N25" s="417" t="n"/>
    </row>
    <row r="26" ht="17.25" customHeight="1" s="468">
      <c r="B26" s="18" t="n"/>
      <c r="C26" s="485" t="n"/>
      <c r="D26" s="486" t="n"/>
      <c r="E26" s="485" t="n"/>
      <c r="F26" s="486" t="n"/>
      <c r="G26" s="485" t="n"/>
      <c r="H26" s="488" t="n"/>
      <c r="I26" s="488" t="n"/>
      <c r="J26" s="486" t="n"/>
      <c r="K26" s="485" t="n"/>
      <c r="L26" s="486" t="n"/>
      <c r="M26" s="19" t="n"/>
      <c r="N26" s="417" t="n"/>
    </row>
    <row r="27" ht="17.25" customHeight="1" s="468">
      <c r="B27" s="20" t="n"/>
      <c r="C27" s="490" t="n"/>
      <c r="D27" s="486" t="n"/>
      <c r="E27" s="490" t="n"/>
      <c r="F27" s="486" t="n"/>
      <c r="G27" s="490" t="n"/>
      <c r="H27" s="488" t="n"/>
      <c r="I27" s="488" t="n"/>
      <c r="J27" s="486" t="n"/>
      <c r="K27" s="490" t="n"/>
      <c r="L27" s="486" t="n"/>
      <c r="M27" s="21" t="n"/>
      <c r="N27" s="417" t="n"/>
    </row>
    <row r="28" ht="17.25" customHeight="1" s="468">
      <c r="B28" s="18" t="n"/>
      <c r="C28" s="485" t="n"/>
      <c r="D28" s="486" t="n"/>
      <c r="E28" s="485" t="n"/>
      <c r="F28" s="486" t="n"/>
      <c r="G28" s="485" t="n"/>
      <c r="H28" s="488" t="n"/>
      <c r="I28" s="488" t="n"/>
      <c r="J28" s="486" t="n"/>
      <c r="K28" s="485" t="n"/>
      <c r="L28" s="486" t="n"/>
      <c r="M28" s="19" t="n"/>
      <c r="N28" s="417" t="n"/>
    </row>
    <row r="29" ht="17.25" customHeight="1" s="468">
      <c r="B29" s="20" t="n"/>
      <c r="C29" s="490" t="n"/>
      <c r="D29" s="486" t="n"/>
      <c r="E29" s="490" t="n"/>
      <c r="F29" s="486" t="n"/>
      <c r="G29" s="490" t="n"/>
      <c r="H29" s="488" t="n"/>
      <c r="I29" s="488" t="n"/>
      <c r="J29" s="486" t="n"/>
      <c r="K29" s="490" t="n"/>
      <c r="L29" s="486" t="n"/>
      <c r="M29" s="21" t="n"/>
      <c r="N29" s="417" t="n"/>
    </row>
    <row r="30" ht="17.25" customHeight="1" s="468">
      <c r="B30" s="18" t="n"/>
      <c r="C30" s="485" t="n"/>
      <c r="D30" s="486" t="n"/>
      <c r="E30" s="485" t="n"/>
      <c r="F30" s="486" t="n"/>
      <c r="G30" s="485" t="n"/>
      <c r="H30" s="488" t="n"/>
      <c r="I30" s="488" t="n"/>
      <c r="J30" s="486" t="n"/>
      <c r="K30" s="485" t="n"/>
      <c r="L30" s="486" t="n"/>
      <c r="M30" s="19" t="n"/>
      <c r="N30" s="417" t="n"/>
    </row>
    <row r="31" ht="17.25" customHeight="1" s="468">
      <c r="B31" s="20" t="n"/>
      <c r="C31" s="490" t="n"/>
      <c r="D31" s="486" t="n"/>
      <c r="E31" s="490" t="n"/>
      <c r="F31" s="486" t="n"/>
      <c r="G31" s="490" t="n"/>
      <c r="H31" s="488" t="n"/>
      <c r="I31" s="488" t="n"/>
      <c r="J31" s="486" t="n"/>
      <c r="K31" s="490" t="n"/>
      <c r="L31" s="486" t="n"/>
      <c r="M31" s="21" t="n"/>
      <c r="N31" s="417" t="n"/>
    </row>
    <row r="32" ht="17.25" customHeight="1" s="468">
      <c r="B32" s="18" t="n"/>
      <c r="C32" s="485" t="n"/>
      <c r="D32" s="486" t="n"/>
      <c r="E32" s="485" t="n"/>
      <c r="F32" s="486" t="n"/>
      <c r="G32" s="485" t="n"/>
      <c r="H32" s="488" t="n"/>
      <c r="I32" s="488" t="n"/>
      <c r="J32" s="486" t="n"/>
      <c r="K32" s="485" t="n"/>
      <c r="L32" s="486" t="n"/>
      <c r="M32" s="19" t="n"/>
      <c r="N32" s="417" t="n"/>
    </row>
    <row r="33" ht="17.25" customHeight="1" s="468">
      <c r="B33" s="20" t="n"/>
      <c r="C33" s="490" t="n"/>
      <c r="D33" s="486" t="n"/>
      <c r="E33" s="490" t="n"/>
      <c r="F33" s="486" t="n"/>
      <c r="G33" s="490" t="n"/>
      <c r="H33" s="488" t="n"/>
      <c r="I33" s="488" t="n"/>
      <c r="J33" s="486" t="n"/>
      <c r="K33" s="490" t="n"/>
      <c r="L33" s="486" t="n"/>
      <c r="M33" s="21" t="n"/>
      <c r="N33" s="417" t="n"/>
    </row>
    <row r="34" ht="17.25" customHeight="1" s="468">
      <c r="B34" s="18" t="n"/>
      <c r="C34" s="485" t="n"/>
      <c r="D34" s="486" t="n"/>
      <c r="E34" s="485" t="n"/>
      <c r="F34" s="486" t="n"/>
      <c r="G34" s="485" t="n"/>
      <c r="H34" s="488" t="n"/>
      <c r="I34" s="488" t="n"/>
      <c r="J34" s="486" t="n"/>
      <c r="K34" s="485" t="n"/>
      <c r="L34" s="486" t="n"/>
      <c r="M34" s="22" t="n"/>
      <c r="N34" s="417" t="n"/>
    </row>
    <row r="35" ht="17.25" customHeight="1" s="468">
      <c r="B35" s="20" t="n"/>
      <c r="C35" s="490" t="n"/>
      <c r="D35" s="486" t="n"/>
      <c r="E35" s="490" t="n"/>
      <c r="F35" s="486" t="n"/>
      <c r="G35" s="490" t="n"/>
      <c r="H35" s="488" t="n"/>
      <c r="I35" s="488" t="n"/>
      <c r="J35" s="486" t="n"/>
      <c r="K35" s="490" t="n"/>
      <c r="L35" s="486" t="n"/>
      <c r="M35" s="21" t="n"/>
      <c r="N35" s="417" t="n"/>
    </row>
    <row r="36" ht="17.25" customHeight="1" s="468">
      <c r="B36" s="18" t="n"/>
      <c r="C36" s="485" t="n"/>
      <c r="D36" s="486" t="n"/>
      <c r="E36" s="485" t="n"/>
      <c r="F36" s="486" t="n"/>
      <c r="G36" s="485" t="n"/>
      <c r="H36" s="488" t="n"/>
      <c r="I36" s="488" t="n"/>
      <c r="J36" s="486" t="n"/>
      <c r="K36" s="485" t="n"/>
      <c r="L36" s="486" t="n"/>
      <c r="M36" s="19" t="n"/>
      <c r="N36" s="417" t="n"/>
    </row>
    <row r="37" ht="17.25" customHeight="1" s="468">
      <c r="B37" s="20" t="n"/>
      <c r="C37" s="490" t="n"/>
      <c r="D37" s="486" t="n"/>
      <c r="E37" s="490" t="n"/>
      <c r="F37" s="486" t="n"/>
      <c r="G37" s="490" t="n"/>
      <c r="H37" s="488" t="n"/>
      <c r="I37" s="488" t="n"/>
      <c r="J37" s="486" t="n"/>
      <c r="K37" s="490" t="n"/>
      <c r="L37" s="486" t="n"/>
      <c r="M37" s="21" t="n"/>
      <c r="N37" s="417" t="n"/>
    </row>
    <row r="38" ht="17.25" customHeight="1" s="468">
      <c r="B38" s="18" t="n"/>
      <c r="C38" s="485" t="n"/>
      <c r="D38" s="486" t="n"/>
      <c r="E38" s="485" t="n"/>
      <c r="F38" s="486" t="n"/>
      <c r="G38" s="485" t="n"/>
      <c r="H38" s="488" t="n"/>
      <c r="I38" s="488" t="n"/>
      <c r="J38" s="486" t="n"/>
      <c r="K38" s="485" t="n"/>
      <c r="L38" s="486" t="n"/>
      <c r="M38" s="19" t="n"/>
      <c r="N38" s="417" t="n"/>
    </row>
    <row r="39" ht="17.25" customHeight="1" s="468">
      <c r="B39" s="20" t="n"/>
      <c r="C39" s="490" t="n"/>
      <c r="D39" s="486" t="n"/>
      <c r="E39" s="490" t="n"/>
      <c r="F39" s="486" t="n"/>
      <c r="G39" s="490" t="n"/>
      <c r="H39" s="488" t="n"/>
      <c r="I39" s="488" t="n"/>
      <c r="J39" s="486" t="n"/>
      <c r="K39" s="490" t="n"/>
      <c r="L39" s="486" t="n"/>
      <c r="M39" s="21" t="n"/>
      <c r="N39" s="417" t="n"/>
    </row>
    <row r="40" ht="17.25" customHeight="1" s="468">
      <c r="B40" s="18" t="n"/>
      <c r="C40" s="485" t="n"/>
      <c r="D40" s="486" t="n"/>
      <c r="E40" s="485" t="n"/>
      <c r="F40" s="486" t="n"/>
      <c r="G40" s="485" t="n"/>
      <c r="H40" s="488" t="n"/>
      <c r="I40" s="488" t="n"/>
      <c r="J40" s="486" t="n"/>
      <c r="K40" s="485" t="n"/>
      <c r="L40" s="486" t="n"/>
      <c r="M40" s="19" t="n"/>
      <c r="N40" s="417" t="n"/>
    </row>
    <row r="41" ht="17.25" customHeight="1" s="468">
      <c r="B41" s="20" t="n"/>
      <c r="C41" s="490" t="n"/>
      <c r="D41" s="486" t="n"/>
      <c r="E41" s="490" t="n"/>
      <c r="F41" s="486" t="n"/>
      <c r="G41" s="490" t="n"/>
      <c r="H41" s="488" t="n"/>
      <c r="I41" s="488" t="n"/>
      <c r="J41" s="486" t="n"/>
      <c r="K41" s="490" t="n"/>
      <c r="L41" s="486" t="n"/>
      <c r="M41" s="21" t="n"/>
      <c r="N41" s="417" t="n"/>
    </row>
    <row r="42" ht="17.25" customHeight="1" s="468">
      <c r="B42" s="18" t="n"/>
      <c r="C42" s="485" t="n"/>
      <c r="D42" s="486" t="n"/>
      <c r="E42" s="485" t="n"/>
      <c r="F42" s="486" t="n"/>
      <c r="G42" s="485" t="n"/>
      <c r="H42" s="488" t="n"/>
      <c r="I42" s="488" t="n"/>
      <c r="J42" s="486" t="n"/>
      <c r="K42" s="485" t="n"/>
      <c r="L42" s="486" t="n"/>
      <c r="M42" s="22" t="n"/>
      <c r="N42" s="417" t="n"/>
    </row>
    <row r="43" ht="17.25" customHeight="1" s="468">
      <c r="B43" s="20" t="n"/>
      <c r="C43" s="490" t="n"/>
      <c r="D43" s="486" t="n"/>
      <c r="E43" s="490" t="n"/>
      <c r="F43" s="486" t="n"/>
      <c r="G43" s="490" t="n"/>
      <c r="H43" s="488" t="n"/>
      <c r="I43" s="488" t="n"/>
      <c r="J43" s="486" t="n"/>
      <c r="K43" s="490" t="n"/>
      <c r="L43" s="486" t="n"/>
      <c r="M43" s="21" t="n"/>
      <c r="N43" s="417" t="n"/>
    </row>
    <row r="44" ht="17.25" customHeight="1" s="468">
      <c r="B44" s="18" t="n"/>
      <c r="C44" s="485" t="n"/>
      <c r="D44" s="486" t="n"/>
      <c r="E44" s="485" t="n"/>
      <c r="F44" s="486" t="n"/>
      <c r="G44" s="485" t="n"/>
      <c r="H44" s="488" t="n"/>
      <c r="I44" s="488" t="n"/>
      <c r="J44" s="486" t="n"/>
      <c r="K44" s="485" t="n"/>
      <c r="L44" s="486" t="n"/>
      <c r="M44" s="19" t="n"/>
      <c r="N44" s="417" t="n"/>
    </row>
    <row r="45" ht="17.25" customHeight="1" s="468">
      <c r="B45" s="20" t="n"/>
      <c r="C45" s="490" t="n"/>
      <c r="D45" s="486" t="n"/>
      <c r="E45" s="490" t="n"/>
      <c r="F45" s="486" t="n"/>
      <c r="G45" s="490" t="n"/>
      <c r="H45" s="488" t="n"/>
      <c r="I45" s="488" t="n"/>
      <c r="J45" s="486" t="n"/>
      <c r="K45" s="490" t="n"/>
      <c r="L45" s="486" t="n"/>
      <c r="M45" s="21" t="n"/>
      <c r="N45" s="417" t="n"/>
    </row>
    <row r="46" ht="17.25" customHeight="1" s="468">
      <c r="B46" s="18" t="n"/>
      <c r="C46" s="485" t="n"/>
      <c r="D46" s="486" t="n"/>
      <c r="E46" s="485" t="n"/>
      <c r="F46" s="486" t="n"/>
      <c r="G46" s="485" t="n"/>
      <c r="H46" s="488" t="n"/>
      <c r="I46" s="488" t="n"/>
      <c r="J46" s="486" t="n"/>
      <c r="K46" s="485" t="n"/>
      <c r="L46" s="486" t="n"/>
      <c r="M46" s="19" t="n"/>
      <c r="N46" s="417" t="n"/>
    </row>
    <row r="47" ht="17.25" customHeight="1" s="468">
      <c r="B47" s="20" t="n"/>
      <c r="C47" s="490" t="n"/>
      <c r="D47" s="486" t="n"/>
      <c r="E47" s="490" t="n"/>
      <c r="F47" s="486" t="n"/>
      <c r="G47" s="490" t="n"/>
      <c r="H47" s="488" t="n"/>
      <c r="I47" s="488" t="n"/>
      <c r="J47" s="486" t="n"/>
      <c r="K47" s="490" t="n"/>
      <c r="L47" s="486" t="n"/>
      <c r="M47" s="21" t="n"/>
      <c r="N47" s="417" t="n"/>
    </row>
    <row r="48" ht="17.25" customHeight="1" s="468">
      <c r="B48" s="18" t="n"/>
      <c r="C48" s="485" t="n"/>
      <c r="D48" s="486" t="n"/>
      <c r="E48" s="485" t="n"/>
      <c r="F48" s="486" t="n"/>
      <c r="G48" s="485" t="n"/>
      <c r="H48" s="488" t="n"/>
      <c r="I48" s="488" t="n"/>
      <c r="J48" s="486" t="n"/>
      <c r="K48" s="485" t="n"/>
      <c r="L48" s="486" t="n"/>
      <c r="M48" s="19" t="n"/>
      <c r="N48" s="417" t="n"/>
    </row>
    <row r="49" ht="17.25" customHeight="1" s="468">
      <c r="B49" s="20" t="n"/>
      <c r="C49" s="490" t="n"/>
      <c r="D49" s="486" t="n"/>
      <c r="E49" s="490" t="n"/>
      <c r="F49" s="486" t="n"/>
      <c r="G49" s="490" t="n"/>
      <c r="H49" s="488" t="n"/>
      <c r="I49" s="488" t="n"/>
      <c r="J49" s="486" t="n"/>
      <c r="K49" s="490" t="n"/>
      <c r="L49" s="486" t="n"/>
      <c r="M49" s="21" t="n"/>
      <c r="N49" s="417" t="n"/>
    </row>
    <row r="50" ht="17.25" customHeight="1" s="468">
      <c r="B50" s="18" t="n"/>
      <c r="C50" s="485" t="n"/>
      <c r="D50" s="486" t="n"/>
      <c r="E50" s="485" t="n"/>
      <c r="F50" s="486" t="n"/>
      <c r="G50" s="485" t="n"/>
      <c r="H50" s="488" t="n"/>
      <c r="I50" s="488" t="n"/>
      <c r="J50" s="486" t="n"/>
      <c r="K50" s="485" t="n"/>
      <c r="L50" s="486" t="n"/>
      <c r="M50" s="19" t="n"/>
      <c r="N50" s="417" t="n"/>
    </row>
    <row r="51" ht="17.25" customHeight="1" s="468">
      <c r="B51" s="20" t="n"/>
      <c r="C51" s="490" t="n"/>
      <c r="D51" s="486" t="n"/>
      <c r="E51" s="490" t="n"/>
      <c r="F51" s="486" t="n"/>
      <c r="G51" s="490" t="n"/>
      <c r="H51" s="488" t="n"/>
      <c r="I51" s="488" t="n"/>
      <c r="J51" s="486" t="n"/>
      <c r="K51" s="490" t="n"/>
      <c r="L51" s="486" t="n"/>
      <c r="M51" s="23" t="n"/>
      <c r="N51" s="417" t="n"/>
    </row>
    <row r="52" ht="17.25" customHeight="1" s="468">
      <c r="B52" s="18" t="n"/>
      <c r="C52" s="485" t="n"/>
      <c r="D52" s="486" t="n"/>
      <c r="E52" s="485" t="n"/>
      <c r="F52" s="486" t="n"/>
      <c r="G52" s="485" t="n"/>
      <c r="H52" s="488" t="n"/>
      <c r="I52" s="488" t="n"/>
      <c r="J52" s="486" t="n"/>
      <c r="K52" s="485" t="n"/>
      <c r="L52" s="486" t="n"/>
      <c r="M52" s="19" t="n"/>
      <c r="N52" s="417" t="n"/>
    </row>
    <row r="53" ht="17.25" customHeight="1" s="468">
      <c r="B53" s="20" t="n"/>
      <c r="C53" s="490" t="n"/>
      <c r="D53" s="486" t="n"/>
      <c r="E53" s="490" t="n"/>
      <c r="F53" s="486" t="n"/>
      <c r="G53" s="490" t="n"/>
      <c r="H53" s="488" t="n"/>
      <c r="I53" s="488" t="n"/>
      <c r="J53" s="486" t="n"/>
      <c r="K53" s="490" t="n"/>
      <c r="L53" s="486" t="n"/>
      <c r="M53" s="21" t="n"/>
      <c r="N53" s="417" t="n"/>
    </row>
    <row r="54" ht="17.25" customHeight="1" s="468">
      <c r="B54" s="18" t="n"/>
      <c r="C54" s="485" t="n"/>
      <c r="D54" s="486" t="n"/>
      <c r="E54" s="485" t="n"/>
      <c r="F54" s="486" t="n"/>
      <c r="G54" s="485" t="n"/>
      <c r="H54" s="488" t="n"/>
      <c r="I54" s="488" t="n"/>
      <c r="J54" s="486" t="n"/>
      <c r="K54" s="485" t="n"/>
      <c r="L54" s="486" t="n"/>
      <c r="M54" s="19" t="n"/>
      <c r="N54" s="417" t="n"/>
    </row>
    <row r="55" ht="17.25" customHeight="1" s="468">
      <c r="B55" s="20" t="n"/>
      <c r="C55" s="490" t="n"/>
      <c r="D55" s="486" t="n"/>
      <c r="E55" s="490" t="n"/>
      <c r="F55" s="486" t="n"/>
      <c r="G55" s="490" t="n"/>
      <c r="H55" s="488" t="n"/>
      <c r="I55" s="488" t="n"/>
      <c r="J55" s="486" t="n"/>
      <c r="K55" s="490" t="n"/>
      <c r="L55" s="486" t="n"/>
      <c r="M55" s="21" t="n"/>
      <c r="N55" s="417" t="n"/>
    </row>
    <row r="56" ht="17.25" customHeight="1" s="468">
      <c r="B56" s="18" t="n"/>
      <c r="C56" s="485" t="n"/>
      <c r="D56" s="486" t="n"/>
      <c r="E56" s="485" t="n"/>
      <c r="F56" s="486" t="n"/>
      <c r="G56" s="485" t="n"/>
      <c r="H56" s="488" t="n"/>
      <c r="I56" s="488" t="n"/>
      <c r="J56" s="486" t="n"/>
      <c r="K56" s="485" t="n"/>
      <c r="L56" s="486" t="n"/>
      <c r="M56" s="19" t="n"/>
      <c r="N56" s="417" t="n"/>
    </row>
    <row r="57" ht="17.25" customHeight="1" s="468">
      <c r="B57" s="20" t="n"/>
      <c r="C57" s="490" t="n"/>
      <c r="D57" s="486" t="n"/>
      <c r="E57" s="490" t="n"/>
      <c r="F57" s="486" t="n"/>
      <c r="G57" s="490" t="n"/>
      <c r="H57" s="488" t="n"/>
      <c r="I57" s="488" t="n"/>
      <c r="J57" s="486" t="n"/>
      <c r="K57" s="490" t="n"/>
      <c r="L57" s="486" t="n"/>
      <c r="M57" s="21" t="n"/>
      <c r="N57" s="417" t="n"/>
    </row>
    <row r="58" ht="17.25" customHeight="1" s="468">
      <c r="B58" s="18" t="n"/>
      <c r="C58" s="485" t="n"/>
      <c r="D58" s="486" t="n"/>
      <c r="E58" s="485" t="n"/>
      <c r="F58" s="486" t="n"/>
      <c r="G58" s="485" t="n"/>
      <c r="H58" s="488" t="n"/>
      <c r="I58" s="488" t="n"/>
      <c r="J58" s="486" t="n"/>
      <c r="K58" s="485" t="n"/>
      <c r="L58" s="486" t="n"/>
      <c r="M58" s="19" t="n"/>
      <c r="N58" s="417" t="n"/>
    </row>
    <row r="59" ht="17.25" customHeight="1" s="468">
      <c r="B59" s="20" t="n"/>
      <c r="C59" s="490" t="n"/>
      <c r="D59" s="486" t="n"/>
      <c r="E59" s="490" t="n"/>
      <c r="F59" s="486" t="n"/>
      <c r="G59" s="490" t="n"/>
      <c r="H59" s="488" t="n"/>
      <c r="I59" s="488" t="n"/>
      <c r="J59" s="486" t="n"/>
      <c r="K59" s="490" t="n"/>
      <c r="L59" s="486" t="n"/>
      <c r="M59" s="23" t="n"/>
      <c r="N59" s="417" t="n"/>
    </row>
    <row r="60" ht="17.25" customHeight="1" s="468">
      <c r="B60" s="18" t="n"/>
      <c r="C60" s="485" t="n"/>
      <c r="D60" s="486" t="n"/>
      <c r="E60" s="485" t="n"/>
      <c r="F60" s="486" t="n"/>
      <c r="G60" s="485" t="n"/>
      <c r="H60" s="488" t="n"/>
      <c r="I60" s="488" t="n"/>
      <c r="J60" s="486" t="n"/>
      <c r="K60" s="485" t="n"/>
      <c r="L60" s="486" t="n"/>
      <c r="M60" s="19" t="n"/>
      <c r="N60" s="417" t="n"/>
    </row>
    <row r="61" ht="17.25" customHeight="1" s="468">
      <c r="B61" s="20" t="n"/>
      <c r="C61" s="490" t="n"/>
      <c r="D61" s="486" t="n"/>
      <c r="E61" s="490" t="n"/>
      <c r="F61" s="486" t="n"/>
      <c r="G61" s="490" t="n"/>
      <c r="H61" s="488" t="n"/>
      <c r="I61" s="488" t="n"/>
      <c r="J61" s="486" t="n"/>
      <c r="K61" s="490" t="n"/>
      <c r="L61" s="486" t="n"/>
      <c r="M61" s="21" t="n"/>
      <c r="N61" s="417" t="n"/>
    </row>
    <row r="62" ht="17.25" customHeight="1" s="468">
      <c r="B62" s="18" t="n"/>
      <c r="C62" s="485" t="n"/>
      <c r="D62" s="486" t="n"/>
      <c r="E62" s="485" t="n"/>
      <c r="F62" s="486" t="n"/>
      <c r="G62" s="485" t="n"/>
      <c r="H62" s="488" t="n"/>
      <c r="I62" s="488" t="n"/>
      <c r="J62" s="486" t="n"/>
      <c r="K62" s="485" t="n"/>
      <c r="L62" s="486" t="n"/>
      <c r="M62" s="19" t="n"/>
      <c r="N62" s="417" t="n"/>
    </row>
    <row r="63" ht="17.25" customHeight="1" s="468">
      <c r="B63" s="20" t="n"/>
      <c r="C63" s="490" t="n"/>
      <c r="D63" s="486" t="n"/>
      <c r="E63" s="490" t="n"/>
      <c r="F63" s="486" t="n"/>
      <c r="G63" s="490" t="n"/>
      <c r="H63" s="488" t="n"/>
      <c r="I63" s="488" t="n"/>
      <c r="J63" s="486" t="n"/>
      <c r="K63" s="490" t="n"/>
      <c r="L63" s="486" t="n"/>
      <c r="M63" s="21" t="n"/>
      <c r="N63" s="417" t="n"/>
    </row>
    <row r="64" ht="17.25" customHeight="1" s="468">
      <c r="B64" s="18" t="n"/>
      <c r="C64" s="485" t="n"/>
      <c r="D64" s="486" t="n"/>
      <c r="E64" s="485" t="n"/>
      <c r="F64" s="486" t="n"/>
      <c r="G64" s="485" t="n"/>
      <c r="H64" s="488" t="n"/>
      <c r="I64" s="488" t="n"/>
      <c r="J64" s="486" t="n"/>
      <c r="K64" s="485" t="n"/>
      <c r="L64" s="486" t="n"/>
      <c r="M64" s="19" t="n"/>
      <c r="N64" s="417" t="n"/>
    </row>
    <row r="65" ht="17.25" customHeight="1" s="468">
      <c r="B65" s="20" t="n"/>
      <c r="C65" s="490" t="n"/>
      <c r="D65" s="486" t="n"/>
      <c r="E65" s="490" t="n"/>
      <c r="F65" s="486" t="n"/>
      <c r="G65" s="490" t="n"/>
      <c r="H65" s="488" t="n"/>
      <c r="I65" s="488" t="n"/>
      <c r="J65" s="486" t="n"/>
      <c r="K65" s="490" t="n"/>
      <c r="L65" s="486" t="n"/>
      <c r="M65" s="21" t="n"/>
      <c r="N65" s="417" t="n"/>
    </row>
    <row r="66" ht="17.25" customHeight="1" s="468">
      <c r="B66" s="18" t="n"/>
      <c r="C66" s="485" t="n"/>
      <c r="D66" s="486" t="n"/>
      <c r="E66" s="485" t="n"/>
      <c r="F66" s="486" t="n"/>
      <c r="G66" s="485" t="n"/>
      <c r="H66" s="488" t="n"/>
      <c r="I66" s="488" t="n"/>
      <c r="J66" s="486" t="n"/>
      <c r="K66" s="485" t="n"/>
      <c r="L66" s="486" t="n"/>
      <c r="M66" s="19" t="n"/>
      <c r="N66" s="417" t="n"/>
    </row>
    <row r="67" ht="17.25" customHeight="1" s="468">
      <c r="B67" s="20" t="n"/>
      <c r="C67" s="490" t="n"/>
      <c r="D67" s="486" t="n"/>
      <c r="E67" s="490" t="n"/>
      <c r="F67" s="486" t="n"/>
      <c r="G67" s="490" t="n"/>
      <c r="H67" s="488" t="n"/>
      <c r="I67" s="488" t="n"/>
      <c r="J67" s="486" t="n"/>
      <c r="K67" s="490" t="n"/>
      <c r="L67" s="486" t="n"/>
      <c r="M67" s="21" t="n"/>
      <c r="N67" s="417" t="n"/>
    </row>
    <row r="68" ht="17.25" customHeight="1" s="468">
      <c r="B68" s="18" t="n"/>
      <c r="C68" s="485" t="n"/>
      <c r="D68" s="486" t="n"/>
      <c r="E68" s="485" t="n"/>
      <c r="F68" s="486" t="n"/>
      <c r="G68" s="485" t="n"/>
      <c r="H68" s="488" t="n"/>
      <c r="I68" s="488" t="n"/>
      <c r="J68" s="486" t="n"/>
      <c r="K68" s="485" t="n"/>
      <c r="L68" s="486" t="n"/>
      <c r="M68" s="22" t="n"/>
      <c r="N68" s="417" t="n"/>
    </row>
    <row r="69" ht="17.25" customHeight="1" s="468">
      <c r="B69" s="20" t="n"/>
      <c r="C69" s="490" t="n"/>
      <c r="D69" s="486" t="n"/>
      <c r="E69" s="490" t="n"/>
      <c r="F69" s="486" t="n"/>
      <c r="G69" s="490" t="n"/>
      <c r="H69" s="488" t="n"/>
      <c r="I69" s="488" t="n"/>
      <c r="J69" s="486" t="n"/>
      <c r="K69" s="490" t="n"/>
      <c r="L69" s="486" t="n"/>
      <c r="M69" s="21" t="n"/>
      <c r="N69" s="417" t="n"/>
    </row>
    <row r="70" ht="17.25" customHeight="1" s="468">
      <c r="B70" s="18" t="n"/>
      <c r="C70" s="485" t="n"/>
      <c r="D70" s="486" t="n"/>
      <c r="E70" s="485" t="n"/>
      <c r="F70" s="486" t="n"/>
      <c r="G70" s="485" t="n"/>
      <c r="H70" s="488" t="n"/>
      <c r="I70" s="488" t="n"/>
      <c r="J70" s="486" t="n"/>
      <c r="K70" s="485" t="n"/>
      <c r="L70" s="486" t="n"/>
      <c r="M70" s="19" t="n"/>
      <c r="N70" s="417" t="n"/>
    </row>
    <row r="71" ht="17.25" customHeight="1" s="468">
      <c r="B71" s="20" t="n"/>
      <c r="C71" s="490" t="n"/>
      <c r="D71" s="486" t="n"/>
      <c r="E71" s="490" t="n"/>
      <c r="F71" s="486" t="n"/>
      <c r="G71" s="490" t="n"/>
      <c r="H71" s="488" t="n"/>
      <c r="I71" s="488" t="n"/>
      <c r="J71" s="486" t="n"/>
      <c r="K71" s="490" t="n"/>
      <c r="L71" s="486" t="n"/>
      <c r="M71" s="21" t="n"/>
      <c r="N71" s="417" t="n"/>
    </row>
    <row r="72" ht="17.25" customHeight="1" s="468">
      <c r="B72" s="18" t="n"/>
      <c r="C72" s="485" t="n"/>
      <c r="D72" s="486" t="n"/>
      <c r="E72" s="485" t="n"/>
      <c r="F72" s="486" t="n"/>
      <c r="G72" s="485" t="n"/>
      <c r="H72" s="488" t="n"/>
      <c r="I72" s="488" t="n"/>
      <c r="J72" s="486" t="n"/>
      <c r="K72" s="485" t="n"/>
      <c r="L72" s="486" t="n"/>
      <c r="M72" s="19" t="n"/>
      <c r="N72" s="417" t="n"/>
    </row>
    <row r="73" ht="17.25" customHeight="1" s="468">
      <c r="B73" s="20" t="n"/>
      <c r="C73" s="490" t="n"/>
      <c r="D73" s="486" t="n"/>
      <c r="E73" s="490" t="n"/>
      <c r="F73" s="486" t="n"/>
      <c r="G73" s="490" t="n"/>
      <c r="H73" s="488" t="n"/>
      <c r="I73" s="488" t="n"/>
      <c r="J73" s="486" t="n"/>
      <c r="K73" s="490" t="n"/>
      <c r="L73" s="486" t="n"/>
      <c r="M73" s="21" t="n"/>
      <c r="N73" s="417" t="n"/>
    </row>
    <row r="74" ht="17.25" customHeight="1" s="468">
      <c r="B74" s="18" t="n"/>
      <c r="C74" s="485" t="n"/>
      <c r="D74" s="486" t="n"/>
      <c r="E74" s="485" t="n"/>
      <c r="F74" s="486" t="n"/>
      <c r="G74" s="485" t="n"/>
      <c r="H74" s="488" t="n"/>
      <c r="I74" s="488" t="n"/>
      <c r="J74" s="486" t="n"/>
      <c r="K74" s="485" t="n"/>
      <c r="L74" s="486" t="n"/>
      <c r="M74" s="19" t="n"/>
      <c r="N74" s="417" t="n"/>
    </row>
    <row r="75" ht="17.25" customHeight="1" s="468">
      <c r="B75" s="20" t="n"/>
      <c r="C75" s="490" t="n"/>
      <c r="D75" s="486" t="n"/>
      <c r="E75" s="490" t="n"/>
      <c r="F75" s="486" t="n"/>
      <c r="G75" s="490" t="n"/>
      <c r="H75" s="488" t="n"/>
      <c r="I75" s="488" t="n"/>
      <c r="J75" s="486" t="n"/>
      <c r="K75" s="490" t="n"/>
      <c r="L75" s="486" t="n"/>
      <c r="M75" s="21" t="n"/>
      <c r="N75" s="417" t="n"/>
    </row>
    <row r="76" ht="17.25" customHeight="1" s="468">
      <c r="B76" s="18" t="n"/>
      <c r="C76" s="485" t="n"/>
      <c r="D76" s="486" t="n"/>
      <c r="E76" s="485" t="n"/>
      <c r="F76" s="486" t="n"/>
      <c r="G76" s="485" t="n"/>
      <c r="H76" s="488" t="n"/>
      <c r="I76" s="488" t="n"/>
      <c r="J76" s="486" t="n"/>
      <c r="K76" s="485" t="n"/>
      <c r="L76" s="486" t="n"/>
      <c r="M76" s="22" t="n"/>
      <c r="N76" s="417" t="n"/>
    </row>
    <row r="77" ht="17.25" customHeight="1" s="468">
      <c r="B77" s="20" t="n"/>
      <c r="C77" s="490" t="n"/>
      <c r="D77" s="486" t="n"/>
      <c r="E77" s="490" t="n"/>
      <c r="F77" s="486" t="n"/>
      <c r="G77" s="490" t="n"/>
      <c r="H77" s="488" t="n"/>
      <c r="I77" s="488" t="n"/>
      <c r="J77" s="486" t="n"/>
      <c r="K77" s="490" t="n"/>
      <c r="L77" s="486" t="n"/>
      <c r="M77" s="21" t="n"/>
      <c r="N77" s="417" t="n"/>
    </row>
    <row r="78" ht="17.25" customHeight="1" s="468">
      <c r="B78" s="18" t="n"/>
      <c r="C78" s="485" t="n"/>
      <c r="D78" s="486" t="n"/>
      <c r="E78" s="485" t="n"/>
      <c r="F78" s="486" t="n"/>
      <c r="G78" s="485" t="n"/>
      <c r="H78" s="488" t="n"/>
      <c r="I78" s="488" t="n"/>
      <c r="J78" s="486" t="n"/>
      <c r="K78" s="485" t="n"/>
      <c r="L78" s="486" t="n"/>
      <c r="M78" s="19" t="n"/>
      <c r="N78" s="417" t="n"/>
    </row>
    <row r="79" ht="17.25" customHeight="1" s="468">
      <c r="B79" s="20" t="n"/>
      <c r="C79" s="490" t="n"/>
      <c r="D79" s="486" t="n"/>
      <c r="E79" s="490" t="n"/>
      <c r="F79" s="486" t="n"/>
      <c r="G79" s="490" t="n"/>
      <c r="H79" s="488" t="n"/>
      <c r="I79" s="488" t="n"/>
      <c r="J79" s="486" t="n"/>
      <c r="K79" s="490" t="n"/>
      <c r="L79" s="486" t="n"/>
      <c r="M79" s="21" t="n"/>
      <c r="N79" s="417" t="n"/>
    </row>
    <row r="80" ht="17.25" customHeight="1" s="468">
      <c r="B80" s="18" t="n"/>
      <c r="C80" s="485" t="n"/>
      <c r="D80" s="486" t="n"/>
      <c r="E80" s="485" t="n"/>
      <c r="F80" s="486" t="n"/>
      <c r="G80" s="485" t="n"/>
      <c r="H80" s="488" t="n"/>
      <c r="I80" s="488" t="n"/>
      <c r="J80" s="486" t="n"/>
      <c r="K80" s="485" t="n"/>
      <c r="L80" s="486" t="n"/>
      <c r="M80" s="19" t="n"/>
      <c r="N80" s="417" t="n"/>
    </row>
    <row r="81" ht="17.25" customHeight="1" s="468">
      <c r="B81" s="20" t="n"/>
      <c r="C81" s="490" t="n"/>
      <c r="D81" s="486" t="n"/>
      <c r="E81" s="490" t="n"/>
      <c r="F81" s="486" t="n"/>
      <c r="G81" s="490" t="n"/>
      <c r="H81" s="488" t="n"/>
      <c r="I81" s="488" t="n"/>
      <c r="J81" s="486" t="n"/>
      <c r="K81" s="490" t="n"/>
      <c r="L81" s="486" t="n"/>
      <c r="M81" s="21" t="n"/>
      <c r="N81" s="417" t="n"/>
    </row>
    <row r="82" ht="17.25" customHeight="1" s="468">
      <c r="B82" s="18" t="n"/>
      <c r="C82" s="485" t="n"/>
      <c r="D82" s="486" t="n"/>
      <c r="E82" s="485" t="n"/>
      <c r="F82" s="486" t="n"/>
      <c r="G82" s="485" t="n"/>
      <c r="H82" s="488" t="n"/>
      <c r="I82" s="488" t="n"/>
      <c r="J82" s="486" t="n"/>
      <c r="K82" s="485" t="n"/>
      <c r="L82" s="486" t="n"/>
      <c r="M82" s="19" t="n"/>
      <c r="N82" s="417" t="n"/>
    </row>
    <row r="83" ht="17.25" customHeight="1" s="468">
      <c r="B83" s="20" t="n"/>
      <c r="C83" s="490" t="n"/>
      <c r="D83" s="486" t="n"/>
      <c r="E83" s="490" t="n"/>
      <c r="F83" s="486" t="n"/>
      <c r="G83" s="490" t="n"/>
      <c r="H83" s="488" t="n"/>
      <c r="I83" s="488" t="n"/>
      <c r="J83" s="486" t="n"/>
      <c r="K83" s="490" t="n"/>
      <c r="L83" s="486" t="n"/>
      <c r="M83" s="21" t="n"/>
      <c r="N83" s="417" t="n"/>
    </row>
    <row r="84" ht="17.25" customHeight="1" s="468">
      <c r="B84" s="18" t="n"/>
      <c r="C84" s="485" t="n"/>
      <c r="D84" s="486" t="n"/>
      <c r="E84" s="485" t="n"/>
      <c r="F84" s="486" t="n"/>
      <c r="G84" s="485" t="n"/>
      <c r="H84" s="488" t="n"/>
      <c r="I84" s="488" t="n"/>
      <c r="J84" s="486" t="n"/>
      <c r="K84" s="485" t="n"/>
      <c r="L84" s="486" t="n"/>
      <c r="M84" s="19" t="n"/>
      <c r="N84" s="417" t="n"/>
    </row>
    <row r="85" ht="17.25" customHeight="1" s="468">
      <c r="B85" s="20" t="n"/>
      <c r="C85" s="490" t="n"/>
      <c r="D85" s="486" t="n"/>
      <c r="E85" s="490" t="n"/>
      <c r="F85" s="486" t="n"/>
      <c r="G85" s="490" t="n"/>
      <c r="H85" s="488" t="n"/>
      <c r="I85" s="488" t="n"/>
      <c r="J85" s="486" t="n"/>
      <c r="K85" s="490" t="n"/>
      <c r="L85" s="486" t="n"/>
      <c r="M85" s="23" t="n"/>
      <c r="N85" s="417" t="n"/>
    </row>
    <row r="86" ht="17.25" customHeight="1" s="468">
      <c r="B86" s="18" t="n"/>
      <c r="C86" s="485" t="n"/>
      <c r="D86" s="486" t="n"/>
      <c r="E86" s="485" t="n"/>
      <c r="F86" s="486" t="n"/>
      <c r="G86" s="485" t="n"/>
      <c r="H86" s="488" t="n"/>
      <c r="I86" s="488" t="n"/>
      <c r="J86" s="486" t="n"/>
      <c r="K86" s="485" t="n"/>
      <c r="L86" s="486" t="n"/>
      <c r="M86" s="19" t="n"/>
      <c r="N86" s="417" t="n"/>
    </row>
    <row r="87" ht="17.25" customHeight="1" s="468">
      <c r="B87" s="20" t="n"/>
      <c r="C87" s="490" t="n"/>
      <c r="D87" s="486" t="n"/>
      <c r="E87" s="490" t="n"/>
      <c r="F87" s="486" t="n"/>
      <c r="G87" s="490" t="n"/>
      <c r="H87" s="488" t="n"/>
      <c r="I87" s="488" t="n"/>
      <c r="J87" s="486" t="n"/>
      <c r="K87" s="490" t="n"/>
      <c r="L87" s="486" t="n"/>
      <c r="M87" s="21" t="n"/>
      <c r="N87" s="417" t="n"/>
    </row>
    <row r="88" ht="17.25" customHeight="1" s="468">
      <c r="B88" s="18" t="n"/>
      <c r="C88" s="485" t="n"/>
      <c r="D88" s="486" t="n"/>
      <c r="E88" s="485" t="n"/>
      <c r="F88" s="486" t="n"/>
      <c r="G88" s="485" t="n"/>
      <c r="H88" s="488" t="n"/>
      <c r="I88" s="488" t="n"/>
      <c r="J88" s="486" t="n"/>
      <c r="K88" s="485" t="n"/>
      <c r="L88" s="486" t="n"/>
      <c r="M88" s="19" t="n"/>
      <c r="N88" s="417" t="n"/>
    </row>
    <row r="89" ht="17.25" customHeight="1" s="468">
      <c r="B89" s="20" t="n"/>
      <c r="C89" s="490" t="n"/>
      <c r="D89" s="486" t="n"/>
      <c r="E89" s="490" t="n"/>
      <c r="F89" s="486" t="n"/>
      <c r="G89" s="490" t="n"/>
      <c r="H89" s="488" t="n"/>
      <c r="I89" s="488" t="n"/>
      <c r="J89" s="486" t="n"/>
      <c r="K89" s="490" t="n"/>
      <c r="L89" s="486" t="n"/>
      <c r="M89" s="21" t="n"/>
      <c r="N89" s="417" t="n"/>
    </row>
    <row r="90" ht="17.25" customHeight="1" s="468">
      <c r="B90" s="18" t="n"/>
      <c r="C90" s="485" t="n"/>
      <c r="D90" s="486" t="n"/>
      <c r="E90" s="485" t="n"/>
      <c r="F90" s="486" t="n"/>
      <c r="G90" s="485" t="n"/>
      <c r="H90" s="488" t="n"/>
      <c r="I90" s="488" t="n"/>
      <c r="J90" s="486" t="n"/>
      <c r="K90" s="485" t="n"/>
      <c r="L90" s="486" t="n"/>
      <c r="M90" s="19" t="n"/>
      <c r="N90" s="417" t="n"/>
    </row>
    <row r="91" ht="17.25" customHeight="1" s="468">
      <c r="B91" s="20" t="n"/>
      <c r="C91" s="490" t="n"/>
      <c r="D91" s="486" t="n"/>
      <c r="E91" s="490" t="n"/>
      <c r="F91" s="486" t="n"/>
      <c r="G91" s="490" t="n"/>
      <c r="H91" s="488" t="n"/>
      <c r="I91" s="488" t="n"/>
      <c r="J91" s="486" t="n"/>
      <c r="K91" s="490" t="n"/>
      <c r="L91" s="486" t="n"/>
      <c r="M91" s="21" t="n"/>
      <c r="N91" s="417" t="n"/>
    </row>
    <row r="92" ht="17.25" customHeight="1" s="468">
      <c r="B92" s="18" t="n"/>
      <c r="C92" s="485" t="n"/>
      <c r="D92" s="486" t="n"/>
      <c r="E92" s="485" t="n"/>
      <c r="F92" s="486" t="n"/>
      <c r="G92" s="485" t="n"/>
      <c r="H92" s="488" t="n"/>
      <c r="I92" s="488" t="n"/>
      <c r="J92" s="486" t="n"/>
      <c r="K92" s="485" t="n"/>
      <c r="L92" s="486" t="n"/>
      <c r="M92" s="19" t="n"/>
      <c r="N92" s="417" t="n"/>
    </row>
    <row r="93" ht="17.25" customHeight="1" s="468">
      <c r="B93" s="20" t="n"/>
      <c r="C93" s="490" t="n"/>
      <c r="D93" s="486" t="n"/>
      <c r="E93" s="490" t="n"/>
      <c r="F93" s="486" t="n"/>
      <c r="G93" s="490" t="n"/>
      <c r="H93" s="488" t="n"/>
      <c r="I93" s="488" t="n"/>
      <c r="J93" s="486" t="n"/>
      <c r="K93" s="490" t="n"/>
      <c r="L93" s="486" t="n"/>
      <c r="M93" s="23" t="n"/>
      <c r="N93" s="417" t="n"/>
    </row>
    <row r="94" ht="17.25" customHeight="1" s="468">
      <c r="B94" s="24" t="n"/>
      <c r="C94" s="506" t="n"/>
      <c r="D94" s="507" t="n"/>
      <c r="E94" s="506" t="n"/>
      <c r="F94" s="507" t="n"/>
      <c r="G94" s="506" t="n"/>
      <c r="H94" s="509" t="n"/>
      <c r="I94" s="509" t="n"/>
      <c r="J94" s="507" t="n"/>
      <c r="K94" s="506" t="n"/>
      <c r="L94" s="507" t="n"/>
      <c r="M94" s="25" t="n"/>
      <c r="N94" s="417" t="n"/>
    </row>
    <row r="95" ht="18" customHeight="1" s="468">
      <c r="N95" s="420" t="n"/>
    </row>
    <row r="96" ht="18" customHeight="1" s="468">
      <c r="N96" s="420" t="n"/>
    </row>
    <row r="97" ht="18" customHeight="1" s="468">
      <c r="N97" s="420" t="n"/>
    </row>
    <row r="98" ht="18" customHeight="1" s="468">
      <c r="N98" s="420" t="n"/>
    </row>
    <row r="99" ht="18" customHeight="1" s="468">
      <c r="N99" s="420" t="n"/>
    </row>
    <row r="100" ht="18" customHeight="1" s="468">
      <c r="N100" s="420" t="n"/>
    </row>
    <row r="101" ht="18" customHeight="1" s="468">
      <c r="N101" s="420" t="n"/>
    </row>
    <row r="102" ht="18" customHeight="1" s="468">
      <c r="N102" s="420" t="n"/>
    </row>
    <row r="103" ht="18" customHeight="1" s="468">
      <c r="N103" s="420" t="n"/>
    </row>
    <row r="104" ht="18" customHeight="1" s="468">
      <c r="N104" s="420" t="n"/>
    </row>
    <row r="105" ht="18" customHeight="1" s="468">
      <c r="N105" s="420" t="n"/>
    </row>
    <row r="106" ht="18" customHeight="1" s="468">
      <c r="N106" s="420" t="n"/>
    </row>
    <row r="107" ht="18" customHeight="1" s="468">
      <c r="N107" s="420" t="n"/>
    </row>
    <row r="108" ht="18" customHeight="1" s="468">
      <c r="N108" s="420" t="n"/>
    </row>
    <row r="109" ht="18" customHeight="1" s="468">
      <c r="N109" s="420" t="n"/>
    </row>
    <row r="110" ht="18" customHeight="1" s="468">
      <c r="N110" s="420" t="n"/>
    </row>
    <row r="111" ht="18" customHeight="1" s="468">
      <c r="N111" s="420" t="n"/>
    </row>
    <row r="112" ht="18" customHeight="1" s="468">
      <c r="N112" s="420" t="n"/>
    </row>
    <row r="113" ht="18" customHeight="1" s="468">
      <c r="N113" s="420" t="n"/>
    </row>
    <row r="114" ht="18" customHeight="1" s="468">
      <c r="N114" s="420" t="n"/>
    </row>
    <row r="115" ht="18" customHeight="1" s="468">
      <c r="N115" s="420" t="n"/>
    </row>
    <row r="116" ht="18" customHeight="1" s="468">
      <c r="N116" s="420" t="n"/>
    </row>
    <row r="117" ht="18" customHeight="1" s="468">
      <c r="N117" s="420" t="n"/>
    </row>
    <row r="118" ht="18" customHeight="1" s="468">
      <c r="N118" s="420" t="n"/>
    </row>
    <row r="119" ht="18" customHeight="1" s="468">
      <c r="N119" s="420" t="n"/>
    </row>
    <row r="120" ht="18" customHeight="1" s="468">
      <c r="N120" s="420" t="n"/>
    </row>
    <row r="121" ht="18" customHeight="1" s="468">
      <c r="N121" s="420" t="n"/>
    </row>
    <row r="122" ht="18" customHeight="1" s="468">
      <c r="N122" s="420" t="n"/>
    </row>
    <row r="123" ht="18" customHeight="1" s="468">
      <c r="N123" s="420" t="n"/>
    </row>
    <row r="124" ht="18" customHeight="1" s="468">
      <c r="N124" s="420" t="n"/>
    </row>
    <row r="125" ht="18" customHeight="1" s="468">
      <c r="N125" s="420" t="n"/>
    </row>
    <row r="126" ht="18" customHeight="1" s="468">
      <c r="N126" s="420" t="n"/>
    </row>
    <row r="127" ht="18" customHeight="1" s="468">
      <c r="N127" s="420" t="n"/>
    </row>
    <row r="128" ht="18" customHeight="1" s="468">
      <c r="N128" s="420" t="n"/>
    </row>
    <row r="129" ht="18" customHeight="1" s="468">
      <c r="N129" s="420" t="n"/>
    </row>
    <row r="130" ht="18" customHeight="1" s="468">
      <c r="N130" s="420" t="n"/>
    </row>
    <row r="131" ht="18" customHeight="1" s="468">
      <c r="N131" s="420" t="n"/>
    </row>
    <row r="132" ht="18" customHeight="1" s="468">
      <c r="N132" s="420" t="n"/>
    </row>
    <row r="133" ht="18" customHeight="1" s="468">
      <c r="N133" s="420" t="n"/>
    </row>
    <row r="134" ht="18" customHeight="1" s="468">
      <c r="N134" s="420" t="n"/>
    </row>
    <row r="135" ht="18" customHeight="1" s="468">
      <c r="N135" s="420" t="n"/>
    </row>
    <row r="136" ht="18" customHeight="1" s="468">
      <c r="N136" s="420" t="n"/>
    </row>
    <row r="137" ht="18" customHeight="1" s="468">
      <c r="N137" s="420" t="n"/>
    </row>
    <row r="138" ht="18" customHeight="1" s="468">
      <c r="N138" s="420" t="n"/>
    </row>
    <row r="139" ht="18" customHeight="1" s="468">
      <c r="N139" s="420" t="n"/>
    </row>
    <row r="140" ht="18" customHeight="1" s="468">
      <c r="N140" s="420" t="n"/>
    </row>
    <row r="141" ht="18" customHeight="1" s="468">
      <c r="N141" s="420" t="n"/>
    </row>
    <row r="142" ht="18" customHeight="1" s="468">
      <c r="N142" s="420" t="n"/>
    </row>
    <row r="143" ht="18" customHeight="1" s="468">
      <c r="N143" s="420" t="n"/>
    </row>
    <row r="144" ht="18" customHeight="1" s="468">
      <c r="N144" s="420" t="n"/>
    </row>
    <row r="145" ht="18" customHeight="1" s="468">
      <c r="N145" s="420" t="n"/>
    </row>
    <row r="146" ht="18" customHeight="1" s="468">
      <c r="N146" s="420" t="n"/>
    </row>
    <row r="147" ht="18" customHeight="1" s="468">
      <c r="N147" s="420" t="n"/>
    </row>
    <row r="148" ht="18" customHeight="1" s="468">
      <c r="N148" s="420" t="n"/>
    </row>
    <row r="149" ht="18" customHeight="1" s="468">
      <c r="N149" s="420" t="n"/>
    </row>
    <row r="150" ht="18" customHeight="1" s="468">
      <c r="N150" s="420" t="n"/>
    </row>
    <row r="151" ht="18" customHeight="1" s="468">
      <c r="N151" s="420" t="n"/>
    </row>
    <row r="152" ht="18" customHeight="1" s="468">
      <c r="N152" s="420" t="n"/>
    </row>
    <row r="153" ht="18" customHeight="1" s="468">
      <c r="N153" s="420" t="n"/>
    </row>
    <row r="154" ht="18" customHeight="1" s="468">
      <c r="N154" s="420" t="n"/>
    </row>
    <row r="155" ht="18" customHeight="1" s="468">
      <c r="N155" s="420" t="n"/>
    </row>
    <row r="156" ht="18" customHeight="1" s="468">
      <c r="N156" s="420" t="n"/>
    </row>
    <row r="157" ht="18" customHeight="1" s="468">
      <c r="N157" s="420" t="n"/>
    </row>
    <row r="158" ht="18" customHeight="1" s="468">
      <c r="N158" s="420" t="n"/>
    </row>
    <row r="159" ht="18" customHeight="1" s="468">
      <c r="N159" s="420" t="n"/>
    </row>
    <row r="160" ht="18" customHeight="1" s="468">
      <c r="N160" s="420" t="n"/>
    </row>
    <row r="161" ht="18" customHeight="1" s="468">
      <c r="N161" s="420" t="n"/>
    </row>
    <row r="162" ht="18" customHeight="1" s="468">
      <c r="N162" s="420" t="n"/>
    </row>
    <row r="163" ht="18" customHeight="1" s="468">
      <c r="N163" s="420" t="n"/>
    </row>
    <row r="164" ht="18" customHeight="1" s="468">
      <c r="N164" s="420" t="n"/>
    </row>
    <row r="165" ht="18" customHeight="1" s="468">
      <c r="N165" s="420" t="n"/>
    </row>
    <row r="166" ht="18" customHeight="1" s="468">
      <c r="N166" s="420" t="n"/>
    </row>
    <row r="167" ht="18" customHeight="1" s="468">
      <c r="N167" s="420" t="n"/>
    </row>
    <row r="168" ht="18" customHeight="1" s="468">
      <c r="N168" s="420" t="n"/>
    </row>
    <row r="169" ht="18" customHeight="1" s="468">
      <c r="N169" s="420" t="n"/>
    </row>
    <row r="170" ht="18" customHeight="1" s="468">
      <c r="N170" s="420" t="n"/>
    </row>
    <row r="171" ht="18" customHeight="1" s="468">
      <c r="N171" s="420" t="n"/>
    </row>
    <row r="172" ht="18" customHeight="1" s="468">
      <c r="N172" s="420" t="n"/>
    </row>
    <row r="173" ht="18" customHeight="1" s="468">
      <c r="N173" s="420" t="n"/>
    </row>
    <row r="174" ht="18" customHeight="1" s="468">
      <c r="N174" s="420" t="n"/>
    </row>
    <row r="175" ht="18" customHeight="1" s="468">
      <c r="N175" s="420" t="n"/>
    </row>
    <row r="176" ht="18" customHeight="1" s="468">
      <c r="N176" s="420" t="n"/>
    </row>
    <row r="177" ht="18" customHeight="1" s="468">
      <c r="N177" s="420" t="n"/>
    </row>
    <row r="178" ht="18" customHeight="1" s="468">
      <c r="N178" s="420" t="n"/>
    </row>
    <row r="179" ht="18" customHeight="1" s="468">
      <c r="N179" s="420" t="n"/>
    </row>
    <row r="180" ht="18" customHeight="1" s="468">
      <c r="N180" s="420" t="n"/>
    </row>
    <row r="181" ht="18" customHeight="1" s="468">
      <c r="N181" s="420" t="n"/>
    </row>
    <row r="182" ht="18" customHeight="1" s="468">
      <c r="N182" s="420" t="n"/>
    </row>
    <row r="183" ht="18" customHeight="1" s="468">
      <c r="N183" s="420" t="n"/>
    </row>
    <row r="184" ht="18" customHeight="1" s="468">
      <c r="N184" s="420" t="n"/>
    </row>
    <row r="185" ht="18" customHeight="1" s="468">
      <c r="N185" s="420" t="n"/>
    </row>
    <row r="186" ht="18" customHeight="1" s="468">
      <c r="N186" s="420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8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8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8" customHeight="1" s="468">
      <c r="N295" s="420" t="n"/>
    </row>
    <row r="296" ht="18" customHeight="1" s="468">
      <c r="N296" s="420" t="n"/>
    </row>
    <row r="297" ht="18" customHeight="1" s="468">
      <c r="N297" s="420" t="n"/>
    </row>
    <row r="298" ht="18" customHeight="1" s="468">
      <c r="N298" s="420" t="n"/>
    </row>
    <row r="299" ht="18" customHeight="1" s="468">
      <c r="N299" s="420" t="n"/>
    </row>
    <row r="300" ht="18" customHeight="1" s="468">
      <c r="N300" s="420" t="n"/>
    </row>
  </sheetData>
  <mergeCells count="369">
    <mergeCell ref="C15:D15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6:F6"/>
    <mergeCell ref="E77:F77"/>
    <mergeCell ref="E89:F89"/>
    <mergeCell ref="G13:J13"/>
    <mergeCell ref="G78:J78"/>
    <mergeCell ref="E72:F72"/>
    <mergeCell ref="K57:L57"/>
    <mergeCell ref="G15:J15"/>
    <mergeCell ref="G80:J80"/>
    <mergeCell ref="C49:D49"/>
    <mergeCell ref="C24:D24"/>
    <mergeCell ref="G79:J79"/>
    <mergeCell ref="E24:F24"/>
    <mergeCell ref="G73:J73"/>
    <mergeCell ref="C42:D42"/>
    <mergeCell ref="E42:F42"/>
    <mergeCell ref="C88:D88"/>
    <mergeCell ref="E17:F17"/>
    <mergeCell ref="C26:D26"/>
    <mergeCell ref="E88:F88"/>
    <mergeCell ref="E82:F82"/>
    <mergeCell ref="E19:F19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G3:J3"/>
    <mergeCell ref="C81:D81"/>
    <mergeCell ref="C37:D37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C8:D8"/>
    <mergeCell ref="G49:J49"/>
    <mergeCell ref="K10:L10"/>
    <mergeCell ref="K66:L66"/>
    <mergeCell ref="C66:D66"/>
    <mergeCell ref="G24:J24"/>
    <mergeCell ref="E66:F66"/>
    <mergeCell ref="C53:D53"/>
    <mergeCell ref="K3:L3"/>
    <mergeCell ref="C77:D77"/>
    <mergeCell ref="K74:L74"/>
    <mergeCell ref="K68:L68"/>
    <mergeCell ref="G88:J88"/>
    <mergeCell ref="C68:D68"/>
    <mergeCell ref="G26:J26"/>
    <mergeCell ref="E68:F68"/>
    <mergeCell ref="K5:L5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C16:D1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:D6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46:J46"/>
    <mergeCell ref="G40:J40"/>
    <mergeCell ref="E51:F51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G61:J61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K16:L16"/>
    <mergeCell ref="K9:L9"/>
    <mergeCell ref="G16:J16"/>
    <mergeCell ref="E83:F83"/>
    <mergeCell ref="K45:L45"/>
    <mergeCell ref="G76:J76"/>
    <mergeCell ref="C20:D20"/>
    <mergeCell ref="G9:J9"/>
    <mergeCell ref="K11:L11"/>
    <mergeCell ref="C85:D85"/>
    <mergeCell ref="E20:F20"/>
    <mergeCell ref="K47:L47"/>
    <mergeCell ref="C84:D84"/>
    <mergeCell ref="E13:F13"/>
    <mergeCell ref="C22:D22"/>
    <mergeCell ref="E84:F84"/>
    <mergeCell ref="K46:L46"/>
    <mergeCell ref="G11:J11"/>
    <mergeCell ref="E78:F78"/>
    <mergeCell ref="K40:L40"/>
    <mergeCell ref="E15:F15"/>
    <mergeCell ref="E86:F86"/>
    <mergeCell ref="C51:D51"/>
    <mergeCell ref="E80:F80"/>
    <mergeCell ref="K71:L71"/>
    <mergeCell ref="K73:L73"/>
    <mergeCell ref="C38:D38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10:D10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C56:D56"/>
    <mergeCell ref="E34:F34"/>
    <mergeCell ref="C43:D43"/>
    <mergeCell ref="K67:L67"/>
    <mergeCell ref="E49:F49"/>
    <mergeCell ref="C36:D36"/>
    <mergeCell ref="E36:F36"/>
    <mergeCell ref="C67:D67"/>
    <mergeCell ref="K69:L69"/>
    <mergeCell ref="C69:D69"/>
    <mergeCell ref="G20:J20"/>
    <mergeCell ref="G91:J91"/>
    <mergeCell ref="G85:J85"/>
    <mergeCell ref="K64:L64"/>
    <mergeCell ref="C4:D4"/>
    <mergeCell ref="G84:J84"/>
    <mergeCell ref="E4:F4"/>
    <mergeCell ref="G22:J22"/>
    <mergeCell ref="K51:L51"/>
    <mergeCell ref="K72:L72"/>
    <mergeCell ref="G86:J86"/>
    <mergeCell ref="C60:D60"/>
    <mergeCell ref="G38:J38"/>
    <mergeCell ref="E26:F26"/>
    <mergeCell ref="K17:L17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35:J35"/>
    <mergeCell ref="C58:D58"/>
    <mergeCell ref="E52:F52"/>
    <mergeCell ref="E39:F39"/>
    <mergeCell ref="E44:F44"/>
    <mergeCell ref="K60:L60"/>
    <mergeCell ref="C75:D75"/>
    <mergeCell ref="G59:J59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K91:L91"/>
    <mergeCell ref="G56:J56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13:D13"/>
    <mergeCell ref="K4:L4"/>
    <mergeCell ref="C78:D7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tabColor rgb="FF2F3A4A"/>
    <outlinePr summaryBelow="1" summaryRight="1"/>
    <pageSetUpPr/>
  </sheetPr>
  <dimension ref="A1:M209"/>
  <sheetViews>
    <sheetView showGridLines="0" zoomScale="90" zoomScaleNormal="9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25" customHeight="1"/>
  <cols>
    <col width="16" customWidth="1" style="468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8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8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</row>
    <row r="3" ht="15" customHeight="1" s="468">
      <c r="A3" s="631" t="n">
        <v>46235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</row>
    <row r="4" ht="21" customHeight="1" s="468">
      <c r="A4" s="685" t="n"/>
      <c r="B4" s="266" t="n"/>
      <c r="C4" s="267" t="n"/>
      <c r="D4" s="268" t="n"/>
      <c r="E4" s="269" t="inlineStr">
        <is>
          <t>CX</t>
        </is>
      </c>
      <c r="F4" s="698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68">
        <f>IFERROR(ROUNDUP(D4/F4,0),"")</f>
        <v/>
      </c>
      <c r="H4" s="224" t="n"/>
      <c r="I4" s="268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274" t="n"/>
      <c r="K4" s="274" t="n"/>
      <c r="L4" s="274" t="n"/>
      <c r="M4" s="274" t="n"/>
    </row>
    <row r="5" ht="21" customHeight="1" s="468">
      <c r="A5" s="685" t="n"/>
      <c r="B5" s="266" t="n"/>
      <c r="C5" s="267" t="n"/>
      <c r="D5" s="268" t="n"/>
      <c r="E5" s="269" t="inlineStr">
        <is>
          <t>CX</t>
        </is>
      </c>
      <c r="F5" s="698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68">
        <f>IFERROR(ROUNDUP(D5/F5,0),"")</f>
        <v/>
      </c>
      <c r="H5" s="224" t="n"/>
      <c r="I5" s="268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274" t="n"/>
      <c r="K5" s="274" t="n"/>
      <c r="L5" s="274" t="n"/>
      <c r="M5" s="274" t="n"/>
    </row>
    <row r="6" ht="21" customHeight="1" s="468">
      <c r="A6" s="685" t="n"/>
      <c r="B6" s="266" t="n"/>
      <c r="C6" s="267" t="n"/>
      <c r="D6" s="268" t="n"/>
      <c r="E6" s="269" t="inlineStr">
        <is>
          <t>CX</t>
        </is>
      </c>
      <c r="F6" s="698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68">
        <f>IFERROR(ROUNDUP(D6/F6,0),"")</f>
        <v/>
      </c>
      <c r="H6" s="224" t="n"/>
      <c r="I6" s="268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274" t="n"/>
      <c r="K6" s="274" t="n"/>
      <c r="L6" s="274" t="n"/>
      <c r="M6" s="274" t="n"/>
    </row>
    <row r="7" ht="21" customHeight="1" s="468">
      <c r="A7" s="685" t="n"/>
      <c r="B7" s="266" t="n"/>
      <c r="C7" s="267" t="n"/>
      <c r="D7" s="268" t="n"/>
      <c r="E7" s="269" t="inlineStr">
        <is>
          <t>CX</t>
        </is>
      </c>
      <c r="F7" s="698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68">
        <f>IFERROR(ROUNDUP(D7/F7,0),"")</f>
        <v/>
      </c>
      <c r="H7" s="224" t="n"/>
      <c r="I7" s="268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274" t="n"/>
      <c r="K7" s="274" t="n"/>
      <c r="L7" s="274" t="n"/>
      <c r="M7" s="274" t="n"/>
    </row>
    <row r="8" ht="21" customHeight="1" s="468">
      <c r="A8" s="685" t="n"/>
      <c r="B8" s="266" t="n"/>
      <c r="C8" s="267" t="n"/>
      <c r="D8" s="268" t="n"/>
      <c r="E8" s="269" t="inlineStr">
        <is>
          <t>CX</t>
        </is>
      </c>
      <c r="F8" s="698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68">
        <f>IFERROR(ROUNDUP(D8/F8,0),"")</f>
        <v/>
      </c>
      <c r="H8" s="224" t="n"/>
      <c r="I8" s="268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274" t="n"/>
      <c r="K8" s="274" t="n"/>
      <c r="L8" s="274" t="n"/>
      <c r="M8" s="274" t="n"/>
    </row>
    <row r="9" ht="15" customHeight="1" s="468">
      <c r="A9" s="658" t="n"/>
      <c r="B9" s="640" t="inlineStr">
        <is>
          <t>TOTAL</t>
        </is>
      </c>
      <c r="C9" s="667" t="n"/>
      <c r="D9" s="642">
        <f>SUM(D4:D8)</f>
        <v/>
      </c>
      <c r="E9" s="668" t="n"/>
      <c r="F9" s="644" t="n"/>
      <c r="G9" s="642">
        <f>SUM(G4:G8)</f>
        <v/>
      </c>
      <c r="H9" s="642">
        <f>SUM(H4:H8)</f>
        <v/>
      </c>
      <c r="I9" s="642">
        <f>SUM(I4:I8)</f>
        <v/>
      </c>
      <c r="J9" s="644">
        <f>D9</f>
        <v/>
      </c>
      <c r="K9" s="644">
        <f>G9</f>
        <v/>
      </c>
      <c r="L9" s="644">
        <f>H9</f>
        <v/>
      </c>
      <c r="M9" s="644">
        <f>I9</f>
        <v/>
      </c>
    </row>
    <row r="10" ht="6" customHeight="1" s="468">
      <c r="A10" s="699" t="n"/>
      <c r="B10" s="265" t="n"/>
      <c r="C10" s="276" t="n"/>
      <c r="D10" s="274" t="n"/>
      <c r="E10" s="265" t="n"/>
      <c r="F10" s="274" t="n"/>
      <c r="G10" s="274" t="n"/>
      <c r="H10" s="274" t="n"/>
      <c r="I10" s="274" t="n"/>
      <c r="J10" s="274" t="n"/>
      <c r="K10" s="274" t="n"/>
      <c r="L10" s="274" t="n"/>
      <c r="M10" s="274" t="n"/>
    </row>
    <row r="11" ht="15" customHeight="1" s="468">
      <c r="A11" s="646" t="n">
        <v>46237</v>
      </c>
      <c r="B11" s="213" t="inlineStr">
        <is>
          <t>PRODUTO</t>
        </is>
      </c>
      <c r="C11" s="214" t="inlineStr">
        <is>
          <t>EMBALAGEM</t>
        </is>
      </c>
      <c r="D11" s="244" t="inlineStr">
        <is>
          <t>CAIXAS</t>
        </is>
      </c>
      <c r="E11" s="215" t="inlineStr">
        <is>
          <t>UN</t>
        </is>
      </c>
      <c r="F11" s="687" t="inlineStr">
        <is>
          <t>CX/PALLET</t>
        </is>
      </c>
      <c r="G11" s="244" t="inlineStr">
        <is>
          <t>PALLETS (PBR)</t>
        </is>
      </c>
      <c r="H11" s="244" t="inlineStr">
        <is>
          <t>REAL (CX)</t>
        </is>
      </c>
      <c r="I11" s="244" t="inlineStr">
        <is>
          <t>TOTAL LATAS</t>
        </is>
      </c>
      <c r="J11" s="552" t="n"/>
      <c r="K11" s="552" t="n"/>
      <c r="L11" s="552" t="n"/>
      <c r="M11" s="552" t="n"/>
    </row>
    <row r="12" ht="21" customHeight="1" s="468">
      <c r="A12" s="685" t="n"/>
      <c r="B12" s="218" t="n"/>
      <c r="C12" s="219" t="n"/>
      <c r="D12" s="220" t="n"/>
      <c r="E12" s="221" t="inlineStr">
        <is>
          <t>CX</t>
        </is>
      </c>
      <c r="F12" s="686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20">
        <f>IFERROR(ROUNDUP(D12/F12,0),"")</f>
        <v/>
      </c>
      <c r="H12" s="224" t="n"/>
      <c r="I12" s="220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  <c r="J12" s="552" t="n"/>
      <c r="K12" s="552" t="n"/>
      <c r="L12" s="552" t="n"/>
      <c r="M12" s="552" t="n"/>
    </row>
    <row r="13" ht="21" customHeight="1" s="468">
      <c r="A13" s="685" t="n"/>
      <c r="B13" s="218" t="n"/>
      <c r="C13" s="219" t="n"/>
      <c r="D13" s="220" t="n"/>
      <c r="E13" s="221" t="inlineStr">
        <is>
          <t>CX</t>
        </is>
      </c>
      <c r="F13" s="68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20">
        <f>IFERROR(ROUNDUP(D13/F13,0),"")</f>
        <v/>
      </c>
      <c r="H13" s="224" t="n"/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552" t="n"/>
      <c r="K13" s="552" t="n"/>
      <c r="L13" s="552" t="n"/>
      <c r="M13" s="552" t="n"/>
    </row>
    <row r="14" ht="21" customHeight="1" s="468">
      <c r="A14" s="685" t="n"/>
      <c r="B14" s="218" t="n"/>
      <c r="C14" s="219" t="n"/>
      <c r="D14" s="220" t="n"/>
      <c r="E14" s="221" t="inlineStr">
        <is>
          <t>CX</t>
        </is>
      </c>
      <c r="F14" s="68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20">
        <f>IFERROR(ROUNDUP(D14/F14,0),"")</f>
        <v/>
      </c>
      <c r="H14" s="224" t="n"/>
      <c r="I14" s="220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52" t="n"/>
      <c r="K14" s="552" t="n"/>
      <c r="L14" s="552" t="n"/>
      <c r="M14" s="552" t="n"/>
    </row>
    <row r="15" ht="21" customHeight="1" s="468">
      <c r="A15" s="685" t="n"/>
      <c r="B15" s="218" t="n"/>
      <c r="C15" s="219" t="n"/>
      <c r="D15" s="220" t="n"/>
      <c r="E15" s="221" t="inlineStr">
        <is>
          <t>CX</t>
        </is>
      </c>
      <c r="F15" s="686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20">
        <f>IFERROR(ROUNDUP(D15/F15,0),"")</f>
        <v/>
      </c>
      <c r="H15" s="224" t="n"/>
      <c r="I15" s="220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2" t="n"/>
      <c r="K15" s="552" t="n"/>
      <c r="L15" s="552" t="n"/>
      <c r="M15" s="552" t="n"/>
    </row>
    <row r="16" ht="21" customHeight="1" s="468">
      <c r="A16" s="685" t="n"/>
      <c r="B16" s="218" t="n"/>
      <c r="C16" s="219" t="n"/>
      <c r="D16" s="220" t="n"/>
      <c r="E16" s="221" t="inlineStr">
        <is>
          <t>CX</t>
        </is>
      </c>
      <c r="F16" s="686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20">
        <f>IFERROR(ROUNDUP(D16/F16,0),"")</f>
        <v/>
      </c>
      <c r="H16" s="224" t="n"/>
      <c r="I16" s="220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552" t="n"/>
      <c r="K16" s="552" t="n"/>
      <c r="L16" s="552" t="n"/>
      <c r="M16" s="552" t="n"/>
    </row>
    <row r="17" ht="15" customHeight="1" s="468">
      <c r="A17" s="658" t="n"/>
      <c r="B17" s="640" t="inlineStr">
        <is>
          <t>TOTAL</t>
        </is>
      </c>
      <c r="C17" s="667" t="n"/>
      <c r="D17" s="642">
        <f>SUM(D12:D16)</f>
        <v/>
      </c>
      <c r="E17" s="668" t="n"/>
      <c r="F17" s="644" t="n"/>
      <c r="G17" s="642">
        <f>SUM(G12:G16)</f>
        <v/>
      </c>
      <c r="H17" s="642">
        <f>SUM(H12:H16)</f>
        <v/>
      </c>
      <c r="I17" s="642">
        <f>SUM(I12:I16)</f>
        <v/>
      </c>
      <c r="J17" s="644">
        <f>D17</f>
        <v/>
      </c>
      <c r="K17" s="644">
        <f>G17</f>
        <v/>
      </c>
      <c r="L17" s="644">
        <f>H17</f>
        <v/>
      </c>
      <c r="M17" s="644">
        <f>I17</f>
        <v/>
      </c>
    </row>
    <row r="18" ht="6" customHeight="1" s="468">
      <c r="A18" s="638" t="n"/>
      <c r="C18" s="71" t="n"/>
      <c r="D18" s="552" t="n"/>
      <c r="F18" s="552" t="n"/>
      <c r="G18" s="552" t="n"/>
      <c r="H18" s="552" t="n"/>
      <c r="I18" s="552" t="n"/>
      <c r="J18" s="552" t="n"/>
      <c r="K18" s="552" t="n"/>
      <c r="L18" s="552" t="n"/>
      <c r="M18" s="552" t="n"/>
    </row>
    <row r="19" ht="15" customHeight="1" s="468">
      <c r="A19" s="646" t="n">
        <v>46238</v>
      </c>
      <c r="B19" s="213" t="inlineStr">
        <is>
          <t>PRODUTO</t>
        </is>
      </c>
      <c r="C19" s="214" t="inlineStr">
        <is>
          <t>EMBALAGEM</t>
        </is>
      </c>
      <c r="D19" s="244" t="inlineStr">
        <is>
          <t>CAIXAS</t>
        </is>
      </c>
      <c r="E19" s="215" t="inlineStr">
        <is>
          <t>UN</t>
        </is>
      </c>
      <c r="F19" s="687" t="inlineStr">
        <is>
          <t>CX/PALLET</t>
        </is>
      </c>
      <c r="G19" s="244" t="inlineStr">
        <is>
          <t>PALLETS (PBR)</t>
        </is>
      </c>
      <c r="H19" s="244" t="inlineStr">
        <is>
          <t>REAL (CX)</t>
        </is>
      </c>
      <c r="I19" s="244" t="inlineStr">
        <is>
          <t>TOTAL LATAS</t>
        </is>
      </c>
      <c r="J19" s="552" t="n"/>
      <c r="K19" s="552" t="n"/>
      <c r="L19" s="552" t="n"/>
      <c r="M19" s="552" t="n"/>
    </row>
    <row r="20" ht="21" customHeight="1" s="468">
      <c r="A20" s="685" t="n"/>
      <c r="B20" s="218" t="n"/>
      <c r="C20" s="219" t="n"/>
      <c r="D20" s="220" t="n"/>
      <c r="E20" s="221" t="inlineStr">
        <is>
          <t>CX</t>
        </is>
      </c>
      <c r="F20" s="686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20">
        <f>IFERROR(ROUNDUP(D20/F20,0),"")</f>
        <v/>
      </c>
      <c r="H20" s="224" t="n"/>
      <c r="I20" s="220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552" t="n"/>
      <c r="K20" s="552" t="n"/>
      <c r="L20" s="552" t="n"/>
      <c r="M20" s="552" t="n"/>
    </row>
    <row r="21" ht="21" customHeight="1" s="468">
      <c r="A21" s="685" t="n"/>
      <c r="B21" s="218" t="n"/>
      <c r="C21" s="219" t="n"/>
      <c r="D21" s="220" t="n"/>
      <c r="E21" s="221" t="inlineStr">
        <is>
          <t>CX</t>
        </is>
      </c>
      <c r="F21" s="686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20">
        <f>IFERROR(ROUNDUP(D21/F21,0),"")</f>
        <v/>
      </c>
      <c r="H21" s="224" t="n"/>
      <c r="I21" s="22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552" t="n"/>
      <c r="K21" s="552" t="n"/>
      <c r="L21" s="552" t="n"/>
      <c r="M21" s="552" t="n"/>
    </row>
    <row r="22" ht="21" customHeight="1" s="468">
      <c r="A22" s="685" t="n"/>
      <c r="B22" s="218" t="n"/>
      <c r="C22" s="219" t="n"/>
      <c r="D22" s="220" t="n"/>
      <c r="E22" s="221" t="inlineStr">
        <is>
          <t>CX</t>
        </is>
      </c>
      <c r="F22" s="686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20">
        <f>IFERROR(ROUNDUP(D22/F22,0),"")</f>
        <v/>
      </c>
      <c r="H22" s="224" t="n"/>
      <c r="I22" s="220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552" t="n"/>
      <c r="K22" s="552" t="n"/>
      <c r="L22" s="552" t="n"/>
      <c r="M22" s="552" t="n"/>
    </row>
    <row r="23" ht="21" customHeight="1" s="468">
      <c r="A23" s="685" t="n"/>
      <c r="B23" s="218" t="n"/>
      <c r="C23" s="219" t="n"/>
      <c r="D23" s="220" t="n"/>
      <c r="E23" s="221" t="inlineStr">
        <is>
          <t>CX</t>
        </is>
      </c>
      <c r="F23" s="686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20">
        <f>IFERROR(ROUNDUP(D23/F23,0),"")</f>
        <v/>
      </c>
      <c r="H23" s="224" t="n"/>
      <c r="I23" s="220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52" t="n"/>
      <c r="K23" s="552" t="n"/>
      <c r="L23" s="552" t="n"/>
      <c r="M23" s="552" t="n"/>
    </row>
    <row r="24" ht="21" customHeight="1" s="468">
      <c r="A24" s="685" t="n"/>
      <c r="B24" s="218" t="n"/>
      <c r="C24" s="219" t="n"/>
      <c r="D24" s="220" t="n"/>
      <c r="E24" s="221" t="inlineStr">
        <is>
          <t>CX</t>
        </is>
      </c>
      <c r="F24" s="686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20">
        <f>IFERROR(ROUNDUP(D24/F24,0),"")</f>
        <v/>
      </c>
      <c r="H24" s="224" t="n"/>
      <c r="I24" s="220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552" t="n"/>
      <c r="K24" s="552" t="n"/>
      <c r="L24" s="552" t="n"/>
      <c r="M24" s="552" t="n"/>
    </row>
    <row r="25" ht="15" customHeight="1" s="468">
      <c r="A25" s="658" t="n"/>
      <c r="B25" s="640" t="inlineStr">
        <is>
          <t>TOTAL</t>
        </is>
      </c>
      <c r="C25" s="667" t="n"/>
      <c r="D25" s="642">
        <f>SUM(D20:D24)</f>
        <v/>
      </c>
      <c r="E25" s="668" t="n"/>
      <c r="F25" s="644" t="n"/>
      <c r="G25" s="642">
        <f>SUM(G20:G24)</f>
        <v/>
      </c>
      <c r="H25" s="642">
        <f>SUM(H20:H24)</f>
        <v/>
      </c>
      <c r="I25" s="642">
        <f>SUM(I20:I24)</f>
        <v/>
      </c>
      <c r="J25" s="644">
        <f>D25</f>
        <v/>
      </c>
      <c r="K25" s="644">
        <f>G25</f>
        <v/>
      </c>
      <c r="L25" s="644">
        <f>H25</f>
        <v/>
      </c>
      <c r="M25" s="644">
        <f>I25</f>
        <v/>
      </c>
    </row>
    <row r="26" ht="6" customHeight="1" s="468">
      <c r="A26" s="638" t="n"/>
      <c r="C26" s="71" t="n"/>
      <c r="D26" s="552" t="n"/>
      <c r="F26" s="552" t="n"/>
      <c r="G26" s="552" t="n"/>
      <c r="H26" s="552" t="n"/>
      <c r="I26" s="552" t="n"/>
      <c r="J26" s="552" t="n"/>
      <c r="K26" s="552" t="n"/>
      <c r="L26" s="552" t="n"/>
      <c r="M26" s="552" t="n"/>
    </row>
    <row r="27" ht="15" customHeight="1" s="468">
      <c r="A27" s="646" t="n">
        <v>46239</v>
      </c>
      <c r="B27" s="213" t="inlineStr">
        <is>
          <t>PRODUTO</t>
        </is>
      </c>
      <c r="C27" s="214" t="inlineStr">
        <is>
          <t>EMBALAGEM</t>
        </is>
      </c>
      <c r="D27" s="244" t="inlineStr">
        <is>
          <t>CAIXAS</t>
        </is>
      </c>
      <c r="E27" s="215" t="inlineStr">
        <is>
          <t>UN</t>
        </is>
      </c>
      <c r="F27" s="687" t="inlineStr">
        <is>
          <t>CX/PALLET</t>
        </is>
      </c>
      <c r="G27" s="244" t="inlineStr">
        <is>
          <t>PALLETS (PBR)</t>
        </is>
      </c>
      <c r="H27" s="244" t="inlineStr">
        <is>
          <t>REAL (CX)</t>
        </is>
      </c>
      <c r="I27" s="244" t="inlineStr">
        <is>
          <t>TOTAL LATAS</t>
        </is>
      </c>
      <c r="J27" s="552" t="n"/>
      <c r="K27" s="552" t="n"/>
      <c r="L27" s="552" t="n"/>
      <c r="M27" s="552" t="n"/>
    </row>
    <row r="28" ht="21" customHeight="1" s="468">
      <c r="A28" s="685" t="n"/>
      <c r="B28" s="218" t="n"/>
      <c r="C28" s="219" t="n"/>
      <c r="D28" s="220" t="n"/>
      <c r="E28" s="221" t="inlineStr">
        <is>
          <t>CX</t>
        </is>
      </c>
      <c r="F28" s="686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20">
        <f>IFERROR(ROUNDUP(D28/F28,0),"")</f>
        <v/>
      </c>
      <c r="H28" s="224" t="n"/>
      <c r="I28" s="220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552" t="n"/>
      <c r="K28" s="552" t="n"/>
      <c r="L28" s="552" t="n"/>
      <c r="M28" s="552" t="n"/>
    </row>
    <row r="29" ht="21" customHeight="1" s="468">
      <c r="A29" s="685" t="n"/>
      <c r="B29" s="218" t="n"/>
      <c r="C29" s="219" t="n"/>
      <c r="D29" s="220" t="n"/>
      <c r="E29" s="221" t="inlineStr">
        <is>
          <t>CX</t>
        </is>
      </c>
      <c r="F29" s="686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20">
        <f>IFERROR(ROUNDUP(D29/F29,0),"")</f>
        <v/>
      </c>
      <c r="H29" s="224" t="n"/>
      <c r="I29" s="220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52" t="n"/>
      <c r="K29" s="552" t="n"/>
      <c r="L29" s="552" t="n"/>
      <c r="M29" s="552" t="n"/>
    </row>
    <row r="30" ht="21" customHeight="1" s="468">
      <c r="A30" s="685" t="n"/>
      <c r="B30" s="218" t="n"/>
      <c r="C30" s="219" t="n"/>
      <c r="D30" s="220" t="n"/>
      <c r="E30" s="221" t="inlineStr">
        <is>
          <t>CX</t>
        </is>
      </c>
      <c r="F30" s="686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20">
        <f>IFERROR(ROUNDUP(D30/F30,0),"")</f>
        <v/>
      </c>
      <c r="H30" s="224" t="n"/>
      <c r="I30" s="220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552" t="n"/>
      <c r="K30" s="552" t="n"/>
      <c r="L30" s="552" t="n"/>
      <c r="M30" s="552" t="n"/>
    </row>
    <row r="31" ht="21" customHeight="1" s="468">
      <c r="A31" s="685" t="n"/>
      <c r="B31" s="218" t="n"/>
      <c r="C31" s="219" t="n"/>
      <c r="D31" s="220" t="n"/>
      <c r="E31" s="221" t="inlineStr">
        <is>
          <t>CX</t>
        </is>
      </c>
      <c r="F31" s="68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20">
        <f>IFERROR(ROUNDUP(D31/F31,0),"")</f>
        <v/>
      </c>
      <c r="H31" s="224" t="n"/>
      <c r="I31" s="220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552" t="n"/>
      <c r="K31" s="552" t="n"/>
      <c r="L31" s="552" t="n"/>
      <c r="M31" s="552" t="n"/>
    </row>
    <row r="32" ht="21" customHeight="1" s="468">
      <c r="A32" s="685" t="n"/>
      <c r="B32" s="218" t="n"/>
      <c r="C32" s="219" t="n"/>
      <c r="D32" s="220" t="n"/>
      <c r="E32" s="221" t="inlineStr">
        <is>
          <t>CX</t>
        </is>
      </c>
      <c r="F32" s="68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20">
        <f>IFERROR(ROUNDUP(D32/F32,0),"")</f>
        <v/>
      </c>
      <c r="H32" s="224" t="n"/>
      <c r="I32" s="220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552" t="n"/>
      <c r="K32" s="552" t="n"/>
      <c r="L32" s="552" t="n"/>
      <c r="M32" s="552" t="n"/>
    </row>
    <row r="33" ht="15" customHeight="1" s="468">
      <c r="A33" s="658" t="n"/>
      <c r="B33" s="640" t="inlineStr">
        <is>
          <t>TOTAL</t>
        </is>
      </c>
      <c r="C33" s="667" t="n"/>
      <c r="D33" s="642">
        <f>SUM(D28:D32)</f>
        <v/>
      </c>
      <c r="E33" s="668" t="n"/>
      <c r="F33" s="644" t="n"/>
      <c r="G33" s="642">
        <f>SUM(G28:G32)</f>
        <v/>
      </c>
      <c r="H33" s="642">
        <f>SUM(H28:H32)</f>
        <v/>
      </c>
      <c r="I33" s="642">
        <f>SUM(I28:I32)</f>
        <v/>
      </c>
      <c r="J33" s="644">
        <f>D33</f>
        <v/>
      </c>
      <c r="K33" s="644">
        <f>G33</f>
        <v/>
      </c>
      <c r="L33" s="644">
        <f>H33</f>
        <v/>
      </c>
      <c r="M33" s="644">
        <f>I33</f>
        <v/>
      </c>
    </row>
    <row r="34" ht="6" customHeight="1" s="468">
      <c r="A34" s="638" t="n"/>
      <c r="C34" s="71" t="n"/>
      <c r="D34" s="552" t="n"/>
      <c r="F34" s="552" t="n"/>
      <c r="G34" s="552" t="n"/>
      <c r="H34" s="552" t="n"/>
      <c r="I34" s="552" t="n"/>
      <c r="J34" s="552" t="n"/>
      <c r="K34" s="552" t="n"/>
      <c r="L34" s="552" t="n"/>
      <c r="M34" s="552" t="n"/>
    </row>
    <row r="35" ht="15" customHeight="1" s="468">
      <c r="A35" s="646" t="n">
        <v>46240</v>
      </c>
      <c r="B35" s="213" t="inlineStr">
        <is>
          <t>PRODUTO</t>
        </is>
      </c>
      <c r="C35" s="214" t="inlineStr">
        <is>
          <t>EMBALAGEM</t>
        </is>
      </c>
      <c r="D35" s="244" t="inlineStr">
        <is>
          <t>CAIXAS</t>
        </is>
      </c>
      <c r="E35" s="215" t="inlineStr">
        <is>
          <t>UN</t>
        </is>
      </c>
      <c r="F35" s="687" t="inlineStr">
        <is>
          <t>CX/PALLET</t>
        </is>
      </c>
      <c r="G35" s="244" t="inlineStr">
        <is>
          <t>PALLETS (PBR)</t>
        </is>
      </c>
      <c r="H35" s="244" t="inlineStr">
        <is>
          <t>REAL (CX)</t>
        </is>
      </c>
      <c r="I35" s="244" t="inlineStr">
        <is>
          <t>TOTAL LATAS</t>
        </is>
      </c>
      <c r="J35" s="552" t="n"/>
      <c r="K35" s="552" t="n"/>
      <c r="L35" s="552" t="n"/>
      <c r="M35" s="552" t="n"/>
    </row>
    <row r="36" ht="21" customHeight="1" s="468">
      <c r="A36" s="685" t="n"/>
      <c r="B36" s="218" t="n"/>
      <c r="C36" s="219" t="n"/>
      <c r="D36" s="220" t="n"/>
      <c r="E36" s="221" t="inlineStr">
        <is>
          <t>CX</t>
        </is>
      </c>
      <c r="F36" s="68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20">
        <f>IFERROR(ROUNDUP(D36/F36,0),"")</f>
        <v/>
      </c>
      <c r="H36" s="224" t="n"/>
      <c r="I36" s="220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552" t="n"/>
      <c r="K36" s="552" t="n"/>
      <c r="L36" s="552" t="n"/>
      <c r="M36" s="552" t="n"/>
    </row>
    <row r="37" ht="21" customHeight="1" s="468">
      <c r="A37" s="685" t="n"/>
      <c r="B37" s="218" t="n"/>
      <c r="C37" s="219" t="n"/>
      <c r="D37" s="220" t="n"/>
      <c r="E37" s="221" t="inlineStr">
        <is>
          <t>CX</t>
        </is>
      </c>
      <c r="F37" s="686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20">
        <f>IFERROR(ROUNDUP(D37/F37,0),"")</f>
        <v/>
      </c>
      <c r="H37" s="224" t="n"/>
      <c r="I37" s="220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552" t="n"/>
      <c r="K37" s="552" t="n"/>
      <c r="L37" s="552" t="n"/>
      <c r="M37" s="552" t="n"/>
    </row>
    <row r="38" ht="21" customHeight="1" s="468">
      <c r="A38" s="685" t="n"/>
      <c r="B38" s="218" t="n"/>
      <c r="C38" s="219" t="n"/>
      <c r="D38" s="220" t="n"/>
      <c r="E38" s="221" t="inlineStr">
        <is>
          <t>CX</t>
        </is>
      </c>
      <c r="F38" s="686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20">
        <f>IFERROR(ROUNDUP(D38/F38,0),"")</f>
        <v/>
      </c>
      <c r="H38" s="224" t="n"/>
      <c r="I38" s="220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552" t="n"/>
      <c r="K38" s="552" t="n"/>
      <c r="L38" s="552" t="n"/>
      <c r="M38" s="552" t="n"/>
    </row>
    <row r="39" ht="21" customHeight="1" s="468">
      <c r="A39" s="685" t="n"/>
      <c r="B39" s="218" t="n"/>
      <c r="C39" s="219" t="n"/>
      <c r="D39" s="220" t="n"/>
      <c r="E39" s="221" t="inlineStr">
        <is>
          <t>CX</t>
        </is>
      </c>
      <c r="F39" s="686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20">
        <f>IFERROR(ROUNDUP(D39/F39,0),"")</f>
        <v/>
      </c>
      <c r="H39" s="224" t="n"/>
      <c r="I39" s="220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52" t="n"/>
      <c r="K39" s="552" t="n"/>
      <c r="L39" s="552" t="n"/>
      <c r="M39" s="552" t="n"/>
    </row>
    <row r="40" ht="21" customHeight="1" s="468">
      <c r="A40" s="685" t="n"/>
      <c r="B40" s="218" t="n"/>
      <c r="C40" s="219" t="n"/>
      <c r="D40" s="220" t="n"/>
      <c r="E40" s="221" t="inlineStr">
        <is>
          <t>CX</t>
        </is>
      </c>
      <c r="F40" s="68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20">
        <f>IFERROR(ROUNDUP(D40/F40,0),"")</f>
        <v/>
      </c>
      <c r="H40" s="224" t="n"/>
      <c r="I40" s="220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552" t="n"/>
      <c r="K40" s="552" t="n"/>
      <c r="L40" s="552" t="n"/>
      <c r="M40" s="552" t="n"/>
    </row>
    <row r="41" ht="15" customHeight="1" s="468">
      <c r="A41" s="658" t="n"/>
      <c r="B41" s="640" t="inlineStr">
        <is>
          <t>TOTAL</t>
        </is>
      </c>
      <c r="C41" s="667" t="n"/>
      <c r="D41" s="642">
        <f>SUM(D36:D40)</f>
        <v/>
      </c>
      <c r="E41" s="668" t="n"/>
      <c r="F41" s="644" t="n"/>
      <c r="G41" s="642">
        <f>SUM(G36:G40)</f>
        <v/>
      </c>
      <c r="H41" s="642">
        <f>SUM(H36:H40)</f>
        <v/>
      </c>
      <c r="I41" s="642">
        <f>SUM(I36:I40)</f>
        <v/>
      </c>
      <c r="J41" s="644">
        <f>D41</f>
        <v/>
      </c>
      <c r="K41" s="644">
        <f>G41</f>
        <v/>
      </c>
      <c r="L41" s="644">
        <f>H41</f>
        <v/>
      </c>
      <c r="M41" s="644">
        <f>I41</f>
        <v/>
      </c>
    </row>
    <row r="42" ht="6" customHeight="1" s="468">
      <c r="A42" s="638" t="n"/>
      <c r="C42" s="71" t="n"/>
      <c r="D42" s="552" t="n"/>
      <c r="F42" s="552" t="n"/>
      <c r="G42" s="552" t="n"/>
      <c r="H42" s="552" t="n"/>
      <c r="I42" s="552" t="n"/>
      <c r="J42" s="552" t="n"/>
      <c r="K42" s="552" t="n"/>
      <c r="L42" s="552" t="n"/>
      <c r="M42" s="552" t="n"/>
    </row>
    <row r="43" ht="15" customHeight="1" s="468">
      <c r="A43" s="646" t="n">
        <v>46241</v>
      </c>
      <c r="B43" s="213" t="inlineStr">
        <is>
          <t>PRODUTO</t>
        </is>
      </c>
      <c r="C43" s="214" t="inlineStr">
        <is>
          <t>EMBALAGEM</t>
        </is>
      </c>
      <c r="D43" s="244" t="inlineStr">
        <is>
          <t>CAIXAS</t>
        </is>
      </c>
      <c r="E43" s="215" t="inlineStr">
        <is>
          <t>UN</t>
        </is>
      </c>
      <c r="F43" s="687" t="inlineStr">
        <is>
          <t>CX/PALLET</t>
        </is>
      </c>
      <c r="G43" s="244" t="inlineStr">
        <is>
          <t>PALLETS (PBR)</t>
        </is>
      </c>
      <c r="H43" s="244" t="inlineStr">
        <is>
          <t>REAL (CX)</t>
        </is>
      </c>
      <c r="I43" s="244" t="inlineStr">
        <is>
          <t>TOTAL LATAS</t>
        </is>
      </c>
      <c r="J43" s="552" t="n"/>
      <c r="K43" s="552" t="n"/>
      <c r="L43" s="552" t="n"/>
      <c r="M43" s="552" t="n"/>
    </row>
    <row r="44" ht="21" customHeight="1" s="468">
      <c r="A44" s="685" t="n"/>
      <c r="B44" s="218" t="n"/>
      <c r="C44" s="219" t="n"/>
      <c r="D44" s="220" t="n"/>
      <c r="E44" s="221" t="inlineStr">
        <is>
          <t>CX</t>
        </is>
      </c>
      <c r="F44" s="686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20">
        <f>IFERROR(ROUNDUP(D44/F44,0),"")</f>
        <v/>
      </c>
      <c r="H44" s="224" t="n"/>
      <c r="I44" s="220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552" t="n"/>
      <c r="K44" s="552" t="n"/>
      <c r="L44" s="552" t="n"/>
      <c r="M44" s="552" t="n"/>
    </row>
    <row r="45" ht="21" customHeight="1" s="468">
      <c r="A45" s="685" t="n"/>
      <c r="B45" s="218" t="n"/>
      <c r="C45" s="219" t="n"/>
      <c r="D45" s="220" t="n"/>
      <c r="E45" s="221" t="inlineStr">
        <is>
          <t>CX</t>
        </is>
      </c>
      <c r="F45" s="68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20">
        <f>IFERROR(ROUNDUP(D45/F45,0),"")</f>
        <v/>
      </c>
      <c r="H45" s="224" t="n"/>
      <c r="I45" s="220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552" t="n"/>
      <c r="K45" s="552" t="n"/>
      <c r="L45" s="552" t="n"/>
      <c r="M45" s="552" t="n"/>
    </row>
    <row r="46" ht="21" customHeight="1" s="468">
      <c r="A46" s="685" t="n"/>
      <c r="B46" s="218" t="n"/>
      <c r="C46" s="219" t="n"/>
      <c r="D46" s="220" t="n"/>
      <c r="E46" s="221" t="inlineStr">
        <is>
          <t>CX</t>
        </is>
      </c>
      <c r="F46" s="686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20">
        <f>IFERROR(ROUNDUP(D46/F46,0),"")</f>
        <v/>
      </c>
      <c r="H46" s="224" t="n"/>
      <c r="I46" s="220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552" t="n"/>
      <c r="K46" s="552" t="n"/>
      <c r="L46" s="552" t="n"/>
      <c r="M46" s="552" t="n"/>
    </row>
    <row r="47" ht="21" customHeight="1" s="468">
      <c r="A47" s="685" t="n"/>
      <c r="B47" s="218" t="n"/>
      <c r="C47" s="219" t="n"/>
      <c r="D47" s="220" t="n"/>
      <c r="E47" s="221" t="inlineStr">
        <is>
          <t>CX</t>
        </is>
      </c>
      <c r="F47" s="686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20">
        <f>IFERROR(ROUNDUP(D47/F47,0),"")</f>
        <v/>
      </c>
      <c r="H47" s="224" t="n"/>
      <c r="I47" s="220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52" t="n"/>
      <c r="K47" s="552" t="n"/>
      <c r="L47" s="552" t="n"/>
      <c r="M47" s="552" t="n"/>
    </row>
    <row r="48" ht="21" customHeight="1" s="468">
      <c r="A48" s="685" t="n"/>
      <c r="B48" s="218" t="n"/>
      <c r="C48" s="219" t="n"/>
      <c r="D48" s="220" t="n"/>
      <c r="E48" s="221" t="inlineStr">
        <is>
          <t>CX</t>
        </is>
      </c>
      <c r="F48" s="686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20">
        <f>IFERROR(ROUNDUP(D48/F48,0),"")</f>
        <v/>
      </c>
      <c r="H48" s="224" t="n"/>
      <c r="I48" s="220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552" t="n"/>
      <c r="K48" s="552" t="n"/>
      <c r="L48" s="552" t="n"/>
      <c r="M48" s="552" t="n"/>
    </row>
    <row r="49" ht="15" customHeight="1" s="468">
      <c r="A49" s="658" t="n"/>
      <c r="B49" s="640" t="inlineStr">
        <is>
          <t>TOTAL</t>
        </is>
      </c>
      <c r="C49" s="667" t="n"/>
      <c r="D49" s="642">
        <f>SUM(D44:D48)</f>
        <v/>
      </c>
      <c r="E49" s="668" t="n"/>
      <c r="F49" s="644" t="n"/>
      <c r="G49" s="642">
        <f>SUM(G44:G48)</f>
        <v/>
      </c>
      <c r="H49" s="642">
        <f>SUM(H44:H48)</f>
        <v/>
      </c>
      <c r="I49" s="642">
        <f>SUM(I44:I48)</f>
        <v/>
      </c>
      <c r="J49" s="644">
        <f>D49</f>
        <v/>
      </c>
      <c r="K49" s="644">
        <f>G49</f>
        <v/>
      </c>
      <c r="L49" s="644">
        <f>H49</f>
        <v/>
      </c>
      <c r="M49" s="644">
        <f>I49</f>
        <v/>
      </c>
    </row>
    <row r="50" ht="6" customHeight="1" s="468">
      <c r="A50" s="638" t="n"/>
      <c r="C50" s="71" t="n"/>
      <c r="D50" s="552" t="n"/>
      <c r="F50" s="552" t="n"/>
      <c r="G50" s="552" t="n"/>
      <c r="H50" s="552" t="n"/>
      <c r="I50" s="552" t="n"/>
      <c r="J50" s="552" t="n"/>
      <c r="K50" s="552" t="n"/>
      <c r="L50" s="552" t="n"/>
      <c r="M50" s="552" t="n"/>
    </row>
    <row r="51" ht="15" customHeight="1" s="468">
      <c r="A51" s="696" t="n">
        <v>46242</v>
      </c>
      <c r="B51" s="213" t="inlineStr">
        <is>
          <t>PRODUTO</t>
        </is>
      </c>
      <c r="C51" s="214" t="inlineStr">
        <is>
          <t>EMBALAGEM</t>
        </is>
      </c>
      <c r="D51" s="244" t="inlineStr">
        <is>
          <t>CAIXAS</t>
        </is>
      </c>
      <c r="E51" s="215" t="inlineStr">
        <is>
          <t>UN</t>
        </is>
      </c>
      <c r="F51" s="697" t="inlineStr">
        <is>
          <t>CX/PALLET</t>
        </is>
      </c>
      <c r="G51" s="244" t="inlineStr">
        <is>
          <t>PALLETS (PBR)</t>
        </is>
      </c>
      <c r="H51" s="244" t="inlineStr">
        <is>
          <t>REAL (CX)</t>
        </is>
      </c>
      <c r="I51" s="244" t="inlineStr">
        <is>
          <t>TOTAL LATAS</t>
        </is>
      </c>
      <c r="J51" s="274" t="n"/>
      <c r="K51" s="274" t="n"/>
      <c r="L51" s="274" t="n"/>
      <c r="M51" s="274" t="n"/>
    </row>
    <row r="52" ht="21" customHeight="1" s="468">
      <c r="A52" s="685" t="n"/>
      <c r="B52" s="266" t="n"/>
      <c r="C52" s="267" t="n"/>
      <c r="D52" s="268" t="n"/>
      <c r="E52" s="269" t="inlineStr">
        <is>
          <t>CX</t>
        </is>
      </c>
      <c r="F52" s="698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68">
        <f>IFERROR(ROUNDUP(D52/F52,0),"")</f>
        <v/>
      </c>
      <c r="H52" s="224" t="n"/>
      <c r="I52" s="268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274" t="n"/>
      <c r="K52" s="274" t="n"/>
      <c r="L52" s="274" t="n"/>
      <c r="M52" s="274" t="n"/>
    </row>
    <row r="53" ht="21" customHeight="1" s="468">
      <c r="A53" s="685" t="n"/>
      <c r="B53" s="266" t="n"/>
      <c r="C53" s="267" t="n"/>
      <c r="D53" s="268" t="n"/>
      <c r="E53" s="269" t="inlineStr">
        <is>
          <t>CX</t>
        </is>
      </c>
      <c r="F53" s="698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68">
        <f>IFERROR(ROUNDUP(D53/F53,0),"")</f>
        <v/>
      </c>
      <c r="H53" s="224" t="n"/>
      <c r="I53" s="268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274" t="n"/>
      <c r="K53" s="274" t="n"/>
      <c r="L53" s="274" t="n"/>
      <c r="M53" s="274" t="n"/>
    </row>
    <row r="54" ht="21" customHeight="1" s="468">
      <c r="A54" s="685" t="n"/>
      <c r="B54" s="266" t="n"/>
      <c r="C54" s="267" t="n"/>
      <c r="D54" s="268" t="n"/>
      <c r="E54" s="269" t="inlineStr">
        <is>
          <t>CX</t>
        </is>
      </c>
      <c r="F54" s="698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68">
        <f>IFERROR(ROUNDUP(D54/F54,0),"")</f>
        <v/>
      </c>
      <c r="H54" s="224" t="n"/>
      <c r="I54" s="268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274" t="n"/>
      <c r="K54" s="274" t="n"/>
      <c r="L54" s="274" t="n"/>
      <c r="M54" s="274" t="n"/>
    </row>
    <row r="55" ht="21" customHeight="1" s="468">
      <c r="A55" s="685" t="n"/>
      <c r="B55" s="266" t="n"/>
      <c r="C55" s="267" t="n"/>
      <c r="D55" s="268" t="n"/>
      <c r="E55" s="269" t="inlineStr">
        <is>
          <t>CX</t>
        </is>
      </c>
      <c r="F55" s="698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68">
        <f>IFERROR(ROUNDUP(D55/F55,0),"")</f>
        <v/>
      </c>
      <c r="H55" s="224" t="n"/>
      <c r="I55" s="268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274" t="n"/>
      <c r="K55" s="274" t="n"/>
      <c r="L55" s="274" t="n"/>
      <c r="M55" s="274" t="n"/>
    </row>
    <row r="56" ht="21" customHeight="1" s="468">
      <c r="A56" s="685" t="n"/>
      <c r="B56" s="266" t="n"/>
      <c r="C56" s="267" t="n"/>
      <c r="D56" s="268" t="n"/>
      <c r="E56" s="269" t="inlineStr">
        <is>
          <t>CX</t>
        </is>
      </c>
      <c r="F56" s="698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68">
        <f>IFERROR(ROUNDUP(D56/F56,0),"")</f>
        <v/>
      </c>
      <c r="H56" s="224" t="n"/>
      <c r="I56" s="268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274" t="n"/>
      <c r="K56" s="274" t="n"/>
      <c r="L56" s="274" t="n"/>
      <c r="M56" s="274" t="n"/>
    </row>
    <row r="57" ht="15" customHeight="1" s="468">
      <c r="A57" s="658" t="n"/>
      <c r="B57" s="640" t="inlineStr">
        <is>
          <t>TOTAL</t>
        </is>
      </c>
      <c r="C57" s="667" t="n"/>
      <c r="D57" s="642">
        <f>SUM(D52:D56)</f>
        <v/>
      </c>
      <c r="E57" s="668" t="n"/>
      <c r="F57" s="644" t="n"/>
      <c r="G57" s="642">
        <f>SUM(G52:G56)</f>
        <v/>
      </c>
      <c r="H57" s="642">
        <f>SUM(H52:H56)</f>
        <v/>
      </c>
      <c r="I57" s="642">
        <f>SUM(I52:I56)</f>
        <v/>
      </c>
      <c r="J57" s="644">
        <f>D57</f>
        <v/>
      </c>
      <c r="K57" s="644">
        <f>G57</f>
        <v/>
      </c>
      <c r="L57" s="644">
        <f>H57</f>
        <v/>
      </c>
      <c r="M57" s="644">
        <f>I57</f>
        <v/>
      </c>
    </row>
    <row r="58" ht="6" customHeight="1" s="468">
      <c r="A58" s="699" t="n"/>
      <c r="B58" s="265" t="n"/>
      <c r="C58" s="276" t="n"/>
      <c r="D58" s="274" t="n"/>
      <c r="E58" s="265" t="n"/>
      <c r="F58" s="274" t="n"/>
      <c r="G58" s="274" t="n"/>
      <c r="H58" s="274" t="n"/>
      <c r="I58" s="274" t="n"/>
      <c r="J58" s="274" t="n"/>
      <c r="K58" s="274" t="n"/>
      <c r="L58" s="274" t="n"/>
      <c r="M58" s="274" t="n"/>
    </row>
    <row r="59" ht="15" customHeight="1" s="468">
      <c r="A59" s="646" t="n">
        <v>46244</v>
      </c>
      <c r="B59" s="213" t="inlineStr">
        <is>
          <t>PRODUTO</t>
        </is>
      </c>
      <c r="C59" s="214" t="inlineStr">
        <is>
          <t>EMBALAGEM</t>
        </is>
      </c>
      <c r="D59" s="244" t="inlineStr">
        <is>
          <t>CAIXAS</t>
        </is>
      </c>
      <c r="E59" s="215" t="inlineStr">
        <is>
          <t>UN</t>
        </is>
      </c>
      <c r="F59" s="687" t="inlineStr">
        <is>
          <t>CX/PALLET</t>
        </is>
      </c>
      <c r="G59" s="244" t="inlineStr">
        <is>
          <t>PALLETS (PBR)</t>
        </is>
      </c>
      <c r="H59" s="244" t="inlineStr">
        <is>
          <t>REAL (CX)</t>
        </is>
      </c>
      <c r="I59" s="244" t="inlineStr">
        <is>
          <t>TOTAL LATAS</t>
        </is>
      </c>
      <c r="J59" s="552" t="n"/>
      <c r="K59" s="552" t="n"/>
      <c r="L59" s="552" t="n"/>
      <c r="M59" s="552" t="n"/>
    </row>
    <row r="60" ht="21" customHeight="1" s="468">
      <c r="A60" s="685" t="n"/>
      <c r="B60" s="218" t="n"/>
      <c r="C60" s="219" t="n"/>
      <c r="D60" s="220" t="n"/>
      <c r="E60" s="221" t="inlineStr">
        <is>
          <t>CX</t>
        </is>
      </c>
      <c r="F60" s="68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20">
        <f>IFERROR(ROUNDUP(D60/F60,0),"")</f>
        <v/>
      </c>
      <c r="H60" s="224" t="n"/>
      <c r="I60" s="220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  <c r="J60" s="552" t="n"/>
      <c r="K60" s="552" t="n"/>
      <c r="L60" s="552" t="n"/>
      <c r="M60" s="552" t="n"/>
    </row>
    <row r="61" ht="21" customHeight="1" s="468">
      <c r="A61" s="685" t="n"/>
      <c r="B61" s="218" t="n"/>
      <c r="C61" s="219" t="n"/>
      <c r="D61" s="220" t="n"/>
      <c r="E61" s="221" t="inlineStr">
        <is>
          <t>CX</t>
        </is>
      </c>
      <c r="F61" s="68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20">
        <f>IFERROR(ROUNDUP(D61/F61,0),"")</f>
        <v/>
      </c>
      <c r="H61" s="224" t="n"/>
      <c r="I61" s="220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552" t="n"/>
      <c r="K61" s="552" t="n"/>
      <c r="L61" s="552" t="n"/>
      <c r="M61" s="552" t="n"/>
    </row>
    <row r="62" ht="21" customHeight="1" s="468">
      <c r="A62" s="685" t="n"/>
      <c r="B62" s="218" t="n"/>
      <c r="C62" s="219" t="n"/>
      <c r="D62" s="220" t="n"/>
      <c r="E62" s="221" t="inlineStr">
        <is>
          <t>CX</t>
        </is>
      </c>
      <c r="F62" s="686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20">
        <f>IFERROR(ROUNDUP(D62/F62,0),"")</f>
        <v/>
      </c>
      <c r="H62" s="224" t="n"/>
      <c r="I62" s="220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 t="n"/>
      <c r="K62" s="552" t="n"/>
      <c r="L62" s="552" t="n"/>
      <c r="M62" s="552" t="n"/>
    </row>
    <row r="63" ht="21" customHeight="1" s="468">
      <c r="A63" s="685" t="n"/>
      <c r="B63" s="218" t="n"/>
      <c r="C63" s="219" t="n"/>
      <c r="D63" s="220" t="n"/>
      <c r="E63" s="221" t="inlineStr">
        <is>
          <t>CX</t>
        </is>
      </c>
      <c r="F63" s="68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20">
        <f>IFERROR(ROUNDUP(D63/F63,0),"")</f>
        <v/>
      </c>
      <c r="H63" s="224" t="n"/>
      <c r="I63" s="220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552" t="n"/>
      <c r="K63" s="552" t="n"/>
      <c r="L63" s="552" t="n"/>
      <c r="M63" s="552" t="n"/>
    </row>
    <row r="64" ht="21" customHeight="1" s="468">
      <c r="A64" s="685" t="n"/>
      <c r="B64" s="218" t="n"/>
      <c r="C64" s="219" t="n"/>
      <c r="D64" s="220" t="n"/>
      <c r="E64" s="221" t="inlineStr">
        <is>
          <t>CX</t>
        </is>
      </c>
      <c r="F64" s="686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20">
        <f>IFERROR(ROUNDUP(D64/F64,0),"")</f>
        <v/>
      </c>
      <c r="H64" s="224" t="n"/>
      <c r="I64" s="220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  <c r="J64" s="552" t="n"/>
      <c r="K64" s="552" t="n"/>
      <c r="L64" s="552" t="n"/>
      <c r="M64" s="552" t="n"/>
    </row>
    <row r="65" ht="15" customHeight="1" s="468">
      <c r="A65" s="658" t="n"/>
      <c r="B65" s="640" t="inlineStr">
        <is>
          <t>TOTAL</t>
        </is>
      </c>
      <c r="C65" s="667" t="n"/>
      <c r="D65" s="642">
        <f>SUM(D60:D64)</f>
        <v/>
      </c>
      <c r="E65" s="668" t="n"/>
      <c r="F65" s="644" t="n"/>
      <c r="G65" s="642">
        <f>SUM(G60:G64)</f>
        <v/>
      </c>
      <c r="H65" s="642">
        <f>SUM(H60:H64)</f>
        <v/>
      </c>
      <c r="I65" s="642">
        <f>SUM(I60:I64)</f>
        <v/>
      </c>
      <c r="J65" s="644">
        <f>D65</f>
        <v/>
      </c>
      <c r="K65" s="644">
        <f>G65</f>
        <v/>
      </c>
      <c r="L65" s="644">
        <f>H65</f>
        <v/>
      </c>
      <c r="M65" s="644">
        <f>I65</f>
        <v/>
      </c>
    </row>
    <row r="66" ht="6" customHeight="1" s="468">
      <c r="A66" s="638" t="n"/>
      <c r="C66" s="71" t="n"/>
      <c r="D66" s="552" t="n"/>
      <c r="F66" s="552" t="n"/>
      <c r="G66" s="552" t="n"/>
      <c r="H66" s="552" t="n"/>
      <c r="I66" s="552" t="n"/>
      <c r="J66" s="552" t="n"/>
      <c r="K66" s="552" t="n"/>
      <c r="L66" s="552" t="n"/>
      <c r="M66" s="552" t="n"/>
    </row>
    <row r="67" ht="15" customHeight="1" s="468">
      <c r="A67" s="646" t="n">
        <v>46245</v>
      </c>
      <c r="B67" s="213" t="inlineStr">
        <is>
          <t>PRODUTO</t>
        </is>
      </c>
      <c r="C67" s="214" t="inlineStr">
        <is>
          <t>EMBALAGEM</t>
        </is>
      </c>
      <c r="D67" s="244" t="inlineStr">
        <is>
          <t>CAIXAS</t>
        </is>
      </c>
      <c r="E67" s="215" t="inlineStr">
        <is>
          <t>UN</t>
        </is>
      </c>
      <c r="F67" s="687" t="inlineStr">
        <is>
          <t>CX/PALLET</t>
        </is>
      </c>
      <c r="G67" s="244" t="inlineStr">
        <is>
          <t>PALLETS (PBR)</t>
        </is>
      </c>
      <c r="H67" s="244" t="inlineStr">
        <is>
          <t>REAL (CX)</t>
        </is>
      </c>
      <c r="I67" s="244" t="inlineStr">
        <is>
          <t>TOTAL LATAS</t>
        </is>
      </c>
      <c r="J67" s="552" t="n"/>
      <c r="K67" s="552" t="n"/>
      <c r="L67" s="552" t="n"/>
      <c r="M67" s="552" t="n"/>
    </row>
    <row r="68" ht="21" customHeight="1" s="468">
      <c r="A68" s="685" t="n"/>
      <c r="B68" s="218" t="n"/>
      <c r="C68" s="219" t="n"/>
      <c r="D68" s="220" t="n"/>
      <c r="E68" s="221" t="inlineStr">
        <is>
          <t>CX</t>
        </is>
      </c>
      <c r="F68" s="686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20">
        <f>IFERROR(ROUNDUP(D68/F68,0),"")</f>
        <v/>
      </c>
      <c r="H68" s="224" t="n"/>
      <c r="I68" s="220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552" t="n"/>
      <c r="K68" s="552" t="n"/>
      <c r="L68" s="552" t="n"/>
      <c r="M68" s="552" t="n"/>
    </row>
    <row r="69" ht="21" customHeight="1" s="468">
      <c r="A69" s="685" t="n"/>
      <c r="B69" s="218" t="n"/>
      <c r="C69" s="219" t="n"/>
      <c r="D69" s="220" t="n"/>
      <c r="E69" s="221" t="inlineStr">
        <is>
          <t>CX</t>
        </is>
      </c>
      <c r="F69" s="68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20">
        <f>IFERROR(ROUNDUP(D69/F69,0),"")</f>
        <v/>
      </c>
      <c r="H69" s="224" t="n"/>
      <c r="I69" s="220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552" t="n"/>
      <c r="K69" s="552" t="n"/>
      <c r="L69" s="552" t="n"/>
      <c r="M69" s="552" t="n"/>
    </row>
    <row r="70" ht="21" customHeight="1" s="468">
      <c r="A70" s="685" t="n"/>
      <c r="B70" s="218" t="n"/>
      <c r="C70" s="219" t="n"/>
      <c r="D70" s="220" t="n"/>
      <c r="E70" s="221" t="inlineStr">
        <is>
          <t>CX</t>
        </is>
      </c>
      <c r="F70" s="686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20">
        <f>IFERROR(ROUNDUP(D70/F70,0),"")</f>
        <v/>
      </c>
      <c r="H70" s="224" t="n"/>
      <c r="I70" s="22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552" t="n"/>
      <c r="K70" s="552" t="n"/>
      <c r="L70" s="552" t="n"/>
      <c r="M70" s="552" t="n"/>
    </row>
    <row r="71" ht="21" customHeight="1" s="468">
      <c r="A71" s="685" t="n"/>
      <c r="B71" s="218" t="n"/>
      <c r="C71" s="219" t="n"/>
      <c r="D71" s="220" t="n"/>
      <c r="E71" s="221" t="inlineStr">
        <is>
          <t>CX</t>
        </is>
      </c>
      <c r="F71" s="686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20">
        <f>IFERROR(ROUNDUP(D71/F71,0),"")</f>
        <v/>
      </c>
      <c r="H71" s="224" t="n"/>
      <c r="I71" s="220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552" t="n"/>
      <c r="K71" s="552" t="n"/>
      <c r="L71" s="552" t="n"/>
      <c r="M71" s="552" t="n"/>
    </row>
    <row r="72" ht="21" customHeight="1" s="468">
      <c r="A72" s="685" t="n"/>
      <c r="B72" s="218" t="n"/>
      <c r="C72" s="219" t="n"/>
      <c r="D72" s="220" t="n"/>
      <c r="E72" s="221" t="inlineStr">
        <is>
          <t>CX</t>
        </is>
      </c>
      <c r="F72" s="686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20">
        <f>IFERROR(ROUNDUP(D72/F72,0),"")</f>
        <v/>
      </c>
      <c r="H72" s="224" t="n"/>
      <c r="I72" s="220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552" t="n"/>
      <c r="K72" s="552" t="n"/>
      <c r="L72" s="552" t="n"/>
      <c r="M72" s="552" t="n"/>
    </row>
    <row r="73" ht="15" customHeight="1" s="468">
      <c r="A73" s="658" t="n"/>
      <c r="B73" s="640" t="inlineStr">
        <is>
          <t>TOTAL</t>
        </is>
      </c>
      <c r="C73" s="667" t="n"/>
      <c r="D73" s="642">
        <f>SUM(D68:D72)</f>
        <v/>
      </c>
      <c r="E73" s="668" t="n"/>
      <c r="F73" s="644" t="n"/>
      <c r="G73" s="642">
        <f>SUM(G68:G72)</f>
        <v/>
      </c>
      <c r="H73" s="642">
        <f>SUM(H68:H72)</f>
        <v/>
      </c>
      <c r="I73" s="642">
        <f>SUM(I68:I72)</f>
        <v/>
      </c>
      <c r="J73" s="644">
        <f>D73</f>
        <v/>
      </c>
      <c r="K73" s="644">
        <f>G73</f>
        <v/>
      </c>
      <c r="L73" s="644">
        <f>H73</f>
        <v/>
      </c>
      <c r="M73" s="644">
        <f>I73</f>
        <v/>
      </c>
    </row>
    <row r="74" ht="6" customHeight="1" s="468">
      <c r="A74" s="638" t="n"/>
      <c r="C74" s="71" t="n"/>
      <c r="D74" s="552" t="n"/>
      <c r="F74" s="552" t="n"/>
      <c r="G74" s="552" t="n"/>
      <c r="H74" s="552" t="n"/>
      <c r="I74" s="552" t="n"/>
      <c r="J74" s="552" t="n"/>
      <c r="K74" s="552" t="n"/>
      <c r="L74" s="552" t="n"/>
      <c r="M74" s="552" t="n"/>
    </row>
    <row r="75" ht="15" customHeight="1" s="468">
      <c r="A75" s="646" t="n">
        <v>46246</v>
      </c>
      <c r="B75" s="213" t="inlineStr">
        <is>
          <t>PRODUTO</t>
        </is>
      </c>
      <c r="C75" s="214" t="inlineStr">
        <is>
          <t>EMBALAGEM</t>
        </is>
      </c>
      <c r="D75" s="244" t="inlineStr">
        <is>
          <t>CAIXAS</t>
        </is>
      </c>
      <c r="E75" s="215" t="inlineStr">
        <is>
          <t>UN</t>
        </is>
      </c>
      <c r="F75" s="687" t="inlineStr">
        <is>
          <t>CX/PALLET</t>
        </is>
      </c>
      <c r="G75" s="244" t="inlineStr">
        <is>
          <t>PALLETS (PBR)</t>
        </is>
      </c>
      <c r="H75" s="244" t="inlineStr">
        <is>
          <t>REAL (CX)</t>
        </is>
      </c>
      <c r="I75" s="244" t="inlineStr">
        <is>
          <t>TOTAL LATAS</t>
        </is>
      </c>
      <c r="J75" s="552" t="n"/>
      <c r="K75" s="552" t="n"/>
      <c r="L75" s="552" t="n"/>
      <c r="M75" s="552" t="n"/>
    </row>
    <row r="76" ht="21" customHeight="1" s="468">
      <c r="A76" s="685" t="n"/>
      <c r="B76" s="218" t="n"/>
      <c r="C76" s="219" t="n"/>
      <c r="D76" s="220" t="n"/>
      <c r="E76" s="221" t="inlineStr">
        <is>
          <t>CX</t>
        </is>
      </c>
      <c r="F76" s="68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20">
        <f>IFERROR(ROUNDUP(D76/F76,0),"")</f>
        <v/>
      </c>
      <c r="H76" s="224" t="n"/>
      <c r="I76" s="220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552" t="n"/>
      <c r="K76" s="552" t="n"/>
      <c r="L76" s="552" t="n"/>
      <c r="M76" s="552" t="n"/>
    </row>
    <row r="77" ht="21" customHeight="1" s="468">
      <c r="A77" s="685" t="n"/>
      <c r="B77" s="218" t="n"/>
      <c r="C77" s="219" t="n"/>
      <c r="D77" s="220" t="n"/>
      <c r="E77" s="221" t="inlineStr">
        <is>
          <t>CX</t>
        </is>
      </c>
      <c r="F77" s="68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20">
        <f>IFERROR(ROUNDUP(D77/F77,0),"")</f>
        <v/>
      </c>
      <c r="H77" s="224" t="n"/>
      <c r="I77" s="220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552" t="n"/>
      <c r="K77" s="552" t="n"/>
      <c r="L77" s="552" t="n"/>
      <c r="M77" s="552" t="n"/>
    </row>
    <row r="78" ht="21" customHeight="1" s="468">
      <c r="A78" s="685" t="n"/>
      <c r="B78" s="218" t="n"/>
      <c r="C78" s="219" t="n"/>
      <c r="D78" s="220" t="n"/>
      <c r="E78" s="221" t="inlineStr">
        <is>
          <t>CX</t>
        </is>
      </c>
      <c r="F78" s="686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20">
        <f>IFERROR(ROUNDUP(D78/F78,0),"")</f>
        <v/>
      </c>
      <c r="H78" s="224" t="n"/>
      <c r="I78" s="220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552" t="n"/>
      <c r="K78" s="552" t="n"/>
      <c r="L78" s="552" t="n"/>
      <c r="M78" s="552" t="n"/>
    </row>
    <row r="79" ht="21" customHeight="1" s="468">
      <c r="A79" s="685" t="n"/>
      <c r="B79" s="218" t="n"/>
      <c r="C79" s="219" t="n"/>
      <c r="D79" s="220" t="n"/>
      <c r="E79" s="221" t="inlineStr">
        <is>
          <t>CX</t>
        </is>
      </c>
      <c r="F79" s="686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20">
        <f>IFERROR(ROUNDUP(D79/F79,0),"")</f>
        <v/>
      </c>
      <c r="H79" s="224" t="n"/>
      <c r="I79" s="220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552" t="n"/>
      <c r="K79" s="552" t="n"/>
      <c r="L79" s="552" t="n"/>
      <c r="M79" s="552" t="n"/>
    </row>
    <row r="80" ht="21" customHeight="1" s="468">
      <c r="A80" s="685" t="n"/>
      <c r="B80" s="218" t="n"/>
      <c r="C80" s="219" t="n"/>
      <c r="D80" s="220" t="n"/>
      <c r="E80" s="221" t="inlineStr">
        <is>
          <t>CX</t>
        </is>
      </c>
      <c r="F80" s="686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20">
        <f>IFERROR(ROUNDUP(D80/F80,0),"")</f>
        <v/>
      </c>
      <c r="H80" s="224" t="n"/>
      <c r="I80" s="220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552" t="n"/>
      <c r="K80" s="552" t="n"/>
      <c r="L80" s="552" t="n"/>
      <c r="M80" s="552" t="n"/>
    </row>
    <row r="81" ht="15" customHeight="1" s="468">
      <c r="A81" s="658" t="n"/>
      <c r="B81" s="640" t="inlineStr">
        <is>
          <t>TOTAL</t>
        </is>
      </c>
      <c r="C81" s="667" t="n"/>
      <c r="D81" s="642">
        <f>SUM(D76:D80)</f>
        <v/>
      </c>
      <c r="E81" s="668" t="n"/>
      <c r="F81" s="644" t="n"/>
      <c r="G81" s="642">
        <f>SUM(G76:G80)</f>
        <v/>
      </c>
      <c r="H81" s="642">
        <f>SUM(H76:H80)</f>
        <v/>
      </c>
      <c r="I81" s="642">
        <f>SUM(I76:I80)</f>
        <v/>
      </c>
      <c r="J81" s="644">
        <f>D81</f>
        <v/>
      </c>
      <c r="K81" s="644">
        <f>G81</f>
        <v/>
      </c>
      <c r="L81" s="644">
        <f>H81</f>
        <v/>
      </c>
      <c r="M81" s="644">
        <f>I81</f>
        <v/>
      </c>
    </row>
    <row r="82" ht="6" customHeight="1" s="468">
      <c r="A82" s="638" t="n"/>
      <c r="C82" s="71" t="n"/>
      <c r="D82" s="552" t="n"/>
      <c r="F82" s="552" t="n"/>
      <c r="G82" s="552" t="n"/>
      <c r="H82" s="552" t="n"/>
      <c r="I82" s="552" t="n"/>
      <c r="J82" s="552" t="n"/>
      <c r="K82" s="552" t="n"/>
      <c r="L82" s="552" t="n"/>
      <c r="M82" s="552" t="n"/>
    </row>
    <row r="83" ht="15" customHeight="1" s="468">
      <c r="A83" s="646" t="n">
        <v>46247</v>
      </c>
      <c r="B83" s="213" t="inlineStr">
        <is>
          <t>PRODUTO</t>
        </is>
      </c>
      <c r="C83" s="214" t="inlineStr">
        <is>
          <t>EMBALAGEM</t>
        </is>
      </c>
      <c r="D83" s="244" t="inlineStr">
        <is>
          <t>CAIXAS</t>
        </is>
      </c>
      <c r="E83" s="215" t="inlineStr">
        <is>
          <t>UN</t>
        </is>
      </c>
      <c r="F83" s="687" t="inlineStr">
        <is>
          <t>CX/PALLET</t>
        </is>
      </c>
      <c r="G83" s="244" t="inlineStr">
        <is>
          <t>PALLETS (PBR)</t>
        </is>
      </c>
      <c r="H83" s="244" t="inlineStr">
        <is>
          <t>REAL (CX)</t>
        </is>
      </c>
      <c r="I83" s="244" t="inlineStr">
        <is>
          <t>TOTAL LATAS</t>
        </is>
      </c>
      <c r="J83" s="552" t="n"/>
      <c r="K83" s="552" t="n"/>
      <c r="L83" s="552" t="n"/>
      <c r="M83" s="552" t="n"/>
    </row>
    <row r="84" ht="21" customHeight="1" s="468">
      <c r="A84" s="685" t="n"/>
      <c r="B84" s="218" t="n"/>
      <c r="C84" s="219" t="n"/>
      <c r="D84" s="220" t="n"/>
      <c r="E84" s="221" t="inlineStr">
        <is>
          <t>CX</t>
        </is>
      </c>
      <c r="F84" s="686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20">
        <f>IFERROR(ROUNDUP(D84/F84,0),"")</f>
        <v/>
      </c>
      <c r="H84" s="224" t="n"/>
      <c r="I84" s="220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552" t="n"/>
      <c r="K84" s="552" t="n"/>
      <c r="L84" s="552" t="n"/>
      <c r="M84" s="552" t="n"/>
    </row>
    <row r="85" ht="21" customHeight="1" s="468">
      <c r="A85" s="685" t="n"/>
      <c r="B85" s="218" t="n"/>
      <c r="C85" s="219" t="n"/>
      <c r="D85" s="220" t="n"/>
      <c r="E85" s="221" t="inlineStr">
        <is>
          <t>CX</t>
        </is>
      </c>
      <c r="F85" s="686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20">
        <f>IFERROR(ROUNDUP(D85/F85,0),"")</f>
        <v/>
      </c>
      <c r="H85" s="224" t="n"/>
      <c r="I85" s="220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552" t="n"/>
      <c r="K85" s="552" t="n"/>
      <c r="L85" s="552" t="n"/>
      <c r="M85" s="552" t="n"/>
    </row>
    <row r="86" ht="21" customHeight="1" s="468">
      <c r="A86" s="685" t="n"/>
      <c r="B86" s="218" t="n"/>
      <c r="C86" s="219" t="n"/>
      <c r="D86" s="220" t="n"/>
      <c r="E86" s="221" t="inlineStr">
        <is>
          <t>CX</t>
        </is>
      </c>
      <c r="F86" s="6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20">
        <f>IFERROR(ROUNDUP(D86/F86,0),"")</f>
        <v/>
      </c>
      <c r="H86" s="224" t="n"/>
      <c r="I86" s="220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552" t="n"/>
      <c r="K86" s="552" t="n"/>
      <c r="L86" s="552" t="n"/>
      <c r="M86" s="552" t="n"/>
    </row>
    <row r="87" ht="21" customHeight="1" s="468">
      <c r="A87" s="685" t="n"/>
      <c r="B87" s="218" t="n"/>
      <c r="C87" s="219" t="n"/>
      <c r="D87" s="220" t="n"/>
      <c r="E87" s="221" t="inlineStr">
        <is>
          <t>CX</t>
        </is>
      </c>
      <c r="F87" s="686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20">
        <f>IFERROR(ROUNDUP(D87/F87,0),"")</f>
        <v/>
      </c>
      <c r="H87" s="224" t="n"/>
      <c r="I87" s="220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552" t="n"/>
      <c r="K87" s="552" t="n"/>
      <c r="L87" s="552" t="n"/>
      <c r="M87" s="552" t="n"/>
    </row>
    <row r="88" ht="21" customHeight="1" s="468">
      <c r="A88" s="685" t="n"/>
      <c r="B88" s="218" t="n"/>
      <c r="C88" s="219" t="n"/>
      <c r="D88" s="220" t="n"/>
      <c r="E88" s="221" t="inlineStr">
        <is>
          <t>CX</t>
        </is>
      </c>
      <c r="F88" s="686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20">
        <f>IFERROR(ROUNDUP(D88/F88,0),"")</f>
        <v/>
      </c>
      <c r="H88" s="224" t="n"/>
      <c r="I88" s="220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552" t="n"/>
      <c r="K88" s="552" t="n"/>
      <c r="L88" s="552" t="n"/>
      <c r="M88" s="552" t="n"/>
    </row>
    <row r="89" ht="15" customHeight="1" s="468">
      <c r="A89" s="658" t="n"/>
      <c r="B89" s="640" t="inlineStr">
        <is>
          <t>TOTAL</t>
        </is>
      </c>
      <c r="C89" s="667" t="n"/>
      <c r="D89" s="642">
        <f>SUM(D84:D88)</f>
        <v/>
      </c>
      <c r="E89" s="668" t="n"/>
      <c r="F89" s="644" t="n"/>
      <c r="G89" s="642">
        <f>SUM(G84:G88)</f>
        <v/>
      </c>
      <c r="H89" s="642">
        <f>SUM(H84:H88)</f>
        <v/>
      </c>
      <c r="I89" s="642">
        <f>SUM(I84:I88)</f>
        <v/>
      </c>
      <c r="J89" s="644">
        <f>D89</f>
        <v/>
      </c>
      <c r="K89" s="644">
        <f>G89</f>
        <v/>
      </c>
      <c r="L89" s="644">
        <f>H89</f>
        <v/>
      </c>
      <c r="M89" s="644">
        <f>I89</f>
        <v/>
      </c>
    </row>
    <row r="90" ht="6" customHeight="1" s="468">
      <c r="A90" s="638" t="n"/>
      <c r="C90" s="71" t="n"/>
      <c r="D90" s="552" t="n"/>
      <c r="F90" s="552" t="n"/>
      <c r="G90" s="552" t="n"/>
      <c r="H90" s="552" t="n"/>
      <c r="I90" s="552" t="n"/>
      <c r="J90" s="552" t="n"/>
      <c r="K90" s="552" t="n"/>
      <c r="L90" s="552" t="n"/>
      <c r="M90" s="552" t="n"/>
    </row>
    <row r="91" ht="15" customHeight="1" s="468">
      <c r="A91" s="646" t="n">
        <v>46248</v>
      </c>
      <c r="B91" s="213" t="inlineStr">
        <is>
          <t>PRODUTO</t>
        </is>
      </c>
      <c r="C91" s="214" t="inlineStr">
        <is>
          <t>EMBALAGEM</t>
        </is>
      </c>
      <c r="D91" s="244" t="inlineStr">
        <is>
          <t>CAIXAS</t>
        </is>
      </c>
      <c r="E91" s="215" t="inlineStr">
        <is>
          <t>UN</t>
        </is>
      </c>
      <c r="F91" s="687" t="inlineStr">
        <is>
          <t>CX/PALLET</t>
        </is>
      </c>
      <c r="G91" s="244" t="inlineStr">
        <is>
          <t>PALLETS (PBR)</t>
        </is>
      </c>
      <c r="H91" s="244" t="inlineStr">
        <is>
          <t>REAL (CX)</t>
        </is>
      </c>
      <c r="I91" s="244" t="inlineStr">
        <is>
          <t>TOTAL LATAS</t>
        </is>
      </c>
      <c r="J91" s="552" t="n"/>
      <c r="K91" s="552" t="n"/>
      <c r="L91" s="552" t="n"/>
      <c r="M91" s="552" t="n"/>
    </row>
    <row r="92" ht="21" customHeight="1" s="468">
      <c r="A92" s="685" t="n"/>
      <c r="B92" s="218" t="n"/>
      <c r="C92" s="219" t="n"/>
      <c r="D92" s="220" t="n"/>
      <c r="E92" s="221" t="inlineStr">
        <is>
          <t>CX</t>
        </is>
      </c>
      <c r="F92" s="686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20">
        <f>IFERROR(ROUNDUP(D92/F92,0),"")</f>
        <v/>
      </c>
      <c r="H92" s="224" t="n"/>
      <c r="I92" s="220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552" t="n"/>
      <c r="K92" s="552" t="n"/>
      <c r="L92" s="552" t="n"/>
      <c r="M92" s="552" t="n"/>
    </row>
    <row r="93" ht="21" customHeight="1" s="468">
      <c r="A93" s="685" t="n"/>
      <c r="B93" s="218" t="n"/>
      <c r="C93" s="219" t="n"/>
      <c r="D93" s="220" t="n"/>
      <c r="E93" s="221" t="inlineStr">
        <is>
          <t>CX</t>
        </is>
      </c>
      <c r="F93" s="686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20">
        <f>IFERROR(ROUNDUP(D93/F93,0),"")</f>
        <v/>
      </c>
      <c r="H93" s="224" t="n"/>
      <c r="I93" s="220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552" t="n"/>
      <c r="K93" s="552" t="n"/>
      <c r="L93" s="552" t="n"/>
      <c r="M93" s="552" t="n"/>
    </row>
    <row r="94" ht="21" customHeight="1" s="468">
      <c r="A94" s="685" t="n"/>
      <c r="B94" s="218" t="n"/>
      <c r="C94" s="219" t="n"/>
      <c r="D94" s="220" t="n"/>
      <c r="E94" s="221" t="inlineStr">
        <is>
          <t>CX</t>
        </is>
      </c>
      <c r="F94" s="686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20">
        <f>IFERROR(ROUNDUP(D94/F94,0),"")</f>
        <v/>
      </c>
      <c r="H94" s="224" t="n"/>
      <c r="I94" s="220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552" t="n"/>
      <c r="K94" s="552" t="n"/>
      <c r="L94" s="552" t="n"/>
      <c r="M94" s="552" t="n"/>
    </row>
    <row r="95" ht="21" customHeight="1" s="468">
      <c r="A95" s="685" t="n"/>
      <c r="B95" s="218" t="n"/>
      <c r="C95" s="219" t="n"/>
      <c r="D95" s="220" t="n"/>
      <c r="E95" s="221" t="inlineStr">
        <is>
          <t>CX</t>
        </is>
      </c>
      <c r="F95" s="686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20">
        <f>IFERROR(ROUNDUP(D95/F95,0),"")</f>
        <v/>
      </c>
      <c r="H95" s="224" t="n"/>
      <c r="I95" s="220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552" t="n"/>
      <c r="K95" s="552" t="n"/>
      <c r="L95" s="552" t="n"/>
      <c r="M95" s="552" t="n"/>
    </row>
    <row r="96" ht="21" customHeight="1" s="468">
      <c r="A96" s="685" t="n"/>
      <c r="B96" s="218" t="n"/>
      <c r="C96" s="219" t="n"/>
      <c r="D96" s="220" t="n"/>
      <c r="E96" s="221" t="inlineStr">
        <is>
          <t>CX</t>
        </is>
      </c>
      <c r="F96" s="68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20">
        <f>IFERROR(ROUNDUP(D96/F96,0),"")</f>
        <v/>
      </c>
      <c r="H96" s="224" t="n"/>
      <c r="I96" s="220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552" t="n"/>
      <c r="K96" s="552" t="n"/>
      <c r="L96" s="552" t="n"/>
      <c r="M96" s="552" t="n"/>
    </row>
    <row r="97" ht="15" customHeight="1" s="468">
      <c r="A97" s="658" t="n"/>
      <c r="B97" s="640" t="inlineStr">
        <is>
          <t>TOTAL</t>
        </is>
      </c>
      <c r="C97" s="667" t="n"/>
      <c r="D97" s="642">
        <f>SUM(D92:D96)</f>
        <v/>
      </c>
      <c r="E97" s="668" t="n"/>
      <c r="F97" s="644" t="n"/>
      <c r="G97" s="642">
        <f>SUM(G92:G96)</f>
        <v/>
      </c>
      <c r="H97" s="642">
        <f>SUM(H92:H96)</f>
        <v/>
      </c>
      <c r="I97" s="642">
        <f>SUM(I92:I96)</f>
        <v/>
      </c>
      <c r="J97" s="644">
        <f>D97</f>
        <v/>
      </c>
      <c r="K97" s="644">
        <f>G97</f>
        <v/>
      </c>
      <c r="L97" s="644">
        <f>H97</f>
        <v/>
      </c>
      <c r="M97" s="644">
        <f>I97</f>
        <v/>
      </c>
    </row>
    <row r="98" ht="6" customHeight="1" s="468">
      <c r="A98" s="638" t="n"/>
      <c r="C98" s="71" t="n"/>
      <c r="D98" s="552" t="n"/>
      <c r="F98" s="552" t="n"/>
      <c r="G98" s="552" t="n"/>
      <c r="H98" s="552" t="n"/>
      <c r="I98" s="552" t="n"/>
      <c r="J98" s="552" t="n"/>
      <c r="K98" s="552" t="n"/>
      <c r="L98" s="552" t="n"/>
      <c r="M98" s="552" t="n"/>
    </row>
    <row r="99" ht="15" customHeight="1" s="468">
      <c r="A99" s="696" t="n">
        <v>46249</v>
      </c>
      <c r="B99" s="213" t="inlineStr">
        <is>
          <t>PRODUTO</t>
        </is>
      </c>
      <c r="C99" s="214" t="inlineStr">
        <is>
          <t>EMBALAGEM</t>
        </is>
      </c>
      <c r="D99" s="244" t="inlineStr">
        <is>
          <t>CAIXAS</t>
        </is>
      </c>
      <c r="E99" s="215" t="inlineStr">
        <is>
          <t>UN</t>
        </is>
      </c>
      <c r="F99" s="697" t="inlineStr">
        <is>
          <t>CX/PALLET</t>
        </is>
      </c>
      <c r="G99" s="244" t="inlineStr">
        <is>
          <t>PALLETS (PBR)</t>
        </is>
      </c>
      <c r="H99" s="244" t="inlineStr">
        <is>
          <t>REAL (CX)</t>
        </is>
      </c>
      <c r="I99" s="244" t="inlineStr">
        <is>
          <t>TOTAL LATAS</t>
        </is>
      </c>
      <c r="J99" s="274" t="n"/>
      <c r="K99" s="274" t="n"/>
      <c r="L99" s="274" t="n"/>
      <c r="M99" s="274" t="n"/>
    </row>
    <row r="100" ht="21" customHeight="1" s="468">
      <c r="A100" s="685" t="n"/>
      <c r="B100" s="266" t="n"/>
      <c r="C100" s="267" t="n"/>
      <c r="D100" s="268" t="n"/>
      <c r="E100" s="269" t="inlineStr">
        <is>
          <t>CX</t>
        </is>
      </c>
      <c r="F100" s="698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68">
        <f>IFERROR(ROUNDUP(D100/F100,0),"")</f>
        <v/>
      </c>
      <c r="H100" s="224" t="n"/>
      <c r="I100" s="268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274" t="n"/>
      <c r="K100" s="274" t="n"/>
      <c r="L100" s="274" t="n"/>
      <c r="M100" s="274" t="n"/>
    </row>
    <row r="101" ht="21" customHeight="1" s="468">
      <c r="A101" s="685" t="n"/>
      <c r="B101" s="266" t="n"/>
      <c r="C101" s="267" t="n"/>
      <c r="D101" s="268" t="n"/>
      <c r="E101" s="269" t="inlineStr">
        <is>
          <t>CX</t>
        </is>
      </c>
      <c r="F101" s="698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68">
        <f>IFERROR(ROUNDUP(D101/F101,0),"")</f>
        <v/>
      </c>
      <c r="H101" s="224" t="n"/>
      <c r="I101" s="268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274" t="n"/>
      <c r="K101" s="274" t="n"/>
      <c r="L101" s="274" t="n"/>
      <c r="M101" s="274" t="n"/>
    </row>
    <row r="102" ht="21" customHeight="1" s="468">
      <c r="A102" s="685" t="n"/>
      <c r="B102" s="266" t="n"/>
      <c r="C102" s="267" t="n"/>
      <c r="D102" s="268" t="n"/>
      <c r="E102" s="269" t="inlineStr">
        <is>
          <t>CX</t>
        </is>
      </c>
      <c r="F102" s="698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68">
        <f>IFERROR(ROUNDUP(D102/F102,0),"")</f>
        <v/>
      </c>
      <c r="H102" s="224" t="n"/>
      <c r="I102" s="268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274" t="n"/>
      <c r="K102" s="274" t="n"/>
      <c r="L102" s="274" t="n"/>
      <c r="M102" s="274" t="n"/>
    </row>
    <row r="103" ht="21" customHeight="1" s="468">
      <c r="A103" s="685" t="n"/>
      <c r="B103" s="266" t="n"/>
      <c r="C103" s="267" t="n"/>
      <c r="D103" s="268" t="n"/>
      <c r="E103" s="269" t="inlineStr">
        <is>
          <t>CX</t>
        </is>
      </c>
      <c r="F103" s="698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68">
        <f>IFERROR(ROUNDUP(D103/F103,0),"")</f>
        <v/>
      </c>
      <c r="H103" s="224" t="n"/>
      <c r="I103" s="268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274" t="n"/>
      <c r="K103" s="274" t="n"/>
      <c r="L103" s="274" t="n"/>
      <c r="M103" s="274" t="n"/>
    </row>
    <row r="104" ht="21" customHeight="1" s="468">
      <c r="A104" s="685" t="n"/>
      <c r="B104" s="266" t="n"/>
      <c r="C104" s="267" t="n"/>
      <c r="D104" s="268" t="n"/>
      <c r="E104" s="269" t="inlineStr">
        <is>
          <t>CX</t>
        </is>
      </c>
      <c r="F104" s="698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68">
        <f>IFERROR(ROUNDUP(D104/F104,0),"")</f>
        <v/>
      </c>
      <c r="H104" s="224" t="n"/>
      <c r="I104" s="268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274" t="n"/>
      <c r="K104" s="274" t="n"/>
      <c r="L104" s="274" t="n"/>
      <c r="M104" s="274" t="n"/>
    </row>
    <row r="105" ht="15" customHeight="1" s="468">
      <c r="A105" s="658" t="n"/>
      <c r="B105" s="640" t="inlineStr">
        <is>
          <t>TOTAL</t>
        </is>
      </c>
      <c r="C105" s="667" t="n"/>
      <c r="D105" s="642">
        <f>SUM(D100:D104)</f>
        <v/>
      </c>
      <c r="E105" s="668" t="n"/>
      <c r="F105" s="644" t="n"/>
      <c r="G105" s="642">
        <f>SUM(G100:G104)</f>
        <v/>
      </c>
      <c r="H105" s="642">
        <f>SUM(H100:H104)</f>
        <v/>
      </c>
      <c r="I105" s="642">
        <f>SUM(I100:I104)</f>
        <v/>
      </c>
      <c r="J105" s="644">
        <f>D105</f>
        <v/>
      </c>
      <c r="K105" s="644">
        <f>G105</f>
        <v/>
      </c>
      <c r="L105" s="644">
        <f>H105</f>
        <v/>
      </c>
      <c r="M105" s="644">
        <f>I105</f>
        <v/>
      </c>
    </row>
    <row r="106" ht="6" customHeight="1" s="468">
      <c r="A106" s="699" t="n"/>
      <c r="B106" s="265" t="n"/>
      <c r="C106" s="276" t="n"/>
      <c r="D106" s="274" t="n"/>
      <c r="E106" s="265" t="n"/>
      <c r="F106" s="274" t="n"/>
      <c r="G106" s="274" t="n"/>
      <c r="H106" s="274" t="n"/>
      <c r="I106" s="274" t="n"/>
      <c r="J106" s="274" t="n"/>
      <c r="K106" s="274" t="n"/>
      <c r="L106" s="274" t="n"/>
      <c r="M106" s="274" t="n"/>
    </row>
    <row r="107" ht="15" customHeight="1" s="468">
      <c r="A107" s="646" t="n">
        <v>46251</v>
      </c>
      <c r="B107" s="213" t="inlineStr">
        <is>
          <t>PRODUTO</t>
        </is>
      </c>
      <c r="C107" s="214" t="inlineStr">
        <is>
          <t>EMBALAGEM</t>
        </is>
      </c>
      <c r="D107" s="244" t="inlineStr">
        <is>
          <t>CAIXAS</t>
        </is>
      </c>
      <c r="E107" s="215" t="inlineStr">
        <is>
          <t>UN</t>
        </is>
      </c>
      <c r="F107" s="687" t="inlineStr">
        <is>
          <t>CX/PALLET</t>
        </is>
      </c>
      <c r="G107" s="244" t="inlineStr">
        <is>
          <t>PALLETS (PBR)</t>
        </is>
      </c>
      <c r="H107" s="244" t="inlineStr">
        <is>
          <t>REAL (CX)</t>
        </is>
      </c>
      <c r="I107" s="244" t="inlineStr">
        <is>
          <t>TOTAL LATAS</t>
        </is>
      </c>
      <c r="J107" s="552" t="n"/>
      <c r="K107" s="552" t="n"/>
      <c r="L107" s="552" t="n"/>
      <c r="M107" s="552" t="n"/>
    </row>
    <row r="108" ht="21" customHeight="1" s="468">
      <c r="A108" s="685" t="n"/>
      <c r="B108" s="218" t="n"/>
      <c r="C108" s="219" t="n"/>
      <c r="D108" s="220" t="n"/>
      <c r="E108" s="221" t="inlineStr">
        <is>
          <t>CX</t>
        </is>
      </c>
      <c r="F108" s="686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20">
        <f>IFERROR(ROUNDUP(D108/F108,0),"")</f>
        <v/>
      </c>
      <c r="H108" s="224" t="n"/>
      <c r="I108" s="220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 t="n"/>
      <c r="K108" s="552" t="n"/>
      <c r="L108" s="552" t="n"/>
      <c r="M108" s="552" t="n"/>
    </row>
    <row r="109" ht="21" customHeight="1" s="468">
      <c r="A109" s="685" t="n"/>
      <c r="B109" s="218" t="n"/>
      <c r="C109" s="219" t="n"/>
      <c r="D109" s="220" t="n"/>
      <c r="E109" s="221" t="inlineStr">
        <is>
          <t>CX</t>
        </is>
      </c>
      <c r="F109" s="686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20">
        <f>IFERROR(ROUNDUP(D109/F109,0),"")</f>
        <v/>
      </c>
      <c r="H109" s="224" t="n"/>
      <c r="I109" s="220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  <c r="J109" s="552" t="n"/>
      <c r="K109" s="552" t="n"/>
      <c r="L109" s="552" t="n"/>
      <c r="M109" s="552" t="n"/>
    </row>
    <row r="110" ht="21" customHeight="1" s="468">
      <c r="A110" s="685" t="n"/>
      <c r="B110" s="218" t="n"/>
      <c r="C110" s="219" t="n"/>
      <c r="D110" s="220" t="n"/>
      <c r="E110" s="221" t="inlineStr">
        <is>
          <t>CX</t>
        </is>
      </c>
      <c r="F110" s="686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20">
        <f>IFERROR(ROUNDUP(D110/F110,0),"")</f>
        <v/>
      </c>
      <c r="H110" s="224" t="n"/>
      <c r="I110" s="220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  <c r="J110" s="552" t="n"/>
      <c r="K110" s="552" t="n"/>
      <c r="L110" s="552" t="n"/>
      <c r="M110" s="552" t="n"/>
    </row>
    <row r="111" ht="21" customHeight="1" s="468">
      <c r="A111" s="685" t="n"/>
      <c r="B111" s="218" t="n"/>
      <c r="C111" s="219" t="n"/>
      <c r="D111" s="220" t="n"/>
      <c r="E111" s="221" t="inlineStr">
        <is>
          <t>CX</t>
        </is>
      </c>
      <c r="F111" s="686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20">
        <f>IFERROR(ROUNDUP(D111/F111,0),"")</f>
        <v/>
      </c>
      <c r="H111" s="224" t="n"/>
      <c r="I111" s="220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  <c r="J111" s="552" t="n"/>
      <c r="K111" s="552" t="n"/>
      <c r="L111" s="552" t="n"/>
      <c r="M111" s="552" t="n"/>
    </row>
    <row r="112" ht="21" customHeight="1" s="468">
      <c r="A112" s="685" t="n"/>
      <c r="B112" s="218" t="n"/>
      <c r="C112" s="219" t="n"/>
      <c r="D112" s="220" t="n"/>
      <c r="E112" s="221" t="inlineStr">
        <is>
          <t>CX</t>
        </is>
      </c>
      <c r="F112" s="68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20">
        <f>IFERROR(ROUNDUP(D112/F112,0),"")</f>
        <v/>
      </c>
      <c r="H112" s="224" t="n"/>
      <c r="I112" s="220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  <c r="J112" s="552" t="n"/>
      <c r="K112" s="552" t="n"/>
      <c r="L112" s="552" t="n"/>
      <c r="M112" s="552" t="n"/>
    </row>
    <row r="113" ht="15" customHeight="1" s="468">
      <c r="A113" s="658" t="n"/>
      <c r="B113" s="640" t="inlineStr">
        <is>
          <t>TOTAL</t>
        </is>
      </c>
      <c r="C113" s="667" t="n"/>
      <c r="D113" s="642">
        <f>SUM(D108:D112)</f>
        <v/>
      </c>
      <c r="E113" s="668" t="n"/>
      <c r="F113" s="644" t="n"/>
      <c r="G113" s="642">
        <f>SUM(G108:G112)</f>
        <v/>
      </c>
      <c r="H113" s="642">
        <f>SUM(H108:H112)</f>
        <v/>
      </c>
      <c r="I113" s="642">
        <f>SUM(I108:I112)</f>
        <v/>
      </c>
      <c r="J113" s="644">
        <f>D113</f>
        <v/>
      </c>
      <c r="K113" s="644">
        <f>G113</f>
        <v/>
      </c>
      <c r="L113" s="644">
        <f>H113</f>
        <v/>
      </c>
      <c r="M113" s="644">
        <f>I113</f>
        <v/>
      </c>
    </row>
    <row r="114" ht="6" customHeight="1" s="468">
      <c r="A114" s="638" t="n"/>
      <c r="C114" s="71" t="n"/>
      <c r="D114" s="552" t="n"/>
      <c r="F114" s="552" t="n"/>
      <c r="G114" s="552" t="n"/>
      <c r="H114" s="552" t="n"/>
      <c r="I114" s="552" t="n"/>
      <c r="J114" s="552" t="n"/>
      <c r="K114" s="552" t="n"/>
      <c r="L114" s="552" t="n"/>
      <c r="M114" s="552" t="n"/>
    </row>
    <row r="115" ht="15" customHeight="1" s="468">
      <c r="A115" s="646" t="n">
        <v>46252</v>
      </c>
      <c r="B115" s="213" t="inlineStr">
        <is>
          <t>PRODUTO</t>
        </is>
      </c>
      <c r="C115" s="214" t="inlineStr">
        <is>
          <t>EMBALAGEM</t>
        </is>
      </c>
      <c r="D115" s="244" t="inlineStr">
        <is>
          <t>CAIXAS</t>
        </is>
      </c>
      <c r="E115" s="215" t="inlineStr">
        <is>
          <t>UN</t>
        </is>
      </c>
      <c r="F115" s="687" t="inlineStr">
        <is>
          <t>CX/PALLET</t>
        </is>
      </c>
      <c r="G115" s="244" t="inlineStr">
        <is>
          <t>PALLETS (PBR)</t>
        </is>
      </c>
      <c r="H115" s="244" t="inlineStr">
        <is>
          <t>REAL (CX)</t>
        </is>
      </c>
      <c r="I115" s="244" t="inlineStr">
        <is>
          <t>TOTAL LATAS</t>
        </is>
      </c>
      <c r="J115" s="552" t="n"/>
      <c r="K115" s="552" t="n"/>
      <c r="L115" s="552" t="n"/>
      <c r="M115" s="552" t="n"/>
    </row>
    <row r="116" ht="21" customHeight="1" s="468">
      <c r="A116" s="685" t="n"/>
      <c r="B116" s="218" t="n"/>
      <c r="C116" s="219" t="n"/>
      <c r="D116" s="220" t="n"/>
      <c r="E116" s="221" t="inlineStr">
        <is>
          <t>CX</t>
        </is>
      </c>
      <c r="F116" s="68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20">
        <f>IFERROR(ROUNDUP(D116/F116,0),"")</f>
        <v/>
      </c>
      <c r="H116" s="224" t="n"/>
      <c r="I116" s="220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552" t="n"/>
      <c r="K116" s="552" t="n"/>
      <c r="L116" s="552" t="n"/>
      <c r="M116" s="552" t="n"/>
    </row>
    <row r="117" ht="21" customHeight="1" s="468">
      <c r="A117" s="685" t="n"/>
      <c r="B117" s="218" t="n"/>
      <c r="C117" s="219" t="n"/>
      <c r="D117" s="220" t="n"/>
      <c r="E117" s="221" t="inlineStr">
        <is>
          <t>CX</t>
        </is>
      </c>
      <c r="F117" s="686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20">
        <f>IFERROR(ROUNDUP(D117/F117,0),"")</f>
        <v/>
      </c>
      <c r="H117" s="224" t="n"/>
      <c r="I117" s="220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52" t="n"/>
      <c r="K117" s="552" t="n"/>
      <c r="L117" s="552" t="n"/>
      <c r="M117" s="552" t="n"/>
    </row>
    <row r="118" ht="21" customHeight="1" s="468">
      <c r="A118" s="685" t="n"/>
      <c r="B118" s="218" t="n"/>
      <c r="C118" s="219" t="n"/>
      <c r="D118" s="220" t="n"/>
      <c r="E118" s="221" t="inlineStr">
        <is>
          <t>CX</t>
        </is>
      </c>
      <c r="F118" s="686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20">
        <f>IFERROR(ROUNDUP(D118/F118,0),"")</f>
        <v/>
      </c>
      <c r="H118" s="224" t="n"/>
      <c r="I118" s="220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552" t="n"/>
      <c r="K118" s="552" t="n"/>
      <c r="L118" s="552" t="n"/>
      <c r="M118" s="552" t="n"/>
    </row>
    <row r="119" ht="21" customHeight="1" s="468">
      <c r="A119" s="685" t="n"/>
      <c r="B119" s="218" t="n"/>
      <c r="C119" s="219" t="n"/>
      <c r="D119" s="220" t="n"/>
      <c r="E119" s="221" t="inlineStr">
        <is>
          <t>CX</t>
        </is>
      </c>
      <c r="F119" s="686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20">
        <f>IFERROR(ROUNDUP(D119/F119,0),"")</f>
        <v/>
      </c>
      <c r="H119" s="224" t="n"/>
      <c r="I119" s="220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552" t="n"/>
      <c r="K119" s="552" t="n"/>
      <c r="L119" s="552" t="n"/>
      <c r="M119" s="552" t="n"/>
    </row>
    <row r="120" ht="21" customHeight="1" s="468">
      <c r="A120" s="685" t="n"/>
      <c r="B120" s="218" t="n"/>
      <c r="C120" s="219" t="n"/>
      <c r="D120" s="220" t="n"/>
      <c r="E120" s="221" t="inlineStr">
        <is>
          <t>CX</t>
        </is>
      </c>
      <c r="F120" s="686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20">
        <f>IFERROR(ROUNDUP(D120/F120,0),"")</f>
        <v/>
      </c>
      <c r="H120" s="224" t="n"/>
      <c r="I120" s="220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552" t="n"/>
      <c r="K120" s="552" t="n"/>
      <c r="L120" s="552" t="n"/>
      <c r="M120" s="552" t="n"/>
    </row>
    <row r="121" ht="15" customHeight="1" s="468">
      <c r="A121" s="658" t="n"/>
      <c r="B121" s="640" t="inlineStr">
        <is>
          <t>TOTAL</t>
        </is>
      </c>
      <c r="C121" s="667" t="n"/>
      <c r="D121" s="642">
        <f>SUM(D116:D120)</f>
        <v/>
      </c>
      <c r="E121" s="668" t="n"/>
      <c r="F121" s="644" t="n"/>
      <c r="G121" s="642">
        <f>SUM(G116:G120)</f>
        <v/>
      </c>
      <c r="H121" s="642">
        <f>SUM(H116:H120)</f>
        <v/>
      </c>
      <c r="I121" s="642">
        <f>SUM(I116:I120)</f>
        <v/>
      </c>
      <c r="J121" s="644">
        <f>D121</f>
        <v/>
      </c>
      <c r="K121" s="644">
        <f>G121</f>
        <v/>
      </c>
      <c r="L121" s="644">
        <f>H121</f>
        <v/>
      </c>
      <c r="M121" s="644">
        <f>I121</f>
        <v/>
      </c>
    </row>
    <row r="122" ht="6" customHeight="1" s="468">
      <c r="A122" s="638" t="n"/>
      <c r="C122" s="71" t="n"/>
      <c r="D122" s="552" t="n"/>
      <c r="F122" s="552" t="n"/>
      <c r="G122" s="552" t="n"/>
      <c r="H122" s="552" t="n"/>
      <c r="I122" s="552" t="n"/>
      <c r="J122" s="552" t="n"/>
      <c r="K122" s="552" t="n"/>
      <c r="L122" s="552" t="n"/>
      <c r="M122" s="552" t="n"/>
    </row>
    <row r="123" ht="15" customHeight="1" s="468">
      <c r="A123" s="646" t="n">
        <v>46253</v>
      </c>
      <c r="B123" s="213" t="inlineStr">
        <is>
          <t>PRODUTO</t>
        </is>
      </c>
      <c r="C123" s="214" t="inlineStr">
        <is>
          <t>EMBALAGEM</t>
        </is>
      </c>
      <c r="D123" s="244" t="inlineStr">
        <is>
          <t>CAIXAS</t>
        </is>
      </c>
      <c r="E123" s="215" t="inlineStr">
        <is>
          <t>UN</t>
        </is>
      </c>
      <c r="F123" s="687" t="inlineStr">
        <is>
          <t>CX/PALLET</t>
        </is>
      </c>
      <c r="G123" s="244" t="inlineStr">
        <is>
          <t>PALLETS (PBR)</t>
        </is>
      </c>
      <c r="H123" s="244" t="inlineStr">
        <is>
          <t>REAL (CX)</t>
        </is>
      </c>
      <c r="I123" s="244" t="inlineStr">
        <is>
          <t>TOTAL LATAS</t>
        </is>
      </c>
      <c r="J123" s="552" t="n"/>
      <c r="K123" s="552" t="n"/>
      <c r="L123" s="552" t="n"/>
      <c r="M123" s="552" t="n"/>
    </row>
    <row r="124" ht="21" customHeight="1" s="468">
      <c r="A124" s="685" t="n"/>
      <c r="B124" s="218" t="n"/>
      <c r="C124" s="219" t="n"/>
      <c r="D124" s="220" t="n"/>
      <c r="E124" s="221" t="inlineStr">
        <is>
          <t>CX</t>
        </is>
      </c>
      <c r="F124" s="68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20">
        <f>IFERROR(ROUNDUP(D124/F124,0),"")</f>
        <v/>
      </c>
      <c r="H124" s="224" t="n"/>
      <c r="I124" s="22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552" t="n"/>
      <c r="K124" s="552" t="n"/>
      <c r="L124" s="552" t="n"/>
      <c r="M124" s="552" t="n"/>
    </row>
    <row r="125" ht="21" customHeight="1" s="468">
      <c r="A125" s="685" t="n"/>
      <c r="B125" s="218" t="n"/>
      <c r="C125" s="219" t="n"/>
      <c r="D125" s="220" t="n"/>
      <c r="E125" s="221" t="inlineStr">
        <is>
          <t>CX</t>
        </is>
      </c>
      <c r="F125" s="686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20">
        <f>IFERROR(ROUNDUP(D125/F125,0),"")</f>
        <v/>
      </c>
      <c r="H125" s="224" t="n"/>
      <c r="I125" s="220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52" t="n"/>
      <c r="K125" s="552" t="n"/>
      <c r="L125" s="552" t="n"/>
      <c r="M125" s="552" t="n"/>
    </row>
    <row r="126" ht="21" customHeight="1" s="468">
      <c r="A126" s="685" t="n"/>
      <c r="B126" s="218" t="n"/>
      <c r="C126" s="219" t="n"/>
      <c r="D126" s="220" t="n"/>
      <c r="E126" s="221" t="inlineStr">
        <is>
          <t>CX</t>
        </is>
      </c>
      <c r="F126" s="68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20">
        <f>IFERROR(ROUNDUP(D126/F126,0),"")</f>
        <v/>
      </c>
      <c r="H126" s="224" t="n"/>
      <c r="I126" s="220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552" t="n"/>
      <c r="K126" s="552" t="n"/>
      <c r="L126" s="552" t="n"/>
      <c r="M126" s="552" t="n"/>
    </row>
    <row r="127" ht="21" customHeight="1" s="468">
      <c r="A127" s="685" t="n"/>
      <c r="B127" s="218" t="n"/>
      <c r="C127" s="219" t="n"/>
      <c r="D127" s="220" t="n"/>
      <c r="E127" s="221" t="inlineStr">
        <is>
          <t>CX</t>
        </is>
      </c>
      <c r="F127" s="686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20">
        <f>IFERROR(ROUNDUP(D127/F127,0),"")</f>
        <v/>
      </c>
      <c r="H127" s="224" t="n"/>
      <c r="I127" s="220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552" t="n"/>
      <c r="K127" s="552" t="n"/>
      <c r="L127" s="552" t="n"/>
      <c r="M127" s="552" t="n"/>
    </row>
    <row r="128" ht="21" customHeight="1" s="468">
      <c r="A128" s="685" t="n"/>
      <c r="B128" s="218" t="n"/>
      <c r="C128" s="219" t="n"/>
      <c r="D128" s="220" t="n"/>
      <c r="E128" s="221" t="inlineStr">
        <is>
          <t>CX</t>
        </is>
      </c>
      <c r="F128" s="686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20">
        <f>IFERROR(ROUNDUP(D128/F128,0),"")</f>
        <v/>
      </c>
      <c r="H128" s="224" t="n"/>
      <c r="I128" s="220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552" t="n"/>
      <c r="K128" s="552" t="n"/>
      <c r="L128" s="552" t="n"/>
      <c r="M128" s="552" t="n"/>
    </row>
    <row r="129" ht="15" customHeight="1" s="468">
      <c r="A129" s="658" t="n"/>
      <c r="B129" s="640" t="inlineStr">
        <is>
          <t>TOTAL</t>
        </is>
      </c>
      <c r="C129" s="667" t="n"/>
      <c r="D129" s="642">
        <f>SUM(D124:D128)</f>
        <v/>
      </c>
      <c r="E129" s="668" t="n"/>
      <c r="F129" s="644" t="n"/>
      <c r="G129" s="642">
        <f>SUM(G124:G128)</f>
        <v/>
      </c>
      <c r="H129" s="642">
        <f>SUM(H124:H128)</f>
        <v/>
      </c>
      <c r="I129" s="642">
        <f>SUM(I124:I128)</f>
        <v/>
      </c>
      <c r="J129" s="644">
        <f>D129</f>
        <v/>
      </c>
      <c r="K129" s="644">
        <f>G129</f>
        <v/>
      </c>
      <c r="L129" s="644">
        <f>H129</f>
        <v/>
      </c>
      <c r="M129" s="644">
        <f>I129</f>
        <v/>
      </c>
    </row>
    <row r="130" ht="6" customHeight="1" s="468">
      <c r="A130" s="638" t="n"/>
      <c r="C130" s="71" t="n"/>
      <c r="D130" s="552" t="n"/>
      <c r="F130" s="552" t="n"/>
      <c r="G130" s="552" t="n"/>
      <c r="H130" s="552" t="n"/>
      <c r="I130" s="552" t="n"/>
      <c r="J130" s="552" t="n"/>
      <c r="K130" s="552" t="n"/>
      <c r="L130" s="552" t="n"/>
      <c r="M130" s="552" t="n"/>
    </row>
    <row r="131" ht="15" customHeight="1" s="468">
      <c r="A131" s="646" t="n">
        <v>46254</v>
      </c>
      <c r="B131" s="213" t="inlineStr">
        <is>
          <t>PRODUTO</t>
        </is>
      </c>
      <c r="C131" s="214" t="inlineStr">
        <is>
          <t>EMBALAGEM</t>
        </is>
      </c>
      <c r="D131" s="244" t="inlineStr">
        <is>
          <t>CAIXAS</t>
        </is>
      </c>
      <c r="E131" s="215" t="inlineStr">
        <is>
          <t>UN</t>
        </is>
      </c>
      <c r="F131" s="687" t="inlineStr">
        <is>
          <t>CX/PALLET</t>
        </is>
      </c>
      <c r="G131" s="244" t="inlineStr">
        <is>
          <t>PALLETS (PBR)</t>
        </is>
      </c>
      <c r="H131" s="244" t="inlineStr">
        <is>
          <t>REAL (CX)</t>
        </is>
      </c>
      <c r="I131" s="244" t="inlineStr">
        <is>
          <t>TOTAL LATAS</t>
        </is>
      </c>
      <c r="J131" s="552" t="n"/>
      <c r="K131" s="552" t="n"/>
      <c r="L131" s="552" t="n"/>
      <c r="M131" s="552" t="n"/>
    </row>
    <row r="132" ht="21" customHeight="1" s="468">
      <c r="A132" s="685" t="n"/>
      <c r="B132" s="218" t="n"/>
      <c r="C132" s="219" t="n"/>
      <c r="D132" s="220" t="n"/>
      <c r="E132" s="221" t="inlineStr">
        <is>
          <t>CX</t>
        </is>
      </c>
      <c r="F132" s="686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20">
        <f>IFERROR(ROUNDUP(D132/F132,0),"")</f>
        <v/>
      </c>
      <c r="H132" s="224" t="n"/>
      <c r="I132" s="220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552" t="n"/>
      <c r="K132" s="552" t="n"/>
      <c r="L132" s="552" t="n"/>
      <c r="M132" s="552" t="n"/>
    </row>
    <row r="133" ht="21" customHeight="1" s="468">
      <c r="A133" s="685" t="n"/>
      <c r="B133" s="218" t="n"/>
      <c r="C133" s="219" t="n"/>
      <c r="D133" s="220" t="n"/>
      <c r="E133" s="221" t="inlineStr">
        <is>
          <t>CX</t>
        </is>
      </c>
      <c r="F133" s="686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20">
        <f>IFERROR(ROUNDUP(D133/F133,0),"")</f>
        <v/>
      </c>
      <c r="H133" s="224" t="n"/>
      <c r="I133" s="220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52" t="n"/>
      <c r="K133" s="552" t="n"/>
      <c r="L133" s="552" t="n"/>
      <c r="M133" s="552" t="n"/>
    </row>
    <row r="134" ht="21" customHeight="1" s="468">
      <c r="A134" s="685" t="n"/>
      <c r="B134" s="218" t="n"/>
      <c r="C134" s="219" t="n"/>
      <c r="D134" s="220" t="n"/>
      <c r="E134" s="221" t="inlineStr">
        <is>
          <t>CX</t>
        </is>
      </c>
      <c r="F134" s="686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20">
        <f>IFERROR(ROUNDUP(D134/F134,0),"")</f>
        <v/>
      </c>
      <c r="H134" s="224" t="n"/>
      <c r="I134" s="220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552" t="n"/>
      <c r="K134" s="552" t="n"/>
      <c r="L134" s="552" t="n"/>
      <c r="M134" s="552" t="n"/>
    </row>
    <row r="135" ht="21" customHeight="1" s="468">
      <c r="A135" s="685" t="n"/>
      <c r="B135" s="218" t="n"/>
      <c r="C135" s="219" t="n"/>
      <c r="D135" s="220" t="n"/>
      <c r="E135" s="221" t="inlineStr">
        <is>
          <t>CX</t>
        </is>
      </c>
      <c r="F135" s="686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20">
        <f>IFERROR(ROUNDUP(D135/F135,0),"")</f>
        <v/>
      </c>
      <c r="H135" s="224" t="n"/>
      <c r="I135" s="220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552" t="n"/>
      <c r="K135" s="552" t="n"/>
      <c r="L135" s="552" t="n"/>
      <c r="M135" s="552" t="n"/>
    </row>
    <row r="136" ht="21" customHeight="1" s="468">
      <c r="A136" s="685" t="n"/>
      <c r="B136" s="218" t="n"/>
      <c r="C136" s="219" t="n"/>
      <c r="D136" s="220" t="n"/>
      <c r="E136" s="221" t="inlineStr">
        <is>
          <t>CX</t>
        </is>
      </c>
      <c r="F136" s="686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20">
        <f>IFERROR(ROUNDUP(D136/F136,0),"")</f>
        <v/>
      </c>
      <c r="H136" s="224" t="n"/>
      <c r="I136" s="220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552" t="n"/>
      <c r="K136" s="552" t="n"/>
      <c r="L136" s="552" t="n"/>
      <c r="M136" s="552" t="n"/>
    </row>
    <row r="137" ht="15" customHeight="1" s="468">
      <c r="A137" s="658" t="n"/>
      <c r="B137" s="640" t="inlineStr">
        <is>
          <t>TOTAL</t>
        </is>
      </c>
      <c r="C137" s="667" t="n"/>
      <c r="D137" s="642">
        <f>SUM(D132:D136)</f>
        <v/>
      </c>
      <c r="E137" s="668" t="n"/>
      <c r="F137" s="644" t="n"/>
      <c r="G137" s="642">
        <f>SUM(G132:G136)</f>
        <v/>
      </c>
      <c r="H137" s="642">
        <f>SUM(H132:H136)</f>
        <v/>
      </c>
      <c r="I137" s="642">
        <f>SUM(I132:I136)</f>
        <v/>
      </c>
      <c r="J137" s="644">
        <f>D137</f>
        <v/>
      </c>
      <c r="K137" s="644">
        <f>G137</f>
        <v/>
      </c>
      <c r="L137" s="644">
        <f>H137</f>
        <v/>
      </c>
      <c r="M137" s="644">
        <f>I137</f>
        <v/>
      </c>
    </row>
    <row r="138" ht="6" customHeight="1" s="468">
      <c r="A138" s="638" t="n"/>
      <c r="C138" s="71" t="n"/>
      <c r="D138" s="552" t="n"/>
      <c r="F138" s="552" t="n"/>
      <c r="G138" s="552" t="n"/>
      <c r="H138" s="552" t="n"/>
      <c r="I138" s="552" t="n"/>
      <c r="J138" s="552" t="n"/>
      <c r="K138" s="552" t="n"/>
      <c r="L138" s="552" t="n"/>
      <c r="M138" s="552" t="n"/>
    </row>
    <row r="139" ht="15" customHeight="1" s="468">
      <c r="A139" s="646" t="n">
        <v>46255</v>
      </c>
      <c r="B139" s="213" t="inlineStr">
        <is>
          <t>PRODUTO</t>
        </is>
      </c>
      <c r="C139" s="214" t="inlineStr">
        <is>
          <t>EMBALAGEM</t>
        </is>
      </c>
      <c r="D139" s="244" t="inlineStr">
        <is>
          <t>CAIXAS</t>
        </is>
      </c>
      <c r="E139" s="215" t="inlineStr">
        <is>
          <t>UN</t>
        </is>
      </c>
      <c r="F139" s="687" t="inlineStr">
        <is>
          <t>CX/PALLET</t>
        </is>
      </c>
      <c r="G139" s="244" t="inlineStr">
        <is>
          <t>PALLETS (PBR)</t>
        </is>
      </c>
      <c r="H139" s="244" t="inlineStr">
        <is>
          <t>REAL (CX)</t>
        </is>
      </c>
      <c r="I139" s="244" t="inlineStr">
        <is>
          <t>TOTAL LATAS</t>
        </is>
      </c>
      <c r="J139" s="552" t="n"/>
      <c r="K139" s="552" t="n"/>
      <c r="L139" s="552" t="n"/>
      <c r="M139" s="552" t="n"/>
    </row>
    <row r="140" ht="21" customHeight="1" s="468">
      <c r="A140" s="685" t="n"/>
      <c r="B140" s="218" t="n"/>
      <c r="C140" s="219" t="n"/>
      <c r="D140" s="220" t="n"/>
      <c r="E140" s="221" t="inlineStr">
        <is>
          <t>CX</t>
        </is>
      </c>
      <c r="F140" s="686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20">
        <f>IFERROR(ROUNDUP(D140/F140,0),"")</f>
        <v/>
      </c>
      <c r="H140" s="224" t="n"/>
      <c r="I140" s="220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552" t="n"/>
      <c r="K140" s="552" t="n"/>
      <c r="L140" s="552" t="n"/>
      <c r="M140" s="552" t="n"/>
    </row>
    <row r="141" ht="21" customHeight="1" s="468">
      <c r="A141" s="685" t="n"/>
      <c r="B141" s="218" t="n"/>
      <c r="C141" s="219" t="n"/>
      <c r="D141" s="220" t="n"/>
      <c r="E141" s="221" t="inlineStr">
        <is>
          <t>CX</t>
        </is>
      </c>
      <c r="F141" s="686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20">
        <f>IFERROR(ROUNDUP(D141/F141,0),"")</f>
        <v/>
      </c>
      <c r="H141" s="224" t="n"/>
      <c r="I141" s="220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552" t="n"/>
      <c r="K141" s="552" t="n"/>
      <c r="L141" s="552" t="n"/>
      <c r="M141" s="552" t="n"/>
    </row>
    <row r="142" ht="21" customHeight="1" s="468">
      <c r="A142" s="685" t="n"/>
      <c r="B142" s="218" t="n"/>
      <c r="C142" s="219" t="n"/>
      <c r="D142" s="220" t="n"/>
      <c r="E142" s="221" t="inlineStr">
        <is>
          <t>CX</t>
        </is>
      </c>
      <c r="F142" s="686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20">
        <f>IFERROR(ROUNDUP(D142/F142,0),"")</f>
        <v/>
      </c>
      <c r="H142" s="224" t="n"/>
      <c r="I142" s="220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552" t="n"/>
      <c r="K142" s="552" t="n"/>
      <c r="L142" s="552" t="n"/>
      <c r="M142" s="552" t="n"/>
    </row>
    <row r="143" ht="21" customHeight="1" s="468">
      <c r="A143" s="685" t="n"/>
      <c r="B143" s="218" t="n"/>
      <c r="C143" s="219" t="n"/>
      <c r="D143" s="220" t="n"/>
      <c r="E143" s="221" t="inlineStr">
        <is>
          <t>CX</t>
        </is>
      </c>
      <c r="F143" s="686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20">
        <f>IFERROR(ROUNDUP(D143/F143,0),"")</f>
        <v/>
      </c>
      <c r="H143" s="224" t="n"/>
      <c r="I143" s="220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552" t="n"/>
      <c r="K143" s="552" t="n"/>
      <c r="L143" s="552" t="n"/>
      <c r="M143" s="552" t="n"/>
    </row>
    <row r="144" ht="21" customHeight="1" s="468">
      <c r="A144" s="685" t="n"/>
      <c r="B144" s="218" t="n"/>
      <c r="C144" s="219" t="n"/>
      <c r="D144" s="220" t="n"/>
      <c r="E144" s="221" t="inlineStr">
        <is>
          <t>CX</t>
        </is>
      </c>
      <c r="F144" s="686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20">
        <f>IFERROR(ROUNDUP(D144/F144,0),"")</f>
        <v/>
      </c>
      <c r="H144" s="224" t="n"/>
      <c r="I144" s="220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552" t="n"/>
      <c r="K144" s="552" t="n"/>
      <c r="L144" s="552" t="n"/>
      <c r="M144" s="552" t="n"/>
    </row>
    <row r="145" ht="15" customHeight="1" s="468">
      <c r="A145" s="658" t="n"/>
      <c r="B145" s="640" t="inlineStr">
        <is>
          <t>TOTAL</t>
        </is>
      </c>
      <c r="C145" s="667" t="n"/>
      <c r="D145" s="642">
        <f>SUM(D140:D144)</f>
        <v/>
      </c>
      <c r="E145" s="668" t="n"/>
      <c r="F145" s="644" t="n"/>
      <c r="G145" s="642">
        <f>SUM(G140:G144)</f>
        <v/>
      </c>
      <c r="H145" s="642">
        <f>SUM(H140:H144)</f>
        <v/>
      </c>
      <c r="I145" s="642">
        <f>SUM(I140:I144)</f>
        <v/>
      </c>
      <c r="J145" s="644">
        <f>D145</f>
        <v/>
      </c>
      <c r="K145" s="644">
        <f>G145</f>
        <v/>
      </c>
      <c r="L145" s="644">
        <f>H145</f>
        <v/>
      </c>
      <c r="M145" s="644">
        <f>I145</f>
        <v/>
      </c>
    </row>
    <row r="146" ht="6" customHeight="1" s="468">
      <c r="A146" s="638" t="n"/>
      <c r="C146" s="71" t="n"/>
      <c r="D146" s="552" t="n"/>
      <c r="F146" s="552" t="n"/>
      <c r="G146" s="552" t="n"/>
      <c r="H146" s="552" t="n"/>
      <c r="I146" s="552" t="n"/>
      <c r="J146" s="552" t="n"/>
      <c r="K146" s="552" t="n"/>
      <c r="L146" s="552" t="n"/>
      <c r="M146" s="552" t="n"/>
    </row>
    <row r="147" ht="15" customHeight="1" s="468">
      <c r="A147" s="696" t="n">
        <v>46256</v>
      </c>
      <c r="B147" s="213" t="inlineStr">
        <is>
          <t>PRODUTO</t>
        </is>
      </c>
      <c r="C147" s="214" t="inlineStr">
        <is>
          <t>EMBALAGEM</t>
        </is>
      </c>
      <c r="D147" s="244" t="inlineStr">
        <is>
          <t>CAIXAS</t>
        </is>
      </c>
      <c r="E147" s="215" t="inlineStr">
        <is>
          <t>UN</t>
        </is>
      </c>
      <c r="F147" s="697" t="inlineStr">
        <is>
          <t>CX/PALLET</t>
        </is>
      </c>
      <c r="G147" s="244" t="inlineStr">
        <is>
          <t>PALLETS (PBR)</t>
        </is>
      </c>
      <c r="H147" s="244" t="inlineStr">
        <is>
          <t>REAL (CX)</t>
        </is>
      </c>
      <c r="I147" s="244" t="inlineStr">
        <is>
          <t>TOTAL LATAS</t>
        </is>
      </c>
      <c r="J147" s="274" t="n"/>
      <c r="K147" s="274" t="n"/>
      <c r="L147" s="274" t="n"/>
      <c r="M147" s="274" t="n"/>
    </row>
    <row r="148" ht="21" customHeight="1" s="468">
      <c r="A148" s="685" t="n"/>
      <c r="B148" s="266" t="n"/>
      <c r="C148" s="267" t="n"/>
      <c r="D148" s="268" t="n"/>
      <c r="E148" s="269" t="inlineStr">
        <is>
          <t>CX</t>
        </is>
      </c>
      <c r="F148" s="698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68">
        <f>IFERROR(ROUNDUP(D148/F148,0),"")</f>
        <v/>
      </c>
      <c r="H148" s="224" t="n"/>
      <c r="I148" s="268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274" t="n"/>
      <c r="K148" s="274" t="n"/>
      <c r="L148" s="274" t="n"/>
      <c r="M148" s="274" t="n"/>
    </row>
    <row r="149" ht="21" customHeight="1" s="468">
      <c r="A149" s="685" t="n"/>
      <c r="B149" s="266" t="n"/>
      <c r="C149" s="267" t="n"/>
      <c r="D149" s="268" t="n"/>
      <c r="E149" s="269" t="inlineStr">
        <is>
          <t>CX</t>
        </is>
      </c>
      <c r="F149" s="698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68">
        <f>IFERROR(ROUNDUP(D149/F149,0),"")</f>
        <v/>
      </c>
      <c r="H149" s="224" t="n"/>
      <c r="I149" s="268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274" t="n"/>
      <c r="K149" s="274" t="n"/>
      <c r="L149" s="274" t="n"/>
      <c r="M149" s="274" t="n"/>
    </row>
    <row r="150" ht="21" customHeight="1" s="468">
      <c r="A150" s="685" t="n"/>
      <c r="B150" s="266" t="n"/>
      <c r="C150" s="267" t="n"/>
      <c r="D150" s="268" t="n"/>
      <c r="E150" s="269" t="inlineStr">
        <is>
          <t>CX</t>
        </is>
      </c>
      <c r="F150" s="698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68">
        <f>IFERROR(ROUNDUP(D150/F150,0),"")</f>
        <v/>
      </c>
      <c r="H150" s="224" t="n"/>
      <c r="I150" s="268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274" t="n"/>
      <c r="K150" s="274" t="n"/>
      <c r="L150" s="274" t="n"/>
      <c r="M150" s="274" t="n"/>
    </row>
    <row r="151" ht="21" customHeight="1" s="468">
      <c r="A151" s="685" t="n"/>
      <c r="B151" s="266" t="n"/>
      <c r="C151" s="267" t="n"/>
      <c r="D151" s="268" t="n"/>
      <c r="E151" s="269" t="inlineStr">
        <is>
          <t>CX</t>
        </is>
      </c>
      <c r="F151" s="698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68">
        <f>IFERROR(ROUNDUP(D151/F151,0),"")</f>
        <v/>
      </c>
      <c r="H151" s="224" t="n"/>
      <c r="I151" s="268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274" t="n"/>
      <c r="K151" s="274" t="n"/>
      <c r="L151" s="274" t="n"/>
      <c r="M151" s="274" t="n"/>
    </row>
    <row r="152" ht="21" customHeight="1" s="468">
      <c r="A152" s="685" t="n"/>
      <c r="B152" s="266" t="n"/>
      <c r="C152" s="267" t="n"/>
      <c r="D152" s="268" t="n"/>
      <c r="E152" s="269" t="inlineStr">
        <is>
          <t>CX</t>
        </is>
      </c>
      <c r="F152" s="698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68">
        <f>IFERROR(ROUNDUP(D152/F152,0),"")</f>
        <v/>
      </c>
      <c r="H152" s="224" t="n"/>
      <c r="I152" s="268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274" t="n"/>
      <c r="K152" s="274" t="n"/>
      <c r="L152" s="274" t="n"/>
      <c r="M152" s="274" t="n"/>
    </row>
    <row r="153" ht="15" customHeight="1" s="468">
      <c r="A153" s="658" t="n"/>
      <c r="B153" s="640" t="inlineStr">
        <is>
          <t>TOTAL</t>
        </is>
      </c>
      <c r="C153" s="667" t="n"/>
      <c r="D153" s="642">
        <f>SUM(D148:D152)</f>
        <v/>
      </c>
      <c r="E153" s="668" t="n"/>
      <c r="F153" s="644" t="n"/>
      <c r="G153" s="642">
        <f>SUM(G148:G152)</f>
        <v/>
      </c>
      <c r="H153" s="642">
        <f>SUM(H148:H152)</f>
        <v/>
      </c>
      <c r="I153" s="642">
        <f>SUM(I148:I152)</f>
        <v/>
      </c>
      <c r="J153" s="644">
        <f>D153</f>
        <v/>
      </c>
      <c r="K153" s="644">
        <f>G153</f>
        <v/>
      </c>
      <c r="L153" s="644">
        <f>H153</f>
        <v/>
      </c>
      <c r="M153" s="644">
        <f>I153</f>
        <v/>
      </c>
    </row>
    <row r="154" ht="6" customHeight="1" s="468">
      <c r="A154" s="699" t="n"/>
      <c r="B154" s="265" t="n"/>
      <c r="C154" s="276" t="n"/>
      <c r="D154" s="274" t="n"/>
      <c r="E154" s="265" t="n"/>
      <c r="F154" s="274" t="n"/>
      <c r="G154" s="274" t="n"/>
      <c r="H154" s="274" t="n"/>
      <c r="I154" s="274" t="n"/>
      <c r="J154" s="274" t="n"/>
      <c r="K154" s="274" t="n"/>
      <c r="L154" s="274" t="n"/>
      <c r="M154" s="274" t="n"/>
    </row>
    <row r="155" ht="15" customHeight="1" s="468">
      <c r="A155" s="646" t="n">
        <v>46258</v>
      </c>
      <c r="B155" s="213" t="inlineStr">
        <is>
          <t>PRODUTO</t>
        </is>
      </c>
      <c r="C155" s="214" t="inlineStr">
        <is>
          <t>EMBALAGEM</t>
        </is>
      </c>
      <c r="D155" s="244" t="inlineStr">
        <is>
          <t>CAIXAS</t>
        </is>
      </c>
      <c r="E155" s="215" t="inlineStr">
        <is>
          <t>UN</t>
        </is>
      </c>
      <c r="F155" s="687" t="inlineStr">
        <is>
          <t>CX/PALLET</t>
        </is>
      </c>
      <c r="G155" s="244" t="inlineStr">
        <is>
          <t>PALLETS (PBR)</t>
        </is>
      </c>
      <c r="H155" s="244" t="inlineStr">
        <is>
          <t>REAL (CX)</t>
        </is>
      </c>
      <c r="I155" s="244" t="inlineStr">
        <is>
          <t>TOTAL LATAS</t>
        </is>
      </c>
      <c r="J155" s="552" t="n"/>
      <c r="K155" s="552" t="n"/>
      <c r="L155" s="552" t="n"/>
      <c r="M155" s="552" t="n"/>
    </row>
    <row r="156" ht="21" customHeight="1" s="468">
      <c r="A156" s="685" t="n"/>
      <c r="B156" s="218" t="n"/>
      <c r="C156" s="219" t="n"/>
      <c r="D156" s="220" t="n"/>
      <c r="E156" s="221" t="inlineStr">
        <is>
          <t>CX</t>
        </is>
      </c>
      <c r="F156" s="686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20">
        <f>IFERROR(ROUNDUP(D156/F156,0),"")</f>
        <v/>
      </c>
      <c r="H156" s="224" t="n"/>
      <c r="I156" s="220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552" t="n"/>
      <c r="K156" s="552" t="n"/>
      <c r="L156" s="552" t="n"/>
      <c r="M156" s="552" t="n"/>
    </row>
    <row r="157" ht="21" customHeight="1" s="468">
      <c r="A157" s="685" t="n"/>
      <c r="B157" s="218" t="n"/>
      <c r="C157" s="219" t="n"/>
      <c r="D157" s="220" t="n"/>
      <c r="E157" s="221" t="inlineStr">
        <is>
          <t>CX</t>
        </is>
      </c>
      <c r="F157" s="68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20">
        <f>IFERROR(ROUNDUP(D157/F157,0),"")</f>
        <v/>
      </c>
      <c r="H157" s="224" t="n"/>
      <c r="I157" s="220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 t="n"/>
      <c r="K157" s="552" t="n"/>
      <c r="L157" s="552" t="n"/>
      <c r="M157" s="552" t="n"/>
    </row>
    <row r="158" ht="21" customHeight="1" s="468">
      <c r="A158" s="685" t="n"/>
      <c r="B158" s="218" t="n"/>
      <c r="C158" s="219" t="n"/>
      <c r="D158" s="220" t="n"/>
      <c r="E158" s="221" t="inlineStr">
        <is>
          <t>CX</t>
        </is>
      </c>
      <c r="F158" s="68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20">
        <f>IFERROR(ROUNDUP(D158/F158,0),"")</f>
        <v/>
      </c>
      <c r="H158" s="224" t="n"/>
      <c r="I158" s="220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552" t="n"/>
      <c r="K158" s="552" t="n"/>
      <c r="L158" s="552" t="n"/>
      <c r="M158" s="552" t="n"/>
    </row>
    <row r="159" ht="21" customHeight="1" s="468">
      <c r="A159" s="685" t="n"/>
      <c r="B159" s="218" t="n"/>
      <c r="C159" s="219" t="n"/>
      <c r="D159" s="220" t="n"/>
      <c r="E159" s="221" t="inlineStr">
        <is>
          <t>CX</t>
        </is>
      </c>
      <c r="F159" s="686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20">
        <f>IFERROR(ROUNDUP(D159/F159,0),"")</f>
        <v/>
      </c>
      <c r="H159" s="224" t="n"/>
      <c r="I159" s="220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52" t="n"/>
      <c r="K159" s="552" t="n"/>
      <c r="L159" s="552" t="n"/>
      <c r="M159" s="552" t="n"/>
    </row>
    <row r="160" ht="21" customHeight="1" s="468">
      <c r="A160" s="685" t="n"/>
      <c r="B160" s="218" t="n"/>
      <c r="C160" s="219" t="n"/>
      <c r="D160" s="220" t="n"/>
      <c r="E160" s="221" t="inlineStr">
        <is>
          <t>CX</t>
        </is>
      </c>
      <c r="F160" s="68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20">
        <f>IFERROR(ROUNDUP(D160/F160,0),"")</f>
        <v/>
      </c>
      <c r="H160" s="224" t="n"/>
      <c r="I160" s="22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552" t="n"/>
      <c r="K160" s="552" t="n"/>
      <c r="L160" s="552" t="n"/>
      <c r="M160" s="552" t="n"/>
    </row>
    <row r="161" ht="15" customHeight="1" s="468">
      <c r="A161" s="658" t="n"/>
      <c r="B161" s="640" t="inlineStr">
        <is>
          <t>TOTAL</t>
        </is>
      </c>
      <c r="C161" s="667" t="n"/>
      <c r="D161" s="642">
        <f>SUM(D156:D160)</f>
        <v/>
      </c>
      <c r="E161" s="668" t="n"/>
      <c r="F161" s="644" t="n"/>
      <c r="G161" s="642">
        <f>SUM(G156:G160)</f>
        <v/>
      </c>
      <c r="H161" s="642">
        <f>SUM(H156:H160)</f>
        <v/>
      </c>
      <c r="I161" s="642">
        <f>SUM(I156:I160)</f>
        <v/>
      </c>
      <c r="J161" s="644">
        <f>D161</f>
        <v/>
      </c>
      <c r="K161" s="644">
        <f>G161</f>
        <v/>
      </c>
      <c r="L161" s="644">
        <f>H161</f>
        <v/>
      </c>
      <c r="M161" s="644">
        <f>I161</f>
        <v/>
      </c>
    </row>
    <row r="162" ht="6" customHeight="1" s="468">
      <c r="A162" s="638" t="n"/>
      <c r="C162" s="71" t="n"/>
      <c r="D162" s="552" t="n"/>
      <c r="F162" s="552" t="n"/>
      <c r="G162" s="552" t="n"/>
      <c r="H162" s="552" t="n"/>
      <c r="I162" s="552" t="n"/>
      <c r="J162" s="552" t="n"/>
      <c r="K162" s="552" t="n"/>
      <c r="L162" s="552" t="n"/>
      <c r="M162" s="552" t="n"/>
    </row>
    <row r="163" ht="15" customHeight="1" s="468">
      <c r="A163" s="646" t="n">
        <v>46259</v>
      </c>
      <c r="B163" s="213" t="inlineStr">
        <is>
          <t>PRODUTO</t>
        </is>
      </c>
      <c r="C163" s="214" t="inlineStr">
        <is>
          <t>EMBALAGEM</t>
        </is>
      </c>
      <c r="D163" s="244" t="inlineStr">
        <is>
          <t>CAIXAS</t>
        </is>
      </c>
      <c r="E163" s="215" t="inlineStr">
        <is>
          <t>UN</t>
        </is>
      </c>
      <c r="F163" s="687" t="inlineStr">
        <is>
          <t>CX/PALLET</t>
        </is>
      </c>
      <c r="G163" s="244" t="inlineStr">
        <is>
          <t>PALLETS (PBR)</t>
        </is>
      </c>
      <c r="H163" s="244" t="inlineStr">
        <is>
          <t>REAL (CX)</t>
        </is>
      </c>
      <c r="I163" s="244" t="inlineStr">
        <is>
          <t>TOTAL LATAS</t>
        </is>
      </c>
      <c r="J163" s="552" t="n"/>
      <c r="K163" s="552" t="n"/>
      <c r="L163" s="552" t="n"/>
      <c r="M163" s="552" t="n"/>
    </row>
    <row r="164" ht="21" customHeight="1" s="468">
      <c r="A164" s="685" t="n"/>
      <c r="B164" s="218" t="n"/>
      <c r="C164" s="219" t="n"/>
      <c r="D164" s="220" t="n"/>
      <c r="E164" s="221" t="inlineStr">
        <is>
          <t>CX</t>
        </is>
      </c>
      <c r="F164" s="686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20">
        <f>IFERROR(ROUNDUP(D164/F164,0),"")</f>
        <v/>
      </c>
      <c r="H164" s="224" t="n"/>
      <c r="I164" s="220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552" t="n"/>
      <c r="K164" s="552" t="n"/>
      <c r="L164" s="552" t="n"/>
      <c r="M164" s="552" t="n"/>
    </row>
    <row r="165" ht="21" customHeight="1" s="468">
      <c r="A165" s="685" t="n"/>
      <c r="B165" s="218" t="n"/>
      <c r="C165" s="219" t="n"/>
      <c r="D165" s="220" t="n"/>
      <c r="E165" s="221" t="inlineStr">
        <is>
          <t>CX</t>
        </is>
      </c>
      <c r="F165" s="686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20">
        <f>IFERROR(ROUNDUP(D165/F165,0),"")</f>
        <v/>
      </c>
      <c r="H165" s="224" t="n"/>
      <c r="I165" s="220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552" t="n"/>
      <c r="K165" s="552" t="n"/>
      <c r="L165" s="552" t="n"/>
      <c r="M165" s="552" t="n"/>
    </row>
    <row r="166" ht="21" customHeight="1" s="468">
      <c r="A166" s="685" t="n"/>
      <c r="B166" s="218" t="n"/>
      <c r="C166" s="219" t="n"/>
      <c r="D166" s="220" t="n"/>
      <c r="E166" s="221" t="inlineStr">
        <is>
          <t>CX</t>
        </is>
      </c>
      <c r="F166" s="686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20">
        <f>IFERROR(ROUNDUP(D166/F166,0),"")</f>
        <v/>
      </c>
      <c r="H166" s="224" t="n"/>
      <c r="I166" s="220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552" t="n"/>
      <c r="K166" s="552" t="n"/>
      <c r="L166" s="552" t="n"/>
      <c r="M166" s="552" t="n"/>
    </row>
    <row r="167" ht="21" customHeight="1" s="468">
      <c r="A167" s="685" t="n"/>
      <c r="B167" s="218" t="n"/>
      <c r="C167" s="219" t="n"/>
      <c r="D167" s="220" t="n"/>
      <c r="E167" s="221" t="inlineStr">
        <is>
          <t>CX</t>
        </is>
      </c>
      <c r="F167" s="686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20">
        <f>IFERROR(ROUNDUP(D167/F167,0),"")</f>
        <v/>
      </c>
      <c r="H167" s="224" t="n"/>
      <c r="I167" s="220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552" t="n"/>
      <c r="K167" s="552" t="n"/>
      <c r="L167" s="552" t="n"/>
      <c r="M167" s="552" t="n"/>
    </row>
    <row r="168" ht="21" customHeight="1" s="468">
      <c r="A168" s="685" t="n"/>
      <c r="B168" s="218" t="n"/>
      <c r="C168" s="219" t="n"/>
      <c r="D168" s="220" t="n"/>
      <c r="E168" s="221" t="inlineStr">
        <is>
          <t>CX</t>
        </is>
      </c>
      <c r="F168" s="68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20">
        <f>IFERROR(ROUNDUP(D168/F168,0),"")</f>
        <v/>
      </c>
      <c r="H168" s="224" t="n"/>
      <c r="I168" s="220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 t="n"/>
      <c r="K168" s="552" t="n"/>
      <c r="L168" s="552" t="n"/>
      <c r="M168" s="552" t="n"/>
    </row>
    <row r="169" ht="15" customHeight="1" s="468">
      <c r="A169" s="658" t="n"/>
      <c r="B169" s="640" t="inlineStr">
        <is>
          <t>TOTAL</t>
        </is>
      </c>
      <c r="C169" s="667" t="n"/>
      <c r="D169" s="642">
        <f>SUM(D164:D168)</f>
        <v/>
      </c>
      <c r="E169" s="668" t="n"/>
      <c r="F169" s="644" t="n"/>
      <c r="G169" s="642">
        <f>SUM(G164:G168)</f>
        <v/>
      </c>
      <c r="H169" s="642">
        <f>SUM(H164:H168)</f>
        <v/>
      </c>
      <c r="I169" s="642">
        <f>SUM(I164:I168)</f>
        <v/>
      </c>
      <c r="J169" s="644">
        <f>D169</f>
        <v/>
      </c>
      <c r="K169" s="644">
        <f>G169</f>
        <v/>
      </c>
      <c r="L169" s="644">
        <f>H169</f>
        <v/>
      </c>
      <c r="M169" s="644">
        <f>I169</f>
        <v/>
      </c>
    </row>
    <row r="170" ht="6" customHeight="1" s="468">
      <c r="A170" s="638" t="n"/>
      <c r="C170" s="71" t="n"/>
      <c r="D170" s="552" t="n"/>
      <c r="F170" s="552" t="n"/>
      <c r="G170" s="552" t="n"/>
      <c r="H170" s="552" t="n"/>
      <c r="I170" s="552" t="n"/>
      <c r="J170" s="552" t="n"/>
      <c r="K170" s="552" t="n"/>
      <c r="L170" s="552" t="n"/>
      <c r="M170" s="552" t="n"/>
    </row>
    <row r="171" ht="14.25" customHeight="1" s="468">
      <c r="A171" s="646" t="n">
        <v>46260</v>
      </c>
      <c r="B171" s="213" t="inlineStr">
        <is>
          <t>PRODUTO</t>
        </is>
      </c>
      <c r="C171" s="214" t="inlineStr">
        <is>
          <t>EMBALAGEM</t>
        </is>
      </c>
      <c r="D171" s="244" t="inlineStr">
        <is>
          <t>CAIXAS</t>
        </is>
      </c>
      <c r="E171" s="215" t="inlineStr">
        <is>
          <t>UN</t>
        </is>
      </c>
      <c r="F171" s="687" t="inlineStr">
        <is>
          <t>CX/PALLET</t>
        </is>
      </c>
      <c r="G171" s="244" t="inlineStr">
        <is>
          <t>PALLETS (PBR)</t>
        </is>
      </c>
      <c r="H171" s="244" t="inlineStr">
        <is>
          <t>REAL (CX)</t>
        </is>
      </c>
      <c r="I171" s="244" t="inlineStr">
        <is>
          <t>TOTAL LATAS</t>
        </is>
      </c>
      <c r="J171" s="552" t="n"/>
      <c r="K171" s="552" t="n"/>
      <c r="L171" s="552" t="n"/>
      <c r="M171" s="552" t="n"/>
    </row>
    <row r="172" ht="21" customHeight="1" s="468">
      <c r="A172" s="685" t="n"/>
      <c r="B172" s="218" t="n"/>
      <c r="C172" s="219" t="n"/>
      <c r="D172" s="220" t="n"/>
      <c r="E172" s="221" t="inlineStr">
        <is>
          <t>CX</t>
        </is>
      </c>
      <c r="F172" s="686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20">
        <f>IFERROR(ROUNDUP(D172/F172,0),"")</f>
        <v/>
      </c>
      <c r="H172" s="224" t="n"/>
      <c r="I172" s="220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552" t="n"/>
      <c r="K172" s="552" t="n"/>
      <c r="L172" s="552" t="n"/>
      <c r="M172" s="552" t="n"/>
    </row>
    <row r="173" ht="21" customHeight="1" s="468">
      <c r="A173" s="685" t="n"/>
      <c r="B173" s="218" t="n"/>
      <c r="C173" s="219" t="n"/>
      <c r="D173" s="220" t="n"/>
      <c r="E173" s="221" t="inlineStr">
        <is>
          <t>CX</t>
        </is>
      </c>
      <c r="F173" s="686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20">
        <f>IFERROR(ROUNDUP(D173/F173,0),"")</f>
        <v/>
      </c>
      <c r="H173" s="224" t="n"/>
      <c r="I173" s="220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552" t="n"/>
      <c r="K173" s="552" t="n"/>
      <c r="L173" s="552" t="n"/>
      <c r="M173" s="552" t="n"/>
    </row>
    <row r="174" ht="21" customHeight="1" s="468">
      <c r="A174" s="685" t="n"/>
      <c r="B174" s="218" t="n"/>
      <c r="C174" s="219" t="n"/>
      <c r="D174" s="220" t="n"/>
      <c r="E174" s="221" t="inlineStr">
        <is>
          <t>CX</t>
        </is>
      </c>
      <c r="F174" s="686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20">
        <f>IFERROR(ROUNDUP(D174/F174,0),"")</f>
        <v/>
      </c>
      <c r="H174" s="224" t="n"/>
      <c r="I174" s="220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552" t="n"/>
      <c r="K174" s="552" t="n"/>
      <c r="L174" s="552" t="n"/>
      <c r="M174" s="552" t="n"/>
    </row>
    <row r="175" ht="21" customHeight="1" s="468">
      <c r="A175" s="685" t="n"/>
      <c r="B175" s="218" t="n"/>
      <c r="C175" s="219" t="n"/>
      <c r="D175" s="220" t="n"/>
      <c r="E175" s="221" t="inlineStr">
        <is>
          <t>CX</t>
        </is>
      </c>
      <c r="F175" s="686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20">
        <f>IFERROR(ROUNDUP(D175/F175,0),"")</f>
        <v/>
      </c>
      <c r="H175" s="224" t="n"/>
      <c r="I175" s="220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552" t="n"/>
      <c r="K175" s="552" t="n"/>
      <c r="L175" s="552" t="n"/>
      <c r="M175" s="552" t="n"/>
    </row>
    <row r="176" ht="21" customHeight="1" s="468">
      <c r="A176" s="685" t="n"/>
      <c r="B176" s="218" t="n"/>
      <c r="C176" s="219" t="n"/>
      <c r="D176" s="220" t="n"/>
      <c r="E176" s="221" t="inlineStr">
        <is>
          <t>CX</t>
        </is>
      </c>
      <c r="F176" s="68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20">
        <f>IFERROR(ROUNDUP(D176/F176,0),"")</f>
        <v/>
      </c>
      <c r="H176" s="224" t="n"/>
      <c r="I176" s="220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 t="n"/>
      <c r="K176" s="552" t="n"/>
      <c r="L176" s="552" t="n"/>
      <c r="M176" s="552" t="n"/>
    </row>
    <row r="177" ht="14.25" customHeight="1" s="468">
      <c r="A177" s="658" t="n"/>
      <c r="B177" s="640" t="inlineStr">
        <is>
          <t>TOTAL</t>
        </is>
      </c>
      <c r="C177" s="667" t="n"/>
      <c r="D177" s="642">
        <f>SUM(D172:D176)</f>
        <v/>
      </c>
      <c r="E177" s="668" t="n"/>
      <c r="F177" s="644" t="n"/>
      <c r="G177" s="642">
        <f>SUM(G172:G176)</f>
        <v/>
      </c>
      <c r="H177" s="642">
        <f>SUM(H172:H176)</f>
        <v/>
      </c>
      <c r="I177" s="642">
        <f>SUM(I172:I176)</f>
        <v/>
      </c>
      <c r="J177" s="644">
        <f>D177</f>
        <v/>
      </c>
      <c r="K177" s="644">
        <f>G177</f>
        <v/>
      </c>
      <c r="L177" s="644">
        <f>H177</f>
        <v/>
      </c>
      <c r="M177" s="644">
        <f>I177</f>
        <v/>
      </c>
    </row>
    <row r="178" ht="14.25" customHeight="1" s="468">
      <c r="A178" s="638" t="n"/>
      <c r="C178" s="71" t="n"/>
      <c r="D178" s="552" t="n"/>
      <c r="F178" s="552" t="n"/>
      <c r="G178" s="552" t="n"/>
      <c r="H178" s="552" t="n"/>
      <c r="I178" s="552" t="n"/>
      <c r="J178" s="552" t="n"/>
      <c r="K178" s="552" t="n"/>
      <c r="L178" s="552" t="n"/>
      <c r="M178" s="552" t="n"/>
    </row>
    <row r="179" ht="14.25" customHeight="1" s="468">
      <c r="A179" s="646" t="n">
        <v>46261</v>
      </c>
      <c r="B179" s="213" t="inlineStr">
        <is>
          <t>PRODUTO</t>
        </is>
      </c>
      <c r="C179" s="214" t="inlineStr">
        <is>
          <t>EMBALAGEM</t>
        </is>
      </c>
      <c r="D179" s="244" t="inlineStr">
        <is>
          <t>CAIXAS</t>
        </is>
      </c>
      <c r="E179" s="215" t="inlineStr">
        <is>
          <t>UN</t>
        </is>
      </c>
      <c r="F179" s="687" t="inlineStr">
        <is>
          <t>CX/PALLET</t>
        </is>
      </c>
      <c r="G179" s="244" t="inlineStr">
        <is>
          <t>PALLETS (PBR)</t>
        </is>
      </c>
      <c r="H179" s="244" t="inlineStr">
        <is>
          <t>REAL (CX)</t>
        </is>
      </c>
      <c r="I179" s="244" t="inlineStr">
        <is>
          <t>TOTAL LATAS</t>
        </is>
      </c>
      <c r="J179" s="552" t="n"/>
      <c r="K179" s="552" t="n"/>
      <c r="L179" s="552" t="n"/>
      <c r="M179" s="552" t="n"/>
    </row>
    <row r="180" ht="21" customHeight="1" s="468">
      <c r="A180" s="685" t="n"/>
      <c r="B180" s="218" t="n"/>
      <c r="C180" s="219" t="n"/>
      <c r="D180" s="220" t="n"/>
      <c r="E180" s="221" t="inlineStr">
        <is>
          <t>CX</t>
        </is>
      </c>
      <c r="F180" s="686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20">
        <f>IFERROR(ROUNDUP(D180/F180,0),"")</f>
        <v/>
      </c>
      <c r="H180" s="224" t="n"/>
      <c r="I180" s="220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552" t="n"/>
      <c r="K180" s="552" t="n"/>
      <c r="L180" s="552" t="n"/>
      <c r="M180" s="552" t="n"/>
    </row>
    <row r="181" ht="21" customHeight="1" s="468">
      <c r="A181" s="685" t="n"/>
      <c r="B181" s="218" t="n"/>
      <c r="C181" s="219" t="n"/>
      <c r="D181" s="220" t="n"/>
      <c r="E181" s="221" t="inlineStr">
        <is>
          <t>CX</t>
        </is>
      </c>
      <c r="F181" s="686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20">
        <f>IFERROR(ROUNDUP(D181/F181,0),"")</f>
        <v/>
      </c>
      <c r="H181" s="224" t="n"/>
      <c r="I181" s="220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552" t="n"/>
      <c r="K181" s="552" t="n"/>
      <c r="L181" s="552" t="n"/>
      <c r="M181" s="552" t="n"/>
    </row>
    <row r="182" ht="21" customHeight="1" s="468">
      <c r="A182" s="685" t="n"/>
      <c r="B182" s="218" t="n"/>
      <c r="C182" s="219" t="n"/>
      <c r="D182" s="220" t="n"/>
      <c r="E182" s="221" t="inlineStr">
        <is>
          <t>CX</t>
        </is>
      </c>
      <c r="F182" s="686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20">
        <f>IFERROR(ROUNDUP(D182/F182,0),"")</f>
        <v/>
      </c>
      <c r="H182" s="224" t="n"/>
      <c r="I182" s="220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552" t="n"/>
      <c r="K182" s="552" t="n"/>
      <c r="L182" s="552" t="n"/>
      <c r="M182" s="552" t="n"/>
    </row>
    <row r="183" ht="21" customHeight="1" s="468">
      <c r="A183" s="685" t="n"/>
      <c r="B183" s="218" t="n"/>
      <c r="C183" s="219" t="n"/>
      <c r="D183" s="220" t="n"/>
      <c r="E183" s="221" t="inlineStr">
        <is>
          <t>CX</t>
        </is>
      </c>
      <c r="F183" s="686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20">
        <f>IFERROR(ROUNDUP(D183/F183,0),"")</f>
        <v/>
      </c>
      <c r="H183" s="224" t="n"/>
      <c r="I183" s="220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552" t="n"/>
      <c r="K183" s="552" t="n"/>
      <c r="L183" s="552" t="n"/>
      <c r="M183" s="552" t="n"/>
    </row>
    <row r="184" ht="21" customHeight="1" s="468">
      <c r="A184" s="685" t="n"/>
      <c r="B184" s="218" t="n"/>
      <c r="C184" s="219" t="n"/>
      <c r="D184" s="220" t="n"/>
      <c r="E184" s="221" t="inlineStr">
        <is>
          <t>CX</t>
        </is>
      </c>
      <c r="F184" s="686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20">
        <f>IFERROR(ROUNDUP(D184/F184,0),"")</f>
        <v/>
      </c>
      <c r="H184" s="224" t="n"/>
      <c r="I184" s="220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552" t="n"/>
      <c r="K184" s="552" t="n"/>
      <c r="L184" s="552" t="n"/>
      <c r="M184" s="552" t="n"/>
    </row>
    <row r="185" ht="14.25" customHeight="1" s="468">
      <c r="A185" s="658" t="n"/>
      <c r="B185" s="640" t="inlineStr">
        <is>
          <t>TOTAL</t>
        </is>
      </c>
      <c r="C185" s="667" t="n"/>
      <c r="D185" s="642">
        <f>SUM(D180:D184)</f>
        <v/>
      </c>
      <c r="E185" s="668" t="n"/>
      <c r="F185" s="644" t="n"/>
      <c r="G185" s="642">
        <f>SUM(G180:G184)</f>
        <v/>
      </c>
      <c r="H185" s="642">
        <f>SUM(H180:H184)</f>
        <v/>
      </c>
      <c r="I185" s="642">
        <f>SUM(I180:I184)</f>
        <v/>
      </c>
      <c r="J185" s="644">
        <f>D185</f>
        <v/>
      </c>
      <c r="K185" s="644">
        <f>G185</f>
        <v/>
      </c>
      <c r="L185" s="644">
        <f>H185</f>
        <v/>
      </c>
      <c r="M185" s="644">
        <f>I185</f>
        <v/>
      </c>
    </row>
    <row r="186" ht="14.25" customHeight="1" s="468">
      <c r="A186" s="638" t="n"/>
      <c r="C186" s="71" t="n"/>
      <c r="D186" s="552" t="n"/>
      <c r="F186" s="552" t="n"/>
      <c r="G186" s="552" t="n"/>
      <c r="H186" s="552" t="n"/>
      <c r="I186" s="552" t="n"/>
      <c r="J186" s="552" t="n"/>
      <c r="K186" s="552" t="n"/>
      <c r="L186" s="552" t="n"/>
      <c r="M186" s="552" t="n"/>
    </row>
    <row r="187" ht="14.25" customHeight="1" s="468">
      <c r="A187" s="646" t="n">
        <v>46262</v>
      </c>
      <c r="B187" s="213" t="inlineStr">
        <is>
          <t>PRODUTO</t>
        </is>
      </c>
      <c r="C187" s="214" t="inlineStr">
        <is>
          <t>EMBALAGEM</t>
        </is>
      </c>
      <c r="D187" s="244" t="inlineStr">
        <is>
          <t>CAIXAS</t>
        </is>
      </c>
      <c r="E187" s="215" t="inlineStr">
        <is>
          <t>UN</t>
        </is>
      </c>
      <c r="F187" s="687" t="inlineStr">
        <is>
          <t>CX/PALLET</t>
        </is>
      </c>
      <c r="G187" s="244" t="inlineStr">
        <is>
          <t>PALLETS (PBR)</t>
        </is>
      </c>
      <c r="H187" s="244" t="inlineStr">
        <is>
          <t>REAL (CX)</t>
        </is>
      </c>
      <c r="I187" s="244" t="inlineStr">
        <is>
          <t>TOTAL LATAS</t>
        </is>
      </c>
      <c r="J187" s="552" t="n"/>
      <c r="K187" s="552" t="n"/>
      <c r="L187" s="552" t="n"/>
      <c r="M187" s="552" t="n"/>
    </row>
    <row r="188" ht="21" customHeight="1" s="468">
      <c r="A188" s="685" t="n"/>
      <c r="B188" s="218" t="n"/>
      <c r="C188" s="219" t="n"/>
      <c r="D188" s="220" t="n"/>
      <c r="E188" s="221" t="inlineStr">
        <is>
          <t>CX</t>
        </is>
      </c>
      <c r="F188" s="686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20">
        <f>IFERROR(ROUNDUP(D188/F188,0),"")</f>
        <v/>
      </c>
      <c r="H188" s="224" t="n"/>
      <c r="I188" s="220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552" t="n"/>
      <c r="K188" s="552" t="n"/>
      <c r="L188" s="552" t="n"/>
      <c r="M188" s="552" t="n"/>
    </row>
    <row r="189" ht="21" customHeight="1" s="468">
      <c r="A189" s="685" t="n"/>
      <c r="B189" s="218" t="n"/>
      <c r="C189" s="219" t="n"/>
      <c r="D189" s="220" t="n"/>
      <c r="E189" s="221" t="inlineStr">
        <is>
          <t>CX</t>
        </is>
      </c>
      <c r="F189" s="686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20">
        <f>IFERROR(ROUNDUP(D189/F189,0),"")</f>
        <v/>
      </c>
      <c r="H189" s="224" t="n"/>
      <c r="I189" s="220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552" t="n"/>
      <c r="K189" s="552" t="n"/>
      <c r="L189" s="552" t="n"/>
      <c r="M189" s="552" t="n"/>
    </row>
    <row r="190" ht="21" customHeight="1" s="468">
      <c r="A190" s="685" t="n"/>
      <c r="B190" s="218" t="n"/>
      <c r="C190" s="219" t="n"/>
      <c r="D190" s="220" t="n"/>
      <c r="E190" s="221" t="inlineStr">
        <is>
          <t>CX</t>
        </is>
      </c>
      <c r="F190" s="686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20">
        <f>IFERROR(ROUNDUP(D190/F190,0),"")</f>
        <v/>
      </c>
      <c r="H190" s="224" t="n"/>
      <c r="I190" s="220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552" t="n"/>
      <c r="K190" s="552" t="n"/>
      <c r="L190" s="552" t="n"/>
      <c r="M190" s="552" t="n"/>
    </row>
    <row r="191" ht="21" customHeight="1" s="468">
      <c r="A191" s="685" t="n"/>
      <c r="B191" s="218" t="n"/>
      <c r="C191" s="219" t="n"/>
      <c r="D191" s="220" t="n"/>
      <c r="E191" s="221" t="inlineStr">
        <is>
          <t>CX</t>
        </is>
      </c>
      <c r="F191" s="686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20">
        <f>IFERROR(ROUNDUP(D191/F191,0),"")</f>
        <v/>
      </c>
      <c r="H191" s="224" t="n"/>
      <c r="I191" s="220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552" t="n"/>
      <c r="K191" s="552" t="n"/>
      <c r="L191" s="552" t="n"/>
      <c r="M191" s="552" t="n"/>
    </row>
    <row r="192" ht="21" customHeight="1" s="468">
      <c r="A192" s="685" t="n"/>
      <c r="B192" s="218" t="n"/>
      <c r="C192" s="219" t="n"/>
      <c r="D192" s="220" t="n"/>
      <c r="E192" s="221" t="inlineStr">
        <is>
          <t>CX</t>
        </is>
      </c>
      <c r="F192" s="686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20">
        <f>IFERROR(ROUNDUP(D192/F192,0),"")</f>
        <v/>
      </c>
      <c r="H192" s="224" t="n"/>
      <c r="I192" s="220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552" t="n"/>
      <c r="K192" s="552" t="n"/>
      <c r="L192" s="552" t="n"/>
      <c r="M192" s="552" t="n"/>
    </row>
    <row r="193" ht="14.25" customHeight="1" s="468">
      <c r="A193" s="658" t="n"/>
      <c r="B193" s="640" t="inlineStr">
        <is>
          <t>TOTAL</t>
        </is>
      </c>
      <c r="C193" s="667" t="n"/>
      <c r="D193" s="642">
        <f>SUM(D188:D192)</f>
        <v/>
      </c>
      <c r="E193" s="668" t="n"/>
      <c r="F193" s="644" t="n"/>
      <c r="G193" s="642">
        <f>SUM(G188:G192)</f>
        <v/>
      </c>
      <c r="H193" s="642">
        <f>SUM(H188:H192)</f>
        <v/>
      </c>
      <c r="I193" s="642">
        <f>SUM(I188:I192)</f>
        <v/>
      </c>
      <c r="J193" s="644">
        <f>D193</f>
        <v/>
      </c>
      <c r="K193" s="644">
        <f>G193</f>
        <v/>
      </c>
      <c r="L193" s="644">
        <f>H193</f>
        <v/>
      </c>
      <c r="M193" s="644">
        <f>I193</f>
        <v/>
      </c>
    </row>
    <row r="194" ht="14.25" customHeight="1" s="468">
      <c r="A194" s="638" t="n"/>
      <c r="C194" s="71" t="n"/>
      <c r="D194" s="552" t="n"/>
      <c r="F194" s="552" t="n"/>
      <c r="G194" s="552" t="n"/>
      <c r="H194" s="552" t="n"/>
      <c r="I194" s="552" t="n"/>
      <c r="J194" s="552" t="n"/>
      <c r="K194" s="552" t="n"/>
      <c r="L194" s="552" t="n"/>
      <c r="M194" s="552" t="n"/>
    </row>
    <row r="195" ht="14.25" customHeight="1" s="468">
      <c r="A195" s="696" t="n">
        <v>46263</v>
      </c>
      <c r="B195" s="213" t="inlineStr">
        <is>
          <t>PRODUTO</t>
        </is>
      </c>
      <c r="C195" s="214" t="inlineStr">
        <is>
          <t>EMBALAGEM</t>
        </is>
      </c>
      <c r="D195" s="244" t="inlineStr">
        <is>
          <t>CAIXAS</t>
        </is>
      </c>
      <c r="E195" s="215" t="inlineStr">
        <is>
          <t>UN</t>
        </is>
      </c>
      <c r="F195" s="697" t="inlineStr">
        <is>
          <t>CX/PALLET</t>
        </is>
      </c>
      <c r="G195" s="244" t="inlineStr">
        <is>
          <t>PALLETS (PBR)</t>
        </is>
      </c>
      <c r="H195" s="244" t="inlineStr">
        <is>
          <t>REAL (CX)</t>
        </is>
      </c>
      <c r="I195" s="244" t="inlineStr">
        <is>
          <t>TOTAL LATAS</t>
        </is>
      </c>
      <c r="J195" s="274" t="n"/>
      <c r="K195" s="274" t="n"/>
      <c r="L195" s="274" t="n"/>
      <c r="M195" s="274" t="n"/>
    </row>
    <row r="196" ht="21" customHeight="1" s="468">
      <c r="A196" s="685" t="n"/>
      <c r="B196" s="266" t="n"/>
      <c r="C196" s="267" t="n"/>
      <c r="D196" s="268" t="n"/>
      <c r="E196" s="269" t="inlineStr">
        <is>
          <t>CX</t>
        </is>
      </c>
      <c r="F196" s="698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68">
        <f>IFERROR(ROUNDUP(D196/F196,0),"")</f>
        <v/>
      </c>
      <c r="H196" s="224" t="n"/>
      <c r="I196" s="268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274" t="n"/>
      <c r="K196" s="274" t="n"/>
      <c r="L196" s="274" t="n"/>
      <c r="M196" s="274" t="n"/>
    </row>
    <row r="197" ht="21" customHeight="1" s="468">
      <c r="A197" s="685" t="n"/>
      <c r="B197" s="266" t="n"/>
      <c r="C197" s="267" t="n"/>
      <c r="D197" s="268" t="n"/>
      <c r="E197" s="269" t="inlineStr">
        <is>
          <t>CX</t>
        </is>
      </c>
      <c r="F197" s="698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68">
        <f>IFERROR(ROUNDUP(D197/F197,0),"")</f>
        <v/>
      </c>
      <c r="H197" s="224" t="n"/>
      <c r="I197" s="268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274" t="n"/>
      <c r="K197" s="274" t="n"/>
      <c r="L197" s="274" t="n"/>
      <c r="M197" s="274" t="n"/>
    </row>
    <row r="198" ht="21" customHeight="1" s="468">
      <c r="A198" s="685" t="n"/>
      <c r="B198" s="266" t="n"/>
      <c r="C198" s="267" t="n"/>
      <c r="D198" s="268" t="n"/>
      <c r="E198" s="269" t="inlineStr">
        <is>
          <t>CX</t>
        </is>
      </c>
      <c r="F198" s="698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68">
        <f>IFERROR(ROUNDUP(D198/F198,0),"")</f>
        <v/>
      </c>
      <c r="H198" s="224" t="n"/>
      <c r="I198" s="268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274" t="n"/>
      <c r="K198" s="274" t="n"/>
      <c r="L198" s="274" t="n"/>
      <c r="M198" s="274" t="n"/>
    </row>
    <row r="199" ht="21" customHeight="1" s="468">
      <c r="A199" s="685" t="n"/>
      <c r="B199" s="266" t="n"/>
      <c r="C199" s="267" t="n"/>
      <c r="D199" s="268" t="n"/>
      <c r="E199" s="269" t="inlineStr">
        <is>
          <t>CX</t>
        </is>
      </c>
      <c r="F199" s="698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68">
        <f>IFERROR(ROUNDUP(D199/F199,0),"")</f>
        <v/>
      </c>
      <c r="H199" s="224" t="n"/>
      <c r="I199" s="268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274" t="n"/>
      <c r="K199" s="274" t="n"/>
      <c r="L199" s="274" t="n"/>
      <c r="M199" s="274" t="n"/>
    </row>
    <row r="200" ht="21" customHeight="1" s="468">
      <c r="A200" s="685" t="n"/>
      <c r="B200" s="266" t="n"/>
      <c r="C200" s="267" t="n"/>
      <c r="D200" s="268" t="n"/>
      <c r="E200" s="269" t="inlineStr">
        <is>
          <t>CX</t>
        </is>
      </c>
      <c r="F200" s="698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68">
        <f>IFERROR(ROUNDUP(D200/F200,0),"")</f>
        <v/>
      </c>
      <c r="H200" s="224" t="n"/>
      <c r="I200" s="268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274" t="n"/>
      <c r="K200" s="274" t="n"/>
      <c r="L200" s="274" t="n"/>
      <c r="M200" s="274" t="n"/>
    </row>
    <row r="201" ht="14.25" customHeight="1" s="468">
      <c r="A201" s="658" t="n"/>
      <c r="B201" s="640" t="inlineStr">
        <is>
          <t>TOTAL</t>
        </is>
      </c>
      <c r="C201" s="667" t="n"/>
      <c r="D201" s="642">
        <f>SUM(D196:D200)</f>
        <v/>
      </c>
      <c r="E201" s="668" t="n"/>
      <c r="F201" s="644" t="n"/>
      <c r="G201" s="642">
        <f>SUM(G196:G200)</f>
        <v/>
      </c>
      <c r="H201" s="642">
        <f>SUM(H196:H200)</f>
        <v/>
      </c>
      <c r="I201" s="642">
        <f>SUM(I196:I200)</f>
        <v/>
      </c>
      <c r="J201" s="644">
        <f>D201</f>
        <v/>
      </c>
      <c r="K201" s="644">
        <f>G201</f>
        <v/>
      </c>
      <c r="L201" s="644">
        <f>H201</f>
        <v/>
      </c>
      <c r="M201" s="644">
        <f>I201</f>
        <v/>
      </c>
    </row>
    <row r="202" ht="14.25" customHeight="1" s="468">
      <c r="A202" s="699" t="n"/>
      <c r="B202" s="265" t="n"/>
      <c r="C202" s="276" t="n"/>
      <c r="D202" s="274" t="n"/>
      <c r="E202" s="265" t="n"/>
      <c r="F202" s="274" t="n"/>
      <c r="G202" s="274" t="n"/>
      <c r="H202" s="274" t="n"/>
      <c r="I202" s="274" t="n"/>
      <c r="J202" s="274" t="n"/>
      <c r="K202" s="274" t="n"/>
      <c r="L202" s="274" t="n"/>
      <c r="M202" s="274" t="n"/>
    </row>
    <row r="203" ht="14.25" customHeight="1" s="468">
      <c r="A203" s="646" t="n">
        <v>46265</v>
      </c>
      <c r="B203" s="213" t="inlineStr">
        <is>
          <t>PRODUTO</t>
        </is>
      </c>
      <c r="C203" s="214" t="inlineStr">
        <is>
          <t>EMBALAGEM</t>
        </is>
      </c>
      <c r="D203" s="244" t="inlineStr">
        <is>
          <t>CAIXAS</t>
        </is>
      </c>
      <c r="E203" s="215" t="inlineStr">
        <is>
          <t>UN</t>
        </is>
      </c>
      <c r="F203" s="687" t="inlineStr">
        <is>
          <t>CX/PALLET</t>
        </is>
      </c>
      <c r="G203" s="244" t="inlineStr">
        <is>
          <t>PALLETS (PBR)</t>
        </is>
      </c>
      <c r="H203" s="244" t="inlineStr">
        <is>
          <t>REAL (CX)</t>
        </is>
      </c>
      <c r="I203" s="244" t="inlineStr">
        <is>
          <t>TOTAL LATAS</t>
        </is>
      </c>
      <c r="J203" s="552" t="n"/>
      <c r="K203" s="552" t="n"/>
      <c r="L203" s="552" t="n"/>
      <c r="M203" s="552" t="n"/>
    </row>
    <row r="204" ht="21" customHeight="1" s="468">
      <c r="A204" s="685" t="n"/>
      <c r="B204" s="218" t="n"/>
      <c r="C204" s="219" t="n"/>
      <c r="D204" s="220" t="n"/>
      <c r="E204" s="221" t="inlineStr">
        <is>
          <t>CX</t>
        </is>
      </c>
      <c r="F204" s="686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20">
        <f>IFERROR(ROUNDUP(D204/F204,0),"")</f>
        <v/>
      </c>
      <c r="H204" s="224" t="n"/>
      <c r="I204" s="220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  <c r="J204" s="552" t="n"/>
      <c r="K204" s="552" t="n"/>
      <c r="L204" s="552" t="n"/>
      <c r="M204" s="552" t="n"/>
    </row>
    <row r="205" ht="21" customHeight="1" s="468">
      <c r="A205" s="685" t="n"/>
      <c r="B205" s="218" t="n"/>
      <c r="C205" s="219" t="n"/>
      <c r="D205" s="220" t="n"/>
      <c r="E205" s="221" t="inlineStr">
        <is>
          <t>CX</t>
        </is>
      </c>
      <c r="F205" s="686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20">
        <f>IFERROR(ROUNDUP(D205/F205,0),"")</f>
        <v/>
      </c>
      <c r="H205" s="224" t="n"/>
      <c r="I205" s="220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  <c r="J205" s="552" t="n"/>
      <c r="K205" s="552" t="n"/>
      <c r="L205" s="552" t="n"/>
      <c r="M205" s="552" t="n"/>
    </row>
    <row r="206" ht="21" customHeight="1" s="468">
      <c r="A206" s="685" t="n"/>
      <c r="B206" s="218" t="n"/>
      <c r="C206" s="219" t="n"/>
      <c r="D206" s="220" t="n"/>
      <c r="E206" s="221" t="inlineStr">
        <is>
          <t>CX</t>
        </is>
      </c>
      <c r="F206" s="686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20">
        <f>IFERROR(ROUNDUP(D206/F206,0),"")</f>
        <v/>
      </c>
      <c r="H206" s="224" t="n"/>
      <c r="I206" s="220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  <c r="J206" s="552" t="n"/>
      <c r="K206" s="552" t="n"/>
      <c r="L206" s="552" t="n"/>
      <c r="M206" s="552" t="n"/>
    </row>
    <row r="207" ht="21" customHeight="1" s="468">
      <c r="A207" s="685" t="n"/>
      <c r="B207" s="218" t="n"/>
      <c r="C207" s="219" t="n"/>
      <c r="D207" s="220" t="n"/>
      <c r="E207" s="221" t="inlineStr">
        <is>
          <t>CX</t>
        </is>
      </c>
      <c r="F207" s="686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20">
        <f>IFERROR(ROUNDUP(D207/F207,0),"")</f>
        <v/>
      </c>
      <c r="H207" s="224" t="n"/>
      <c r="I207" s="220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  <c r="J207" s="552" t="n"/>
      <c r="K207" s="552" t="n"/>
      <c r="L207" s="552" t="n"/>
      <c r="M207" s="552" t="n"/>
    </row>
    <row r="208" ht="21" customHeight="1" s="468">
      <c r="A208" s="685" t="n"/>
      <c r="B208" s="218" t="n"/>
      <c r="C208" s="219" t="n"/>
      <c r="D208" s="220" t="n"/>
      <c r="E208" s="221" t="inlineStr">
        <is>
          <t>CX</t>
        </is>
      </c>
      <c r="F208" s="686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20">
        <f>IFERROR(ROUNDUP(D208/F208,0),"")</f>
        <v/>
      </c>
      <c r="H208" s="224" t="n"/>
      <c r="I208" s="220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  <c r="J208" s="552" t="n"/>
      <c r="K208" s="552" t="n"/>
      <c r="L208" s="552" t="n"/>
      <c r="M208" s="552" t="n"/>
    </row>
    <row r="209" ht="14.25" customHeight="1" s="468">
      <c r="A209" s="658" t="n"/>
      <c r="B209" s="640" t="inlineStr">
        <is>
          <t>TOTAL</t>
        </is>
      </c>
      <c r="C209" s="667" t="n"/>
      <c r="D209" s="642">
        <f>SUM(D204:D208)</f>
        <v/>
      </c>
      <c r="E209" s="668" t="n"/>
      <c r="F209" s="644" t="n"/>
      <c r="G209" s="642">
        <f>SUM(G204:G208)</f>
        <v/>
      </c>
      <c r="H209" s="642">
        <f>SUM(H204:H208)</f>
        <v/>
      </c>
      <c r="I209" s="642">
        <f>SUM(I204:I208)</f>
        <v/>
      </c>
      <c r="J209" s="644">
        <f>D209</f>
        <v/>
      </c>
      <c r="K209" s="644">
        <f>G209</f>
        <v/>
      </c>
      <c r="L209" s="644">
        <f>H209</f>
        <v/>
      </c>
      <c r="M209" s="644">
        <f>I209</f>
        <v/>
      </c>
    </row>
  </sheetData>
  <mergeCells count="3">
    <mergeCell ref="A1:I1"/>
    <mergeCell ref="A2:F2"/>
    <mergeCell ref="G2:I2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69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tabColor rgb="FF0F766E"/>
    <outlinePr summaryBelow="1" summaryRight="1"/>
    <pageSetUpPr/>
  </sheetPr>
  <dimension ref="A1:Y59"/>
  <sheetViews>
    <sheetView showGridLines="0" zoomScale="90" zoomScaleNormal="9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width="13" customWidth="1" style="468" min="13" max="13"/>
    <col hidden="1" width="13" customWidth="1" style="468" min="24" max="25"/>
  </cols>
  <sheetData>
    <row r="1" ht="19.5" customHeight="1" s="468">
      <c r="A1" s="675" t="inlineStr">
        <is>
          <t>RESULTADOS E GRÁFICO - AGOSTO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SUM(C9:C34)</f>
        <v/>
      </c>
      <c r="D4" s="152">
        <f>SUM(D9:D34)</f>
        <v/>
      </c>
      <c r="F4" s="152">
        <f>IFERROR(SUMIFS(C9:C34,A9:A34,"&lt;="&amp;TODAY(),F9:F34,"&lt;&gt;*Feriado*")/COUNTIFS(A9:A34,"&lt;="&amp;TODAY(),F9:F34,"&lt;&gt;*Feriado*"),0)</f>
        <v/>
      </c>
      <c r="H4" s="152">
        <f>IFERROR(MAX(C9:C34),0)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5" customHeight="1" s="468">
      <c r="A9" s="676" t="n">
        <v>46235</v>
      </c>
      <c r="B9" s="677">
        <f>IF(D9&gt;0,COUNTIF($D$9:D9,"&gt;0"),"")</f>
        <v/>
      </c>
      <c r="C9" s="678">
        <f>'SEMANA AGOSTO'!$M$9</f>
        <v/>
      </c>
      <c r="D9" s="678">
        <f>CONFIG!$B$3</f>
        <v/>
      </c>
      <c r="E9" s="678">
        <f>C9-D9</f>
        <v/>
      </c>
      <c r="F9" s="679" t="inlineStr">
        <is>
          <t>Sábado - produção normal</t>
        </is>
      </c>
      <c r="X9" s="552">
        <f>IF(COUNTIF($F9,"*Feriado*")&gt;0,NA(),$C9)</f>
        <v/>
      </c>
      <c r="Y9" s="552">
        <f>IF(COUNTIF($F9,"*Feriado*")&gt;0,NA(),$D9)</f>
        <v/>
      </c>
    </row>
    <row r="10" ht="15" customHeight="1" s="468">
      <c r="A10" s="676" t="n">
        <v>46237</v>
      </c>
      <c r="B10" s="677">
        <f>IF(D10&gt;0,COUNTIF($D$9:D10,"&gt;0"),"")</f>
        <v/>
      </c>
      <c r="C10" s="678">
        <f>'SEMANA AGOSTO'!$M$17</f>
        <v/>
      </c>
      <c r="D10" s="678">
        <f>CONFIG!$B$3</f>
        <v/>
      </c>
      <c r="E10" s="678">
        <f>C10-D10</f>
        <v/>
      </c>
      <c r="F10" s="700" t="n"/>
      <c r="X10" s="552">
        <f>IF(COUNTIF($F10,"*Feriado*")&gt;0,NA(),$C10)</f>
        <v/>
      </c>
      <c r="Y10" s="552">
        <f>IF(COUNTIF($F10,"*Feriado*")&gt;0,NA(),$D10)</f>
        <v/>
      </c>
    </row>
    <row r="11" ht="15" customHeight="1" s="468">
      <c r="A11" s="676" t="n">
        <v>46238</v>
      </c>
      <c r="B11" s="677">
        <f>IF(D11&gt;0,COUNTIF($D$9:D11,"&gt;0"),"")</f>
        <v/>
      </c>
      <c r="C11" s="678">
        <f>'SEMANA AGOSTO'!$M$25</f>
        <v/>
      </c>
      <c r="D11" s="678">
        <f>CONFIG!$B$3</f>
        <v/>
      </c>
      <c r="E11" s="678">
        <f>C11-D11</f>
        <v/>
      </c>
      <c r="F11" s="700" t="n"/>
      <c r="X11" s="552">
        <f>IF(COUNTIF($F11,"*Feriado*")&gt;0,NA(),$C11)</f>
        <v/>
      </c>
      <c r="Y11" s="552">
        <f>IF(COUNTIF($F11,"*Feriado*")&gt;0,NA(),$D11)</f>
        <v/>
      </c>
    </row>
    <row r="12" ht="15" customHeight="1" s="468">
      <c r="A12" s="676" t="n">
        <v>46239</v>
      </c>
      <c r="B12" s="677">
        <f>IF(D12&gt;0,COUNTIF($D$9:D12,"&gt;0"),"")</f>
        <v/>
      </c>
      <c r="C12" s="678">
        <f>'SEMANA AGOSTO'!$M$33</f>
        <v/>
      </c>
      <c r="D12" s="678">
        <f>CONFIG!$B$3</f>
        <v/>
      </c>
      <c r="E12" s="678">
        <f>C12-D12</f>
        <v/>
      </c>
      <c r="F12" s="700" t="n"/>
      <c r="X12" s="552">
        <f>IF(COUNTIF($F12,"*Feriado*")&gt;0,NA(),$C12)</f>
        <v/>
      </c>
      <c r="Y12" s="552">
        <f>IF(COUNTIF($F12,"*Feriado*")&gt;0,NA(),$D12)</f>
        <v/>
      </c>
    </row>
    <row r="13" ht="15" customHeight="1" s="468">
      <c r="A13" s="676" t="n">
        <v>46240</v>
      </c>
      <c r="B13" s="677">
        <f>IF(D13&gt;0,COUNTIF($D$9:D13,"&gt;0"),"")</f>
        <v/>
      </c>
      <c r="C13" s="678">
        <f>'SEMANA AGOSTO'!$M$41</f>
        <v/>
      </c>
      <c r="D13" s="678">
        <f>CONFIG!$B$3</f>
        <v/>
      </c>
      <c r="E13" s="678">
        <f>C13-D13</f>
        <v/>
      </c>
      <c r="F13" s="700" t="n"/>
      <c r="X13" s="552">
        <f>IF(COUNTIF($F13,"*Feriado*")&gt;0,NA(),$C13)</f>
        <v/>
      </c>
      <c r="Y13" s="552">
        <f>IF(COUNTIF($F13,"*Feriado*")&gt;0,NA(),$D13)</f>
        <v/>
      </c>
    </row>
    <row r="14" ht="15" customHeight="1" s="468">
      <c r="A14" s="676" t="n">
        <v>46241</v>
      </c>
      <c r="B14" s="677">
        <f>IF(D14&gt;0,COUNTIF($D$9:D14,"&gt;0"),"")</f>
        <v/>
      </c>
      <c r="C14" s="678">
        <f>'SEMANA AGOSTO'!$M$49</f>
        <v/>
      </c>
      <c r="D14" s="678">
        <f>CONFIG!$B$3</f>
        <v/>
      </c>
      <c r="E14" s="678">
        <f>C14-D14</f>
        <v/>
      </c>
      <c r="F14" s="700" t="n"/>
      <c r="X14" s="552">
        <f>IF(COUNTIF($F14,"*Feriado*")&gt;0,NA(),$C14)</f>
        <v/>
      </c>
      <c r="Y14" s="552">
        <f>IF(COUNTIF($F14,"*Feriado*")&gt;0,NA(),$D14)</f>
        <v/>
      </c>
    </row>
    <row r="15" ht="15" customHeight="1" s="468">
      <c r="A15" s="676" t="n">
        <v>46242</v>
      </c>
      <c r="B15" s="677">
        <f>IF(D15&gt;0,COUNTIF($D$9:D15,"&gt;0"),"")</f>
        <v/>
      </c>
      <c r="C15" s="678">
        <f>'SEMANA AGOSTO'!$M$57</f>
        <v/>
      </c>
      <c r="D15" s="678">
        <f>CONFIG!$B$3</f>
        <v/>
      </c>
      <c r="E15" s="678">
        <f>C15-D15</f>
        <v/>
      </c>
      <c r="F15" s="679" t="inlineStr">
        <is>
          <t>Sábado - produção normal</t>
        </is>
      </c>
      <c r="X15" s="552">
        <f>IF(COUNTIF($F15,"*Feriado*")&gt;0,NA(),$C15)</f>
        <v/>
      </c>
      <c r="Y15" s="552">
        <f>IF(COUNTIF($F15,"*Feriado*")&gt;0,NA(),$D15)</f>
        <v/>
      </c>
    </row>
    <row r="16" ht="15" customHeight="1" s="468">
      <c r="A16" s="676" t="n">
        <v>46244</v>
      </c>
      <c r="B16" s="677">
        <f>IF(D16&gt;0,COUNTIF($D$9:D16,"&gt;0"),"")</f>
        <v/>
      </c>
      <c r="C16" s="678">
        <f>'SEMANA AGOSTO'!$M$65</f>
        <v/>
      </c>
      <c r="D16" s="678">
        <f>CONFIG!$B$3</f>
        <v/>
      </c>
      <c r="E16" s="678">
        <f>C16-D16</f>
        <v/>
      </c>
      <c r="F16" s="700" t="n"/>
      <c r="X16" s="552">
        <f>IF(COUNTIF($F16,"*Feriado*")&gt;0,NA(),$C16)</f>
        <v/>
      </c>
      <c r="Y16" s="552">
        <f>IF(COUNTIF($F16,"*Feriado*")&gt;0,NA(),$D16)</f>
        <v/>
      </c>
    </row>
    <row r="17" ht="15" customHeight="1" s="468">
      <c r="A17" s="676" t="n">
        <v>46245</v>
      </c>
      <c r="B17" s="677">
        <f>IF(D17&gt;0,COUNTIF($D$9:D17,"&gt;0"),"")</f>
        <v/>
      </c>
      <c r="C17" s="678">
        <f>'SEMANA AGOSTO'!$M$73</f>
        <v/>
      </c>
      <c r="D17" s="678">
        <f>CONFIG!$B$3</f>
        <v/>
      </c>
      <c r="E17" s="678">
        <f>C17-D17</f>
        <v/>
      </c>
      <c r="F17" s="700" t="n"/>
      <c r="X17" s="552">
        <f>IF(COUNTIF($F17,"*Feriado*")&gt;0,NA(),$C17)</f>
        <v/>
      </c>
      <c r="Y17" s="552">
        <f>IF(COUNTIF($F17,"*Feriado*")&gt;0,NA(),$D17)</f>
        <v/>
      </c>
    </row>
    <row r="18" ht="15" customHeight="1" s="468">
      <c r="A18" s="676" t="n">
        <v>46246</v>
      </c>
      <c r="B18" s="677">
        <f>IF(D18&gt;0,COUNTIF($D$9:D18,"&gt;0"),"")</f>
        <v/>
      </c>
      <c r="C18" s="678">
        <f>'SEMANA AGOSTO'!$M$81</f>
        <v/>
      </c>
      <c r="D18" s="678">
        <f>CONFIG!$B$3</f>
        <v/>
      </c>
      <c r="E18" s="678">
        <f>C18-D18</f>
        <v/>
      </c>
      <c r="F18" s="700" t="n"/>
      <c r="X18" s="552">
        <f>IF(COUNTIF($F18,"*Feriado*")&gt;0,NA(),$C18)</f>
        <v/>
      </c>
      <c r="Y18" s="552">
        <f>IF(COUNTIF($F18,"*Feriado*")&gt;0,NA(),$D18)</f>
        <v/>
      </c>
    </row>
    <row r="19" ht="15" customHeight="1" s="468">
      <c r="A19" s="676" t="n">
        <v>46247</v>
      </c>
      <c r="B19" s="677">
        <f>IF(D19&gt;0,COUNTIF($D$9:D19,"&gt;0"),"")</f>
        <v/>
      </c>
      <c r="C19" s="678">
        <f>'SEMANA AGOSTO'!$M$89</f>
        <v/>
      </c>
      <c r="D19" s="678">
        <f>CONFIG!$B$3</f>
        <v/>
      </c>
      <c r="E19" s="678">
        <f>C19-D19</f>
        <v/>
      </c>
      <c r="F19" s="700" t="n"/>
      <c r="X19" s="552">
        <f>IF(COUNTIF($F19,"*Feriado*")&gt;0,NA(),$C19)</f>
        <v/>
      </c>
      <c r="Y19" s="552">
        <f>IF(COUNTIF($F19,"*Feriado*")&gt;0,NA(),$D19)</f>
        <v/>
      </c>
    </row>
    <row r="20" ht="15" customHeight="1" s="468">
      <c r="A20" s="676" t="n">
        <v>46248</v>
      </c>
      <c r="B20" s="677">
        <f>IF(D20&gt;0,COUNTIF($D$9:D20,"&gt;0"),"")</f>
        <v/>
      </c>
      <c r="C20" s="678">
        <f>'SEMANA AGOSTO'!$M$97</f>
        <v/>
      </c>
      <c r="D20" s="678">
        <f>CONFIG!$B$3</f>
        <v/>
      </c>
      <c r="E20" s="678">
        <f>C20-D20</f>
        <v/>
      </c>
      <c r="F20" s="700" t="n"/>
      <c r="X20" s="552">
        <f>IF(COUNTIF($F20,"*Feriado*")&gt;0,NA(),$C20)</f>
        <v/>
      </c>
      <c r="Y20" s="552">
        <f>IF(COUNTIF($F20,"*Feriado*")&gt;0,NA(),$D20)</f>
        <v/>
      </c>
    </row>
    <row r="21" ht="15" customHeight="1" s="468">
      <c r="A21" s="676" t="n">
        <v>46249</v>
      </c>
      <c r="B21" s="677">
        <f>IF(D21&gt;0,COUNTIF($D$9:D21,"&gt;0"),"")</f>
        <v/>
      </c>
      <c r="C21" s="678">
        <f>'SEMANA AGOSTO'!$M$105</f>
        <v/>
      </c>
      <c r="D21" s="678">
        <f>CONFIG!$B$3</f>
        <v/>
      </c>
      <c r="E21" s="678">
        <f>C21-D21</f>
        <v/>
      </c>
      <c r="F21" s="679" t="inlineStr">
        <is>
          <t>Sábado - produção normal</t>
        </is>
      </c>
      <c r="X21" s="552">
        <f>IF(COUNTIF($F21,"*Feriado*")&gt;0,NA(),$C21)</f>
        <v/>
      </c>
      <c r="Y21" s="552">
        <f>IF(COUNTIF($F21,"*Feriado*")&gt;0,NA(),$D21)</f>
        <v/>
      </c>
    </row>
    <row r="22" ht="15" customHeight="1" s="468">
      <c r="A22" s="676" t="n">
        <v>46251</v>
      </c>
      <c r="B22" s="677">
        <f>IF(D22&gt;0,COUNTIF($D$9:D22,"&gt;0"),"")</f>
        <v/>
      </c>
      <c r="C22" s="678">
        <f>'SEMANA AGOSTO'!$M$113</f>
        <v/>
      </c>
      <c r="D22" s="678">
        <f>CONFIG!$B$3</f>
        <v/>
      </c>
      <c r="E22" s="678">
        <f>C22-D22</f>
        <v/>
      </c>
      <c r="F22" s="700" t="n"/>
      <c r="X22" s="552">
        <f>IF(COUNTIF($F22,"*Feriado*")&gt;0,NA(),$C22)</f>
        <v/>
      </c>
      <c r="Y22" s="552">
        <f>IF(COUNTIF($F22,"*Feriado*")&gt;0,NA(),$D22)</f>
        <v/>
      </c>
    </row>
    <row r="23" ht="15" customHeight="1" s="468">
      <c r="A23" s="676" t="n">
        <v>46252</v>
      </c>
      <c r="B23" s="677">
        <f>IF(D23&gt;0,COUNTIF($D$9:D23,"&gt;0"),"")</f>
        <v/>
      </c>
      <c r="C23" s="678">
        <f>'SEMANA AGOSTO'!$M$121</f>
        <v/>
      </c>
      <c r="D23" s="678">
        <f>CONFIG!$B$3</f>
        <v/>
      </c>
      <c r="E23" s="678">
        <f>C23-D23</f>
        <v/>
      </c>
      <c r="F23" s="700" t="n"/>
      <c r="X23" s="552">
        <f>IF(COUNTIF($F23,"*Feriado*")&gt;0,NA(),$C23)</f>
        <v/>
      </c>
      <c r="Y23" s="552">
        <f>IF(COUNTIF($F23,"*Feriado*")&gt;0,NA(),$D23)</f>
        <v/>
      </c>
    </row>
    <row r="24" ht="15" customHeight="1" s="468">
      <c r="A24" s="676" t="n">
        <v>46253</v>
      </c>
      <c r="B24" s="677">
        <f>IF(D24&gt;0,COUNTIF($D$9:D24,"&gt;0"),"")</f>
        <v/>
      </c>
      <c r="C24" s="678">
        <f>'SEMANA AGOSTO'!$M$129</f>
        <v/>
      </c>
      <c r="D24" s="678">
        <f>CONFIG!$B$3</f>
        <v/>
      </c>
      <c r="E24" s="678">
        <f>C24-D24</f>
        <v/>
      </c>
      <c r="F24" s="700" t="n"/>
      <c r="X24" s="552">
        <f>IF(COUNTIF($F24,"*Feriado*")&gt;0,NA(),$C24)</f>
        <v/>
      </c>
      <c r="Y24" s="552">
        <f>IF(COUNTIF($F24,"*Feriado*")&gt;0,NA(),$D24)</f>
        <v/>
      </c>
    </row>
    <row r="25" ht="15" customHeight="1" s="468">
      <c r="A25" s="676" t="n">
        <v>46254</v>
      </c>
      <c r="B25" s="677">
        <f>IF(D25&gt;0,COUNTIF($D$9:D25,"&gt;0"),"")</f>
        <v/>
      </c>
      <c r="C25" s="678">
        <f>'SEMANA AGOSTO'!$M$137</f>
        <v/>
      </c>
      <c r="D25" s="678">
        <f>CONFIG!$B$3</f>
        <v/>
      </c>
      <c r="E25" s="678">
        <f>C25-D25</f>
        <v/>
      </c>
      <c r="F25" s="700" t="n"/>
      <c r="X25" s="552">
        <f>IF(COUNTIF($F25,"*Feriado*")&gt;0,NA(),$C25)</f>
        <v/>
      </c>
      <c r="Y25" s="552">
        <f>IF(COUNTIF($F25,"*Feriado*")&gt;0,NA(),$D25)</f>
        <v/>
      </c>
    </row>
    <row r="26" ht="15" customHeight="1" s="468">
      <c r="A26" s="676" t="n">
        <v>46255</v>
      </c>
      <c r="B26" s="677">
        <f>IF(D26&gt;0,COUNTIF($D$9:D26,"&gt;0"),"")</f>
        <v/>
      </c>
      <c r="C26" s="678">
        <f>'SEMANA AGOSTO'!$M$145</f>
        <v/>
      </c>
      <c r="D26" s="678">
        <f>CONFIG!$B$3</f>
        <v/>
      </c>
      <c r="E26" s="678">
        <f>C26-D26</f>
        <v/>
      </c>
      <c r="F26" s="700" t="n"/>
      <c r="X26" s="552">
        <f>IF(COUNTIF($F26,"*Feriado*")&gt;0,NA(),$C26)</f>
        <v/>
      </c>
      <c r="Y26" s="552">
        <f>IF(COUNTIF($F26,"*Feriado*")&gt;0,NA(),$D26)</f>
        <v/>
      </c>
    </row>
    <row r="27" ht="15" customHeight="1" s="468">
      <c r="A27" s="676" t="n">
        <v>46256</v>
      </c>
      <c r="B27" s="677">
        <f>IF(D27&gt;0,COUNTIF($D$9:D27,"&gt;0"),"")</f>
        <v/>
      </c>
      <c r="C27" s="678">
        <f>'SEMANA AGOSTO'!$M$153</f>
        <v/>
      </c>
      <c r="D27" s="678">
        <f>CONFIG!$B$3</f>
        <v/>
      </c>
      <c r="E27" s="678">
        <f>C27-D27</f>
        <v/>
      </c>
      <c r="F27" s="679" t="inlineStr">
        <is>
          <t>Sábado - produção normal</t>
        </is>
      </c>
      <c r="X27" s="552">
        <f>IF(COUNTIF($F27,"*Feriado*")&gt;0,NA(),$C27)</f>
        <v/>
      </c>
      <c r="Y27" s="552">
        <f>IF(COUNTIF($F27,"*Feriado*")&gt;0,NA(),$D27)</f>
        <v/>
      </c>
    </row>
    <row r="28" ht="15" customHeight="1" s="468">
      <c r="A28" s="676" t="n">
        <v>46258</v>
      </c>
      <c r="B28" s="677">
        <f>IF(D28&gt;0,COUNTIF($D$9:D28,"&gt;0"),"")</f>
        <v/>
      </c>
      <c r="C28" s="678">
        <f>'SEMANA AGOSTO'!$M$161</f>
        <v/>
      </c>
      <c r="D28" s="678">
        <f>CONFIG!$B$3</f>
        <v/>
      </c>
      <c r="E28" s="678">
        <f>C28-D28</f>
        <v/>
      </c>
      <c r="F28" s="700" t="n"/>
      <c r="X28" s="552">
        <f>IF(COUNTIF($F28,"*Feriado*")&gt;0,NA(),$C28)</f>
        <v/>
      </c>
      <c r="Y28" s="552">
        <f>IF(COUNTIF($F28,"*Feriado*")&gt;0,NA(),$D28)</f>
        <v/>
      </c>
    </row>
    <row r="29" ht="15" customHeight="1" s="468">
      <c r="A29" s="676" t="n">
        <v>46259</v>
      </c>
      <c r="B29" s="677">
        <f>IF(D29&gt;0,COUNTIF($D$9:D29,"&gt;0"),"")</f>
        <v/>
      </c>
      <c r="C29" s="678">
        <f>'SEMANA AGOSTO'!$M$169</f>
        <v/>
      </c>
      <c r="D29" s="678">
        <f>CONFIG!$B$3</f>
        <v/>
      </c>
      <c r="E29" s="678">
        <f>C29-D29</f>
        <v/>
      </c>
      <c r="F29" s="700" t="n"/>
      <c r="X29" s="552">
        <f>IF(COUNTIF($F29,"*Feriado*")&gt;0,NA(),$C29)</f>
        <v/>
      </c>
      <c r="Y29" s="552">
        <f>IF(COUNTIF($F29,"*Feriado*")&gt;0,NA(),$D29)</f>
        <v/>
      </c>
    </row>
    <row r="30" ht="15" customHeight="1" s="468">
      <c r="A30" s="676" t="n">
        <v>46260</v>
      </c>
      <c r="B30" s="677">
        <f>IF(D30&gt;0,COUNTIF($D$9:D30,"&gt;0"),"")</f>
        <v/>
      </c>
      <c r="C30" s="678">
        <f>'SEMANA AGOSTO'!$M$177</f>
        <v/>
      </c>
      <c r="D30" s="678">
        <f>CONFIG!$B$3</f>
        <v/>
      </c>
      <c r="E30" s="678">
        <f>C30-D30</f>
        <v/>
      </c>
      <c r="F30" s="700" t="n"/>
    </row>
    <row r="31" ht="14.25" customHeight="1" s="468">
      <c r="A31" s="676" t="n">
        <v>46261</v>
      </c>
      <c r="B31" s="677">
        <f>IF(D31&gt;0,COUNTIF($D$9:D31,"&gt;0"),"")</f>
        <v/>
      </c>
      <c r="C31" s="678">
        <f>'SEMANA AGOSTO'!$M$185</f>
        <v/>
      </c>
      <c r="D31" s="678">
        <f>CONFIG!$B$3</f>
        <v/>
      </c>
      <c r="E31" s="678">
        <f>C31-D31</f>
        <v/>
      </c>
      <c r="F31" s="700" t="n"/>
    </row>
    <row r="32" ht="14.25" customHeight="1" s="468">
      <c r="A32" s="676" t="n">
        <v>46262</v>
      </c>
      <c r="B32" s="677">
        <f>IF(D32&gt;0,COUNTIF($D$9:D32,"&gt;0"),"")</f>
        <v/>
      </c>
      <c r="C32" s="678">
        <f>'SEMANA AGOSTO'!$M$193</f>
        <v/>
      </c>
      <c r="D32" s="678">
        <f>CONFIG!$B$3</f>
        <v/>
      </c>
      <c r="E32" s="678">
        <f>C32-D32</f>
        <v/>
      </c>
      <c r="F32" s="700" t="n"/>
    </row>
    <row r="33" ht="14.25" customHeight="1" s="468">
      <c r="A33" s="676" t="n">
        <v>46263</v>
      </c>
      <c r="B33" s="677">
        <f>IF(D33&gt;0,COUNTIF($D$9:D33,"&gt;0"),"")</f>
        <v/>
      </c>
      <c r="C33" s="678">
        <f>'SEMANA AGOSTO'!$M$201</f>
        <v/>
      </c>
      <c r="D33" s="678">
        <f>CONFIG!$B$3</f>
        <v/>
      </c>
      <c r="E33" s="678">
        <f>C33-D33</f>
        <v/>
      </c>
      <c r="F33" s="679" t="inlineStr">
        <is>
          <t>Sábado - produção normal</t>
        </is>
      </c>
    </row>
    <row r="34" ht="14.25" customHeight="1" s="468">
      <c r="A34" s="676" t="n">
        <v>46265</v>
      </c>
      <c r="B34" s="677">
        <f>IF(D34&gt;0,COUNTIF($D$9:D34,"&gt;0"),"")</f>
        <v/>
      </c>
      <c r="C34" s="678">
        <f>'SEMANA AGOSTO'!$M$209</f>
        <v/>
      </c>
      <c r="D34" s="678">
        <f>CONFIG!$B$3</f>
        <v/>
      </c>
      <c r="E34" s="678">
        <f>C34-D34</f>
        <v/>
      </c>
      <c r="F34" s="700" t="n"/>
    </row>
    <row r="35" ht="14.25" customHeight="1" s="468">
      <c r="A35" s="692" t="n"/>
      <c r="B35" s="693" t="n"/>
      <c r="C35" s="693" t="n"/>
      <c r="D35" s="693" t="n"/>
      <c r="E35" s="693" t="n"/>
      <c r="F35" s="683" t="n"/>
    </row>
    <row r="36" ht="14.25" customHeight="1" s="468">
      <c r="A36" s="692" t="n"/>
      <c r="B36" s="693" t="n"/>
      <c r="C36" s="693" t="n"/>
      <c r="D36" s="693" t="n"/>
      <c r="E36" s="693" t="n"/>
      <c r="F36" s="683" t="n"/>
    </row>
    <row r="37" ht="14.25" customHeight="1" s="468">
      <c r="A37" s="692" t="n"/>
      <c r="B37" s="693" t="n"/>
      <c r="C37" s="693" t="n"/>
      <c r="D37" s="693" t="n"/>
      <c r="E37" s="693" t="n"/>
      <c r="F37" s="683" t="n"/>
    </row>
    <row r="38" ht="14.25" customHeight="1" s="468">
      <c r="A38" s="692" t="n"/>
      <c r="B38" s="693" t="n"/>
      <c r="C38" s="693" t="n"/>
      <c r="D38" s="693" t="n"/>
      <c r="E38" s="693" t="n"/>
      <c r="F38" s="683" t="n"/>
    </row>
    <row r="39" ht="14.25" customHeight="1" s="468">
      <c r="A39" s="692" t="n"/>
      <c r="B39" s="693" t="n"/>
      <c r="C39" s="693" t="n"/>
      <c r="D39" s="693" t="n"/>
      <c r="E39" s="693" t="n"/>
      <c r="F39" s="683" t="n"/>
    </row>
    <row r="40" ht="14.25" customHeight="1" s="468">
      <c r="A40" s="692" t="n"/>
      <c r="B40" s="693" t="n"/>
      <c r="C40" s="693" t="n"/>
      <c r="D40" s="693" t="n"/>
      <c r="E40" s="693" t="n"/>
      <c r="F40" s="683" t="n"/>
    </row>
    <row r="41" ht="14.25" customHeight="1" s="468">
      <c r="A41" s="692" t="n"/>
      <c r="B41" s="693" t="n"/>
      <c r="C41" s="693" t="n"/>
      <c r="D41" s="693" t="n"/>
      <c r="E41" s="693" t="n"/>
      <c r="F41" s="683" t="n"/>
    </row>
    <row r="42" ht="14.25" customHeight="1" s="468">
      <c r="A42" s="692" t="n"/>
      <c r="B42" s="693" t="n"/>
      <c r="C42" s="693" t="n"/>
      <c r="D42" s="693" t="n"/>
      <c r="E42" s="693" t="n"/>
      <c r="F42" s="683" t="n"/>
    </row>
    <row r="43" ht="14.25" customHeight="1" s="468">
      <c r="A43" s="692" t="n"/>
      <c r="B43" s="693" t="n"/>
      <c r="C43" s="693" t="n"/>
      <c r="D43" s="693" t="n"/>
      <c r="E43" s="693" t="n"/>
      <c r="F43" s="683" t="n"/>
    </row>
    <row r="44" ht="14.25" customHeight="1" s="468">
      <c r="A44" s="692" t="n"/>
      <c r="B44" s="693" t="n"/>
      <c r="C44" s="693" t="n"/>
      <c r="D44" s="693" t="n"/>
      <c r="E44" s="693" t="n"/>
      <c r="F44" s="683" t="n"/>
    </row>
    <row r="45" ht="14.25" customHeight="1" s="468">
      <c r="A45" s="692" t="n"/>
      <c r="B45" s="693" t="n"/>
      <c r="C45" s="693" t="n"/>
      <c r="D45" s="693" t="n"/>
      <c r="E45" s="693" t="n"/>
      <c r="F45" s="683" t="n"/>
    </row>
    <row r="46" ht="14.25" customHeight="1" s="468">
      <c r="A46" s="692" t="n"/>
      <c r="B46" s="693" t="n"/>
      <c r="C46" s="693" t="n"/>
      <c r="D46" s="693" t="n"/>
      <c r="E46" s="693" t="n"/>
      <c r="F46" s="683" t="n"/>
    </row>
    <row r="47" ht="14.25" customHeight="1" s="468">
      <c r="A47" s="692" t="n"/>
      <c r="B47" s="693" t="n"/>
      <c r="C47" s="693" t="n"/>
      <c r="D47" s="693" t="n"/>
      <c r="E47" s="693" t="n"/>
      <c r="F47" s="683" t="n"/>
    </row>
    <row r="48" ht="14.25" customHeight="1" s="468">
      <c r="A48" s="692" t="n"/>
      <c r="B48" s="693" t="n"/>
      <c r="C48" s="693" t="n"/>
      <c r="D48" s="693" t="n"/>
      <c r="E48" s="693" t="n"/>
      <c r="F48" s="683" t="n"/>
    </row>
    <row r="49" ht="14.25" customHeight="1" s="468">
      <c r="A49" s="692" t="n"/>
      <c r="B49" s="693" t="n"/>
      <c r="C49" s="693" t="n"/>
      <c r="D49" s="693" t="n"/>
      <c r="E49" s="693" t="n"/>
      <c r="F49" s="683" t="n"/>
    </row>
    <row r="50" ht="14.25" customHeight="1" s="468">
      <c r="A50" s="692" t="n"/>
      <c r="B50" s="693" t="n"/>
      <c r="C50" s="693" t="n"/>
      <c r="D50" s="693" t="n"/>
      <c r="E50" s="693" t="n"/>
      <c r="F50" s="683" t="n"/>
    </row>
    <row r="51" ht="14.25" customHeight="1" s="468">
      <c r="A51" s="692" t="n"/>
      <c r="B51" s="693" t="n"/>
      <c r="C51" s="693" t="n"/>
      <c r="D51" s="693" t="n"/>
      <c r="E51" s="693" t="n"/>
      <c r="F51" s="683" t="n"/>
    </row>
    <row r="52" ht="14.25" customHeight="1" s="468">
      <c r="A52" s="692" t="n"/>
      <c r="B52" s="693" t="n"/>
      <c r="C52" s="693" t="n"/>
      <c r="D52" s="693" t="n"/>
      <c r="E52" s="693" t="n"/>
      <c r="F52" s="683" t="n"/>
    </row>
    <row r="53" ht="14.25" customHeight="1" s="468">
      <c r="A53" s="692" t="n"/>
      <c r="B53" s="693" t="n"/>
      <c r="C53" s="693" t="n"/>
      <c r="D53" s="693" t="n"/>
      <c r="E53" s="693" t="n"/>
      <c r="F53" s="683" t="n"/>
    </row>
    <row r="54" ht="14.25" customHeight="1" s="468">
      <c r="A54" s="692" t="n"/>
      <c r="B54" s="693" t="n"/>
      <c r="C54" s="693" t="n"/>
      <c r="D54" s="693" t="n"/>
      <c r="E54" s="693" t="n"/>
      <c r="F54" s="683" t="n"/>
    </row>
    <row r="55" ht="14.25" customHeight="1" s="468">
      <c r="A55" s="692" t="n"/>
      <c r="B55" s="693" t="n"/>
      <c r="C55" s="693" t="n"/>
      <c r="D55" s="693" t="n"/>
      <c r="E55" s="693" t="n"/>
      <c r="F55" s="683" t="n"/>
    </row>
    <row r="56" ht="14.25" customHeight="1" s="468">
      <c r="A56" s="692" t="n"/>
      <c r="B56" s="693" t="n"/>
      <c r="C56" s="693" t="n"/>
      <c r="D56" s="693" t="n"/>
      <c r="E56" s="693" t="n"/>
      <c r="F56" s="683" t="n"/>
    </row>
    <row r="57" ht="14.25" customHeight="1" s="468">
      <c r="A57" s="692" t="n"/>
      <c r="B57" s="693" t="n"/>
      <c r="C57" s="693" t="n"/>
      <c r="D57" s="693" t="n"/>
      <c r="E57" s="693" t="n"/>
      <c r="F57" s="683" t="n"/>
    </row>
    <row r="58" ht="14.25" customHeight="1" s="468">
      <c r="A58" s="692" t="n"/>
      <c r="B58" s="693" t="n"/>
      <c r="C58" s="693" t="n"/>
      <c r="D58" s="693" t="n"/>
      <c r="E58" s="693" t="n"/>
      <c r="F58" s="683" t="n"/>
    </row>
    <row r="59" ht="14.25" customHeight="1" s="468">
      <c r="A59" s="692" t="n"/>
      <c r="B59" s="693" t="n"/>
      <c r="C59" s="693" t="n"/>
      <c r="D59" s="693" t="n"/>
      <c r="E59" s="693" t="n"/>
      <c r="F59" s="683" t="n"/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tabColor rgb="FFC96B0A"/>
    <outlinePr summaryBelow="1" summaryRight="1"/>
    <pageSetUpPr/>
  </sheetPr>
  <dimension ref="B1:N300"/>
  <sheetViews>
    <sheetView showGridLines="0" zoomScaleNormal="100" workbookViewId="0">
      <selection activeCell="A1" sqref="A1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5" min="14" max="14"/>
  </cols>
  <sheetData>
    <row r="1" ht="21.75" customHeight="1" s="468">
      <c r="B1" s="511" t="inlineStr">
        <is>
          <t>ORDEM DE PRODUÇÃO - SETEMBRO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179" t="inlineStr">
        <is>
          <t>OP</t>
        </is>
      </c>
      <c r="C3" s="519" t="inlineStr">
        <is>
          <t xml:space="preserve">LOTE </t>
        </is>
      </c>
      <c r="D3" s="454" t="n"/>
      <c r="E3" s="519" t="inlineStr">
        <is>
          <t>LOTE CLIENTE</t>
        </is>
      </c>
      <c r="F3" s="454" t="n"/>
      <c r="G3" s="519" t="inlineStr">
        <is>
          <t>PRODUTO</t>
        </is>
      </c>
      <c r="H3" s="456" t="n"/>
      <c r="I3" s="456" t="n"/>
      <c r="J3" s="454" t="n"/>
      <c r="K3" s="519" t="inlineStr">
        <is>
          <t>CLIENTE</t>
        </is>
      </c>
      <c r="L3" s="454" t="n"/>
      <c r="M3" s="180" t="inlineStr">
        <is>
          <t>QTDE(Kg)</t>
        </is>
      </c>
      <c r="N3" s="417" t="inlineStr">
        <is>
          <t>FABRICAÇÃO</t>
        </is>
      </c>
    </row>
    <row r="4" ht="17.25" customHeight="1" s="468">
      <c r="B4" s="262" t="n"/>
      <c r="C4" s="510" t="n"/>
      <c r="D4" s="484" t="n"/>
      <c r="E4" s="510" t="n"/>
      <c r="F4" s="484" t="n"/>
      <c r="G4" s="510" t="n"/>
      <c r="H4" s="483" t="n"/>
      <c r="I4" s="483" t="n"/>
      <c r="J4" s="484" t="n"/>
      <c r="K4" s="510" t="n"/>
      <c r="L4" s="484" t="n"/>
      <c r="M4" s="263" t="n"/>
      <c r="N4" s="417" t="n"/>
    </row>
    <row r="5" ht="17.25" customHeight="1" s="468">
      <c r="B5" s="20" t="n"/>
      <c r="C5" s="490" t="n"/>
      <c r="D5" s="486" t="n"/>
      <c r="E5" s="490" t="n"/>
      <c r="F5" s="486" t="n"/>
      <c r="G5" s="490" t="n"/>
      <c r="H5" s="488" t="n"/>
      <c r="I5" s="488" t="n"/>
      <c r="J5" s="486" t="n"/>
      <c r="K5" s="490" t="n"/>
      <c r="L5" s="486" t="n"/>
      <c r="M5" s="21" t="n"/>
      <c r="N5" s="417" t="n"/>
    </row>
    <row r="6" ht="17.25" customHeight="1" s="468">
      <c r="B6" s="18" t="n"/>
      <c r="C6" s="485" t="n"/>
      <c r="D6" s="486" t="n"/>
      <c r="E6" s="485" t="n"/>
      <c r="F6" s="486" t="n"/>
      <c r="G6" s="485" t="n"/>
      <c r="H6" s="488" t="n"/>
      <c r="I6" s="488" t="n"/>
      <c r="J6" s="486" t="n"/>
      <c r="K6" s="485" t="n"/>
      <c r="L6" s="486" t="n"/>
      <c r="M6" s="22" t="n"/>
      <c r="N6" s="417" t="n"/>
    </row>
    <row r="7" ht="17.25" customHeight="1" s="468">
      <c r="B7" s="20" t="n"/>
      <c r="C7" s="490" t="n"/>
      <c r="D7" s="486" t="n"/>
      <c r="E7" s="490" t="n"/>
      <c r="F7" s="486" t="n"/>
      <c r="G7" s="490" t="n"/>
      <c r="H7" s="488" t="n"/>
      <c r="I7" s="488" t="n"/>
      <c r="J7" s="486" t="n"/>
      <c r="K7" s="490" t="n"/>
      <c r="L7" s="486" t="n"/>
      <c r="M7" s="23" t="n"/>
      <c r="N7" s="417" t="n"/>
    </row>
    <row r="8" ht="17.25" customHeight="1" s="468">
      <c r="B8" s="18" t="n"/>
      <c r="C8" s="485" t="n"/>
      <c r="D8" s="486" t="n"/>
      <c r="E8" s="485" t="n"/>
      <c r="F8" s="486" t="n"/>
      <c r="G8" s="485" t="n"/>
      <c r="H8" s="488" t="n"/>
      <c r="I8" s="488" t="n"/>
      <c r="J8" s="486" t="n"/>
      <c r="K8" s="485" t="n"/>
      <c r="L8" s="486" t="n"/>
      <c r="M8" s="22" t="n"/>
      <c r="N8" s="417" t="n"/>
    </row>
    <row r="9" ht="17.25" customHeight="1" s="468">
      <c r="B9" s="20" t="n"/>
      <c r="C9" s="490" t="n"/>
      <c r="D9" s="486" t="n"/>
      <c r="E9" s="490" t="n"/>
      <c r="F9" s="486" t="n"/>
      <c r="G9" s="490" t="n"/>
      <c r="H9" s="488" t="n"/>
      <c r="I9" s="488" t="n"/>
      <c r="J9" s="486" t="n"/>
      <c r="K9" s="490" t="n"/>
      <c r="L9" s="486" t="n"/>
      <c r="M9" s="21" t="n"/>
      <c r="N9" s="417" t="n"/>
    </row>
    <row r="10" ht="17.25" customHeight="1" s="468">
      <c r="B10" s="18" t="n"/>
      <c r="C10" s="485" t="n"/>
      <c r="D10" s="486" t="n"/>
      <c r="E10" s="485" t="n"/>
      <c r="F10" s="486" t="n"/>
      <c r="G10" s="485" t="n"/>
      <c r="H10" s="488" t="n"/>
      <c r="I10" s="488" t="n"/>
      <c r="J10" s="486" t="n"/>
      <c r="K10" s="485" t="n"/>
      <c r="L10" s="486" t="n"/>
      <c r="M10" s="19" t="n"/>
      <c r="N10" s="417" t="n"/>
    </row>
    <row r="11" ht="17.25" customHeight="1" s="468">
      <c r="B11" s="20" t="n"/>
      <c r="C11" s="490" t="n"/>
      <c r="D11" s="486" t="n"/>
      <c r="E11" s="490" t="n"/>
      <c r="F11" s="486" t="n"/>
      <c r="G11" s="490" t="n"/>
      <c r="H11" s="488" t="n"/>
      <c r="I11" s="488" t="n"/>
      <c r="J11" s="486" t="n"/>
      <c r="K11" s="490" t="n"/>
      <c r="L11" s="486" t="n"/>
      <c r="M11" s="21" t="n"/>
      <c r="N11" s="417" t="n"/>
    </row>
    <row r="12" ht="17.25" customHeight="1" s="468">
      <c r="B12" s="18" t="n"/>
      <c r="C12" s="485" t="n"/>
      <c r="D12" s="486" t="n"/>
      <c r="E12" s="485" t="n"/>
      <c r="F12" s="486" t="n"/>
      <c r="G12" s="485" t="n"/>
      <c r="H12" s="488" t="n"/>
      <c r="I12" s="488" t="n"/>
      <c r="J12" s="486" t="n"/>
      <c r="K12" s="485" t="n"/>
      <c r="L12" s="486" t="n"/>
      <c r="M12" s="19" t="n"/>
      <c r="N12" s="417" t="n"/>
    </row>
    <row r="13" ht="17.25" customHeight="1" s="468">
      <c r="B13" s="20" t="n"/>
      <c r="C13" s="490" t="n"/>
      <c r="D13" s="486" t="n"/>
      <c r="E13" s="490" t="n"/>
      <c r="F13" s="486" t="n"/>
      <c r="G13" s="490" t="n"/>
      <c r="H13" s="488" t="n"/>
      <c r="I13" s="488" t="n"/>
      <c r="J13" s="486" t="n"/>
      <c r="K13" s="490" t="n"/>
      <c r="L13" s="486" t="n"/>
      <c r="M13" s="21" t="n"/>
      <c r="N13" s="417" t="n"/>
    </row>
    <row r="14" ht="17.25" customHeight="1" s="468">
      <c r="B14" s="18" t="n"/>
      <c r="C14" s="485" t="n"/>
      <c r="D14" s="486" t="n"/>
      <c r="E14" s="485" t="n"/>
      <c r="F14" s="486" t="n"/>
      <c r="G14" s="485" t="n"/>
      <c r="H14" s="488" t="n"/>
      <c r="I14" s="488" t="n"/>
      <c r="J14" s="486" t="n"/>
      <c r="K14" s="485" t="n"/>
      <c r="L14" s="486" t="n"/>
      <c r="M14" s="19" t="n"/>
      <c r="N14" s="417" t="n"/>
    </row>
    <row r="15" ht="17.25" customHeight="1" s="468">
      <c r="B15" s="20" t="n"/>
      <c r="C15" s="490" t="n"/>
      <c r="D15" s="486" t="n"/>
      <c r="E15" s="490" t="n"/>
      <c r="F15" s="486" t="n"/>
      <c r="G15" s="490" t="n"/>
      <c r="H15" s="488" t="n"/>
      <c r="I15" s="488" t="n"/>
      <c r="J15" s="486" t="n"/>
      <c r="K15" s="490" t="n"/>
      <c r="L15" s="486" t="n"/>
      <c r="M15" s="21" t="n"/>
      <c r="N15" s="417" t="n"/>
    </row>
    <row r="16" ht="17.25" customHeight="1" s="468">
      <c r="B16" s="18" t="n"/>
      <c r="C16" s="485" t="n"/>
      <c r="D16" s="486" t="n"/>
      <c r="E16" s="485" t="n"/>
      <c r="F16" s="486" t="n"/>
      <c r="G16" s="485" t="n"/>
      <c r="H16" s="488" t="n"/>
      <c r="I16" s="488" t="n"/>
      <c r="J16" s="486" t="n"/>
      <c r="K16" s="485" t="n"/>
      <c r="L16" s="486" t="n"/>
      <c r="M16" s="19" t="n"/>
      <c r="N16" s="417" t="n"/>
    </row>
    <row r="17" ht="17.25" customHeight="1" s="468">
      <c r="B17" s="20" t="n"/>
      <c r="C17" s="490" t="n"/>
      <c r="D17" s="486" t="n"/>
      <c r="E17" s="490" t="n"/>
      <c r="F17" s="486" t="n"/>
      <c r="G17" s="490" t="n"/>
      <c r="H17" s="488" t="n"/>
      <c r="I17" s="488" t="n"/>
      <c r="J17" s="486" t="n"/>
      <c r="K17" s="490" t="n"/>
      <c r="L17" s="486" t="n"/>
      <c r="M17" s="23" t="n"/>
      <c r="N17" s="417" t="n"/>
    </row>
    <row r="18" ht="17.25" customHeight="1" s="468">
      <c r="B18" s="18" t="n"/>
      <c r="C18" s="485" t="n"/>
      <c r="D18" s="486" t="n"/>
      <c r="E18" s="485" t="n"/>
      <c r="F18" s="486" t="n"/>
      <c r="G18" s="485" t="n"/>
      <c r="H18" s="488" t="n"/>
      <c r="I18" s="488" t="n"/>
      <c r="J18" s="486" t="n"/>
      <c r="K18" s="485" t="n"/>
      <c r="L18" s="486" t="n"/>
      <c r="M18" s="19" t="n"/>
      <c r="N18" s="417" t="n"/>
    </row>
    <row r="19" ht="17.25" customHeight="1" s="468">
      <c r="B19" s="20" t="n"/>
      <c r="C19" s="490" t="n"/>
      <c r="D19" s="486" t="n"/>
      <c r="E19" s="490" t="n"/>
      <c r="F19" s="486" t="n"/>
      <c r="G19" s="490" t="n"/>
      <c r="H19" s="488" t="n"/>
      <c r="I19" s="488" t="n"/>
      <c r="J19" s="486" t="n"/>
      <c r="K19" s="490" t="n"/>
      <c r="L19" s="486" t="n"/>
      <c r="M19" s="21" t="n"/>
      <c r="N19" s="417" t="n"/>
    </row>
    <row r="20" ht="17.25" customHeight="1" s="468">
      <c r="B20" s="18" t="n"/>
      <c r="C20" s="485" t="n"/>
      <c r="D20" s="486" t="n"/>
      <c r="E20" s="485" t="n"/>
      <c r="F20" s="486" t="n"/>
      <c r="G20" s="485" t="n"/>
      <c r="H20" s="488" t="n"/>
      <c r="I20" s="488" t="n"/>
      <c r="J20" s="486" t="n"/>
      <c r="K20" s="485" t="n"/>
      <c r="L20" s="486" t="n"/>
      <c r="M20" s="19" t="n"/>
      <c r="N20" s="417" t="n"/>
    </row>
    <row r="21" ht="17.25" customHeight="1" s="468">
      <c r="B21" s="20" t="n"/>
      <c r="C21" s="490" t="n"/>
      <c r="D21" s="486" t="n"/>
      <c r="E21" s="490" t="n"/>
      <c r="F21" s="486" t="n"/>
      <c r="G21" s="490" t="n"/>
      <c r="H21" s="488" t="n"/>
      <c r="I21" s="488" t="n"/>
      <c r="J21" s="486" t="n"/>
      <c r="K21" s="490" t="n"/>
      <c r="L21" s="486" t="n"/>
      <c r="M21" s="21" t="n"/>
      <c r="N21" s="417" t="n"/>
    </row>
    <row r="22" ht="17.25" customHeight="1" s="468">
      <c r="B22" s="18" t="n"/>
      <c r="C22" s="485" t="n"/>
      <c r="D22" s="486" t="n"/>
      <c r="E22" s="485" t="n"/>
      <c r="F22" s="486" t="n"/>
      <c r="G22" s="485" t="n"/>
      <c r="H22" s="488" t="n"/>
      <c r="I22" s="488" t="n"/>
      <c r="J22" s="486" t="n"/>
      <c r="K22" s="485" t="n"/>
      <c r="L22" s="486" t="n"/>
      <c r="M22" s="19" t="n"/>
      <c r="N22" s="417" t="n"/>
    </row>
    <row r="23" ht="17.25" customHeight="1" s="468">
      <c r="B23" s="20" t="n"/>
      <c r="C23" s="490" t="n"/>
      <c r="D23" s="486" t="n"/>
      <c r="E23" s="490" t="n"/>
      <c r="F23" s="486" t="n"/>
      <c r="G23" s="490" t="n"/>
      <c r="H23" s="488" t="n"/>
      <c r="I23" s="488" t="n"/>
      <c r="J23" s="486" t="n"/>
      <c r="K23" s="490" t="n"/>
      <c r="L23" s="486" t="n"/>
      <c r="M23" s="21" t="n"/>
      <c r="N23" s="417" t="n"/>
    </row>
    <row r="24" ht="17.25" customHeight="1" s="468">
      <c r="B24" s="18" t="n"/>
      <c r="C24" s="485" t="n"/>
      <c r="D24" s="486" t="n"/>
      <c r="E24" s="485" t="n"/>
      <c r="F24" s="486" t="n"/>
      <c r="G24" s="485" t="n"/>
      <c r="H24" s="488" t="n"/>
      <c r="I24" s="488" t="n"/>
      <c r="J24" s="486" t="n"/>
      <c r="K24" s="485" t="n"/>
      <c r="L24" s="486" t="n"/>
      <c r="M24" s="19" t="n"/>
      <c r="N24" s="417" t="n"/>
    </row>
    <row r="25" ht="17.25" customHeight="1" s="468">
      <c r="B25" s="20" t="n"/>
      <c r="C25" s="490" t="n"/>
      <c r="D25" s="486" t="n"/>
      <c r="E25" s="490" t="n"/>
      <c r="F25" s="486" t="n"/>
      <c r="G25" s="490" t="n"/>
      <c r="H25" s="488" t="n"/>
      <c r="I25" s="488" t="n"/>
      <c r="J25" s="486" t="n"/>
      <c r="K25" s="490" t="n"/>
      <c r="L25" s="486" t="n"/>
      <c r="M25" s="23" t="n"/>
      <c r="N25" s="417" t="n"/>
    </row>
    <row r="26" ht="17.25" customHeight="1" s="468">
      <c r="B26" s="18" t="n"/>
      <c r="C26" s="485" t="n"/>
      <c r="D26" s="486" t="n"/>
      <c r="E26" s="485" t="n"/>
      <c r="F26" s="486" t="n"/>
      <c r="G26" s="485" t="n"/>
      <c r="H26" s="488" t="n"/>
      <c r="I26" s="488" t="n"/>
      <c r="J26" s="486" t="n"/>
      <c r="K26" s="485" t="n"/>
      <c r="L26" s="486" t="n"/>
      <c r="M26" s="19" t="n"/>
      <c r="N26" s="417" t="n"/>
    </row>
    <row r="27" ht="17.25" customHeight="1" s="468">
      <c r="B27" s="20" t="n"/>
      <c r="C27" s="490" t="n"/>
      <c r="D27" s="486" t="n"/>
      <c r="E27" s="490" t="n"/>
      <c r="F27" s="486" t="n"/>
      <c r="G27" s="490" t="n"/>
      <c r="H27" s="488" t="n"/>
      <c r="I27" s="488" t="n"/>
      <c r="J27" s="486" t="n"/>
      <c r="K27" s="490" t="n"/>
      <c r="L27" s="486" t="n"/>
      <c r="M27" s="21" t="n"/>
      <c r="N27" s="417" t="n"/>
    </row>
    <row r="28" ht="17.25" customHeight="1" s="468">
      <c r="B28" s="18" t="n"/>
      <c r="C28" s="485" t="n"/>
      <c r="D28" s="486" t="n"/>
      <c r="E28" s="485" t="n"/>
      <c r="F28" s="486" t="n"/>
      <c r="G28" s="485" t="n"/>
      <c r="H28" s="488" t="n"/>
      <c r="I28" s="488" t="n"/>
      <c r="J28" s="486" t="n"/>
      <c r="K28" s="485" t="n"/>
      <c r="L28" s="486" t="n"/>
      <c r="M28" s="19" t="n"/>
      <c r="N28" s="417" t="n"/>
    </row>
    <row r="29" ht="17.25" customHeight="1" s="468">
      <c r="B29" s="20" t="n"/>
      <c r="C29" s="490" t="n"/>
      <c r="D29" s="486" t="n"/>
      <c r="E29" s="490" t="n"/>
      <c r="F29" s="486" t="n"/>
      <c r="G29" s="490" t="n"/>
      <c r="H29" s="488" t="n"/>
      <c r="I29" s="488" t="n"/>
      <c r="J29" s="486" t="n"/>
      <c r="K29" s="490" t="n"/>
      <c r="L29" s="486" t="n"/>
      <c r="M29" s="21" t="n"/>
      <c r="N29" s="417" t="n"/>
    </row>
    <row r="30" ht="17.25" customHeight="1" s="468">
      <c r="B30" s="18" t="n"/>
      <c r="C30" s="485" t="n"/>
      <c r="D30" s="486" t="n"/>
      <c r="E30" s="485" t="n"/>
      <c r="F30" s="486" t="n"/>
      <c r="G30" s="485" t="n"/>
      <c r="H30" s="488" t="n"/>
      <c r="I30" s="488" t="n"/>
      <c r="J30" s="486" t="n"/>
      <c r="K30" s="485" t="n"/>
      <c r="L30" s="486" t="n"/>
      <c r="M30" s="19" t="n"/>
      <c r="N30" s="417" t="n"/>
    </row>
    <row r="31" ht="17.25" customHeight="1" s="468">
      <c r="B31" s="20" t="n"/>
      <c r="C31" s="490" t="n"/>
      <c r="D31" s="486" t="n"/>
      <c r="E31" s="490" t="n"/>
      <c r="F31" s="486" t="n"/>
      <c r="G31" s="490" t="n"/>
      <c r="H31" s="488" t="n"/>
      <c r="I31" s="488" t="n"/>
      <c r="J31" s="486" t="n"/>
      <c r="K31" s="490" t="n"/>
      <c r="L31" s="486" t="n"/>
      <c r="M31" s="21" t="n"/>
      <c r="N31" s="417" t="n"/>
    </row>
    <row r="32" ht="17.25" customHeight="1" s="468">
      <c r="B32" s="18" t="n"/>
      <c r="C32" s="485" t="n"/>
      <c r="D32" s="486" t="n"/>
      <c r="E32" s="485" t="n"/>
      <c r="F32" s="486" t="n"/>
      <c r="G32" s="485" t="n"/>
      <c r="H32" s="488" t="n"/>
      <c r="I32" s="488" t="n"/>
      <c r="J32" s="486" t="n"/>
      <c r="K32" s="485" t="n"/>
      <c r="L32" s="486" t="n"/>
      <c r="M32" s="19" t="n"/>
      <c r="N32" s="417" t="n"/>
    </row>
    <row r="33" ht="17.25" customHeight="1" s="468">
      <c r="B33" s="20" t="n"/>
      <c r="C33" s="490" t="n"/>
      <c r="D33" s="486" t="n"/>
      <c r="E33" s="490" t="n"/>
      <c r="F33" s="486" t="n"/>
      <c r="G33" s="490" t="n"/>
      <c r="H33" s="488" t="n"/>
      <c r="I33" s="488" t="n"/>
      <c r="J33" s="486" t="n"/>
      <c r="K33" s="490" t="n"/>
      <c r="L33" s="486" t="n"/>
      <c r="M33" s="21" t="n"/>
      <c r="N33" s="417" t="n"/>
    </row>
    <row r="34" ht="17.25" customHeight="1" s="468">
      <c r="B34" s="18" t="n"/>
      <c r="C34" s="485" t="n"/>
      <c r="D34" s="486" t="n"/>
      <c r="E34" s="485" t="n"/>
      <c r="F34" s="486" t="n"/>
      <c r="G34" s="485" t="n"/>
      <c r="H34" s="488" t="n"/>
      <c r="I34" s="488" t="n"/>
      <c r="J34" s="486" t="n"/>
      <c r="K34" s="485" t="n"/>
      <c r="L34" s="486" t="n"/>
      <c r="M34" s="22" t="n"/>
      <c r="N34" s="417" t="n"/>
    </row>
    <row r="35" ht="17.25" customHeight="1" s="468">
      <c r="B35" s="20" t="n"/>
      <c r="C35" s="490" t="n"/>
      <c r="D35" s="486" t="n"/>
      <c r="E35" s="490" t="n"/>
      <c r="F35" s="486" t="n"/>
      <c r="G35" s="490" t="n"/>
      <c r="H35" s="488" t="n"/>
      <c r="I35" s="488" t="n"/>
      <c r="J35" s="486" t="n"/>
      <c r="K35" s="490" t="n"/>
      <c r="L35" s="486" t="n"/>
      <c r="M35" s="21" t="n"/>
      <c r="N35" s="417" t="n"/>
    </row>
    <row r="36" ht="17.25" customHeight="1" s="468">
      <c r="B36" s="18" t="n"/>
      <c r="C36" s="485" t="n"/>
      <c r="D36" s="486" t="n"/>
      <c r="E36" s="485" t="n"/>
      <c r="F36" s="486" t="n"/>
      <c r="G36" s="485" t="n"/>
      <c r="H36" s="488" t="n"/>
      <c r="I36" s="488" t="n"/>
      <c r="J36" s="486" t="n"/>
      <c r="K36" s="485" t="n"/>
      <c r="L36" s="486" t="n"/>
      <c r="M36" s="19" t="n"/>
      <c r="N36" s="417" t="n"/>
    </row>
    <row r="37" ht="17.25" customHeight="1" s="468">
      <c r="B37" s="20" t="n"/>
      <c r="C37" s="490" t="n"/>
      <c r="D37" s="486" t="n"/>
      <c r="E37" s="490" t="n"/>
      <c r="F37" s="486" t="n"/>
      <c r="G37" s="490" t="n"/>
      <c r="H37" s="488" t="n"/>
      <c r="I37" s="488" t="n"/>
      <c r="J37" s="486" t="n"/>
      <c r="K37" s="490" t="n"/>
      <c r="L37" s="486" t="n"/>
      <c r="M37" s="21" t="n"/>
      <c r="N37" s="417" t="n"/>
    </row>
    <row r="38" ht="17.25" customHeight="1" s="468">
      <c r="B38" s="18" t="n"/>
      <c r="C38" s="485" t="n"/>
      <c r="D38" s="486" t="n"/>
      <c r="E38" s="485" t="n"/>
      <c r="F38" s="486" t="n"/>
      <c r="G38" s="485" t="n"/>
      <c r="H38" s="488" t="n"/>
      <c r="I38" s="488" t="n"/>
      <c r="J38" s="486" t="n"/>
      <c r="K38" s="485" t="n"/>
      <c r="L38" s="486" t="n"/>
      <c r="M38" s="19" t="n"/>
      <c r="N38" s="417" t="n"/>
    </row>
    <row r="39" ht="17.25" customHeight="1" s="468">
      <c r="B39" s="20" t="n"/>
      <c r="C39" s="490" t="n"/>
      <c r="D39" s="486" t="n"/>
      <c r="E39" s="490" t="n"/>
      <c r="F39" s="486" t="n"/>
      <c r="G39" s="490" t="n"/>
      <c r="H39" s="488" t="n"/>
      <c r="I39" s="488" t="n"/>
      <c r="J39" s="486" t="n"/>
      <c r="K39" s="490" t="n"/>
      <c r="L39" s="486" t="n"/>
      <c r="M39" s="21" t="n"/>
      <c r="N39" s="417" t="n"/>
    </row>
    <row r="40" ht="17.25" customHeight="1" s="468">
      <c r="B40" s="18" t="n"/>
      <c r="C40" s="485" t="n"/>
      <c r="D40" s="486" t="n"/>
      <c r="E40" s="485" t="n"/>
      <c r="F40" s="486" t="n"/>
      <c r="G40" s="485" t="n"/>
      <c r="H40" s="488" t="n"/>
      <c r="I40" s="488" t="n"/>
      <c r="J40" s="486" t="n"/>
      <c r="K40" s="485" t="n"/>
      <c r="L40" s="486" t="n"/>
      <c r="M40" s="19" t="n"/>
      <c r="N40" s="417" t="n"/>
    </row>
    <row r="41" ht="17.25" customHeight="1" s="468">
      <c r="B41" s="20" t="n"/>
      <c r="C41" s="490" t="n"/>
      <c r="D41" s="486" t="n"/>
      <c r="E41" s="490" t="n"/>
      <c r="F41" s="486" t="n"/>
      <c r="G41" s="490" t="n"/>
      <c r="H41" s="488" t="n"/>
      <c r="I41" s="488" t="n"/>
      <c r="J41" s="486" t="n"/>
      <c r="K41" s="490" t="n"/>
      <c r="L41" s="486" t="n"/>
      <c r="M41" s="21" t="n"/>
      <c r="N41" s="417" t="n"/>
    </row>
    <row r="42" ht="17.25" customHeight="1" s="468">
      <c r="B42" s="18" t="n"/>
      <c r="C42" s="485" t="n"/>
      <c r="D42" s="486" t="n"/>
      <c r="E42" s="485" t="n"/>
      <c r="F42" s="486" t="n"/>
      <c r="G42" s="485" t="n"/>
      <c r="H42" s="488" t="n"/>
      <c r="I42" s="488" t="n"/>
      <c r="J42" s="486" t="n"/>
      <c r="K42" s="485" t="n"/>
      <c r="L42" s="486" t="n"/>
      <c r="M42" s="22" t="n"/>
      <c r="N42" s="417" t="n"/>
    </row>
    <row r="43" ht="17.25" customHeight="1" s="468">
      <c r="B43" s="20" t="n"/>
      <c r="C43" s="490" t="n"/>
      <c r="D43" s="486" t="n"/>
      <c r="E43" s="490" t="n"/>
      <c r="F43" s="486" t="n"/>
      <c r="G43" s="490" t="n"/>
      <c r="H43" s="488" t="n"/>
      <c r="I43" s="488" t="n"/>
      <c r="J43" s="486" t="n"/>
      <c r="K43" s="490" t="n"/>
      <c r="L43" s="486" t="n"/>
      <c r="M43" s="21" t="n"/>
      <c r="N43" s="417" t="n"/>
    </row>
    <row r="44" ht="17.25" customHeight="1" s="468">
      <c r="B44" s="18" t="n"/>
      <c r="C44" s="485" t="n"/>
      <c r="D44" s="486" t="n"/>
      <c r="E44" s="485" t="n"/>
      <c r="F44" s="486" t="n"/>
      <c r="G44" s="485" t="n"/>
      <c r="H44" s="488" t="n"/>
      <c r="I44" s="488" t="n"/>
      <c r="J44" s="486" t="n"/>
      <c r="K44" s="485" t="n"/>
      <c r="L44" s="486" t="n"/>
      <c r="M44" s="19" t="n"/>
      <c r="N44" s="417" t="n"/>
    </row>
    <row r="45" ht="17.25" customHeight="1" s="468">
      <c r="B45" s="20" t="n"/>
      <c r="C45" s="490" t="n"/>
      <c r="D45" s="486" t="n"/>
      <c r="E45" s="490" t="n"/>
      <c r="F45" s="486" t="n"/>
      <c r="G45" s="490" t="n"/>
      <c r="H45" s="488" t="n"/>
      <c r="I45" s="488" t="n"/>
      <c r="J45" s="486" t="n"/>
      <c r="K45" s="490" t="n"/>
      <c r="L45" s="486" t="n"/>
      <c r="M45" s="21" t="n"/>
      <c r="N45" s="417" t="n"/>
    </row>
    <row r="46" ht="17.25" customHeight="1" s="468">
      <c r="B46" s="18" t="n"/>
      <c r="C46" s="485" t="n"/>
      <c r="D46" s="486" t="n"/>
      <c r="E46" s="485" t="n"/>
      <c r="F46" s="486" t="n"/>
      <c r="G46" s="485" t="n"/>
      <c r="H46" s="488" t="n"/>
      <c r="I46" s="488" t="n"/>
      <c r="J46" s="486" t="n"/>
      <c r="K46" s="485" t="n"/>
      <c r="L46" s="486" t="n"/>
      <c r="M46" s="19" t="n"/>
      <c r="N46" s="417" t="n"/>
    </row>
    <row r="47" ht="17.25" customHeight="1" s="468">
      <c r="B47" s="20" t="n"/>
      <c r="C47" s="490" t="n"/>
      <c r="D47" s="486" t="n"/>
      <c r="E47" s="490" t="n"/>
      <c r="F47" s="486" t="n"/>
      <c r="G47" s="490" t="n"/>
      <c r="H47" s="488" t="n"/>
      <c r="I47" s="488" t="n"/>
      <c r="J47" s="486" t="n"/>
      <c r="K47" s="490" t="n"/>
      <c r="L47" s="486" t="n"/>
      <c r="M47" s="21" t="n"/>
      <c r="N47" s="417" t="n"/>
    </row>
    <row r="48" ht="17.25" customHeight="1" s="468">
      <c r="B48" s="18" t="n"/>
      <c r="C48" s="485" t="n"/>
      <c r="D48" s="486" t="n"/>
      <c r="E48" s="485" t="n"/>
      <c r="F48" s="486" t="n"/>
      <c r="G48" s="485" t="n"/>
      <c r="H48" s="488" t="n"/>
      <c r="I48" s="488" t="n"/>
      <c r="J48" s="486" t="n"/>
      <c r="K48" s="485" t="n"/>
      <c r="L48" s="486" t="n"/>
      <c r="M48" s="19" t="n"/>
      <c r="N48" s="417" t="n"/>
    </row>
    <row r="49" ht="17.25" customHeight="1" s="468">
      <c r="B49" s="20" t="n"/>
      <c r="C49" s="490" t="n"/>
      <c r="D49" s="486" t="n"/>
      <c r="E49" s="490" t="n"/>
      <c r="F49" s="486" t="n"/>
      <c r="G49" s="490" t="n"/>
      <c r="H49" s="488" t="n"/>
      <c r="I49" s="488" t="n"/>
      <c r="J49" s="486" t="n"/>
      <c r="K49" s="490" t="n"/>
      <c r="L49" s="486" t="n"/>
      <c r="M49" s="21" t="n"/>
      <c r="N49" s="417" t="n"/>
    </row>
    <row r="50" ht="17.25" customHeight="1" s="468">
      <c r="B50" s="18" t="n"/>
      <c r="C50" s="485" t="n"/>
      <c r="D50" s="486" t="n"/>
      <c r="E50" s="485" t="n"/>
      <c r="F50" s="486" t="n"/>
      <c r="G50" s="485" t="n"/>
      <c r="H50" s="488" t="n"/>
      <c r="I50" s="488" t="n"/>
      <c r="J50" s="486" t="n"/>
      <c r="K50" s="485" t="n"/>
      <c r="L50" s="486" t="n"/>
      <c r="M50" s="19" t="n"/>
      <c r="N50" s="417" t="n"/>
    </row>
    <row r="51" ht="17.25" customHeight="1" s="468">
      <c r="B51" s="20" t="n"/>
      <c r="C51" s="490" t="n"/>
      <c r="D51" s="486" t="n"/>
      <c r="E51" s="490" t="n"/>
      <c r="F51" s="486" t="n"/>
      <c r="G51" s="490" t="n"/>
      <c r="H51" s="488" t="n"/>
      <c r="I51" s="488" t="n"/>
      <c r="J51" s="486" t="n"/>
      <c r="K51" s="490" t="n"/>
      <c r="L51" s="486" t="n"/>
      <c r="M51" s="23" t="n"/>
      <c r="N51" s="417" t="n"/>
    </row>
    <row r="52" ht="17.25" customHeight="1" s="468">
      <c r="B52" s="18" t="n"/>
      <c r="C52" s="485" t="n"/>
      <c r="D52" s="486" t="n"/>
      <c r="E52" s="485" t="n"/>
      <c r="F52" s="486" t="n"/>
      <c r="G52" s="485" t="n"/>
      <c r="H52" s="488" t="n"/>
      <c r="I52" s="488" t="n"/>
      <c r="J52" s="486" t="n"/>
      <c r="K52" s="485" t="n"/>
      <c r="L52" s="486" t="n"/>
      <c r="M52" s="19" t="n"/>
      <c r="N52" s="417" t="n"/>
    </row>
    <row r="53" ht="17.25" customHeight="1" s="468">
      <c r="B53" s="20" t="n"/>
      <c r="C53" s="490" t="n"/>
      <c r="D53" s="486" t="n"/>
      <c r="E53" s="490" t="n"/>
      <c r="F53" s="486" t="n"/>
      <c r="G53" s="490" t="n"/>
      <c r="H53" s="488" t="n"/>
      <c r="I53" s="488" t="n"/>
      <c r="J53" s="486" t="n"/>
      <c r="K53" s="490" t="n"/>
      <c r="L53" s="486" t="n"/>
      <c r="M53" s="21" t="n"/>
      <c r="N53" s="417" t="n"/>
    </row>
    <row r="54" ht="17.25" customHeight="1" s="468">
      <c r="B54" s="18" t="n"/>
      <c r="C54" s="485" t="n"/>
      <c r="D54" s="486" t="n"/>
      <c r="E54" s="485" t="n"/>
      <c r="F54" s="486" t="n"/>
      <c r="G54" s="485" t="n"/>
      <c r="H54" s="488" t="n"/>
      <c r="I54" s="488" t="n"/>
      <c r="J54" s="486" t="n"/>
      <c r="K54" s="485" t="n"/>
      <c r="L54" s="486" t="n"/>
      <c r="M54" s="19" t="n"/>
      <c r="N54" s="417" t="n"/>
    </row>
    <row r="55" ht="17.25" customHeight="1" s="468">
      <c r="B55" s="20" t="n"/>
      <c r="C55" s="490" t="n"/>
      <c r="D55" s="486" t="n"/>
      <c r="E55" s="490" t="n"/>
      <c r="F55" s="486" t="n"/>
      <c r="G55" s="490" t="n"/>
      <c r="H55" s="488" t="n"/>
      <c r="I55" s="488" t="n"/>
      <c r="J55" s="486" t="n"/>
      <c r="K55" s="490" t="n"/>
      <c r="L55" s="486" t="n"/>
      <c r="M55" s="21" t="n"/>
      <c r="N55" s="417" t="n"/>
    </row>
    <row r="56" ht="17.25" customHeight="1" s="468">
      <c r="B56" s="18" t="n"/>
      <c r="C56" s="485" t="n"/>
      <c r="D56" s="486" t="n"/>
      <c r="E56" s="485" t="n"/>
      <c r="F56" s="486" t="n"/>
      <c r="G56" s="485" t="n"/>
      <c r="H56" s="488" t="n"/>
      <c r="I56" s="488" t="n"/>
      <c r="J56" s="486" t="n"/>
      <c r="K56" s="485" t="n"/>
      <c r="L56" s="486" t="n"/>
      <c r="M56" s="19" t="n"/>
      <c r="N56" s="417" t="n"/>
    </row>
    <row r="57" ht="17.25" customHeight="1" s="468">
      <c r="B57" s="20" t="n"/>
      <c r="C57" s="490" t="n"/>
      <c r="D57" s="486" t="n"/>
      <c r="E57" s="490" t="n"/>
      <c r="F57" s="486" t="n"/>
      <c r="G57" s="490" t="n"/>
      <c r="H57" s="488" t="n"/>
      <c r="I57" s="488" t="n"/>
      <c r="J57" s="486" t="n"/>
      <c r="K57" s="490" t="n"/>
      <c r="L57" s="486" t="n"/>
      <c r="M57" s="21" t="n"/>
      <c r="N57" s="417" t="n"/>
    </row>
    <row r="58" ht="17.25" customHeight="1" s="468">
      <c r="B58" s="18" t="n"/>
      <c r="C58" s="485" t="n"/>
      <c r="D58" s="486" t="n"/>
      <c r="E58" s="485" t="n"/>
      <c r="F58" s="486" t="n"/>
      <c r="G58" s="485" t="n"/>
      <c r="H58" s="488" t="n"/>
      <c r="I58" s="488" t="n"/>
      <c r="J58" s="486" t="n"/>
      <c r="K58" s="485" t="n"/>
      <c r="L58" s="486" t="n"/>
      <c r="M58" s="19" t="n"/>
      <c r="N58" s="417" t="n"/>
    </row>
    <row r="59" ht="17.25" customHeight="1" s="468">
      <c r="B59" s="20" t="n"/>
      <c r="C59" s="490" t="n"/>
      <c r="D59" s="486" t="n"/>
      <c r="E59" s="490" t="n"/>
      <c r="F59" s="486" t="n"/>
      <c r="G59" s="490" t="n"/>
      <c r="H59" s="488" t="n"/>
      <c r="I59" s="488" t="n"/>
      <c r="J59" s="486" t="n"/>
      <c r="K59" s="490" t="n"/>
      <c r="L59" s="486" t="n"/>
      <c r="M59" s="23" t="n"/>
      <c r="N59" s="417" t="n"/>
    </row>
    <row r="60" ht="17.25" customHeight="1" s="468">
      <c r="B60" s="18" t="n"/>
      <c r="C60" s="485" t="n"/>
      <c r="D60" s="486" t="n"/>
      <c r="E60" s="485" t="n"/>
      <c r="F60" s="486" t="n"/>
      <c r="G60" s="485" t="n"/>
      <c r="H60" s="488" t="n"/>
      <c r="I60" s="488" t="n"/>
      <c r="J60" s="486" t="n"/>
      <c r="K60" s="485" t="n"/>
      <c r="L60" s="486" t="n"/>
      <c r="M60" s="19" t="n"/>
      <c r="N60" s="417" t="n"/>
    </row>
    <row r="61" ht="17.25" customHeight="1" s="468">
      <c r="B61" s="20" t="n"/>
      <c r="C61" s="490" t="n"/>
      <c r="D61" s="486" t="n"/>
      <c r="E61" s="490" t="n"/>
      <c r="F61" s="486" t="n"/>
      <c r="G61" s="490" t="n"/>
      <c r="H61" s="488" t="n"/>
      <c r="I61" s="488" t="n"/>
      <c r="J61" s="486" t="n"/>
      <c r="K61" s="490" t="n"/>
      <c r="L61" s="486" t="n"/>
      <c r="M61" s="21" t="n"/>
      <c r="N61" s="417" t="n"/>
    </row>
    <row r="62" ht="17.25" customHeight="1" s="468">
      <c r="B62" s="18" t="n"/>
      <c r="C62" s="485" t="n"/>
      <c r="D62" s="486" t="n"/>
      <c r="E62" s="485" t="n"/>
      <c r="F62" s="486" t="n"/>
      <c r="G62" s="485" t="n"/>
      <c r="H62" s="488" t="n"/>
      <c r="I62" s="488" t="n"/>
      <c r="J62" s="486" t="n"/>
      <c r="K62" s="485" t="n"/>
      <c r="L62" s="486" t="n"/>
      <c r="M62" s="19" t="n"/>
      <c r="N62" s="417" t="n"/>
    </row>
    <row r="63" ht="17.25" customHeight="1" s="468">
      <c r="B63" s="20" t="n"/>
      <c r="C63" s="490" t="n"/>
      <c r="D63" s="486" t="n"/>
      <c r="E63" s="490" t="n"/>
      <c r="F63" s="486" t="n"/>
      <c r="G63" s="490" t="n"/>
      <c r="H63" s="488" t="n"/>
      <c r="I63" s="488" t="n"/>
      <c r="J63" s="486" t="n"/>
      <c r="K63" s="490" t="n"/>
      <c r="L63" s="486" t="n"/>
      <c r="M63" s="21" t="n"/>
      <c r="N63" s="417" t="n"/>
    </row>
    <row r="64" ht="17.25" customHeight="1" s="468">
      <c r="B64" s="18" t="n"/>
      <c r="C64" s="485" t="n"/>
      <c r="D64" s="486" t="n"/>
      <c r="E64" s="485" t="n"/>
      <c r="F64" s="486" t="n"/>
      <c r="G64" s="485" t="n"/>
      <c r="H64" s="488" t="n"/>
      <c r="I64" s="488" t="n"/>
      <c r="J64" s="486" t="n"/>
      <c r="K64" s="485" t="n"/>
      <c r="L64" s="486" t="n"/>
      <c r="M64" s="19" t="n"/>
      <c r="N64" s="417" t="n"/>
    </row>
    <row r="65" ht="17.25" customHeight="1" s="468">
      <c r="B65" s="20" t="n"/>
      <c r="C65" s="490" t="n"/>
      <c r="D65" s="486" t="n"/>
      <c r="E65" s="490" t="n"/>
      <c r="F65" s="486" t="n"/>
      <c r="G65" s="490" t="n"/>
      <c r="H65" s="488" t="n"/>
      <c r="I65" s="488" t="n"/>
      <c r="J65" s="486" t="n"/>
      <c r="K65" s="490" t="n"/>
      <c r="L65" s="486" t="n"/>
      <c r="M65" s="21" t="n"/>
      <c r="N65" s="417" t="n"/>
    </row>
    <row r="66" ht="17.25" customHeight="1" s="468">
      <c r="B66" s="18" t="n"/>
      <c r="C66" s="485" t="n"/>
      <c r="D66" s="486" t="n"/>
      <c r="E66" s="485" t="n"/>
      <c r="F66" s="486" t="n"/>
      <c r="G66" s="485" t="n"/>
      <c r="H66" s="488" t="n"/>
      <c r="I66" s="488" t="n"/>
      <c r="J66" s="486" t="n"/>
      <c r="K66" s="485" t="n"/>
      <c r="L66" s="486" t="n"/>
      <c r="M66" s="19" t="n"/>
      <c r="N66" s="417" t="n"/>
    </row>
    <row r="67" ht="17.25" customHeight="1" s="468">
      <c r="B67" s="20" t="n"/>
      <c r="C67" s="490" t="n"/>
      <c r="D67" s="486" t="n"/>
      <c r="E67" s="490" t="n"/>
      <c r="F67" s="486" t="n"/>
      <c r="G67" s="490" t="n"/>
      <c r="H67" s="488" t="n"/>
      <c r="I67" s="488" t="n"/>
      <c r="J67" s="486" t="n"/>
      <c r="K67" s="490" t="n"/>
      <c r="L67" s="486" t="n"/>
      <c r="M67" s="21" t="n"/>
      <c r="N67" s="417" t="n"/>
    </row>
    <row r="68" ht="17.25" customHeight="1" s="468">
      <c r="B68" s="18" t="n"/>
      <c r="C68" s="485" t="n"/>
      <c r="D68" s="486" t="n"/>
      <c r="E68" s="485" t="n"/>
      <c r="F68" s="486" t="n"/>
      <c r="G68" s="485" t="n"/>
      <c r="H68" s="488" t="n"/>
      <c r="I68" s="488" t="n"/>
      <c r="J68" s="486" t="n"/>
      <c r="K68" s="485" t="n"/>
      <c r="L68" s="486" t="n"/>
      <c r="M68" s="22" t="n"/>
      <c r="N68" s="417" t="n"/>
    </row>
    <row r="69" ht="17.25" customHeight="1" s="468">
      <c r="B69" s="20" t="n"/>
      <c r="C69" s="490" t="n"/>
      <c r="D69" s="486" t="n"/>
      <c r="E69" s="490" t="n"/>
      <c r="F69" s="486" t="n"/>
      <c r="G69" s="490" t="n"/>
      <c r="H69" s="488" t="n"/>
      <c r="I69" s="488" t="n"/>
      <c r="J69" s="486" t="n"/>
      <c r="K69" s="490" t="n"/>
      <c r="L69" s="486" t="n"/>
      <c r="M69" s="21" t="n"/>
      <c r="N69" s="417" t="n"/>
    </row>
    <row r="70" ht="17.25" customHeight="1" s="468">
      <c r="B70" s="18" t="n"/>
      <c r="C70" s="485" t="n"/>
      <c r="D70" s="486" t="n"/>
      <c r="E70" s="485" t="n"/>
      <c r="F70" s="486" t="n"/>
      <c r="G70" s="485" t="n"/>
      <c r="H70" s="488" t="n"/>
      <c r="I70" s="488" t="n"/>
      <c r="J70" s="486" t="n"/>
      <c r="K70" s="485" t="n"/>
      <c r="L70" s="486" t="n"/>
      <c r="M70" s="19" t="n"/>
      <c r="N70" s="417" t="n"/>
    </row>
    <row r="71" ht="17.25" customHeight="1" s="468">
      <c r="B71" s="20" t="n"/>
      <c r="C71" s="490" t="n"/>
      <c r="D71" s="486" t="n"/>
      <c r="E71" s="490" t="n"/>
      <c r="F71" s="486" t="n"/>
      <c r="G71" s="490" t="n"/>
      <c r="H71" s="488" t="n"/>
      <c r="I71" s="488" t="n"/>
      <c r="J71" s="486" t="n"/>
      <c r="K71" s="490" t="n"/>
      <c r="L71" s="486" t="n"/>
      <c r="M71" s="21" t="n"/>
      <c r="N71" s="417" t="n"/>
    </row>
    <row r="72" ht="17.25" customHeight="1" s="468">
      <c r="B72" s="18" t="n"/>
      <c r="C72" s="485" t="n"/>
      <c r="D72" s="486" t="n"/>
      <c r="E72" s="485" t="n"/>
      <c r="F72" s="486" t="n"/>
      <c r="G72" s="485" t="n"/>
      <c r="H72" s="488" t="n"/>
      <c r="I72" s="488" t="n"/>
      <c r="J72" s="486" t="n"/>
      <c r="K72" s="485" t="n"/>
      <c r="L72" s="486" t="n"/>
      <c r="M72" s="19" t="n"/>
      <c r="N72" s="417" t="n"/>
    </row>
    <row r="73" ht="17.25" customHeight="1" s="468">
      <c r="B73" s="20" t="n"/>
      <c r="C73" s="490" t="n"/>
      <c r="D73" s="486" t="n"/>
      <c r="E73" s="490" t="n"/>
      <c r="F73" s="486" t="n"/>
      <c r="G73" s="490" t="n"/>
      <c r="H73" s="488" t="n"/>
      <c r="I73" s="488" t="n"/>
      <c r="J73" s="486" t="n"/>
      <c r="K73" s="490" t="n"/>
      <c r="L73" s="486" t="n"/>
      <c r="M73" s="21" t="n"/>
      <c r="N73" s="417" t="n"/>
    </row>
    <row r="74" ht="17.25" customHeight="1" s="468">
      <c r="B74" s="18" t="n"/>
      <c r="C74" s="485" t="n"/>
      <c r="D74" s="486" t="n"/>
      <c r="E74" s="485" t="n"/>
      <c r="F74" s="486" t="n"/>
      <c r="G74" s="485" t="n"/>
      <c r="H74" s="488" t="n"/>
      <c r="I74" s="488" t="n"/>
      <c r="J74" s="486" t="n"/>
      <c r="K74" s="485" t="n"/>
      <c r="L74" s="486" t="n"/>
      <c r="M74" s="19" t="n"/>
      <c r="N74" s="417" t="n"/>
    </row>
    <row r="75" ht="17.25" customHeight="1" s="468">
      <c r="B75" s="20" t="n"/>
      <c r="C75" s="490" t="n"/>
      <c r="D75" s="486" t="n"/>
      <c r="E75" s="490" t="n"/>
      <c r="F75" s="486" t="n"/>
      <c r="G75" s="490" t="n"/>
      <c r="H75" s="488" t="n"/>
      <c r="I75" s="488" t="n"/>
      <c r="J75" s="486" t="n"/>
      <c r="K75" s="490" t="n"/>
      <c r="L75" s="486" t="n"/>
      <c r="M75" s="21" t="n"/>
      <c r="N75" s="417" t="n"/>
    </row>
    <row r="76" ht="17.25" customHeight="1" s="468">
      <c r="B76" s="18" t="n"/>
      <c r="C76" s="485" t="n"/>
      <c r="D76" s="486" t="n"/>
      <c r="E76" s="485" t="n"/>
      <c r="F76" s="486" t="n"/>
      <c r="G76" s="485" t="n"/>
      <c r="H76" s="488" t="n"/>
      <c r="I76" s="488" t="n"/>
      <c r="J76" s="486" t="n"/>
      <c r="K76" s="485" t="n"/>
      <c r="L76" s="486" t="n"/>
      <c r="M76" s="22" t="n"/>
      <c r="N76" s="417" t="n"/>
    </row>
    <row r="77" ht="17.25" customHeight="1" s="468">
      <c r="B77" s="20" t="n"/>
      <c r="C77" s="490" t="n"/>
      <c r="D77" s="486" t="n"/>
      <c r="E77" s="490" t="n"/>
      <c r="F77" s="486" t="n"/>
      <c r="G77" s="490" t="n"/>
      <c r="H77" s="488" t="n"/>
      <c r="I77" s="488" t="n"/>
      <c r="J77" s="486" t="n"/>
      <c r="K77" s="490" t="n"/>
      <c r="L77" s="486" t="n"/>
      <c r="M77" s="21" t="n"/>
      <c r="N77" s="417" t="n"/>
    </row>
    <row r="78" ht="17.25" customHeight="1" s="468">
      <c r="B78" s="18" t="n"/>
      <c r="C78" s="485" t="n"/>
      <c r="D78" s="486" t="n"/>
      <c r="E78" s="485" t="n"/>
      <c r="F78" s="486" t="n"/>
      <c r="G78" s="485" t="n"/>
      <c r="H78" s="488" t="n"/>
      <c r="I78" s="488" t="n"/>
      <c r="J78" s="486" t="n"/>
      <c r="K78" s="485" t="n"/>
      <c r="L78" s="486" t="n"/>
      <c r="M78" s="19" t="n"/>
      <c r="N78" s="417" t="n"/>
    </row>
    <row r="79" ht="17.25" customHeight="1" s="468">
      <c r="B79" s="20" t="n"/>
      <c r="C79" s="490" t="n"/>
      <c r="D79" s="486" t="n"/>
      <c r="E79" s="490" t="n"/>
      <c r="F79" s="486" t="n"/>
      <c r="G79" s="490" t="n"/>
      <c r="H79" s="488" t="n"/>
      <c r="I79" s="488" t="n"/>
      <c r="J79" s="486" t="n"/>
      <c r="K79" s="490" t="n"/>
      <c r="L79" s="486" t="n"/>
      <c r="M79" s="21" t="n"/>
      <c r="N79" s="417" t="n"/>
    </row>
    <row r="80" ht="17.25" customHeight="1" s="468">
      <c r="B80" s="18" t="n"/>
      <c r="C80" s="485" t="n"/>
      <c r="D80" s="486" t="n"/>
      <c r="E80" s="485" t="n"/>
      <c r="F80" s="486" t="n"/>
      <c r="G80" s="485" t="n"/>
      <c r="H80" s="488" t="n"/>
      <c r="I80" s="488" t="n"/>
      <c r="J80" s="486" t="n"/>
      <c r="K80" s="485" t="n"/>
      <c r="L80" s="486" t="n"/>
      <c r="M80" s="19" t="n"/>
      <c r="N80" s="417" t="n"/>
    </row>
    <row r="81" ht="17.25" customHeight="1" s="468">
      <c r="B81" s="20" t="n"/>
      <c r="C81" s="490" t="n"/>
      <c r="D81" s="486" t="n"/>
      <c r="E81" s="490" t="n"/>
      <c r="F81" s="486" t="n"/>
      <c r="G81" s="490" t="n"/>
      <c r="H81" s="488" t="n"/>
      <c r="I81" s="488" t="n"/>
      <c r="J81" s="486" t="n"/>
      <c r="K81" s="490" t="n"/>
      <c r="L81" s="486" t="n"/>
      <c r="M81" s="21" t="n"/>
      <c r="N81" s="417" t="n"/>
    </row>
    <row r="82" ht="17.25" customHeight="1" s="468">
      <c r="B82" s="18" t="n"/>
      <c r="C82" s="485" t="n"/>
      <c r="D82" s="486" t="n"/>
      <c r="E82" s="485" t="n"/>
      <c r="F82" s="486" t="n"/>
      <c r="G82" s="485" t="n"/>
      <c r="H82" s="488" t="n"/>
      <c r="I82" s="488" t="n"/>
      <c r="J82" s="486" t="n"/>
      <c r="K82" s="485" t="n"/>
      <c r="L82" s="486" t="n"/>
      <c r="M82" s="19" t="n"/>
      <c r="N82" s="417" t="n"/>
    </row>
    <row r="83" ht="17.25" customHeight="1" s="468">
      <c r="B83" s="20" t="n"/>
      <c r="C83" s="490" t="n"/>
      <c r="D83" s="486" t="n"/>
      <c r="E83" s="490" t="n"/>
      <c r="F83" s="486" t="n"/>
      <c r="G83" s="490" t="n"/>
      <c r="H83" s="488" t="n"/>
      <c r="I83" s="488" t="n"/>
      <c r="J83" s="486" t="n"/>
      <c r="K83" s="490" t="n"/>
      <c r="L83" s="486" t="n"/>
      <c r="M83" s="21" t="n"/>
      <c r="N83" s="417" t="n"/>
    </row>
    <row r="84" ht="17.25" customHeight="1" s="468">
      <c r="B84" s="18" t="n"/>
      <c r="C84" s="485" t="n"/>
      <c r="D84" s="486" t="n"/>
      <c r="E84" s="485" t="n"/>
      <c r="F84" s="486" t="n"/>
      <c r="G84" s="485" t="n"/>
      <c r="H84" s="488" t="n"/>
      <c r="I84" s="488" t="n"/>
      <c r="J84" s="486" t="n"/>
      <c r="K84" s="485" t="n"/>
      <c r="L84" s="486" t="n"/>
      <c r="M84" s="19" t="n"/>
      <c r="N84" s="417" t="n"/>
    </row>
    <row r="85" ht="17.25" customHeight="1" s="468">
      <c r="B85" s="20" t="n"/>
      <c r="C85" s="490" t="n"/>
      <c r="D85" s="486" t="n"/>
      <c r="E85" s="490" t="n"/>
      <c r="F85" s="486" t="n"/>
      <c r="G85" s="490" t="n"/>
      <c r="H85" s="488" t="n"/>
      <c r="I85" s="488" t="n"/>
      <c r="J85" s="486" t="n"/>
      <c r="K85" s="490" t="n"/>
      <c r="L85" s="486" t="n"/>
      <c r="M85" s="23" t="n"/>
      <c r="N85" s="417" t="n"/>
    </row>
    <row r="86" ht="17.25" customHeight="1" s="468">
      <c r="B86" s="18" t="n"/>
      <c r="C86" s="485" t="n"/>
      <c r="D86" s="486" t="n"/>
      <c r="E86" s="485" t="n"/>
      <c r="F86" s="486" t="n"/>
      <c r="G86" s="485" t="n"/>
      <c r="H86" s="488" t="n"/>
      <c r="I86" s="488" t="n"/>
      <c r="J86" s="486" t="n"/>
      <c r="K86" s="485" t="n"/>
      <c r="L86" s="486" t="n"/>
      <c r="M86" s="19" t="n"/>
      <c r="N86" s="417" t="n"/>
    </row>
    <row r="87" ht="17.25" customHeight="1" s="468">
      <c r="B87" s="20" t="n"/>
      <c r="C87" s="490" t="n"/>
      <c r="D87" s="486" t="n"/>
      <c r="E87" s="490" t="n"/>
      <c r="F87" s="486" t="n"/>
      <c r="G87" s="490" t="n"/>
      <c r="H87" s="488" t="n"/>
      <c r="I87" s="488" t="n"/>
      <c r="J87" s="486" t="n"/>
      <c r="K87" s="490" t="n"/>
      <c r="L87" s="486" t="n"/>
      <c r="M87" s="21" t="n"/>
      <c r="N87" s="417" t="n"/>
    </row>
    <row r="88" ht="17.25" customHeight="1" s="468">
      <c r="B88" s="18" t="n"/>
      <c r="C88" s="485" t="n"/>
      <c r="D88" s="486" t="n"/>
      <c r="E88" s="485" t="n"/>
      <c r="F88" s="486" t="n"/>
      <c r="G88" s="485" t="n"/>
      <c r="H88" s="488" t="n"/>
      <c r="I88" s="488" t="n"/>
      <c r="J88" s="486" t="n"/>
      <c r="K88" s="485" t="n"/>
      <c r="L88" s="486" t="n"/>
      <c r="M88" s="19" t="n"/>
      <c r="N88" s="417" t="n"/>
    </row>
    <row r="89" ht="17.25" customHeight="1" s="468">
      <c r="B89" s="20" t="n"/>
      <c r="C89" s="490" t="n"/>
      <c r="D89" s="486" t="n"/>
      <c r="E89" s="490" t="n"/>
      <c r="F89" s="486" t="n"/>
      <c r="G89" s="490" t="n"/>
      <c r="H89" s="488" t="n"/>
      <c r="I89" s="488" t="n"/>
      <c r="J89" s="486" t="n"/>
      <c r="K89" s="490" t="n"/>
      <c r="L89" s="486" t="n"/>
      <c r="M89" s="21" t="n"/>
      <c r="N89" s="417" t="n"/>
    </row>
    <row r="90" ht="17.25" customHeight="1" s="468">
      <c r="B90" s="18" t="n"/>
      <c r="C90" s="485" t="n"/>
      <c r="D90" s="486" t="n"/>
      <c r="E90" s="485" t="n"/>
      <c r="F90" s="486" t="n"/>
      <c r="G90" s="485" t="n"/>
      <c r="H90" s="488" t="n"/>
      <c r="I90" s="488" t="n"/>
      <c r="J90" s="486" t="n"/>
      <c r="K90" s="485" t="n"/>
      <c r="L90" s="486" t="n"/>
      <c r="M90" s="19" t="n"/>
      <c r="N90" s="417" t="n"/>
    </row>
    <row r="91" ht="17.25" customHeight="1" s="468">
      <c r="B91" s="20" t="n"/>
      <c r="C91" s="490" t="n"/>
      <c r="D91" s="486" t="n"/>
      <c r="E91" s="490" t="n"/>
      <c r="F91" s="486" t="n"/>
      <c r="G91" s="490" t="n"/>
      <c r="H91" s="488" t="n"/>
      <c r="I91" s="488" t="n"/>
      <c r="J91" s="486" t="n"/>
      <c r="K91" s="490" t="n"/>
      <c r="L91" s="486" t="n"/>
      <c r="M91" s="21" t="n"/>
      <c r="N91" s="417" t="n"/>
    </row>
    <row r="92" ht="17.25" customHeight="1" s="468">
      <c r="B92" s="18" t="n"/>
      <c r="C92" s="485" t="n"/>
      <c r="D92" s="486" t="n"/>
      <c r="E92" s="485" t="n"/>
      <c r="F92" s="486" t="n"/>
      <c r="G92" s="485" t="n"/>
      <c r="H92" s="488" t="n"/>
      <c r="I92" s="488" t="n"/>
      <c r="J92" s="486" t="n"/>
      <c r="K92" s="485" t="n"/>
      <c r="L92" s="486" t="n"/>
      <c r="M92" s="19" t="n"/>
      <c r="N92" s="417" t="n"/>
    </row>
    <row r="93" ht="17.25" customHeight="1" s="468">
      <c r="B93" s="20" t="n"/>
      <c r="C93" s="490" t="n"/>
      <c r="D93" s="486" t="n"/>
      <c r="E93" s="490" t="n"/>
      <c r="F93" s="486" t="n"/>
      <c r="G93" s="490" t="n"/>
      <c r="H93" s="488" t="n"/>
      <c r="I93" s="488" t="n"/>
      <c r="J93" s="486" t="n"/>
      <c r="K93" s="490" t="n"/>
      <c r="L93" s="486" t="n"/>
      <c r="M93" s="23" t="n"/>
      <c r="N93" s="417" t="n"/>
    </row>
    <row r="94" ht="17.25" customHeight="1" s="468">
      <c r="B94" s="24" t="n"/>
      <c r="C94" s="506" t="n"/>
      <c r="D94" s="507" t="n"/>
      <c r="E94" s="506" t="n"/>
      <c r="F94" s="507" t="n"/>
      <c r="G94" s="506" t="n"/>
      <c r="H94" s="509" t="n"/>
      <c r="I94" s="509" t="n"/>
      <c r="J94" s="507" t="n"/>
      <c r="K94" s="506" t="n"/>
      <c r="L94" s="507" t="n"/>
      <c r="M94" s="25" t="n"/>
      <c r="N94" s="417" t="n"/>
    </row>
    <row r="95" ht="18" customHeight="1" s="468">
      <c r="N95" s="420" t="n"/>
    </row>
    <row r="96" ht="18" customHeight="1" s="468">
      <c r="N96" s="420" t="n"/>
    </row>
    <row r="97" ht="18" customHeight="1" s="468">
      <c r="N97" s="420" t="n"/>
    </row>
    <row r="98" ht="18" customHeight="1" s="468">
      <c r="N98" s="420" t="n"/>
    </row>
    <row r="99" ht="18" customHeight="1" s="468">
      <c r="N99" s="420" t="n"/>
    </row>
    <row r="100" ht="18" customHeight="1" s="468">
      <c r="N100" s="420" t="n"/>
    </row>
    <row r="101" ht="18" customHeight="1" s="468">
      <c r="N101" s="420" t="n"/>
    </row>
    <row r="102" ht="18" customHeight="1" s="468">
      <c r="N102" s="420" t="n"/>
    </row>
    <row r="103" ht="18" customHeight="1" s="468">
      <c r="N103" s="420" t="n"/>
    </row>
    <row r="104" ht="18" customHeight="1" s="468">
      <c r="N104" s="420" t="n"/>
    </row>
    <row r="105" ht="18" customHeight="1" s="468">
      <c r="N105" s="420" t="n"/>
    </row>
    <row r="106" ht="18" customHeight="1" s="468">
      <c r="N106" s="420" t="n"/>
    </row>
    <row r="107" ht="18" customHeight="1" s="468">
      <c r="N107" s="420" t="n"/>
    </row>
    <row r="108" ht="18" customHeight="1" s="468">
      <c r="N108" s="420" t="n"/>
    </row>
    <row r="109" ht="18" customHeight="1" s="468">
      <c r="N109" s="420" t="n"/>
    </row>
    <row r="110" ht="18" customHeight="1" s="468">
      <c r="N110" s="420" t="n"/>
    </row>
    <row r="111" ht="18" customHeight="1" s="468">
      <c r="N111" s="420" t="n"/>
    </row>
    <row r="112" ht="18" customHeight="1" s="468">
      <c r="N112" s="420" t="n"/>
    </row>
    <row r="113" ht="18" customHeight="1" s="468">
      <c r="N113" s="420" t="n"/>
    </row>
    <row r="114" ht="18" customHeight="1" s="468">
      <c r="N114" s="420" t="n"/>
    </row>
    <row r="115" ht="18" customHeight="1" s="468">
      <c r="N115" s="420" t="n"/>
    </row>
    <row r="116" ht="18" customHeight="1" s="468">
      <c r="N116" s="420" t="n"/>
    </row>
    <row r="117" ht="18" customHeight="1" s="468">
      <c r="N117" s="420" t="n"/>
    </row>
    <row r="118" ht="18" customHeight="1" s="468">
      <c r="N118" s="420" t="n"/>
    </row>
    <row r="119" ht="18" customHeight="1" s="468">
      <c r="N119" s="420" t="n"/>
    </row>
    <row r="120" ht="18" customHeight="1" s="468">
      <c r="N120" s="420" t="n"/>
    </row>
    <row r="121" ht="18" customHeight="1" s="468">
      <c r="N121" s="420" t="n"/>
    </row>
    <row r="122" ht="18" customHeight="1" s="468">
      <c r="N122" s="420" t="n"/>
    </row>
    <row r="123" ht="18" customHeight="1" s="468">
      <c r="N123" s="420" t="n"/>
    </row>
    <row r="124" ht="18" customHeight="1" s="468">
      <c r="N124" s="420" t="n"/>
    </row>
    <row r="125" ht="18" customHeight="1" s="468">
      <c r="N125" s="420" t="n"/>
    </row>
    <row r="126" ht="18" customHeight="1" s="468">
      <c r="N126" s="420" t="n"/>
    </row>
    <row r="127" ht="18" customHeight="1" s="468">
      <c r="N127" s="420" t="n"/>
    </row>
    <row r="128" ht="18" customHeight="1" s="468">
      <c r="N128" s="420" t="n"/>
    </row>
    <row r="129" ht="18" customHeight="1" s="468">
      <c r="N129" s="420" t="n"/>
    </row>
    <row r="130" ht="18" customHeight="1" s="468">
      <c r="N130" s="420" t="n"/>
    </row>
    <row r="131" ht="18" customHeight="1" s="468">
      <c r="N131" s="420" t="n"/>
    </row>
    <row r="132" ht="18" customHeight="1" s="468">
      <c r="N132" s="420" t="n"/>
    </row>
    <row r="133" ht="18" customHeight="1" s="468">
      <c r="N133" s="420" t="n"/>
    </row>
    <row r="134" ht="18" customHeight="1" s="468">
      <c r="N134" s="420" t="n"/>
    </row>
    <row r="135" ht="18" customHeight="1" s="468">
      <c r="N135" s="420" t="n"/>
    </row>
    <row r="136" ht="18" customHeight="1" s="468">
      <c r="N136" s="420" t="n"/>
    </row>
    <row r="137" ht="18" customHeight="1" s="468">
      <c r="N137" s="420" t="n"/>
    </row>
    <row r="138" ht="18" customHeight="1" s="468">
      <c r="N138" s="420" t="n"/>
    </row>
    <row r="139" ht="18" customHeight="1" s="468">
      <c r="N139" s="420" t="n"/>
    </row>
    <row r="140" ht="18" customHeight="1" s="468">
      <c r="N140" s="420" t="n"/>
    </row>
    <row r="141" ht="18" customHeight="1" s="468">
      <c r="N141" s="420" t="n"/>
    </row>
    <row r="142" ht="18" customHeight="1" s="468">
      <c r="N142" s="420" t="n"/>
    </row>
    <row r="143" ht="18" customHeight="1" s="468">
      <c r="N143" s="420" t="n"/>
    </row>
    <row r="144" ht="18" customHeight="1" s="468">
      <c r="N144" s="420" t="n"/>
    </row>
    <row r="145" ht="18" customHeight="1" s="468">
      <c r="N145" s="420" t="n"/>
    </row>
    <row r="146" ht="18" customHeight="1" s="468">
      <c r="N146" s="420" t="n"/>
    </row>
    <row r="147" ht="18" customHeight="1" s="468">
      <c r="N147" s="420" t="n"/>
    </row>
    <row r="148" ht="18" customHeight="1" s="468">
      <c r="N148" s="420" t="n"/>
    </row>
    <row r="149" ht="18" customHeight="1" s="468">
      <c r="N149" s="420" t="n"/>
    </row>
    <row r="150" ht="18" customHeight="1" s="468">
      <c r="N150" s="420" t="n"/>
    </row>
    <row r="151" ht="18" customHeight="1" s="468">
      <c r="N151" s="420" t="n"/>
    </row>
    <row r="152" ht="18" customHeight="1" s="468">
      <c r="N152" s="420" t="n"/>
    </row>
    <row r="153" ht="18" customHeight="1" s="468">
      <c r="N153" s="420" t="n"/>
    </row>
    <row r="154" ht="18" customHeight="1" s="468">
      <c r="N154" s="420" t="n"/>
    </row>
    <row r="155" ht="18" customHeight="1" s="468">
      <c r="N155" s="420" t="n"/>
    </row>
    <row r="156" ht="18" customHeight="1" s="468">
      <c r="N156" s="420" t="n"/>
    </row>
    <row r="157" ht="18" customHeight="1" s="468">
      <c r="N157" s="420" t="n"/>
    </row>
    <row r="158" ht="18" customHeight="1" s="468">
      <c r="N158" s="420" t="n"/>
    </row>
    <row r="159" ht="18" customHeight="1" s="468">
      <c r="N159" s="420" t="n"/>
    </row>
    <row r="160" ht="18" customHeight="1" s="468">
      <c r="N160" s="420" t="n"/>
    </row>
    <row r="161" ht="18" customHeight="1" s="468">
      <c r="N161" s="420" t="n"/>
    </row>
    <row r="162" ht="18" customHeight="1" s="468">
      <c r="N162" s="420" t="n"/>
    </row>
    <row r="163" ht="18" customHeight="1" s="468">
      <c r="N163" s="420" t="n"/>
    </row>
    <row r="164" ht="18" customHeight="1" s="468">
      <c r="N164" s="420" t="n"/>
    </row>
    <row r="165" ht="18" customHeight="1" s="468">
      <c r="N165" s="420" t="n"/>
    </row>
    <row r="166" ht="18" customHeight="1" s="468">
      <c r="N166" s="420" t="n"/>
    </row>
    <row r="167" ht="18" customHeight="1" s="468">
      <c r="N167" s="420" t="n"/>
    </row>
    <row r="168" ht="18" customHeight="1" s="468">
      <c r="N168" s="420" t="n"/>
    </row>
    <row r="169" ht="18" customHeight="1" s="468">
      <c r="N169" s="420" t="n"/>
    </row>
    <row r="170" ht="18" customHeight="1" s="468">
      <c r="N170" s="420" t="n"/>
    </row>
    <row r="171" ht="18" customHeight="1" s="468">
      <c r="N171" s="420" t="n"/>
    </row>
    <row r="172" ht="18" customHeight="1" s="468">
      <c r="N172" s="420" t="n"/>
    </row>
    <row r="173" ht="18" customHeight="1" s="468">
      <c r="N173" s="420" t="n"/>
    </row>
    <row r="174" ht="18" customHeight="1" s="468">
      <c r="N174" s="420" t="n"/>
    </row>
    <row r="175" ht="18" customHeight="1" s="468">
      <c r="N175" s="420" t="n"/>
    </row>
    <row r="176" ht="18" customHeight="1" s="468">
      <c r="N176" s="420" t="n"/>
    </row>
    <row r="177" ht="18" customHeight="1" s="468">
      <c r="N177" s="420" t="n"/>
    </row>
    <row r="178" ht="18" customHeight="1" s="468">
      <c r="N178" s="420" t="n"/>
    </row>
    <row r="179" ht="18" customHeight="1" s="468">
      <c r="N179" s="420" t="n"/>
    </row>
    <row r="180" ht="18" customHeight="1" s="468">
      <c r="N180" s="420" t="n"/>
    </row>
    <row r="181" ht="18" customHeight="1" s="468">
      <c r="N181" s="420" t="n"/>
    </row>
    <row r="182" ht="18" customHeight="1" s="468">
      <c r="N182" s="420" t="n"/>
    </row>
    <row r="183" ht="18" customHeight="1" s="468">
      <c r="N183" s="420" t="n"/>
    </row>
    <row r="184" ht="18" customHeight="1" s="468">
      <c r="N184" s="420" t="n"/>
    </row>
    <row r="185" ht="18" customHeight="1" s="468">
      <c r="N185" s="420" t="n"/>
    </row>
    <row r="186" ht="18" customHeight="1" s="468">
      <c r="N186" s="420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8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8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8" customHeight="1" s="468">
      <c r="N295" s="420" t="n"/>
    </row>
    <row r="296" ht="18" customHeight="1" s="468">
      <c r="N296" s="420" t="n"/>
    </row>
    <row r="297" ht="18" customHeight="1" s="468">
      <c r="N297" s="420" t="n"/>
    </row>
    <row r="298" ht="18" customHeight="1" s="468">
      <c r="N298" s="420" t="n"/>
    </row>
    <row r="299" ht="18" customHeight="1" s="468">
      <c r="N299" s="420" t="n"/>
    </row>
    <row r="300" ht="18" customHeight="1" s="468">
      <c r="N300" s="420" t="n"/>
    </row>
  </sheetData>
  <mergeCells count="369">
    <mergeCell ref="C15:D15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6:F6"/>
    <mergeCell ref="E77:F77"/>
    <mergeCell ref="E89:F89"/>
    <mergeCell ref="G13:J13"/>
    <mergeCell ref="G78:J78"/>
    <mergeCell ref="E72:F72"/>
    <mergeCell ref="K57:L57"/>
    <mergeCell ref="G15:J15"/>
    <mergeCell ref="G80:J80"/>
    <mergeCell ref="C49:D49"/>
    <mergeCell ref="C24:D24"/>
    <mergeCell ref="G79:J79"/>
    <mergeCell ref="E24:F24"/>
    <mergeCell ref="G73:J73"/>
    <mergeCell ref="C42:D42"/>
    <mergeCell ref="E42:F42"/>
    <mergeCell ref="C88:D88"/>
    <mergeCell ref="E17:F17"/>
    <mergeCell ref="C26:D26"/>
    <mergeCell ref="E88:F88"/>
    <mergeCell ref="E82:F82"/>
    <mergeCell ref="E19:F19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G3:J3"/>
    <mergeCell ref="C81:D81"/>
    <mergeCell ref="C37:D37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C8:D8"/>
    <mergeCell ref="G49:J49"/>
    <mergeCell ref="K10:L10"/>
    <mergeCell ref="K66:L66"/>
    <mergeCell ref="C66:D66"/>
    <mergeCell ref="G24:J24"/>
    <mergeCell ref="E66:F66"/>
    <mergeCell ref="C53:D53"/>
    <mergeCell ref="K3:L3"/>
    <mergeCell ref="C77:D77"/>
    <mergeCell ref="K74:L74"/>
    <mergeCell ref="K68:L68"/>
    <mergeCell ref="G88:J88"/>
    <mergeCell ref="C68:D68"/>
    <mergeCell ref="G26:J26"/>
    <mergeCell ref="E68:F68"/>
    <mergeCell ref="K5:L5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C16:D1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:D6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46:J46"/>
    <mergeCell ref="G40:J40"/>
    <mergeCell ref="E51:F51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G61:J61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K16:L16"/>
    <mergeCell ref="K9:L9"/>
    <mergeCell ref="G16:J16"/>
    <mergeCell ref="E83:F83"/>
    <mergeCell ref="K45:L45"/>
    <mergeCell ref="G76:J76"/>
    <mergeCell ref="C20:D20"/>
    <mergeCell ref="G9:J9"/>
    <mergeCell ref="K11:L11"/>
    <mergeCell ref="C85:D85"/>
    <mergeCell ref="E20:F20"/>
    <mergeCell ref="K47:L47"/>
    <mergeCell ref="C84:D84"/>
    <mergeCell ref="E13:F13"/>
    <mergeCell ref="C22:D22"/>
    <mergeCell ref="E84:F84"/>
    <mergeCell ref="K46:L46"/>
    <mergeCell ref="G11:J11"/>
    <mergeCell ref="E78:F78"/>
    <mergeCell ref="K40:L40"/>
    <mergeCell ref="E15:F15"/>
    <mergeCell ref="E86:F86"/>
    <mergeCell ref="C51:D51"/>
    <mergeCell ref="E80:F80"/>
    <mergeCell ref="K71:L71"/>
    <mergeCell ref="K73:L73"/>
    <mergeCell ref="C38:D38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10:D10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C56:D56"/>
    <mergeCell ref="E34:F34"/>
    <mergeCell ref="C43:D43"/>
    <mergeCell ref="K67:L67"/>
    <mergeCell ref="E49:F49"/>
    <mergeCell ref="C36:D36"/>
    <mergeCell ref="E36:F36"/>
    <mergeCell ref="C67:D67"/>
    <mergeCell ref="K69:L69"/>
    <mergeCell ref="C69:D69"/>
    <mergeCell ref="G20:J20"/>
    <mergeCell ref="G91:J91"/>
    <mergeCell ref="G85:J85"/>
    <mergeCell ref="K64:L64"/>
    <mergeCell ref="C4:D4"/>
    <mergeCell ref="G84:J84"/>
    <mergeCell ref="E4:F4"/>
    <mergeCell ref="G22:J22"/>
    <mergeCell ref="K51:L51"/>
    <mergeCell ref="K72:L72"/>
    <mergeCell ref="G86:J86"/>
    <mergeCell ref="C60:D60"/>
    <mergeCell ref="G38:J38"/>
    <mergeCell ref="E26:F26"/>
    <mergeCell ref="K17:L17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35:J35"/>
    <mergeCell ref="C58:D58"/>
    <mergeCell ref="E52:F52"/>
    <mergeCell ref="E39:F39"/>
    <mergeCell ref="E44:F44"/>
    <mergeCell ref="K60:L60"/>
    <mergeCell ref="C75:D75"/>
    <mergeCell ref="G59:J59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K91:L91"/>
    <mergeCell ref="G56:J56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13:D13"/>
    <mergeCell ref="K4:L4"/>
    <mergeCell ref="C78:D7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tabColor rgb="FF2F3A4A"/>
    <outlinePr summaryBelow="1" summaryRight="1"/>
    <pageSetUpPr/>
  </sheetPr>
  <dimension ref="A1:M209"/>
  <sheetViews>
    <sheetView showGridLines="0" zoomScale="90" zoomScaleNormal="90" workbookViewId="0">
      <pane ySplit="3" topLeftCell="A4" activePane="bottomLeft" state="frozen"/>
      <selection pane="bottomLeft" activeCell="A29" sqref="A29"/>
    </sheetView>
  </sheetViews>
  <sheetFormatPr baseColWidth="8" defaultColWidth="8.6640625" defaultRowHeight="14.25" customHeight="1"/>
  <cols>
    <col width="16" customWidth="1" style="468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8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8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</row>
    <row r="3" ht="15" customHeight="1" s="468">
      <c r="A3" s="631" t="n">
        <v>46266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</row>
    <row r="4" ht="21" customHeight="1" s="468">
      <c r="A4" s="685" t="n"/>
      <c r="B4" s="218" t="n"/>
      <c r="C4" s="219" t="n"/>
      <c r="D4" s="220" t="n"/>
      <c r="E4" s="221" t="inlineStr">
        <is>
          <t>CX</t>
        </is>
      </c>
      <c r="F4" s="68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20">
        <f>IFERROR(ROUNDUP(D4/F4,0),"")</f>
        <v/>
      </c>
      <c r="H4" s="224" t="n"/>
      <c r="I4" s="220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552" t="n"/>
      <c r="K4" s="552" t="n"/>
      <c r="L4" s="552" t="n"/>
      <c r="M4" s="552" t="n"/>
    </row>
    <row r="5" ht="21" customHeight="1" s="468">
      <c r="A5" s="685" t="n"/>
      <c r="B5" s="218" t="n"/>
      <c r="C5" s="219" t="n"/>
      <c r="D5" s="220" t="n"/>
      <c r="E5" s="221" t="inlineStr">
        <is>
          <t>CX</t>
        </is>
      </c>
      <c r="F5" s="68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20">
        <f>IFERROR(ROUNDUP(D5/F5,0),"")</f>
        <v/>
      </c>
      <c r="H5" s="224" t="n"/>
      <c r="I5" s="22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552" t="n"/>
      <c r="K5" s="552" t="n"/>
      <c r="L5" s="552" t="n"/>
      <c r="M5" s="552" t="n"/>
    </row>
    <row r="6" ht="21" customHeight="1" s="468">
      <c r="A6" s="685" t="n"/>
      <c r="B6" s="218" t="n"/>
      <c r="C6" s="219" t="n"/>
      <c r="D6" s="220" t="n"/>
      <c r="E6" s="221" t="inlineStr">
        <is>
          <t>CX</t>
        </is>
      </c>
      <c r="F6" s="68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20">
        <f>IFERROR(ROUNDUP(D6/F6,0),"")</f>
        <v/>
      </c>
      <c r="H6" s="224" t="n"/>
      <c r="I6" s="220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552" t="n"/>
      <c r="K6" s="552" t="n"/>
      <c r="L6" s="552" t="n"/>
      <c r="M6" s="552" t="n"/>
    </row>
    <row r="7" ht="21" customHeight="1" s="468">
      <c r="A7" s="685" t="n"/>
      <c r="B7" s="218" t="n"/>
      <c r="C7" s="219" t="n"/>
      <c r="D7" s="220" t="n"/>
      <c r="E7" s="221" t="inlineStr">
        <is>
          <t>CX</t>
        </is>
      </c>
      <c r="F7" s="68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20">
        <f>IFERROR(ROUNDUP(D7/F7,0),"")</f>
        <v/>
      </c>
      <c r="H7" s="224" t="n"/>
      <c r="I7" s="220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2" t="n"/>
      <c r="K7" s="552" t="n"/>
      <c r="L7" s="552" t="n"/>
      <c r="M7" s="552" t="n"/>
    </row>
    <row r="8" ht="21" customHeight="1" s="468">
      <c r="A8" s="685" t="n"/>
      <c r="B8" s="218" t="n"/>
      <c r="C8" s="219" t="n"/>
      <c r="D8" s="220" t="n"/>
      <c r="E8" s="221" t="inlineStr">
        <is>
          <t>CX</t>
        </is>
      </c>
      <c r="F8" s="68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20">
        <f>IFERROR(ROUNDUP(D8/F8,0),"")</f>
        <v/>
      </c>
      <c r="H8" s="224" t="n"/>
      <c r="I8" s="220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552" t="n"/>
      <c r="K8" s="552" t="n"/>
      <c r="L8" s="552" t="n"/>
      <c r="M8" s="552" t="n"/>
    </row>
    <row r="9" ht="15" customHeight="1" s="468">
      <c r="A9" s="658" t="n"/>
      <c r="B9" s="640" t="inlineStr">
        <is>
          <t>TOTAL</t>
        </is>
      </c>
      <c r="C9" s="667" t="n"/>
      <c r="D9" s="642">
        <f>SUM(D4:D8)</f>
        <v/>
      </c>
      <c r="E9" s="668" t="n"/>
      <c r="F9" s="644" t="n"/>
      <c r="G9" s="642">
        <f>SUM(G4:G8)</f>
        <v/>
      </c>
      <c r="H9" s="642">
        <f>SUM(H4:H8)</f>
        <v/>
      </c>
      <c r="I9" s="642">
        <f>SUM(I4:I8)</f>
        <v/>
      </c>
      <c r="J9" s="644">
        <f>D9</f>
        <v/>
      </c>
      <c r="K9" s="644">
        <f>G9</f>
        <v/>
      </c>
      <c r="L9" s="644">
        <f>H9</f>
        <v/>
      </c>
      <c r="M9" s="644">
        <f>I9</f>
        <v/>
      </c>
    </row>
    <row r="10" ht="6" customHeight="1" s="468">
      <c r="A10" s="638" t="n"/>
      <c r="C10" s="71" t="n"/>
      <c r="D10" s="552" t="n"/>
      <c r="F10" s="552" t="n"/>
      <c r="G10" s="552" t="n"/>
      <c r="H10" s="552" t="n"/>
      <c r="I10" s="552" t="n"/>
      <c r="J10" s="552" t="n"/>
      <c r="K10" s="552" t="n"/>
      <c r="L10" s="552" t="n"/>
      <c r="M10" s="552" t="n"/>
    </row>
    <row r="11" ht="15" customHeight="1" s="468">
      <c r="A11" s="646" t="n">
        <v>46267</v>
      </c>
      <c r="B11" s="213" t="inlineStr">
        <is>
          <t>PRODUTO</t>
        </is>
      </c>
      <c r="C11" s="214" t="inlineStr">
        <is>
          <t>EMBALAGEM</t>
        </is>
      </c>
      <c r="D11" s="244" t="inlineStr">
        <is>
          <t>CAIXAS</t>
        </is>
      </c>
      <c r="E11" s="215" t="inlineStr">
        <is>
          <t>UN</t>
        </is>
      </c>
      <c r="F11" s="687" t="inlineStr">
        <is>
          <t>CX/PALLET</t>
        </is>
      </c>
      <c r="G11" s="244" t="inlineStr">
        <is>
          <t>PALLETS (PBR)</t>
        </is>
      </c>
      <c r="H11" s="244" t="inlineStr">
        <is>
          <t>REAL (CX)</t>
        </is>
      </c>
      <c r="I11" s="244" t="inlineStr">
        <is>
          <t>TOTAL LATAS</t>
        </is>
      </c>
      <c r="J11" s="552" t="n"/>
      <c r="K11" s="552" t="n"/>
      <c r="L11" s="552" t="n"/>
      <c r="M11" s="552" t="n"/>
    </row>
    <row r="12" ht="21" customHeight="1" s="468">
      <c r="A12" s="685" t="n"/>
      <c r="B12" s="218" t="n"/>
      <c r="C12" s="219" t="n"/>
      <c r="D12" s="220" t="n"/>
      <c r="E12" s="221" t="inlineStr">
        <is>
          <t>CX</t>
        </is>
      </c>
      <c r="F12" s="686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20">
        <f>IFERROR(ROUNDUP(D12/F12,0),"")</f>
        <v/>
      </c>
      <c r="H12" s="224" t="n"/>
      <c r="I12" s="220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  <c r="J12" s="552" t="n"/>
      <c r="K12" s="552" t="n"/>
      <c r="L12" s="552" t="n"/>
      <c r="M12" s="552" t="n"/>
    </row>
    <row r="13" ht="21" customHeight="1" s="468">
      <c r="A13" s="685" t="n"/>
      <c r="B13" s="218" t="n"/>
      <c r="C13" s="219" t="n"/>
      <c r="D13" s="220" t="n"/>
      <c r="E13" s="221" t="inlineStr">
        <is>
          <t>CX</t>
        </is>
      </c>
      <c r="F13" s="68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20">
        <f>IFERROR(ROUNDUP(D13/F13,0),"")</f>
        <v/>
      </c>
      <c r="H13" s="224" t="n"/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552" t="n"/>
      <c r="K13" s="552" t="n"/>
      <c r="L13" s="552" t="n"/>
      <c r="M13" s="552" t="n"/>
    </row>
    <row r="14" ht="21" customHeight="1" s="468">
      <c r="A14" s="685" t="n"/>
      <c r="B14" s="218" t="n"/>
      <c r="C14" s="219" t="n"/>
      <c r="D14" s="220" t="n"/>
      <c r="E14" s="221" t="inlineStr">
        <is>
          <t>CX</t>
        </is>
      </c>
      <c r="F14" s="68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20">
        <f>IFERROR(ROUNDUP(D14/F14,0),"")</f>
        <v/>
      </c>
      <c r="H14" s="224" t="n"/>
      <c r="I14" s="220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52" t="n"/>
      <c r="K14" s="552" t="n"/>
      <c r="L14" s="552" t="n"/>
      <c r="M14" s="552" t="n"/>
    </row>
    <row r="15" ht="21" customHeight="1" s="468">
      <c r="A15" s="685" t="n"/>
      <c r="B15" s="218" t="n"/>
      <c r="C15" s="219" t="n"/>
      <c r="D15" s="220" t="n"/>
      <c r="E15" s="221" t="inlineStr">
        <is>
          <t>CX</t>
        </is>
      </c>
      <c r="F15" s="686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20">
        <f>IFERROR(ROUNDUP(D15/F15,0),"")</f>
        <v/>
      </c>
      <c r="H15" s="224" t="n"/>
      <c r="I15" s="220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2" t="n"/>
      <c r="K15" s="552" t="n"/>
      <c r="L15" s="552" t="n"/>
      <c r="M15" s="552" t="n"/>
    </row>
    <row r="16" ht="21" customHeight="1" s="468">
      <c r="A16" s="685" t="n"/>
      <c r="B16" s="218" t="n"/>
      <c r="C16" s="219" t="n"/>
      <c r="D16" s="220" t="n"/>
      <c r="E16" s="221" t="inlineStr">
        <is>
          <t>CX</t>
        </is>
      </c>
      <c r="F16" s="686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20">
        <f>IFERROR(ROUNDUP(D16/F16,0),"")</f>
        <v/>
      </c>
      <c r="H16" s="224" t="n"/>
      <c r="I16" s="220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552" t="n"/>
      <c r="K16" s="552" t="n"/>
      <c r="L16" s="552" t="n"/>
      <c r="M16" s="552" t="n"/>
    </row>
    <row r="17" ht="15" customHeight="1" s="468">
      <c r="A17" s="658" t="n"/>
      <c r="B17" s="640" t="inlineStr">
        <is>
          <t>TOTAL</t>
        </is>
      </c>
      <c r="C17" s="667" t="n"/>
      <c r="D17" s="642">
        <f>SUM(D12:D16)</f>
        <v/>
      </c>
      <c r="E17" s="668" t="n"/>
      <c r="F17" s="644" t="n"/>
      <c r="G17" s="642">
        <f>SUM(G12:G16)</f>
        <v/>
      </c>
      <c r="H17" s="642">
        <f>SUM(H12:H16)</f>
        <v/>
      </c>
      <c r="I17" s="642">
        <f>SUM(I12:I16)</f>
        <v/>
      </c>
      <c r="J17" s="644">
        <f>D17</f>
        <v/>
      </c>
      <c r="K17" s="644">
        <f>G17</f>
        <v/>
      </c>
      <c r="L17" s="644">
        <f>H17</f>
        <v/>
      </c>
      <c r="M17" s="644">
        <f>I17</f>
        <v/>
      </c>
    </row>
    <row r="18" ht="6" customHeight="1" s="468">
      <c r="A18" s="638" t="n"/>
      <c r="C18" s="71" t="n"/>
      <c r="D18" s="552" t="n"/>
      <c r="F18" s="552" t="n"/>
      <c r="G18" s="552" t="n"/>
      <c r="H18" s="552" t="n"/>
      <c r="I18" s="552" t="n"/>
      <c r="J18" s="552" t="n"/>
      <c r="K18" s="552" t="n"/>
      <c r="L18" s="552" t="n"/>
      <c r="M18" s="552" t="n"/>
    </row>
    <row r="19" ht="15" customHeight="1" s="468">
      <c r="A19" s="646" t="n">
        <v>46268</v>
      </c>
      <c r="B19" s="213" t="inlineStr">
        <is>
          <t>PRODUTO</t>
        </is>
      </c>
      <c r="C19" s="214" t="inlineStr">
        <is>
          <t>EMBALAGEM</t>
        </is>
      </c>
      <c r="D19" s="244" t="inlineStr">
        <is>
          <t>CAIXAS</t>
        </is>
      </c>
      <c r="E19" s="215" t="inlineStr">
        <is>
          <t>UN</t>
        </is>
      </c>
      <c r="F19" s="687" t="inlineStr">
        <is>
          <t>CX/PALLET</t>
        </is>
      </c>
      <c r="G19" s="244" t="inlineStr">
        <is>
          <t>PALLETS (PBR)</t>
        </is>
      </c>
      <c r="H19" s="244" t="inlineStr">
        <is>
          <t>REAL (CX)</t>
        </is>
      </c>
      <c r="I19" s="244" t="inlineStr">
        <is>
          <t>TOTAL LATAS</t>
        </is>
      </c>
      <c r="J19" s="552" t="n"/>
      <c r="K19" s="552" t="n"/>
      <c r="L19" s="552" t="n"/>
      <c r="M19" s="552" t="n"/>
    </row>
    <row r="20" ht="21" customHeight="1" s="468">
      <c r="A20" s="685" t="n"/>
      <c r="B20" s="218" t="n"/>
      <c r="C20" s="219" t="n"/>
      <c r="D20" s="220" t="n"/>
      <c r="E20" s="221" t="inlineStr">
        <is>
          <t>CX</t>
        </is>
      </c>
      <c r="F20" s="686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20">
        <f>IFERROR(ROUNDUP(D20/F20,0),"")</f>
        <v/>
      </c>
      <c r="H20" s="224" t="n"/>
      <c r="I20" s="220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552" t="n"/>
      <c r="K20" s="552" t="n"/>
      <c r="L20" s="552" t="n"/>
      <c r="M20" s="552" t="n"/>
    </row>
    <row r="21" ht="21" customHeight="1" s="468">
      <c r="A21" s="685" t="n"/>
      <c r="B21" s="218" t="n"/>
      <c r="C21" s="219" t="n"/>
      <c r="D21" s="220" t="n"/>
      <c r="E21" s="221" t="inlineStr">
        <is>
          <t>CX</t>
        </is>
      </c>
      <c r="F21" s="686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20">
        <f>IFERROR(ROUNDUP(D21/F21,0),"")</f>
        <v/>
      </c>
      <c r="H21" s="224" t="n"/>
      <c r="I21" s="22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552" t="n"/>
      <c r="K21" s="552" t="n"/>
      <c r="L21" s="552" t="n"/>
      <c r="M21" s="552" t="n"/>
    </row>
    <row r="22" ht="21" customHeight="1" s="468">
      <c r="A22" s="685" t="n"/>
      <c r="B22" s="218" t="n"/>
      <c r="C22" s="219" t="n"/>
      <c r="D22" s="220" t="n"/>
      <c r="E22" s="221" t="inlineStr">
        <is>
          <t>CX</t>
        </is>
      </c>
      <c r="F22" s="686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20">
        <f>IFERROR(ROUNDUP(D22/F22,0),"")</f>
        <v/>
      </c>
      <c r="H22" s="224" t="n"/>
      <c r="I22" s="220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552" t="n"/>
      <c r="K22" s="552" t="n"/>
      <c r="L22" s="552" t="n"/>
      <c r="M22" s="552" t="n"/>
    </row>
    <row r="23" ht="21" customHeight="1" s="468">
      <c r="A23" s="685" t="n"/>
      <c r="B23" s="218" t="n"/>
      <c r="C23" s="219" t="n"/>
      <c r="D23" s="220" t="n"/>
      <c r="E23" s="221" t="inlineStr">
        <is>
          <t>CX</t>
        </is>
      </c>
      <c r="F23" s="686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20">
        <f>IFERROR(ROUNDUP(D23/F23,0),"")</f>
        <v/>
      </c>
      <c r="H23" s="224" t="n"/>
      <c r="I23" s="220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52" t="n"/>
      <c r="K23" s="552" t="n"/>
      <c r="L23" s="552" t="n"/>
      <c r="M23" s="552" t="n"/>
    </row>
    <row r="24" ht="21" customHeight="1" s="468">
      <c r="A24" s="685" t="n"/>
      <c r="B24" s="218" t="n"/>
      <c r="C24" s="219" t="n"/>
      <c r="D24" s="220" t="n"/>
      <c r="E24" s="221" t="inlineStr">
        <is>
          <t>CX</t>
        </is>
      </c>
      <c r="F24" s="686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20">
        <f>IFERROR(ROUNDUP(D24/F24,0),"")</f>
        <v/>
      </c>
      <c r="H24" s="224" t="n"/>
      <c r="I24" s="220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552" t="n"/>
      <c r="K24" s="552" t="n"/>
      <c r="L24" s="552" t="n"/>
      <c r="M24" s="552" t="n"/>
    </row>
    <row r="25" ht="15" customHeight="1" s="468">
      <c r="A25" s="658" t="n"/>
      <c r="B25" s="640" t="inlineStr">
        <is>
          <t>TOTAL</t>
        </is>
      </c>
      <c r="C25" s="667" t="n"/>
      <c r="D25" s="642">
        <f>SUM(D20:D24)</f>
        <v/>
      </c>
      <c r="E25" s="668" t="n"/>
      <c r="F25" s="644" t="n"/>
      <c r="G25" s="642">
        <f>SUM(G20:G24)</f>
        <v/>
      </c>
      <c r="H25" s="642">
        <f>SUM(H20:H24)</f>
        <v/>
      </c>
      <c r="I25" s="642">
        <f>SUM(I20:I24)</f>
        <v/>
      </c>
      <c r="J25" s="644">
        <f>D25</f>
        <v/>
      </c>
      <c r="K25" s="644">
        <f>G25</f>
        <v/>
      </c>
      <c r="L25" s="644">
        <f>H25</f>
        <v/>
      </c>
      <c r="M25" s="644">
        <f>I25</f>
        <v/>
      </c>
    </row>
    <row r="26" ht="6" customHeight="1" s="468">
      <c r="A26" s="638" t="n"/>
      <c r="C26" s="71" t="n"/>
      <c r="D26" s="552" t="n"/>
      <c r="F26" s="552" t="n"/>
      <c r="G26" s="552" t="n"/>
      <c r="H26" s="552" t="n"/>
      <c r="I26" s="552" t="n"/>
      <c r="J26" s="552" t="n"/>
      <c r="K26" s="552" t="n"/>
      <c r="L26" s="552" t="n"/>
      <c r="M26" s="552" t="n"/>
    </row>
    <row r="27" ht="15" customHeight="1" s="468">
      <c r="A27" s="646" t="n">
        <v>46269</v>
      </c>
      <c r="B27" s="213" t="inlineStr">
        <is>
          <t>PRODUTO</t>
        </is>
      </c>
      <c r="C27" s="214" t="inlineStr">
        <is>
          <t>EMBALAGEM</t>
        </is>
      </c>
      <c r="D27" s="244" t="inlineStr">
        <is>
          <t>CAIXAS</t>
        </is>
      </c>
      <c r="E27" s="215" t="inlineStr">
        <is>
          <t>UN</t>
        </is>
      </c>
      <c r="F27" s="687" t="inlineStr">
        <is>
          <t>CX/PALLET</t>
        </is>
      </c>
      <c r="G27" s="244" t="inlineStr">
        <is>
          <t>PALLETS (PBR)</t>
        </is>
      </c>
      <c r="H27" s="244" t="inlineStr">
        <is>
          <t>REAL (CX)</t>
        </is>
      </c>
      <c r="I27" s="244" t="inlineStr">
        <is>
          <t>TOTAL LATAS</t>
        </is>
      </c>
      <c r="J27" s="552" t="n"/>
      <c r="K27" s="552" t="n"/>
      <c r="L27" s="552" t="n"/>
      <c r="M27" s="552" t="n"/>
    </row>
    <row r="28" ht="21" customHeight="1" s="468">
      <c r="A28" s="685" t="n"/>
      <c r="B28" s="218" t="n"/>
      <c r="C28" s="219" t="n"/>
      <c r="D28" s="220" t="n"/>
      <c r="E28" s="221" t="inlineStr">
        <is>
          <t>CX</t>
        </is>
      </c>
      <c r="F28" s="686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20">
        <f>IFERROR(ROUNDUP(D28/F28,0),"")</f>
        <v/>
      </c>
      <c r="H28" s="224" t="n"/>
      <c r="I28" s="220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552" t="n"/>
      <c r="K28" s="552" t="n"/>
      <c r="L28" s="552" t="n"/>
      <c r="M28" s="552" t="n"/>
    </row>
    <row r="29" ht="21" customHeight="1" s="468">
      <c r="A29" s="685" t="n"/>
      <c r="B29" s="218" t="n"/>
      <c r="C29" s="219" t="n"/>
      <c r="D29" s="220" t="n"/>
      <c r="E29" s="221" t="inlineStr">
        <is>
          <t>CX</t>
        </is>
      </c>
      <c r="F29" s="686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20">
        <f>IFERROR(ROUNDUP(D29/F29,0),"")</f>
        <v/>
      </c>
      <c r="H29" s="224" t="n"/>
      <c r="I29" s="220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52" t="n"/>
      <c r="K29" s="552" t="n"/>
      <c r="L29" s="552" t="n"/>
      <c r="M29" s="552" t="n"/>
    </row>
    <row r="30" ht="21" customHeight="1" s="468">
      <c r="A30" s="685" t="n"/>
      <c r="B30" s="218" t="n"/>
      <c r="C30" s="219" t="n"/>
      <c r="D30" s="220" t="n"/>
      <c r="E30" s="221" t="inlineStr">
        <is>
          <t>CX</t>
        </is>
      </c>
      <c r="F30" s="686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20">
        <f>IFERROR(ROUNDUP(D30/F30,0),"")</f>
        <v/>
      </c>
      <c r="H30" s="224" t="n"/>
      <c r="I30" s="220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552" t="n"/>
      <c r="K30" s="552" t="n"/>
      <c r="L30" s="552" t="n"/>
      <c r="M30" s="552" t="n"/>
    </row>
    <row r="31" ht="21" customHeight="1" s="468">
      <c r="A31" s="685" t="n"/>
      <c r="B31" s="218" t="n"/>
      <c r="C31" s="219" t="n"/>
      <c r="D31" s="220" t="n"/>
      <c r="E31" s="221" t="inlineStr">
        <is>
          <t>CX</t>
        </is>
      </c>
      <c r="F31" s="68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20">
        <f>IFERROR(ROUNDUP(D31/F31,0),"")</f>
        <v/>
      </c>
      <c r="H31" s="224" t="n"/>
      <c r="I31" s="220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552" t="n"/>
      <c r="K31" s="552" t="n"/>
      <c r="L31" s="552" t="n"/>
      <c r="M31" s="552" t="n"/>
    </row>
    <row r="32" ht="21" customHeight="1" s="468">
      <c r="A32" s="685" t="n"/>
      <c r="B32" s="218" t="n"/>
      <c r="C32" s="219" t="n"/>
      <c r="D32" s="220" t="n"/>
      <c r="E32" s="221" t="inlineStr">
        <is>
          <t>CX</t>
        </is>
      </c>
      <c r="F32" s="68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20">
        <f>IFERROR(ROUNDUP(D32/F32,0),"")</f>
        <v/>
      </c>
      <c r="H32" s="224" t="n"/>
      <c r="I32" s="220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552" t="n"/>
      <c r="K32" s="552" t="n"/>
      <c r="L32" s="552" t="n"/>
      <c r="M32" s="552" t="n"/>
    </row>
    <row r="33" ht="15" customHeight="1" s="468">
      <c r="A33" s="658" t="n"/>
      <c r="B33" s="640" t="inlineStr">
        <is>
          <t>TOTAL</t>
        </is>
      </c>
      <c r="C33" s="667" t="n"/>
      <c r="D33" s="642">
        <f>SUM(D28:D32)</f>
        <v/>
      </c>
      <c r="E33" s="668" t="n"/>
      <c r="F33" s="644" t="n"/>
      <c r="G33" s="642">
        <f>SUM(G28:G32)</f>
        <v/>
      </c>
      <c r="H33" s="642">
        <f>SUM(H28:H32)</f>
        <v/>
      </c>
      <c r="I33" s="642">
        <f>SUM(I28:I32)</f>
        <v/>
      </c>
      <c r="J33" s="644">
        <f>D33</f>
        <v/>
      </c>
      <c r="K33" s="644">
        <f>G33</f>
        <v/>
      </c>
      <c r="L33" s="644">
        <f>H33</f>
        <v/>
      </c>
      <c r="M33" s="644">
        <f>I33</f>
        <v/>
      </c>
    </row>
    <row r="34" ht="6" customHeight="1" s="468">
      <c r="A34" s="638" t="n"/>
      <c r="C34" s="71" t="n"/>
      <c r="D34" s="552" t="n"/>
      <c r="F34" s="552" t="n"/>
      <c r="G34" s="552" t="n"/>
      <c r="H34" s="552" t="n"/>
      <c r="I34" s="552" t="n"/>
      <c r="J34" s="552" t="n"/>
      <c r="K34" s="552" t="n"/>
      <c r="L34" s="552" t="n"/>
      <c r="M34" s="552" t="n"/>
    </row>
    <row r="35" ht="15" customHeight="1" s="468">
      <c r="A35" s="696" t="n">
        <v>46270</v>
      </c>
      <c r="B35" s="213" t="inlineStr">
        <is>
          <t>PRODUTO</t>
        </is>
      </c>
      <c r="C35" s="214" t="inlineStr">
        <is>
          <t>EMBALAGEM</t>
        </is>
      </c>
      <c r="D35" s="244" t="inlineStr">
        <is>
          <t>CAIXAS</t>
        </is>
      </c>
      <c r="E35" s="215" t="inlineStr">
        <is>
          <t>UN</t>
        </is>
      </c>
      <c r="F35" s="697" t="inlineStr">
        <is>
          <t>CX/PALLET</t>
        </is>
      </c>
      <c r="G35" s="244" t="inlineStr">
        <is>
          <t>PALLETS (PBR)</t>
        </is>
      </c>
      <c r="H35" s="244" t="inlineStr">
        <is>
          <t>REAL (CX)</t>
        </is>
      </c>
      <c r="I35" s="244" t="inlineStr">
        <is>
          <t>TOTAL LATAS</t>
        </is>
      </c>
      <c r="J35" s="274" t="n"/>
      <c r="K35" s="274" t="n"/>
      <c r="L35" s="274" t="n"/>
      <c r="M35" s="274" t="n"/>
    </row>
    <row r="36" ht="21" customHeight="1" s="468">
      <c r="A36" s="685" t="n"/>
      <c r="B36" s="266" t="n"/>
      <c r="C36" s="267" t="n"/>
      <c r="D36" s="268" t="n"/>
      <c r="E36" s="269" t="inlineStr">
        <is>
          <t>CX</t>
        </is>
      </c>
      <c r="F36" s="698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68">
        <f>IFERROR(ROUNDUP(D36/F36,0),"")</f>
        <v/>
      </c>
      <c r="H36" s="224" t="n"/>
      <c r="I36" s="268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274" t="n"/>
      <c r="K36" s="274" t="n"/>
      <c r="L36" s="274" t="n"/>
      <c r="M36" s="274" t="n"/>
    </row>
    <row r="37" ht="21" customHeight="1" s="468">
      <c r="A37" s="685" t="n"/>
      <c r="B37" s="266" t="n"/>
      <c r="C37" s="267" t="n"/>
      <c r="D37" s="268" t="n"/>
      <c r="E37" s="269" t="inlineStr">
        <is>
          <t>CX</t>
        </is>
      </c>
      <c r="F37" s="698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68">
        <f>IFERROR(ROUNDUP(D37/F37,0),"")</f>
        <v/>
      </c>
      <c r="H37" s="224" t="n"/>
      <c r="I37" s="268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274" t="n"/>
      <c r="K37" s="274" t="n"/>
      <c r="L37" s="274" t="n"/>
      <c r="M37" s="274" t="n"/>
    </row>
    <row r="38" ht="21" customHeight="1" s="468">
      <c r="A38" s="685" t="n"/>
      <c r="B38" s="266" t="n"/>
      <c r="C38" s="267" t="n"/>
      <c r="D38" s="268" t="n"/>
      <c r="E38" s="269" t="inlineStr">
        <is>
          <t>CX</t>
        </is>
      </c>
      <c r="F38" s="698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68">
        <f>IFERROR(ROUNDUP(D38/F38,0),"")</f>
        <v/>
      </c>
      <c r="H38" s="224" t="n"/>
      <c r="I38" s="268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274" t="n"/>
      <c r="K38" s="274" t="n"/>
      <c r="L38" s="274" t="n"/>
      <c r="M38" s="274" t="n"/>
    </row>
    <row r="39" ht="21" customHeight="1" s="468">
      <c r="A39" s="685" t="n"/>
      <c r="B39" s="266" t="n"/>
      <c r="C39" s="267" t="n"/>
      <c r="D39" s="268" t="n"/>
      <c r="E39" s="269" t="inlineStr">
        <is>
          <t>CX</t>
        </is>
      </c>
      <c r="F39" s="698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68">
        <f>IFERROR(ROUNDUP(D39/F39,0),"")</f>
        <v/>
      </c>
      <c r="H39" s="224" t="n"/>
      <c r="I39" s="268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274" t="n"/>
      <c r="K39" s="274" t="n"/>
      <c r="L39" s="274" t="n"/>
      <c r="M39" s="274" t="n"/>
    </row>
    <row r="40" ht="21" customHeight="1" s="468">
      <c r="A40" s="685" t="n"/>
      <c r="B40" s="266" t="n"/>
      <c r="C40" s="267" t="n"/>
      <c r="D40" s="268" t="n"/>
      <c r="E40" s="269" t="inlineStr">
        <is>
          <t>CX</t>
        </is>
      </c>
      <c r="F40" s="698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68">
        <f>IFERROR(ROUNDUP(D40/F40,0),"")</f>
        <v/>
      </c>
      <c r="H40" s="224" t="n"/>
      <c r="I40" s="268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274" t="n"/>
      <c r="K40" s="274" t="n"/>
      <c r="L40" s="274" t="n"/>
      <c r="M40" s="274" t="n"/>
    </row>
    <row r="41" ht="15" customHeight="1" s="468">
      <c r="A41" s="658" t="n"/>
      <c r="B41" s="640" t="inlineStr">
        <is>
          <t>TOTAL</t>
        </is>
      </c>
      <c r="C41" s="667" t="n"/>
      <c r="D41" s="642">
        <f>SUM(D36:D40)</f>
        <v/>
      </c>
      <c r="E41" s="668" t="n"/>
      <c r="F41" s="644" t="n"/>
      <c r="G41" s="642">
        <f>SUM(G36:G40)</f>
        <v/>
      </c>
      <c r="H41" s="642">
        <f>SUM(H36:H40)</f>
        <v/>
      </c>
      <c r="I41" s="642">
        <f>SUM(I36:I40)</f>
        <v/>
      </c>
      <c r="J41" s="644">
        <f>D41</f>
        <v/>
      </c>
      <c r="K41" s="644">
        <f>G41</f>
        <v/>
      </c>
      <c r="L41" s="644">
        <f>H41</f>
        <v/>
      </c>
      <c r="M41" s="644">
        <f>I41</f>
        <v/>
      </c>
    </row>
    <row r="42" ht="6" customHeight="1" s="468">
      <c r="A42" s="699" t="n"/>
      <c r="B42" s="265" t="n"/>
      <c r="C42" s="276" t="n"/>
      <c r="D42" s="274" t="n"/>
      <c r="E42" s="265" t="n"/>
      <c r="F42" s="274" t="n"/>
      <c r="G42" s="274" t="n"/>
      <c r="H42" s="274" t="n"/>
      <c r="I42" s="274" t="n"/>
      <c r="J42" s="274" t="n"/>
      <c r="K42" s="274" t="n"/>
      <c r="L42" s="274" t="n"/>
      <c r="M42" s="274" t="n"/>
    </row>
    <row r="43" ht="15" customHeight="1" s="468">
      <c r="A43" s="646" t="n">
        <v>46272</v>
      </c>
      <c r="B43" s="213" t="inlineStr">
        <is>
          <t>PRODUTO</t>
        </is>
      </c>
      <c r="C43" s="214" t="inlineStr">
        <is>
          <t>EMBALAGEM</t>
        </is>
      </c>
      <c r="D43" s="244" t="inlineStr">
        <is>
          <t>CAIXAS</t>
        </is>
      </c>
      <c r="E43" s="215" t="inlineStr">
        <is>
          <t>UN</t>
        </is>
      </c>
      <c r="F43" s="687" t="inlineStr">
        <is>
          <t>CX/PALLET</t>
        </is>
      </c>
      <c r="G43" s="244" t="inlineStr">
        <is>
          <t>PALLETS (PBR)</t>
        </is>
      </c>
      <c r="H43" s="244" t="inlineStr">
        <is>
          <t>REAL (CX)</t>
        </is>
      </c>
      <c r="I43" s="244" t="inlineStr">
        <is>
          <t>TOTAL LATAS</t>
        </is>
      </c>
      <c r="J43" s="552" t="n"/>
      <c r="K43" s="552" t="n"/>
      <c r="L43" s="552" t="n"/>
      <c r="M43" s="552" t="n"/>
    </row>
    <row r="44" ht="21" customHeight="1" s="468">
      <c r="A44" s="685" t="n"/>
      <c r="B44" s="218" t="n"/>
      <c r="C44" s="219" t="n"/>
      <c r="D44" s="220" t="n"/>
      <c r="E44" s="221" t="inlineStr">
        <is>
          <t>CX</t>
        </is>
      </c>
      <c r="F44" s="686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20">
        <f>IFERROR(ROUNDUP(D44/F44,0),"")</f>
        <v/>
      </c>
      <c r="H44" s="224" t="n"/>
      <c r="I44" s="220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552" t="n"/>
      <c r="K44" s="552" t="n"/>
      <c r="L44" s="552" t="n"/>
      <c r="M44" s="552" t="n"/>
    </row>
    <row r="45" ht="21" customHeight="1" s="468">
      <c r="A45" s="685" t="n"/>
      <c r="B45" s="218" t="n"/>
      <c r="C45" s="219" t="n"/>
      <c r="D45" s="220" t="n"/>
      <c r="E45" s="221" t="inlineStr">
        <is>
          <t>CX</t>
        </is>
      </c>
      <c r="F45" s="68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20">
        <f>IFERROR(ROUNDUP(D45/F45,0),"")</f>
        <v/>
      </c>
      <c r="H45" s="224" t="n"/>
      <c r="I45" s="220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552" t="n"/>
      <c r="K45" s="552" t="n"/>
      <c r="L45" s="552" t="n"/>
      <c r="M45" s="552" t="n"/>
    </row>
    <row r="46" ht="21" customHeight="1" s="468">
      <c r="A46" s="685" t="n"/>
      <c r="B46" s="218" t="n"/>
      <c r="C46" s="219" t="n"/>
      <c r="D46" s="220" t="n"/>
      <c r="E46" s="221" t="inlineStr">
        <is>
          <t>CX</t>
        </is>
      </c>
      <c r="F46" s="686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20">
        <f>IFERROR(ROUNDUP(D46/F46,0),"")</f>
        <v/>
      </c>
      <c r="H46" s="224" t="n"/>
      <c r="I46" s="220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552" t="n"/>
      <c r="K46" s="552" t="n"/>
      <c r="L46" s="552" t="n"/>
      <c r="M46" s="552" t="n"/>
    </row>
    <row r="47" ht="21" customHeight="1" s="468">
      <c r="A47" s="685" t="n"/>
      <c r="B47" s="218" t="n"/>
      <c r="C47" s="219" t="n"/>
      <c r="D47" s="220" t="n"/>
      <c r="E47" s="221" t="inlineStr">
        <is>
          <t>CX</t>
        </is>
      </c>
      <c r="F47" s="686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20">
        <f>IFERROR(ROUNDUP(D47/F47,0),"")</f>
        <v/>
      </c>
      <c r="H47" s="224" t="n"/>
      <c r="I47" s="220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52" t="n"/>
      <c r="K47" s="552" t="n"/>
      <c r="L47" s="552" t="n"/>
      <c r="M47" s="552" t="n"/>
    </row>
    <row r="48" ht="21" customHeight="1" s="468">
      <c r="A48" s="685" t="n"/>
      <c r="B48" s="218" t="n"/>
      <c r="C48" s="219" t="n"/>
      <c r="D48" s="220" t="n"/>
      <c r="E48" s="221" t="inlineStr">
        <is>
          <t>CX</t>
        </is>
      </c>
      <c r="F48" s="686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20">
        <f>IFERROR(ROUNDUP(D48/F48,0),"")</f>
        <v/>
      </c>
      <c r="H48" s="224" t="n"/>
      <c r="I48" s="220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552" t="n"/>
      <c r="K48" s="552" t="n"/>
      <c r="L48" s="552" t="n"/>
      <c r="M48" s="552" t="n"/>
    </row>
    <row r="49" ht="15" customHeight="1" s="468">
      <c r="A49" s="658" t="n"/>
      <c r="B49" s="640" t="inlineStr">
        <is>
          <t>TOTAL</t>
        </is>
      </c>
      <c r="C49" s="667" t="n"/>
      <c r="D49" s="642">
        <f>SUM(D44:D48)</f>
        <v/>
      </c>
      <c r="E49" s="668" t="n"/>
      <c r="F49" s="644" t="n"/>
      <c r="G49" s="642">
        <f>SUM(G44:G48)</f>
        <v/>
      </c>
      <c r="H49" s="642">
        <f>SUM(H44:H48)</f>
        <v/>
      </c>
      <c r="I49" s="642">
        <f>SUM(I44:I48)</f>
        <v/>
      </c>
      <c r="J49" s="644">
        <f>D49</f>
        <v/>
      </c>
      <c r="K49" s="644">
        <f>G49</f>
        <v/>
      </c>
      <c r="L49" s="644">
        <f>H49</f>
        <v/>
      </c>
      <c r="M49" s="644">
        <f>I49</f>
        <v/>
      </c>
    </row>
    <row r="50" ht="6" customHeight="1" s="468">
      <c r="A50" s="638" t="n"/>
      <c r="C50" s="71" t="n"/>
      <c r="D50" s="552" t="n"/>
      <c r="F50" s="552" t="n"/>
      <c r="G50" s="552" t="n"/>
      <c r="H50" s="552" t="n"/>
      <c r="I50" s="552" t="n"/>
      <c r="J50" s="552" t="n"/>
      <c r="K50" s="552" t="n"/>
      <c r="L50" s="552" t="n"/>
      <c r="M50" s="552" t="n"/>
    </row>
    <row r="51" ht="15" customHeight="1" s="468">
      <c r="A51" s="646" t="n">
        <v>46273</v>
      </c>
      <c r="B51" s="213" t="inlineStr">
        <is>
          <t>PRODUTO</t>
        </is>
      </c>
      <c r="C51" s="214" t="inlineStr">
        <is>
          <t>EMBALAGEM</t>
        </is>
      </c>
      <c r="D51" s="244" t="inlineStr">
        <is>
          <t>CAIXAS</t>
        </is>
      </c>
      <c r="E51" s="215" t="inlineStr">
        <is>
          <t>UN</t>
        </is>
      </c>
      <c r="F51" s="687" t="inlineStr">
        <is>
          <t>CX/PALLET</t>
        </is>
      </c>
      <c r="G51" s="244" t="inlineStr">
        <is>
          <t>PALLETS (PBR)</t>
        </is>
      </c>
      <c r="H51" s="244" t="inlineStr">
        <is>
          <t>REAL (CX)</t>
        </is>
      </c>
      <c r="I51" s="244" t="inlineStr">
        <is>
          <t>TOTAL LATAS</t>
        </is>
      </c>
      <c r="J51" s="552" t="n"/>
      <c r="K51" s="552" t="n"/>
      <c r="L51" s="552" t="n"/>
      <c r="M51" s="552" t="n"/>
    </row>
    <row r="52" ht="21" customHeight="1" s="468">
      <c r="A52" s="685" t="n"/>
      <c r="B52" s="218" t="n"/>
      <c r="C52" s="219" t="n"/>
      <c r="D52" s="220" t="n"/>
      <c r="E52" s="221" t="inlineStr">
        <is>
          <t>CX</t>
        </is>
      </c>
      <c r="F52" s="686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20">
        <f>IFERROR(ROUNDUP(D52/F52,0),"")</f>
        <v/>
      </c>
      <c r="H52" s="224" t="n"/>
      <c r="I52" s="220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552" t="n"/>
      <c r="K52" s="552" t="n"/>
      <c r="L52" s="552" t="n"/>
      <c r="M52" s="552" t="n"/>
    </row>
    <row r="53" ht="21" customHeight="1" s="468">
      <c r="A53" s="685" t="n"/>
      <c r="B53" s="218" t="n"/>
      <c r="C53" s="219" t="n"/>
      <c r="D53" s="220" t="n"/>
      <c r="E53" s="221" t="inlineStr">
        <is>
          <t>CX</t>
        </is>
      </c>
      <c r="F53" s="68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20">
        <f>IFERROR(ROUNDUP(D53/F53,0),"")</f>
        <v/>
      </c>
      <c r="H53" s="224" t="n"/>
      <c r="I53" s="220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552" t="n"/>
      <c r="K53" s="552" t="n"/>
      <c r="L53" s="552" t="n"/>
      <c r="M53" s="552" t="n"/>
    </row>
    <row r="54" ht="21" customHeight="1" s="468">
      <c r="A54" s="685" t="n"/>
      <c r="B54" s="218" t="n"/>
      <c r="C54" s="219" t="n"/>
      <c r="D54" s="220" t="n"/>
      <c r="E54" s="221" t="inlineStr">
        <is>
          <t>CX</t>
        </is>
      </c>
      <c r="F54" s="686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20">
        <f>IFERROR(ROUNDUP(D54/F54,0),"")</f>
        <v/>
      </c>
      <c r="H54" s="224" t="n"/>
      <c r="I54" s="220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552" t="n"/>
      <c r="K54" s="552" t="n"/>
      <c r="L54" s="552" t="n"/>
      <c r="M54" s="552" t="n"/>
    </row>
    <row r="55" ht="21" customHeight="1" s="468">
      <c r="A55" s="685" t="n"/>
      <c r="B55" s="218" t="n"/>
      <c r="C55" s="219" t="n"/>
      <c r="D55" s="220" t="n"/>
      <c r="E55" s="221" t="inlineStr">
        <is>
          <t>CX</t>
        </is>
      </c>
      <c r="F55" s="68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20">
        <f>IFERROR(ROUNDUP(D55/F55,0),"")</f>
        <v/>
      </c>
      <c r="H55" s="224" t="n"/>
      <c r="I55" s="220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552" t="n"/>
      <c r="K55" s="552" t="n"/>
      <c r="L55" s="552" t="n"/>
      <c r="M55" s="552" t="n"/>
    </row>
    <row r="56" ht="21" customHeight="1" s="468">
      <c r="A56" s="685" t="n"/>
      <c r="B56" s="218" t="n"/>
      <c r="C56" s="219" t="n"/>
      <c r="D56" s="220" t="n"/>
      <c r="E56" s="221" t="inlineStr">
        <is>
          <t>CX</t>
        </is>
      </c>
      <c r="F56" s="686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20">
        <f>IFERROR(ROUNDUP(D56/F56,0),"")</f>
        <v/>
      </c>
      <c r="H56" s="224" t="n"/>
      <c r="I56" s="220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552" t="n"/>
      <c r="K56" s="552" t="n"/>
      <c r="L56" s="552" t="n"/>
      <c r="M56" s="552" t="n"/>
    </row>
    <row r="57" ht="15" customHeight="1" s="468">
      <c r="A57" s="658" t="n"/>
      <c r="B57" s="640" t="inlineStr">
        <is>
          <t>TOTAL</t>
        </is>
      </c>
      <c r="C57" s="667" t="n"/>
      <c r="D57" s="642">
        <f>SUM(D52:D56)</f>
        <v/>
      </c>
      <c r="E57" s="668" t="n"/>
      <c r="F57" s="644" t="n"/>
      <c r="G57" s="642">
        <f>SUM(G52:G56)</f>
        <v/>
      </c>
      <c r="H57" s="642">
        <f>SUM(H52:H56)</f>
        <v/>
      </c>
      <c r="I57" s="642">
        <f>SUM(I52:I56)</f>
        <v/>
      </c>
      <c r="J57" s="644">
        <f>D57</f>
        <v/>
      </c>
      <c r="K57" s="644">
        <f>G57</f>
        <v/>
      </c>
      <c r="L57" s="644">
        <f>H57</f>
        <v/>
      </c>
      <c r="M57" s="644">
        <f>I57</f>
        <v/>
      </c>
    </row>
    <row r="58" ht="6" customHeight="1" s="468">
      <c r="A58" s="638" t="n"/>
      <c r="C58" s="71" t="n"/>
      <c r="D58" s="552" t="n"/>
      <c r="F58" s="552" t="n"/>
      <c r="G58" s="552" t="n"/>
      <c r="H58" s="552" t="n"/>
      <c r="I58" s="552" t="n"/>
      <c r="J58" s="552" t="n"/>
      <c r="K58" s="552" t="n"/>
      <c r="L58" s="552" t="n"/>
      <c r="M58" s="552" t="n"/>
    </row>
    <row r="59" ht="15" customHeight="1" s="468">
      <c r="A59" s="646" t="n">
        <v>46274</v>
      </c>
      <c r="B59" s="213" t="inlineStr">
        <is>
          <t>PRODUTO</t>
        </is>
      </c>
      <c r="C59" s="214" t="inlineStr">
        <is>
          <t>EMBALAGEM</t>
        </is>
      </c>
      <c r="D59" s="244" t="inlineStr">
        <is>
          <t>CAIXAS</t>
        </is>
      </c>
      <c r="E59" s="215" t="inlineStr">
        <is>
          <t>UN</t>
        </is>
      </c>
      <c r="F59" s="687" t="inlineStr">
        <is>
          <t>CX/PALLET</t>
        </is>
      </c>
      <c r="G59" s="244" t="inlineStr">
        <is>
          <t>PALLETS (PBR)</t>
        </is>
      </c>
      <c r="H59" s="244" t="inlineStr">
        <is>
          <t>REAL (CX)</t>
        </is>
      </c>
      <c r="I59" s="244" t="inlineStr">
        <is>
          <t>TOTAL LATAS</t>
        </is>
      </c>
      <c r="J59" s="552" t="n"/>
      <c r="K59" s="552" t="n"/>
      <c r="L59" s="552" t="n"/>
      <c r="M59" s="552" t="n"/>
    </row>
    <row r="60" ht="21" customHeight="1" s="468">
      <c r="A60" s="685" t="n"/>
      <c r="B60" s="218" t="n"/>
      <c r="C60" s="219" t="n"/>
      <c r="D60" s="220" t="n"/>
      <c r="E60" s="221" t="inlineStr">
        <is>
          <t>CX</t>
        </is>
      </c>
      <c r="F60" s="68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20">
        <f>IFERROR(ROUNDUP(D60/F60,0),"")</f>
        <v/>
      </c>
      <c r="H60" s="224" t="n"/>
      <c r="I60" s="220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  <c r="J60" s="552" t="n"/>
      <c r="K60" s="552" t="n"/>
      <c r="L60" s="552" t="n"/>
      <c r="M60" s="552" t="n"/>
    </row>
    <row r="61" ht="21" customHeight="1" s="468">
      <c r="A61" s="685" t="n"/>
      <c r="B61" s="218" t="n"/>
      <c r="C61" s="219" t="n"/>
      <c r="D61" s="220" t="n"/>
      <c r="E61" s="221" t="inlineStr">
        <is>
          <t>CX</t>
        </is>
      </c>
      <c r="F61" s="68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20">
        <f>IFERROR(ROUNDUP(D61/F61,0),"")</f>
        <v/>
      </c>
      <c r="H61" s="224" t="n"/>
      <c r="I61" s="220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552" t="n"/>
      <c r="K61" s="552" t="n"/>
      <c r="L61" s="552" t="n"/>
      <c r="M61" s="552" t="n"/>
    </row>
    <row r="62" ht="21" customHeight="1" s="468">
      <c r="A62" s="685" t="n"/>
      <c r="B62" s="218" t="n"/>
      <c r="C62" s="219" t="n"/>
      <c r="D62" s="220" t="n"/>
      <c r="E62" s="221" t="inlineStr">
        <is>
          <t>CX</t>
        </is>
      </c>
      <c r="F62" s="686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20">
        <f>IFERROR(ROUNDUP(D62/F62,0),"")</f>
        <v/>
      </c>
      <c r="H62" s="224" t="n"/>
      <c r="I62" s="220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 t="n"/>
      <c r="K62" s="552" t="n"/>
      <c r="L62" s="552" t="n"/>
      <c r="M62" s="552" t="n"/>
    </row>
    <row r="63" ht="21" customHeight="1" s="468">
      <c r="A63" s="685" t="n"/>
      <c r="B63" s="218" t="n"/>
      <c r="C63" s="219" t="n"/>
      <c r="D63" s="220" t="n"/>
      <c r="E63" s="221" t="inlineStr">
        <is>
          <t>CX</t>
        </is>
      </c>
      <c r="F63" s="68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20">
        <f>IFERROR(ROUNDUP(D63/F63,0),"")</f>
        <v/>
      </c>
      <c r="H63" s="224" t="n"/>
      <c r="I63" s="220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552" t="n"/>
      <c r="K63" s="552" t="n"/>
      <c r="L63" s="552" t="n"/>
      <c r="M63" s="552" t="n"/>
    </row>
    <row r="64" ht="21" customHeight="1" s="468">
      <c r="A64" s="685" t="n"/>
      <c r="B64" s="218" t="n"/>
      <c r="C64" s="219" t="n"/>
      <c r="D64" s="220" t="n"/>
      <c r="E64" s="221" t="inlineStr">
        <is>
          <t>CX</t>
        </is>
      </c>
      <c r="F64" s="686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20">
        <f>IFERROR(ROUNDUP(D64/F64,0),"")</f>
        <v/>
      </c>
      <c r="H64" s="224" t="n"/>
      <c r="I64" s="220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  <c r="J64" s="552" t="n"/>
      <c r="K64" s="552" t="n"/>
      <c r="L64" s="552" t="n"/>
      <c r="M64" s="552" t="n"/>
    </row>
    <row r="65" ht="15" customHeight="1" s="468">
      <c r="A65" s="658" t="n"/>
      <c r="B65" s="640" t="inlineStr">
        <is>
          <t>TOTAL</t>
        </is>
      </c>
      <c r="C65" s="667" t="n"/>
      <c r="D65" s="642">
        <f>SUM(D60:D64)</f>
        <v/>
      </c>
      <c r="E65" s="668" t="n"/>
      <c r="F65" s="644" t="n"/>
      <c r="G65" s="642">
        <f>SUM(G60:G64)</f>
        <v/>
      </c>
      <c r="H65" s="642">
        <f>SUM(H60:H64)</f>
        <v/>
      </c>
      <c r="I65" s="642">
        <f>SUM(I60:I64)</f>
        <v/>
      </c>
      <c r="J65" s="644">
        <f>D65</f>
        <v/>
      </c>
      <c r="K65" s="644">
        <f>G65</f>
        <v/>
      </c>
      <c r="L65" s="644">
        <f>H65</f>
        <v/>
      </c>
      <c r="M65" s="644">
        <f>I65</f>
        <v/>
      </c>
    </row>
    <row r="66" ht="6" customHeight="1" s="468">
      <c r="A66" s="638" t="n"/>
      <c r="C66" s="71" t="n"/>
      <c r="D66" s="552" t="n"/>
      <c r="F66" s="552" t="n"/>
      <c r="G66" s="552" t="n"/>
      <c r="H66" s="552" t="n"/>
      <c r="I66" s="552" t="n"/>
      <c r="J66" s="552" t="n"/>
      <c r="K66" s="552" t="n"/>
      <c r="L66" s="552" t="n"/>
      <c r="M66" s="552" t="n"/>
    </row>
    <row r="67" ht="15" customHeight="1" s="468">
      <c r="A67" s="646" t="n">
        <v>46275</v>
      </c>
      <c r="B67" s="213" t="inlineStr">
        <is>
          <t>PRODUTO</t>
        </is>
      </c>
      <c r="C67" s="214" t="inlineStr">
        <is>
          <t>EMBALAGEM</t>
        </is>
      </c>
      <c r="D67" s="244" t="inlineStr">
        <is>
          <t>CAIXAS</t>
        </is>
      </c>
      <c r="E67" s="215" t="inlineStr">
        <is>
          <t>UN</t>
        </is>
      </c>
      <c r="F67" s="687" t="inlineStr">
        <is>
          <t>CX/PALLET</t>
        </is>
      </c>
      <c r="G67" s="244" t="inlineStr">
        <is>
          <t>PALLETS (PBR)</t>
        </is>
      </c>
      <c r="H67" s="244" t="inlineStr">
        <is>
          <t>REAL (CX)</t>
        </is>
      </c>
      <c r="I67" s="244" t="inlineStr">
        <is>
          <t>TOTAL LATAS</t>
        </is>
      </c>
      <c r="J67" s="552" t="n"/>
      <c r="K67" s="552" t="n"/>
      <c r="L67" s="552" t="n"/>
      <c r="M67" s="552" t="n"/>
    </row>
    <row r="68" ht="21" customHeight="1" s="468">
      <c r="A68" s="685" t="n"/>
      <c r="B68" s="218" t="n"/>
      <c r="C68" s="219" t="n"/>
      <c r="D68" s="220" t="n"/>
      <c r="E68" s="221" t="inlineStr">
        <is>
          <t>CX</t>
        </is>
      </c>
      <c r="F68" s="686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20">
        <f>IFERROR(ROUNDUP(D68/F68,0),"")</f>
        <v/>
      </c>
      <c r="H68" s="224" t="n"/>
      <c r="I68" s="220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552" t="n"/>
      <c r="K68" s="552" t="n"/>
      <c r="L68" s="552" t="n"/>
      <c r="M68" s="552" t="n"/>
    </row>
    <row r="69" ht="21" customHeight="1" s="468">
      <c r="A69" s="685" t="n"/>
      <c r="B69" s="218" t="n"/>
      <c r="C69" s="219" t="n"/>
      <c r="D69" s="220" t="n"/>
      <c r="E69" s="221" t="inlineStr">
        <is>
          <t>CX</t>
        </is>
      </c>
      <c r="F69" s="68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20">
        <f>IFERROR(ROUNDUP(D69/F69,0),"")</f>
        <v/>
      </c>
      <c r="H69" s="224" t="n"/>
      <c r="I69" s="220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552" t="n"/>
      <c r="K69" s="552" t="n"/>
      <c r="L69" s="552" t="n"/>
      <c r="M69" s="552" t="n"/>
    </row>
    <row r="70" ht="21" customHeight="1" s="468">
      <c r="A70" s="685" t="n"/>
      <c r="B70" s="218" t="n"/>
      <c r="C70" s="219" t="n"/>
      <c r="D70" s="220" t="n"/>
      <c r="E70" s="221" t="inlineStr">
        <is>
          <t>CX</t>
        </is>
      </c>
      <c r="F70" s="686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20">
        <f>IFERROR(ROUNDUP(D70/F70,0),"")</f>
        <v/>
      </c>
      <c r="H70" s="224" t="n"/>
      <c r="I70" s="22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552" t="n"/>
      <c r="K70" s="552" t="n"/>
      <c r="L70" s="552" t="n"/>
      <c r="M70" s="552" t="n"/>
    </row>
    <row r="71" ht="21" customHeight="1" s="468">
      <c r="A71" s="685" t="n"/>
      <c r="B71" s="218" t="n"/>
      <c r="C71" s="219" t="n"/>
      <c r="D71" s="220" t="n"/>
      <c r="E71" s="221" t="inlineStr">
        <is>
          <t>CX</t>
        </is>
      </c>
      <c r="F71" s="686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20">
        <f>IFERROR(ROUNDUP(D71/F71,0),"")</f>
        <v/>
      </c>
      <c r="H71" s="224" t="n"/>
      <c r="I71" s="220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552" t="n"/>
      <c r="K71" s="552" t="n"/>
      <c r="L71" s="552" t="n"/>
      <c r="M71" s="552" t="n"/>
    </row>
    <row r="72" ht="21" customHeight="1" s="468">
      <c r="A72" s="685" t="n"/>
      <c r="B72" s="218" t="n"/>
      <c r="C72" s="219" t="n"/>
      <c r="D72" s="220" t="n"/>
      <c r="E72" s="221" t="inlineStr">
        <is>
          <t>CX</t>
        </is>
      </c>
      <c r="F72" s="686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20">
        <f>IFERROR(ROUNDUP(D72/F72,0),"")</f>
        <v/>
      </c>
      <c r="H72" s="224" t="n"/>
      <c r="I72" s="220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552" t="n"/>
      <c r="K72" s="552" t="n"/>
      <c r="L72" s="552" t="n"/>
      <c r="M72" s="552" t="n"/>
    </row>
    <row r="73" ht="15" customHeight="1" s="468">
      <c r="A73" s="658" t="n"/>
      <c r="B73" s="640" t="inlineStr">
        <is>
          <t>TOTAL</t>
        </is>
      </c>
      <c r="C73" s="667" t="n"/>
      <c r="D73" s="642">
        <f>SUM(D68:D72)</f>
        <v/>
      </c>
      <c r="E73" s="668" t="n"/>
      <c r="F73" s="644" t="n"/>
      <c r="G73" s="642">
        <f>SUM(G68:G72)</f>
        <v/>
      </c>
      <c r="H73" s="642">
        <f>SUM(H68:H72)</f>
        <v/>
      </c>
      <c r="I73" s="642">
        <f>SUM(I68:I72)</f>
        <v/>
      </c>
      <c r="J73" s="644">
        <f>D73</f>
        <v/>
      </c>
      <c r="K73" s="644">
        <f>G73</f>
        <v/>
      </c>
      <c r="L73" s="644">
        <f>H73</f>
        <v/>
      </c>
      <c r="M73" s="644">
        <f>I73</f>
        <v/>
      </c>
    </row>
    <row r="74" ht="6" customHeight="1" s="468">
      <c r="A74" s="638" t="n"/>
      <c r="C74" s="71" t="n"/>
      <c r="D74" s="552" t="n"/>
      <c r="F74" s="552" t="n"/>
      <c r="G74" s="552" t="n"/>
      <c r="H74" s="552" t="n"/>
      <c r="I74" s="552" t="n"/>
      <c r="J74" s="552" t="n"/>
      <c r="K74" s="552" t="n"/>
      <c r="L74" s="552" t="n"/>
      <c r="M74" s="552" t="n"/>
    </row>
    <row r="75" ht="15" customHeight="1" s="468">
      <c r="A75" s="646" t="n">
        <v>46276</v>
      </c>
      <c r="B75" s="213" t="inlineStr">
        <is>
          <t>PRODUTO</t>
        </is>
      </c>
      <c r="C75" s="214" t="inlineStr">
        <is>
          <t>EMBALAGEM</t>
        </is>
      </c>
      <c r="D75" s="244" t="inlineStr">
        <is>
          <t>CAIXAS</t>
        </is>
      </c>
      <c r="E75" s="215" t="inlineStr">
        <is>
          <t>UN</t>
        </is>
      </c>
      <c r="F75" s="687" t="inlineStr">
        <is>
          <t>CX/PALLET</t>
        </is>
      </c>
      <c r="G75" s="244" t="inlineStr">
        <is>
          <t>PALLETS (PBR)</t>
        </is>
      </c>
      <c r="H75" s="244" t="inlineStr">
        <is>
          <t>REAL (CX)</t>
        </is>
      </c>
      <c r="I75" s="244" t="inlineStr">
        <is>
          <t>TOTAL LATAS</t>
        </is>
      </c>
      <c r="J75" s="552" t="n"/>
      <c r="K75" s="552" t="n"/>
      <c r="L75" s="552" t="n"/>
      <c r="M75" s="552" t="n"/>
    </row>
    <row r="76" ht="21" customHeight="1" s="468">
      <c r="A76" s="685" t="n"/>
      <c r="B76" s="218" t="n"/>
      <c r="C76" s="219" t="n"/>
      <c r="D76" s="220" t="n"/>
      <c r="E76" s="221" t="inlineStr">
        <is>
          <t>CX</t>
        </is>
      </c>
      <c r="F76" s="68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20">
        <f>IFERROR(ROUNDUP(D76/F76,0),"")</f>
        <v/>
      </c>
      <c r="H76" s="224" t="n"/>
      <c r="I76" s="220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552" t="n"/>
      <c r="K76" s="552" t="n"/>
      <c r="L76" s="552" t="n"/>
      <c r="M76" s="552" t="n"/>
    </row>
    <row r="77" ht="21" customHeight="1" s="468">
      <c r="A77" s="685" t="n"/>
      <c r="B77" s="218" t="n"/>
      <c r="C77" s="219" t="n"/>
      <c r="D77" s="220" t="n"/>
      <c r="E77" s="221" t="inlineStr">
        <is>
          <t>CX</t>
        </is>
      </c>
      <c r="F77" s="68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20">
        <f>IFERROR(ROUNDUP(D77/F77,0),"")</f>
        <v/>
      </c>
      <c r="H77" s="224" t="n"/>
      <c r="I77" s="220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552" t="n"/>
      <c r="K77" s="552" t="n"/>
      <c r="L77" s="552" t="n"/>
      <c r="M77" s="552" t="n"/>
    </row>
    <row r="78" ht="21" customHeight="1" s="468">
      <c r="A78" s="685" t="n"/>
      <c r="B78" s="218" t="n"/>
      <c r="C78" s="219" t="n"/>
      <c r="D78" s="220" t="n"/>
      <c r="E78" s="221" t="inlineStr">
        <is>
          <t>CX</t>
        </is>
      </c>
      <c r="F78" s="686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20">
        <f>IFERROR(ROUNDUP(D78/F78,0),"")</f>
        <v/>
      </c>
      <c r="H78" s="224" t="n"/>
      <c r="I78" s="220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552" t="n"/>
      <c r="K78" s="552" t="n"/>
      <c r="L78" s="552" t="n"/>
      <c r="M78" s="552" t="n"/>
    </row>
    <row r="79" ht="21" customHeight="1" s="468">
      <c r="A79" s="685" t="n"/>
      <c r="B79" s="218" t="n"/>
      <c r="C79" s="219" t="n"/>
      <c r="D79" s="220" t="n"/>
      <c r="E79" s="221" t="inlineStr">
        <is>
          <t>CX</t>
        </is>
      </c>
      <c r="F79" s="686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20">
        <f>IFERROR(ROUNDUP(D79/F79,0),"")</f>
        <v/>
      </c>
      <c r="H79" s="224" t="n"/>
      <c r="I79" s="220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552" t="n"/>
      <c r="K79" s="552" t="n"/>
      <c r="L79" s="552" t="n"/>
      <c r="M79" s="552" t="n"/>
    </row>
    <row r="80" ht="21" customHeight="1" s="468">
      <c r="A80" s="685" t="n"/>
      <c r="B80" s="218" t="n"/>
      <c r="C80" s="219" t="n"/>
      <c r="D80" s="220" t="n"/>
      <c r="E80" s="221" t="inlineStr">
        <is>
          <t>CX</t>
        </is>
      </c>
      <c r="F80" s="686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20">
        <f>IFERROR(ROUNDUP(D80/F80,0),"")</f>
        <v/>
      </c>
      <c r="H80" s="224" t="n"/>
      <c r="I80" s="220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552" t="n"/>
      <c r="K80" s="552" t="n"/>
      <c r="L80" s="552" t="n"/>
      <c r="M80" s="552" t="n"/>
    </row>
    <row r="81" ht="15" customHeight="1" s="468">
      <c r="A81" s="658" t="n"/>
      <c r="B81" s="640" t="inlineStr">
        <is>
          <t>TOTAL</t>
        </is>
      </c>
      <c r="C81" s="667" t="n"/>
      <c r="D81" s="642">
        <f>SUM(D76:D80)</f>
        <v/>
      </c>
      <c r="E81" s="668" t="n"/>
      <c r="F81" s="644" t="n"/>
      <c r="G81" s="642">
        <f>SUM(G76:G80)</f>
        <v/>
      </c>
      <c r="H81" s="642">
        <f>SUM(H76:H80)</f>
        <v/>
      </c>
      <c r="I81" s="642">
        <f>SUM(I76:I80)</f>
        <v/>
      </c>
      <c r="J81" s="644">
        <f>D81</f>
        <v/>
      </c>
      <c r="K81" s="644">
        <f>G81</f>
        <v/>
      </c>
      <c r="L81" s="644">
        <f>H81</f>
        <v/>
      </c>
      <c r="M81" s="644">
        <f>I81</f>
        <v/>
      </c>
    </row>
    <row r="82" ht="6" customHeight="1" s="468">
      <c r="A82" s="638" t="n"/>
      <c r="C82" s="71" t="n"/>
      <c r="D82" s="552" t="n"/>
      <c r="F82" s="552" t="n"/>
      <c r="G82" s="552" t="n"/>
      <c r="H82" s="552" t="n"/>
      <c r="I82" s="552" t="n"/>
      <c r="J82" s="552" t="n"/>
      <c r="K82" s="552" t="n"/>
      <c r="L82" s="552" t="n"/>
      <c r="M82" s="552" t="n"/>
    </row>
    <row r="83" ht="15" customHeight="1" s="468">
      <c r="A83" s="696" t="n">
        <v>46277</v>
      </c>
      <c r="B83" s="213" t="inlineStr">
        <is>
          <t>PRODUTO</t>
        </is>
      </c>
      <c r="C83" s="214" t="inlineStr">
        <is>
          <t>EMBALAGEM</t>
        </is>
      </c>
      <c r="D83" s="244" t="inlineStr">
        <is>
          <t>CAIXAS</t>
        </is>
      </c>
      <c r="E83" s="215" t="inlineStr">
        <is>
          <t>UN</t>
        </is>
      </c>
      <c r="F83" s="697" t="inlineStr">
        <is>
          <t>CX/PALLET</t>
        </is>
      </c>
      <c r="G83" s="244" t="inlineStr">
        <is>
          <t>PALLETS (PBR)</t>
        </is>
      </c>
      <c r="H83" s="244" t="inlineStr">
        <is>
          <t>REAL (CX)</t>
        </is>
      </c>
      <c r="I83" s="244" t="inlineStr">
        <is>
          <t>TOTAL LATAS</t>
        </is>
      </c>
      <c r="J83" s="274" t="n"/>
      <c r="K83" s="274" t="n"/>
      <c r="L83" s="274" t="n"/>
      <c r="M83" s="274" t="n"/>
    </row>
    <row r="84" ht="21" customHeight="1" s="468">
      <c r="A84" s="685" t="n"/>
      <c r="B84" s="266" t="n"/>
      <c r="C84" s="267" t="n"/>
      <c r="D84" s="268" t="n"/>
      <c r="E84" s="269" t="inlineStr">
        <is>
          <t>CX</t>
        </is>
      </c>
      <c r="F84" s="698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68">
        <f>IFERROR(ROUNDUP(D84/F84,0),"")</f>
        <v/>
      </c>
      <c r="H84" s="224" t="n"/>
      <c r="I84" s="268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274" t="n"/>
      <c r="K84" s="274" t="n"/>
      <c r="L84" s="274" t="n"/>
      <c r="M84" s="274" t="n"/>
    </row>
    <row r="85" ht="21" customHeight="1" s="468">
      <c r="A85" s="685" t="n"/>
      <c r="B85" s="266" t="n"/>
      <c r="C85" s="267" t="n"/>
      <c r="D85" s="268" t="n"/>
      <c r="E85" s="269" t="inlineStr">
        <is>
          <t>CX</t>
        </is>
      </c>
      <c r="F85" s="698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68">
        <f>IFERROR(ROUNDUP(D85/F85,0),"")</f>
        <v/>
      </c>
      <c r="H85" s="224" t="n"/>
      <c r="I85" s="268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274" t="n"/>
      <c r="K85" s="274" t="n"/>
      <c r="L85" s="274" t="n"/>
      <c r="M85" s="274" t="n"/>
    </row>
    <row r="86" ht="21" customHeight="1" s="468">
      <c r="A86" s="685" t="n"/>
      <c r="B86" s="266" t="n"/>
      <c r="C86" s="267" t="n"/>
      <c r="D86" s="268" t="n"/>
      <c r="E86" s="269" t="inlineStr">
        <is>
          <t>CX</t>
        </is>
      </c>
      <c r="F86" s="698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68">
        <f>IFERROR(ROUNDUP(D86/F86,0),"")</f>
        <v/>
      </c>
      <c r="H86" s="224" t="n"/>
      <c r="I86" s="268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274" t="n"/>
      <c r="K86" s="274" t="n"/>
      <c r="L86" s="274" t="n"/>
      <c r="M86" s="274" t="n"/>
    </row>
    <row r="87" ht="21" customHeight="1" s="468">
      <c r="A87" s="685" t="n"/>
      <c r="B87" s="266" t="n"/>
      <c r="C87" s="267" t="n"/>
      <c r="D87" s="268" t="n"/>
      <c r="E87" s="269" t="inlineStr">
        <is>
          <t>CX</t>
        </is>
      </c>
      <c r="F87" s="698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68">
        <f>IFERROR(ROUNDUP(D87/F87,0),"")</f>
        <v/>
      </c>
      <c r="H87" s="224" t="n"/>
      <c r="I87" s="268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274" t="n"/>
      <c r="K87" s="274" t="n"/>
      <c r="L87" s="274" t="n"/>
      <c r="M87" s="274" t="n"/>
    </row>
    <row r="88" ht="21" customHeight="1" s="468">
      <c r="A88" s="685" t="n"/>
      <c r="B88" s="266" t="n"/>
      <c r="C88" s="267" t="n"/>
      <c r="D88" s="268" t="n"/>
      <c r="E88" s="269" t="inlineStr">
        <is>
          <t>CX</t>
        </is>
      </c>
      <c r="F88" s="698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68">
        <f>IFERROR(ROUNDUP(D88/F88,0),"")</f>
        <v/>
      </c>
      <c r="H88" s="224" t="n"/>
      <c r="I88" s="268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274" t="n"/>
      <c r="K88" s="274" t="n"/>
      <c r="L88" s="274" t="n"/>
      <c r="M88" s="274" t="n"/>
    </row>
    <row r="89" ht="15" customHeight="1" s="468">
      <c r="A89" s="658" t="n"/>
      <c r="B89" s="640" t="inlineStr">
        <is>
          <t>TOTAL</t>
        </is>
      </c>
      <c r="C89" s="667" t="n"/>
      <c r="D89" s="642">
        <f>SUM(D84:D88)</f>
        <v/>
      </c>
      <c r="E89" s="668" t="n"/>
      <c r="F89" s="644" t="n"/>
      <c r="G89" s="642">
        <f>SUM(G84:G88)</f>
        <v/>
      </c>
      <c r="H89" s="642">
        <f>SUM(H84:H88)</f>
        <v/>
      </c>
      <c r="I89" s="642">
        <f>SUM(I84:I88)</f>
        <v/>
      </c>
      <c r="J89" s="644">
        <f>D89</f>
        <v/>
      </c>
      <c r="K89" s="644">
        <f>G89</f>
        <v/>
      </c>
      <c r="L89" s="644">
        <f>H89</f>
        <v/>
      </c>
      <c r="M89" s="644">
        <f>I89</f>
        <v/>
      </c>
    </row>
    <row r="90" ht="6" customHeight="1" s="468">
      <c r="A90" s="699" t="n"/>
      <c r="B90" s="265" t="n"/>
      <c r="C90" s="276" t="n"/>
      <c r="D90" s="274" t="n"/>
      <c r="E90" s="265" t="n"/>
      <c r="F90" s="274" t="n"/>
      <c r="G90" s="274" t="n"/>
      <c r="H90" s="274" t="n"/>
      <c r="I90" s="274" t="n"/>
      <c r="J90" s="274" t="n"/>
      <c r="K90" s="274" t="n"/>
      <c r="L90" s="274" t="n"/>
      <c r="M90" s="274" t="n"/>
    </row>
    <row r="91" ht="15" customHeight="1" s="468">
      <c r="A91" s="646" t="n">
        <v>46279</v>
      </c>
      <c r="B91" s="213" t="inlineStr">
        <is>
          <t>PRODUTO</t>
        </is>
      </c>
      <c r="C91" s="214" t="inlineStr">
        <is>
          <t>EMBALAGEM</t>
        </is>
      </c>
      <c r="D91" s="244" t="inlineStr">
        <is>
          <t>CAIXAS</t>
        </is>
      </c>
      <c r="E91" s="215" t="inlineStr">
        <is>
          <t>UN</t>
        </is>
      </c>
      <c r="F91" s="687" t="inlineStr">
        <is>
          <t>CX/PALLET</t>
        </is>
      </c>
      <c r="G91" s="244" t="inlineStr">
        <is>
          <t>PALLETS (PBR)</t>
        </is>
      </c>
      <c r="H91" s="244" t="inlineStr">
        <is>
          <t>REAL (CX)</t>
        </is>
      </c>
      <c r="I91" s="244" t="inlineStr">
        <is>
          <t>TOTAL LATAS</t>
        </is>
      </c>
      <c r="J91" s="552" t="n"/>
      <c r="K91" s="552" t="n"/>
      <c r="L91" s="552" t="n"/>
      <c r="M91" s="552" t="n"/>
    </row>
    <row r="92" ht="21" customHeight="1" s="468">
      <c r="A92" s="685" t="n"/>
      <c r="B92" s="218" t="n"/>
      <c r="C92" s="219" t="n"/>
      <c r="D92" s="220" t="n"/>
      <c r="E92" s="221" t="inlineStr">
        <is>
          <t>CX</t>
        </is>
      </c>
      <c r="F92" s="686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20">
        <f>IFERROR(ROUNDUP(D92/F92,0),"")</f>
        <v/>
      </c>
      <c r="H92" s="224" t="n"/>
      <c r="I92" s="220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552" t="n"/>
      <c r="K92" s="552" t="n"/>
      <c r="L92" s="552" t="n"/>
      <c r="M92" s="552" t="n"/>
    </row>
    <row r="93" ht="21" customHeight="1" s="468">
      <c r="A93" s="685" t="n"/>
      <c r="B93" s="218" t="n"/>
      <c r="C93" s="219" t="n"/>
      <c r="D93" s="220" t="n"/>
      <c r="E93" s="221" t="inlineStr">
        <is>
          <t>CX</t>
        </is>
      </c>
      <c r="F93" s="686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20">
        <f>IFERROR(ROUNDUP(D93/F93,0),"")</f>
        <v/>
      </c>
      <c r="H93" s="224" t="n"/>
      <c r="I93" s="220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552" t="n"/>
      <c r="K93" s="552" t="n"/>
      <c r="L93" s="552" t="n"/>
      <c r="M93" s="552" t="n"/>
    </row>
    <row r="94" ht="21" customHeight="1" s="468">
      <c r="A94" s="685" t="n"/>
      <c r="B94" s="218" t="n"/>
      <c r="C94" s="219" t="n"/>
      <c r="D94" s="220" t="n"/>
      <c r="E94" s="221" t="inlineStr">
        <is>
          <t>CX</t>
        </is>
      </c>
      <c r="F94" s="686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20">
        <f>IFERROR(ROUNDUP(D94/F94,0),"")</f>
        <v/>
      </c>
      <c r="H94" s="224" t="n"/>
      <c r="I94" s="220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552" t="n"/>
      <c r="K94" s="552" t="n"/>
      <c r="L94" s="552" t="n"/>
      <c r="M94" s="552" t="n"/>
    </row>
    <row r="95" ht="21" customHeight="1" s="468">
      <c r="A95" s="685" t="n"/>
      <c r="B95" s="218" t="n"/>
      <c r="C95" s="219" t="n"/>
      <c r="D95" s="220" t="n"/>
      <c r="E95" s="221" t="inlineStr">
        <is>
          <t>CX</t>
        </is>
      </c>
      <c r="F95" s="686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20">
        <f>IFERROR(ROUNDUP(D95/F95,0),"")</f>
        <v/>
      </c>
      <c r="H95" s="224" t="n"/>
      <c r="I95" s="220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552" t="n"/>
      <c r="K95" s="552" t="n"/>
      <c r="L95" s="552" t="n"/>
      <c r="M95" s="552" t="n"/>
    </row>
    <row r="96" ht="21" customHeight="1" s="468">
      <c r="A96" s="685" t="n"/>
      <c r="B96" s="218" t="n"/>
      <c r="C96" s="219" t="n"/>
      <c r="D96" s="220" t="n"/>
      <c r="E96" s="221" t="inlineStr">
        <is>
          <t>CX</t>
        </is>
      </c>
      <c r="F96" s="68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20">
        <f>IFERROR(ROUNDUP(D96/F96,0),"")</f>
        <v/>
      </c>
      <c r="H96" s="224" t="n"/>
      <c r="I96" s="220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552" t="n"/>
      <c r="K96" s="552" t="n"/>
      <c r="L96" s="552" t="n"/>
      <c r="M96" s="552" t="n"/>
    </row>
    <row r="97" ht="15" customHeight="1" s="468">
      <c r="A97" s="658" t="n"/>
      <c r="B97" s="640" t="inlineStr">
        <is>
          <t>TOTAL</t>
        </is>
      </c>
      <c r="C97" s="667" t="n"/>
      <c r="D97" s="642">
        <f>SUM(D92:D96)</f>
        <v/>
      </c>
      <c r="E97" s="668" t="n"/>
      <c r="F97" s="644" t="n"/>
      <c r="G97" s="642">
        <f>SUM(G92:G96)</f>
        <v/>
      </c>
      <c r="H97" s="642">
        <f>SUM(H92:H96)</f>
        <v/>
      </c>
      <c r="I97" s="642">
        <f>SUM(I92:I96)</f>
        <v/>
      </c>
      <c r="J97" s="644">
        <f>D97</f>
        <v/>
      </c>
      <c r="K97" s="644">
        <f>G97</f>
        <v/>
      </c>
      <c r="L97" s="644">
        <f>H97</f>
        <v/>
      </c>
      <c r="M97" s="644">
        <f>I97</f>
        <v/>
      </c>
    </row>
    <row r="98" ht="6" customHeight="1" s="468">
      <c r="A98" s="638" t="n"/>
      <c r="C98" s="71" t="n"/>
      <c r="D98" s="552" t="n"/>
      <c r="F98" s="552" t="n"/>
      <c r="G98" s="552" t="n"/>
      <c r="H98" s="552" t="n"/>
      <c r="I98" s="552" t="n"/>
      <c r="J98" s="552" t="n"/>
      <c r="K98" s="552" t="n"/>
      <c r="L98" s="552" t="n"/>
      <c r="M98" s="552" t="n"/>
    </row>
    <row r="99" ht="15" customHeight="1" s="468">
      <c r="A99" s="646" t="n">
        <v>46280</v>
      </c>
      <c r="B99" s="213" t="inlineStr">
        <is>
          <t>PRODUTO</t>
        </is>
      </c>
      <c r="C99" s="214" t="inlineStr">
        <is>
          <t>EMBALAGEM</t>
        </is>
      </c>
      <c r="D99" s="244" t="inlineStr">
        <is>
          <t>CAIXAS</t>
        </is>
      </c>
      <c r="E99" s="215" t="inlineStr">
        <is>
          <t>UN</t>
        </is>
      </c>
      <c r="F99" s="687" t="inlineStr">
        <is>
          <t>CX/PALLET</t>
        </is>
      </c>
      <c r="G99" s="244" t="inlineStr">
        <is>
          <t>PALLETS (PBR)</t>
        </is>
      </c>
      <c r="H99" s="244" t="inlineStr">
        <is>
          <t>REAL (CX)</t>
        </is>
      </c>
      <c r="I99" s="244" t="inlineStr">
        <is>
          <t>TOTAL LATAS</t>
        </is>
      </c>
      <c r="J99" s="552" t="n"/>
      <c r="K99" s="552" t="n"/>
      <c r="L99" s="552" t="n"/>
      <c r="M99" s="552" t="n"/>
    </row>
    <row r="100" ht="21" customHeight="1" s="468">
      <c r="A100" s="685" t="n"/>
      <c r="B100" s="218" t="n"/>
      <c r="C100" s="219" t="n"/>
      <c r="D100" s="220" t="n"/>
      <c r="E100" s="221" t="inlineStr">
        <is>
          <t>CX</t>
        </is>
      </c>
      <c r="F100" s="686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20">
        <f>IFERROR(ROUNDUP(D100/F100,0),"")</f>
        <v/>
      </c>
      <c r="H100" s="224" t="n"/>
      <c r="I100" s="220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552" t="n"/>
      <c r="K100" s="552" t="n"/>
      <c r="L100" s="552" t="n"/>
      <c r="M100" s="552" t="n"/>
    </row>
    <row r="101" ht="21" customHeight="1" s="468">
      <c r="A101" s="685" t="n"/>
      <c r="B101" s="218" t="n"/>
      <c r="C101" s="219" t="n"/>
      <c r="D101" s="220" t="n"/>
      <c r="E101" s="221" t="inlineStr">
        <is>
          <t>CX</t>
        </is>
      </c>
      <c r="F101" s="686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20">
        <f>IFERROR(ROUNDUP(D101/F101,0),"")</f>
        <v/>
      </c>
      <c r="H101" s="224" t="n"/>
      <c r="I101" s="220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552" t="n"/>
      <c r="K101" s="552" t="n"/>
      <c r="L101" s="552" t="n"/>
      <c r="M101" s="552" t="n"/>
    </row>
    <row r="102" ht="21" customHeight="1" s="468">
      <c r="A102" s="685" t="n"/>
      <c r="B102" s="218" t="n"/>
      <c r="C102" s="219" t="n"/>
      <c r="D102" s="220" t="n"/>
      <c r="E102" s="221" t="inlineStr">
        <is>
          <t>CX</t>
        </is>
      </c>
      <c r="F102" s="686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20">
        <f>IFERROR(ROUNDUP(D102/F102,0),"")</f>
        <v/>
      </c>
      <c r="H102" s="224" t="n"/>
      <c r="I102" s="220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552" t="n"/>
      <c r="K102" s="552" t="n"/>
      <c r="L102" s="552" t="n"/>
      <c r="M102" s="552" t="n"/>
    </row>
    <row r="103" ht="21" customHeight="1" s="468">
      <c r="A103" s="685" t="n"/>
      <c r="B103" s="218" t="n"/>
      <c r="C103" s="219" t="n"/>
      <c r="D103" s="220" t="n"/>
      <c r="E103" s="221" t="inlineStr">
        <is>
          <t>CX</t>
        </is>
      </c>
      <c r="F103" s="68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20">
        <f>IFERROR(ROUNDUP(D103/F103,0),"")</f>
        <v/>
      </c>
      <c r="H103" s="224" t="n"/>
      <c r="I103" s="220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552" t="n"/>
      <c r="K103" s="552" t="n"/>
      <c r="L103" s="552" t="n"/>
      <c r="M103" s="552" t="n"/>
    </row>
    <row r="104" ht="21" customHeight="1" s="468">
      <c r="A104" s="685" t="n"/>
      <c r="B104" s="218" t="n"/>
      <c r="C104" s="219" t="n"/>
      <c r="D104" s="220" t="n"/>
      <c r="E104" s="221" t="inlineStr">
        <is>
          <t>CX</t>
        </is>
      </c>
      <c r="F104" s="686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20">
        <f>IFERROR(ROUNDUP(D104/F104,0),"")</f>
        <v/>
      </c>
      <c r="H104" s="224" t="n"/>
      <c r="I104" s="220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552" t="n"/>
      <c r="K104" s="552" t="n"/>
      <c r="L104" s="552" t="n"/>
      <c r="M104" s="552" t="n"/>
    </row>
    <row r="105" ht="15" customHeight="1" s="468">
      <c r="A105" s="658" t="n"/>
      <c r="B105" s="640" t="inlineStr">
        <is>
          <t>TOTAL</t>
        </is>
      </c>
      <c r="C105" s="667" t="n"/>
      <c r="D105" s="642">
        <f>SUM(D100:D104)</f>
        <v/>
      </c>
      <c r="E105" s="668" t="n"/>
      <c r="F105" s="644" t="n"/>
      <c r="G105" s="642">
        <f>SUM(G100:G104)</f>
        <v/>
      </c>
      <c r="H105" s="642">
        <f>SUM(H100:H104)</f>
        <v/>
      </c>
      <c r="I105" s="642">
        <f>SUM(I100:I104)</f>
        <v/>
      </c>
      <c r="J105" s="644">
        <f>D105</f>
        <v/>
      </c>
      <c r="K105" s="644">
        <f>G105</f>
        <v/>
      </c>
      <c r="L105" s="644">
        <f>H105</f>
        <v/>
      </c>
      <c r="M105" s="644">
        <f>I105</f>
        <v/>
      </c>
    </row>
    <row r="106" ht="6" customHeight="1" s="468">
      <c r="A106" s="638" t="n"/>
      <c r="C106" s="71" t="n"/>
      <c r="D106" s="552" t="n"/>
      <c r="F106" s="552" t="n"/>
      <c r="G106" s="552" t="n"/>
      <c r="H106" s="552" t="n"/>
      <c r="I106" s="552" t="n"/>
      <c r="J106" s="552" t="n"/>
      <c r="K106" s="552" t="n"/>
      <c r="L106" s="552" t="n"/>
      <c r="M106" s="552" t="n"/>
    </row>
    <row r="107" ht="15" customHeight="1" s="468">
      <c r="A107" s="646" t="n">
        <v>46281</v>
      </c>
      <c r="B107" s="213" t="inlineStr">
        <is>
          <t>PRODUTO</t>
        </is>
      </c>
      <c r="C107" s="214" t="inlineStr">
        <is>
          <t>EMBALAGEM</t>
        </is>
      </c>
      <c r="D107" s="244" t="inlineStr">
        <is>
          <t>CAIXAS</t>
        </is>
      </c>
      <c r="E107" s="215" t="inlineStr">
        <is>
          <t>UN</t>
        </is>
      </c>
      <c r="F107" s="687" t="inlineStr">
        <is>
          <t>CX/PALLET</t>
        </is>
      </c>
      <c r="G107" s="244" t="inlineStr">
        <is>
          <t>PALLETS (PBR)</t>
        </is>
      </c>
      <c r="H107" s="244" t="inlineStr">
        <is>
          <t>REAL (CX)</t>
        </is>
      </c>
      <c r="I107" s="244" t="inlineStr">
        <is>
          <t>TOTAL LATAS</t>
        </is>
      </c>
      <c r="J107" s="552" t="n"/>
      <c r="K107" s="552" t="n"/>
      <c r="L107" s="552" t="n"/>
      <c r="M107" s="552" t="n"/>
    </row>
    <row r="108" ht="21" customHeight="1" s="468">
      <c r="A108" s="685" t="n"/>
      <c r="B108" s="218" t="n"/>
      <c r="C108" s="219" t="n"/>
      <c r="D108" s="220" t="n"/>
      <c r="E108" s="221" t="inlineStr">
        <is>
          <t>CX</t>
        </is>
      </c>
      <c r="F108" s="686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20">
        <f>IFERROR(ROUNDUP(D108/F108,0),"")</f>
        <v/>
      </c>
      <c r="H108" s="224" t="n"/>
      <c r="I108" s="220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 t="n"/>
      <c r="K108" s="552" t="n"/>
      <c r="L108" s="552" t="n"/>
      <c r="M108" s="552" t="n"/>
    </row>
    <row r="109" ht="21" customHeight="1" s="468">
      <c r="A109" s="685" t="n"/>
      <c r="B109" s="218" t="n"/>
      <c r="C109" s="219" t="n"/>
      <c r="D109" s="220" t="n"/>
      <c r="E109" s="221" t="inlineStr">
        <is>
          <t>CX</t>
        </is>
      </c>
      <c r="F109" s="686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20">
        <f>IFERROR(ROUNDUP(D109/F109,0),"")</f>
        <v/>
      </c>
      <c r="H109" s="224" t="n"/>
      <c r="I109" s="220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  <c r="J109" s="552" t="n"/>
      <c r="K109" s="552" t="n"/>
      <c r="L109" s="552" t="n"/>
      <c r="M109" s="552" t="n"/>
    </row>
    <row r="110" ht="21" customHeight="1" s="468">
      <c r="A110" s="685" t="n"/>
      <c r="B110" s="218" t="n"/>
      <c r="C110" s="219" t="n"/>
      <c r="D110" s="220" t="n"/>
      <c r="E110" s="221" t="inlineStr">
        <is>
          <t>CX</t>
        </is>
      </c>
      <c r="F110" s="686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20">
        <f>IFERROR(ROUNDUP(D110/F110,0),"")</f>
        <v/>
      </c>
      <c r="H110" s="224" t="n"/>
      <c r="I110" s="220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  <c r="J110" s="552" t="n"/>
      <c r="K110" s="552" t="n"/>
      <c r="L110" s="552" t="n"/>
      <c r="M110" s="552" t="n"/>
    </row>
    <row r="111" ht="21" customHeight="1" s="468">
      <c r="A111" s="685" t="n"/>
      <c r="B111" s="218" t="n"/>
      <c r="C111" s="219" t="n"/>
      <c r="D111" s="220" t="n"/>
      <c r="E111" s="221" t="inlineStr">
        <is>
          <t>CX</t>
        </is>
      </c>
      <c r="F111" s="686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20">
        <f>IFERROR(ROUNDUP(D111/F111,0),"")</f>
        <v/>
      </c>
      <c r="H111" s="224" t="n"/>
      <c r="I111" s="220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  <c r="J111" s="552" t="n"/>
      <c r="K111" s="552" t="n"/>
      <c r="L111" s="552" t="n"/>
      <c r="M111" s="552" t="n"/>
    </row>
    <row r="112" ht="21" customHeight="1" s="468">
      <c r="A112" s="685" t="n"/>
      <c r="B112" s="218" t="n"/>
      <c r="C112" s="219" t="n"/>
      <c r="D112" s="220" t="n"/>
      <c r="E112" s="221" t="inlineStr">
        <is>
          <t>CX</t>
        </is>
      </c>
      <c r="F112" s="68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20">
        <f>IFERROR(ROUNDUP(D112/F112,0),"")</f>
        <v/>
      </c>
      <c r="H112" s="224" t="n"/>
      <c r="I112" s="220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  <c r="J112" s="552" t="n"/>
      <c r="K112" s="552" t="n"/>
      <c r="L112" s="552" t="n"/>
      <c r="M112" s="552" t="n"/>
    </row>
    <row r="113" ht="15" customHeight="1" s="468">
      <c r="A113" s="658" t="n"/>
      <c r="B113" s="640" t="inlineStr">
        <is>
          <t>TOTAL</t>
        </is>
      </c>
      <c r="C113" s="667" t="n"/>
      <c r="D113" s="642">
        <f>SUM(D108:D112)</f>
        <v/>
      </c>
      <c r="E113" s="668" t="n"/>
      <c r="F113" s="644" t="n"/>
      <c r="G113" s="642">
        <f>SUM(G108:G112)</f>
        <v/>
      </c>
      <c r="H113" s="642">
        <f>SUM(H108:H112)</f>
        <v/>
      </c>
      <c r="I113" s="642">
        <f>SUM(I108:I112)</f>
        <v/>
      </c>
      <c r="J113" s="644">
        <f>D113</f>
        <v/>
      </c>
      <c r="K113" s="644">
        <f>G113</f>
        <v/>
      </c>
      <c r="L113" s="644">
        <f>H113</f>
        <v/>
      </c>
      <c r="M113" s="644">
        <f>I113</f>
        <v/>
      </c>
    </row>
    <row r="114" ht="6" customHeight="1" s="468">
      <c r="A114" s="638" t="n"/>
      <c r="C114" s="71" t="n"/>
      <c r="D114" s="552" t="n"/>
      <c r="F114" s="552" t="n"/>
      <c r="G114" s="552" t="n"/>
      <c r="H114" s="552" t="n"/>
      <c r="I114" s="552" t="n"/>
      <c r="J114" s="552" t="n"/>
      <c r="K114" s="552" t="n"/>
      <c r="L114" s="552" t="n"/>
      <c r="M114" s="552" t="n"/>
    </row>
    <row r="115" ht="15" customHeight="1" s="468">
      <c r="A115" s="646" t="n">
        <v>46282</v>
      </c>
      <c r="B115" s="213" t="inlineStr">
        <is>
          <t>PRODUTO</t>
        </is>
      </c>
      <c r="C115" s="214" t="inlineStr">
        <is>
          <t>EMBALAGEM</t>
        </is>
      </c>
      <c r="D115" s="244" t="inlineStr">
        <is>
          <t>CAIXAS</t>
        </is>
      </c>
      <c r="E115" s="215" t="inlineStr">
        <is>
          <t>UN</t>
        </is>
      </c>
      <c r="F115" s="687" t="inlineStr">
        <is>
          <t>CX/PALLET</t>
        </is>
      </c>
      <c r="G115" s="244" t="inlineStr">
        <is>
          <t>PALLETS (PBR)</t>
        </is>
      </c>
      <c r="H115" s="244" t="inlineStr">
        <is>
          <t>REAL (CX)</t>
        </is>
      </c>
      <c r="I115" s="244" t="inlineStr">
        <is>
          <t>TOTAL LATAS</t>
        </is>
      </c>
      <c r="J115" s="552" t="n"/>
      <c r="K115" s="552" t="n"/>
      <c r="L115" s="552" t="n"/>
      <c r="M115" s="552" t="n"/>
    </row>
    <row r="116" ht="21" customHeight="1" s="468">
      <c r="A116" s="685" t="n"/>
      <c r="B116" s="218" t="n"/>
      <c r="C116" s="219" t="n"/>
      <c r="D116" s="220" t="n"/>
      <c r="E116" s="221" t="inlineStr">
        <is>
          <t>CX</t>
        </is>
      </c>
      <c r="F116" s="68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20">
        <f>IFERROR(ROUNDUP(D116/F116,0),"")</f>
        <v/>
      </c>
      <c r="H116" s="224" t="n"/>
      <c r="I116" s="220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552" t="n"/>
      <c r="K116" s="552" t="n"/>
      <c r="L116" s="552" t="n"/>
      <c r="M116" s="552" t="n"/>
    </row>
    <row r="117" ht="21" customHeight="1" s="468">
      <c r="A117" s="685" t="n"/>
      <c r="B117" s="218" t="n"/>
      <c r="C117" s="219" t="n"/>
      <c r="D117" s="220" t="n"/>
      <c r="E117" s="221" t="inlineStr">
        <is>
          <t>CX</t>
        </is>
      </c>
      <c r="F117" s="686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20">
        <f>IFERROR(ROUNDUP(D117/F117,0),"")</f>
        <v/>
      </c>
      <c r="H117" s="224" t="n"/>
      <c r="I117" s="220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52" t="n"/>
      <c r="K117" s="552" t="n"/>
      <c r="L117" s="552" t="n"/>
      <c r="M117" s="552" t="n"/>
    </row>
    <row r="118" ht="21" customHeight="1" s="468">
      <c r="A118" s="685" t="n"/>
      <c r="B118" s="218" t="n"/>
      <c r="C118" s="219" t="n"/>
      <c r="D118" s="220" t="n"/>
      <c r="E118" s="221" t="inlineStr">
        <is>
          <t>CX</t>
        </is>
      </c>
      <c r="F118" s="686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20">
        <f>IFERROR(ROUNDUP(D118/F118,0),"")</f>
        <v/>
      </c>
      <c r="H118" s="224" t="n"/>
      <c r="I118" s="220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552" t="n"/>
      <c r="K118" s="552" t="n"/>
      <c r="L118" s="552" t="n"/>
      <c r="M118" s="552" t="n"/>
    </row>
    <row r="119" ht="21" customHeight="1" s="468">
      <c r="A119" s="685" t="n"/>
      <c r="B119" s="218" t="n"/>
      <c r="C119" s="219" t="n"/>
      <c r="D119" s="220" t="n"/>
      <c r="E119" s="221" t="inlineStr">
        <is>
          <t>CX</t>
        </is>
      </c>
      <c r="F119" s="686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20">
        <f>IFERROR(ROUNDUP(D119/F119,0),"")</f>
        <v/>
      </c>
      <c r="H119" s="224" t="n"/>
      <c r="I119" s="220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552" t="n"/>
      <c r="K119" s="552" t="n"/>
      <c r="L119" s="552" t="n"/>
      <c r="M119" s="552" t="n"/>
    </row>
    <row r="120" ht="21" customHeight="1" s="468">
      <c r="A120" s="685" t="n"/>
      <c r="B120" s="218" t="n"/>
      <c r="C120" s="219" t="n"/>
      <c r="D120" s="220" t="n"/>
      <c r="E120" s="221" t="inlineStr">
        <is>
          <t>CX</t>
        </is>
      </c>
      <c r="F120" s="686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20">
        <f>IFERROR(ROUNDUP(D120/F120,0),"")</f>
        <v/>
      </c>
      <c r="H120" s="224" t="n"/>
      <c r="I120" s="220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552" t="n"/>
      <c r="K120" s="552" t="n"/>
      <c r="L120" s="552" t="n"/>
      <c r="M120" s="552" t="n"/>
    </row>
    <row r="121" ht="15" customHeight="1" s="468">
      <c r="A121" s="658" t="n"/>
      <c r="B121" s="640" t="inlineStr">
        <is>
          <t>TOTAL</t>
        </is>
      </c>
      <c r="C121" s="667" t="n"/>
      <c r="D121" s="642">
        <f>SUM(D116:D120)</f>
        <v/>
      </c>
      <c r="E121" s="668" t="n"/>
      <c r="F121" s="644" t="n"/>
      <c r="G121" s="642">
        <f>SUM(G116:G120)</f>
        <v/>
      </c>
      <c r="H121" s="642">
        <f>SUM(H116:H120)</f>
        <v/>
      </c>
      <c r="I121" s="642">
        <f>SUM(I116:I120)</f>
        <v/>
      </c>
      <c r="J121" s="644">
        <f>D121</f>
        <v/>
      </c>
      <c r="K121" s="644">
        <f>G121</f>
        <v/>
      </c>
      <c r="L121" s="644">
        <f>H121</f>
        <v/>
      </c>
      <c r="M121" s="644">
        <f>I121</f>
        <v/>
      </c>
    </row>
    <row r="122" ht="6" customHeight="1" s="468">
      <c r="A122" s="638" t="n"/>
      <c r="C122" s="71" t="n"/>
      <c r="D122" s="552" t="n"/>
      <c r="F122" s="552" t="n"/>
      <c r="G122" s="552" t="n"/>
      <c r="H122" s="552" t="n"/>
      <c r="I122" s="552" t="n"/>
      <c r="J122" s="552" t="n"/>
      <c r="K122" s="552" t="n"/>
      <c r="L122" s="552" t="n"/>
      <c r="M122" s="552" t="n"/>
    </row>
    <row r="123" ht="15" customHeight="1" s="468">
      <c r="A123" s="646" t="n">
        <v>46283</v>
      </c>
      <c r="B123" s="213" t="inlineStr">
        <is>
          <t>PRODUTO</t>
        </is>
      </c>
      <c r="C123" s="214" t="inlineStr">
        <is>
          <t>EMBALAGEM</t>
        </is>
      </c>
      <c r="D123" s="244" t="inlineStr">
        <is>
          <t>CAIXAS</t>
        </is>
      </c>
      <c r="E123" s="215" t="inlineStr">
        <is>
          <t>UN</t>
        </is>
      </c>
      <c r="F123" s="687" t="inlineStr">
        <is>
          <t>CX/PALLET</t>
        </is>
      </c>
      <c r="G123" s="244" t="inlineStr">
        <is>
          <t>PALLETS (PBR)</t>
        </is>
      </c>
      <c r="H123" s="244" t="inlineStr">
        <is>
          <t>REAL (CX)</t>
        </is>
      </c>
      <c r="I123" s="244" t="inlineStr">
        <is>
          <t>TOTAL LATAS</t>
        </is>
      </c>
      <c r="J123" s="552" t="n"/>
      <c r="K123" s="552" t="n"/>
      <c r="L123" s="552" t="n"/>
      <c r="M123" s="552" t="n"/>
    </row>
    <row r="124" ht="21" customHeight="1" s="468">
      <c r="A124" s="685" t="n"/>
      <c r="B124" s="218" t="n"/>
      <c r="C124" s="219" t="n"/>
      <c r="D124" s="220" t="n"/>
      <c r="E124" s="221" t="inlineStr">
        <is>
          <t>CX</t>
        </is>
      </c>
      <c r="F124" s="68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20">
        <f>IFERROR(ROUNDUP(D124/F124,0),"")</f>
        <v/>
      </c>
      <c r="H124" s="224" t="n"/>
      <c r="I124" s="22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552" t="n"/>
      <c r="K124" s="552" t="n"/>
      <c r="L124" s="552" t="n"/>
      <c r="M124" s="552" t="n"/>
    </row>
    <row r="125" ht="21" customHeight="1" s="468">
      <c r="A125" s="685" t="n"/>
      <c r="B125" s="218" t="n"/>
      <c r="C125" s="219" t="n"/>
      <c r="D125" s="220" t="n"/>
      <c r="E125" s="221" t="inlineStr">
        <is>
          <t>CX</t>
        </is>
      </c>
      <c r="F125" s="686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20">
        <f>IFERROR(ROUNDUP(D125/F125,0),"")</f>
        <v/>
      </c>
      <c r="H125" s="224" t="n"/>
      <c r="I125" s="220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52" t="n"/>
      <c r="K125" s="552" t="n"/>
      <c r="L125" s="552" t="n"/>
      <c r="M125" s="552" t="n"/>
    </row>
    <row r="126" ht="21" customHeight="1" s="468">
      <c r="A126" s="685" t="n"/>
      <c r="B126" s="218" t="n"/>
      <c r="C126" s="219" t="n"/>
      <c r="D126" s="220" t="n"/>
      <c r="E126" s="221" t="inlineStr">
        <is>
          <t>CX</t>
        </is>
      </c>
      <c r="F126" s="68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20">
        <f>IFERROR(ROUNDUP(D126/F126,0),"")</f>
        <v/>
      </c>
      <c r="H126" s="224" t="n"/>
      <c r="I126" s="220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552" t="n"/>
      <c r="K126" s="552" t="n"/>
      <c r="L126" s="552" t="n"/>
      <c r="M126" s="552" t="n"/>
    </row>
    <row r="127" ht="21" customHeight="1" s="468">
      <c r="A127" s="685" t="n"/>
      <c r="B127" s="218" t="n"/>
      <c r="C127" s="219" t="n"/>
      <c r="D127" s="220" t="n"/>
      <c r="E127" s="221" t="inlineStr">
        <is>
          <t>CX</t>
        </is>
      </c>
      <c r="F127" s="686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20">
        <f>IFERROR(ROUNDUP(D127/F127,0),"")</f>
        <v/>
      </c>
      <c r="H127" s="224" t="n"/>
      <c r="I127" s="220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552" t="n"/>
      <c r="K127" s="552" t="n"/>
      <c r="L127" s="552" t="n"/>
      <c r="M127" s="552" t="n"/>
    </row>
    <row r="128" ht="21" customHeight="1" s="468">
      <c r="A128" s="685" t="n"/>
      <c r="B128" s="218" t="n"/>
      <c r="C128" s="219" t="n"/>
      <c r="D128" s="220" t="n"/>
      <c r="E128" s="221" t="inlineStr">
        <is>
          <t>CX</t>
        </is>
      </c>
      <c r="F128" s="686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20">
        <f>IFERROR(ROUNDUP(D128/F128,0),"")</f>
        <v/>
      </c>
      <c r="H128" s="224" t="n"/>
      <c r="I128" s="220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552" t="n"/>
      <c r="K128" s="552" t="n"/>
      <c r="L128" s="552" t="n"/>
      <c r="M128" s="552" t="n"/>
    </row>
    <row r="129" ht="15" customHeight="1" s="468">
      <c r="A129" s="658" t="n"/>
      <c r="B129" s="640" t="inlineStr">
        <is>
          <t>TOTAL</t>
        </is>
      </c>
      <c r="C129" s="667" t="n"/>
      <c r="D129" s="642">
        <f>SUM(D124:D128)</f>
        <v/>
      </c>
      <c r="E129" s="668" t="n"/>
      <c r="F129" s="644" t="n"/>
      <c r="G129" s="642">
        <f>SUM(G124:G128)</f>
        <v/>
      </c>
      <c r="H129" s="642">
        <f>SUM(H124:H128)</f>
        <v/>
      </c>
      <c r="I129" s="642">
        <f>SUM(I124:I128)</f>
        <v/>
      </c>
      <c r="J129" s="644">
        <f>D129</f>
        <v/>
      </c>
      <c r="K129" s="644">
        <f>G129</f>
        <v/>
      </c>
      <c r="L129" s="644">
        <f>H129</f>
        <v/>
      </c>
      <c r="M129" s="644">
        <f>I129</f>
        <v/>
      </c>
    </row>
    <row r="130" ht="6" customHeight="1" s="468">
      <c r="A130" s="638" t="n"/>
      <c r="C130" s="71" t="n"/>
      <c r="D130" s="552" t="n"/>
      <c r="F130" s="552" t="n"/>
      <c r="G130" s="552" t="n"/>
      <c r="H130" s="552" t="n"/>
      <c r="I130" s="552" t="n"/>
      <c r="J130" s="552" t="n"/>
      <c r="K130" s="552" t="n"/>
      <c r="L130" s="552" t="n"/>
      <c r="M130" s="552" t="n"/>
    </row>
    <row r="131" ht="15" customHeight="1" s="468">
      <c r="A131" s="696" t="n">
        <v>46284</v>
      </c>
      <c r="B131" s="213" t="inlineStr">
        <is>
          <t>PRODUTO</t>
        </is>
      </c>
      <c r="C131" s="214" t="inlineStr">
        <is>
          <t>EMBALAGEM</t>
        </is>
      </c>
      <c r="D131" s="244" t="inlineStr">
        <is>
          <t>CAIXAS</t>
        </is>
      </c>
      <c r="E131" s="215" t="inlineStr">
        <is>
          <t>UN</t>
        </is>
      </c>
      <c r="F131" s="697" t="inlineStr">
        <is>
          <t>CX/PALLET</t>
        </is>
      </c>
      <c r="G131" s="244" t="inlineStr">
        <is>
          <t>PALLETS (PBR)</t>
        </is>
      </c>
      <c r="H131" s="244" t="inlineStr">
        <is>
          <t>REAL (CX)</t>
        </is>
      </c>
      <c r="I131" s="244" t="inlineStr">
        <is>
          <t>TOTAL LATAS</t>
        </is>
      </c>
      <c r="J131" s="274" t="n"/>
      <c r="K131" s="274" t="n"/>
      <c r="L131" s="274" t="n"/>
      <c r="M131" s="274" t="n"/>
    </row>
    <row r="132" ht="21" customHeight="1" s="468">
      <c r="A132" s="685" t="n"/>
      <c r="B132" s="266" t="n"/>
      <c r="C132" s="267" t="n"/>
      <c r="D132" s="268" t="n"/>
      <c r="E132" s="269" t="inlineStr">
        <is>
          <t>CX</t>
        </is>
      </c>
      <c r="F132" s="698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68">
        <f>IFERROR(ROUNDUP(D132/F132,0),"")</f>
        <v/>
      </c>
      <c r="H132" s="224" t="n"/>
      <c r="I132" s="268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274" t="n"/>
      <c r="K132" s="274" t="n"/>
      <c r="L132" s="274" t="n"/>
      <c r="M132" s="274" t="n"/>
    </row>
    <row r="133" ht="21" customHeight="1" s="468">
      <c r="A133" s="685" t="n"/>
      <c r="B133" s="266" t="n"/>
      <c r="C133" s="267" t="n"/>
      <c r="D133" s="268" t="n"/>
      <c r="E133" s="269" t="inlineStr">
        <is>
          <t>CX</t>
        </is>
      </c>
      <c r="F133" s="698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68">
        <f>IFERROR(ROUNDUP(D133/F133,0),"")</f>
        <v/>
      </c>
      <c r="H133" s="224" t="n"/>
      <c r="I133" s="268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274" t="n"/>
      <c r="K133" s="274" t="n"/>
      <c r="L133" s="274" t="n"/>
      <c r="M133" s="274" t="n"/>
    </row>
    <row r="134" ht="21" customHeight="1" s="468">
      <c r="A134" s="685" t="n"/>
      <c r="B134" s="266" t="n"/>
      <c r="C134" s="267" t="n"/>
      <c r="D134" s="268" t="n"/>
      <c r="E134" s="269" t="inlineStr">
        <is>
          <t>CX</t>
        </is>
      </c>
      <c r="F134" s="698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68">
        <f>IFERROR(ROUNDUP(D134/F134,0),"")</f>
        <v/>
      </c>
      <c r="H134" s="224" t="n"/>
      <c r="I134" s="268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274" t="n"/>
      <c r="K134" s="274" t="n"/>
      <c r="L134" s="274" t="n"/>
      <c r="M134" s="274" t="n"/>
    </row>
    <row r="135" ht="21" customHeight="1" s="468">
      <c r="A135" s="685" t="n"/>
      <c r="B135" s="266" t="n"/>
      <c r="C135" s="267" t="n"/>
      <c r="D135" s="268" t="n"/>
      <c r="E135" s="269" t="inlineStr">
        <is>
          <t>CX</t>
        </is>
      </c>
      <c r="F135" s="698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68">
        <f>IFERROR(ROUNDUP(D135/F135,0),"")</f>
        <v/>
      </c>
      <c r="H135" s="224" t="n"/>
      <c r="I135" s="268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274" t="n"/>
      <c r="K135" s="274" t="n"/>
      <c r="L135" s="274" t="n"/>
      <c r="M135" s="274" t="n"/>
    </row>
    <row r="136" ht="21" customHeight="1" s="468">
      <c r="A136" s="685" t="n"/>
      <c r="B136" s="266" t="n"/>
      <c r="C136" s="267" t="n"/>
      <c r="D136" s="268" t="n"/>
      <c r="E136" s="269" t="inlineStr">
        <is>
          <t>CX</t>
        </is>
      </c>
      <c r="F136" s="698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68">
        <f>IFERROR(ROUNDUP(D136/F136,0),"")</f>
        <v/>
      </c>
      <c r="H136" s="224" t="n"/>
      <c r="I136" s="268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274" t="n"/>
      <c r="K136" s="274" t="n"/>
      <c r="L136" s="274" t="n"/>
      <c r="M136" s="274" t="n"/>
    </row>
    <row r="137" ht="15" customHeight="1" s="468">
      <c r="A137" s="658" t="n"/>
      <c r="B137" s="640" t="inlineStr">
        <is>
          <t>TOTAL</t>
        </is>
      </c>
      <c r="C137" s="667" t="n"/>
      <c r="D137" s="642">
        <f>SUM(D132:D136)</f>
        <v/>
      </c>
      <c r="E137" s="668" t="n"/>
      <c r="F137" s="644" t="n"/>
      <c r="G137" s="642">
        <f>SUM(G132:G136)</f>
        <v/>
      </c>
      <c r="H137" s="642">
        <f>SUM(H132:H136)</f>
        <v/>
      </c>
      <c r="I137" s="642">
        <f>SUM(I132:I136)</f>
        <v/>
      </c>
      <c r="J137" s="644">
        <f>D137</f>
        <v/>
      </c>
      <c r="K137" s="644">
        <f>G137</f>
        <v/>
      </c>
      <c r="L137" s="644">
        <f>H137</f>
        <v/>
      </c>
      <c r="M137" s="644">
        <f>I137</f>
        <v/>
      </c>
    </row>
    <row r="138" ht="6" customHeight="1" s="468">
      <c r="A138" s="699" t="n"/>
      <c r="B138" s="265" t="n"/>
      <c r="C138" s="276" t="n"/>
      <c r="D138" s="274" t="n"/>
      <c r="E138" s="265" t="n"/>
      <c r="F138" s="274" t="n"/>
      <c r="G138" s="274" t="n"/>
      <c r="H138" s="274" t="n"/>
      <c r="I138" s="274" t="n"/>
      <c r="J138" s="274" t="n"/>
      <c r="K138" s="274" t="n"/>
      <c r="L138" s="274" t="n"/>
      <c r="M138" s="274" t="n"/>
    </row>
    <row r="139" ht="15" customHeight="1" s="468">
      <c r="A139" s="646" t="n">
        <v>46286</v>
      </c>
      <c r="B139" s="213" t="inlineStr">
        <is>
          <t>PRODUTO</t>
        </is>
      </c>
      <c r="C139" s="214" t="inlineStr">
        <is>
          <t>EMBALAGEM</t>
        </is>
      </c>
      <c r="D139" s="244" t="inlineStr">
        <is>
          <t>CAIXAS</t>
        </is>
      </c>
      <c r="E139" s="215" t="inlineStr">
        <is>
          <t>UN</t>
        </is>
      </c>
      <c r="F139" s="687" t="inlineStr">
        <is>
          <t>CX/PALLET</t>
        </is>
      </c>
      <c r="G139" s="244" t="inlineStr">
        <is>
          <t>PALLETS (PBR)</t>
        </is>
      </c>
      <c r="H139" s="244" t="inlineStr">
        <is>
          <t>REAL (CX)</t>
        </is>
      </c>
      <c r="I139" s="244" t="inlineStr">
        <is>
          <t>TOTAL LATAS</t>
        </is>
      </c>
      <c r="J139" s="552" t="n"/>
      <c r="K139" s="552" t="n"/>
      <c r="L139" s="552" t="n"/>
      <c r="M139" s="552" t="n"/>
    </row>
    <row r="140" ht="21" customHeight="1" s="468">
      <c r="A140" s="685" t="n"/>
      <c r="B140" s="218" t="n"/>
      <c r="C140" s="219" t="n"/>
      <c r="D140" s="220" t="n"/>
      <c r="E140" s="221" t="inlineStr">
        <is>
          <t>CX</t>
        </is>
      </c>
      <c r="F140" s="686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20">
        <f>IFERROR(ROUNDUP(D140/F140,0),"")</f>
        <v/>
      </c>
      <c r="H140" s="224" t="n"/>
      <c r="I140" s="220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552" t="n"/>
      <c r="K140" s="552" t="n"/>
      <c r="L140" s="552" t="n"/>
      <c r="M140" s="552" t="n"/>
    </row>
    <row r="141" ht="21" customHeight="1" s="468">
      <c r="A141" s="685" t="n"/>
      <c r="B141" s="218" t="n"/>
      <c r="C141" s="219" t="n"/>
      <c r="D141" s="220" t="n"/>
      <c r="E141" s="221" t="inlineStr">
        <is>
          <t>CX</t>
        </is>
      </c>
      <c r="F141" s="686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20">
        <f>IFERROR(ROUNDUP(D141/F141,0),"")</f>
        <v/>
      </c>
      <c r="H141" s="224" t="n"/>
      <c r="I141" s="220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552" t="n"/>
      <c r="K141" s="552" t="n"/>
      <c r="L141" s="552" t="n"/>
      <c r="M141" s="552" t="n"/>
    </row>
    <row r="142" ht="21" customHeight="1" s="468">
      <c r="A142" s="685" t="n"/>
      <c r="B142" s="218" t="n"/>
      <c r="C142" s="219" t="n"/>
      <c r="D142" s="220" t="n"/>
      <c r="E142" s="221" t="inlineStr">
        <is>
          <t>CX</t>
        </is>
      </c>
      <c r="F142" s="686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20">
        <f>IFERROR(ROUNDUP(D142/F142,0),"")</f>
        <v/>
      </c>
      <c r="H142" s="224" t="n"/>
      <c r="I142" s="220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552" t="n"/>
      <c r="K142" s="552" t="n"/>
      <c r="L142" s="552" t="n"/>
      <c r="M142" s="552" t="n"/>
    </row>
    <row r="143" ht="21" customHeight="1" s="468">
      <c r="A143" s="685" t="n"/>
      <c r="B143" s="218" t="n"/>
      <c r="C143" s="219" t="n"/>
      <c r="D143" s="220" t="n"/>
      <c r="E143" s="221" t="inlineStr">
        <is>
          <t>CX</t>
        </is>
      </c>
      <c r="F143" s="686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20">
        <f>IFERROR(ROUNDUP(D143/F143,0),"")</f>
        <v/>
      </c>
      <c r="H143" s="224" t="n"/>
      <c r="I143" s="220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552" t="n"/>
      <c r="K143" s="552" t="n"/>
      <c r="L143" s="552" t="n"/>
      <c r="M143" s="552" t="n"/>
    </row>
    <row r="144" ht="21" customHeight="1" s="468">
      <c r="A144" s="685" t="n"/>
      <c r="B144" s="218" t="n"/>
      <c r="C144" s="219" t="n"/>
      <c r="D144" s="220" t="n"/>
      <c r="E144" s="221" t="inlineStr">
        <is>
          <t>CX</t>
        </is>
      </c>
      <c r="F144" s="686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20">
        <f>IFERROR(ROUNDUP(D144/F144,0),"")</f>
        <v/>
      </c>
      <c r="H144" s="224" t="n"/>
      <c r="I144" s="220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552" t="n"/>
      <c r="K144" s="552" t="n"/>
      <c r="L144" s="552" t="n"/>
      <c r="M144" s="552" t="n"/>
    </row>
    <row r="145" ht="15" customHeight="1" s="468">
      <c r="A145" s="658" t="n"/>
      <c r="B145" s="640" t="inlineStr">
        <is>
          <t>TOTAL</t>
        </is>
      </c>
      <c r="C145" s="667" t="n"/>
      <c r="D145" s="642">
        <f>SUM(D140:D144)</f>
        <v/>
      </c>
      <c r="E145" s="668" t="n"/>
      <c r="F145" s="644" t="n"/>
      <c r="G145" s="642">
        <f>SUM(G140:G144)</f>
        <v/>
      </c>
      <c r="H145" s="642">
        <f>SUM(H140:H144)</f>
        <v/>
      </c>
      <c r="I145" s="642">
        <f>SUM(I140:I144)</f>
        <v/>
      </c>
      <c r="J145" s="644">
        <f>D145</f>
        <v/>
      </c>
      <c r="K145" s="644">
        <f>G145</f>
        <v/>
      </c>
      <c r="L145" s="644">
        <f>H145</f>
        <v/>
      </c>
      <c r="M145" s="644">
        <f>I145</f>
        <v/>
      </c>
    </row>
    <row r="146" ht="6" customHeight="1" s="468">
      <c r="A146" s="638" t="n"/>
      <c r="C146" s="71" t="n"/>
      <c r="D146" s="552" t="n"/>
      <c r="F146" s="552" t="n"/>
      <c r="G146" s="552" t="n"/>
      <c r="H146" s="552" t="n"/>
      <c r="I146" s="552" t="n"/>
      <c r="J146" s="552" t="n"/>
      <c r="K146" s="552" t="n"/>
      <c r="L146" s="552" t="n"/>
      <c r="M146" s="552" t="n"/>
    </row>
    <row r="147" ht="15" customHeight="1" s="468">
      <c r="A147" s="646" t="n">
        <v>46287</v>
      </c>
      <c r="B147" s="213" t="inlineStr">
        <is>
          <t>PRODUTO</t>
        </is>
      </c>
      <c r="C147" s="214" t="inlineStr">
        <is>
          <t>EMBALAGEM</t>
        </is>
      </c>
      <c r="D147" s="244" t="inlineStr">
        <is>
          <t>CAIXAS</t>
        </is>
      </c>
      <c r="E147" s="215" t="inlineStr">
        <is>
          <t>UN</t>
        </is>
      </c>
      <c r="F147" s="687" t="inlineStr">
        <is>
          <t>CX/PALLET</t>
        </is>
      </c>
      <c r="G147" s="244" t="inlineStr">
        <is>
          <t>PALLETS (PBR)</t>
        </is>
      </c>
      <c r="H147" s="244" t="inlineStr">
        <is>
          <t>REAL (CX)</t>
        </is>
      </c>
      <c r="I147" s="244" t="inlineStr">
        <is>
          <t>TOTAL LATAS</t>
        </is>
      </c>
      <c r="J147" s="552" t="n"/>
      <c r="K147" s="552" t="n"/>
      <c r="L147" s="552" t="n"/>
      <c r="M147" s="552" t="n"/>
    </row>
    <row r="148" ht="21" customHeight="1" s="468">
      <c r="A148" s="685" t="n"/>
      <c r="B148" s="218" t="n"/>
      <c r="C148" s="219" t="n"/>
      <c r="D148" s="220" t="n"/>
      <c r="E148" s="221" t="inlineStr">
        <is>
          <t>CX</t>
        </is>
      </c>
      <c r="F148" s="686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20">
        <f>IFERROR(ROUNDUP(D148/F148,0),"")</f>
        <v/>
      </c>
      <c r="H148" s="224" t="n"/>
      <c r="I148" s="220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552" t="n"/>
      <c r="K148" s="552" t="n"/>
      <c r="L148" s="552" t="n"/>
      <c r="M148" s="552" t="n"/>
    </row>
    <row r="149" ht="21" customHeight="1" s="468">
      <c r="A149" s="685" t="n"/>
      <c r="B149" s="218" t="n"/>
      <c r="C149" s="219" t="n"/>
      <c r="D149" s="220" t="n"/>
      <c r="E149" s="221" t="inlineStr">
        <is>
          <t>CX</t>
        </is>
      </c>
      <c r="F149" s="686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20">
        <f>IFERROR(ROUNDUP(D149/F149,0),"")</f>
        <v/>
      </c>
      <c r="H149" s="224" t="n"/>
      <c r="I149" s="220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552" t="n"/>
      <c r="K149" s="552" t="n"/>
      <c r="L149" s="552" t="n"/>
      <c r="M149" s="552" t="n"/>
    </row>
    <row r="150" ht="21" customHeight="1" s="468">
      <c r="A150" s="685" t="n"/>
      <c r="B150" s="218" t="n"/>
      <c r="C150" s="219" t="n"/>
      <c r="D150" s="220" t="n"/>
      <c r="E150" s="221" t="inlineStr">
        <is>
          <t>CX</t>
        </is>
      </c>
      <c r="F150" s="686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20">
        <f>IFERROR(ROUNDUP(D150/F150,0),"")</f>
        <v/>
      </c>
      <c r="H150" s="224" t="n"/>
      <c r="I150" s="220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552" t="n"/>
      <c r="K150" s="552" t="n"/>
      <c r="L150" s="552" t="n"/>
      <c r="M150" s="552" t="n"/>
    </row>
    <row r="151" ht="21" customHeight="1" s="468">
      <c r="A151" s="685" t="n"/>
      <c r="B151" s="218" t="n"/>
      <c r="C151" s="219" t="n"/>
      <c r="D151" s="220" t="n"/>
      <c r="E151" s="221" t="inlineStr">
        <is>
          <t>CX</t>
        </is>
      </c>
      <c r="F151" s="686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20">
        <f>IFERROR(ROUNDUP(D151/F151,0),"")</f>
        <v/>
      </c>
      <c r="H151" s="224" t="n"/>
      <c r="I151" s="220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52" t="n"/>
      <c r="K151" s="552" t="n"/>
      <c r="L151" s="552" t="n"/>
      <c r="M151" s="552" t="n"/>
    </row>
    <row r="152" ht="21" customHeight="1" s="468">
      <c r="A152" s="685" t="n"/>
      <c r="B152" s="218" t="n"/>
      <c r="C152" s="219" t="n"/>
      <c r="D152" s="220" t="n"/>
      <c r="E152" s="221" t="inlineStr">
        <is>
          <t>CX</t>
        </is>
      </c>
      <c r="F152" s="68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20">
        <f>IFERROR(ROUNDUP(D152/F152,0),"")</f>
        <v/>
      </c>
      <c r="H152" s="224" t="n"/>
      <c r="I152" s="220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552" t="n"/>
      <c r="K152" s="552" t="n"/>
      <c r="L152" s="552" t="n"/>
      <c r="M152" s="552" t="n"/>
    </row>
    <row r="153" ht="15" customHeight="1" s="468">
      <c r="A153" s="658" t="n"/>
      <c r="B153" s="640" t="inlineStr">
        <is>
          <t>TOTAL</t>
        </is>
      </c>
      <c r="C153" s="667" t="n"/>
      <c r="D153" s="642">
        <f>SUM(D148:D152)</f>
        <v/>
      </c>
      <c r="E153" s="668" t="n"/>
      <c r="F153" s="644" t="n"/>
      <c r="G153" s="642">
        <f>SUM(G148:G152)</f>
        <v/>
      </c>
      <c r="H153" s="642">
        <f>SUM(H148:H152)</f>
        <v/>
      </c>
      <c r="I153" s="642">
        <f>SUM(I148:I152)</f>
        <v/>
      </c>
      <c r="J153" s="644">
        <f>D153</f>
        <v/>
      </c>
      <c r="K153" s="644">
        <f>G153</f>
        <v/>
      </c>
      <c r="L153" s="644">
        <f>H153</f>
        <v/>
      </c>
      <c r="M153" s="644">
        <f>I153</f>
        <v/>
      </c>
    </row>
    <row r="154" ht="6" customHeight="1" s="468">
      <c r="A154" s="638" t="n"/>
      <c r="C154" s="71" t="n"/>
      <c r="D154" s="552" t="n"/>
      <c r="F154" s="552" t="n"/>
      <c r="G154" s="552" t="n"/>
      <c r="H154" s="552" t="n"/>
      <c r="I154" s="552" t="n"/>
      <c r="J154" s="552" t="n"/>
      <c r="K154" s="552" t="n"/>
      <c r="L154" s="552" t="n"/>
      <c r="M154" s="552" t="n"/>
    </row>
    <row r="155" ht="15" customHeight="1" s="468">
      <c r="A155" s="646" t="n">
        <v>46288</v>
      </c>
      <c r="B155" s="213" t="inlineStr">
        <is>
          <t>PRODUTO</t>
        </is>
      </c>
      <c r="C155" s="214" t="inlineStr">
        <is>
          <t>EMBALAGEM</t>
        </is>
      </c>
      <c r="D155" s="244" t="inlineStr">
        <is>
          <t>CAIXAS</t>
        </is>
      </c>
      <c r="E155" s="215" t="inlineStr">
        <is>
          <t>UN</t>
        </is>
      </c>
      <c r="F155" s="687" t="inlineStr">
        <is>
          <t>CX/PALLET</t>
        </is>
      </c>
      <c r="G155" s="244" t="inlineStr">
        <is>
          <t>PALLETS (PBR)</t>
        </is>
      </c>
      <c r="H155" s="244" t="inlineStr">
        <is>
          <t>REAL (CX)</t>
        </is>
      </c>
      <c r="I155" s="244" t="inlineStr">
        <is>
          <t>TOTAL LATAS</t>
        </is>
      </c>
      <c r="J155" s="552" t="n"/>
      <c r="K155" s="552" t="n"/>
      <c r="L155" s="552" t="n"/>
      <c r="M155" s="552" t="n"/>
    </row>
    <row r="156" ht="21" customHeight="1" s="468">
      <c r="A156" s="685" t="n"/>
      <c r="B156" s="218" t="n"/>
      <c r="C156" s="219" t="n"/>
      <c r="D156" s="220" t="n"/>
      <c r="E156" s="221" t="inlineStr">
        <is>
          <t>CX</t>
        </is>
      </c>
      <c r="F156" s="686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20">
        <f>IFERROR(ROUNDUP(D156/F156,0),"")</f>
        <v/>
      </c>
      <c r="H156" s="224" t="n"/>
      <c r="I156" s="220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552" t="n"/>
      <c r="K156" s="552" t="n"/>
      <c r="L156" s="552" t="n"/>
      <c r="M156" s="552" t="n"/>
    </row>
    <row r="157" ht="21" customHeight="1" s="468">
      <c r="A157" s="685" t="n"/>
      <c r="B157" s="218" t="n"/>
      <c r="C157" s="219" t="n"/>
      <c r="D157" s="220" t="n"/>
      <c r="E157" s="221" t="inlineStr">
        <is>
          <t>CX</t>
        </is>
      </c>
      <c r="F157" s="68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20">
        <f>IFERROR(ROUNDUP(D157/F157,0),"")</f>
        <v/>
      </c>
      <c r="H157" s="224" t="n"/>
      <c r="I157" s="220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 t="n"/>
      <c r="K157" s="552" t="n"/>
      <c r="L157" s="552" t="n"/>
      <c r="M157" s="552" t="n"/>
    </row>
    <row r="158" ht="21" customHeight="1" s="468">
      <c r="A158" s="685" t="n"/>
      <c r="B158" s="218" t="n"/>
      <c r="C158" s="219" t="n"/>
      <c r="D158" s="220" t="n"/>
      <c r="E158" s="221" t="inlineStr">
        <is>
          <t>CX</t>
        </is>
      </c>
      <c r="F158" s="68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20">
        <f>IFERROR(ROUNDUP(D158/F158,0),"")</f>
        <v/>
      </c>
      <c r="H158" s="224" t="n"/>
      <c r="I158" s="220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552" t="n"/>
      <c r="K158" s="552" t="n"/>
      <c r="L158" s="552" t="n"/>
      <c r="M158" s="552" t="n"/>
    </row>
    <row r="159" ht="21" customHeight="1" s="468">
      <c r="A159" s="685" t="n"/>
      <c r="B159" s="218" t="n"/>
      <c r="C159" s="219" t="n"/>
      <c r="D159" s="220" t="n"/>
      <c r="E159" s="221" t="inlineStr">
        <is>
          <t>CX</t>
        </is>
      </c>
      <c r="F159" s="686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20">
        <f>IFERROR(ROUNDUP(D159/F159,0),"")</f>
        <v/>
      </c>
      <c r="H159" s="224" t="n"/>
      <c r="I159" s="220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52" t="n"/>
      <c r="K159" s="552" t="n"/>
      <c r="L159" s="552" t="n"/>
      <c r="M159" s="552" t="n"/>
    </row>
    <row r="160" ht="21" customHeight="1" s="468">
      <c r="A160" s="685" t="n"/>
      <c r="B160" s="218" t="n"/>
      <c r="C160" s="219" t="n"/>
      <c r="D160" s="220" t="n"/>
      <c r="E160" s="221" t="inlineStr">
        <is>
          <t>CX</t>
        </is>
      </c>
      <c r="F160" s="68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20">
        <f>IFERROR(ROUNDUP(D160/F160,0),"")</f>
        <v/>
      </c>
      <c r="H160" s="224" t="n"/>
      <c r="I160" s="22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552" t="n"/>
      <c r="K160" s="552" t="n"/>
      <c r="L160" s="552" t="n"/>
      <c r="M160" s="552" t="n"/>
    </row>
    <row r="161" ht="15" customHeight="1" s="468">
      <c r="A161" s="658" t="n"/>
      <c r="B161" s="640" t="inlineStr">
        <is>
          <t>TOTAL</t>
        </is>
      </c>
      <c r="C161" s="667" t="n"/>
      <c r="D161" s="642">
        <f>SUM(D156:D160)</f>
        <v/>
      </c>
      <c r="E161" s="668" t="n"/>
      <c r="F161" s="644" t="n"/>
      <c r="G161" s="642">
        <f>SUM(G156:G160)</f>
        <v/>
      </c>
      <c r="H161" s="642">
        <f>SUM(H156:H160)</f>
        <v/>
      </c>
      <c r="I161" s="642">
        <f>SUM(I156:I160)</f>
        <v/>
      </c>
      <c r="J161" s="644">
        <f>D161</f>
        <v/>
      </c>
      <c r="K161" s="644">
        <f>G161</f>
        <v/>
      </c>
      <c r="L161" s="644">
        <f>H161</f>
        <v/>
      </c>
      <c r="M161" s="644">
        <f>I161</f>
        <v/>
      </c>
    </row>
    <row r="162" ht="6" customHeight="1" s="468">
      <c r="A162" s="638" t="n"/>
      <c r="C162" s="71" t="n"/>
      <c r="D162" s="552" t="n"/>
      <c r="F162" s="552" t="n"/>
      <c r="G162" s="552" t="n"/>
      <c r="H162" s="552" t="n"/>
      <c r="I162" s="552" t="n"/>
      <c r="J162" s="552" t="n"/>
      <c r="K162" s="552" t="n"/>
      <c r="L162" s="552" t="n"/>
      <c r="M162" s="552" t="n"/>
    </row>
    <row r="163" ht="15" customHeight="1" s="468">
      <c r="A163" s="646" t="n">
        <v>46289</v>
      </c>
      <c r="B163" s="213" t="inlineStr">
        <is>
          <t>PRODUTO</t>
        </is>
      </c>
      <c r="C163" s="214" t="inlineStr">
        <is>
          <t>EMBALAGEM</t>
        </is>
      </c>
      <c r="D163" s="244" t="inlineStr">
        <is>
          <t>CAIXAS</t>
        </is>
      </c>
      <c r="E163" s="215" t="inlineStr">
        <is>
          <t>UN</t>
        </is>
      </c>
      <c r="F163" s="687" t="inlineStr">
        <is>
          <t>CX/PALLET</t>
        </is>
      </c>
      <c r="G163" s="244" t="inlineStr">
        <is>
          <t>PALLETS (PBR)</t>
        </is>
      </c>
      <c r="H163" s="244" t="inlineStr">
        <is>
          <t>REAL (CX)</t>
        </is>
      </c>
      <c r="I163" s="244" t="inlineStr">
        <is>
          <t>TOTAL LATAS</t>
        </is>
      </c>
      <c r="J163" s="552" t="n"/>
      <c r="K163" s="552" t="n"/>
      <c r="L163" s="552" t="n"/>
      <c r="M163" s="552" t="n"/>
    </row>
    <row r="164" ht="21" customHeight="1" s="468">
      <c r="A164" s="685" t="n"/>
      <c r="B164" s="218" t="n"/>
      <c r="C164" s="219" t="n"/>
      <c r="D164" s="220" t="n"/>
      <c r="E164" s="221" t="inlineStr">
        <is>
          <t>CX</t>
        </is>
      </c>
      <c r="F164" s="686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20">
        <f>IFERROR(ROUNDUP(D164/F164,0),"")</f>
        <v/>
      </c>
      <c r="H164" s="224" t="n"/>
      <c r="I164" s="220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552" t="n"/>
      <c r="K164" s="552" t="n"/>
      <c r="L164" s="552" t="n"/>
      <c r="M164" s="552" t="n"/>
    </row>
    <row r="165" ht="21" customHeight="1" s="468">
      <c r="A165" s="685" t="n"/>
      <c r="B165" s="218" t="n"/>
      <c r="C165" s="219" t="n"/>
      <c r="D165" s="220" t="n"/>
      <c r="E165" s="221" t="inlineStr">
        <is>
          <t>CX</t>
        </is>
      </c>
      <c r="F165" s="686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20">
        <f>IFERROR(ROUNDUP(D165/F165,0),"")</f>
        <v/>
      </c>
      <c r="H165" s="224" t="n"/>
      <c r="I165" s="220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552" t="n"/>
      <c r="K165" s="552" t="n"/>
      <c r="L165" s="552" t="n"/>
      <c r="M165" s="552" t="n"/>
    </row>
    <row r="166" ht="21" customHeight="1" s="468">
      <c r="A166" s="685" t="n"/>
      <c r="B166" s="218" t="n"/>
      <c r="C166" s="219" t="n"/>
      <c r="D166" s="220" t="n"/>
      <c r="E166" s="221" t="inlineStr">
        <is>
          <t>CX</t>
        </is>
      </c>
      <c r="F166" s="686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20">
        <f>IFERROR(ROUNDUP(D166/F166,0),"")</f>
        <v/>
      </c>
      <c r="H166" s="224" t="n"/>
      <c r="I166" s="220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552" t="n"/>
      <c r="K166" s="552" t="n"/>
      <c r="L166" s="552" t="n"/>
      <c r="M166" s="552" t="n"/>
    </row>
    <row r="167" ht="21" customHeight="1" s="468">
      <c r="A167" s="685" t="n"/>
      <c r="B167" s="218" t="n"/>
      <c r="C167" s="219" t="n"/>
      <c r="D167" s="220" t="n"/>
      <c r="E167" s="221" t="inlineStr">
        <is>
          <t>CX</t>
        </is>
      </c>
      <c r="F167" s="686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20">
        <f>IFERROR(ROUNDUP(D167/F167,0),"")</f>
        <v/>
      </c>
      <c r="H167" s="224" t="n"/>
      <c r="I167" s="220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552" t="n"/>
      <c r="K167" s="552" t="n"/>
      <c r="L167" s="552" t="n"/>
      <c r="M167" s="552" t="n"/>
    </row>
    <row r="168" ht="21" customHeight="1" s="468">
      <c r="A168" s="685" t="n"/>
      <c r="B168" s="218" t="n"/>
      <c r="C168" s="219" t="n"/>
      <c r="D168" s="220" t="n"/>
      <c r="E168" s="221" t="inlineStr">
        <is>
          <t>CX</t>
        </is>
      </c>
      <c r="F168" s="68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20">
        <f>IFERROR(ROUNDUP(D168/F168,0),"")</f>
        <v/>
      </c>
      <c r="H168" s="224" t="n"/>
      <c r="I168" s="220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 t="n"/>
      <c r="K168" s="552" t="n"/>
      <c r="L168" s="552" t="n"/>
      <c r="M168" s="552" t="n"/>
    </row>
    <row r="169" ht="15" customHeight="1" s="468">
      <c r="A169" s="658" t="n"/>
      <c r="B169" s="640" t="inlineStr">
        <is>
          <t>TOTAL</t>
        </is>
      </c>
      <c r="C169" s="667" t="n"/>
      <c r="D169" s="642">
        <f>SUM(D164:D168)</f>
        <v/>
      </c>
      <c r="E169" s="668" t="n"/>
      <c r="F169" s="644" t="n"/>
      <c r="G169" s="642">
        <f>SUM(G164:G168)</f>
        <v/>
      </c>
      <c r="H169" s="642">
        <f>SUM(H164:H168)</f>
        <v/>
      </c>
      <c r="I169" s="642">
        <f>SUM(I164:I168)</f>
        <v/>
      </c>
      <c r="J169" s="644">
        <f>D169</f>
        <v/>
      </c>
      <c r="K169" s="644">
        <f>G169</f>
        <v/>
      </c>
      <c r="L169" s="644">
        <f>H169</f>
        <v/>
      </c>
      <c r="M169" s="644">
        <f>I169</f>
        <v/>
      </c>
    </row>
    <row r="170" ht="6" customHeight="1" s="468">
      <c r="A170" s="638" t="n"/>
      <c r="C170" s="71" t="n"/>
      <c r="D170" s="552" t="n"/>
      <c r="F170" s="552" t="n"/>
      <c r="G170" s="552" t="n"/>
      <c r="H170" s="552" t="n"/>
      <c r="I170" s="552" t="n"/>
      <c r="J170" s="552" t="n"/>
      <c r="K170" s="552" t="n"/>
      <c r="L170" s="552" t="n"/>
      <c r="M170" s="552" t="n"/>
    </row>
    <row r="171" ht="15" customHeight="1" s="468">
      <c r="A171" s="646" t="n">
        <v>46290</v>
      </c>
      <c r="B171" s="213" t="inlineStr">
        <is>
          <t>PRODUTO</t>
        </is>
      </c>
      <c r="C171" s="214" t="inlineStr">
        <is>
          <t>EMBALAGEM</t>
        </is>
      </c>
      <c r="D171" s="244" t="inlineStr">
        <is>
          <t>CAIXAS</t>
        </is>
      </c>
      <c r="E171" s="215" t="inlineStr">
        <is>
          <t>UN</t>
        </is>
      </c>
      <c r="F171" s="687" t="inlineStr">
        <is>
          <t>CX/PALLET</t>
        </is>
      </c>
      <c r="G171" s="244" t="inlineStr">
        <is>
          <t>PALLETS (PBR)</t>
        </is>
      </c>
      <c r="H171" s="244" t="inlineStr">
        <is>
          <t>REAL (CX)</t>
        </is>
      </c>
      <c r="I171" s="244" t="inlineStr">
        <is>
          <t>TOTAL LATAS</t>
        </is>
      </c>
      <c r="J171" s="552" t="n"/>
      <c r="K171" s="552" t="n"/>
      <c r="L171" s="552" t="n"/>
      <c r="M171" s="552" t="n"/>
    </row>
    <row r="172" ht="21" customHeight="1" s="468">
      <c r="A172" s="685" t="n"/>
      <c r="B172" s="218" t="n"/>
      <c r="C172" s="219" t="n"/>
      <c r="D172" s="220" t="n"/>
      <c r="E172" s="221" t="inlineStr">
        <is>
          <t>CX</t>
        </is>
      </c>
      <c r="F172" s="686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20">
        <f>IFERROR(ROUNDUP(D172/F172,0),"")</f>
        <v/>
      </c>
      <c r="H172" s="224" t="n"/>
      <c r="I172" s="220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552" t="n"/>
      <c r="K172" s="552" t="n"/>
      <c r="L172" s="552" t="n"/>
      <c r="M172" s="552" t="n"/>
    </row>
    <row r="173" ht="21" customHeight="1" s="468">
      <c r="A173" s="685" t="n"/>
      <c r="B173" s="218" t="n"/>
      <c r="C173" s="219" t="n"/>
      <c r="D173" s="220" t="n"/>
      <c r="E173" s="221" t="inlineStr">
        <is>
          <t>CX</t>
        </is>
      </c>
      <c r="F173" s="686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20">
        <f>IFERROR(ROUNDUP(D173/F173,0),"")</f>
        <v/>
      </c>
      <c r="H173" s="224" t="n"/>
      <c r="I173" s="220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552" t="n"/>
      <c r="K173" s="552" t="n"/>
      <c r="L173" s="552" t="n"/>
      <c r="M173" s="552" t="n"/>
    </row>
    <row r="174" ht="21" customHeight="1" s="468">
      <c r="A174" s="685" t="n"/>
      <c r="B174" s="218" t="n"/>
      <c r="C174" s="219" t="n"/>
      <c r="D174" s="220" t="n"/>
      <c r="E174" s="221" t="inlineStr">
        <is>
          <t>CX</t>
        </is>
      </c>
      <c r="F174" s="686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20">
        <f>IFERROR(ROUNDUP(D174/F174,0),"")</f>
        <v/>
      </c>
      <c r="H174" s="224" t="n"/>
      <c r="I174" s="220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552" t="n"/>
      <c r="K174" s="552" t="n"/>
      <c r="L174" s="552" t="n"/>
      <c r="M174" s="552" t="n"/>
    </row>
    <row r="175" ht="21" customHeight="1" s="468">
      <c r="A175" s="685" t="n"/>
      <c r="B175" s="218" t="n"/>
      <c r="C175" s="219" t="n"/>
      <c r="D175" s="220" t="n"/>
      <c r="E175" s="221" t="inlineStr">
        <is>
          <t>CX</t>
        </is>
      </c>
      <c r="F175" s="686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20">
        <f>IFERROR(ROUNDUP(D175/F175,0),"")</f>
        <v/>
      </c>
      <c r="H175" s="224" t="n"/>
      <c r="I175" s="220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552" t="n"/>
      <c r="K175" s="552" t="n"/>
      <c r="L175" s="552" t="n"/>
      <c r="M175" s="552" t="n"/>
    </row>
    <row r="176" ht="21" customHeight="1" s="468">
      <c r="A176" s="685" t="n"/>
      <c r="B176" s="218" t="n"/>
      <c r="C176" s="219" t="n"/>
      <c r="D176" s="220" t="n"/>
      <c r="E176" s="221" t="inlineStr">
        <is>
          <t>CX</t>
        </is>
      </c>
      <c r="F176" s="68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20">
        <f>IFERROR(ROUNDUP(D176/F176,0),"")</f>
        <v/>
      </c>
      <c r="H176" s="224" t="n"/>
      <c r="I176" s="220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 t="n"/>
      <c r="K176" s="552" t="n"/>
      <c r="L176" s="552" t="n"/>
      <c r="M176" s="552" t="n"/>
    </row>
    <row r="177" ht="15" customHeight="1" s="468">
      <c r="A177" s="658" t="n"/>
      <c r="B177" s="640" t="inlineStr">
        <is>
          <t>TOTAL</t>
        </is>
      </c>
      <c r="C177" s="667" t="n"/>
      <c r="D177" s="642">
        <f>SUM(D172:D176)</f>
        <v/>
      </c>
      <c r="E177" s="668" t="n"/>
      <c r="F177" s="644" t="n"/>
      <c r="G177" s="642">
        <f>SUM(G172:G176)</f>
        <v/>
      </c>
      <c r="H177" s="642">
        <f>SUM(H172:H176)</f>
        <v/>
      </c>
      <c r="I177" s="642">
        <f>SUM(I172:I176)</f>
        <v/>
      </c>
      <c r="J177" s="644">
        <f>D177</f>
        <v/>
      </c>
      <c r="K177" s="644">
        <f>G177</f>
        <v/>
      </c>
      <c r="L177" s="644">
        <f>H177</f>
        <v/>
      </c>
      <c r="M177" s="644">
        <f>I177</f>
        <v/>
      </c>
    </row>
    <row r="178" ht="6" customHeight="1" s="468">
      <c r="A178" s="638" t="n"/>
      <c r="C178" s="71" t="n"/>
      <c r="D178" s="552" t="n"/>
      <c r="F178" s="552" t="n"/>
      <c r="G178" s="552" t="n"/>
      <c r="H178" s="552" t="n"/>
      <c r="I178" s="552" t="n"/>
      <c r="J178" s="552" t="n"/>
      <c r="K178" s="552" t="n"/>
      <c r="L178" s="552" t="n"/>
      <c r="M178" s="552" t="n"/>
    </row>
    <row r="179" ht="14.25" customHeight="1" s="468">
      <c r="A179" s="696" t="n">
        <v>46291</v>
      </c>
      <c r="B179" s="213" t="inlineStr">
        <is>
          <t>PRODUTO</t>
        </is>
      </c>
      <c r="C179" s="214" t="inlineStr">
        <is>
          <t>EMBALAGEM</t>
        </is>
      </c>
      <c r="D179" s="244" t="inlineStr">
        <is>
          <t>CAIXAS</t>
        </is>
      </c>
      <c r="E179" s="215" t="inlineStr">
        <is>
          <t>UN</t>
        </is>
      </c>
      <c r="F179" s="697" t="inlineStr">
        <is>
          <t>CX/PALLET</t>
        </is>
      </c>
      <c r="G179" s="244" t="inlineStr">
        <is>
          <t>PALLETS (PBR)</t>
        </is>
      </c>
      <c r="H179" s="244" t="inlineStr">
        <is>
          <t>REAL (CX)</t>
        </is>
      </c>
      <c r="I179" s="244" t="inlineStr">
        <is>
          <t>TOTAL LATAS</t>
        </is>
      </c>
      <c r="J179" s="274" t="n"/>
      <c r="K179" s="274" t="n"/>
      <c r="L179" s="274" t="n"/>
      <c r="M179" s="274" t="n"/>
    </row>
    <row r="180" ht="21" customHeight="1" s="468">
      <c r="A180" s="685" t="n"/>
      <c r="B180" s="266" t="n"/>
      <c r="C180" s="267" t="n"/>
      <c r="D180" s="268" t="n"/>
      <c r="E180" s="269" t="inlineStr">
        <is>
          <t>CX</t>
        </is>
      </c>
      <c r="F180" s="698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68">
        <f>IFERROR(ROUNDUP(D180/F180,0),"")</f>
        <v/>
      </c>
      <c r="H180" s="224" t="n"/>
      <c r="I180" s="268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274" t="n"/>
      <c r="K180" s="274" t="n"/>
      <c r="L180" s="274" t="n"/>
      <c r="M180" s="274" t="n"/>
    </row>
    <row r="181" ht="21" customHeight="1" s="468">
      <c r="A181" s="685" t="n"/>
      <c r="B181" s="266" t="n"/>
      <c r="C181" s="267" t="n"/>
      <c r="D181" s="268" t="n"/>
      <c r="E181" s="269" t="inlineStr">
        <is>
          <t>CX</t>
        </is>
      </c>
      <c r="F181" s="698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68">
        <f>IFERROR(ROUNDUP(D181/F181,0),"")</f>
        <v/>
      </c>
      <c r="H181" s="224" t="n"/>
      <c r="I181" s="268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274" t="n"/>
      <c r="K181" s="274" t="n"/>
      <c r="L181" s="274" t="n"/>
      <c r="M181" s="274" t="n"/>
    </row>
    <row r="182" ht="21" customHeight="1" s="468">
      <c r="A182" s="685" t="n"/>
      <c r="B182" s="266" t="n"/>
      <c r="C182" s="267" t="n"/>
      <c r="D182" s="268" t="n"/>
      <c r="E182" s="269" t="inlineStr">
        <is>
          <t>CX</t>
        </is>
      </c>
      <c r="F182" s="698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68">
        <f>IFERROR(ROUNDUP(D182/F182,0),"")</f>
        <v/>
      </c>
      <c r="H182" s="224" t="n"/>
      <c r="I182" s="268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274" t="n"/>
      <c r="K182" s="274" t="n"/>
      <c r="L182" s="274" t="n"/>
      <c r="M182" s="274" t="n"/>
    </row>
    <row r="183" ht="21" customHeight="1" s="468">
      <c r="A183" s="685" t="n"/>
      <c r="B183" s="266" t="n"/>
      <c r="C183" s="267" t="n"/>
      <c r="D183" s="268" t="n"/>
      <c r="E183" s="269" t="inlineStr">
        <is>
          <t>CX</t>
        </is>
      </c>
      <c r="F183" s="698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68">
        <f>IFERROR(ROUNDUP(D183/F183,0),"")</f>
        <v/>
      </c>
      <c r="H183" s="224" t="n"/>
      <c r="I183" s="268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274" t="n"/>
      <c r="K183" s="274" t="n"/>
      <c r="L183" s="274" t="n"/>
      <c r="M183" s="274" t="n"/>
    </row>
    <row r="184" ht="21" customHeight="1" s="468">
      <c r="A184" s="685" t="n"/>
      <c r="B184" s="266" t="n"/>
      <c r="C184" s="267" t="n"/>
      <c r="D184" s="268" t="n"/>
      <c r="E184" s="269" t="inlineStr">
        <is>
          <t>CX</t>
        </is>
      </c>
      <c r="F184" s="698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68">
        <f>IFERROR(ROUNDUP(D184/F184,0),"")</f>
        <v/>
      </c>
      <c r="H184" s="224" t="n"/>
      <c r="I184" s="268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274" t="n"/>
      <c r="K184" s="274" t="n"/>
      <c r="L184" s="274" t="n"/>
      <c r="M184" s="274" t="n"/>
    </row>
    <row r="185" ht="14.25" customHeight="1" s="468">
      <c r="A185" s="658" t="n"/>
      <c r="B185" s="640" t="inlineStr">
        <is>
          <t>TOTAL</t>
        </is>
      </c>
      <c r="C185" s="667" t="n"/>
      <c r="D185" s="642">
        <f>SUM(D180:D184)</f>
        <v/>
      </c>
      <c r="E185" s="668" t="n"/>
      <c r="F185" s="644" t="n"/>
      <c r="G185" s="642">
        <f>SUM(G180:G184)</f>
        <v/>
      </c>
      <c r="H185" s="642">
        <f>SUM(H180:H184)</f>
        <v/>
      </c>
      <c r="I185" s="642">
        <f>SUM(I180:I184)</f>
        <v/>
      </c>
      <c r="J185" s="644">
        <f>D185</f>
        <v/>
      </c>
      <c r="K185" s="644">
        <f>G185</f>
        <v/>
      </c>
      <c r="L185" s="644">
        <f>H185</f>
        <v/>
      </c>
      <c r="M185" s="644">
        <f>I185</f>
        <v/>
      </c>
    </row>
    <row r="186" ht="14.25" customHeight="1" s="468">
      <c r="A186" s="699" t="n"/>
      <c r="B186" s="265" t="n"/>
      <c r="C186" s="276" t="n"/>
      <c r="D186" s="274" t="n"/>
      <c r="E186" s="265" t="n"/>
      <c r="F186" s="274" t="n"/>
      <c r="G186" s="274" t="n"/>
      <c r="H186" s="274" t="n"/>
      <c r="I186" s="274" t="n"/>
      <c r="J186" s="274" t="n"/>
      <c r="K186" s="274" t="n"/>
      <c r="L186" s="274" t="n"/>
      <c r="M186" s="274" t="n"/>
    </row>
    <row r="187" ht="14.25" customHeight="1" s="468">
      <c r="A187" s="646" t="n">
        <v>46293</v>
      </c>
      <c r="B187" s="213" t="inlineStr">
        <is>
          <t>PRODUTO</t>
        </is>
      </c>
      <c r="C187" s="214" t="inlineStr">
        <is>
          <t>EMBALAGEM</t>
        </is>
      </c>
      <c r="D187" s="244" t="inlineStr">
        <is>
          <t>CAIXAS</t>
        </is>
      </c>
      <c r="E187" s="215" t="inlineStr">
        <is>
          <t>UN</t>
        </is>
      </c>
      <c r="F187" s="687" t="inlineStr">
        <is>
          <t>CX/PALLET</t>
        </is>
      </c>
      <c r="G187" s="244" t="inlineStr">
        <is>
          <t>PALLETS (PBR)</t>
        </is>
      </c>
      <c r="H187" s="244" t="inlineStr">
        <is>
          <t>REAL (CX)</t>
        </is>
      </c>
      <c r="I187" s="244" t="inlineStr">
        <is>
          <t>TOTAL LATAS</t>
        </is>
      </c>
      <c r="J187" s="552" t="n"/>
      <c r="K187" s="552" t="n"/>
      <c r="L187" s="552" t="n"/>
      <c r="M187" s="552" t="n"/>
    </row>
    <row r="188" ht="21" customHeight="1" s="468">
      <c r="A188" s="685" t="n"/>
      <c r="B188" s="218" t="n"/>
      <c r="C188" s="219" t="n"/>
      <c r="D188" s="220" t="n"/>
      <c r="E188" s="221" t="inlineStr">
        <is>
          <t>CX</t>
        </is>
      </c>
      <c r="F188" s="686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20">
        <f>IFERROR(ROUNDUP(D188/F188,0),"")</f>
        <v/>
      </c>
      <c r="H188" s="224" t="n"/>
      <c r="I188" s="220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552" t="n"/>
      <c r="K188" s="552" t="n"/>
      <c r="L188" s="552" t="n"/>
      <c r="M188" s="552" t="n"/>
    </row>
    <row r="189" ht="21" customHeight="1" s="468">
      <c r="A189" s="685" t="n"/>
      <c r="B189" s="218" t="n"/>
      <c r="C189" s="219" t="n"/>
      <c r="D189" s="220" t="n"/>
      <c r="E189" s="221" t="inlineStr">
        <is>
          <t>CX</t>
        </is>
      </c>
      <c r="F189" s="686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20">
        <f>IFERROR(ROUNDUP(D189/F189,0),"")</f>
        <v/>
      </c>
      <c r="H189" s="224" t="n"/>
      <c r="I189" s="220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552" t="n"/>
      <c r="K189" s="552" t="n"/>
      <c r="L189" s="552" t="n"/>
      <c r="M189" s="552" t="n"/>
    </row>
    <row r="190" ht="21" customHeight="1" s="468">
      <c r="A190" s="685" t="n"/>
      <c r="B190" s="218" t="n"/>
      <c r="C190" s="219" t="n"/>
      <c r="D190" s="220" t="n"/>
      <c r="E190" s="221" t="inlineStr">
        <is>
          <t>CX</t>
        </is>
      </c>
      <c r="F190" s="686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20">
        <f>IFERROR(ROUNDUP(D190/F190,0),"")</f>
        <v/>
      </c>
      <c r="H190" s="224" t="n"/>
      <c r="I190" s="220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552" t="n"/>
      <c r="K190" s="552" t="n"/>
      <c r="L190" s="552" t="n"/>
      <c r="M190" s="552" t="n"/>
    </row>
    <row r="191" ht="21" customHeight="1" s="468">
      <c r="A191" s="685" t="n"/>
      <c r="B191" s="218" t="n"/>
      <c r="C191" s="219" t="n"/>
      <c r="D191" s="220" t="n"/>
      <c r="E191" s="221" t="inlineStr">
        <is>
          <t>CX</t>
        </is>
      </c>
      <c r="F191" s="686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20">
        <f>IFERROR(ROUNDUP(D191/F191,0),"")</f>
        <v/>
      </c>
      <c r="H191" s="224" t="n"/>
      <c r="I191" s="220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552" t="n"/>
      <c r="K191" s="552" t="n"/>
      <c r="L191" s="552" t="n"/>
      <c r="M191" s="552" t="n"/>
    </row>
    <row r="192" ht="21" customHeight="1" s="468">
      <c r="A192" s="685" t="n"/>
      <c r="B192" s="218" t="n"/>
      <c r="C192" s="219" t="n"/>
      <c r="D192" s="220" t="n"/>
      <c r="E192" s="221" t="inlineStr">
        <is>
          <t>CX</t>
        </is>
      </c>
      <c r="F192" s="686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20">
        <f>IFERROR(ROUNDUP(D192/F192,0),"")</f>
        <v/>
      </c>
      <c r="H192" s="224" t="n"/>
      <c r="I192" s="220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552" t="n"/>
      <c r="K192" s="552" t="n"/>
      <c r="L192" s="552" t="n"/>
      <c r="M192" s="552" t="n"/>
    </row>
    <row r="193" ht="14.25" customHeight="1" s="468">
      <c r="A193" s="658" t="n"/>
      <c r="B193" s="640" t="inlineStr">
        <is>
          <t>TOTAL</t>
        </is>
      </c>
      <c r="C193" s="667" t="n"/>
      <c r="D193" s="642">
        <f>SUM(D188:D192)</f>
        <v/>
      </c>
      <c r="E193" s="668" t="n"/>
      <c r="F193" s="644" t="n"/>
      <c r="G193" s="642">
        <f>SUM(G188:G192)</f>
        <v/>
      </c>
      <c r="H193" s="642">
        <f>SUM(H188:H192)</f>
        <v/>
      </c>
      <c r="I193" s="642">
        <f>SUM(I188:I192)</f>
        <v/>
      </c>
      <c r="J193" s="644">
        <f>D193</f>
        <v/>
      </c>
      <c r="K193" s="644">
        <f>G193</f>
        <v/>
      </c>
      <c r="L193" s="644">
        <f>H193</f>
        <v/>
      </c>
      <c r="M193" s="644">
        <f>I193</f>
        <v/>
      </c>
    </row>
    <row r="194" ht="14.25" customHeight="1" s="468">
      <c r="A194" s="638" t="n"/>
      <c r="C194" s="71" t="n"/>
      <c r="D194" s="552" t="n"/>
      <c r="F194" s="552" t="n"/>
      <c r="G194" s="552" t="n"/>
      <c r="H194" s="552" t="n"/>
      <c r="I194" s="552" t="n"/>
      <c r="J194" s="552" t="n"/>
      <c r="K194" s="552" t="n"/>
      <c r="L194" s="552" t="n"/>
      <c r="M194" s="552" t="n"/>
    </row>
    <row r="195" ht="14.25" customHeight="1" s="468">
      <c r="A195" s="646" t="n">
        <v>46294</v>
      </c>
      <c r="B195" s="213" t="inlineStr">
        <is>
          <t>PRODUTO</t>
        </is>
      </c>
      <c r="C195" s="214" t="inlineStr">
        <is>
          <t>EMBALAGEM</t>
        </is>
      </c>
      <c r="D195" s="244" t="inlineStr">
        <is>
          <t>CAIXAS</t>
        </is>
      </c>
      <c r="E195" s="215" t="inlineStr">
        <is>
          <t>UN</t>
        </is>
      </c>
      <c r="F195" s="687" t="inlineStr">
        <is>
          <t>CX/PALLET</t>
        </is>
      </c>
      <c r="G195" s="244" t="inlineStr">
        <is>
          <t>PALLETS (PBR)</t>
        </is>
      </c>
      <c r="H195" s="244" t="inlineStr">
        <is>
          <t>REAL (CX)</t>
        </is>
      </c>
      <c r="I195" s="244" t="inlineStr">
        <is>
          <t>TOTAL LATAS</t>
        </is>
      </c>
      <c r="J195" s="552" t="n"/>
      <c r="K195" s="552" t="n"/>
      <c r="L195" s="552" t="n"/>
      <c r="M195" s="552" t="n"/>
    </row>
    <row r="196" ht="21" customHeight="1" s="468">
      <c r="A196" s="685" t="n"/>
      <c r="B196" s="218" t="n"/>
      <c r="C196" s="219" t="n"/>
      <c r="D196" s="220" t="n"/>
      <c r="E196" s="221" t="inlineStr">
        <is>
          <t>CX</t>
        </is>
      </c>
      <c r="F196" s="68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20">
        <f>IFERROR(ROUNDUP(D196/F196,0),"")</f>
        <v/>
      </c>
      <c r="H196" s="224" t="n"/>
      <c r="I196" s="220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552" t="n"/>
      <c r="K196" s="552" t="n"/>
      <c r="L196" s="552" t="n"/>
      <c r="M196" s="552" t="n"/>
    </row>
    <row r="197" ht="21" customHeight="1" s="468">
      <c r="A197" s="685" t="n"/>
      <c r="B197" s="218" t="n"/>
      <c r="C197" s="219" t="n"/>
      <c r="D197" s="220" t="n"/>
      <c r="E197" s="221" t="inlineStr">
        <is>
          <t>CX</t>
        </is>
      </c>
      <c r="F197" s="686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20">
        <f>IFERROR(ROUNDUP(D197/F197,0),"")</f>
        <v/>
      </c>
      <c r="H197" s="224" t="n"/>
      <c r="I197" s="220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552" t="n"/>
      <c r="K197" s="552" t="n"/>
      <c r="L197" s="552" t="n"/>
      <c r="M197" s="552" t="n"/>
    </row>
    <row r="198" ht="21" customHeight="1" s="468">
      <c r="A198" s="685" t="n"/>
      <c r="B198" s="218" t="n"/>
      <c r="C198" s="219" t="n"/>
      <c r="D198" s="220" t="n"/>
      <c r="E198" s="221" t="inlineStr">
        <is>
          <t>CX</t>
        </is>
      </c>
      <c r="F198" s="686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20">
        <f>IFERROR(ROUNDUP(D198/F198,0),"")</f>
        <v/>
      </c>
      <c r="H198" s="224" t="n"/>
      <c r="I198" s="220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552" t="n"/>
      <c r="K198" s="552" t="n"/>
      <c r="L198" s="552" t="n"/>
      <c r="M198" s="552" t="n"/>
    </row>
    <row r="199" ht="21" customHeight="1" s="468">
      <c r="A199" s="685" t="n"/>
      <c r="B199" s="218" t="n"/>
      <c r="C199" s="219" t="n"/>
      <c r="D199" s="220" t="n"/>
      <c r="E199" s="221" t="inlineStr">
        <is>
          <t>CX</t>
        </is>
      </c>
      <c r="F199" s="686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20">
        <f>IFERROR(ROUNDUP(D199/F199,0),"")</f>
        <v/>
      </c>
      <c r="H199" s="224" t="n"/>
      <c r="I199" s="220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552" t="n"/>
      <c r="K199" s="552" t="n"/>
      <c r="L199" s="552" t="n"/>
      <c r="M199" s="552" t="n"/>
    </row>
    <row r="200" ht="21" customHeight="1" s="468">
      <c r="A200" s="685" t="n"/>
      <c r="B200" s="218" t="n"/>
      <c r="C200" s="219" t="n"/>
      <c r="D200" s="220" t="n"/>
      <c r="E200" s="221" t="inlineStr">
        <is>
          <t>CX</t>
        </is>
      </c>
      <c r="F200" s="686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20">
        <f>IFERROR(ROUNDUP(D200/F200,0),"")</f>
        <v/>
      </c>
      <c r="H200" s="224" t="n"/>
      <c r="I200" s="220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552" t="n"/>
      <c r="K200" s="552" t="n"/>
      <c r="L200" s="552" t="n"/>
      <c r="M200" s="552" t="n"/>
    </row>
    <row r="201" ht="14.25" customHeight="1" s="468">
      <c r="A201" s="658" t="n"/>
      <c r="B201" s="640" t="inlineStr">
        <is>
          <t>TOTAL</t>
        </is>
      </c>
      <c r="C201" s="667" t="n"/>
      <c r="D201" s="642">
        <f>SUM(D196:D200)</f>
        <v/>
      </c>
      <c r="E201" s="668" t="n"/>
      <c r="F201" s="644" t="n"/>
      <c r="G201" s="642">
        <f>SUM(G196:G200)</f>
        <v/>
      </c>
      <c r="H201" s="642">
        <f>SUM(H196:H200)</f>
        <v/>
      </c>
      <c r="I201" s="642">
        <f>SUM(I196:I200)</f>
        <v/>
      </c>
      <c r="J201" s="644">
        <f>D201</f>
        <v/>
      </c>
      <c r="K201" s="644">
        <f>G201</f>
        <v/>
      </c>
      <c r="L201" s="644">
        <f>H201</f>
        <v/>
      </c>
      <c r="M201" s="644">
        <f>I201</f>
        <v/>
      </c>
    </row>
    <row r="202" ht="14.25" customHeight="1" s="468">
      <c r="A202" s="638" t="n"/>
      <c r="C202" s="71" t="n"/>
      <c r="D202" s="552" t="n"/>
      <c r="F202" s="552" t="n"/>
      <c r="G202" s="552" t="n"/>
      <c r="H202" s="552" t="n"/>
      <c r="I202" s="552" t="n"/>
      <c r="J202" s="552" t="n"/>
      <c r="K202" s="552" t="n"/>
      <c r="L202" s="552" t="n"/>
      <c r="M202" s="552" t="n"/>
    </row>
    <row r="203" ht="14.25" customHeight="1" s="468">
      <c r="A203" s="646" t="n">
        <v>46295</v>
      </c>
      <c r="B203" s="213" t="inlineStr">
        <is>
          <t>PRODUTO</t>
        </is>
      </c>
      <c r="C203" s="214" t="inlineStr">
        <is>
          <t>EMBALAGEM</t>
        </is>
      </c>
      <c r="D203" s="244" t="inlineStr">
        <is>
          <t>CAIXAS</t>
        </is>
      </c>
      <c r="E203" s="215" t="inlineStr">
        <is>
          <t>UN</t>
        </is>
      </c>
      <c r="F203" s="687" t="inlineStr">
        <is>
          <t>CX/PALLET</t>
        </is>
      </c>
      <c r="G203" s="244" t="inlineStr">
        <is>
          <t>PALLETS (PBR)</t>
        </is>
      </c>
      <c r="H203" s="244" t="inlineStr">
        <is>
          <t>REAL (CX)</t>
        </is>
      </c>
      <c r="I203" s="244" t="inlineStr">
        <is>
          <t>TOTAL LATAS</t>
        </is>
      </c>
      <c r="J203" s="552" t="n"/>
      <c r="K203" s="552" t="n"/>
      <c r="L203" s="552" t="n"/>
      <c r="M203" s="552" t="n"/>
    </row>
    <row r="204" ht="21" customHeight="1" s="468">
      <c r="A204" s="685" t="n"/>
      <c r="B204" s="218" t="n"/>
      <c r="C204" s="219" t="n"/>
      <c r="D204" s="220" t="n"/>
      <c r="E204" s="221" t="inlineStr">
        <is>
          <t>CX</t>
        </is>
      </c>
      <c r="F204" s="686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20">
        <f>IFERROR(ROUNDUP(D204/F204,0),"")</f>
        <v/>
      </c>
      <c r="H204" s="224" t="n"/>
      <c r="I204" s="220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  <c r="J204" s="552" t="n"/>
      <c r="K204" s="552" t="n"/>
      <c r="L204" s="552" t="n"/>
      <c r="M204" s="552" t="n"/>
    </row>
    <row r="205" ht="21" customHeight="1" s="468">
      <c r="A205" s="685" t="n"/>
      <c r="B205" s="218" t="n"/>
      <c r="C205" s="219" t="n"/>
      <c r="D205" s="220" t="n"/>
      <c r="E205" s="221" t="inlineStr">
        <is>
          <t>CX</t>
        </is>
      </c>
      <c r="F205" s="686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20">
        <f>IFERROR(ROUNDUP(D205/F205,0),"")</f>
        <v/>
      </c>
      <c r="H205" s="224" t="n"/>
      <c r="I205" s="220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  <c r="J205" s="552" t="n"/>
      <c r="K205" s="552" t="n"/>
      <c r="L205" s="552" t="n"/>
      <c r="M205" s="552" t="n"/>
    </row>
    <row r="206" ht="21" customHeight="1" s="468">
      <c r="A206" s="685" t="n"/>
      <c r="B206" s="218" t="n"/>
      <c r="C206" s="219" t="n"/>
      <c r="D206" s="220" t="n"/>
      <c r="E206" s="221" t="inlineStr">
        <is>
          <t>CX</t>
        </is>
      </c>
      <c r="F206" s="686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20">
        <f>IFERROR(ROUNDUP(D206/F206,0),"")</f>
        <v/>
      </c>
      <c r="H206" s="224" t="n"/>
      <c r="I206" s="220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  <c r="J206" s="552" t="n"/>
      <c r="K206" s="552" t="n"/>
      <c r="L206" s="552" t="n"/>
      <c r="M206" s="552" t="n"/>
    </row>
    <row r="207" ht="21" customHeight="1" s="468">
      <c r="A207" s="685" t="n"/>
      <c r="B207" s="218" t="n"/>
      <c r="C207" s="219" t="n"/>
      <c r="D207" s="220" t="n"/>
      <c r="E207" s="221" t="inlineStr">
        <is>
          <t>CX</t>
        </is>
      </c>
      <c r="F207" s="686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20">
        <f>IFERROR(ROUNDUP(D207/F207,0),"")</f>
        <v/>
      </c>
      <c r="H207" s="224" t="n"/>
      <c r="I207" s="220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  <c r="J207" s="552" t="n"/>
      <c r="K207" s="552" t="n"/>
      <c r="L207" s="552" t="n"/>
      <c r="M207" s="552" t="n"/>
    </row>
    <row r="208" ht="21" customHeight="1" s="468">
      <c r="A208" s="685" t="n"/>
      <c r="B208" s="218" t="n"/>
      <c r="C208" s="219" t="n"/>
      <c r="D208" s="220" t="n"/>
      <c r="E208" s="221" t="inlineStr">
        <is>
          <t>CX</t>
        </is>
      </c>
      <c r="F208" s="686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20">
        <f>IFERROR(ROUNDUP(D208/F208,0),"")</f>
        <v/>
      </c>
      <c r="H208" s="224" t="n"/>
      <c r="I208" s="220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  <c r="J208" s="552" t="n"/>
      <c r="K208" s="552" t="n"/>
      <c r="L208" s="552" t="n"/>
      <c r="M208" s="552" t="n"/>
    </row>
    <row r="209" ht="14.25" customHeight="1" s="468">
      <c r="A209" s="658" t="n"/>
      <c r="B209" s="640" t="inlineStr">
        <is>
          <t>TOTAL</t>
        </is>
      </c>
      <c r="C209" s="667" t="n"/>
      <c r="D209" s="642">
        <f>SUM(D204:D208)</f>
        <v/>
      </c>
      <c r="E209" s="668" t="n"/>
      <c r="F209" s="644" t="n"/>
      <c r="G209" s="642">
        <f>SUM(G204:G208)</f>
        <v/>
      </c>
      <c r="H209" s="642">
        <f>SUM(H204:H208)</f>
        <v/>
      </c>
      <c r="I209" s="642">
        <f>SUM(I204:I208)</f>
        <v/>
      </c>
      <c r="J209" s="644">
        <f>D209</f>
        <v/>
      </c>
      <c r="K209" s="644">
        <f>G209</f>
        <v/>
      </c>
      <c r="L209" s="644">
        <f>H209</f>
        <v/>
      </c>
      <c r="M209" s="644">
        <f>I209</f>
        <v/>
      </c>
    </row>
  </sheetData>
  <mergeCells count="3">
    <mergeCell ref="A1:I1"/>
    <mergeCell ref="A2:F2"/>
    <mergeCell ref="G2:I2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77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tabColor rgb="FF0F766E"/>
    <outlinePr summaryBelow="1" summaryRight="1"/>
    <pageSetUpPr/>
  </sheetPr>
  <dimension ref="A1:Y59"/>
  <sheetViews>
    <sheetView showGridLines="0" topLeftCell="A10" zoomScale="90" zoomScaleNormal="9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width="13" customWidth="1" style="468" min="13" max="13"/>
    <col hidden="1" width="13" customWidth="1" style="468" min="24" max="25"/>
  </cols>
  <sheetData>
    <row r="1" ht="19.5" customHeight="1" s="468">
      <c r="A1" s="675" t="inlineStr">
        <is>
          <t>RESULTADOS E GRÁFICO - SETEMBRO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SUM(C9:C34)</f>
        <v/>
      </c>
      <c r="D4" s="152">
        <f>SUM(D9:D34)</f>
        <v/>
      </c>
      <c r="F4" s="152">
        <f>IFERROR(SUMIFS(C9:C34,A9:A34,"&lt;="&amp;TODAY(),F9:F34,"&lt;&gt;*Feriado*")/COUNTIFS(A9:A34,"&lt;="&amp;TODAY(),F9:F34,"&lt;&gt;*Feriado*"),0)</f>
        <v/>
      </c>
      <c r="H4" s="152">
        <f>IFERROR(MAX(C9:C34),0)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5" customHeight="1" s="468">
      <c r="A9" s="676" t="n">
        <v>46266</v>
      </c>
      <c r="B9" s="677">
        <f>IF(D9&gt;0,COUNTIF($D$9:D9,"&gt;0"),"")</f>
        <v/>
      </c>
      <c r="C9" s="678">
        <f>'SEMANA SETEMBRO'!$M$9</f>
        <v/>
      </c>
      <c r="D9" s="678">
        <f>CONFIG!$B$3</f>
        <v/>
      </c>
      <c r="E9" s="678">
        <f>C9-D9</f>
        <v/>
      </c>
      <c r="F9" s="700" t="n"/>
      <c r="X9" s="552">
        <f>IF(COUNTIF($F9,"*Feriado*")&gt;0,NA(),$C9)</f>
        <v/>
      </c>
      <c r="Y9" s="552">
        <f>IF(COUNTIF($F9,"*Feriado*")&gt;0,NA(),$D9)</f>
        <v/>
      </c>
    </row>
    <row r="10" ht="15" customHeight="1" s="468">
      <c r="A10" s="676" t="n">
        <v>46267</v>
      </c>
      <c r="B10" s="677">
        <f>IF(D10&gt;0,COUNTIF($D$9:D10,"&gt;0"),"")</f>
        <v/>
      </c>
      <c r="C10" s="678">
        <f>'SEMANA SETEMBRO'!$M$17</f>
        <v/>
      </c>
      <c r="D10" s="678">
        <f>CONFIG!$B$3</f>
        <v/>
      </c>
      <c r="E10" s="678">
        <f>C10-D10</f>
        <v/>
      </c>
      <c r="F10" s="700" t="n"/>
      <c r="X10" s="552">
        <f>IF(COUNTIF($F10,"*Feriado*")&gt;0,NA(),$C10)</f>
        <v/>
      </c>
      <c r="Y10" s="552">
        <f>IF(COUNTIF($F10,"*Feriado*")&gt;0,NA(),$D10)</f>
        <v/>
      </c>
    </row>
    <row r="11" ht="15" customHeight="1" s="468">
      <c r="A11" s="676" t="n">
        <v>46268</v>
      </c>
      <c r="B11" s="677">
        <f>IF(D11&gt;0,COUNTIF($D$9:D11,"&gt;0"),"")</f>
        <v/>
      </c>
      <c r="C11" s="678">
        <f>'SEMANA SETEMBRO'!$M$25</f>
        <v/>
      </c>
      <c r="D11" s="678">
        <f>CONFIG!$B$3</f>
        <v/>
      </c>
      <c r="E11" s="678">
        <f>C11-D11</f>
        <v/>
      </c>
      <c r="F11" s="700" t="n"/>
      <c r="X11" s="552">
        <f>IF(COUNTIF($F11,"*Feriado*")&gt;0,NA(),$C11)</f>
        <v/>
      </c>
      <c r="Y11" s="552">
        <f>IF(COUNTIF($F11,"*Feriado*")&gt;0,NA(),$D11)</f>
        <v/>
      </c>
    </row>
    <row r="12" ht="15" customHeight="1" s="468">
      <c r="A12" s="676" t="n">
        <v>46269</v>
      </c>
      <c r="B12" s="677">
        <f>IF(D12&gt;0,COUNTIF($D$9:D12,"&gt;0"),"")</f>
        <v/>
      </c>
      <c r="C12" s="678">
        <f>'SEMANA SETEMBRO'!$M$33</f>
        <v/>
      </c>
      <c r="D12" s="678">
        <f>CONFIG!$B$3</f>
        <v/>
      </c>
      <c r="E12" s="678">
        <f>C12-D12</f>
        <v/>
      </c>
      <c r="F12" s="700" t="n"/>
      <c r="X12" s="552">
        <f>IF(COUNTIF($F12,"*Feriado*")&gt;0,NA(),$C12)</f>
        <v/>
      </c>
      <c r="Y12" s="552">
        <f>IF(COUNTIF($F12,"*Feriado*")&gt;0,NA(),$D12)</f>
        <v/>
      </c>
    </row>
    <row r="13" ht="15" customHeight="1" s="468">
      <c r="A13" s="676" t="n">
        <v>46270</v>
      </c>
      <c r="B13" s="677">
        <f>IF(D13&gt;0,COUNTIF($D$9:D13,"&gt;0"),"")</f>
        <v/>
      </c>
      <c r="C13" s="678">
        <f>'SEMANA SETEMBRO'!$M$41</f>
        <v/>
      </c>
      <c r="D13" s="678">
        <f>CONFIG!$B$3</f>
        <v/>
      </c>
      <c r="E13" s="678">
        <f>C13-D13</f>
        <v/>
      </c>
      <c r="F13" s="679" t="inlineStr">
        <is>
          <t>Sábado - produção normal</t>
        </is>
      </c>
      <c r="X13" s="552">
        <f>IF(COUNTIF($F13,"*Feriado*")&gt;0,NA(),$C13)</f>
        <v/>
      </c>
      <c r="Y13" s="552">
        <f>IF(COUNTIF($F13,"*Feriado*")&gt;0,NA(),$D13)</f>
        <v/>
      </c>
    </row>
    <row r="14" ht="15" customHeight="1" s="468">
      <c r="A14" s="676" t="n">
        <v>46272</v>
      </c>
      <c r="B14" s="677">
        <f>IF(D14&gt;0,COUNTIF($D$9:D14,"&gt;0"),"")</f>
        <v/>
      </c>
      <c r="C14" s="678">
        <f>'SEMANA SETEMBRO'!$M$49</f>
        <v/>
      </c>
      <c r="D14" s="678" t="n">
        <v>0</v>
      </c>
      <c r="E14" s="678">
        <f>C14-D14</f>
        <v/>
      </c>
      <c r="F14" s="679" t="inlineStr">
        <is>
          <t>Feriado - Independência do Brasil</t>
        </is>
      </c>
      <c r="X14" s="552">
        <f>IF(COUNTIF($F14,"*Feriado*")&gt;0,NA(),$C14)</f>
        <v/>
      </c>
      <c r="Y14" s="552">
        <f>IF(COUNTIF($F14,"*Feriado*")&gt;0,NA(),$D14)</f>
        <v/>
      </c>
    </row>
    <row r="15" ht="15" customHeight="1" s="468">
      <c r="A15" s="676" t="n">
        <v>46273</v>
      </c>
      <c r="B15" s="677">
        <f>IF(D15&gt;0,COUNTIF($D$9:D15,"&gt;0"),"")</f>
        <v/>
      </c>
      <c r="C15" s="678">
        <f>'SEMANA SETEMBRO'!$M$57</f>
        <v/>
      </c>
      <c r="D15" s="678">
        <f>CONFIG!$B$3</f>
        <v/>
      </c>
      <c r="E15" s="678">
        <f>C15-D15</f>
        <v/>
      </c>
      <c r="F15" s="700" t="n"/>
      <c r="X15" s="552">
        <f>IF(COUNTIF($F15,"*Feriado*")&gt;0,NA(),$C15)</f>
        <v/>
      </c>
      <c r="Y15" s="552">
        <f>IF(COUNTIF($F15,"*Feriado*")&gt;0,NA(),$D15)</f>
        <v/>
      </c>
    </row>
    <row r="16" ht="15" customHeight="1" s="468">
      <c r="A16" s="676" t="n">
        <v>46274</v>
      </c>
      <c r="B16" s="677">
        <f>IF(D16&gt;0,COUNTIF($D$9:D16,"&gt;0"),"")</f>
        <v/>
      </c>
      <c r="C16" s="678">
        <f>'SEMANA SETEMBRO'!$M$65</f>
        <v/>
      </c>
      <c r="D16" s="678">
        <f>CONFIG!$B$3</f>
        <v/>
      </c>
      <c r="E16" s="678">
        <f>C16-D16</f>
        <v/>
      </c>
      <c r="F16" s="700" t="n"/>
      <c r="X16" s="552">
        <f>IF(COUNTIF($F16,"*Feriado*")&gt;0,NA(),$C16)</f>
        <v/>
      </c>
      <c r="Y16" s="552">
        <f>IF(COUNTIF($F16,"*Feriado*")&gt;0,NA(),$D16)</f>
        <v/>
      </c>
    </row>
    <row r="17" ht="15" customHeight="1" s="468">
      <c r="A17" s="676" t="n">
        <v>46275</v>
      </c>
      <c r="B17" s="677">
        <f>IF(D17&gt;0,COUNTIF($D$9:D17,"&gt;0"),"")</f>
        <v/>
      </c>
      <c r="C17" s="678">
        <f>'SEMANA SETEMBRO'!$M$73</f>
        <v/>
      </c>
      <c r="D17" s="678">
        <f>CONFIG!$B$3</f>
        <v/>
      </c>
      <c r="E17" s="678">
        <f>C17-D17</f>
        <v/>
      </c>
      <c r="F17" s="700" t="n"/>
      <c r="X17" s="552">
        <f>IF(COUNTIF($F17,"*Feriado*")&gt;0,NA(),$C17)</f>
        <v/>
      </c>
      <c r="Y17" s="552">
        <f>IF(COUNTIF($F17,"*Feriado*")&gt;0,NA(),$D17)</f>
        <v/>
      </c>
    </row>
    <row r="18" ht="15" customHeight="1" s="468">
      <c r="A18" s="676" t="n">
        <v>46276</v>
      </c>
      <c r="B18" s="677">
        <f>IF(D18&gt;0,COUNTIF($D$9:D18,"&gt;0"),"")</f>
        <v/>
      </c>
      <c r="C18" s="678">
        <f>'SEMANA SETEMBRO'!$M$81</f>
        <v/>
      </c>
      <c r="D18" s="678">
        <f>CONFIG!$B$3</f>
        <v/>
      </c>
      <c r="E18" s="678">
        <f>C18-D18</f>
        <v/>
      </c>
      <c r="F18" s="700" t="n"/>
      <c r="X18" s="552">
        <f>IF(COUNTIF($F18,"*Feriado*")&gt;0,NA(),$C18)</f>
        <v/>
      </c>
      <c r="Y18" s="552">
        <f>IF(COUNTIF($F18,"*Feriado*")&gt;0,NA(),$D18)</f>
        <v/>
      </c>
    </row>
    <row r="19" ht="15" customHeight="1" s="468">
      <c r="A19" s="676" t="n">
        <v>46277</v>
      </c>
      <c r="B19" s="677">
        <f>IF(D19&gt;0,COUNTIF($D$9:D19,"&gt;0"),"")</f>
        <v/>
      </c>
      <c r="C19" s="678">
        <f>'SEMANA SETEMBRO'!$M$89</f>
        <v/>
      </c>
      <c r="D19" s="678">
        <f>CONFIG!$B$3</f>
        <v/>
      </c>
      <c r="E19" s="678">
        <f>C19-D19</f>
        <v/>
      </c>
      <c r="F19" s="679" t="inlineStr">
        <is>
          <t>Sábado - produção normal</t>
        </is>
      </c>
      <c r="X19" s="552">
        <f>IF(COUNTIF($F19,"*Feriado*")&gt;0,NA(),$C19)</f>
        <v/>
      </c>
      <c r="Y19" s="552">
        <f>IF(COUNTIF($F19,"*Feriado*")&gt;0,NA(),$D19)</f>
        <v/>
      </c>
    </row>
    <row r="20" ht="15" customHeight="1" s="468">
      <c r="A20" s="676" t="n">
        <v>46279</v>
      </c>
      <c r="B20" s="677">
        <f>IF(D20&gt;0,COUNTIF($D$9:D20,"&gt;0"),"")</f>
        <v/>
      </c>
      <c r="C20" s="678">
        <f>'SEMANA SETEMBRO'!$M$97</f>
        <v/>
      </c>
      <c r="D20" s="678">
        <f>CONFIG!$B$3</f>
        <v/>
      </c>
      <c r="E20" s="678">
        <f>C20-D20</f>
        <v/>
      </c>
      <c r="F20" s="700" t="n"/>
      <c r="X20" s="552">
        <f>IF(COUNTIF($F20,"*Feriado*")&gt;0,NA(),$C20)</f>
        <v/>
      </c>
      <c r="Y20" s="552">
        <f>IF(COUNTIF($F20,"*Feriado*")&gt;0,NA(),$D20)</f>
        <v/>
      </c>
    </row>
    <row r="21" ht="15" customHeight="1" s="468">
      <c r="A21" s="676" t="n">
        <v>46280</v>
      </c>
      <c r="B21" s="677">
        <f>IF(D21&gt;0,COUNTIF($D$9:D21,"&gt;0"),"")</f>
        <v/>
      </c>
      <c r="C21" s="678">
        <f>'SEMANA SETEMBRO'!$M$105</f>
        <v/>
      </c>
      <c r="D21" s="678">
        <f>CONFIG!$B$3</f>
        <v/>
      </c>
      <c r="E21" s="678">
        <f>C21-D21</f>
        <v/>
      </c>
      <c r="F21" s="700" t="n"/>
      <c r="X21" s="552">
        <f>IF(COUNTIF($F21,"*Feriado*")&gt;0,NA(),$C21)</f>
        <v/>
      </c>
      <c r="Y21" s="552">
        <f>IF(COUNTIF($F21,"*Feriado*")&gt;0,NA(),$D21)</f>
        <v/>
      </c>
    </row>
    <row r="22" ht="15" customHeight="1" s="468">
      <c r="A22" s="676" t="n">
        <v>46281</v>
      </c>
      <c r="B22" s="677">
        <f>IF(D22&gt;0,COUNTIF($D$9:D22,"&gt;0"),"")</f>
        <v/>
      </c>
      <c r="C22" s="678">
        <f>'SEMANA SETEMBRO'!$M$113</f>
        <v/>
      </c>
      <c r="D22" s="678">
        <f>CONFIG!$B$3</f>
        <v/>
      </c>
      <c r="E22" s="678">
        <f>C22-D22</f>
        <v/>
      </c>
      <c r="F22" s="700" t="n"/>
      <c r="X22" s="552">
        <f>IF(COUNTIF($F22,"*Feriado*")&gt;0,NA(),$C22)</f>
        <v/>
      </c>
      <c r="Y22" s="552">
        <f>IF(COUNTIF($F22,"*Feriado*")&gt;0,NA(),$D22)</f>
        <v/>
      </c>
    </row>
    <row r="23" ht="15" customHeight="1" s="468">
      <c r="A23" s="676" t="n">
        <v>46282</v>
      </c>
      <c r="B23" s="677">
        <f>IF(D23&gt;0,COUNTIF($D$9:D23,"&gt;0"),"")</f>
        <v/>
      </c>
      <c r="C23" s="678">
        <f>'SEMANA SETEMBRO'!$M$121</f>
        <v/>
      </c>
      <c r="D23" s="678">
        <f>CONFIG!$B$3</f>
        <v/>
      </c>
      <c r="E23" s="678">
        <f>C23-D23</f>
        <v/>
      </c>
      <c r="F23" s="700" t="n"/>
      <c r="X23" s="552">
        <f>IF(COUNTIF($F23,"*Feriado*")&gt;0,NA(),$C23)</f>
        <v/>
      </c>
      <c r="Y23" s="552">
        <f>IF(COUNTIF($F23,"*Feriado*")&gt;0,NA(),$D23)</f>
        <v/>
      </c>
    </row>
    <row r="24" ht="15" customHeight="1" s="468">
      <c r="A24" s="676" t="n">
        <v>46283</v>
      </c>
      <c r="B24" s="677">
        <f>IF(D24&gt;0,COUNTIF($D$9:D24,"&gt;0"),"")</f>
        <v/>
      </c>
      <c r="C24" s="678">
        <f>'SEMANA SETEMBRO'!$M$129</f>
        <v/>
      </c>
      <c r="D24" s="678">
        <f>CONFIG!$B$3</f>
        <v/>
      </c>
      <c r="E24" s="678">
        <f>C24-D24</f>
        <v/>
      </c>
      <c r="F24" s="700" t="n"/>
      <c r="X24" s="552">
        <f>IF(COUNTIF($F24,"*Feriado*")&gt;0,NA(),$C24)</f>
        <v/>
      </c>
      <c r="Y24" s="552">
        <f>IF(COUNTIF($F24,"*Feriado*")&gt;0,NA(),$D24)</f>
        <v/>
      </c>
    </row>
    <row r="25" ht="15" customHeight="1" s="468">
      <c r="A25" s="676" t="n">
        <v>46284</v>
      </c>
      <c r="B25" s="677">
        <f>IF(D25&gt;0,COUNTIF($D$9:D25,"&gt;0"),"")</f>
        <v/>
      </c>
      <c r="C25" s="678">
        <f>'SEMANA SETEMBRO'!$M$137</f>
        <v/>
      </c>
      <c r="D25" s="678">
        <f>CONFIG!$B$3</f>
        <v/>
      </c>
      <c r="E25" s="678">
        <f>C25-D25</f>
        <v/>
      </c>
      <c r="F25" s="679" t="inlineStr">
        <is>
          <t>Sábado - produção normal</t>
        </is>
      </c>
      <c r="X25" s="552">
        <f>IF(COUNTIF($F25,"*Feriado*")&gt;0,NA(),$C25)</f>
        <v/>
      </c>
      <c r="Y25" s="552">
        <f>IF(COUNTIF($F25,"*Feriado*")&gt;0,NA(),$D25)</f>
        <v/>
      </c>
    </row>
    <row r="26" ht="15" customHeight="1" s="468">
      <c r="A26" s="676" t="n">
        <v>46286</v>
      </c>
      <c r="B26" s="677">
        <f>IF(D26&gt;0,COUNTIF($D$9:D26,"&gt;0"),"")</f>
        <v/>
      </c>
      <c r="C26" s="678">
        <f>'SEMANA SETEMBRO'!$M$145</f>
        <v/>
      </c>
      <c r="D26" s="678">
        <f>CONFIG!$B$3</f>
        <v/>
      </c>
      <c r="E26" s="678">
        <f>C26-D26</f>
        <v/>
      </c>
      <c r="F26" s="700" t="n"/>
      <c r="X26" s="552">
        <f>IF(COUNTIF($F26,"*Feriado*")&gt;0,NA(),$C26)</f>
        <v/>
      </c>
      <c r="Y26" s="552">
        <f>IF(COUNTIF($F26,"*Feriado*")&gt;0,NA(),$D26)</f>
        <v/>
      </c>
    </row>
    <row r="27" ht="15" customHeight="1" s="468">
      <c r="A27" s="676" t="n">
        <v>46287</v>
      </c>
      <c r="B27" s="677">
        <f>IF(D27&gt;0,COUNTIF($D$9:D27,"&gt;0"),"")</f>
        <v/>
      </c>
      <c r="C27" s="678">
        <f>'SEMANA SETEMBRO'!$M$153</f>
        <v/>
      </c>
      <c r="D27" s="678">
        <f>CONFIG!$B$3</f>
        <v/>
      </c>
      <c r="E27" s="678">
        <f>C27-D27</f>
        <v/>
      </c>
      <c r="F27" s="700" t="n"/>
      <c r="X27" s="552">
        <f>IF(COUNTIF($F27,"*Feriado*")&gt;0,NA(),$C27)</f>
        <v/>
      </c>
      <c r="Y27" s="552">
        <f>IF(COUNTIF($F27,"*Feriado*")&gt;0,NA(),$D27)</f>
        <v/>
      </c>
    </row>
    <row r="28" ht="15" customHeight="1" s="468">
      <c r="A28" s="676" t="n">
        <v>46288</v>
      </c>
      <c r="B28" s="677">
        <f>IF(D28&gt;0,COUNTIF($D$9:D28,"&gt;0"),"")</f>
        <v/>
      </c>
      <c r="C28" s="678">
        <f>'SEMANA SETEMBRO'!$M$161</f>
        <v/>
      </c>
      <c r="D28" s="678">
        <f>CONFIG!$B$3</f>
        <v/>
      </c>
      <c r="E28" s="678">
        <f>C28-D28</f>
        <v/>
      </c>
      <c r="F28" s="700" t="n"/>
      <c r="X28" s="552">
        <f>IF(COUNTIF($F28,"*Feriado*")&gt;0,NA(),$C28)</f>
        <v/>
      </c>
      <c r="Y28" s="552">
        <f>IF(COUNTIF($F28,"*Feriado*")&gt;0,NA(),$D28)</f>
        <v/>
      </c>
    </row>
    <row r="29" ht="15" customHeight="1" s="468">
      <c r="A29" s="676" t="n">
        <v>46289</v>
      </c>
      <c r="B29" s="677">
        <f>IF(D29&gt;0,COUNTIF($D$9:D29,"&gt;0"),"")</f>
        <v/>
      </c>
      <c r="C29" s="678">
        <f>'SEMANA SETEMBRO'!$M$169</f>
        <v/>
      </c>
      <c r="D29" s="678">
        <f>CONFIG!$B$3</f>
        <v/>
      </c>
      <c r="E29" s="678">
        <f>C29-D29</f>
        <v/>
      </c>
      <c r="F29" s="700" t="n"/>
      <c r="X29" s="552">
        <f>IF(COUNTIF($F29,"*Feriado*")&gt;0,NA(),$C29)</f>
        <v/>
      </c>
      <c r="Y29" s="552">
        <f>IF(COUNTIF($F29,"*Feriado*")&gt;0,NA(),$D29)</f>
        <v/>
      </c>
    </row>
    <row r="30" ht="15" customHeight="1" s="468">
      <c r="A30" s="676" t="n">
        <v>46290</v>
      </c>
      <c r="B30" s="677">
        <f>IF(D30&gt;0,COUNTIF($D$9:D30,"&gt;0"),"")</f>
        <v/>
      </c>
      <c r="C30" s="678">
        <f>'SEMANA SETEMBRO'!$M$177</f>
        <v/>
      </c>
      <c r="D30" s="678">
        <f>CONFIG!$B$3</f>
        <v/>
      </c>
      <c r="E30" s="678">
        <f>C30-D30</f>
        <v/>
      </c>
      <c r="F30" s="700" t="n"/>
      <c r="X30" s="552">
        <f>IF(COUNTIF($F30,"*Feriado*")&gt;0,NA(),$C30)</f>
        <v/>
      </c>
      <c r="Y30" s="552">
        <f>IF(COUNTIF($F30,"*Feriado*")&gt;0,NA(),$D30)</f>
        <v/>
      </c>
    </row>
    <row r="31" ht="14.25" customHeight="1" s="468">
      <c r="A31" s="676" t="n">
        <v>46291</v>
      </c>
      <c r="B31" s="677">
        <f>IF(D31&gt;0,COUNTIF($D$9:D31,"&gt;0"),"")</f>
        <v/>
      </c>
      <c r="C31" s="678">
        <f>'SEMANA SETEMBRO'!$M$185</f>
        <v/>
      </c>
      <c r="D31" s="678">
        <f>CONFIG!$B$3</f>
        <v/>
      </c>
      <c r="E31" s="678">
        <f>C31-D31</f>
        <v/>
      </c>
      <c r="F31" s="679" t="inlineStr">
        <is>
          <t>Sábado - produção normal</t>
        </is>
      </c>
    </row>
    <row r="32" ht="14.25" customHeight="1" s="468">
      <c r="A32" s="676" t="n">
        <v>46293</v>
      </c>
      <c r="B32" s="677">
        <f>IF(D32&gt;0,COUNTIF($D$9:D32,"&gt;0"),"")</f>
        <v/>
      </c>
      <c r="C32" s="678">
        <f>'SEMANA SETEMBRO'!$M$193</f>
        <v/>
      </c>
      <c r="D32" s="678">
        <f>CONFIG!$B$3</f>
        <v/>
      </c>
      <c r="E32" s="678">
        <f>C32-D32</f>
        <v/>
      </c>
      <c r="F32" s="700" t="n"/>
    </row>
    <row r="33" ht="14.25" customHeight="1" s="468">
      <c r="A33" s="676" t="n">
        <v>46294</v>
      </c>
      <c r="B33" s="677">
        <f>IF(D33&gt;0,COUNTIF($D$9:D33,"&gt;0"),"")</f>
        <v/>
      </c>
      <c r="C33" s="678">
        <f>'SEMANA SETEMBRO'!$M$201</f>
        <v/>
      </c>
      <c r="D33" s="678">
        <f>CONFIG!$B$3</f>
        <v/>
      </c>
      <c r="E33" s="678">
        <f>C33-D33</f>
        <v/>
      </c>
      <c r="F33" s="700" t="n"/>
    </row>
    <row r="34" ht="14.25" customHeight="1" s="468">
      <c r="A34" s="676" t="n">
        <v>46295</v>
      </c>
      <c r="B34" s="677">
        <f>IF(D34&gt;0,COUNTIF($D$9:D34,"&gt;0"),"")</f>
        <v/>
      </c>
      <c r="C34" s="678">
        <f>'SEMANA SETEMBRO'!$M$209</f>
        <v/>
      </c>
      <c r="D34" s="678">
        <f>CONFIG!$B$3</f>
        <v/>
      </c>
      <c r="E34" s="678">
        <f>C34-D34</f>
        <v/>
      </c>
      <c r="F34" s="700" t="n"/>
    </row>
    <row r="35" ht="14.25" customHeight="1" s="468">
      <c r="A35" s="692" t="n"/>
      <c r="B35" s="693" t="n"/>
      <c r="C35" s="693" t="n"/>
      <c r="D35" s="693" t="n"/>
      <c r="E35" s="693" t="n"/>
      <c r="F35" s="683" t="n"/>
    </row>
    <row r="36" ht="14.25" customHeight="1" s="468">
      <c r="A36" s="692" t="n"/>
      <c r="B36" s="693" t="n"/>
      <c r="C36" s="693" t="n"/>
      <c r="D36" s="693" t="n"/>
      <c r="E36" s="693" t="n"/>
      <c r="F36" s="683" t="n"/>
    </row>
    <row r="37" ht="14.25" customHeight="1" s="468">
      <c r="A37" s="692" t="n"/>
      <c r="B37" s="693" t="n"/>
      <c r="C37" s="693" t="n"/>
      <c r="D37" s="693" t="n"/>
      <c r="E37" s="693" t="n"/>
      <c r="F37" s="683" t="n"/>
    </row>
    <row r="38" ht="14.25" customHeight="1" s="468">
      <c r="A38" s="692" t="n"/>
      <c r="B38" s="693" t="n"/>
      <c r="C38" s="693" t="n"/>
      <c r="D38" s="693" t="n"/>
      <c r="E38" s="693" t="n"/>
      <c r="F38" s="683" t="n"/>
    </row>
    <row r="39" ht="14.25" customHeight="1" s="468">
      <c r="A39" s="692" t="n"/>
      <c r="B39" s="693" t="n"/>
      <c r="C39" s="693" t="n"/>
      <c r="D39" s="693" t="n"/>
      <c r="E39" s="693" t="n"/>
      <c r="F39" s="683" t="n"/>
    </row>
    <row r="40" ht="14.25" customHeight="1" s="468">
      <c r="A40" s="692" t="n"/>
      <c r="B40" s="693" t="n"/>
      <c r="C40" s="693" t="n"/>
      <c r="D40" s="693" t="n"/>
      <c r="E40" s="693" t="n"/>
      <c r="F40" s="683" t="n"/>
    </row>
    <row r="41" ht="14.25" customHeight="1" s="468">
      <c r="A41" s="692" t="n"/>
      <c r="B41" s="693" t="n"/>
      <c r="C41" s="693" t="n"/>
      <c r="D41" s="693" t="n"/>
      <c r="E41" s="693" t="n"/>
      <c r="F41" s="683" t="n"/>
    </row>
    <row r="42" ht="14.25" customHeight="1" s="468">
      <c r="A42" s="692" t="n"/>
      <c r="B42" s="693" t="n"/>
      <c r="C42" s="693" t="n"/>
      <c r="D42" s="693" t="n"/>
      <c r="E42" s="693" t="n"/>
      <c r="F42" s="683" t="n"/>
    </row>
    <row r="43" ht="14.25" customHeight="1" s="468">
      <c r="A43" s="692" t="n"/>
      <c r="B43" s="693" t="n"/>
      <c r="C43" s="693" t="n"/>
      <c r="D43" s="693" t="n"/>
      <c r="E43" s="693" t="n"/>
      <c r="F43" s="683" t="n"/>
    </row>
    <row r="44" ht="14.25" customHeight="1" s="468">
      <c r="A44" s="692" t="n"/>
      <c r="B44" s="693" t="n"/>
      <c r="C44" s="693" t="n"/>
      <c r="D44" s="693" t="n"/>
      <c r="E44" s="693" t="n"/>
      <c r="F44" s="683" t="n"/>
    </row>
    <row r="45" ht="14.25" customHeight="1" s="468">
      <c r="A45" s="692" t="n"/>
      <c r="B45" s="693" t="n"/>
      <c r="C45" s="693" t="n"/>
      <c r="D45" s="693" t="n"/>
      <c r="E45" s="693" t="n"/>
      <c r="F45" s="683" t="n"/>
    </row>
    <row r="46" ht="14.25" customHeight="1" s="468">
      <c r="A46" s="692" t="n"/>
      <c r="B46" s="693" t="n"/>
      <c r="C46" s="693" t="n"/>
      <c r="D46" s="693" t="n"/>
      <c r="E46" s="693" t="n"/>
      <c r="F46" s="683" t="n"/>
    </row>
    <row r="47" ht="14.25" customHeight="1" s="468">
      <c r="A47" s="692" t="n"/>
      <c r="B47" s="693" t="n"/>
      <c r="C47" s="693" t="n"/>
      <c r="D47" s="693" t="n"/>
      <c r="E47" s="693" t="n"/>
      <c r="F47" s="683" t="n"/>
    </row>
    <row r="48" ht="14.25" customHeight="1" s="468">
      <c r="A48" s="692" t="n"/>
      <c r="B48" s="693" t="n"/>
      <c r="C48" s="693" t="n"/>
      <c r="D48" s="693" t="n"/>
      <c r="E48" s="693" t="n"/>
      <c r="F48" s="683" t="n"/>
    </row>
    <row r="49" ht="14.25" customHeight="1" s="468">
      <c r="A49" s="692" t="n"/>
      <c r="B49" s="693" t="n"/>
      <c r="C49" s="693" t="n"/>
      <c r="D49" s="693" t="n"/>
      <c r="E49" s="693" t="n"/>
      <c r="F49" s="683" t="n"/>
    </row>
    <row r="50" ht="14.25" customHeight="1" s="468">
      <c r="A50" s="692" t="n"/>
      <c r="B50" s="693" t="n"/>
      <c r="C50" s="693" t="n"/>
      <c r="D50" s="693" t="n"/>
      <c r="E50" s="693" t="n"/>
      <c r="F50" s="683" t="n"/>
    </row>
    <row r="51" ht="14.25" customHeight="1" s="468">
      <c r="A51" s="692" t="n"/>
      <c r="B51" s="693" t="n"/>
      <c r="C51" s="693" t="n"/>
      <c r="D51" s="693" t="n"/>
      <c r="E51" s="693" t="n"/>
      <c r="F51" s="683" t="n"/>
    </row>
    <row r="52" ht="14.25" customHeight="1" s="468">
      <c r="A52" s="692" t="n"/>
      <c r="B52" s="693" t="n"/>
      <c r="C52" s="693" t="n"/>
      <c r="D52" s="693" t="n"/>
      <c r="E52" s="693" t="n"/>
      <c r="F52" s="683" t="n"/>
    </row>
    <row r="53" ht="14.25" customHeight="1" s="468">
      <c r="A53" s="692" t="n"/>
      <c r="B53" s="693" t="n"/>
      <c r="C53" s="693" t="n"/>
      <c r="D53" s="693" t="n"/>
      <c r="E53" s="693" t="n"/>
      <c r="F53" s="683" t="n"/>
    </row>
    <row r="54" ht="14.25" customHeight="1" s="468">
      <c r="A54" s="692" t="n"/>
      <c r="B54" s="693" t="n"/>
      <c r="C54" s="693" t="n"/>
      <c r="D54" s="693" t="n"/>
      <c r="E54" s="693" t="n"/>
      <c r="F54" s="683" t="n"/>
    </row>
    <row r="55" ht="14.25" customHeight="1" s="468">
      <c r="A55" s="692" t="n"/>
      <c r="B55" s="693" t="n"/>
      <c r="C55" s="693" t="n"/>
      <c r="D55" s="693" t="n"/>
      <c r="E55" s="693" t="n"/>
      <c r="F55" s="683" t="n"/>
    </row>
    <row r="56" ht="14.25" customHeight="1" s="468">
      <c r="A56" s="692" t="n"/>
      <c r="B56" s="693" t="n"/>
      <c r="C56" s="693" t="n"/>
      <c r="D56" s="693" t="n"/>
      <c r="E56" s="693" t="n"/>
      <c r="F56" s="683" t="n"/>
    </row>
    <row r="57" ht="14.25" customHeight="1" s="468">
      <c r="A57" s="692" t="n"/>
      <c r="B57" s="693" t="n"/>
      <c r="C57" s="693" t="n"/>
      <c r="D57" s="693" t="n"/>
      <c r="E57" s="693" t="n"/>
      <c r="F57" s="683" t="n"/>
    </row>
    <row r="58" ht="14.25" customHeight="1" s="468">
      <c r="A58" s="692" t="n"/>
      <c r="B58" s="693" t="n"/>
      <c r="C58" s="693" t="n"/>
      <c r="D58" s="693" t="n"/>
      <c r="E58" s="693" t="n"/>
      <c r="F58" s="683" t="n"/>
    </row>
    <row r="59" ht="14.25" customHeight="1" s="468">
      <c r="A59" s="692" t="n"/>
      <c r="B59" s="693" t="n"/>
      <c r="C59" s="693" t="n"/>
      <c r="D59" s="693" t="n"/>
      <c r="E59" s="693" t="n"/>
      <c r="F59" s="683" t="n"/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tabColor rgb="FFC96B0A"/>
    <outlinePr summaryBelow="1" summaryRight="1"/>
    <pageSetUpPr/>
  </sheetPr>
  <dimension ref="B1:N300"/>
  <sheetViews>
    <sheetView showGridLines="0" zoomScaleNormal="100" workbookViewId="0">
      <selection activeCell="A1" sqref="A1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5" min="14" max="14"/>
  </cols>
  <sheetData>
    <row r="1" ht="21.75" customHeight="1" s="468">
      <c r="B1" s="511" t="inlineStr">
        <is>
          <t>ORDEM DE PRODUÇÃO - OUTUBRO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179" t="inlineStr">
        <is>
          <t>OP</t>
        </is>
      </c>
      <c r="C3" s="519" t="inlineStr">
        <is>
          <t xml:space="preserve">LOTE </t>
        </is>
      </c>
      <c r="D3" s="454" t="n"/>
      <c r="E3" s="519" t="inlineStr">
        <is>
          <t>LOTE CLIENTE</t>
        </is>
      </c>
      <c r="F3" s="454" t="n"/>
      <c r="G3" s="519" t="inlineStr">
        <is>
          <t>PRODUTO</t>
        </is>
      </c>
      <c r="H3" s="456" t="n"/>
      <c r="I3" s="456" t="n"/>
      <c r="J3" s="454" t="n"/>
      <c r="K3" s="519" t="inlineStr">
        <is>
          <t>CLIENTE</t>
        </is>
      </c>
      <c r="L3" s="454" t="n"/>
      <c r="M3" s="180" t="inlineStr">
        <is>
          <t>QTDE(Kg)</t>
        </is>
      </c>
      <c r="N3" s="417" t="inlineStr">
        <is>
          <t>FABRICAÇÃO</t>
        </is>
      </c>
    </row>
    <row r="4" ht="17.25" customHeight="1" s="468">
      <c r="B4" s="262" t="n"/>
      <c r="C4" s="510" t="n"/>
      <c r="D4" s="484" t="n"/>
      <c r="E4" s="510" t="n"/>
      <c r="F4" s="484" t="n"/>
      <c r="G4" s="510" t="n"/>
      <c r="H4" s="483" t="n"/>
      <c r="I4" s="483" t="n"/>
      <c r="J4" s="484" t="n"/>
      <c r="K4" s="510" t="n"/>
      <c r="L4" s="484" t="n"/>
      <c r="M4" s="263" t="n"/>
      <c r="N4" s="417" t="n"/>
    </row>
    <row r="5" ht="17.25" customHeight="1" s="468">
      <c r="B5" s="20" t="n"/>
      <c r="C5" s="490" t="n"/>
      <c r="D5" s="486" t="n"/>
      <c r="E5" s="490" t="n"/>
      <c r="F5" s="486" t="n"/>
      <c r="G5" s="490" t="n"/>
      <c r="H5" s="488" t="n"/>
      <c r="I5" s="488" t="n"/>
      <c r="J5" s="486" t="n"/>
      <c r="K5" s="490" t="n"/>
      <c r="L5" s="486" t="n"/>
      <c r="M5" s="21" t="n"/>
      <c r="N5" s="417" t="n"/>
    </row>
    <row r="6" ht="17.25" customHeight="1" s="468">
      <c r="B6" s="18" t="n"/>
      <c r="C6" s="485" t="n"/>
      <c r="D6" s="486" t="n"/>
      <c r="E6" s="485" t="n"/>
      <c r="F6" s="486" t="n"/>
      <c r="G6" s="485" t="n"/>
      <c r="H6" s="488" t="n"/>
      <c r="I6" s="488" t="n"/>
      <c r="J6" s="486" t="n"/>
      <c r="K6" s="485" t="n"/>
      <c r="L6" s="486" t="n"/>
      <c r="M6" s="22" t="n"/>
      <c r="N6" s="417" t="n"/>
    </row>
    <row r="7" ht="17.25" customHeight="1" s="468">
      <c r="B7" s="20" t="n"/>
      <c r="C7" s="490" t="n"/>
      <c r="D7" s="486" t="n"/>
      <c r="E7" s="490" t="n"/>
      <c r="F7" s="486" t="n"/>
      <c r="G7" s="490" t="n"/>
      <c r="H7" s="488" t="n"/>
      <c r="I7" s="488" t="n"/>
      <c r="J7" s="486" t="n"/>
      <c r="K7" s="490" t="n"/>
      <c r="L7" s="486" t="n"/>
      <c r="M7" s="23" t="n"/>
      <c r="N7" s="417" t="n"/>
    </row>
    <row r="8" ht="17.25" customHeight="1" s="468">
      <c r="B8" s="18" t="n"/>
      <c r="C8" s="485" t="n"/>
      <c r="D8" s="486" t="n"/>
      <c r="E8" s="485" t="n"/>
      <c r="F8" s="486" t="n"/>
      <c r="G8" s="485" t="n"/>
      <c r="H8" s="488" t="n"/>
      <c r="I8" s="488" t="n"/>
      <c r="J8" s="486" t="n"/>
      <c r="K8" s="485" t="n"/>
      <c r="L8" s="486" t="n"/>
      <c r="M8" s="22" t="n"/>
      <c r="N8" s="417" t="n"/>
    </row>
    <row r="9" ht="17.25" customHeight="1" s="468">
      <c r="B9" s="20" t="n"/>
      <c r="C9" s="490" t="n"/>
      <c r="D9" s="486" t="n"/>
      <c r="E9" s="490" t="n"/>
      <c r="F9" s="486" t="n"/>
      <c r="G9" s="490" t="n"/>
      <c r="H9" s="488" t="n"/>
      <c r="I9" s="488" t="n"/>
      <c r="J9" s="486" t="n"/>
      <c r="K9" s="490" t="n"/>
      <c r="L9" s="486" t="n"/>
      <c r="M9" s="21" t="n"/>
      <c r="N9" s="417" t="n"/>
    </row>
    <row r="10" ht="17.25" customHeight="1" s="468">
      <c r="B10" s="18" t="n"/>
      <c r="C10" s="485" t="n"/>
      <c r="D10" s="486" t="n"/>
      <c r="E10" s="485" t="n"/>
      <c r="F10" s="486" t="n"/>
      <c r="G10" s="485" t="n"/>
      <c r="H10" s="488" t="n"/>
      <c r="I10" s="488" t="n"/>
      <c r="J10" s="486" t="n"/>
      <c r="K10" s="485" t="n"/>
      <c r="L10" s="486" t="n"/>
      <c r="M10" s="19" t="n"/>
      <c r="N10" s="417" t="n"/>
    </row>
    <row r="11" ht="17.25" customHeight="1" s="468">
      <c r="B11" s="20" t="n"/>
      <c r="C11" s="490" t="n"/>
      <c r="D11" s="486" t="n"/>
      <c r="E11" s="490" t="n"/>
      <c r="F11" s="486" t="n"/>
      <c r="G11" s="490" t="n"/>
      <c r="H11" s="488" t="n"/>
      <c r="I11" s="488" t="n"/>
      <c r="J11" s="486" t="n"/>
      <c r="K11" s="490" t="n"/>
      <c r="L11" s="486" t="n"/>
      <c r="M11" s="21" t="n"/>
      <c r="N11" s="417" t="n"/>
    </row>
    <row r="12" ht="17.25" customHeight="1" s="468">
      <c r="B12" s="18" t="n"/>
      <c r="C12" s="485" t="n"/>
      <c r="D12" s="486" t="n"/>
      <c r="E12" s="485" t="n"/>
      <c r="F12" s="486" t="n"/>
      <c r="G12" s="485" t="n"/>
      <c r="H12" s="488" t="n"/>
      <c r="I12" s="488" t="n"/>
      <c r="J12" s="486" t="n"/>
      <c r="K12" s="485" t="n"/>
      <c r="L12" s="486" t="n"/>
      <c r="M12" s="19" t="n"/>
      <c r="N12" s="417" t="n"/>
    </row>
    <row r="13" ht="17.25" customHeight="1" s="468">
      <c r="B13" s="20" t="n"/>
      <c r="C13" s="490" t="n"/>
      <c r="D13" s="486" t="n"/>
      <c r="E13" s="490" t="n"/>
      <c r="F13" s="486" t="n"/>
      <c r="G13" s="490" t="n"/>
      <c r="H13" s="488" t="n"/>
      <c r="I13" s="488" t="n"/>
      <c r="J13" s="486" t="n"/>
      <c r="K13" s="490" t="n"/>
      <c r="L13" s="486" t="n"/>
      <c r="M13" s="21" t="n"/>
      <c r="N13" s="417" t="n"/>
    </row>
    <row r="14" ht="17.25" customHeight="1" s="468">
      <c r="B14" s="18" t="n"/>
      <c r="C14" s="485" t="n"/>
      <c r="D14" s="486" t="n"/>
      <c r="E14" s="485" t="n"/>
      <c r="F14" s="486" t="n"/>
      <c r="G14" s="485" t="n"/>
      <c r="H14" s="488" t="n"/>
      <c r="I14" s="488" t="n"/>
      <c r="J14" s="486" t="n"/>
      <c r="K14" s="485" t="n"/>
      <c r="L14" s="486" t="n"/>
      <c r="M14" s="19" t="n"/>
      <c r="N14" s="417" t="n"/>
    </row>
    <row r="15" ht="17.25" customHeight="1" s="468">
      <c r="B15" s="20" t="n"/>
      <c r="C15" s="490" t="n"/>
      <c r="D15" s="486" t="n"/>
      <c r="E15" s="490" t="n"/>
      <c r="F15" s="486" t="n"/>
      <c r="G15" s="490" t="n"/>
      <c r="H15" s="488" t="n"/>
      <c r="I15" s="488" t="n"/>
      <c r="J15" s="486" t="n"/>
      <c r="K15" s="490" t="n"/>
      <c r="L15" s="486" t="n"/>
      <c r="M15" s="21" t="n"/>
      <c r="N15" s="417" t="n"/>
    </row>
    <row r="16" ht="17.25" customHeight="1" s="468">
      <c r="B16" s="18" t="n"/>
      <c r="C16" s="485" t="n"/>
      <c r="D16" s="486" t="n"/>
      <c r="E16" s="485" t="n"/>
      <c r="F16" s="486" t="n"/>
      <c r="G16" s="485" t="n"/>
      <c r="H16" s="488" t="n"/>
      <c r="I16" s="488" t="n"/>
      <c r="J16" s="486" t="n"/>
      <c r="K16" s="485" t="n"/>
      <c r="L16" s="486" t="n"/>
      <c r="M16" s="19" t="n"/>
      <c r="N16" s="417" t="n"/>
    </row>
    <row r="17" ht="17.25" customHeight="1" s="468">
      <c r="B17" s="20" t="n"/>
      <c r="C17" s="490" t="n"/>
      <c r="D17" s="486" t="n"/>
      <c r="E17" s="490" t="n"/>
      <c r="F17" s="486" t="n"/>
      <c r="G17" s="490" t="n"/>
      <c r="H17" s="488" t="n"/>
      <c r="I17" s="488" t="n"/>
      <c r="J17" s="486" t="n"/>
      <c r="K17" s="490" t="n"/>
      <c r="L17" s="486" t="n"/>
      <c r="M17" s="23" t="n"/>
      <c r="N17" s="417" t="n"/>
    </row>
    <row r="18" ht="17.25" customHeight="1" s="468">
      <c r="B18" s="18" t="n"/>
      <c r="C18" s="485" t="n"/>
      <c r="D18" s="486" t="n"/>
      <c r="E18" s="485" t="n"/>
      <c r="F18" s="486" t="n"/>
      <c r="G18" s="485" t="n"/>
      <c r="H18" s="488" t="n"/>
      <c r="I18" s="488" t="n"/>
      <c r="J18" s="486" t="n"/>
      <c r="K18" s="485" t="n"/>
      <c r="L18" s="486" t="n"/>
      <c r="M18" s="19" t="n"/>
      <c r="N18" s="417" t="n"/>
    </row>
    <row r="19" ht="17.25" customHeight="1" s="468">
      <c r="B19" s="20" t="n"/>
      <c r="C19" s="490" t="n"/>
      <c r="D19" s="486" t="n"/>
      <c r="E19" s="490" t="n"/>
      <c r="F19" s="486" t="n"/>
      <c r="G19" s="490" t="n"/>
      <c r="H19" s="488" t="n"/>
      <c r="I19" s="488" t="n"/>
      <c r="J19" s="486" t="n"/>
      <c r="K19" s="490" t="n"/>
      <c r="L19" s="486" t="n"/>
      <c r="M19" s="21" t="n"/>
      <c r="N19" s="417" t="n"/>
    </row>
    <row r="20" ht="17.25" customHeight="1" s="468">
      <c r="B20" s="18" t="n"/>
      <c r="C20" s="485" t="n"/>
      <c r="D20" s="486" t="n"/>
      <c r="E20" s="485" t="n"/>
      <c r="F20" s="486" t="n"/>
      <c r="G20" s="485" t="n"/>
      <c r="H20" s="488" t="n"/>
      <c r="I20" s="488" t="n"/>
      <c r="J20" s="486" t="n"/>
      <c r="K20" s="485" t="n"/>
      <c r="L20" s="486" t="n"/>
      <c r="M20" s="19" t="n"/>
      <c r="N20" s="417" t="n"/>
    </row>
    <row r="21" ht="17.25" customHeight="1" s="468">
      <c r="B21" s="20" t="n"/>
      <c r="C21" s="490" t="n"/>
      <c r="D21" s="486" t="n"/>
      <c r="E21" s="490" t="n"/>
      <c r="F21" s="486" t="n"/>
      <c r="G21" s="490" t="n"/>
      <c r="H21" s="488" t="n"/>
      <c r="I21" s="488" t="n"/>
      <c r="J21" s="486" t="n"/>
      <c r="K21" s="490" t="n"/>
      <c r="L21" s="486" t="n"/>
      <c r="M21" s="21" t="n"/>
      <c r="N21" s="417" t="n"/>
    </row>
    <row r="22" ht="17.25" customHeight="1" s="468">
      <c r="B22" s="18" t="n"/>
      <c r="C22" s="485" t="n"/>
      <c r="D22" s="486" t="n"/>
      <c r="E22" s="485" t="n"/>
      <c r="F22" s="486" t="n"/>
      <c r="G22" s="485" t="n"/>
      <c r="H22" s="488" t="n"/>
      <c r="I22" s="488" t="n"/>
      <c r="J22" s="486" t="n"/>
      <c r="K22" s="485" t="n"/>
      <c r="L22" s="486" t="n"/>
      <c r="M22" s="19" t="n"/>
      <c r="N22" s="417" t="n"/>
    </row>
    <row r="23" ht="17.25" customHeight="1" s="468">
      <c r="B23" s="20" t="n"/>
      <c r="C23" s="490" t="n"/>
      <c r="D23" s="486" t="n"/>
      <c r="E23" s="490" t="n"/>
      <c r="F23" s="486" t="n"/>
      <c r="G23" s="490" t="n"/>
      <c r="H23" s="488" t="n"/>
      <c r="I23" s="488" t="n"/>
      <c r="J23" s="486" t="n"/>
      <c r="K23" s="490" t="n"/>
      <c r="L23" s="486" t="n"/>
      <c r="M23" s="21" t="n"/>
      <c r="N23" s="417" t="n"/>
    </row>
    <row r="24" ht="17.25" customHeight="1" s="468">
      <c r="B24" s="18" t="n"/>
      <c r="C24" s="485" t="n"/>
      <c r="D24" s="486" t="n"/>
      <c r="E24" s="485" t="n"/>
      <c r="F24" s="486" t="n"/>
      <c r="G24" s="485" t="n"/>
      <c r="H24" s="488" t="n"/>
      <c r="I24" s="488" t="n"/>
      <c r="J24" s="486" t="n"/>
      <c r="K24" s="485" t="n"/>
      <c r="L24" s="486" t="n"/>
      <c r="M24" s="19" t="n"/>
      <c r="N24" s="417" t="n"/>
    </row>
    <row r="25" ht="17.25" customHeight="1" s="468">
      <c r="B25" s="20" t="n"/>
      <c r="C25" s="490" t="n"/>
      <c r="D25" s="486" t="n"/>
      <c r="E25" s="490" t="n"/>
      <c r="F25" s="486" t="n"/>
      <c r="G25" s="490" t="n"/>
      <c r="H25" s="488" t="n"/>
      <c r="I25" s="488" t="n"/>
      <c r="J25" s="486" t="n"/>
      <c r="K25" s="490" t="n"/>
      <c r="L25" s="486" t="n"/>
      <c r="M25" s="23" t="n"/>
      <c r="N25" s="417" t="n"/>
    </row>
    <row r="26" ht="17.25" customHeight="1" s="468">
      <c r="B26" s="18" t="n"/>
      <c r="C26" s="485" t="n"/>
      <c r="D26" s="486" t="n"/>
      <c r="E26" s="485" t="n"/>
      <c r="F26" s="486" t="n"/>
      <c r="G26" s="485" t="n"/>
      <c r="H26" s="488" t="n"/>
      <c r="I26" s="488" t="n"/>
      <c r="J26" s="486" t="n"/>
      <c r="K26" s="485" t="n"/>
      <c r="L26" s="486" t="n"/>
      <c r="M26" s="19" t="n"/>
      <c r="N26" s="417" t="n"/>
    </row>
    <row r="27" ht="17.25" customHeight="1" s="468">
      <c r="B27" s="20" t="n"/>
      <c r="C27" s="490" t="n"/>
      <c r="D27" s="486" t="n"/>
      <c r="E27" s="490" t="n"/>
      <c r="F27" s="486" t="n"/>
      <c r="G27" s="490" t="n"/>
      <c r="H27" s="488" t="n"/>
      <c r="I27" s="488" t="n"/>
      <c r="J27" s="486" t="n"/>
      <c r="K27" s="490" t="n"/>
      <c r="L27" s="486" t="n"/>
      <c r="M27" s="21" t="n"/>
      <c r="N27" s="417" t="n"/>
    </row>
    <row r="28" ht="17.25" customHeight="1" s="468">
      <c r="B28" s="18" t="n"/>
      <c r="C28" s="485" t="n"/>
      <c r="D28" s="486" t="n"/>
      <c r="E28" s="485" t="n"/>
      <c r="F28" s="486" t="n"/>
      <c r="G28" s="485" t="n"/>
      <c r="H28" s="488" t="n"/>
      <c r="I28" s="488" t="n"/>
      <c r="J28" s="486" t="n"/>
      <c r="K28" s="485" t="n"/>
      <c r="L28" s="486" t="n"/>
      <c r="M28" s="19" t="n"/>
      <c r="N28" s="417" t="n"/>
    </row>
    <row r="29" ht="17.25" customHeight="1" s="468">
      <c r="B29" s="20" t="n"/>
      <c r="C29" s="490" t="n"/>
      <c r="D29" s="486" t="n"/>
      <c r="E29" s="490" t="n"/>
      <c r="F29" s="486" t="n"/>
      <c r="G29" s="490" t="n"/>
      <c r="H29" s="488" t="n"/>
      <c r="I29" s="488" t="n"/>
      <c r="J29" s="486" t="n"/>
      <c r="K29" s="490" t="n"/>
      <c r="L29" s="486" t="n"/>
      <c r="M29" s="21" t="n"/>
      <c r="N29" s="417" t="n"/>
    </row>
    <row r="30" ht="17.25" customHeight="1" s="468">
      <c r="B30" s="18" t="n"/>
      <c r="C30" s="485" t="n"/>
      <c r="D30" s="486" t="n"/>
      <c r="E30" s="485" t="n"/>
      <c r="F30" s="486" t="n"/>
      <c r="G30" s="485" t="n"/>
      <c r="H30" s="488" t="n"/>
      <c r="I30" s="488" t="n"/>
      <c r="J30" s="486" t="n"/>
      <c r="K30" s="485" t="n"/>
      <c r="L30" s="486" t="n"/>
      <c r="M30" s="19" t="n"/>
      <c r="N30" s="417" t="n"/>
    </row>
    <row r="31" ht="17.25" customHeight="1" s="468">
      <c r="B31" s="20" t="n"/>
      <c r="C31" s="490" t="n"/>
      <c r="D31" s="486" t="n"/>
      <c r="E31" s="490" t="n"/>
      <c r="F31" s="486" t="n"/>
      <c r="G31" s="490" t="n"/>
      <c r="H31" s="488" t="n"/>
      <c r="I31" s="488" t="n"/>
      <c r="J31" s="486" t="n"/>
      <c r="K31" s="490" t="n"/>
      <c r="L31" s="486" t="n"/>
      <c r="M31" s="21" t="n"/>
      <c r="N31" s="417" t="n"/>
    </row>
    <row r="32" ht="17.25" customHeight="1" s="468">
      <c r="B32" s="18" t="n"/>
      <c r="C32" s="485" t="n"/>
      <c r="D32" s="486" t="n"/>
      <c r="E32" s="485" t="n"/>
      <c r="F32" s="486" t="n"/>
      <c r="G32" s="485" t="n"/>
      <c r="H32" s="488" t="n"/>
      <c r="I32" s="488" t="n"/>
      <c r="J32" s="486" t="n"/>
      <c r="K32" s="485" t="n"/>
      <c r="L32" s="486" t="n"/>
      <c r="M32" s="19" t="n"/>
      <c r="N32" s="417" t="n"/>
    </row>
    <row r="33" ht="17.25" customHeight="1" s="468">
      <c r="B33" s="20" t="n"/>
      <c r="C33" s="490" t="n"/>
      <c r="D33" s="486" t="n"/>
      <c r="E33" s="490" t="n"/>
      <c r="F33" s="486" t="n"/>
      <c r="G33" s="490" t="n"/>
      <c r="H33" s="488" t="n"/>
      <c r="I33" s="488" t="n"/>
      <c r="J33" s="486" t="n"/>
      <c r="K33" s="490" t="n"/>
      <c r="L33" s="486" t="n"/>
      <c r="M33" s="21" t="n"/>
      <c r="N33" s="417" t="n"/>
    </row>
    <row r="34" ht="17.25" customHeight="1" s="468">
      <c r="B34" s="18" t="n"/>
      <c r="C34" s="485" t="n"/>
      <c r="D34" s="486" t="n"/>
      <c r="E34" s="485" t="n"/>
      <c r="F34" s="486" t="n"/>
      <c r="G34" s="485" t="n"/>
      <c r="H34" s="488" t="n"/>
      <c r="I34" s="488" t="n"/>
      <c r="J34" s="486" t="n"/>
      <c r="K34" s="485" t="n"/>
      <c r="L34" s="486" t="n"/>
      <c r="M34" s="22" t="n"/>
      <c r="N34" s="417" t="n"/>
    </row>
    <row r="35" ht="17.25" customHeight="1" s="468">
      <c r="B35" s="20" t="n"/>
      <c r="C35" s="490" t="n"/>
      <c r="D35" s="486" t="n"/>
      <c r="E35" s="490" t="n"/>
      <c r="F35" s="486" t="n"/>
      <c r="G35" s="490" t="n"/>
      <c r="H35" s="488" t="n"/>
      <c r="I35" s="488" t="n"/>
      <c r="J35" s="486" t="n"/>
      <c r="K35" s="490" t="n"/>
      <c r="L35" s="486" t="n"/>
      <c r="M35" s="21" t="n"/>
      <c r="N35" s="417" t="n"/>
    </row>
    <row r="36" ht="17.25" customHeight="1" s="468">
      <c r="B36" s="18" t="n"/>
      <c r="C36" s="485" t="n"/>
      <c r="D36" s="486" t="n"/>
      <c r="E36" s="485" t="n"/>
      <c r="F36" s="486" t="n"/>
      <c r="G36" s="485" t="n"/>
      <c r="H36" s="488" t="n"/>
      <c r="I36" s="488" t="n"/>
      <c r="J36" s="486" t="n"/>
      <c r="K36" s="485" t="n"/>
      <c r="L36" s="486" t="n"/>
      <c r="M36" s="19" t="n"/>
      <c r="N36" s="417" t="n"/>
    </row>
    <row r="37" ht="17.25" customHeight="1" s="468">
      <c r="B37" s="20" t="n"/>
      <c r="C37" s="490" t="n"/>
      <c r="D37" s="486" t="n"/>
      <c r="E37" s="490" t="n"/>
      <c r="F37" s="486" t="n"/>
      <c r="G37" s="490" t="n"/>
      <c r="H37" s="488" t="n"/>
      <c r="I37" s="488" t="n"/>
      <c r="J37" s="486" t="n"/>
      <c r="K37" s="490" t="n"/>
      <c r="L37" s="486" t="n"/>
      <c r="M37" s="21" t="n"/>
      <c r="N37" s="417" t="n"/>
    </row>
    <row r="38" ht="17.25" customHeight="1" s="468">
      <c r="B38" s="18" t="n"/>
      <c r="C38" s="485" t="n"/>
      <c r="D38" s="486" t="n"/>
      <c r="E38" s="485" t="n"/>
      <c r="F38" s="486" t="n"/>
      <c r="G38" s="485" t="n"/>
      <c r="H38" s="488" t="n"/>
      <c r="I38" s="488" t="n"/>
      <c r="J38" s="486" t="n"/>
      <c r="K38" s="485" t="n"/>
      <c r="L38" s="486" t="n"/>
      <c r="M38" s="19" t="n"/>
      <c r="N38" s="417" t="n"/>
    </row>
    <row r="39" ht="17.25" customHeight="1" s="468">
      <c r="B39" s="20" t="n"/>
      <c r="C39" s="490" t="n"/>
      <c r="D39" s="486" t="n"/>
      <c r="E39" s="490" t="n"/>
      <c r="F39" s="486" t="n"/>
      <c r="G39" s="490" t="n"/>
      <c r="H39" s="488" t="n"/>
      <c r="I39" s="488" t="n"/>
      <c r="J39" s="486" t="n"/>
      <c r="K39" s="490" t="n"/>
      <c r="L39" s="486" t="n"/>
      <c r="M39" s="21" t="n"/>
      <c r="N39" s="417" t="n"/>
    </row>
    <row r="40" ht="17.25" customHeight="1" s="468">
      <c r="B40" s="18" t="n"/>
      <c r="C40" s="485" t="n"/>
      <c r="D40" s="486" t="n"/>
      <c r="E40" s="485" t="n"/>
      <c r="F40" s="486" t="n"/>
      <c r="G40" s="485" t="n"/>
      <c r="H40" s="488" t="n"/>
      <c r="I40" s="488" t="n"/>
      <c r="J40" s="486" t="n"/>
      <c r="K40" s="485" t="n"/>
      <c r="L40" s="486" t="n"/>
      <c r="M40" s="19" t="n"/>
      <c r="N40" s="417" t="n"/>
    </row>
    <row r="41" ht="17.25" customHeight="1" s="468">
      <c r="B41" s="20" t="n"/>
      <c r="C41" s="490" t="n"/>
      <c r="D41" s="486" t="n"/>
      <c r="E41" s="490" t="n"/>
      <c r="F41" s="486" t="n"/>
      <c r="G41" s="490" t="n"/>
      <c r="H41" s="488" t="n"/>
      <c r="I41" s="488" t="n"/>
      <c r="J41" s="486" t="n"/>
      <c r="K41" s="490" t="n"/>
      <c r="L41" s="486" t="n"/>
      <c r="M41" s="21" t="n"/>
      <c r="N41" s="417" t="n"/>
    </row>
    <row r="42" ht="17.25" customHeight="1" s="468">
      <c r="B42" s="18" t="n"/>
      <c r="C42" s="485" t="n"/>
      <c r="D42" s="486" t="n"/>
      <c r="E42" s="485" t="n"/>
      <c r="F42" s="486" t="n"/>
      <c r="G42" s="485" t="n"/>
      <c r="H42" s="488" t="n"/>
      <c r="I42" s="488" t="n"/>
      <c r="J42" s="486" t="n"/>
      <c r="K42" s="485" t="n"/>
      <c r="L42" s="486" t="n"/>
      <c r="M42" s="22" t="n"/>
      <c r="N42" s="417" t="n"/>
    </row>
    <row r="43" ht="17.25" customHeight="1" s="468">
      <c r="B43" s="20" t="n"/>
      <c r="C43" s="490" t="n"/>
      <c r="D43" s="486" t="n"/>
      <c r="E43" s="490" t="n"/>
      <c r="F43" s="486" t="n"/>
      <c r="G43" s="490" t="n"/>
      <c r="H43" s="488" t="n"/>
      <c r="I43" s="488" t="n"/>
      <c r="J43" s="486" t="n"/>
      <c r="K43" s="490" t="n"/>
      <c r="L43" s="486" t="n"/>
      <c r="M43" s="21" t="n"/>
      <c r="N43" s="417" t="n"/>
    </row>
    <row r="44" ht="17.25" customHeight="1" s="468">
      <c r="B44" s="18" t="n"/>
      <c r="C44" s="485" t="n"/>
      <c r="D44" s="486" t="n"/>
      <c r="E44" s="485" t="n"/>
      <c r="F44" s="486" t="n"/>
      <c r="G44" s="485" t="n"/>
      <c r="H44" s="488" t="n"/>
      <c r="I44" s="488" t="n"/>
      <c r="J44" s="486" t="n"/>
      <c r="K44" s="485" t="n"/>
      <c r="L44" s="486" t="n"/>
      <c r="M44" s="19" t="n"/>
      <c r="N44" s="417" t="n"/>
    </row>
    <row r="45" ht="17.25" customHeight="1" s="468">
      <c r="B45" s="20" t="n"/>
      <c r="C45" s="490" t="n"/>
      <c r="D45" s="486" t="n"/>
      <c r="E45" s="490" t="n"/>
      <c r="F45" s="486" t="n"/>
      <c r="G45" s="490" t="n"/>
      <c r="H45" s="488" t="n"/>
      <c r="I45" s="488" t="n"/>
      <c r="J45" s="486" t="n"/>
      <c r="K45" s="490" t="n"/>
      <c r="L45" s="486" t="n"/>
      <c r="M45" s="21" t="n"/>
      <c r="N45" s="417" t="n"/>
    </row>
    <row r="46" ht="17.25" customHeight="1" s="468">
      <c r="B46" s="18" t="n"/>
      <c r="C46" s="485" t="n"/>
      <c r="D46" s="486" t="n"/>
      <c r="E46" s="485" t="n"/>
      <c r="F46" s="486" t="n"/>
      <c r="G46" s="485" t="n"/>
      <c r="H46" s="488" t="n"/>
      <c r="I46" s="488" t="n"/>
      <c r="J46" s="486" t="n"/>
      <c r="K46" s="485" t="n"/>
      <c r="L46" s="486" t="n"/>
      <c r="M46" s="19" t="n"/>
      <c r="N46" s="417" t="n"/>
    </row>
    <row r="47" ht="17.25" customHeight="1" s="468">
      <c r="B47" s="20" t="n"/>
      <c r="C47" s="490" t="n"/>
      <c r="D47" s="486" t="n"/>
      <c r="E47" s="490" t="n"/>
      <c r="F47" s="486" t="n"/>
      <c r="G47" s="490" t="n"/>
      <c r="H47" s="488" t="n"/>
      <c r="I47" s="488" t="n"/>
      <c r="J47" s="486" t="n"/>
      <c r="K47" s="490" t="n"/>
      <c r="L47" s="486" t="n"/>
      <c r="M47" s="21" t="n"/>
      <c r="N47" s="417" t="n"/>
    </row>
    <row r="48" ht="17.25" customHeight="1" s="468">
      <c r="B48" s="18" t="n"/>
      <c r="C48" s="485" t="n"/>
      <c r="D48" s="486" t="n"/>
      <c r="E48" s="485" t="n"/>
      <c r="F48" s="486" t="n"/>
      <c r="G48" s="485" t="n"/>
      <c r="H48" s="488" t="n"/>
      <c r="I48" s="488" t="n"/>
      <c r="J48" s="486" t="n"/>
      <c r="K48" s="485" t="n"/>
      <c r="L48" s="486" t="n"/>
      <c r="M48" s="19" t="n"/>
      <c r="N48" s="417" t="n"/>
    </row>
    <row r="49" ht="17.25" customHeight="1" s="468">
      <c r="B49" s="20" t="n"/>
      <c r="C49" s="490" t="n"/>
      <c r="D49" s="486" t="n"/>
      <c r="E49" s="490" t="n"/>
      <c r="F49" s="486" t="n"/>
      <c r="G49" s="490" t="n"/>
      <c r="H49" s="488" t="n"/>
      <c r="I49" s="488" t="n"/>
      <c r="J49" s="486" t="n"/>
      <c r="K49" s="490" t="n"/>
      <c r="L49" s="486" t="n"/>
      <c r="M49" s="21" t="n"/>
      <c r="N49" s="417" t="n"/>
    </row>
    <row r="50" ht="17.25" customHeight="1" s="468">
      <c r="B50" s="18" t="n"/>
      <c r="C50" s="485" t="n"/>
      <c r="D50" s="486" t="n"/>
      <c r="E50" s="485" t="n"/>
      <c r="F50" s="486" t="n"/>
      <c r="G50" s="485" t="n"/>
      <c r="H50" s="488" t="n"/>
      <c r="I50" s="488" t="n"/>
      <c r="J50" s="486" t="n"/>
      <c r="K50" s="485" t="n"/>
      <c r="L50" s="486" t="n"/>
      <c r="M50" s="19" t="n"/>
      <c r="N50" s="417" t="n"/>
    </row>
    <row r="51" ht="17.25" customHeight="1" s="468">
      <c r="B51" s="20" t="n"/>
      <c r="C51" s="490" t="n"/>
      <c r="D51" s="486" t="n"/>
      <c r="E51" s="490" t="n"/>
      <c r="F51" s="486" t="n"/>
      <c r="G51" s="490" t="n"/>
      <c r="H51" s="488" t="n"/>
      <c r="I51" s="488" t="n"/>
      <c r="J51" s="486" t="n"/>
      <c r="K51" s="490" t="n"/>
      <c r="L51" s="486" t="n"/>
      <c r="M51" s="23" t="n"/>
      <c r="N51" s="417" t="n"/>
    </row>
    <row r="52" ht="17.25" customHeight="1" s="468">
      <c r="B52" s="18" t="n"/>
      <c r="C52" s="485" t="n"/>
      <c r="D52" s="486" t="n"/>
      <c r="E52" s="485" t="n"/>
      <c r="F52" s="486" t="n"/>
      <c r="G52" s="485" t="n"/>
      <c r="H52" s="488" t="n"/>
      <c r="I52" s="488" t="n"/>
      <c r="J52" s="486" t="n"/>
      <c r="K52" s="485" t="n"/>
      <c r="L52" s="486" t="n"/>
      <c r="M52" s="19" t="n"/>
      <c r="N52" s="417" t="n"/>
    </row>
    <row r="53" ht="17.25" customHeight="1" s="468">
      <c r="B53" s="20" t="n"/>
      <c r="C53" s="490" t="n"/>
      <c r="D53" s="486" t="n"/>
      <c r="E53" s="490" t="n"/>
      <c r="F53" s="486" t="n"/>
      <c r="G53" s="490" t="n"/>
      <c r="H53" s="488" t="n"/>
      <c r="I53" s="488" t="n"/>
      <c r="J53" s="486" t="n"/>
      <c r="K53" s="490" t="n"/>
      <c r="L53" s="486" t="n"/>
      <c r="M53" s="21" t="n"/>
      <c r="N53" s="417" t="n"/>
    </row>
    <row r="54" ht="17.25" customHeight="1" s="468">
      <c r="B54" s="18" t="n"/>
      <c r="C54" s="485" t="n"/>
      <c r="D54" s="486" t="n"/>
      <c r="E54" s="485" t="n"/>
      <c r="F54" s="486" t="n"/>
      <c r="G54" s="485" t="n"/>
      <c r="H54" s="488" t="n"/>
      <c r="I54" s="488" t="n"/>
      <c r="J54" s="486" t="n"/>
      <c r="K54" s="485" t="n"/>
      <c r="L54" s="486" t="n"/>
      <c r="M54" s="19" t="n"/>
      <c r="N54" s="417" t="n"/>
    </row>
    <row r="55" ht="17.25" customHeight="1" s="468">
      <c r="B55" s="20" t="n"/>
      <c r="C55" s="490" t="n"/>
      <c r="D55" s="486" t="n"/>
      <c r="E55" s="490" t="n"/>
      <c r="F55" s="486" t="n"/>
      <c r="G55" s="490" t="n"/>
      <c r="H55" s="488" t="n"/>
      <c r="I55" s="488" t="n"/>
      <c r="J55" s="486" t="n"/>
      <c r="K55" s="490" t="n"/>
      <c r="L55" s="486" t="n"/>
      <c r="M55" s="21" t="n"/>
      <c r="N55" s="417" t="n"/>
    </row>
    <row r="56" ht="17.25" customHeight="1" s="468">
      <c r="B56" s="18" t="n"/>
      <c r="C56" s="485" t="n"/>
      <c r="D56" s="486" t="n"/>
      <c r="E56" s="485" t="n"/>
      <c r="F56" s="486" t="n"/>
      <c r="G56" s="485" t="n"/>
      <c r="H56" s="488" t="n"/>
      <c r="I56" s="488" t="n"/>
      <c r="J56" s="486" t="n"/>
      <c r="K56" s="485" t="n"/>
      <c r="L56" s="486" t="n"/>
      <c r="M56" s="19" t="n"/>
      <c r="N56" s="417" t="n"/>
    </row>
    <row r="57" ht="17.25" customHeight="1" s="468">
      <c r="B57" s="20" t="n"/>
      <c r="C57" s="490" t="n"/>
      <c r="D57" s="486" t="n"/>
      <c r="E57" s="490" t="n"/>
      <c r="F57" s="486" t="n"/>
      <c r="G57" s="490" t="n"/>
      <c r="H57" s="488" t="n"/>
      <c r="I57" s="488" t="n"/>
      <c r="J57" s="486" t="n"/>
      <c r="K57" s="490" t="n"/>
      <c r="L57" s="486" t="n"/>
      <c r="M57" s="21" t="n"/>
      <c r="N57" s="417" t="n"/>
    </row>
    <row r="58" ht="17.25" customHeight="1" s="468">
      <c r="B58" s="18" t="n"/>
      <c r="C58" s="485" t="n"/>
      <c r="D58" s="486" t="n"/>
      <c r="E58" s="485" t="n"/>
      <c r="F58" s="486" t="n"/>
      <c r="G58" s="485" t="n"/>
      <c r="H58" s="488" t="n"/>
      <c r="I58" s="488" t="n"/>
      <c r="J58" s="486" t="n"/>
      <c r="K58" s="485" t="n"/>
      <c r="L58" s="486" t="n"/>
      <c r="M58" s="19" t="n"/>
      <c r="N58" s="417" t="n"/>
    </row>
    <row r="59" ht="17.25" customHeight="1" s="468">
      <c r="B59" s="20" t="n"/>
      <c r="C59" s="490" t="n"/>
      <c r="D59" s="486" t="n"/>
      <c r="E59" s="490" t="n"/>
      <c r="F59" s="486" t="n"/>
      <c r="G59" s="490" t="n"/>
      <c r="H59" s="488" t="n"/>
      <c r="I59" s="488" t="n"/>
      <c r="J59" s="486" t="n"/>
      <c r="K59" s="490" t="n"/>
      <c r="L59" s="486" t="n"/>
      <c r="M59" s="23" t="n"/>
      <c r="N59" s="417" t="n"/>
    </row>
    <row r="60" ht="17.25" customHeight="1" s="468">
      <c r="B60" s="18" t="n"/>
      <c r="C60" s="485" t="n"/>
      <c r="D60" s="486" t="n"/>
      <c r="E60" s="485" t="n"/>
      <c r="F60" s="486" t="n"/>
      <c r="G60" s="485" t="n"/>
      <c r="H60" s="488" t="n"/>
      <c r="I60" s="488" t="n"/>
      <c r="J60" s="486" t="n"/>
      <c r="K60" s="485" t="n"/>
      <c r="L60" s="486" t="n"/>
      <c r="M60" s="19" t="n"/>
      <c r="N60" s="417" t="n"/>
    </row>
    <row r="61" ht="17.25" customHeight="1" s="468">
      <c r="B61" s="20" t="n"/>
      <c r="C61" s="490" t="n"/>
      <c r="D61" s="486" t="n"/>
      <c r="E61" s="490" t="n"/>
      <c r="F61" s="486" t="n"/>
      <c r="G61" s="490" t="n"/>
      <c r="H61" s="488" t="n"/>
      <c r="I61" s="488" t="n"/>
      <c r="J61" s="486" t="n"/>
      <c r="K61" s="490" t="n"/>
      <c r="L61" s="486" t="n"/>
      <c r="M61" s="21" t="n"/>
      <c r="N61" s="417" t="n"/>
    </row>
    <row r="62" ht="17.25" customHeight="1" s="468">
      <c r="B62" s="18" t="n"/>
      <c r="C62" s="485" t="n"/>
      <c r="D62" s="486" t="n"/>
      <c r="E62" s="485" t="n"/>
      <c r="F62" s="486" t="n"/>
      <c r="G62" s="485" t="n"/>
      <c r="H62" s="488" t="n"/>
      <c r="I62" s="488" t="n"/>
      <c r="J62" s="486" t="n"/>
      <c r="K62" s="485" t="n"/>
      <c r="L62" s="486" t="n"/>
      <c r="M62" s="19" t="n"/>
      <c r="N62" s="417" t="n"/>
    </row>
    <row r="63" ht="17.25" customHeight="1" s="468">
      <c r="B63" s="20" t="n"/>
      <c r="C63" s="490" t="n"/>
      <c r="D63" s="486" t="n"/>
      <c r="E63" s="490" t="n"/>
      <c r="F63" s="486" t="n"/>
      <c r="G63" s="490" t="n"/>
      <c r="H63" s="488" t="n"/>
      <c r="I63" s="488" t="n"/>
      <c r="J63" s="486" t="n"/>
      <c r="K63" s="490" t="n"/>
      <c r="L63" s="486" t="n"/>
      <c r="M63" s="21" t="n"/>
      <c r="N63" s="417" t="n"/>
    </row>
    <row r="64" ht="17.25" customHeight="1" s="468">
      <c r="B64" s="18" t="n"/>
      <c r="C64" s="485" t="n"/>
      <c r="D64" s="486" t="n"/>
      <c r="E64" s="485" t="n"/>
      <c r="F64" s="486" t="n"/>
      <c r="G64" s="485" t="n"/>
      <c r="H64" s="488" t="n"/>
      <c r="I64" s="488" t="n"/>
      <c r="J64" s="486" t="n"/>
      <c r="K64" s="485" t="n"/>
      <c r="L64" s="486" t="n"/>
      <c r="M64" s="19" t="n"/>
      <c r="N64" s="417" t="n"/>
    </row>
    <row r="65" ht="17.25" customHeight="1" s="468">
      <c r="B65" s="20" t="n"/>
      <c r="C65" s="490" t="n"/>
      <c r="D65" s="486" t="n"/>
      <c r="E65" s="490" t="n"/>
      <c r="F65" s="486" t="n"/>
      <c r="G65" s="490" t="n"/>
      <c r="H65" s="488" t="n"/>
      <c r="I65" s="488" t="n"/>
      <c r="J65" s="486" t="n"/>
      <c r="K65" s="490" t="n"/>
      <c r="L65" s="486" t="n"/>
      <c r="M65" s="21" t="n"/>
      <c r="N65" s="417" t="n"/>
    </row>
    <row r="66" ht="17.25" customHeight="1" s="468">
      <c r="B66" s="18" t="n"/>
      <c r="C66" s="485" t="n"/>
      <c r="D66" s="486" t="n"/>
      <c r="E66" s="485" t="n"/>
      <c r="F66" s="486" t="n"/>
      <c r="G66" s="485" t="n"/>
      <c r="H66" s="488" t="n"/>
      <c r="I66" s="488" t="n"/>
      <c r="J66" s="486" t="n"/>
      <c r="K66" s="485" t="n"/>
      <c r="L66" s="486" t="n"/>
      <c r="M66" s="19" t="n"/>
      <c r="N66" s="417" t="n"/>
    </row>
    <row r="67" ht="17.25" customHeight="1" s="468">
      <c r="B67" s="20" t="n"/>
      <c r="C67" s="490" t="n"/>
      <c r="D67" s="486" t="n"/>
      <c r="E67" s="490" t="n"/>
      <c r="F67" s="486" t="n"/>
      <c r="G67" s="490" t="n"/>
      <c r="H67" s="488" t="n"/>
      <c r="I67" s="488" t="n"/>
      <c r="J67" s="486" t="n"/>
      <c r="K67" s="490" t="n"/>
      <c r="L67" s="486" t="n"/>
      <c r="M67" s="21" t="n"/>
      <c r="N67" s="417" t="n"/>
    </row>
    <row r="68" ht="17.25" customHeight="1" s="468">
      <c r="B68" s="18" t="n"/>
      <c r="C68" s="485" t="n"/>
      <c r="D68" s="486" t="n"/>
      <c r="E68" s="485" t="n"/>
      <c r="F68" s="486" t="n"/>
      <c r="G68" s="485" t="n"/>
      <c r="H68" s="488" t="n"/>
      <c r="I68" s="488" t="n"/>
      <c r="J68" s="486" t="n"/>
      <c r="K68" s="485" t="n"/>
      <c r="L68" s="486" t="n"/>
      <c r="M68" s="22" t="n"/>
      <c r="N68" s="417" t="n"/>
    </row>
    <row r="69" ht="17.25" customHeight="1" s="468">
      <c r="B69" s="20" t="n"/>
      <c r="C69" s="490" t="n"/>
      <c r="D69" s="486" t="n"/>
      <c r="E69" s="490" t="n"/>
      <c r="F69" s="486" t="n"/>
      <c r="G69" s="490" t="n"/>
      <c r="H69" s="488" t="n"/>
      <c r="I69" s="488" t="n"/>
      <c r="J69" s="486" t="n"/>
      <c r="K69" s="490" t="n"/>
      <c r="L69" s="486" t="n"/>
      <c r="M69" s="21" t="n"/>
      <c r="N69" s="417" t="n"/>
    </row>
    <row r="70" ht="17.25" customHeight="1" s="468">
      <c r="B70" s="18" t="n"/>
      <c r="C70" s="485" t="n"/>
      <c r="D70" s="486" t="n"/>
      <c r="E70" s="485" t="n"/>
      <c r="F70" s="486" t="n"/>
      <c r="G70" s="485" t="n"/>
      <c r="H70" s="488" t="n"/>
      <c r="I70" s="488" t="n"/>
      <c r="J70" s="486" t="n"/>
      <c r="K70" s="485" t="n"/>
      <c r="L70" s="486" t="n"/>
      <c r="M70" s="19" t="n"/>
      <c r="N70" s="417" t="n"/>
    </row>
    <row r="71" ht="17.25" customHeight="1" s="468">
      <c r="B71" s="20" t="n"/>
      <c r="C71" s="490" t="n"/>
      <c r="D71" s="486" t="n"/>
      <c r="E71" s="490" t="n"/>
      <c r="F71" s="486" t="n"/>
      <c r="G71" s="490" t="n"/>
      <c r="H71" s="488" t="n"/>
      <c r="I71" s="488" t="n"/>
      <c r="J71" s="486" t="n"/>
      <c r="K71" s="490" t="n"/>
      <c r="L71" s="486" t="n"/>
      <c r="M71" s="21" t="n"/>
      <c r="N71" s="417" t="n"/>
    </row>
    <row r="72" ht="17.25" customHeight="1" s="468">
      <c r="B72" s="18" t="n"/>
      <c r="C72" s="485" t="n"/>
      <c r="D72" s="486" t="n"/>
      <c r="E72" s="485" t="n"/>
      <c r="F72" s="486" t="n"/>
      <c r="G72" s="485" t="n"/>
      <c r="H72" s="488" t="n"/>
      <c r="I72" s="488" t="n"/>
      <c r="J72" s="486" t="n"/>
      <c r="K72" s="485" t="n"/>
      <c r="L72" s="486" t="n"/>
      <c r="M72" s="19" t="n"/>
      <c r="N72" s="417" t="n"/>
    </row>
    <row r="73" ht="17.25" customHeight="1" s="468">
      <c r="B73" s="20" t="n"/>
      <c r="C73" s="490" t="n"/>
      <c r="D73" s="486" t="n"/>
      <c r="E73" s="490" t="n"/>
      <c r="F73" s="486" t="n"/>
      <c r="G73" s="490" t="n"/>
      <c r="H73" s="488" t="n"/>
      <c r="I73" s="488" t="n"/>
      <c r="J73" s="486" t="n"/>
      <c r="K73" s="490" t="n"/>
      <c r="L73" s="486" t="n"/>
      <c r="M73" s="21" t="n"/>
      <c r="N73" s="417" t="n"/>
    </row>
    <row r="74" ht="17.25" customHeight="1" s="468">
      <c r="B74" s="18" t="n"/>
      <c r="C74" s="485" t="n"/>
      <c r="D74" s="486" t="n"/>
      <c r="E74" s="485" t="n"/>
      <c r="F74" s="486" t="n"/>
      <c r="G74" s="485" t="n"/>
      <c r="H74" s="488" t="n"/>
      <c r="I74" s="488" t="n"/>
      <c r="J74" s="486" t="n"/>
      <c r="K74" s="485" t="n"/>
      <c r="L74" s="486" t="n"/>
      <c r="M74" s="19" t="n"/>
      <c r="N74" s="417" t="n"/>
    </row>
    <row r="75" ht="17.25" customHeight="1" s="468">
      <c r="B75" s="20" t="n"/>
      <c r="C75" s="490" t="n"/>
      <c r="D75" s="486" t="n"/>
      <c r="E75" s="490" t="n"/>
      <c r="F75" s="486" t="n"/>
      <c r="G75" s="490" t="n"/>
      <c r="H75" s="488" t="n"/>
      <c r="I75" s="488" t="n"/>
      <c r="J75" s="486" t="n"/>
      <c r="K75" s="490" t="n"/>
      <c r="L75" s="486" t="n"/>
      <c r="M75" s="21" t="n"/>
      <c r="N75" s="417" t="n"/>
    </row>
    <row r="76" ht="17.25" customHeight="1" s="468">
      <c r="B76" s="18" t="n"/>
      <c r="C76" s="485" t="n"/>
      <c r="D76" s="486" t="n"/>
      <c r="E76" s="485" t="n"/>
      <c r="F76" s="486" t="n"/>
      <c r="G76" s="485" t="n"/>
      <c r="H76" s="488" t="n"/>
      <c r="I76" s="488" t="n"/>
      <c r="J76" s="486" t="n"/>
      <c r="K76" s="485" t="n"/>
      <c r="L76" s="486" t="n"/>
      <c r="M76" s="22" t="n"/>
      <c r="N76" s="417" t="n"/>
    </row>
    <row r="77" ht="17.25" customHeight="1" s="468">
      <c r="B77" s="20" t="n"/>
      <c r="C77" s="490" t="n"/>
      <c r="D77" s="486" t="n"/>
      <c r="E77" s="490" t="n"/>
      <c r="F77" s="486" t="n"/>
      <c r="G77" s="490" t="n"/>
      <c r="H77" s="488" t="n"/>
      <c r="I77" s="488" t="n"/>
      <c r="J77" s="486" t="n"/>
      <c r="K77" s="490" t="n"/>
      <c r="L77" s="486" t="n"/>
      <c r="M77" s="21" t="n"/>
      <c r="N77" s="417" t="n"/>
    </row>
    <row r="78" ht="17.25" customHeight="1" s="468">
      <c r="B78" s="18" t="n"/>
      <c r="C78" s="485" t="n"/>
      <c r="D78" s="486" t="n"/>
      <c r="E78" s="485" t="n"/>
      <c r="F78" s="486" t="n"/>
      <c r="G78" s="485" t="n"/>
      <c r="H78" s="488" t="n"/>
      <c r="I78" s="488" t="n"/>
      <c r="J78" s="486" t="n"/>
      <c r="K78" s="485" t="n"/>
      <c r="L78" s="486" t="n"/>
      <c r="M78" s="19" t="n"/>
      <c r="N78" s="417" t="n"/>
    </row>
    <row r="79" ht="17.25" customHeight="1" s="468">
      <c r="B79" s="20" t="n"/>
      <c r="C79" s="490" t="n"/>
      <c r="D79" s="486" t="n"/>
      <c r="E79" s="490" t="n"/>
      <c r="F79" s="486" t="n"/>
      <c r="G79" s="490" t="n"/>
      <c r="H79" s="488" t="n"/>
      <c r="I79" s="488" t="n"/>
      <c r="J79" s="486" t="n"/>
      <c r="K79" s="490" t="n"/>
      <c r="L79" s="486" t="n"/>
      <c r="M79" s="21" t="n"/>
      <c r="N79" s="417" t="n"/>
    </row>
    <row r="80" ht="17.25" customHeight="1" s="468">
      <c r="B80" s="18" t="n"/>
      <c r="C80" s="485" t="n"/>
      <c r="D80" s="486" t="n"/>
      <c r="E80" s="485" t="n"/>
      <c r="F80" s="486" t="n"/>
      <c r="G80" s="485" t="n"/>
      <c r="H80" s="488" t="n"/>
      <c r="I80" s="488" t="n"/>
      <c r="J80" s="486" t="n"/>
      <c r="K80" s="485" t="n"/>
      <c r="L80" s="486" t="n"/>
      <c r="M80" s="19" t="n"/>
      <c r="N80" s="417" t="n"/>
    </row>
    <row r="81" ht="17.25" customHeight="1" s="468">
      <c r="B81" s="20" t="n"/>
      <c r="C81" s="490" t="n"/>
      <c r="D81" s="486" t="n"/>
      <c r="E81" s="490" t="n"/>
      <c r="F81" s="486" t="n"/>
      <c r="G81" s="490" t="n"/>
      <c r="H81" s="488" t="n"/>
      <c r="I81" s="488" t="n"/>
      <c r="J81" s="486" t="n"/>
      <c r="K81" s="490" t="n"/>
      <c r="L81" s="486" t="n"/>
      <c r="M81" s="21" t="n"/>
      <c r="N81" s="417" t="n"/>
    </row>
    <row r="82" ht="17.25" customHeight="1" s="468">
      <c r="B82" s="18" t="n"/>
      <c r="C82" s="485" t="n"/>
      <c r="D82" s="486" t="n"/>
      <c r="E82" s="485" t="n"/>
      <c r="F82" s="486" t="n"/>
      <c r="G82" s="485" t="n"/>
      <c r="H82" s="488" t="n"/>
      <c r="I82" s="488" t="n"/>
      <c r="J82" s="486" t="n"/>
      <c r="K82" s="485" t="n"/>
      <c r="L82" s="486" t="n"/>
      <c r="M82" s="19" t="n"/>
      <c r="N82" s="417" t="n"/>
    </row>
    <row r="83" ht="17.25" customHeight="1" s="468">
      <c r="B83" s="20" t="n"/>
      <c r="C83" s="490" t="n"/>
      <c r="D83" s="486" t="n"/>
      <c r="E83" s="490" t="n"/>
      <c r="F83" s="486" t="n"/>
      <c r="G83" s="490" t="n"/>
      <c r="H83" s="488" t="n"/>
      <c r="I83" s="488" t="n"/>
      <c r="J83" s="486" t="n"/>
      <c r="K83" s="490" t="n"/>
      <c r="L83" s="486" t="n"/>
      <c r="M83" s="21" t="n"/>
      <c r="N83" s="417" t="n"/>
    </row>
    <row r="84" ht="17.25" customHeight="1" s="468">
      <c r="B84" s="18" t="n"/>
      <c r="C84" s="485" t="n"/>
      <c r="D84" s="486" t="n"/>
      <c r="E84" s="485" t="n"/>
      <c r="F84" s="486" t="n"/>
      <c r="G84" s="485" t="n"/>
      <c r="H84" s="488" t="n"/>
      <c r="I84" s="488" t="n"/>
      <c r="J84" s="486" t="n"/>
      <c r="K84" s="485" t="n"/>
      <c r="L84" s="486" t="n"/>
      <c r="M84" s="19" t="n"/>
      <c r="N84" s="417" t="n"/>
    </row>
    <row r="85" ht="17.25" customHeight="1" s="468">
      <c r="B85" s="20" t="n"/>
      <c r="C85" s="490" t="n"/>
      <c r="D85" s="486" t="n"/>
      <c r="E85" s="490" t="n"/>
      <c r="F85" s="486" t="n"/>
      <c r="G85" s="490" t="n"/>
      <c r="H85" s="488" t="n"/>
      <c r="I85" s="488" t="n"/>
      <c r="J85" s="486" t="n"/>
      <c r="K85" s="490" t="n"/>
      <c r="L85" s="486" t="n"/>
      <c r="M85" s="23" t="n"/>
      <c r="N85" s="417" t="n"/>
    </row>
    <row r="86" ht="17.25" customHeight="1" s="468">
      <c r="B86" s="18" t="n"/>
      <c r="C86" s="485" t="n"/>
      <c r="D86" s="486" t="n"/>
      <c r="E86" s="485" t="n"/>
      <c r="F86" s="486" t="n"/>
      <c r="G86" s="485" t="n"/>
      <c r="H86" s="488" t="n"/>
      <c r="I86" s="488" t="n"/>
      <c r="J86" s="486" t="n"/>
      <c r="K86" s="485" t="n"/>
      <c r="L86" s="486" t="n"/>
      <c r="M86" s="19" t="n"/>
      <c r="N86" s="417" t="n"/>
    </row>
    <row r="87" ht="17.25" customHeight="1" s="468">
      <c r="B87" s="20" t="n"/>
      <c r="C87" s="490" t="n"/>
      <c r="D87" s="486" t="n"/>
      <c r="E87" s="490" t="n"/>
      <c r="F87" s="486" t="n"/>
      <c r="G87" s="490" t="n"/>
      <c r="H87" s="488" t="n"/>
      <c r="I87" s="488" t="n"/>
      <c r="J87" s="486" t="n"/>
      <c r="K87" s="490" t="n"/>
      <c r="L87" s="486" t="n"/>
      <c r="M87" s="21" t="n"/>
      <c r="N87" s="417" t="n"/>
    </row>
    <row r="88" ht="17.25" customHeight="1" s="468">
      <c r="B88" s="18" t="n"/>
      <c r="C88" s="485" t="n"/>
      <c r="D88" s="486" t="n"/>
      <c r="E88" s="485" t="n"/>
      <c r="F88" s="486" t="n"/>
      <c r="G88" s="485" t="n"/>
      <c r="H88" s="488" t="n"/>
      <c r="I88" s="488" t="n"/>
      <c r="J88" s="486" t="n"/>
      <c r="K88" s="485" t="n"/>
      <c r="L88" s="486" t="n"/>
      <c r="M88" s="19" t="n"/>
      <c r="N88" s="417" t="n"/>
    </row>
    <row r="89" ht="17.25" customHeight="1" s="468">
      <c r="B89" s="20" t="n"/>
      <c r="C89" s="490" t="n"/>
      <c r="D89" s="486" t="n"/>
      <c r="E89" s="490" t="n"/>
      <c r="F89" s="486" t="n"/>
      <c r="G89" s="490" t="n"/>
      <c r="H89" s="488" t="n"/>
      <c r="I89" s="488" t="n"/>
      <c r="J89" s="486" t="n"/>
      <c r="K89" s="490" t="n"/>
      <c r="L89" s="486" t="n"/>
      <c r="M89" s="21" t="n"/>
      <c r="N89" s="417" t="n"/>
    </row>
    <row r="90" ht="17.25" customHeight="1" s="468">
      <c r="B90" s="18" t="n"/>
      <c r="C90" s="485" t="n"/>
      <c r="D90" s="486" t="n"/>
      <c r="E90" s="485" t="n"/>
      <c r="F90" s="486" t="n"/>
      <c r="G90" s="485" t="n"/>
      <c r="H90" s="488" t="n"/>
      <c r="I90" s="488" t="n"/>
      <c r="J90" s="486" t="n"/>
      <c r="K90" s="485" t="n"/>
      <c r="L90" s="486" t="n"/>
      <c r="M90" s="19" t="n"/>
      <c r="N90" s="417" t="n"/>
    </row>
    <row r="91" ht="17.25" customHeight="1" s="468">
      <c r="B91" s="20" t="n"/>
      <c r="C91" s="490" t="n"/>
      <c r="D91" s="486" t="n"/>
      <c r="E91" s="490" t="n"/>
      <c r="F91" s="486" t="n"/>
      <c r="G91" s="490" t="n"/>
      <c r="H91" s="488" t="n"/>
      <c r="I91" s="488" t="n"/>
      <c r="J91" s="486" t="n"/>
      <c r="K91" s="490" t="n"/>
      <c r="L91" s="486" t="n"/>
      <c r="M91" s="21" t="n"/>
      <c r="N91" s="417" t="n"/>
    </row>
    <row r="92" ht="17.25" customHeight="1" s="468">
      <c r="B92" s="18" t="n"/>
      <c r="C92" s="485" t="n"/>
      <c r="D92" s="486" t="n"/>
      <c r="E92" s="485" t="n"/>
      <c r="F92" s="486" t="n"/>
      <c r="G92" s="485" t="n"/>
      <c r="H92" s="488" t="n"/>
      <c r="I92" s="488" t="n"/>
      <c r="J92" s="486" t="n"/>
      <c r="K92" s="485" t="n"/>
      <c r="L92" s="486" t="n"/>
      <c r="M92" s="19" t="n"/>
      <c r="N92" s="417" t="n"/>
    </row>
    <row r="93" ht="17.25" customHeight="1" s="468">
      <c r="B93" s="20" t="n"/>
      <c r="C93" s="490" t="n"/>
      <c r="D93" s="486" t="n"/>
      <c r="E93" s="490" t="n"/>
      <c r="F93" s="486" t="n"/>
      <c r="G93" s="490" t="n"/>
      <c r="H93" s="488" t="n"/>
      <c r="I93" s="488" t="n"/>
      <c r="J93" s="486" t="n"/>
      <c r="K93" s="490" t="n"/>
      <c r="L93" s="486" t="n"/>
      <c r="M93" s="23" t="n"/>
      <c r="N93" s="417" t="n"/>
    </row>
    <row r="94" ht="17.25" customHeight="1" s="468">
      <c r="B94" s="24" t="n"/>
      <c r="C94" s="506" t="n"/>
      <c r="D94" s="507" t="n"/>
      <c r="E94" s="506" t="n"/>
      <c r="F94" s="507" t="n"/>
      <c r="G94" s="506" t="n"/>
      <c r="H94" s="509" t="n"/>
      <c r="I94" s="509" t="n"/>
      <c r="J94" s="507" t="n"/>
      <c r="K94" s="506" t="n"/>
      <c r="L94" s="507" t="n"/>
      <c r="M94" s="25" t="n"/>
      <c r="N94" s="417" t="n"/>
    </row>
    <row r="95" ht="18" customHeight="1" s="468">
      <c r="N95" s="420" t="n"/>
    </row>
    <row r="96" ht="18" customHeight="1" s="468">
      <c r="N96" s="420" t="n"/>
    </row>
    <row r="97" ht="18" customHeight="1" s="468">
      <c r="N97" s="420" t="n"/>
    </row>
    <row r="98" ht="18" customHeight="1" s="468">
      <c r="N98" s="420" t="n"/>
    </row>
    <row r="99" ht="18" customHeight="1" s="468">
      <c r="N99" s="420" t="n"/>
    </row>
    <row r="100" ht="18" customHeight="1" s="468">
      <c r="N100" s="420" t="n"/>
    </row>
    <row r="101" ht="18" customHeight="1" s="468">
      <c r="N101" s="420" t="n"/>
    </row>
    <row r="102" ht="18" customHeight="1" s="468">
      <c r="N102" s="420" t="n"/>
    </row>
    <row r="103" ht="18" customHeight="1" s="468">
      <c r="N103" s="420" t="n"/>
    </row>
    <row r="104" ht="18" customHeight="1" s="468">
      <c r="N104" s="420" t="n"/>
    </row>
    <row r="105" ht="18" customHeight="1" s="468">
      <c r="N105" s="420" t="n"/>
    </row>
    <row r="106" ht="18" customHeight="1" s="468">
      <c r="N106" s="420" t="n"/>
    </row>
    <row r="107" ht="18" customHeight="1" s="468">
      <c r="N107" s="420" t="n"/>
    </row>
    <row r="108" ht="18" customHeight="1" s="468">
      <c r="N108" s="420" t="n"/>
    </row>
    <row r="109" ht="18" customHeight="1" s="468">
      <c r="N109" s="420" t="n"/>
    </row>
    <row r="110" ht="18" customHeight="1" s="468">
      <c r="N110" s="420" t="n"/>
    </row>
    <row r="111" ht="18" customHeight="1" s="468">
      <c r="N111" s="420" t="n"/>
    </row>
    <row r="112" ht="18" customHeight="1" s="468">
      <c r="N112" s="420" t="n"/>
    </row>
    <row r="113" ht="18" customHeight="1" s="468">
      <c r="N113" s="420" t="n"/>
    </row>
    <row r="114" ht="18" customHeight="1" s="468">
      <c r="N114" s="420" t="n"/>
    </row>
    <row r="115" ht="18" customHeight="1" s="468">
      <c r="N115" s="420" t="n"/>
    </row>
    <row r="116" ht="18" customHeight="1" s="468">
      <c r="N116" s="420" t="n"/>
    </row>
    <row r="117" ht="18" customHeight="1" s="468">
      <c r="N117" s="420" t="n"/>
    </row>
    <row r="118" ht="18" customHeight="1" s="468">
      <c r="N118" s="420" t="n"/>
    </row>
    <row r="119" ht="18" customHeight="1" s="468">
      <c r="N119" s="420" t="n"/>
    </row>
    <row r="120" ht="18" customHeight="1" s="468">
      <c r="N120" s="420" t="n"/>
    </row>
    <row r="121" ht="18" customHeight="1" s="468">
      <c r="N121" s="420" t="n"/>
    </row>
    <row r="122" ht="18" customHeight="1" s="468">
      <c r="N122" s="420" t="n"/>
    </row>
    <row r="123" ht="18" customHeight="1" s="468">
      <c r="N123" s="420" t="n"/>
    </row>
    <row r="124" ht="18" customHeight="1" s="468">
      <c r="N124" s="420" t="n"/>
    </row>
    <row r="125" ht="18" customHeight="1" s="468">
      <c r="N125" s="420" t="n"/>
    </row>
    <row r="126" ht="18" customHeight="1" s="468">
      <c r="N126" s="420" t="n"/>
    </row>
    <row r="127" ht="18" customHeight="1" s="468">
      <c r="N127" s="420" t="n"/>
    </row>
    <row r="128" ht="18" customHeight="1" s="468">
      <c r="N128" s="420" t="n"/>
    </row>
    <row r="129" ht="18" customHeight="1" s="468">
      <c r="N129" s="420" t="n"/>
    </row>
    <row r="130" ht="18" customHeight="1" s="468">
      <c r="N130" s="420" t="n"/>
    </row>
    <row r="131" ht="18" customHeight="1" s="468">
      <c r="N131" s="420" t="n"/>
    </row>
    <row r="132" ht="18" customHeight="1" s="468">
      <c r="N132" s="420" t="n"/>
    </row>
    <row r="133" ht="18" customHeight="1" s="468">
      <c r="N133" s="420" t="n"/>
    </row>
    <row r="134" ht="18" customHeight="1" s="468">
      <c r="N134" s="420" t="n"/>
    </row>
    <row r="135" ht="18" customHeight="1" s="468">
      <c r="N135" s="420" t="n"/>
    </row>
    <row r="136" ht="18" customHeight="1" s="468">
      <c r="N136" s="420" t="n"/>
    </row>
    <row r="137" ht="18" customHeight="1" s="468">
      <c r="N137" s="420" t="n"/>
    </row>
    <row r="138" ht="18" customHeight="1" s="468">
      <c r="N138" s="420" t="n"/>
    </row>
    <row r="139" ht="18" customHeight="1" s="468">
      <c r="N139" s="420" t="n"/>
    </row>
    <row r="140" ht="18" customHeight="1" s="468">
      <c r="N140" s="420" t="n"/>
    </row>
    <row r="141" ht="18" customHeight="1" s="468">
      <c r="N141" s="420" t="n"/>
    </row>
    <row r="142" ht="18" customHeight="1" s="468">
      <c r="N142" s="420" t="n"/>
    </row>
    <row r="143" ht="18" customHeight="1" s="468">
      <c r="N143" s="420" t="n"/>
    </row>
    <row r="144" ht="18" customHeight="1" s="468">
      <c r="N144" s="420" t="n"/>
    </row>
    <row r="145" ht="18" customHeight="1" s="468">
      <c r="N145" s="420" t="n"/>
    </row>
    <row r="146" ht="18" customHeight="1" s="468">
      <c r="N146" s="420" t="n"/>
    </row>
    <row r="147" ht="18" customHeight="1" s="468">
      <c r="N147" s="420" t="n"/>
    </row>
    <row r="148" ht="18" customHeight="1" s="468">
      <c r="N148" s="420" t="n"/>
    </row>
    <row r="149" ht="18" customHeight="1" s="468">
      <c r="N149" s="420" t="n"/>
    </row>
    <row r="150" ht="18" customHeight="1" s="468">
      <c r="N150" s="420" t="n"/>
    </row>
    <row r="151" ht="18" customHeight="1" s="468">
      <c r="N151" s="420" t="n"/>
    </row>
    <row r="152" ht="18" customHeight="1" s="468">
      <c r="N152" s="420" t="n"/>
    </row>
    <row r="153" ht="18" customHeight="1" s="468">
      <c r="N153" s="420" t="n"/>
    </row>
    <row r="154" ht="18" customHeight="1" s="468">
      <c r="N154" s="420" t="n"/>
    </row>
    <row r="155" ht="18" customHeight="1" s="468">
      <c r="N155" s="420" t="n"/>
    </row>
    <row r="156" ht="18" customHeight="1" s="468">
      <c r="N156" s="420" t="n"/>
    </row>
    <row r="157" ht="18" customHeight="1" s="468">
      <c r="N157" s="420" t="n"/>
    </row>
    <row r="158" ht="18" customHeight="1" s="468">
      <c r="N158" s="420" t="n"/>
    </row>
    <row r="159" ht="18" customHeight="1" s="468">
      <c r="N159" s="420" t="n"/>
    </row>
    <row r="160" ht="18" customHeight="1" s="468">
      <c r="N160" s="420" t="n"/>
    </row>
    <row r="161" ht="18" customHeight="1" s="468">
      <c r="N161" s="420" t="n"/>
    </row>
    <row r="162" ht="18" customHeight="1" s="468">
      <c r="N162" s="420" t="n"/>
    </row>
    <row r="163" ht="18" customHeight="1" s="468">
      <c r="N163" s="420" t="n"/>
    </row>
    <row r="164" ht="18" customHeight="1" s="468">
      <c r="N164" s="420" t="n"/>
    </row>
    <row r="165" ht="18" customHeight="1" s="468">
      <c r="N165" s="420" t="n"/>
    </row>
    <row r="166" ht="18" customHeight="1" s="468">
      <c r="N166" s="420" t="n"/>
    </row>
    <row r="167" ht="18" customHeight="1" s="468">
      <c r="N167" s="420" t="n"/>
    </row>
    <row r="168" ht="18" customHeight="1" s="468">
      <c r="N168" s="420" t="n"/>
    </row>
    <row r="169" ht="18" customHeight="1" s="468">
      <c r="N169" s="420" t="n"/>
    </row>
    <row r="170" ht="18" customHeight="1" s="468">
      <c r="N170" s="420" t="n"/>
    </row>
    <row r="171" ht="18" customHeight="1" s="468">
      <c r="N171" s="420" t="n"/>
    </row>
    <row r="172" ht="18" customHeight="1" s="468">
      <c r="N172" s="420" t="n"/>
    </row>
    <row r="173" ht="18" customHeight="1" s="468">
      <c r="N173" s="420" t="n"/>
    </row>
    <row r="174" ht="18" customHeight="1" s="468">
      <c r="N174" s="420" t="n"/>
    </row>
    <row r="175" ht="18" customHeight="1" s="468">
      <c r="N175" s="420" t="n"/>
    </row>
    <row r="176" ht="18" customHeight="1" s="468">
      <c r="N176" s="420" t="n"/>
    </row>
    <row r="177" ht="18" customHeight="1" s="468">
      <c r="N177" s="420" t="n"/>
    </row>
    <row r="178" ht="18" customHeight="1" s="468">
      <c r="N178" s="420" t="n"/>
    </row>
    <row r="179" ht="18" customHeight="1" s="468">
      <c r="N179" s="420" t="n"/>
    </row>
    <row r="180" ht="18" customHeight="1" s="468">
      <c r="N180" s="420" t="n"/>
    </row>
    <row r="181" ht="18" customHeight="1" s="468">
      <c r="N181" s="420" t="n"/>
    </row>
    <row r="182" ht="18" customHeight="1" s="468">
      <c r="N182" s="420" t="n"/>
    </row>
    <row r="183" ht="18" customHeight="1" s="468">
      <c r="N183" s="420" t="n"/>
    </row>
    <row r="184" ht="18" customHeight="1" s="468">
      <c r="N184" s="420" t="n"/>
    </row>
    <row r="185" ht="18" customHeight="1" s="468">
      <c r="N185" s="420" t="n"/>
    </row>
    <row r="186" ht="18" customHeight="1" s="468">
      <c r="N186" s="420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8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8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8" customHeight="1" s="468">
      <c r="N295" s="420" t="n"/>
    </row>
    <row r="296" ht="18" customHeight="1" s="468">
      <c r="N296" s="420" t="n"/>
    </row>
    <row r="297" ht="18" customHeight="1" s="468">
      <c r="N297" s="420" t="n"/>
    </row>
    <row r="298" ht="18" customHeight="1" s="468">
      <c r="N298" s="420" t="n"/>
    </row>
    <row r="299" ht="18" customHeight="1" s="468">
      <c r="N299" s="420" t="n"/>
    </row>
    <row r="300" ht="18" customHeight="1" s="468">
      <c r="N300" s="420" t="n"/>
    </row>
  </sheetData>
  <mergeCells count="369">
    <mergeCell ref="C15:D15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6:F6"/>
    <mergeCell ref="E77:F77"/>
    <mergeCell ref="E89:F89"/>
    <mergeCell ref="G13:J13"/>
    <mergeCell ref="G78:J78"/>
    <mergeCell ref="E72:F72"/>
    <mergeCell ref="K57:L57"/>
    <mergeCell ref="G15:J15"/>
    <mergeCell ref="G80:J80"/>
    <mergeCell ref="C49:D49"/>
    <mergeCell ref="C24:D24"/>
    <mergeCell ref="G79:J79"/>
    <mergeCell ref="E24:F24"/>
    <mergeCell ref="G73:J73"/>
    <mergeCell ref="C42:D42"/>
    <mergeCell ref="E42:F42"/>
    <mergeCell ref="C88:D88"/>
    <mergeCell ref="E17:F17"/>
    <mergeCell ref="C26:D26"/>
    <mergeCell ref="E88:F88"/>
    <mergeCell ref="E82:F82"/>
    <mergeCell ref="E19:F19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G3:J3"/>
    <mergeCell ref="C81:D81"/>
    <mergeCell ref="C37:D37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C8:D8"/>
    <mergeCell ref="G49:J49"/>
    <mergeCell ref="K10:L10"/>
    <mergeCell ref="K66:L66"/>
    <mergeCell ref="C66:D66"/>
    <mergeCell ref="G24:J24"/>
    <mergeCell ref="E66:F66"/>
    <mergeCell ref="C53:D53"/>
    <mergeCell ref="K3:L3"/>
    <mergeCell ref="C77:D77"/>
    <mergeCell ref="K74:L74"/>
    <mergeCell ref="K68:L68"/>
    <mergeCell ref="G88:J88"/>
    <mergeCell ref="C68:D68"/>
    <mergeCell ref="G26:J26"/>
    <mergeCell ref="E68:F68"/>
    <mergeCell ref="K5:L5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C16:D1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:D6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46:J46"/>
    <mergeCell ref="G40:J40"/>
    <mergeCell ref="E51:F51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G61:J61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K16:L16"/>
    <mergeCell ref="K9:L9"/>
    <mergeCell ref="G16:J16"/>
    <mergeCell ref="E83:F83"/>
    <mergeCell ref="K45:L45"/>
    <mergeCell ref="G76:J76"/>
    <mergeCell ref="C20:D20"/>
    <mergeCell ref="G9:J9"/>
    <mergeCell ref="K11:L11"/>
    <mergeCell ref="C85:D85"/>
    <mergeCell ref="E20:F20"/>
    <mergeCell ref="K47:L47"/>
    <mergeCell ref="C84:D84"/>
    <mergeCell ref="E13:F13"/>
    <mergeCell ref="C22:D22"/>
    <mergeCell ref="E84:F84"/>
    <mergeCell ref="K46:L46"/>
    <mergeCell ref="G11:J11"/>
    <mergeCell ref="E78:F78"/>
    <mergeCell ref="K40:L40"/>
    <mergeCell ref="E15:F15"/>
    <mergeCell ref="E86:F86"/>
    <mergeCell ref="C51:D51"/>
    <mergeCell ref="E80:F80"/>
    <mergeCell ref="K71:L71"/>
    <mergeCell ref="K73:L73"/>
    <mergeCell ref="C38:D38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10:D10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C56:D56"/>
    <mergeCell ref="E34:F34"/>
    <mergeCell ref="C43:D43"/>
    <mergeCell ref="K67:L67"/>
    <mergeCell ref="E49:F49"/>
    <mergeCell ref="C36:D36"/>
    <mergeCell ref="E36:F36"/>
    <mergeCell ref="C67:D67"/>
    <mergeCell ref="K69:L69"/>
    <mergeCell ref="C69:D69"/>
    <mergeCell ref="G20:J20"/>
    <mergeCell ref="G91:J91"/>
    <mergeCell ref="G85:J85"/>
    <mergeCell ref="K64:L64"/>
    <mergeCell ref="C4:D4"/>
    <mergeCell ref="G84:J84"/>
    <mergeCell ref="E4:F4"/>
    <mergeCell ref="G22:J22"/>
    <mergeCell ref="K51:L51"/>
    <mergeCell ref="K72:L72"/>
    <mergeCell ref="G86:J86"/>
    <mergeCell ref="C60:D60"/>
    <mergeCell ref="G38:J38"/>
    <mergeCell ref="E26:F26"/>
    <mergeCell ref="K17:L17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35:J35"/>
    <mergeCell ref="C58:D58"/>
    <mergeCell ref="E52:F52"/>
    <mergeCell ref="E39:F39"/>
    <mergeCell ref="E44:F44"/>
    <mergeCell ref="K60:L60"/>
    <mergeCell ref="C75:D75"/>
    <mergeCell ref="G59:J59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K91:L91"/>
    <mergeCell ref="G56:J56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13:D13"/>
    <mergeCell ref="K4:L4"/>
    <mergeCell ref="C78:D7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tabColor rgb="FF2F3A4A"/>
    <outlinePr summaryBelow="1" summaryRight="1"/>
    <pageSetUpPr/>
  </sheetPr>
  <dimension ref="A1:M216"/>
  <sheetViews>
    <sheetView showGridLines="0" zoomScale="90" zoomScaleNormal="90" workbookViewId="0">
      <pane ySplit="3" topLeftCell="A4" activePane="bottomLeft" state="frozen"/>
      <selection pane="bottomLeft" activeCell="A29" sqref="A29"/>
    </sheetView>
  </sheetViews>
  <sheetFormatPr baseColWidth="8" defaultColWidth="8.6640625" defaultRowHeight="14.25" customHeight="1"/>
  <cols>
    <col width="16" customWidth="1" style="468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8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8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</row>
    <row r="3" ht="15" customHeight="1" s="468">
      <c r="A3" s="631" t="n">
        <v>46296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</row>
    <row r="4" ht="21" customHeight="1" s="468">
      <c r="A4" s="685" t="n"/>
      <c r="B4" s="218" t="n"/>
      <c r="C4" s="219" t="n"/>
      <c r="D4" s="220" t="n"/>
      <c r="E4" s="221" t="inlineStr">
        <is>
          <t>CX</t>
        </is>
      </c>
      <c r="F4" s="68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20">
        <f>IFERROR(ROUNDUP(D4/F4,0),"")</f>
        <v/>
      </c>
      <c r="H4" s="224" t="n"/>
      <c r="I4" s="220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552" t="n"/>
      <c r="K4" s="552" t="n"/>
      <c r="L4" s="552" t="n"/>
      <c r="M4" s="552" t="n"/>
    </row>
    <row r="5" ht="21" customHeight="1" s="468">
      <c r="A5" s="685" t="n"/>
      <c r="B5" s="218" t="n"/>
      <c r="C5" s="219" t="n"/>
      <c r="D5" s="220" t="n"/>
      <c r="E5" s="221" t="inlineStr">
        <is>
          <t>CX</t>
        </is>
      </c>
      <c r="F5" s="68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20">
        <f>IFERROR(ROUNDUP(D5/F5,0),"")</f>
        <v/>
      </c>
      <c r="H5" s="224" t="n"/>
      <c r="I5" s="22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552" t="n"/>
      <c r="K5" s="552" t="n"/>
      <c r="L5" s="552" t="n"/>
      <c r="M5" s="552" t="n"/>
    </row>
    <row r="6" ht="21" customHeight="1" s="468">
      <c r="A6" s="685" t="n"/>
      <c r="B6" s="218" t="n"/>
      <c r="C6" s="219" t="n"/>
      <c r="D6" s="220" t="n"/>
      <c r="E6" s="221" t="inlineStr">
        <is>
          <t>CX</t>
        </is>
      </c>
      <c r="F6" s="68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20">
        <f>IFERROR(ROUNDUP(D6/F6,0),"")</f>
        <v/>
      </c>
      <c r="H6" s="224" t="n"/>
      <c r="I6" s="220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552" t="n"/>
      <c r="K6" s="552" t="n"/>
      <c r="L6" s="552" t="n"/>
      <c r="M6" s="552" t="n"/>
    </row>
    <row r="7" ht="21" customHeight="1" s="468">
      <c r="A7" s="685" t="n"/>
      <c r="B7" s="218" t="n"/>
      <c r="C7" s="219" t="n"/>
      <c r="D7" s="220" t="n"/>
      <c r="E7" s="221" t="inlineStr">
        <is>
          <t>CX</t>
        </is>
      </c>
      <c r="F7" s="68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20">
        <f>IFERROR(ROUNDUP(D7/F7,0),"")</f>
        <v/>
      </c>
      <c r="H7" s="224" t="n"/>
      <c r="I7" s="220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2" t="n"/>
      <c r="K7" s="552" t="n"/>
      <c r="L7" s="552" t="n"/>
      <c r="M7" s="552" t="n"/>
    </row>
    <row r="8" ht="21" customHeight="1" s="468">
      <c r="A8" s="685" t="n"/>
      <c r="B8" s="218" t="n"/>
      <c r="C8" s="219" t="n"/>
      <c r="D8" s="220" t="n"/>
      <c r="E8" s="221" t="inlineStr">
        <is>
          <t>CX</t>
        </is>
      </c>
      <c r="F8" s="68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20">
        <f>IFERROR(ROUNDUP(D8/F8,0),"")</f>
        <v/>
      </c>
      <c r="H8" s="224" t="n"/>
      <c r="I8" s="220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552" t="n"/>
      <c r="K8" s="552" t="n"/>
      <c r="L8" s="552" t="n"/>
      <c r="M8" s="552" t="n"/>
    </row>
    <row r="9" ht="15" customHeight="1" s="468">
      <c r="A9" s="658" t="n"/>
      <c r="B9" s="640" t="inlineStr">
        <is>
          <t>TOTAL</t>
        </is>
      </c>
      <c r="C9" s="667" t="n"/>
      <c r="D9" s="642">
        <f>SUM(D4:D8)</f>
        <v/>
      </c>
      <c r="E9" s="668" t="n"/>
      <c r="F9" s="644" t="n"/>
      <c r="G9" s="642">
        <f>SUM(G4:G8)</f>
        <v/>
      </c>
      <c r="H9" s="642">
        <f>SUM(H4:H8)</f>
        <v/>
      </c>
      <c r="I9" s="642">
        <f>SUM(I4:I8)</f>
        <v/>
      </c>
      <c r="J9" s="644">
        <f>D9</f>
        <v/>
      </c>
      <c r="K9" s="644">
        <f>G9</f>
        <v/>
      </c>
      <c r="L9" s="644">
        <f>H9</f>
        <v/>
      </c>
      <c r="M9" s="644">
        <f>I9</f>
        <v/>
      </c>
    </row>
    <row r="10" ht="6" customHeight="1" s="468">
      <c r="A10" s="638" t="n"/>
      <c r="C10" s="71" t="n"/>
      <c r="D10" s="552" t="n"/>
      <c r="F10" s="552" t="n"/>
      <c r="G10" s="552" t="n"/>
      <c r="H10" s="552" t="n"/>
      <c r="I10" s="552" t="n"/>
      <c r="J10" s="552" t="n"/>
      <c r="K10" s="552" t="n"/>
      <c r="L10" s="552" t="n"/>
      <c r="M10" s="552" t="n"/>
    </row>
    <row r="11" ht="15" customHeight="1" s="468">
      <c r="A11" s="646" t="n">
        <v>46297</v>
      </c>
      <c r="B11" s="213" t="inlineStr">
        <is>
          <t>PRODUTO</t>
        </is>
      </c>
      <c r="C11" s="214" t="inlineStr">
        <is>
          <t>EMBALAGEM</t>
        </is>
      </c>
      <c r="D11" s="244" t="inlineStr">
        <is>
          <t>CAIXAS</t>
        </is>
      </c>
      <c r="E11" s="215" t="inlineStr">
        <is>
          <t>UN</t>
        </is>
      </c>
      <c r="F11" s="687" t="inlineStr">
        <is>
          <t>CX/PALLET</t>
        </is>
      </c>
      <c r="G11" s="244" t="inlineStr">
        <is>
          <t>PALLETS (PBR)</t>
        </is>
      </c>
      <c r="H11" s="244" t="inlineStr">
        <is>
          <t>REAL (CX)</t>
        </is>
      </c>
      <c r="I11" s="244" t="inlineStr">
        <is>
          <t>TOTAL LATAS</t>
        </is>
      </c>
      <c r="J11" s="552" t="n"/>
      <c r="K11" s="552" t="n"/>
      <c r="L11" s="552" t="n"/>
      <c r="M11" s="552" t="n"/>
    </row>
    <row r="12" ht="21" customHeight="1" s="468">
      <c r="A12" s="685" t="n"/>
      <c r="B12" s="218" t="n"/>
      <c r="C12" s="219" t="n"/>
      <c r="D12" s="220" t="n"/>
      <c r="E12" s="221" t="inlineStr">
        <is>
          <t>CX</t>
        </is>
      </c>
      <c r="F12" s="686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20">
        <f>IFERROR(ROUNDUP(D12/F12,0),"")</f>
        <v/>
      </c>
      <c r="H12" s="224" t="n"/>
      <c r="I12" s="220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  <c r="J12" s="552" t="n"/>
      <c r="K12" s="552" t="n"/>
      <c r="L12" s="552" t="n"/>
      <c r="M12" s="552" t="n"/>
    </row>
    <row r="13" ht="21" customHeight="1" s="468">
      <c r="A13" s="685" t="n"/>
      <c r="B13" s="218" t="n"/>
      <c r="C13" s="219" t="n"/>
      <c r="D13" s="220" t="n"/>
      <c r="E13" s="221" t="inlineStr">
        <is>
          <t>CX</t>
        </is>
      </c>
      <c r="F13" s="68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20">
        <f>IFERROR(ROUNDUP(D13/F13,0),"")</f>
        <v/>
      </c>
      <c r="H13" s="224" t="n"/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552" t="n"/>
      <c r="K13" s="552" t="n"/>
      <c r="L13" s="552" t="n"/>
      <c r="M13" s="552" t="n"/>
    </row>
    <row r="14" ht="21" customHeight="1" s="468">
      <c r="A14" s="685" t="n"/>
      <c r="B14" s="218" t="n"/>
      <c r="C14" s="219" t="n"/>
      <c r="D14" s="220" t="n"/>
      <c r="E14" s="221" t="inlineStr">
        <is>
          <t>CX</t>
        </is>
      </c>
      <c r="F14" s="68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20">
        <f>IFERROR(ROUNDUP(D14/F14,0),"")</f>
        <v/>
      </c>
      <c r="H14" s="224" t="n"/>
      <c r="I14" s="220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52" t="n"/>
      <c r="K14" s="552" t="n"/>
      <c r="L14" s="552" t="n"/>
      <c r="M14" s="552" t="n"/>
    </row>
    <row r="15" ht="21" customHeight="1" s="468">
      <c r="A15" s="685" t="n"/>
      <c r="B15" s="218" t="n"/>
      <c r="C15" s="219" t="n"/>
      <c r="D15" s="220" t="n"/>
      <c r="E15" s="221" t="inlineStr">
        <is>
          <t>CX</t>
        </is>
      </c>
      <c r="F15" s="686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20">
        <f>IFERROR(ROUNDUP(D15/F15,0),"")</f>
        <v/>
      </c>
      <c r="H15" s="224" t="n"/>
      <c r="I15" s="220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2" t="n"/>
      <c r="K15" s="552" t="n"/>
      <c r="L15" s="552" t="n"/>
      <c r="M15" s="552" t="n"/>
    </row>
    <row r="16" ht="21" customHeight="1" s="468">
      <c r="A16" s="685" t="n"/>
      <c r="B16" s="218" t="n"/>
      <c r="C16" s="219" t="n"/>
      <c r="D16" s="220" t="n"/>
      <c r="E16" s="221" t="inlineStr">
        <is>
          <t>CX</t>
        </is>
      </c>
      <c r="F16" s="686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20">
        <f>IFERROR(ROUNDUP(D16/F16,0),"")</f>
        <v/>
      </c>
      <c r="H16" s="224" t="n"/>
      <c r="I16" s="220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552" t="n"/>
      <c r="K16" s="552" t="n"/>
      <c r="L16" s="552" t="n"/>
      <c r="M16" s="552" t="n"/>
    </row>
    <row r="17" ht="15" customHeight="1" s="468">
      <c r="A17" s="658" t="n"/>
      <c r="B17" s="640" t="inlineStr">
        <is>
          <t>TOTAL</t>
        </is>
      </c>
      <c r="C17" s="667" t="n"/>
      <c r="D17" s="642">
        <f>SUM(D12:D16)</f>
        <v/>
      </c>
      <c r="E17" s="668" t="n"/>
      <c r="F17" s="644" t="n"/>
      <c r="G17" s="642">
        <f>SUM(G12:G16)</f>
        <v/>
      </c>
      <c r="H17" s="642">
        <f>SUM(H12:H16)</f>
        <v/>
      </c>
      <c r="I17" s="642">
        <f>SUM(I12:I16)</f>
        <v/>
      </c>
      <c r="J17" s="644">
        <f>D17</f>
        <v/>
      </c>
      <c r="K17" s="644">
        <f>G17</f>
        <v/>
      </c>
      <c r="L17" s="644">
        <f>H17</f>
        <v/>
      </c>
      <c r="M17" s="644">
        <f>I17</f>
        <v/>
      </c>
    </row>
    <row r="18" ht="6" customHeight="1" s="468">
      <c r="A18" s="638" t="n"/>
      <c r="C18" s="71" t="n"/>
      <c r="D18" s="552" t="n"/>
      <c r="F18" s="552" t="n"/>
      <c r="G18" s="552" t="n"/>
      <c r="H18" s="552" t="n"/>
      <c r="I18" s="552" t="n"/>
      <c r="J18" s="552" t="n"/>
      <c r="K18" s="552" t="n"/>
      <c r="L18" s="552" t="n"/>
      <c r="M18" s="552" t="n"/>
    </row>
    <row r="19" ht="15" customHeight="1" s="468">
      <c r="A19" s="696" t="n">
        <v>46298</v>
      </c>
      <c r="B19" s="213" t="inlineStr">
        <is>
          <t>PRODUTO</t>
        </is>
      </c>
      <c r="C19" s="214" t="inlineStr">
        <is>
          <t>EMBALAGEM</t>
        </is>
      </c>
      <c r="D19" s="244" t="inlineStr">
        <is>
          <t>CAIXAS</t>
        </is>
      </c>
      <c r="E19" s="215" t="inlineStr">
        <is>
          <t>UN</t>
        </is>
      </c>
      <c r="F19" s="697" t="inlineStr">
        <is>
          <t>CX/PALLET</t>
        </is>
      </c>
      <c r="G19" s="244" t="inlineStr">
        <is>
          <t>PALLETS (PBR)</t>
        </is>
      </c>
      <c r="H19" s="244" t="inlineStr">
        <is>
          <t>REAL (CX)</t>
        </is>
      </c>
      <c r="I19" s="244" t="inlineStr">
        <is>
          <t>TOTAL LATAS</t>
        </is>
      </c>
      <c r="J19" s="274" t="n"/>
      <c r="K19" s="274" t="n"/>
      <c r="L19" s="274" t="n"/>
      <c r="M19" s="274" t="n"/>
    </row>
    <row r="20" ht="21" customHeight="1" s="468">
      <c r="A20" s="685" t="n"/>
      <c r="B20" s="266" t="n"/>
      <c r="C20" s="267" t="n"/>
      <c r="D20" s="268" t="n"/>
      <c r="E20" s="269" t="inlineStr">
        <is>
          <t>CX</t>
        </is>
      </c>
      <c r="F20" s="698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68">
        <f>IFERROR(ROUNDUP(D20/F20,0),"")</f>
        <v/>
      </c>
      <c r="H20" s="224" t="n"/>
      <c r="I20" s="268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274" t="n"/>
      <c r="K20" s="274" t="n"/>
      <c r="L20" s="274" t="n"/>
      <c r="M20" s="274" t="n"/>
    </row>
    <row r="21" ht="21" customHeight="1" s="468">
      <c r="A21" s="685" t="n"/>
      <c r="B21" s="266" t="n"/>
      <c r="C21" s="267" t="n"/>
      <c r="D21" s="268" t="n"/>
      <c r="E21" s="269" t="inlineStr">
        <is>
          <t>CX</t>
        </is>
      </c>
      <c r="F21" s="698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68">
        <f>IFERROR(ROUNDUP(D21/F21,0),"")</f>
        <v/>
      </c>
      <c r="H21" s="224" t="n"/>
      <c r="I21" s="268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274" t="n"/>
      <c r="K21" s="274" t="n"/>
      <c r="L21" s="274" t="n"/>
      <c r="M21" s="274" t="n"/>
    </row>
    <row r="22" ht="21" customHeight="1" s="468">
      <c r="A22" s="685" t="n"/>
      <c r="B22" s="266" t="n"/>
      <c r="C22" s="267" t="n"/>
      <c r="D22" s="268" t="n"/>
      <c r="E22" s="269" t="inlineStr">
        <is>
          <t>CX</t>
        </is>
      </c>
      <c r="F22" s="698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68">
        <f>IFERROR(ROUNDUP(D22/F22,0),"")</f>
        <v/>
      </c>
      <c r="H22" s="224" t="n"/>
      <c r="I22" s="268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274" t="n"/>
      <c r="K22" s="274" t="n"/>
      <c r="L22" s="274" t="n"/>
      <c r="M22" s="274" t="n"/>
    </row>
    <row r="23" ht="21" customHeight="1" s="468">
      <c r="A23" s="685" t="n"/>
      <c r="B23" s="266" t="n"/>
      <c r="C23" s="267" t="n"/>
      <c r="D23" s="268" t="n"/>
      <c r="E23" s="269" t="inlineStr">
        <is>
          <t>CX</t>
        </is>
      </c>
      <c r="F23" s="698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68">
        <f>IFERROR(ROUNDUP(D23/F23,0),"")</f>
        <v/>
      </c>
      <c r="H23" s="224" t="n"/>
      <c r="I23" s="268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274" t="n"/>
      <c r="K23" s="274" t="n"/>
      <c r="L23" s="274" t="n"/>
      <c r="M23" s="274" t="n"/>
    </row>
    <row r="24" ht="21" customHeight="1" s="468">
      <c r="A24" s="685" t="n"/>
      <c r="B24" s="266" t="n"/>
      <c r="C24" s="267" t="n"/>
      <c r="D24" s="268" t="n"/>
      <c r="E24" s="269" t="inlineStr">
        <is>
          <t>CX</t>
        </is>
      </c>
      <c r="F24" s="698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68">
        <f>IFERROR(ROUNDUP(D24/F24,0),"")</f>
        <v/>
      </c>
      <c r="H24" s="224" t="n"/>
      <c r="I24" s="268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274" t="n"/>
      <c r="K24" s="274" t="n"/>
      <c r="L24" s="274" t="n"/>
      <c r="M24" s="274" t="n"/>
    </row>
    <row r="25" ht="15" customHeight="1" s="468">
      <c r="A25" s="658" t="n"/>
      <c r="B25" s="640" t="inlineStr">
        <is>
          <t>TOTAL</t>
        </is>
      </c>
      <c r="C25" s="667" t="n"/>
      <c r="D25" s="642">
        <f>SUM(D20:D24)</f>
        <v/>
      </c>
      <c r="E25" s="668" t="n"/>
      <c r="F25" s="644" t="n"/>
      <c r="G25" s="642">
        <f>SUM(G20:G24)</f>
        <v/>
      </c>
      <c r="H25" s="642">
        <f>SUM(H20:H24)</f>
        <v/>
      </c>
      <c r="I25" s="642">
        <f>SUM(I20:I24)</f>
        <v/>
      </c>
      <c r="J25" s="644">
        <f>D25</f>
        <v/>
      </c>
      <c r="K25" s="644">
        <f>G25</f>
        <v/>
      </c>
      <c r="L25" s="644">
        <f>H25</f>
        <v/>
      </c>
      <c r="M25" s="644">
        <f>I25</f>
        <v/>
      </c>
    </row>
    <row r="26" ht="6" customHeight="1" s="468">
      <c r="A26" s="699" t="n"/>
      <c r="B26" s="265" t="n"/>
      <c r="C26" s="276" t="n"/>
      <c r="D26" s="274" t="n"/>
      <c r="E26" s="265" t="n"/>
      <c r="F26" s="274" t="n"/>
      <c r="G26" s="274" t="n"/>
      <c r="H26" s="274" t="n"/>
      <c r="I26" s="274" t="n"/>
      <c r="J26" s="274" t="n"/>
      <c r="K26" s="274" t="n"/>
      <c r="L26" s="274" t="n"/>
      <c r="M26" s="274" t="n"/>
    </row>
    <row r="27" ht="15" customHeight="1" s="468">
      <c r="A27" s="646" t="n">
        <v>46300</v>
      </c>
      <c r="B27" s="213" t="inlineStr">
        <is>
          <t>PRODUTO</t>
        </is>
      </c>
      <c r="C27" s="214" t="inlineStr">
        <is>
          <t>EMBALAGEM</t>
        </is>
      </c>
      <c r="D27" s="244" t="inlineStr">
        <is>
          <t>CAIXAS</t>
        </is>
      </c>
      <c r="E27" s="215" t="inlineStr">
        <is>
          <t>UN</t>
        </is>
      </c>
      <c r="F27" s="687" t="inlineStr">
        <is>
          <t>CX/PALLET</t>
        </is>
      </c>
      <c r="G27" s="244" t="inlineStr">
        <is>
          <t>PALLETS (PBR)</t>
        </is>
      </c>
      <c r="H27" s="244" t="inlineStr">
        <is>
          <t>REAL (CX)</t>
        </is>
      </c>
      <c r="I27" s="244" t="inlineStr">
        <is>
          <t>TOTAL LATAS</t>
        </is>
      </c>
      <c r="J27" s="552" t="n"/>
      <c r="K27" s="552" t="n"/>
      <c r="L27" s="552" t="n"/>
      <c r="M27" s="552" t="n"/>
    </row>
    <row r="28" ht="21" customHeight="1" s="468">
      <c r="A28" s="685" t="n"/>
      <c r="B28" s="218" t="n"/>
      <c r="C28" s="219" t="n"/>
      <c r="D28" s="220" t="n"/>
      <c r="E28" s="221" t="inlineStr">
        <is>
          <t>CX</t>
        </is>
      </c>
      <c r="F28" s="686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20">
        <f>IFERROR(ROUNDUP(D28/F28,0),"")</f>
        <v/>
      </c>
      <c r="H28" s="224" t="n"/>
      <c r="I28" s="220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552" t="n"/>
      <c r="K28" s="552" t="n"/>
      <c r="L28" s="552" t="n"/>
      <c r="M28" s="552" t="n"/>
    </row>
    <row r="29" ht="21" customHeight="1" s="468">
      <c r="A29" s="685" t="n"/>
      <c r="B29" s="218" t="n"/>
      <c r="C29" s="219" t="n"/>
      <c r="D29" s="220" t="n"/>
      <c r="E29" s="221" t="inlineStr">
        <is>
          <t>CX</t>
        </is>
      </c>
      <c r="F29" s="686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20">
        <f>IFERROR(ROUNDUP(D29/F29,0),"")</f>
        <v/>
      </c>
      <c r="H29" s="224" t="n"/>
      <c r="I29" s="220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52" t="n"/>
      <c r="K29" s="552" t="n"/>
      <c r="L29" s="552" t="n"/>
      <c r="M29" s="552" t="n"/>
    </row>
    <row r="30" ht="21" customHeight="1" s="468">
      <c r="A30" s="685" t="n"/>
      <c r="B30" s="218" t="n"/>
      <c r="C30" s="219" t="n"/>
      <c r="D30" s="220" t="n"/>
      <c r="E30" s="221" t="inlineStr">
        <is>
          <t>CX</t>
        </is>
      </c>
      <c r="F30" s="686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20">
        <f>IFERROR(ROUNDUP(D30/F30,0),"")</f>
        <v/>
      </c>
      <c r="H30" s="224" t="n"/>
      <c r="I30" s="220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552" t="n"/>
      <c r="K30" s="552" t="n"/>
      <c r="L30" s="552" t="n"/>
      <c r="M30" s="552" t="n"/>
    </row>
    <row r="31" ht="21" customHeight="1" s="468">
      <c r="A31" s="685" t="n"/>
      <c r="B31" s="218" t="n"/>
      <c r="C31" s="219" t="n"/>
      <c r="D31" s="220" t="n"/>
      <c r="E31" s="221" t="inlineStr">
        <is>
          <t>CX</t>
        </is>
      </c>
      <c r="F31" s="68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20">
        <f>IFERROR(ROUNDUP(D31/F31,0),"")</f>
        <v/>
      </c>
      <c r="H31" s="224" t="n"/>
      <c r="I31" s="220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552" t="n"/>
      <c r="K31" s="552" t="n"/>
      <c r="L31" s="552" t="n"/>
      <c r="M31" s="552" t="n"/>
    </row>
    <row r="32" ht="21" customHeight="1" s="468">
      <c r="A32" s="685" t="n"/>
      <c r="B32" s="218" t="n"/>
      <c r="C32" s="219" t="n"/>
      <c r="D32" s="220" t="n"/>
      <c r="E32" s="221" t="inlineStr">
        <is>
          <t>CX</t>
        </is>
      </c>
      <c r="F32" s="68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20">
        <f>IFERROR(ROUNDUP(D32/F32,0),"")</f>
        <v/>
      </c>
      <c r="H32" s="224" t="n"/>
      <c r="I32" s="220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552" t="n"/>
      <c r="K32" s="552" t="n"/>
      <c r="L32" s="552" t="n"/>
      <c r="M32" s="552" t="n"/>
    </row>
    <row r="33" ht="15" customHeight="1" s="468">
      <c r="A33" s="658" t="n"/>
      <c r="B33" s="640" t="inlineStr">
        <is>
          <t>TOTAL</t>
        </is>
      </c>
      <c r="C33" s="667" t="n"/>
      <c r="D33" s="642">
        <f>SUM(D28:D32)</f>
        <v/>
      </c>
      <c r="E33" s="668" t="n"/>
      <c r="F33" s="644" t="n"/>
      <c r="G33" s="642">
        <f>SUM(G28:G32)</f>
        <v/>
      </c>
      <c r="H33" s="642">
        <f>SUM(H28:H32)</f>
        <v/>
      </c>
      <c r="I33" s="642">
        <f>SUM(I28:I32)</f>
        <v/>
      </c>
      <c r="J33" s="644">
        <f>D33</f>
        <v/>
      </c>
      <c r="K33" s="644">
        <f>G33</f>
        <v/>
      </c>
      <c r="L33" s="644">
        <f>H33</f>
        <v/>
      </c>
      <c r="M33" s="644">
        <f>I33</f>
        <v/>
      </c>
    </row>
    <row r="34" ht="6" customHeight="1" s="468">
      <c r="A34" s="638" t="n"/>
      <c r="C34" s="71" t="n"/>
      <c r="D34" s="552" t="n"/>
      <c r="F34" s="552" t="n"/>
      <c r="G34" s="552" t="n"/>
      <c r="H34" s="552" t="n"/>
      <c r="I34" s="552" t="n"/>
      <c r="J34" s="552" t="n"/>
      <c r="K34" s="552" t="n"/>
      <c r="L34" s="552" t="n"/>
      <c r="M34" s="552" t="n"/>
    </row>
    <row r="35" ht="15" customHeight="1" s="468">
      <c r="A35" s="646" t="n">
        <v>46301</v>
      </c>
      <c r="B35" s="213" t="inlineStr">
        <is>
          <t>PRODUTO</t>
        </is>
      </c>
      <c r="C35" s="214" t="inlineStr">
        <is>
          <t>EMBALAGEM</t>
        </is>
      </c>
      <c r="D35" s="244" t="inlineStr">
        <is>
          <t>CAIXAS</t>
        </is>
      </c>
      <c r="E35" s="215" t="inlineStr">
        <is>
          <t>UN</t>
        </is>
      </c>
      <c r="F35" s="687" t="inlineStr">
        <is>
          <t>CX/PALLET</t>
        </is>
      </c>
      <c r="G35" s="244" t="inlineStr">
        <is>
          <t>PALLETS (PBR)</t>
        </is>
      </c>
      <c r="H35" s="244" t="inlineStr">
        <is>
          <t>REAL (CX)</t>
        </is>
      </c>
      <c r="I35" s="244" t="inlineStr">
        <is>
          <t>TOTAL LATAS</t>
        </is>
      </c>
      <c r="J35" s="552" t="n"/>
      <c r="K35" s="552" t="n"/>
      <c r="L35" s="552" t="n"/>
      <c r="M35" s="552" t="n"/>
    </row>
    <row r="36" ht="21" customHeight="1" s="468">
      <c r="A36" s="685" t="n"/>
      <c r="B36" s="218" t="n"/>
      <c r="C36" s="219" t="n"/>
      <c r="D36" s="220" t="n"/>
      <c r="E36" s="221" t="inlineStr">
        <is>
          <t>CX</t>
        </is>
      </c>
      <c r="F36" s="68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20">
        <f>IFERROR(ROUNDUP(D36/F36,0),"")</f>
        <v/>
      </c>
      <c r="H36" s="224" t="n"/>
      <c r="I36" s="220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552" t="n"/>
      <c r="K36" s="552" t="n"/>
      <c r="L36" s="552" t="n"/>
      <c r="M36" s="552" t="n"/>
    </row>
    <row r="37" ht="21" customHeight="1" s="468">
      <c r="A37" s="685" t="n"/>
      <c r="B37" s="218" t="n"/>
      <c r="C37" s="219" t="n"/>
      <c r="D37" s="220" t="n"/>
      <c r="E37" s="221" t="inlineStr">
        <is>
          <t>CX</t>
        </is>
      </c>
      <c r="F37" s="686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20">
        <f>IFERROR(ROUNDUP(D37/F37,0),"")</f>
        <v/>
      </c>
      <c r="H37" s="224" t="n"/>
      <c r="I37" s="220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552" t="n"/>
      <c r="K37" s="552" t="n"/>
      <c r="L37" s="552" t="n"/>
      <c r="M37" s="552" t="n"/>
    </row>
    <row r="38" ht="21" customHeight="1" s="468">
      <c r="A38" s="685" t="n"/>
      <c r="B38" s="218" t="n"/>
      <c r="C38" s="219" t="n"/>
      <c r="D38" s="220" t="n"/>
      <c r="E38" s="221" t="inlineStr">
        <is>
          <t>CX</t>
        </is>
      </c>
      <c r="F38" s="686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20">
        <f>IFERROR(ROUNDUP(D38/F38,0),"")</f>
        <v/>
      </c>
      <c r="H38" s="224" t="n"/>
      <c r="I38" s="220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552" t="n"/>
      <c r="K38" s="552" t="n"/>
      <c r="L38" s="552" t="n"/>
      <c r="M38" s="552" t="n"/>
    </row>
    <row r="39" ht="21" customHeight="1" s="468">
      <c r="A39" s="685" t="n"/>
      <c r="B39" s="218" t="n"/>
      <c r="C39" s="219" t="n"/>
      <c r="D39" s="220" t="n"/>
      <c r="E39" s="221" t="inlineStr">
        <is>
          <t>CX</t>
        </is>
      </c>
      <c r="F39" s="686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20">
        <f>IFERROR(ROUNDUP(D39/F39,0),"")</f>
        <v/>
      </c>
      <c r="H39" s="224" t="n"/>
      <c r="I39" s="220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52" t="n"/>
      <c r="K39" s="552" t="n"/>
      <c r="L39" s="552" t="n"/>
      <c r="M39" s="552" t="n"/>
    </row>
    <row r="40" ht="21" customHeight="1" s="468">
      <c r="A40" s="685" t="n"/>
      <c r="B40" s="218" t="n"/>
      <c r="C40" s="219" t="n"/>
      <c r="D40" s="220" t="n"/>
      <c r="E40" s="221" t="inlineStr">
        <is>
          <t>CX</t>
        </is>
      </c>
      <c r="F40" s="68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20">
        <f>IFERROR(ROUNDUP(D40/F40,0),"")</f>
        <v/>
      </c>
      <c r="H40" s="224" t="n"/>
      <c r="I40" s="220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552" t="n"/>
      <c r="K40" s="552" t="n"/>
      <c r="L40" s="552" t="n"/>
      <c r="M40" s="552" t="n"/>
    </row>
    <row r="41" ht="15" customHeight="1" s="468">
      <c r="A41" s="658" t="n"/>
      <c r="B41" s="640" t="inlineStr">
        <is>
          <t>TOTAL</t>
        </is>
      </c>
      <c r="C41" s="667" t="n"/>
      <c r="D41" s="642">
        <f>SUM(D36:D40)</f>
        <v/>
      </c>
      <c r="E41" s="668" t="n"/>
      <c r="F41" s="644" t="n"/>
      <c r="G41" s="642">
        <f>SUM(G36:G40)</f>
        <v/>
      </c>
      <c r="H41" s="642">
        <f>SUM(H36:H40)</f>
        <v/>
      </c>
      <c r="I41" s="642">
        <f>SUM(I36:I40)</f>
        <v/>
      </c>
      <c r="J41" s="644">
        <f>D41</f>
        <v/>
      </c>
      <c r="K41" s="644">
        <f>G41</f>
        <v/>
      </c>
      <c r="L41" s="644">
        <f>H41</f>
        <v/>
      </c>
      <c r="M41" s="644">
        <f>I41</f>
        <v/>
      </c>
    </row>
    <row r="42" ht="6" customHeight="1" s="468">
      <c r="A42" s="638" t="n"/>
      <c r="C42" s="71" t="n"/>
      <c r="D42" s="552" t="n"/>
      <c r="F42" s="552" t="n"/>
      <c r="G42" s="552" t="n"/>
      <c r="H42" s="552" t="n"/>
      <c r="I42" s="552" t="n"/>
      <c r="J42" s="552" t="n"/>
      <c r="K42" s="552" t="n"/>
      <c r="L42" s="552" t="n"/>
      <c r="M42" s="552" t="n"/>
    </row>
    <row r="43" ht="15" customHeight="1" s="468">
      <c r="A43" s="646" t="n">
        <v>46302</v>
      </c>
      <c r="B43" s="213" t="inlineStr">
        <is>
          <t>PRODUTO</t>
        </is>
      </c>
      <c r="C43" s="214" t="inlineStr">
        <is>
          <t>EMBALAGEM</t>
        </is>
      </c>
      <c r="D43" s="244" t="inlineStr">
        <is>
          <t>CAIXAS</t>
        </is>
      </c>
      <c r="E43" s="215" t="inlineStr">
        <is>
          <t>UN</t>
        </is>
      </c>
      <c r="F43" s="687" t="inlineStr">
        <is>
          <t>CX/PALLET</t>
        </is>
      </c>
      <c r="G43" s="244" t="inlineStr">
        <is>
          <t>PALLETS (PBR)</t>
        </is>
      </c>
      <c r="H43" s="244" t="inlineStr">
        <is>
          <t>REAL (CX)</t>
        </is>
      </c>
      <c r="I43" s="244" t="inlineStr">
        <is>
          <t>TOTAL LATAS</t>
        </is>
      </c>
      <c r="J43" s="552" t="n"/>
      <c r="K43" s="552" t="n"/>
      <c r="L43" s="552" t="n"/>
      <c r="M43" s="552" t="n"/>
    </row>
    <row r="44" ht="21" customHeight="1" s="468">
      <c r="A44" s="685" t="n"/>
      <c r="B44" s="218" t="n"/>
      <c r="C44" s="219" t="n"/>
      <c r="D44" s="220" t="n"/>
      <c r="E44" s="221" t="inlineStr">
        <is>
          <t>CX</t>
        </is>
      </c>
      <c r="F44" s="686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20">
        <f>IFERROR(ROUNDUP(D44/F44,0),"")</f>
        <v/>
      </c>
      <c r="H44" s="224" t="n"/>
      <c r="I44" s="220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552" t="n"/>
      <c r="K44" s="552" t="n"/>
      <c r="L44" s="552" t="n"/>
      <c r="M44" s="552" t="n"/>
    </row>
    <row r="45" ht="21" customHeight="1" s="468">
      <c r="A45" s="685" t="n"/>
      <c r="B45" s="218" t="n"/>
      <c r="C45" s="219" t="n"/>
      <c r="D45" s="220" t="n"/>
      <c r="E45" s="221" t="inlineStr">
        <is>
          <t>CX</t>
        </is>
      </c>
      <c r="F45" s="68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20">
        <f>IFERROR(ROUNDUP(D45/F45,0),"")</f>
        <v/>
      </c>
      <c r="H45" s="224" t="n"/>
      <c r="I45" s="220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552" t="n"/>
      <c r="K45" s="552" t="n"/>
      <c r="L45" s="552" t="n"/>
      <c r="M45" s="552" t="n"/>
    </row>
    <row r="46" ht="21" customHeight="1" s="468">
      <c r="A46" s="685" t="n"/>
      <c r="B46" s="218" t="n"/>
      <c r="C46" s="219" t="n"/>
      <c r="D46" s="220" t="n"/>
      <c r="E46" s="221" t="inlineStr">
        <is>
          <t>CX</t>
        </is>
      </c>
      <c r="F46" s="686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20">
        <f>IFERROR(ROUNDUP(D46/F46,0),"")</f>
        <v/>
      </c>
      <c r="H46" s="224" t="n"/>
      <c r="I46" s="220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552" t="n"/>
      <c r="K46" s="552" t="n"/>
      <c r="L46" s="552" t="n"/>
      <c r="M46" s="552" t="n"/>
    </row>
    <row r="47" ht="21" customHeight="1" s="468">
      <c r="A47" s="685" t="n"/>
      <c r="B47" s="218" t="n"/>
      <c r="C47" s="219" t="n"/>
      <c r="D47" s="220" t="n"/>
      <c r="E47" s="221" t="inlineStr">
        <is>
          <t>CX</t>
        </is>
      </c>
      <c r="F47" s="686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20">
        <f>IFERROR(ROUNDUP(D47/F47,0),"")</f>
        <v/>
      </c>
      <c r="H47" s="224" t="n"/>
      <c r="I47" s="220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52" t="n"/>
      <c r="K47" s="552" t="n"/>
      <c r="L47" s="552" t="n"/>
      <c r="M47" s="552" t="n"/>
    </row>
    <row r="48" ht="21" customHeight="1" s="468">
      <c r="A48" s="685" t="n"/>
      <c r="B48" s="218" t="n"/>
      <c r="C48" s="219" t="n"/>
      <c r="D48" s="220" t="n"/>
      <c r="E48" s="221" t="inlineStr">
        <is>
          <t>CX</t>
        </is>
      </c>
      <c r="F48" s="686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20">
        <f>IFERROR(ROUNDUP(D48/F48,0),"")</f>
        <v/>
      </c>
      <c r="H48" s="224" t="n"/>
      <c r="I48" s="220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552" t="n"/>
      <c r="K48" s="552" t="n"/>
      <c r="L48" s="552" t="n"/>
      <c r="M48" s="552" t="n"/>
    </row>
    <row r="49" ht="15" customHeight="1" s="468">
      <c r="A49" s="658" t="n"/>
      <c r="B49" s="640" t="inlineStr">
        <is>
          <t>TOTAL</t>
        </is>
      </c>
      <c r="C49" s="667" t="n"/>
      <c r="D49" s="642">
        <f>SUM(D44:D48)</f>
        <v/>
      </c>
      <c r="E49" s="668" t="n"/>
      <c r="F49" s="644" t="n"/>
      <c r="G49" s="642">
        <f>SUM(G44:G48)</f>
        <v/>
      </c>
      <c r="H49" s="642">
        <f>SUM(H44:H48)</f>
        <v/>
      </c>
      <c r="I49" s="642">
        <f>SUM(I44:I48)</f>
        <v/>
      </c>
      <c r="J49" s="644">
        <f>D49</f>
        <v/>
      </c>
      <c r="K49" s="644">
        <f>G49</f>
        <v/>
      </c>
      <c r="L49" s="644">
        <f>H49</f>
        <v/>
      </c>
      <c r="M49" s="644">
        <f>I49</f>
        <v/>
      </c>
    </row>
    <row r="50" ht="6" customHeight="1" s="468">
      <c r="A50" s="638" t="n"/>
      <c r="C50" s="71" t="n"/>
      <c r="D50" s="552" t="n"/>
      <c r="F50" s="552" t="n"/>
      <c r="G50" s="552" t="n"/>
      <c r="H50" s="552" t="n"/>
      <c r="I50" s="552" t="n"/>
      <c r="J50" s="552" t="n"/>
      <c r="K50" s="552" t="n"/>
      <c r="L50" s="552" t="n"/>
      <c r="M50" s="552" t="n"/>
    </row>
    <row r="51" ht="15" customHeight="1" s="468">
      <c r="A51" s="646" t="n">
        <v>46303</v>
      </c>
      <c r="B51" s="213" t="inlineStr">
        <is>
          <t>PRODUTO</t>
        </is>
      </c>
      <c r="C51" s="214" t="inlineStr">
        <is>
          <t>EMBALAGEM</t>
        </is>
      </c>
      <c r="D51" s="244" t="inlineStr">
        <is>
          <t>CAIXAS</t>
        </is>
      </c>
      <c r="E51" s="215" t="inlineStr">
        <is>
          <t>UN</t>
        </is>
      </c>
      <c r="F51" s="687" t="inlineStr">
        <is>
          <t>CX/PALLET</t>
        </is>
      </c>
      <c r="G51" s="244" t="inlineStr">
        <is>
          <t>PALLETS (PBR)</t>
        </is>
      </c>
      <c r="H51" s="244" t="inlineStr">
        <is>
          <t>REAL (CX)</t>
        </is>
      </c>
      <c r="I51" s="244" t="inlineStr">
        <is>
          <t>TOTAL LATAS</t>
        </is>
      </c>
      <c r="J51" s="552" t="n"/>
      <c r="K51" s="552" t="n"/>
      <c r="L51" s="552" t="n"/>
      <c r="M51" s="552" t="n"/>
    </row>
    <row r="52" ht="21" customHeight="1" s="468">
      <c r="A52" s="685" t="n"/>
      <c r="B52" s="218" t="n"/>
      <c r="C52" s="219" t="n"/>
      <c r="D52" s="220" t="n"/>
      <c r="E52" s="221" t="inlineStr">
        <is>
          <t>CX</t>
        </is>
      </c>
      <c r="F52" s="686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20">
        <f>IFERROR(ROUNDUP(D52/F52,0),"")</f>
        <v/>
      </c>
      <c r="H52" s="224" t="n"/>
      <c r="I52" s="220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552" t="n"/>
      <c r="K52" s="552" t="n"/>
      <c r="L52" s="552" t="n"/>
      <c r="M52" s="552" t="n"/>
    </row>
    <row r="53" ht="21" customHeight="1" s="468">
      <c r="A53" s="685" t="n"/>
      <c r="B53" s="218" t="n"/>
      <c r="C53" s="219" t="n"/>
      <c r="D53" s="220" t="n"/>
      <c r="E53" s="221" t="inlineStr">
        <is>
          <t>CX</t>
        </is>
      </c>
      <c r="F53" s="68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20">
        <f>IFERROR(ROUNDUP(D53/F53,0),"")</f>
        <v/>
      </c>
      <c r="H53" s="224" t="n"/>
      <c r="I53" s="220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552" t="n"/>
      <c r="K53" s="552" t="n"/>
      <c r="L53" s="552" t="n"/>
      <c r="M53" s="552" t="n"/>
    </row>
    <row r="54" ht="21" customHeight="1" s="468">
      <c r="A54" s="685" t="n"/>
      <c r="B54" s="218" t="n"/>
      <c r="C54" s="219" t="n"/>
      <c r="D54" s="220" t="n"/>
      <c r="E54" s="221" t="inlineStr">
        <is>
          <t>CX</t>
        </is>
      </c>
      <c r="F54" s="686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20">
        <f>IFERROR(ROUNDUP(D54/F54,0),"")</f>
        <v/>
      </c>
      <c r="H54" s="224" t="n"/>
      <c r="I54" s="220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552" t="n"/>
      <c r="K54" s="552" t="n"/>
      <c r="L54" s="552" t="n"/>
      <c r="M54" s="552" t="n"/>
    </row>
    <row r="55" ht="21" customHeight="1" s="468">
      <c r="A55" s="685" t="n"/>
      <c r="B55" s="218" t="n"/>
      <c r="C55" s="219" t="n"/>
      <c r="D55" s="220" t="n"/>
      <c r="E55" s="221" t="inlineStr">
        <is>
          <t>CX</t>
        </is>
      </c>
      <c r="F55" s="68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20">
        <f>IFERROR(ROUNDUP(D55/F55,0),"")</f>
        <v/>
      </c>
      <c r="H55" s="224" t="n"/>
      <c r="I55" s="220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552" t="n"/>
      <c r="K55" s="552" t="n"/>
      <c r="L55" s="552" t="n"/>
      <c r="M55" s="552" t="n"/>
    </row>
    <row r="56" ht="21" customHeight="1" s="468">
      <c r="A56" s="685" t="n"/>
      <c r="B56" s="218" t="n"/>
      <c r="C56" s="219" t="n"/>
      <c r="D56" s="220" t="n"/>
      <c r="E56" s="221" t="inlineStr">
        <is>
          <t>CX</t>
        </is>
      </c>
      <c r="F56" s="686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20">
        <f>IFERROR(ROUNDUP(D56/F56,0),"")</f>
        <v/>
      </c>
      <c r="H56" s="224" t="n"/>
      <c r="I56" s="220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552" t="n"/>
      <c r="K56" s="552" t="n"/>
      <c r="L56" s="552" t="n"/>
      <c r="M56" s="552" t="n"/>
    </row>
    <row r="57" ht="15" customHeight="1" s="468">
      <c r="A57" s="658" t="n"/>
      <c r="B57" s="640" t="inlineStr">
        <is>
          <t>TOTAL</t>
        </is>
      </c>
      <c r="C57" s="667" t="n"/>
      <c r="D57" s="642">
        <f>SUM(D52:D56)</f>
        <v/>
      </c>
      <c r="E57" s="668" t="n"/>
      <c r="F57" s="644" t="n"/>
      <c r="G57" s="642">
        <f>SUM(G52:G56)</f>
        <v/>
      </c>
      <c r="H57" s="642">
        <f>SUM(H52:H56)</f>
        <v/>
      </c>
      <c r="I57" s="642">
        <f>SUM(I52:I56)</f>
        <v/>
      </c>
      <c r="J57" s="644">
        <f>D57</f>
        <v/>
      </c>
      <c r="K57" s="644">
        <f>G57</f>
        <v/>
      </c>
      <c r="L57" s="644">
        <f>H57</f>
        <v/>
      </c>
      <c r="M57" s="644">
        <f>I57</f>
        <v/>
      </c>
    </row>
    <row r="58" ht="6" customHeight="1" s="468">
      <c r="A58" s="638" t="n"/>
      <c r="C58" s="71" t="n"/>
      <c r="D58" s="552" t="n"/>
      <c r="F58" s="552" t="n"/>
      <c r="G58" s="552" t="n"/>
      <c r="H58" s="552" t="n"/>
      <c r="I58" s="552" t="n"/>
      <c r="J58" s="552" t="n"/>
      <c r="K58" s="552" t="n"/>
      <c r="L58" s="552" t="n"/>
      <c r="M58" s="552" t="n"/>
    </row>
    <row r="59" ht="15" customHeight="1" s="468">
      <c r="A59" s="646" t="n">
        <v>46304</v>
      </c>
      <c r="B59" s="213" t="inlineStr">
        <is>
          <t>PRODUTO</t>
        </is>
      </c>
      <c r="C59" s="214" t="inlineStr">
        <is>
          <t>EMBALAGEM</t>
        </is>
      </c>
      <c r="D59" s="244" t="inlineStr">
        <is>
          <t>CAIXAS</t>
        </is>
      </c>
      <c r="E59" s="215" t="inlineStr">
        <is>
          <t>UN</t>
        </is>
      </c>
      <c r="F59" s="687" t="inlineStr">
        <is>
          <t>CX/PALLET</t>
        </is>
      </c>
      <c r="G59" s="244" t="inlineStr">
        <is>
          <t>PALLETS (PBR)</t>
        </is>
      </c>
      <c r="H59" s="244" t="inlineStr">
        <is>
          <t>REAL (CX)</t>
        </is>
      </c>
      <c r="I59" s="244" t="inlineStr">
        <is>
          <t>TOTAL LATAS</t>
        </is>
      </c>
      <c r="J59" s="552" t="n"/>
      <c r="K59" s="552" t="n"/>
      <c r="L59" s="552" t="n"/>
      <c r="M59" s="552" t="n"/>
    </row>
    <row r="60" ht="21" customHeight="1" s="468">
      <c r="A60" s="685" t="n"/>
      <c r="B60" s="218" t="n"/>
      <c r="C60" s="219" t="n"/>
      <c r="D60" s="220" t="n"/>
      <c r="E60" s="221" t="inlineStr">
        <is>
          <t>CX</t>
        </is>
      </c>
      <c r="F60" s="68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20">
        <f>IFERROR(ROUNDUP(D60/F60,0),"")</f>
        <v/>
      </c>
      <c r="H60" s="224" t="n"/>
      <c r="I60" s="220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  <c r="J60" s="552" t="n"/>
      <c r="K60" s="552" t="n"/>
      <c r="L60" s="552" t="n"/>
      <c r="M60" s="552" t="n"/>
    </row>
    <row r="61" ht="21" customHeight="1" s="468">
      <c r="A61" s="685" t="n"/>
      <c r="B61" s="218" t="n"/>
      <c r="C61" s="219" t="n"/>
      <c r="D61" s="220" t="n"/>
      <c r="E61" s="221" t="inlineStr">
        <is>
          <t>CX</t>
        </is>
      </c>
      <c r="F61" s="68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20">
        <f>IFERROR(ROUNDUP(D61/F61,0),"")</f>
        <v/>
      </c>
      <c r="H61" s="224" t="n"/>
      <c r="I61" s="220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552" t="n"/>
      <c r="K61" s="552" t="n"/>
      <c r="L61" s="552" t="n"/>
      <c r="M61" s="552" t="n"/>
    </row>
    <row r="62" ht="21" customHeight="1" s="468">
      <c r="A62" s="685" t="n"/>
      <c r="B62" s="218" t="n"/>
      <c r="C62" s="219" t="n"/>
      <c r="D62" s="220" t="n"/>
      <c r="E62" s="221" t="inlineStr">
        <is>
          <t>CX</t>
        </is>
      </c>
      <c r="F62" s="686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20">
        <f>IFERROR(ROUNDUP(D62/F62,0),"")</f>
        <v/>
      </c>
      <c r="H62" s="224" t="n"/>
      <c r="I62" s="220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 t="n"/>
      <c r="K62" s="552" t="n"/>
      <c r="L62" s="552" t="n"/>
      <c r="M62" s="552" t="n"/>
    </row>
    <row r="63" ht="21" customHeight="1" s="468">
      <c r="A63" s="685" t="n"/>
      <c r="B63" s="218" t="n"/>
      <c r="C63" s="219" t="n"/>
      <c r="D63" s="220" t="n"/>
      <c r="E63" s="221" t="inlineStr">
        <is>
          <t>CX</t>
        </is>
      </c>
      <c r="F63" s="68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20">
        <f>IFERROR(ROUNDUP(D63/F63,0),"")</f>
        <v/>
      </c>
      <c r="H63" s="224" t="n"/>
      <c r="I63" s="220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552" t="n"/>
      <c r="K63" s="552" t="n"/>
      <c r="L63" s="552" t="n"/>
      <c r="M63" s="552" t="n"/>
    </row>
    <row r="64" ht="21" customHeight="1" s="468">
      <c r="A64" s="685" t="n"/>
      <c r="B64" s="218" t="n"/>
      <c r="C64" s="219" t="n"/>
      <c r="D64" s="220" t="n"/>
      <c r="E64" s="221" t="inlineStr">
        <is>
          <t>CX</t>
        </is>
      </c>
      <c r="F64" s="686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20">
        <f>IFERROR(ROUNDUP(D64/F64,0),"")</f>
        <v/>
      </c>
      <c r="H64" s="224" t="n"/>
      <c r="I64" s="220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  <c r="J64" s="552" t="n"/>
      <c r="K64" s="552" t="n"/>
      <c r="L64" s="552" t="n"/>
      <c r="M64" s="552" t="n"/>
    </row>
    <row r="65" ht="15" customHeight="1" s="468">
      <c r="A65" s="658" t="n"/>
      <c r="B65" s="640" t="inlineStr">
        <is>
          <t>TOTAL</t>
        </is>
      </c>
      <c r="C65" s="667" t="n"/>
      <c r="D65" s="642">
        <f>SUM(D60:D64)</f>
        <v/>
      </c>
      <c r="E65" s="668" t="n"/>
      <c r="F65" s="644" t="n"/>
      <c r="G65" s="642">
        <f>SUM(G60:G64)</f>
        <v/>
      </c>
      <c r="H65" s="642">
        <f>SUM(H60:H64)</f>
        <v/>
      </c>
      <c r="I65" s="642">
        <f>SUM(I60:I64)</f>
        <v/>
      </c>
      <c r="J65" s="644">
        <f>D65</f>
        <v/>
      </c>
      <c r="K65" s="644">
        <f>G65</f>
        <v/>
      </c>
      <c r="L65" s="644">
        <f>H65</f>
        <v/>
      </c>
      <c r="M65" s="644">
        <f>I65</f>
        <v/>
      </c>
    </row>
    <row r="66" ht="6" customHeight="1" s="468">
      <c r="A66" s="638" t="n"/>
      <c r="C66" s="71" t="n"/>
      <c r="D66" s="552" t="n"/>
      <c r="F66" s="552" t="n"/>
      <c r="G66" s="552" t="n"/>
      <c r="H66" s="552" t="n"/>
      <c r="I66" s="552" t="n"/>
      <c r="J66" s="552" t="n"/>
      <c r="K66" s="552" t="n"/>
      <c r="L66" s="552" t="n"/>
      <c r="M66" s="552" t="n"/>
    </row>
    <row r="67" ht="15" customHeight="1" s="468">
      <c r="A67" s="696" t="n">
        <v>46305</v>
      </c>
      <c r="B67" s="213" t="inlineStr">
        <is>
          <t>PRODUTO</t>
        </is>
      </c>
      <c r="C67" s="214" t="inlineStr">
        <is>
          <t>EMBALAGEM</t>
        </is>
      </c>
      <c r="D67" s="244" t="inlineStr">
        <is>
          <t>CAIXAS</t>
        </is>
      </c>
      <c r="E67" s="215" t="inlineStr">
        <is>
          <t>UN</t>
        </is>
      </c>
      <c r="F67" s="697" t="inlineStr">
        <is>
          <t>CX/PALLET</t>
        </is>
      </c>
      <c r="G67" s="244" t="inlineStr">
        <is>
          <t>PALLETS (PBR)</t>
        </is>
      </c>
      <c r="H67" s="244" t="inlineStr">
        <is>
          <t>REAL (CX)</t>
        </is>
      </c>
      <c r="I67" s="244" t="inlineStr">
        <is>
          <t>TOTAL LATAS</t>
        </is>
      </c>
      <c r="J67" s="274" t="n"/>
      <c r="K67" s="274" t="n"/>
      <c r="L67" s="274" t="n"/>
      <c r="M67" s="274" t="n"/>
    </row>
    <row r="68" ht="21" customHeight="1" s="468">
      <c r="A68" s="685" t="n"/>
      <c r="B68" s="266" t="n"/>
      <c r="C68" s="267" t="n"/>
      <c r="D68" s="268" t="n"/>
      <c r="E68" s="269" t="inlineStr">
        <is>
          <t>CX</t>
        </is>
      </c>
      <c r="F68" s="698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68">
        <f>IFERROR(ROUNDUP(D68/F68,0),"")</f>
        <v/>
      </c>
      <c r="H68" s="224" t="n"/>
      <c r="I68" s="268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274" t="n"/>
      <c r="K68" s="274" t="n"/>
      <c r="L68" s="274" t="n"/>
      <c r="M68" s="274" t="n"/>
    </row>
    <row r="69" ht="21" customHeight="1" s="468">
      <c r="A69" s="685" t="n"/>
      <c r="B69" s="266" t="n"/>
      <c r="C69" s="267" t="n"/>
      <c r="D69" s="268" t="n"/>
      <c r="E69" s="269" t="inlineStr">
        <is>
          <t>CX</t>
        </is>
      </c>
      <c r="F69" s="698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68">
        <f>IFERROR(ROUNDUP(D69/F69,0),"")</f>
        <v/>
      </c>
      <c r="H69" s="224" t="n"/>
      <c r="I69" s="268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274" t="n"/>
      <c r="K69" s="274" t="n"/>
      <c r="L69" s="274" t="n"/>
      <c r="M69" s="274" t="n"/>
    </row>
    <row r="70" ht="21" customHeight="1" s="468">
      <c r="A70" s="685" t="n"/>
      <c r="B70" s="266" t="n"/>
      <c r="C70" s="267" t="n"/>
      <c r="D70" s="268" t="n"/>
      <c r="E70" s="269" t="inlineStr">
        <is>
          <t>CX</t>
        </is>
      </c>
      <c r="F70" s="698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68">
        <f>IFERROR(ROUNDUP(D70/F70,0),"")</f>
        <v/>
      </c>
      <c r="H70" s="224" t="n"/>
      <c r="I70" s="268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274" t="n"/>
      <c r="K70" s="274" t="n"/>
      <c r="L70" s="274" t="n"/>
      <c r="M70" s="274" t="n"/>
    </row>
    <row r="71" ht="21" customHeight="1" s="468">
      <c r="A71" s="685" t="n"/>
      <c r="B71" s="266" t="n"/>
      <c r="C71" s="267" t="n"/>
      <c r="D71" s="268" t="n"/>
      <c r="E71" s="269" t="inlineStr">
        <is>
          <t>CX</t>
        </is>
      </c>
      <c r="F71" s="698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68">
        <f>IFERROR(ROUNDUP(D71/F71,0),"")</f>
        <v/>
      </c>
      <c r="H71" s="224" t="n"/>
      <c r="I71" s="268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274" t="n"/>
      <c r="K71" s="274" t="n"/>
      <c r="L71" s="274" t="n"/>
      <c r="M71" s="274" t="n"/>
    </row>
    <row r="72" ht="21" customHeight="1" s="468">
      <c r="A72" s="685" t="n"/>
      <c r="B72" s="266" t="n"/>
      <c r="C72" s="267" t="n"/>
      <c r="D72" s="268" t="n"/>
      <c r="E72" s="269" t="inlineStr">
        <is>
          <t>CX</t>
        </is>
      </c>
      <c r="F72" s="698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68">
        <f>IFERROR(ROUNDUP(D72/F72,0),"")</f>
        <v/>
      </c>
      <c r="H72" s="224" t="n"/>
      <c r="I72" s="268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274" t="n"/>
      <c r="K72" s="274" t="n"/>
      <c r="L72" s="274" t="n"/>
      <c r="M72" s="274" t="n"/>
    </row>
    <row r="73" ht="15" customHeight="1" s="468">
      <c r="A73" s="658" t="n"/>
      <c r="B73" s="640" t="inlineStr">
        <is>
          <t>TOTAL</t>
        </is>
      </c>
      <c r="C73" s="667" t="n"/>
      <c r="D73" s="642">
        <f>SUM(D68:D72)</f>
        <v/>
      </c>
      <c r="E73" s="668" t="n"/>
      <c r="F73" s="644" t="n"/>
      <c r="G73" s="642">
        <f>SUM(G68:G72)</f>
        <v/>
      </c>
      <c r="H73" s="642">
        <f>SUM(H68:H72)</f>
        <v/>
      </c>
      <c r="I73" s="642">
        <f>SUM(I68:I72)</f>
        <v/>
      </c>
      <c r="J73" s="644">
        <f>D73</f>
        <v/>
      </c>
      <c r="K73" s="644">
        <f>G73</f>
        <v/>
      </c>
      <c r="L73" s="644">
        <f>H73</f>
        <v/>
      </c>
      <c r="M73" s="644">
        <f>I73</f>
        <v/>
      </c>
    </row>
    <row r="74" ht="6" customHeight="1" s="468">
      <c r="A74" s="699" t="n"/>
      <c r="B74" s="265" t="n"/>
      <c r="C74" s="276" t="n"/>
      <c r="D74" s="274" t="n"/>
      <c r="E74" s="265" t="n"/>
      <c r="F74" s="274" t="n"/>
      <c r="G74" s="274" t="n"/>
      <c r="H74" s="274" t="n"/>
      <c r="I74" s="274" t="n"/>
      <c r="J74" s="274" t="n"/>
      <c r="K74" s="274" t="n"/>
      <c r="L74" s="274" t="n"/>
      <c r="M74" s="274" t="n"/>
    </row>
    <row r="75" ht="15" customHeight="1" s="468">
      <c r="A75" s="646" t="n">
        <v>46307</v>
      </c>
      <c r="B75" s="213" t="inlineStr">
        <is>
          <t>PRODUTO</t>
        </is>
      </c>
      <c r="C75" s="214" t="inlineStr">
        <is>
          <t>EMBALAGEM</t>
        </is>
      </c>
      <c r="D75" s="244" t="inlineStr">
        <is>
          <t>CAIXAS</t>
        </is>
      </c>
      <c r="E75" s="215" t="inlineStr">
        <is>
          <t>UN</t>
        </is>
      </c>
      <c r="F75" s="687" t="inlineStr">
        <is>
          <t>CX/PALLET</t>
        </is>
      </c>
      <c r="G75" s="244" t="inlineStr">
        <is>
          <t>PALLETS (PBR)</t>
        </is>
      </c>
      <c r="H75" s="244" t="inlineStr">
        <is>
          <t>REAL (CX)</t>
        </is>
      </c>
      <c r="I75" s="244" t="inlineStr">
        <is>
          <t>TOTAL LATAS</t>
        </is>
      </c>
      <c r="J75" s="552" t="n"/>
      <c r="K75" s="552" t="n"/>
      <c r="L75" s="552" t="n"/>
      <c r="M75" s="552" t="n"/>
    </row>
    <row r="76" ht="21" customHeight="1" s="468">
      <c r="A76" s="685" t="n"/>
      <c r="B76" s="218" t="n"/>
      <c r="C76" s="219" t="n"/>
      <c r="D76" s="220" t="n"/>
      <c r="E76" s="221" t="inlineStr">
        <is>
          <t>CX</t>
        </is>
      </c>
      <c r="F76" s="68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20">
        <f>IFERROR(ROUNDUP(D76/F76,0),"")</f>
        <v/>
      </c>
      <c r="H76" s="224" t="n"/>
      <c r="I76" s="220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552" t="n"/>
      <c r="K76" s="552" t="n"/>
      <c r="L76" s="552" t="n"/>
      <c r="M76" s="552" t="n"/>
    </row>
    <row r="77" ht="21" customHeight="1" s="468">
      <c r="A77" s="685" t="n"/>
      <c r="B77" s="218" t="n"/>
      <c r="C77" s="219" t="n"/>
      <c r="D77" s="220" t="n"/>
      <c r="E77" s="221" t="inlineStr">
        <is>
          <t>CX</t>
        </is>
      </c>
      <c r="F77" s="68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20">
        <f>IFERROR(ROUNDUP(D77/F77,0),"")</f>
        <v/>
      </c>
      <c r="H77" s="224" t="n"/>
      <c r="I77" s="220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552" t="n"/>
      <c r="K77" s="552" t="n"/>
      <c r="L77" s="552" t="n"/>
      <c r="M77" s="552" t="n"/>
    </row>
    <row r="78" ht="21" customHeight="1" s="468">
      <c r="A78" s="685" t="n"/>
      <c r="B78" s="218" t="n"/>
      <c r="C78" s="219" t="n"/>
      <c r="D78" s="220" t="n"/>
      <c r="E78" s="221" t="inlineStr">
        <is>
          <t>CX</t>
        </is>
      </c>
      <c r="F78" s="686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20">
        <f>IFERROR(ROUNDUP(D78/F78,0),"")</f>
        <v/>
      </c>
      <c r="H78" s="224" t="n"/>
      <c r="I78" s="220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552" t="n"/>
      <c r="K78" s="552" t="n"/>
      <c r="L78" s="552" t="n"/>
      <c r="M78" s="552" t="n"/>
    </row>
    <row r="79" ht="21" customHeight="1" s="468">
      <c r="A79" s="685" t="n"/>
      <c r="B79" s="218" t="n"/>
      <c r="C79" s="219" t="n"/>
      <c r="D79" s="220" t="n"/>
      <c r="E79" s="221" t="inlineStr">
        <is>
          <t>CX</t>
        </is>
      </c>
      <c r="F79" s="686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20">
        <f>IFERROR(ROUNDUP(D79/F79,0),"")</f>
        <v/>
      </c>
      <c r="H79" s="224" t="n"/>
      <c r="I79" s="220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552" t="n"/>
      <c r="K79" s="552" t="n"/>
      <c r="L79" s="552" t="n"/>
      <c r="M79" s="552" t="n"/>
    </row>
    <row r="80" ht="21" customHeight="1" s="468">
      <c r="A80" s="685" t="n"/>
      <c r="B80" s="218" t="n"/>
      <c r="C80" s="219" t="n"/>
      <c r="D80" s="220" t="n"/>
      <c r="E80" s="221" t="inlineStr">
        <is>
          <t>CX</t>
        </is>
      </c>
      <c r="F80" s="686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20">
        <f>IFERROR(ROUNDUP(D80/F80,0),"")</f>
        <v/>
      </c>
      <c r="H80" s="224" t="n"/>
      <c r="I80" s="220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552" t="n"/>
      <c r="K80" s="552" t="n"/>
      <c r="L80" s="552" t="n"/>
      <c r="M80" s="552" t="n"/>
    </row>
    <row r="81" ht="15" customHeight="1" s="468">
      <c r="A81" s="658" t="n"/>
      <c r="B81" s="640" t="inlineStr">
        <is>
          <t>TOTAL</t>
        </is>
      </c>
      <c r="C81" s="667" t="n"/>
      <c r="D81" s="642">
        <f>SUM(D76:D80)</f>
        <v/>
      </c>
      <c r="E81" s="668" t="n"/>
      <c r="F81" s="644" t="n"/>
      <c r="G81" s="642">
        <f>SUM(G76:G80)</f>
        <v/>
      </c>
      <c r="H81" s="642">
        <f>SUM(H76:H80)</f>
        <v/>
      </c>
      <c r="I81" s="642">
        <f>SUM(I76:I80)</f>
        <v/>
      </c>
      <c r="J81" s="644">
        <f>D81</f>
        <v/>
      </c>
      <c r="K81" s="644">
        <f>G81</f>
        <v/>
      </c>
      <c r="L81" s="644">
        <f>H81</f>
        <v/>
      </c>
      <c r="M81" s="644">
        <f>I81</f>
        <v/>
      </c>
    </row>
    <row r="82" ht="6" customHeight="1" s="468">
      <c r="A82" s="638" t="n"/>
      <c r="C82" s="71" t="n"/>
      <c r="D82" s="552" t="n"/>
      <c r="F82" s="552" t="n"/>
      <c r="G82" s="552" t="n"/>
      <c r="H82" s="552" t="n"/>
      <c r="I82" s="552" t="n"/>
      <c r="J82" s="552" t="n"/>
      <c r="K82" s="552" t="n"/>
      <c r="L82" s="552" t="n"/>
      <c r="M82" s="552" t="n"/>
    </row>
    <row r="83" ht="15" customHeight="1" s="468">
      <c r="A83" s="646" t="n">
        <v>46308</v>
      </c>
      <c r="B83" s="213" t="inlineStr">
        <is>
          <t>PRODUTO</t>
        </is>
      </c>
      <c r="C83" s="214" t="inlineStr">
        <is>
          <t>EMBALAGEM</t>
        </is>
      </c>
      <c r="D83" s="244" t="inlineStr">
        <is>
          <t>CAIXAS</t>
        </is>
      </c>
      <c r="E83" s="215" t="inlineStr">
        <is>
          <t>UN</t>
        </is>
      </c>
      <c r="F83" s="687" t="inlineStr">
        <is>
          <t>CX/PALLET</t>
        </is>
      </c>
      <c r="G83" s="244" t="inlineStr">
        <is>
          <t>PALLETS (PBR)</t>
        </is>
      </c>
      <c r="H83" s="244" t="inlineStr">
        <is>
          <t>REAL (CX)</t>
        </is>
      </c>
      <c r="I83" s="244" t="inlineStr">
        <is>
          <t>TOTAL LATAS</t>
        </is>
      </c>
      <c r="J83" s="552" t="n"/>
      <c r="K83" s="552" t="n"/>
      <c r="L83" s="552" t="n"/>
      <c r="M83" s="552" t="n"/>
    </row>
    <row r="84" ht="21" customHeight="1" s="468">
      <c r="A84" s="685" t="n"/>
      <c r="B84" s="218" t="n"/>
      <c r="C84" s="219" t="n"/>
      <c r="D84" s="220" t="n"/>
      <c r="E84" s="221" t="inlineStr">
        <is>
          <t>CX</t>
        </is>
      </c>
      <c r="F84" s="686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20">
        <f>IFERROR(ROUNDUP(D84/F84,0),"")</f>
        <v/>
      </c>
      <c r="H84" s="224" t="n"/>
      <c r="I84" s="220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552" t="n"/>
      <c r="K84" s="552" t="n"/>
      <c r="L84" s="552" t="n"/>
      <c r="M84" s="552" t="n"/>
    </row>
    <row r="85" ht="21" customHeight="1" s="468">
      <c r="A85" s="685" t="n"/>
      <c r="B85" s="218" t="n"/>
      <c r="C85" s="219" t="n"/>
      <c r="D85" s="220" t="n"/>
      <c r="E85" s="221" t="inlineStr">
        <is>
          <t>CX</t>
        </is>
      </c>
      <c r="F85" s="686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20">
        <f>IFERROR(ROUNDUP(D85/F85,0),"")</f>
        <v/>
      </c>
      <c r="H85" s="224" t="n"/>
      <c r="I85" s="220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552" t="n"/>
      <c r="K85" s="552" t="n"/>
      <c r="L85" s="552" t="n"/>
      <c r="M85" s="552" t="n"/>
    </row>
    <row r="86" ht="21" customHeight="1" s="468">
      <c r="A86" s="685" t="n"/>
      <c r="B86" s="218" t="n"/>
      <c r="C86" s="219" t="n"/>
      <c r="D86" s="220" t="n"/>
      <c r="E86" s="221" t="inlineStr">
        <is>
          <t>CX</t>
        </is>
      </c>
      <c r="F86" s="6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20">
        <f>IFERROR(ROUNDUP(D86/F86,0),"")</f>
        <v/>
      </c>
      <c r="H86" s="224" t="n"/>
      <c r="I86" s="220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552" t="n"/>
      <c r="K86" s="552" t="n"/>
      <c r="L86" s="552" t="n"/>
      <c r="M86" s="552" t="n"/>
    </row>
    <row r="87" ht="21" customHeight="1" s="468">
      <c r="A87" s="685" t="n"/>
      <c r="B87" s="218" t="n"/>
      <c r="C87" s="219" t="n"/>
      <c r="D87" s="220" t="n"/>
      <c r="E87" s="221" t="inlineStr">
        <is>
          <t>CX</t>
        </is>
      </c>
      <c r="F87" s="686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20">
        <f>IFERROR(ROUNDUP(D87/F87,0),"")</f>
        <v/>
      </c>
      <c r="H87" s="224" t="n"/>
      <c r="I87" s="220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552" t="n"/>
      <c r="K87" s="552" t="n"/>
      <c r="L87" s="552" t="n"/>
      <c r="M87" s="552" t="n"/>
    </row>
    <row r="88" ht="21" customHeight="1" s="468">
      <c r="A88" s="685" t="n"/>
      <c r="B88" s="218" t="n"/>
      <c r="C88" s="219" t="n"/>
      <c r="D88" s="220" t="n"/>
      <c r="E88" s="221" t="inlineStr">
        <is>
          <t>CX</t>
        </is>
      </c>
      <c r="F88" s="686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20">
        <f>IFERROR(ROUNDUP(D88/F88,0),"")</f>
        <v/>
      </c>
      <c r="H88" s="224" t="n"/>
      <c r="I88" s="220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552" t="n"/>
      <c r="K88" s="552" t="n"/>
      <c r="L88" s="552" t="n"/>
      <c r="M88" s="552" t="n"/>
    </row>
    <row r="89" ht="15" customHeight="1" s="468">
      <c r="A89" s="658" t="n"/>
      <c r="B89" s="640" t="inlineStr">
        <is>
          <t>TOTAL</t>
        </is>
      </c>
      <c r="C89" s="667" t="n"/>
      <c r="D89" s="642">
        <f>SUM(D84:D88)</f>
        <v/>
      </c>
      <c r="E89" s="668" t="n"/>
      <c r="F89" s="644" t="n"/>
      <c r="G89" s="642">
        <f>SUM(G84:G88)</f>
        <v/>
      </c>
      <c r="H89" s="642">
        <f>SUM(H84:H88)</f>
        <v/>
      </c>
      <c r="I89" s="642">
        <f>SUM(I84:I88)</f>
        <v/>
      </c>
      <c r="J89" s="644">
        <f>D89</f>
        <v/>
      </c>
      <c r="K89" s="644">
        <f>G89</f>
        <v/>
      </c>
      <c r="L89" s="644">
        <f>H89</f>
        <v/>
      </c>
      <c r="M89" s="644">
        <f>I89</f>
        <v/>
      </c>
    </row>
    <row r="90" ht="6" customHeight="1" s="468">
      <c r="A90" s="638" t="n"/>
      <c r="C90" s="71" t="n"/>
      <c r="D90" s="552" t="n"/>
      <c r="F90" s="552" t="n"/>
      <c r="G90" s="552" t="n"/>
      <c r="H90" s="552" t="n"/>
      <c r="I90" s="552" t="n"/>
      <c r="J90" s="552" t="n"/>
      <c r="K90" s="552" t="n"/>
      <c r="L90" s="552" t="n"/>
      <c r="M90" s="552" t="n"/>
    </row>
    <row r="91" ht="15" customHeight="1" s="468">
      <c r="A91" s="646" t="n">
        <v>46309</v>
      </c>
      <c r="B91" s="213" t="inlineStr">
        <is>
          <t>PRODUTO</t>
        </is>
      </c>
      <c r="C91" s="214" t="inlineStr">
        <is>
          <t>EMBALAGEM</t>
        </is>
      </c>
      <c r="D91" s="244" t="inlineStr">
        <is>
          <t>CAIXAS</t>
        </is>
      </c>
      <c r="E91" s="215" t="inlineStr">
        <is>
          <t>UN</t>
        </is>
      </c>
      <c r="F91" s="687" t="inlineStr">
        <is>
          <t>CX/PALLET</t>
        </is>
      </c>
      <c r="G91" s="244" t="inlineStr">
        <is>
          <t>PALLETS (PBR)</t>
        </is>
      </c>
      <c r="H91" s="244" t="inlineStr">
        <is>
          <t>REAL (CX)</t>
        </is>
      </c>
      <c r="I91" s="244" t="inlineStr">
        <is>
          <t>TOTAL LATAS</t>
        </is>
      </c>
      <c r="J91" s="552" t="n"/>
      <c r="K91" s="552" t="n"/>
      <c r="L91" s="552" t="n"/>
      <c r="M91" s="552" t="n"/>
    </row>
    <row r="92" ht="21" customHeight="1" s="468">
      <c r="A92" s="685" t="n"/>
      <c r="B92" s="218" t="n"/>
      <c r="C92" s="219" t="n"/>
      <c r="D92" s="220" t="n"/>
      <c r="E92" s="221" t="inlineStr">
        <is>
          <t>CX</t>
        </is>
      </c>
      <c r="F92" s="686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20">
        <f>IFERROR(ROUNDUP(D92/F92,0),"")</f>
        <v/>
      </c>
      <c r="H92" s="224" t="n"/>
      <c r="I92" s="220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552" t="n"/>
      <c r="K92" s="552" t="n"/>
      <c r="L92" s="552" t="n"/>
      <c r="M92" s="552" t="n"/>
    </row>
    <row r="93" ht="21" customHeight="1" s="468">
      <c r="A93" s="685" t="n"/>
      <c r="B93" s="218" t="n"/>
      <c r="C93" s="219" t="n"/>
      <c r="D93" s="220" t="n"/>
      <c r="E93" s="221" t="inlineStr">
        <is>
          <t>CX</t>
        </is>
      </c>
      <c r="F93" s="686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20">
        <f>IFERROR(ROUNDUP(D93/F93,0),"")</f>
        <v/>
      </c>
      <c r="H93" s="224" t="n"/>
      <c r="I93" s="220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552" t="n"/>
      <c r="K93" s="552" t="n"/>
      <c r="L93" s="552" t="n"/>
      <c r="M93" s="552" t="n"/>
    </row>
    <row r="94" ht="21" customHeight="1" s="468">
      <c r="A94" s="685" t="n"/>
      <c r="B94" s="218" t="n"/>
      <c r="C94" s="219" t="n"/>
      <c r="D94" s="220" t="n"/>
      <c r="E94" s="221" t="inlineStr">
        <is>
          <t>CX</t>
        </is>
      </c>
      <c r="F94" s="686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20">
        <f>IFERROR(ROUNDUP(D94/F94,0),"")</f>
        <v/>
      </c>
      <c r="H94" s="224" t="n"/>
      <c r="I94" s="220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552" t="n"/>
      <c r="K94" s="552" t="n"/>
      <c r="L94" s="552" t="n"/>
      <c r="M94" s="552" t="n"/>
    </row>
    <row r="95" ht="21" customHeight="1" s="468">
      <c r="A95" s="685" t="n"/>
      <c r="B95" s="218" t="n"/>
      <c r="C95" s="219" t="n"/>
      <c r="D95" s="220" t="n"/>
      <c r="E95" s="221" t="inlineStr">
        <is>
          <t>CX</t>
        </is>
      </c>
      <c r="F95" s="686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20">
        <f>IFERROR(ROUNDUP(D95/F95,0),"")</f>
        <v/>
      </c>
      <c r="H95" s="224" t="n"/>
      <c r="I95" s="220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552" t="n"/>
      <c r="K95" s="552" t="n"/>
      <c r="L95" s="552" t="n"/>
      <c r="M95" s="552" t="n"/>
    </row>
    <row r="96" ht="21" customHeight="1" s="468">
      <c r="A96" s="685" t="n"/>
      <c r="B96" s="218" t="n"/>
      <c r="C96" s="219" t="n"/>
      <c r="D96" s="220" t="n"/>
      <c r="E96" s="221" t="inlineStr">
        <is>
          <t>CX</t>
        </is>
      </c>
      <c r="F96" s="68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20">
        <f>IFERROR(ROUNDUP(D96/F96,0),"")</f>
        <v/>
      </c>
      <c r="H96" s="224" t="n"/>
      <c r="I96" s="220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552" t="n"/>
      <c r="K96" s="552" t="n"/>
      <c r="L96" s="552" t="n"/>
      <c r="M96" s="552" t="n"/>
    </row>
    <row r="97" ht="15" customHeight="1" s="468">
      <c r="A97" s="658" t="n"/>
      <c r="B97" s="640" t="inlineStr">
        <is>
          <t>TOTAL</t>
        </is>
      </c>
      <c r="C97" s="667" t="n"/>
      <c r="D97" s="642">
        <f>SUM(D92:D96)</f>
        <v/>
      </c>
      <c r="E97" s="668" t="n"/>
      <c r="F97" s="644" t="n"/>
      <c r="G97" s="642">
        <f>SUM(G92:G96)</f>
        <v/>
      </c>
      <c r="H97" s="642">
        <f>SUM(H92:H96)</f>
        <v/>
      </c>
      <c r="I97" s="642">
        <f>SUM(I92:I96)</f>
        <v/>
      </c>
      <c r="J97" s="644">
        <f>D97</f>
        <v/>
      </c>
      <c r="K97" s="644">
        <f>G97</f>
        <v/>
      </c>
      <c r="L97" s="644">
        <f>H97</f>
        <v/>
      </c>
      <c r="M97" s="644">
        <f>I97</f>
        <v/>
      </c>
    </row>
    <row r="98" ht="6" customHeight="1" s="468">
      <c r="A98" s="638" t="n"/>
      <c r="C98" s="71" t="n"/>
      <c r="D98" s="552" t="n"/>
      <c r="F98" s="552" t="n"/>
      <c r="G98" s="552" t="n"/>
      <c r="H98" s="552" t="n"/>
      <c r="I98" s="552" t="n"/>
      <c r="J98" s="552" t="n"/>
      <c r="K98" s="552" t="n"/>
      <c r="L98" s="552" t="n"/>
      <c r="M98" s="552" t="n"/>
    </row>
    <row r="99" ht="15" customHeight="1" s="468">
      <c r="A99" s="646" t="n">
        <v>46310</v>
      </c>
      <c r="B99" s="213" t="inlineStr">
        <is>
          <t>PRODUTO</t>
        </is>
      </c>
      <c r="C99" s="214" t="inlineStr">
        <is>
          <t>EMBALAGEM</t>
        </is>
      </c>
      <c r="D99" s="244" t="inlineStr">
        <is>
          <t>CAIXAS</t>
        </is>
      </c>
      <c r="E99" s="215" t="inlineStr">
        <is>
          <t>UN</t>
        </is>
      </c>
      <c r="F99" s="687" t="inlineStr">
        <is>
          <t>CX/PALLET</t>
        </is>
      </c>
      <c r="G99" s="244" t="inlineStr">
        <is>
          <t>PALLETS (PBR)</t>
        </is>
      </c>
      <c r="H99" s="244" t="inlineStr">
        <is>
          <t>REAL (CX)</t>
        </is>
      </c>
      <c r="I99" s="244" t="inlineStr">
        <is>
          <t>TOTAL LATAS</t>
        </is>
      </c>
      <c r="J99" s="552" t="n"/>
      <c r="K99" s="552" t="n"/>
      <c r="L99" s="552" t="n"/>
      <c r="M99" s="552" t="n"/>
    </row>
    <row r="100" ht="21" customHeight="1" s="468">
      <c r="A100" s="685" t="n"/>
      <c r="B100" s="218" t="n"/>
      <c r="C100" s="219" t="n"/>
      <c r="D100" s="220" t="n"/>
      <c r="E100" s="221" t="inlineStr">
        <is>
          <t>CX</t>
        </is>
      </c>
      <c r="F100" s="686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20">
        <f>IFERROR(ROUNDUP(D100/F100,0),"")</f>
        <v/>
      </c>
      <c r="H100" s="224" t="n"/>
      <c r="I100" s="220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552" t="n"/>
      <c r="K100" s="552" t="n"/>
      <c r="L100" s="552" t="n"/>
      <c r="M100" s="552" t="n"/>
    </row>
    <row r="101" ht="21" customHeight="1" s="468">
      <c r="A101" s="685" t="n"/>
      <c r="B101" s="218" t="n"/>
      <c r="C101" s="219" t="n"/>
      <c r="D101" s="220" t="n"/>
      <c r="E101" s="221" t="inlineStr">
        <is>
          <t>CX</t>
        </is>
      </c>
      <c r="F101" s="686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20">
        <f>IFERROR(ROUNDUP(D101/F101,0),"")</f>
        <v/>
      </c>
      <c r="H101" s="224" t="n"/>
      <c r="I101" s="220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552" t="n"/>
      <c r="K101" s="552" t="n"/>
      <c r="L101" s="552" t="n"/>
      <c r="M101" s="552" t="n"/>
    </row>
    <row r="102" ht="21" customHeight="1" s="468">
      <c r="A102" s="685" t="n"/>
      <c r="B102" s="218" t="n"/>
      <c r="C102" s="219" t="n"/>
      <c r="D102" s="220" t="n"/>
      <c r="E102" s="221" t="inlineStr">
        <is>
          <t>CX</t>
        </is>
      </c>
      <c r="F102" s="686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20">
        <f>IFERROR(ROUNDUP(D102/F102,0),"")</f>
        <v/>
      </c>
      <c r="H102" s="224" t="n"/>
      <c r="I102" s="220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552" t="n"/>
      <c r="K102" s="552" t="n"/>
      <c r="L102" s="552" t="n"/>
      <c r="M102" s="552" t="n"/>
    </row>
    <row r="103" ht="21" customHeight="1" s="468">
      <c r="A103" s="685" t="n"/>
      <c r="B103" s="218" t="n"/>
      <c r="C103" s="219" t="n"/>
      <c r="D103" s="220" t="n"/>
      <c r="E103" s="221" t="inlineStr">
        <is>
          <t>CX</t>
        </is>
      </c>
      <c r="F103" s="68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20">
        <f>IFERROR(ROUNDUP(D103/F103,0),"")</f>
        <v/>
      </c>
      <c r="H103" s="224" t="n"/>
      <c r="I103" s="220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552" t="n"/>
      <c r="K103" s="552" t="n"/>
      <c r="L103" s="552" t="n"/>
      <c r="M103" s="552" t="n"/>
    </row>
    <row r="104" ht="21" customHeight="1" s="468">
      <c r="A104" s="685" t="n"/>
      <c r="B104" s="218" t="n"/>
      <c r="C104" s="219" t="n"/>
      <c r="D104" s="220" t="n"/>
      <c r="E104" s="221" t="inlineStr">
        <is>
          <t>CX</t>
        </is>
      </c>
      <c r="F104" s="686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20">
        <f>IFERROR(ROUNDUP(D104/F104,0),"")</f>
        <v/>
      </c>
      <c r="H104" s="224" t="n"/>
      <c r="I104" s="220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552" t="n"/>
      <c r="K104" s="552" t="n"/>
      <c r="L104" s="552" t="n"/>
      <c r="M104" s="552" t="n"/>
    </row>
    <row r="105" ht="15" customHeight="1" s="468">
      <c r="A105" s="658" t="n"/>
      <c r="B105" s="640" t="inlineStr">
        <is>
          <t>TOTAL</t>
        </is>
      </c>
      <c r="C105" s="667" t="n"/>
      <c r="D105" s="642">
        <f>SUM(D100:D104)</f>
        <v/>
      </c>
      <c r="E105" s="668" t="n"/>
      <c r="F105" s="644" t="n"/>
      <c r="G105" s="642">
        <f>SUM(G100:G104)</f>
        <v/>
      </c>
      <c r="H105" s="642">
        <f>SUM(H100:H104)</f>
        <v/>
      </c>
      <c r="I105" s="642">
        <f>SUM(I100:I104)</f>
        <v/>
      </c>
      <c r="J105" s="644">
        <f>D105</f>
        <v/>
      </c>
      <c r="K105" s="644">
        <f>G105</f>
        <v/>
      </c>
      <c r="L105" s="644">
        <f>H105</f>
        <v/>
      </c>
      <c r="M105" s="644">
        <f>I105</f>
        <v/>
      </c>
    </row>
    <row r="106" ht="6" customHeight="1" s="468">
      <c r="A106" s="638" t="n"/>
      <c r="C106" s="71" t="n"/>
      <c r="D106" s="552" t="n"/>
      <c r="F106" s="552" t="n"/>
      <c r="G106" s="552" t="n"/>
      <c r="H106" s="552" t="n"/>
      <c r="I106" s="552" t="n"/>
      <c r="J106" s="552" t="n"/>
      <c r="K106" s="552" t="n"/>
      <c r="L106" s="552" t="n"/>
      <c r="M106" s="552" t="n"/>
    </row>
    <row r="107" ht="15" customHeight="1" s="468">
      <c r="A107" s="646" t="n">
        <v>46311</v>
      </c>
      <c r="B107" s="213" t="inlineStr">
        <is>
          <t>PRODUTO</t>
        </is>
      </c>
      <c r="C107" s="214" t="inlineStr">
        <is>
          <t>EMBALAGEM</t>
        </is>
      </c>
      <c r="D107" s="244" t="inlineStr">
        <is>
          <t>CAIXAS</t>
        </is>
      </c>
      <c r="E107" s="215" t="inlineStr">
        <is>
          <t>UN</t>
        </is>
      </c>
      <c r="F107" s="687" t="inlineStr">
        <is>
          <t>CX/PALLET</t>
        </is>
      </c>
      <c r="G107" s="244" t="inlineStr">
        <is>
          <t>PALLETS (PBR)</t>
        </is>
      </c>
      <c r="H107" s="244" t="inlineStr">
        <is>
          <t>REAL (CX)</t>
        </is>
      </c>
      <c r="I107" s="244" t="inlineStr">
        <is>
          <t>TOTAL LATAS</t>
        </is>
      </c>
      <c r="J107" s="552" t="n"/>
      <c r="K107" s="552" t="n"/>
      <c r="L107" s="552" t="n"/>
      <c r="M107" s="552" t="n"/>
    </row>
    <row r="108" ht="21" customHeight="1" s="468">
      <c r="A108" s="685" t="n"/>
      <c r="B108" s="218" t="n"/>
      <c r="C108" s="219" t="n"/>
      <c r="D108" s="220" t="n"/>
      <c r="E108" s="221" t="inlineStr">
        <is>
          <t>CX</t>
        </is>
      </c>
      <c r="F108" s="686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20">
        <f>IFERROR(ROUNDUP(D108/F108,0),"")</f>
        <v/>
      </c>
      <c r="H108" s="224" t="n"/>
      <c r="I108" s="220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 t="n"/>
      <c r="K108" s="552" t="n"/>
      <c r="L108" s="552" t="n"/>
      <c r="M108" s="552" t="n"/>
    </row>
    <row r="109" ht="21" customHeight="1" s="468">
      <c r="A109" s="685" t="n"/>
      <c r="B109" s="218" t="n"/>
      <c r="C109" s="219" t="n"/>
      <c r="D109" s="220" t="n"/>
      <c r="E109" s="221" t="inlineStr">
        <is>
          <t>CX</t>
        </is>
      </c>
      <c r="F109" s="686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20">
        <f>IFERROR(ROUNDUP(D109/F109,0),"")</f>
        <v/>
      </c>
      <c r="H109" s="224" t="n"/>
      <c r="I109" s="220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  <c r="J109" s="552" t="n"/>
      <c r="K109" s="552" t="n"/>
      <c r="L109" s="552" t="n"/>
      <c r="M109" s="552" t="n"/>
    </row>
    <row r="110" ht="21" customHeight="1" s="468">
      <c r="A110" s="685" t="n"/>
      <c r="B110" s="218" t="n"/>
      <c r="C110" s="219" t="n"/>
      <c r="D110" s="220" t="n"/>
      <c r="E110" s="221" t="inlineStr">
        <is>
          <t>CX</t>
        </is>
      </c>
      <c r="F110" s="686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20">
        <f>IFERROR(ROUNDUP(D110/F110,0),"")</f>
        <v/>
      </c>
      <c r="H110" s="224" t="n"/>
      <c r="I110" s="220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  <c r="J110" s="552" t="n"/>
      <c r="K110" s="552" t="n"/>
      <c r="L110" s="552" t="n"/>
      <c r="M110" s="552" t="n"/>
    </row>
    <row r="111" ht="21" customHeight="1" s="468">
      <c r="A111" s="685" t="n"/>
      <c r="B111" s="218" t="n"/>
      <c r="C111" s="219" t="n"/>
      <c r="D111" s="220" t="n"/>
      <c r="E111" s="221" t="inlineStr">
        <is>
          <t>CX</t>
        </is>
      </c>
      <c r="F111" s="686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20">
        <f>IFERROR(ROUNDUP(D111/F111,0),"")</f>
        <v/>
      </c>
      <c r="H111" s="224" t="n"/>
      <c r="I111" s="220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  <c r="J111" s="552" t="n"/>
      <c r="K111" s="552" t="n"/>
      <c r="L111" s="552" t="n"/>
      <c r="M111" s="552" t="n"/>
    </row>
    <row r="112" ht="21" customHeight="1" s="468">
      <c r="A112" s="685" t="n"/>
      <c r="B112" s="218" t="n"/>
      <c r="C112" s="219" t="n"/>
      <c r="D112" s="220" t="n"/>
      <c r="E112" s="221" t="inlineStr">
        <is>
          <t>CX</t>
        </is>
      </c>
      <c r="F112" s="68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20">
        <f>IFERROR(ROUNDUP(D112/F112,0),"")</f>
        <v/>
      </c>
      <c r="H112" s="224" t="n"/>
      <c r="I112" s="220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  <c r="J112" s="552" t="n"/>
      <c r="K112" s="552" t="n"/>
      <c r="L112" s="552" t="n"/>
      <c r="M112" s="552" t="n"/>
    </row>
    <row r="113" ht="15" customHeight="1" s="468">
      <c r="A113" s="658" t="n"/>
      <c r="B113" s="640" t="inlineStr">
        <is>
          <t>TOTAL</t>
        </is>
      </c>
      <c r="C113" s="667" t="n"/>
      <c r="D113" s="642">
        <f>SUM(D108:D112)</f>
        <v/>
      </c>
      <c r="E113" s="668" t="n"/>
      <c r="F113" s="644" t="n"/>
      <c r="G113" s="642">
        <f>SUM(G108:G112)</f>
        <v/>
      </c>
      <c r="H113" s="642">
        <f>SUM(H108:H112)</f>
        <v/>
      </c>
      <c r="I113" s="642">
        <f>SUM(I108:I112)</f>
        <v/>
      </c>
      <c r="J113" s="644">
        <f>D113</f>
        <v/>
      </c>
      <c r="K113" s="644">
        <f>G113</f>
        <v/>
      </c>
      <c r="L113" s="644">
        <f>H113</f>
        <v/>
      </c>
      <c r="M113" s="644">
        <f>I113</f>
        <v/>
      </c>
    </row>
    <row r="114" ht="6" customHeight="1" s="468">
      <c r="A114" s="638" t="n"/>
      <c r="C114" s="71" t="n"/>
      <c r="D114" s="552" t="n"/>
      <c r="F114" s="552" t="n"/>
      <c r="G114" s="552" t="n"/>
      <c r="H114" s="552" t="n"/>
      <c r="I114" s="552" t="n"/>
      <c r="J114" s="552" t="n"/>
      <c r="K114" s="552" t="n"/>
      <c r="L114" s="552" t="n"/>
      <c r="M114" s="552" t="n"/>
    </row>
    <row r="115" ht="15" customHeight="1" s="468">
      <c r="A115" s="696" t="n">
        <v>46312</v>
      </c>
      <c r="B115" s="213" t="inlineStr">
        <is>
          <t>PRODUTO</t>
        </is>
      </c>
      <c r="C115" s="214" t="inlineStr">
        <is>
          <t>EMBALAGEM</t>
        </is>
      </c>
      <c r="D115" s="244" t="inlineStr">
        <is>
          <t>CAIXAS</t>
        </is>
      </c>
      <c r="E115" s="215" t="inlineStr">
        <is>
          <t>UN</t>
        </is>
      </c>
      <c r="F115" s="697" t="inlineStr">
        <is>
          <t>CX/PALLET</t>
        </is>
      </c>
      <c r="G115" s="244" t="inlineStr">
        <is>
          <t>PALLETS (PBR)</t>
        </is>
      </c>
      <c r="H115" s="244" t="inlineStr">
        <is>
          <t>REAL (CX)</t>
        </is>
      </c>
      <c r="I115" s="244" t="inlineStr">
        <is>
          <t>TOTAL LATAS</t>
        </is>
      </c>
      <c r="J115" s="274" t="n"/>
      <c r="K115" s="274" t="n"/>
      <c r="L115" s="274" t="n"/>
      <c r="M115" s="274" t="n"/>
    </row>
    <row r="116" ht="21" customHeight="1" s="468">
      <c r="A116" s="685" t="n"/>
      <c r="B116" s="266" t="n"/>
      <c r="C116" s="267" t="n"/>
      <c r="D116" s="268" t="n"/>
      <c r="E116" s="269" t="inlineStr">
        <is>
          <t>CX</t>
        </is>
      </c>
      <c r="F116" s="698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68">
        <f>IFERROR(ROUNDUP(D116/F116,0),"")</f>
        <v/>
      </c>
      <c r="H116" s="224" t="n"/>
      <c r="I116" s="268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274" t="n"/>
      <c r="K116" s="274" t="n"/>
      <c r="L116" s="274" t="n"/>
      <c r="M116" s="274" t="n"/>
    </row>
    <row r="117" ht="21" customHeight="1" s="468">
      <c r="A117" s="685" t="n"/>
      <c r="B117" s="266" t="n"/>
      <c r="C117" s="267" t="n"/>
      <c r="D117" s="268" t="n"/>
      <c r="E117" s="269" t="inlineStr">
        <is>
          <t>CX</t>
        </is>
      </c>
      <c r="F117" s="698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68">
        <f>IFERROR(ROUNDUP(D117/F117,0),"")</f>
        <v/>
      </c>
      <c r="H117" s="224" t="n"/>
      <c r="I117" s="268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274" t="n"/>
      <c r="K117" s="274" t="n"/>
      <c r="L117" s="274" t="n"/>
      <c r="M117" s="274" t="n"/>
    </row>
    <row r="118" ht="21" customHeight="1" s="468">
      <c r="A118" s="685" t="n"/>
      <c r="B118" s="266" t="n"/>
      <c r="C118" s="267" t="n"/>
      <c r="D118" s="268" t="n"/>
      <c r="E118" s="269" t="inlineStr">
        <is>
          <t>CX</t>
        </is>
      </c>
      <c r="F118" s="698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68">
        <f>IFERROR(ROUNDUP(D118/F118,0),"")</f>
        <v/>
      </c>
      <c r="H118" s="224" t="n"/>
      <c r="I118" s="268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274" t="n"/>
      <c r="K118" s="274" t="n"/>
      <c r="L118" s="274" t="n"/>
      <c r="M118" s="274" t="n"/>
    </row>
    <row r="119" ht="21" customHeight="1" s="468">
      <c r="A119" s="685" t="n"/>
      <c r="B119" s="266" t="n"/>
      <c r="C119" s="267" t="n"/>
      <c r="D119" s="268" t="n"/>
      <c r="E119" s="269" t="inlineStr">
        <is>
          <t>CX</t>
        </is>
      </c>
      <c r="F119" s="698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68">
        <f>IFERROR(ROUNDUP(D119/F119,0),"")</f>
        <v/>
      </c>
      <c r="H119" s="224" t="n"/>
      <c r="I119" s="268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274" t="n"/>
      <c r="K119" s="274" t="n"/>
      <c r="L119" s="274" t="n"/>
      <c r="M119" s="274" t="n"/>
    </row>
    <row r="120" ht="21" customHeight="1" s="468">
      <c r="A120" s="685" t="n"/>
      <c r="B120" s="266" t="n"/>
      <c r="C120" s="267" t="n"/>
      <c r="D120" s="268" t="n"/>
      <c r="E120" s="269" t="inlineStr">
        <is>
          <t>CX</t>
        </is>
      </c>
      <c r="F120" s="698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68">
        <f>IFERROR(ROUNDUP(D120/F120,0),"")</f>
        <v/>
      </c>
      <c r="H120" s="224" t="n"/>
      <c r="I120" s="268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274" t="n"/>
      <c r="K120" s="274" t="n"/>
      <c r="L120" s="274" t="n"/>
      <c r="M120" s="274" t="n"/>
    </row>
    <row r="121" ht="15" customHeight="1" s="468">
      <c r="A121" s="658" t="n"/>
      <c r="B121" s="640" t="inlineStr">
        <is>
          <t>TOTAL</t>
        </is>
      </c>
      <c r="C121" s="667" t="n"/>
      <c r="D121" s="642">
        <f>SUM(D116:D120)</f>
        <v/>
      </c>
      <c r="E121" s="668" t="n"/>
      <c r="F121" s="644" t="n"/>
      <c r="G121" s="642">
        <f>SUM(G116:G120)</f>
        <v/>
      </c>
      <c r="H121" s="642">
        <f>SUM(H116:H120)</f>
        <v/>
      </c>
      <c r="I121" s="642">
        <f>SUM(I116:I120)</f>
        <v/>
      </c>
      <c r="J121" s="644">
        <f>D121</f>
        <v/>
      </c>
      <c r="K121" s="644">
        <f>G121</f>
        <v/>
      </c>
      <c r="L121" s="644">
        <f>H121</f>
        <v/>
      </c>
      <c r="M121" s="644">
        <f>I121</f>
        <v/>
      </c>
    </row>
    <row r="122" ht="6" customHeight="1" s="468">
      <c r="A122" s="699" t="n"/>
      <c r="B122" s="265" t="n"/>
      <c r="C122" s="276" t="n"/>
      <c r="D122" s="274" t="n"/>
      <c r="E122" s="265" t="n"/>
      <c r="F122" s="274" t="n"/>
      <c r="G122" s="274" t="n"/>
      <c r="H122" s="274" t="n"/>
      <c r="I122" s="274" t="n"/>
      <c r="J122" s="274" t="n"/>
      <c r="K122" s="274" t="n"/>
      <c r="L122" s="274" t="n"/>
      <c r="M122" s="274" t="n"/>
    </row>
    <row r="123" ht="15" customHeight="1" s="468">
      <c r="A123" s="646" t="n">
        <v>46314</v>
      </c>
      <c r="B123" s="213" t="inlineStr">
        <is>
          <t>PRODUTO</t>
        </is>
      </c>
      <c r="C123" s="214" t="inlineStr">
        <is>
          <t>EMBALAGEM</t>
        </is>
      </c>
      <c r="D123" s="244" t="inlineStr">
        <is>
          <t>CAIXAS</t>
        </is>
      </c>
      <c r="E123" s="215" t="inlineStr">
        <is>
          <t>UN</t>
        </is>
      </c>
      <c r="F123" s="687" t="inlineStr">
        <is>
          <t>CX/PALLET</t>
        </is>
      </c>
      <c r="G123" s="244" t="inlineStr">
        <is>
          <t>PALLETS (PBR)</t>
        </is>
      </c>
      <c r="H123" s="244" t="inlineStr">
        <is>
          <t>REAL (CX)</t>
        </is>
      </c>
      <c r="I123" s="244" t="inlineStr">
        <is>
          <t>TOTAL LATAS</t>
        </is>
      </c>
      <c r="J123" s="552" t="n"/>
      <c r="K123" s="552" t="n"/>
      <c r="L123" s="552" t="n"/>
      <c r="M123" s="552" t="n"/>
    </row>
    <row r="124" ht="21" customHeight="1" s="468">
      <c r="A124" s="685" t="n"/>
      <c r="B124" s="218" t="n"/>
      <c r="C124" s="219" t="n"/>
      <c r="D124" s="220" t="n"/>
      <c r="E124" s="221" t="inlineStr">
        <is>
          <t>CX</t>
        </is>
      </c>
      <c r="F124" s="68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20">
        <f>IFERROR(ROUNDUP(D124/F124,0),"")</f>
        <v/>
      </c>
      <c r="H124" s="224" t="n"/>
      <c r="I124" s="22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552" t="n"/>
      <c r="K124" s="552" t="n"/>
      <c r="L124" s="552" t="n"/>
      <c r="M124" s="552" t="n"/>
    </row>
    <row r="125" ht="21" customHeight="1" s="468">
      <c r="A125" s="685" t="n"/>
      <c r="B125" s="218" t="n"/>
      <c r="C125" s="219" t="n"/>
      <c r="D125" s="220" t="n"/>
      <c r="E125" s="221" t="inlineStr">
        <is>
          <t>CX</t>
        </is>
      </c>
      <c r="F125" s="686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20">
        <f>IFERROR(ROUNDUP(D125/F125,0),"")</f>
        <v/>
      </c>
      <c r="H125" s="224" t="n"/>
      <c r="I125" s="220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52" t="n"/>
      <c r="K125" s="552" t="n"/>
      <c r="L125" s="552" t="n"/>
      <c r="M125" s="552" t="n"/>
    </row>
    <row r="126" ht="21" customHeight="1" s="468">
      <c r="A126" s="685" t="n"/>
      <c r="B126" s="218" t="n"/>
      <c r="C126" s="219" t="n"/>
      <c r="D126" s="220" t="n"/>
      <c r="E126" s="221" t="inlineStr">
        <is>
          <t>CX</t>
        </is>
      </c>
      <c r="F126" s="68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20">
        <f>IFERROR(ROUNDUP(D126/F126,0),"")</f>
        <v/>
      </c>
      <c r="H126" s="224" t="n"/>
      <c r="I126" s="220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552" t="n"/>
      <c r="K126" s="552" t="n"/>
      <c r="L126" s="552" t="n"/>
      <c r="M126" s="552" t="n"/>
    </row>
    <row r="127" ht="21" customHeight="1" s="468">
      <c r="A127" s="685" t="n"/>
      <c r="B127" s="218" t="n"/>
      <c r="C127" s="219" t="n"/>
      <c r="D127" s="220" t="n"/>
      <c r="E127" s="221" t="inlineStr">
        <is>
          <t>CX</t>
        </is>
      </c>
      <c r="F127" s="686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20">
        <f>IFERROR(ROUNDUP(D127/F127,0),"")</f>
        <v/>
      </c>
      <c r="H127" s="224" t="n"/>
      <c r="I127" s="220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552" t="n"/>
      <c r="K127" s="552" t="n"/>
      <c r="L127" s="552" t="n"/>
      <c r="M127" s="552" t="n"/>
    </row>
    <row r="128" ht="21" customHeight="1" s="468">
      <c r="A128" s="685" t="n"/>
      <c r="B128" s="218" t="n"/>
      <c r="C128" s="219" t="n"/>
      <c r="D128" s="220" t="n"/>
      <c r="E128" s="221" t="inlineStr">
        <is>
          <t>CX</t>
        </is>
      </c>
      <c r="F128" s="686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20">
        <f>IFERROR(ROUNDUP(D128/F128,0),"")</f>
        <v/>
      </c>
      <c r="H128" s="224" t="n"/>
      <c r="I128" s="220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552" t="n"/>
      <c r="K128" s="552" t="n"/>
      <c r="L128" s="552" t="n"/>
      <c r="M128" s="552" t="n"/>
    </row>
    <row r="129" ht="15" customHeight="1" s="468">
      <c r="A129" s="658" t="n"/>
      <c r="B129" s="640" t="inlineStr">
        <is>
          <t>TOTAL</t>
        </is>
      </c>
      <c r="C129" s="667" t="n"/>
      <c r="D129" s="642">
        <f>SUM(D124:D128)</f>
        <v/>
      </c>
      <c r="E129" s="668" t="n"/>
      <c r="F129" s="644" t="n"/>
      <c r="G129" s="642">
        <f>SUM(G124:G128)</f>
        <v/>
      </c>
      <c r="H129" s="642">
        <f>SUM(H124:H128)</f>
        <v/>
      </c>
      <c r="I129" s="642">
        <f>SUM(I124:I128)</f>
        <v/>
      </c>
      <c r="J129" s="644">
        <f>D129</f>
        <v/>
      </c>
      <c r="K129" s="644">
        <f>G129</f>
        <v/>
      </c>
      <c r="L129" s="644">
        <f>H129</f>
        <v/>
      </c>
      <c r="M129" s="644">
        <f>I129</f>
        <v/>
      </c>
    </row>
    <row r="130" ht="6" customHeight="1" s="468">
      <c r="A130" s="638" t="n"/>
      <c r="C130" s="71" t="n"/>
      <c r="D130" s="552" t="n"/>
      <c r="F130" s="552" t="n"/>
      <c r="G130" s="552" t="n"/>
      <c r="H130" s="552" t="n"/>
      <c r="I130" s="552" t="n"/>
      <c r="J130" s="552" t="n"/>
      <c r="K130" s="552" t="n"/>
      <c r="L130" s="552" t="n"/>
      <c r="M130" s="552" t="n"/>
    </row>
    <row r="131" ht="15" customHeight="1" s="468">
      <c r="A131" s="646" t="n">
        <v>46315</v>
      </c>
      <c r="B131" s="213" t="inlineStr">
        <is>
          <t>PRODUTO</t>
        </is>
      </c>
      <c r="C131" s="214" t="inlineStr">
        <is>
          <t>EMBALAGEM</t>
        </is>
      </c>
      <c r="D131" s="244" t="inlineStr">
        <is>
          <t>CAIXAS</t>
        </is>
      </c>
      <c r="E131" s="215" t="inlineStr">
        <is>
          <t>UN</t>
        </is>
      </c>
      <c r="F131" s="687" t="inlineStr">
        <is>
          <t>CX/PALLET</t>
        </is>
      </c>
      <c r="G131" s="244" t="inlineStr">
        <is>
          <t>PALLETS (PBR)</t>
        </is>
      </c>
      <c r="H131" s="244" t="inlineStr">
        <is>
          <t>REAL (CX)</t>
        </is>
      </c>
      <c r="I131" s="244" t="inlineStr">
        <is>
          <t>TOTAL LATAS</t>
        </is>
      </c>
      <c r="J131" s="552" t="n"/>
      <c r="K131" s="552" t="n"/>
      <c r="L131" s="552" t="n"/>
      <c r="M131" s="552" t="n"/>
    </row>
    <row r="132" ht="21" customHeight="1" s="468">
      <c r="A132" s="685" t="n"/>
      <c r="B132" s="218" t="n"/>
      <c r="C132" s="219" t="n"/>
      <c r="D132" s="220" t="n"/>
      <c r="E132" s="221" t="inlineStr">
        <is>
          <t>CX</t>
        </is>
      </c>
      <c r="F132" s="686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20">
        <f>IFERROR(ROUNDUP(D132/F132,0),"")</f>
        <v/>
      </c>
      <c r="H132" s="224" t="n"/>
      <c r="I132" s="220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552" t="n"/>
      <c r="K132" s="552" t="n"/>
      <c r="L132" s="552" t="n"/>
      <c r="M132" s="552" t="n"/>
    </row>
    <row r="133" ht="21" customHeight="1" s="468">
      <c r="A133" s="685" t="n"/>
      <c r="B133" s="218" t="n"/>
      <c r="C133" s="219" t="n"/>
      <c r="D133" s="220" t="n"/>
      <c r="E133" s="221" t="inlineStr">
        <is>
          <t>CX</t>
        </is>
      </c>
      <c r="F133" s="686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20">
        <f>IFERROR(ROUNDUP(D133/F133,0),"")</f>
        <v/>
      </c>
      <c r="H133" s="224" t="n"/>
      <c r="I133" s="220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52" t="n"/>
      <c r="K133" s="552" t="n"/>
      <c r="L133" s="552" t="n"/>
      <c r="M133" s="552" t="n"/>
    </row>
    <row r="134" ht="21" customHeight="1" s="468">
      <c r="A134" s="685" t="n"/>
      <c r="B134" s="218" t="n"/>
      <c r="C134" s="219" t="n"/>
      <c r="D134" s="220" t="n"/>
      <c r="E134" s="221" t="inlineStr">
        <is>
          <t>CX</t>
        </is>
      </c>
      <c r="F134" s="686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20">
        <f>IFERROR(ROUNDUP(D134/F134,0),"")</f>
        <v/>
      </c>
      <c r="H134" s="224" t="n"/>
      <c r="I134" s="220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552" t="n"/>
      <c r="K134" s="552" t="n"/>
      <c r="L134" s="552" t="n"/>
      <c r="M134" s="552" t="n"/>
    </row>
    <row r="135" ht="21" customHeight="1" s="468">
      <c r="A135" s="685" t="n"/>
      <c r="B135" s="218" t="n"/>
      <c r="C135" s="219" t="n"/>
      <c r="D135" s="220" t="n"/>
      <c r="E135" s="221" t="inlineStr">
        <is>
          <t>CX</t>
        </is>
      </c>
      <c r="F135" s="686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20">
        <f>IFERROR(ROUNDUP(D135/F135,0),"")</f>
        <v/>
      </c>
      <c r="H135" s="224" t="n"/>
      <c r="I135" s="220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552" t="n"/>
      <c r="K135" s="552" t="n"/>
      <c r="L135" s="552" t="n"/>
      <c r="M135" s="552" t="n"/>
    </row>
    <row r="136" ht="21" customHeight="1" s="468">
      <c r="A136" s="685" t="n"/>
      <c r="B136" s="218" t="n"/>
      <c r="C136" s="219" t="n"/>
      <c r="D136" s="220" t="n"/>
      <c r="E136" s="221" t="inlineStr">
        <is>
          <t>CX</t>
        </is>
      </c>
      <c r="F136" s="686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20">
        <f>IFERROR(ROUNDUP(D136/F136,0),"")</f>
        <v/>
      </c>
      <c r="H136" s="224" t="n"/>
      <c r="I136" s="220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552" t="n"/>
      <c r="K136" s="552" t="n"/>
      <c r="L136" s="552" t="n"/>
      <c r="M136" s="552" t="n"/>
    </row>
    <row r="137" ht="15" customHeight="1" s="468">
      <c r="A137" s="658" t="n"/>
      <c r="B137" s="640" t="inlineStr">
        <is>
          <t>TOTAL</t>
        </is>
      </c>
      <c r="C137" s="667" t="n"/>
      <c r="D137" s="642">
        <f>SUM(D132:D136)</f>
        <v/>
      </c>
      <c r="E137" s="668" t="n"/>
      <c r="F137" s="644" t="n"/>
      <c r="G137" s="642">
        <f>SUM(G132:G136)</f>
        <v/>
      </c>
      <c r="H137" s="642">
        <f>SUM(H132:H136)</f>
        <v/>
      </c>
      <c r="I137" s="642">
        <f>SUM(I132:I136)</f>
        <v/>
      </c>
      <c r="J137" s="644">
        <f>D137</f>
        <v/>
      </c>
      <c r="K137" s="644">
        <f>G137</f>
        <v/>
      </c>
      <c r="L137" s="644">
        <f>H137</f>
        <v/>
      </c>
      <c r="M137" s="644">
        <f>I137</f>
        <v/>
      </c>
    </row>
    <row r="138" ht="6" customHeight="1" s="468">
      <c r="A138" s="638" t="n"/>
      <c r="C138" s="71" t="n"/>
      <c r="D138" s="552" t="n"/>
      <c r="F138" s="552" t="n"/>
      <c r="G138" s="552" t="n"/>
      <c r="H138" s="552" t="n"/>
      <c r="I138" s="552" t="n"/>
      <c r="J138" s="552" t="n"/>
      <c r="K138" s="552" t="n"/>
      <c r="L138" s="552" t="n"/>
      <c r="M138" s="552" t="n"/>
    </row>
    <row r="139" ht="15" customHeight="1" s="468">
      <c r="A139" s="646" t="n">
        <v>46316</v>
      </c>
      <c r="B139" s="213" t="inlineStr">
        <is>
          <t>PRODUTO</t>
        </is>
      </c>
      <c r="C139" s="214" t="inlineStr">
        <is>
          <t>EMBALAGEM</t>
        </is>
      </c>
      <c r="D139" s="244" t="inlineStr">
        <is>
          <t>CAIXAS</t>
        </is>
      </c>
      <c r="E139" s="215" t="inlineStr">
        <is>
          <t>UN</t>
        </is>
      </c>
      <c r="F139" s="687" t="inlineStr">
        <is>
          <t>CX/PALLET</t>
        </is>
      </c>
      <c r="G139" s="244" t="inlineStr">
        <is>
          <t>PALLETS (PBR)</t>
        </is>
      </c>
      <c r="H139" s="244" t="inlineStr">
        <is>
          <t>REAL (CX)</t>
        </is>
      </c>
      <c r="I139" s="244" t="inlineStr">
        <is>
          <t>TOTAL LATAS</t>
        </is>
      </c>
      <c r="J139" s="552" t="n"/>
      <c r="K139" s="552" t="n"/>
      <c r="L139" s="552" t="n"/>
      <c r="M139" s="552" t="n"/>
    </row>
    <row r="140" ht="21" customHeight="1" s="468">
      <c r="A140" s="685" t="n"/>
      <c r="B140" s="218" t="n"/>
      <c r="C140" s="219" t="n"/>
      <c r="D140" s="220" t="n"/>
      <c r="E140" s="221" t="inlineStr">
        <is>
          <t>CX</t>
        </is>
      </c>
      <c r="F140" s="686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20">
        <f>IFERROR(ROUNDUP(D140/F140,0),"")</f>
        <v/>
      </c>
      <c r="H140" s="224" t="n"/>
      <c r="I140" s="220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552" t="n"/>
      <c r="K140" s="552" t="n"/>
      <c r="L140" s="552" t="n"/>
      <c r="M140" s="552" t="n"/>
    </row>
    <row r="141" ht="21" customHeight="1" s="468">
      <c r="A141" s="685" t="n"/>
      <c r="B141" s="218" t="n"/>
      <c r="C141" s="219" t="n"/>
      <c r="D141" s="220" t="n"/>
      <c r="E141" s="221" t="inlineStr">
        <is>
          <t>CX</t>
        </is>
      </c>
      <c r="F141" s="686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20">
        <f>IFERROR(ROUNDUP(D141/F141,0),"")</f>
        <v/>
      </c>
      <c r="H141" s="224" t="n"/>
      <c r="I141" s="220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552" t="n"/>
      <c r="K141" s="552" t="n"/>
      <c r="L141" s="552" t="n"/>
      <c r="M141" s="552" t="n"/>
    </row>
    <row r="142" ht="21" customHeight="1" s="468">
      <c r="A142" s="685" t="n"/>
      <c r="B142" s="218" t="n"/>
      <c r="C142" s="219" t="n"/>
      <c r="D142" s="220" t="n"/>
      <c r="E142" s="221" t="inlineStr">
        <is>
          <t>CX</t>
        </is>
      </c>
      <c r="F142" s="686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20">
        <f>IFERROR(ROUNDUP(D142/F142,0),"")</f>
        <v/>
      </c>
      <c r="H142" s="224" t="n"/>
      <c r="I142" s="220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552" t="n"/>
      <c r="K142" s="552" t="n"/>
      <c r="L142" s="552" t="n"/>
      <c r="M142" s="552" t="n"/>
    </row>
    <row r="143" ht="21" customHeight="1" s="468">
      <c r="A143" s="685" t="n"/>
      <c r="B143" s="218" t="n"/>
      <c r="C143" s="219" t="n"/>
      <c r="D143" s="220" t="n"/>
      <c r="E143" s="221" t="inlineStr">
        <is>
          <t>CX</t>
        </is>
      </c>
      <c r="F143" s="686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20">
        <f>IFERROR(ROUNDUP(D143/F143,0),"")</f>
        <v/>
      </c>
      <c r="H143" s="224" t="n"/>
      <c r="I143" s="220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552" t="n"/>
      <c r="K143" s="552" t="n"/>
      <c r="L143" s="552" t="n"/>
      <c r="M143" s="552" t="n"/>
    </row>
    <row r="144" ht="21" customHeight="1" s="468">
      <c r="A144" s="685" t="n"/>
      <c r="B144" s="218" t="n"/>
      <c r="C144" s="219" t="n"/>
      <c r="D144" s="220" t="n"/>
      <c r="E144" s="221" t="inlineStr">
        <is>
          <t>CX</t>
        </is>
      </c>
      <c r="F144" s="686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20">
        <f>IFERROR(ROUNDUP(D144/F144,0),"")</f>
        <v/>
      </c>
      <c r="H144" s="224" t="n"/>
      <c r="I144" s="220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552" t="n"/>
      <c r="K144" s="552" t="n"/>
      <c r="L144" s="552" t="n"/>
      <c r="M144" s="552" t="n"/>
    </row>
    <row r="145" ht="15" customHeight="1" s="468">
      <c r="A145" s="658" t="n"/>
      <c r="B145" s="640" t="inlineStr">
        <is>
          <t>TOTAL</t>
        </is>
      </c>
      <c r="C145" s="667" t="n"/>
      <c r="D145" s="642">
        <f>SUM(D140:D144)</f>
        <v/>
      </c>
      <c r="E145" s="668" t="n"/>
      <c r="F145" s="644" t="n"/>
      <c r="G145" s="642">
        <f>SUM(G140:G144)</f>
        <v/>
      </c>
      <c r="H145" s="642">
        <f>SUM(H140:H144)</f>
        <v/>
      </c>
      <c r="I145" s="642">
        <f>SUM(I140:I144)</f>
        <v/>
      </c>
      <c r="J145" s="644">
        <f>D145</f>
        <v/>
      </c>
      <c r="K145" s="644">
        <f>G145</f>
        <v/>
      </c>
      <c r="L145" s="644">
        <f>H145</f>
        <v/>
      </c>
      <c r="M145" s="644">
        <f>I145</f>
        <v/>
      </c>
    </row>
    <row r="146" ht="6" customHeight="1" s="468">
      <c r="A146" s="638" t="n"/>
      <c r="C146" s="71" t="n"/>
      <c r="D146" s="552" t="n"/>
      <c r="F146" s="552" t="n"/>
      <c r="G146" s="552" t="n"/>
      <c r="H146" s="552" t="n"/>
      <c r="I146" s="552" t="n"/>
      <c r="J146" s="552" t="n"/>
      <c r="K146" s="552" t="n"/>
      <c r="L146" s="552" t="n"/>
      <c r="M146" s="552" t="n"/>
    </row>
    <row r="147" ht="15" customHeight="1" s="468">
      <c r="A147" s="646" t="n">
        <v>46317</v>
      </c>
      <c r="B147" s="213" t="inlineStr">
        <is>
          <t>PRODUTO</t>
        </is>
      </c>
      <c r="C147" s="214" t="inlineStr">
        <is>
          <t>EMBALAGEM</t>
        </is>
      </c>
      <c r="D147" s="244" t="inlineStr">
        <is>
          <t>CAIXAS</t>
        </is>
      </c>
      <c r="E147" s="215" t="inlineStr">
        <is>
          <t>UN</t>
        </is>
      </c>
      <c r="F147" s="687" t="inlineStr">
        <is>
          <t>CX/PALLET</t>
        </is>
      </c>
      <c r="G147" s="244" t="inlineStr">
        <is>
          <t>PALLETS (PBR)</t>
        </is>
      </c>
      <c r="H147" s="244" t="inlineStr">
        <is>
          <t>REAL (CX)</t>
        </is>
      </c>
      <c r="I147" s="244" t="inlineStr">
        <is>
          <t>TOTAL LATAS</t>
        </is>
      </c>
      <c r="J147" s="552" t="n"/>
      <c r="K147" s="552" t="n"/>
      <c r="L147" s="552" t="n"/>
      <c r="M147" s="552" t="n"/>
    </row>
    <row r="148" ht="21" customHeight="1" s="468">
      <c r="A148" s="685" t="n"/>
      <c r="B148" s="218" t="n"/>
      <c r="C148" s="219" t="n"/>
      <c r="D148" s="220" t="n"/>
      <c r="E148" s="221" t="inlineStr">
        <is>
          <t>CX</t>
        </is>
      </c>
      <c r="F148" s="686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20">
        <f>IFERROR(ROUNDUP(D148/F148,0),"")</f>
        <v/>
      </c>
      <c r="H148" s="224" t="n"/>
      <c r="I148" s="220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552" t="n"/>
      <c r="K148" s="552" t="n"/>
      <c r="L148" s="552" t="n"/>
      <c r="M148" s="552" t="n"/>
    </row>
    <row r="149" ht="21" customHeight="1" s="468">
      <c r="A149" s="685" t="n"/>
      <c r="B149" s="218" t="n"/>
      <c r="C149" s="219" t="n"/>
      <c r="D149" s="220" t="n"/>
      <c r="E149" s="221" t="inlineStr">
        <is>
          <t>CX</t>
        </is>
      </c>
      <c r="F149" s="686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20">
        <f>IFERROR(ROUNDUP(D149/F149,0),"")</f>
        <v/>
      </c>
      <c r="H149" s="224" t="n"/>
      <c r="I149" s="220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552" t="n"/>
      <c r="K149" s="552" t="n"/>
      <c r="L149" s="552" t="n"/>
      <c r="M149" s="552" t="n"/>
    </row>
    <row r="150" ht="21" customHeight="1" s="468">
      <c r="A150" s="685" t="n"/>
      <c r="B150" s="218" t="n"/>
      <c r="C150" s="219" t="n"/>
      <c r="D150" s="220" t="n"/>
      <c r="E150" s="221" t="inlineStr">
        <is>
          <t>CX</t>
        </is>
      </c>
      <c r="F150" s="686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20">
        <f>IFERROR(ROUNDUP(D150/F150,0),"")</f>
        <v/>
      </c>
      <c r="H150" s="224" t="n"/>
      <c r="I150" s="220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552" t="n"/>
      <c r="K150" s="552" t="n"/>
      <c r="L150" s="552" t="n"/>
      <c r="M150" s="552" t="n"/>
    </row>
    <row r="151" ht="21" customHeight="1" s="468">
      <c r="A151" s="685" t="n"/>
      <c r="B151" s="218" t="n"/>
      <c r="C151" s="219" t="n"/>
      <c r="D151" s="220" t="n"/>
      <c r="E151" s="221" t="inlineStr">
        <is>
          <t>CX</t>
        </is>
      </c>
      <c r="F151" s="686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20">
        <f>IFERROR(ROUNDUP(D151/F151,0),"")</f>
        <v/>
      </c>
      <c r="H151" s="224" t="n"/>
      <c r="I151" s="220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52" t="n"/>
      <c r="K151" s="552" t="n"/>
      <c r="L151" s="552" t="n"/>
      <c r="M151" s="552" t="n"/>
    </row>
    <row r="152" ht="21" customHeight="1" s="468">
      <c r="A152" s="685" t="n"/>
      <c r="B152" s="218" t="n"/>
      <c r="C152" s="219" t="n"/>
      <c r="D152" s="220" t="n"/>
      <c r="E152" s="221" t="inlineStr">
        <is>
          <t>CX</t>
        </is>
      </c>
      <c r="F152" s="68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20">
        <f>IFERROR(ROUNDUP(D152/F152,0),"")</f>
        <v/>
      </c>
      <c r="H152" s="224" t="n"/>
      <c r="I152" s="220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552" t="n"/>
      <c r="K152" s="552" t="n"/>
      <c r="L152" s="552" t="n"/>
      <c r="M152" s="552" t="n"/>
    </row>
    <row r="153" ht="15" customHeight="1" s="468">
      <c r="A153" s="658" t="n"/>
      <c r="B153" s="640" t="inlineStr">
        <is>
          <t>TOTAL</t>
        </is>
      </c>
      <c r="C153" s="667" t="n"/>
      <c r="D153" s="642">
        <f>SUM(D148:D152)</f>
        <v/>
      </c>
      <c r="E153" s="668" t="n"/>
      <c r="F153" s="644" t="n"/>
      <c r="G153" s="642">
        <f>SUM(G148:G152)</f>
        <v/>
      </c>
      <c r="H153" s="642">
        <f>SUM(H148:H152)</f>
        <v/>
      </c>
      <c r="I153" s="642">
        <f>SUM(I148:I152)</f>
        <v/>
      </c>
      <c r="J153" s="644">
        <f>D153</f>
        <v/>
      </c>
      <c r="K153" s="644">
        <f>G153</f>
        <v/>
      </c>
      <c r="L153" s="644">
        <f>H153</f>
        <v/>
      </c>
      <c r="M153" s="644">
        <f>I153</f>
        <v/>
      </c>
    </row>
    <row r="154" ht="6" customHeight="1" s="468">
      <c r="A154" s="638" t="n"/>
      <c r="C154" s="71" t="n"/>
      <c r="D154" s="552" t="n"/>
      <c r="F154" s="552" t="n"/>
      <c r="G154" s="552" t="n"/>
      <c r="H154" s="552" t="n"/>
      <c r="I154" s="552" t="n"/>
      <c r="J154" s="552" t="n"/>
      <c r="K154" s="552" t="n"/>
      <c r="L154" s="552" t="n"/>
      <c r="M154" s="552" t="n"/>
    </row>
    <row r="155" ht="15" customHeight="1" s="468">
      <c r="A155" s="646" t="n">
        <v>46318</v>
      </c>
      <c r="B155" s="213" t="inlineStr">
        <is>
          <t>PRODUTO</t>
        </is>
      </c>
      <c r="C155" s="214" t="inlineStr">
        <is>
          <t>EMBALAGEM</t>
        </is>
      </c>
      <c r="D155" s="244" t="inlineStr">
        <is>
          <t>CAIXAS</t>
        </is>
      </c>
      <c r="E155" s="215" t="inlineStr">
        <is>
          <t>UN</t>
        </is>
      </c>
      <c r="F155" s="687" t="inlineStr">
        <is>
          <t>CX/PALLET</t>
        </is>
      </c>
      <c r="G155" s="244" t="inlineStr">
        <is>
          <t>PALLETS (PBR)</t>
        </is>
      </c>
      <c r="H155" s="244" t="inlineStr">
        <is>
          <t>REAL (CX)</t>
        </is>
      </c>
      <c r="I155" s="244" t="inlineStr">
        <is>
          <t>TOTAL LATAS</t>
        </is>
      </c>
      <c r="J155" s="552" t="n"/>
      <c r="K155" s="552" t="n"/>
      <c r="L155" s="552" t="n"/>
      <c r="M155" s="552" t="n"/>
    </row>
    <row r="156" ht="21" customHeight="1" s="468">
      <c r="A156" s="685" t="n"/>
      <c r="B156" s="218" t="n"/>
      <c r="C156" s="219" t="n"/>
      <c r="D156" s="220" t="n"/>
      <c r="E156" s="221" t="inlineStr">
        <is>
          <t>CX</t>
        </is>
      </c>
      <c r="F156" s="686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20">
        <f>IFERROR(ROUNDUP(D156/F156,0),"")</f>
        <v/>
      </c>
      <c r="H156" s="224" t="n"/>
      <c r="I156" s="220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552" t="n"/>
      <c r="K156" s="552" t="n"/>
      <c r="L156" s="552" t="n"/>
      <c r="M156" s="552" t="n"/>
    </row>
    <row r="157" ht="21" customHeight="1" s="468">
      <c r="A157" s="685" t="n"/>
      <c r="B157" s="218" t="n"/>
      <c r="C157" s="219" t="n"/>
      <c r="D157" s="220" t="n"/>
      <c r="E157" s="221" t="inlineStr">
        <is>
          <t>CX</t>
        </is>
      </c>
      <c r="F157" s="68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20">
        <f>IFERROR(ROUNDUP(D157/F157,0),"")</f>
        <v/>
      </c>
      <c r="H157" s="224" t="n"/>
      <c r="I157" s="220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 t="n"/>
      <c r="K157" s="552" t="n"/>
      <c r="L157" s="552" t="n"/>
      <c r="M157" s="552" t="n"/>
    </row>
    <row r="158" ht="21" customHeight="1" s="468">
      <c r="A158" s="685" t="n"/>
      <c r="B158" s="218" t="n"/>
      <c r="C158" s="219" t="n"/>
      <c r="D158" s="220" t="n"/>
      <c r="E158" s="221" t="inlineStr">
        <is>
          <t>CX</t>
        </is>
      </c>
      <c r="F158" s="68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20">
        <f>IFERROR(ROUNDUP(D158/F158,0),"")</f>
        <v/>
      </c>
      <c r="H158" s="224" t="n"/>
      <c r="I158" s="220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552" t="n"/>
      <c r="K158" s="552" t="n"/>
      <c r="L158" s="552" t="n"/>
      <c r="M158" s="552" t="n"/>
    </row>
    <row r="159" ht="21" customHeight="1" s="468">
      <c r="A159" s="685" t="n"/>
      <c r="B159" s="218" t="n"/>
      <c r="C159" s="219" t="n"/>
      <c r="D159" s="220" t="n"/>
      <c r="E159" s="221" t="inlineStr">
        <is>
          <t>CX</t>
        </is>
      </c>
      <c r="F159" s="686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20">
        <f>IFERROR(ROUNDUP(D159/F159,0),"")</f>
        <v/>
      </c>
      <c r="H159" s="224" t="n"/>
      <c r="I159" s="220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52" t="n"/>
      <c r="K159" s="552" t="n"/>
      <c r="L159" s="552" t="n"/>
      <c r="M159" s="552" t="n"/>
    </row>
    <row r="160" ht="21" customHeight="1" s="468">
      <c r="A160" s="685" t="n"/>
      <c r="B160" s="218" t="n"/>
      <c r="C160" s="219" t="n"/>
      <c r="D160" s="220" t="n"/>
      <c r="E160" s="221" t="inlineStr">
        <is>
          <t>CX</t>
        </is>
      </c>
      <c r="F160" s="68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20">
        <f>IFERROR(ROUNDUP(D160/F160,0),"")</f>
        <v/>
      </c>
      <c r="H160" s="224" t="n"/>
      <c r="I160" s="22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552" t="n"/>
      <c r="K160" s="552" t="n"/>
      <c r="L160" s="552" t="n"/>
      <c r="M160" s="552" t="n"/>
    </row>
    <row r="161" ht="15" customHeight="1" s="468">
      <c r="A161" s="658" t="n"/>
      <c r="B161" s="640" t="inlineStr">
        <is>
          <t>TOTAL</t>
        </is>
      </c>
      <c r="C161" s="667" t="n"/>
      <c r="D161" s="642">
        <f>SUM(D156:D160)</f>
        <v/>
      </c>
      <c r="E161" s="668" t="n"/>
      <c r="F161" s="644" t="n"/>
      <c r="G161" s="642">
        <f>SUM(G156:G160)</f>
        <v/>
      </c>
      <c r="H161" s="642">
        <f>SUM(H156:H160)</f>
        <v/>
      </c>
      <c r="I161" s="642">
        <f>SUM(I156:I160)</f>
        <v/>
      </c>
      <c r="J161" s="644">
        <f>D161</f>
        <v/>
      </c>
      <c r="K161" s="644">
        <f>G161</f>
        <v/>
      </c>
      <c r="L161" s="644">
        <f>H161</f>
        <v/>
      </c>
      <c r="M161" s="644">
        <f>I161</f>
        <v/>
      </c>
    </row>
    <row r="162" ht="6" customHeight="1" s="468">
      <c r="A162" s="638" t="n"/>
      <c r="C162" s="71" t="n"/>
      <c r="D162" s="552" t="n"/>
      <c r="F162" s="552" t="n"/>
      <c r="G162" s="552" t="n"/>
      <c r="H162" s="552" t="n"/>
      <c r="I162" s="552" t="n"/>
      <c r="J162" s="552" t="n"/>
      <c r="K162" s="552" t="n"/>
      <c r="L162" s="552" t="n"/>
      <c r="M162" s="552" t="n"/>
    </row>
    <row r="163" ht="15" customHeight="1" s="468">
      <c r="A163" s="696" t="n">
        <v>46319</v>
      </c>
      <c r="B163" s="213" t="inlineStr">
        <is>
          <t>PRODUTO</t>
        </is>
      </c>
      <c r="C163" s="214" t="inlineStr">
        <is>
          <t>EMBALAGEM</t>
        </is>
      </c>
      <c r="D163" s="244" t="inlineStr">
        <is>
          <t>CAIXAS</t>
        </is>
      </c>
      <c r="E163" s="215" t="inlineStr">
        <is>
          <t>UN</t>
        </is>
      </c>
      <c r="F163" s="697" t="inlineStr">
        <is>
          <t>CX/PALLET</t>
        </is>
      </c>
      <c r="G163" s="244" t="inlineStr">
        <is>
          <t>PALLETS (PBR)</t>
        </is>
      </c>
      <c r="H163" s="244" t="inlineStr">
        <is>
          <t>REAL (CX)</t>
        </is>
      </c>
      <c r="I163" s="244" t="inlineStr">
        <is>
          <t>TOTAL LATAS</t>
        </is>
      </c>
      <c r="J163" s="274" t="n"/>
      <c r="K163" s="274" t="n"/>
      <c r="L163" s="274" t="n"/>
      <c r="M163" s="274" t="n"/>
    </row>
    <row r="164" ht="21" customHeight="1" s="468">
      <c r="A164" s="685" t="n"/>
      <c r="B164" s="266" t="n"/>
      <c r="C164" s="267" t="n"/>
      <c r="D164" s="268" t="n"/>
      <c r="E164" s="269" t="inlineStr">
        <is>
          <t>CX</t>
        </is>
      </c>
      <c r="F164" s="698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68">
        <f>IFERROR(ROUNDUP(D164/F164,0),"")</f>
        <v/>
      </c>
      <c r="H164" s="224" t="n"/>
      <c r="I164" s="268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274" t="n"/>
      <c r="K164" s="274" t="n"/>
      <c r="L164" s="274" t="n"/>
      <c r="M164" s="274" t="n"/>
    </row>
    <row r="165" ht="21" customHeight="1" s="468">
      <c r="A165" s="685" t="n"/>
      <c r="B165" s="266" t="n"/>
      <c r="C165" s="267" t="n"/>
      <c r="D165" s="268" t="n"/>
      <c r="E165" s="269" t="inlineStr">
        <is>
          <t>CX</t>
        </is>
      </c>
      <c r="F165" s="698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68">
        <f>IFERROR(ROUNDUP(D165/F165,0),"")</f>
        <v/>
      </c>
      <c r="H165" s="224" t="n"/>
      <c r="I165" s="268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274" t="n"/>
      <c r="K165" s="274" t="n"/>
      <c r="L165" s="274" t="n"/>
      <c r="M165" s="274" t="n"/>
    </row>
    <row r="166" ht="21" customHeight="1" s="468">
      <c r="A166" s="685" t="n"/>
      <c r="B166" s="266" t="n"/>
      <c r="C166" s="267" t="n"/>
      <c r="D166" s="268" t="n"/>
      <c r="E166" s="269" t="inlineStr">
        <is>
          <t>CX</t>
        </is>
      </c>
      <c r="F166" s="698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68">
        <f>IFERROR(ROUNDUP(D166/F166,0),"")</f>
        <v/>
      </c>
      <c r="H166" s="224" t="n"/>
      <c r="I166" s="268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274" t="n"/>
      <c r="K166" s="274" t="n"/>
      <c r="L166" s="274" t="n"/>
      <c r="M166" s="274" t="n"/>
    </row>
    <row r="167" ht="21" customHeight="1" s="468">
      <c r="A167" s="685" t="n"/>
      <c r="B167" s="266" t="n"/>
      <c r="C167" s="267" t="n"/>
      <c r="D167" s="268" t="n"/>
      <c r="E167" s="269" t="inlineStr">
        <is>
          <t>CX</t>
        </is>
      </c>
      <c r="F167" s="698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68">
        <f>IFERROR(ROUNDUP(D167/F167,0),"")</f>
        <v/>
      </c>
      <c r="H167" s="224" t="n"/>
      <c r="I167" s="268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274" t="n"/>
      <c r="K167" s="274" t="n"/>
      <c r="L167" s="274" t="n"/>
      <c r="M167" s="274" t="n"/>
    </row>
    <row r="168" ht="21" customHeight="1" s="468">
      <c r="A168" s="685" t="n"/>
      <c r="B168" s="266" t="n"/>
      <c r="C168" s="267" t="n"/>
      <c r="D168" s="268" t="n"/>
      <c r="E168" s="269" t="inlineStr">
        <is>
          <t>CX</t>
        </is>
      </c>
      <c r="F168" s="698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68">
        <f>IFERROR(ROUNDUP(D168/F168,0),"")</f>
        <v/>
      </c>
      <c r="H168" s="224" t="n"/>
      <c r="I168" s="268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274" t="n"/>
      <c r="K168" s="274" t="n"/>
      <c r="L168" s="274" t="n"/>
      <c r="M168" s="274" t="n"/>
    </row>
    <row r="169" ht="15" customHeight="1" s="468">
      <c r="A169" s="658" t="n"/>
      <c r="B169" s="640" t="inlineStr">
        <is>
          <t>TOTAL</t>
        </is>
      </c>
      <c r="C169" s="667" t="n"/>
      <c r="D169" s="642">
        <f>SUM(D164:D168)</f>
        <v/>
      </c>
      <c r="E169" s="668" t="n"/>
      <c r="F169" s="644" t="n"/>
      <c r="G169" s="642">
        <f>SUM(G164:G168)</f>
        <v/>
      </c>
      <c r="H169" s="642">
        <f>SUM(H164:H168)</f>
        <v/>
      </c>
      <c r="I169" s="642">
        <f>SUM(I164:I168)</f>
        <v/>
      </c>
      <c r="J169" s="644">
        <f>D169</f>
        <v/>
      </c>
      <c r="K169" s="644">
        <f>G169</f>
        <v/>
      </c>
      <c r="L169" s="644">
        <f>H169</f>
        <v/>
      </c>
      <c r="M169" s="644">
        <f>I169</f>
        <v/>
      </c>
    </row>
    <row r="170" ht="6" customHeight="1" s="468">
      <c r="A170" s="699" t="n"/>
      <c r="B170" s="265" t="n"/>
      <c r="C170" s="276" t="n"/>
      <c r="D170" s="274" t="n"/>
      <c r="E170" s="265" t="n"/>
      <c r="F170" s="274" t="n"/>
      <c r="G170" s="274" t="n"/>
      <c r="H170" s="274" t="n"/>
      <c r="I170" s="274" t="n"/>
      <c r="J170" s="274" t="n"/>
      <c r="K170" s="274" t="n"/>
      <c r="L170" s="274" t="n"/>
      <c r="M170" s="274" t="n"/>
    </row>
    <row r="171" ht="15" customHeight="1" s="468">
      <c r="A171" s="646" t="n">
        <v>46321</v>
      </c>
      <c r="B171" s="213" t="inlineStr">
        <is>
          <t>PRODUTO</t>
        </is>
      </c>
      <c r="C171" s="214" t="inlineStr">
        <is>
          <t>EMBALAGEM</t>
        </is>
      </c>
      <c r="D171" s="244" t="inlineStr">
        <is>
          <t>CAIXAS</t>
        </is>
      </c>
      <c r="E171" s="215" t="inlineStr">
        <is>
          <t>UN</t>
        </is>
      </c>
      <c r="F171" s="687" t="inlineStr">
        <is>
          <t>CX/PALLET</t>
        </is>
      </c>
      <c r="G171" s="244" t="inlineStr">
        <is>
          <t>PALLETS (PBR)</t>
        </is>
      </c>
      <c r="H171" s="244" t="inlineStr">
        <is>
          <t>REAL (CX)</t>
        </is>
      </c>
      <c r="I171" s="244" t="inlineStr">
        <is>
          <t>TOTAL LATAS</t>
        </is>
      </c>
      <c r="J171" s="552" t="n"/>
      <c r="K171" s="552" t="n"/>
      <c r="L171" s="552" t="n"/>
      <c r="M171" s="552" t="n"/>
    </row>
    <row r="172" ht="21" customHeight="1" s="468">
      <c r="A172" s="685" t="n"/>
      <c r="B172" s="218" t="n"/>
      <c r="C172" s="219" t="n"/>
      <c r="D172" s="220" t="n"/>
      <c r="E172" s="221" t="inlineStr">
        <is>
          <t>CX</t>
        </is>
      </c>
      <c r="F172" s="686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20">
        <f>IFERROR(ROUNDUP(D172/F172,0),"")</f>
        <v/>
      </c>
      <c r="H172" s="224" t="n"/>
      <c r="I172" s="220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552" t="n"/>
      <c r="K172" s="552" t="n"/>
      <c r="L172" s="552" t="n"/>
      <c r="M172" s="552" t="n"/>
    </row>
    <row r="173" ht="21" customHeight="1" s="468">
      <c r="A173" s="685" t="n"/>
      <c r="B173" s="218" t="n"/>
      <c r="C173" s="219" t="n"/>
      <c r="D173" s="220" t="n"/>
      <c r="E173" s="221" t="inlineStr">
        <is>
          <t>CX</t>
        </is>
      </c>
      <c r="F173" s="686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20">
        <f>IFERROR(ROUNDUP(D173/F173,0),"")</f>
        <v/>
      </c>
      <c r="H173" s="224" t="n"/>
      <c r="I173" s="220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552" t="n"/>
      <c r="K173" s="552" t="n"/>
      <c r="L173" s="552" t="n"/>
      <c r="M173" s="552" t="n"/>
    </row>
    <row r="174" ht="21" customHeight="1" s="468">
      <c r="A174" s="685" t="n"/>
      <c r="B174" s="218" t="n"/>
      <c r="C174" s="219" t="n"/>
      <c r="D174" s="220" t="n"/>
      <c r="E174" s="221" t="inlineStr">
        <is>
          <t>CX</t>
        </is>
      </c>
      <c r="F174" s="686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20">
        <f>IFERROR(ROUNDUP(D174/F174,0),"")</f>
        <v/>
      </c>
      <c r="H174" s="224" t="n"/>
      <c r="I174" s="220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552" t="n"/>
      <c r="K174" s="552" t="n"/>
      <c r="L174" s="552" t="n"/>
      <c r="M174" s="552" t="n"/>
    </row>
    <row r="175" ht="21" customHeight="1" s="468">
      <c r="A175" s="685" t="n"/>
      <c r="B175" s="218" t="n"/>
      <c r="C175" s="219" t="n"/>
      <c r="D175" s="220" t="n"/>
      <c r="E175" s="221" t="inlineStr">
        <is>
          <t>CX</t>
        </is>
      </c>
      <c r="F175" s="686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20">
        <f>IFERROR(ROUNDUP(D175/F175,0),"")</f>
        <v/>
      </c>
      <c r="H175" s="224" t="n"/>
      <c r="I175" s="220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552" t="n"/>
      <c r="K175" s="552" t="n"/>
      <c r="L175" s="552" t="n"/>
      <c r="M175" s="552" t="n"/>
    </row>
    <row r="176" ht="21" customHeight="1" s="468">
      <c r="A176" s="685" t="n"/>
      <c r="B176" s="218" t="n"/>
      <c r="C176" s="219" t="n"/>
      <c r="D176" s="220" t="n"/>
      <c r="E176" s="221" t="inlineStr">
        <is>
          <t>CX</t>
        </is>
      </c>
      <c r="F176" s="68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20">
        <f>IFERROR(ROUNDUP(D176/F176,0),"")</f>
        <v/>
      </c>
      <c r="H176" s="224" t="n"/>
      <c r="I176" s="220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 t="n"/>
      <c r="K176" s="552" t="n"/>
      <c r="L176" s="552" t="n"/>
      <c r="M176" s="552" t="n"/>
    </row>
    <row r="177" ht="15" customHeight="1" s="468">
      <c r="A177" s="658" t="n"/>
      <c r="B177" s="640" t="inlineStr">
        <is>
          <t>TOTAL</t>
        </is>
      </c>
      <c r="C177" s="667" t="n"/>
      <c r="D177" s="642">
        <f>SUM(D172:D176)</f>
        <v/>
      </c>
      <c r="E177" s="668" t="n"/>
      <c r="F177" s="644" t="n"/>
      <c r="G177" s="642">
        <f>SUM(G172:G176)</f>
        <v/>
      </c>
      <c r="H177" s="642">
        <f>SUM(H172:H176)</f>
        <v/>
      </c>
      <c r="I177" s="642">
        <f>SUM(I172:I176)</f>
        <v/>
      </c>
      <c r="J177" s="644">
        <f>D177</f>
        <v/>
      </c>
      <c r="K177" s="644">
        <f>G177</f>
        <v/>
      </c>
      <c r="L177" s="644">
        <f>H177</f>
        <v/>
      </c>
      <c r="M177" s="644">
        <f>I177</f>
        <v/>
      </c>
    </row>
    <row r="178" ht="15" customHeight="1" s="468">
      <c r="A178" s="638" t="n"/>
      <c r="C178" s="71" t="n"/>
      <c r="D178" s="552" t="n"/>
      <c r="F178" s="552" t="n"/>
      <c r="G178" s="552" t="n"/>
      <c r="H178" s="552" t="n"/>
      <c r="I178" s="552" t="n"/>
      <c r="J178" s="552" t="n"/>
      <c r="K178" s="552" t="n"/>
      <c r="L178" s="552" t="n"/>
      <c r="M178" s="552" t="n"/>
    </row>
    <row r="179" ht="21" customHeight="1" s="468">
      <c r="A179" s="646" t="n">
        <v>46322</v>
      </c>
      <c r="B179" s="213" t="inlineStr">
        <is>
          <t>PRODUTO</t>
        </is>
      </c>
      <c r="C179" s="214" t="inlineStr">
        <is>
          <t>EMBALAGEM</t>
        </is>
      </c>
      <c r="D179" s="244" t="inlineStr">
        <is>
          <t>CAIXAS</t>
        </is>
      </c>
      <c r="E179" s="215" t="inlineStr">
        <is>
          <t>UN</t>
        </is>
      </c>
      <c r="F179" s="687" t="inlineStr">
        <is>
          <t>CX/PALLET</t>
        </is>
      </c>
      <c r="G179" s="244" t="inlineStr">
        <is>
          <t>PALLETS (PBR)</t>
        </is>
      </c>
      <c r="H179" s="244" t="inlineStr">
        <is>
          <t>REAL (CX)</t>
        </is>
      </c>
      <c r="I179" s="244" t="inlineStr">
        <is>
          <t>TOTAL LATAS</t>
        </is>
      </c>
      <c r="J179" s="552" t="n"/>
      <c r="K179" s="552" t="n"/>
      <c r="L179" s="552" t="n"/>
      <c r="M179" s="552" t="n"/>
    </row>
    <row r="180" ht="21" customHeight="1" s="468">
      <c r="A180" s="685" t="n"/>
      <c r="B180" s="218" t="n"/>
      <c r="C180" s="219" t="n"/>
      <c r="D180" s="220" t="n"/>
      <c r="E180" s="221" t="inlineStr">
        <is>
          <t>CX</t>
        </is>
      </c>
      <c r="F180" s="686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20">
        <f>IFERROR(ROUNDUP(D180/F180,0),"")</f>
        <v/>
      </c>
      <c r="H180" s="224" t="n"/>
      <c r="I180" s="220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552" t="n"/>
      <c r="K180" s="552" t="n"/>
      <c r="L180" s="552" t="n"/>
      <c r="M180" s="552" t="n"/>
    </row>
    <row r="181" ht="21" customHeight="1" s="468">
      <c r="A181" s="685" t="n"/>
      <c r="B181" s="218" t="n"/>
      <c r="C181" s="219" t="n"/>
      <c r="D181" s="220" t="n"/>
      <c r="E181" s="221" t="inlineStr">
        <is>
          <t>CX</t>
        </is>
      </c>
      <c r="F181" s="686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20">
        <f>IFERROR(ROUNDUP(D181/F181,0),"")</f>
        <v/>
      </c>
      <c r="H181" s="224" t="n"/>
      <c r="I181" s="220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552" t="n"/>
      <c r="K181" s="552" t="n"/>
      <c r="L181" s="552" t="n"/>
      <c r="M181" s="552" t="n"/>
    </row>
    <row r="182" ht="21" customHeight="1" s="468">
      <c r="A182" s="685" t="n"/>
      <c r="B182" s="218" t="n"/>
      <c r="C182" s="219" t="n"/>
      <c r="D182" s="220" t="n"/>
      <c r="E182" s="221" t="inlineStr">
        <is>
          <t>CX</t>
        </is>
      </c>
      <c r="F182" s="686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20">
        <f>IFERROR(ROUNDUP(D182/F182,0),"")</f>
        <v/>
      </c>
      <c r="H182" s="224" t="n"/>
      <c r="I182" s="220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552" t="n"/>
      <c r="K182" s="552" t="n"/>
      <c r="L182" s="552" t="n"/>
      <c r="M182" s="552" t="n"/>
    </row>
    <row r="183" ht="21" customHeight="1" s="468">
      <c r="A183" s="685" t="n"/>
      <c r="B183" s="218" t="n"/>
      <c r="C183" s="219" t="n"/>
      <c r="D183" s="220" t="n"/>
      <c r="E183" s="221" t="inlineStr">
        <is>
          <t>CX</t>
        </is>
      </c>
      <c r="F183" s="686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20">
        <f>IFERROR(ROUNDUP(D183/F183,0),"")</f>
        <v/>
      </c>
      <c r="H183" s="224" t="n"/>
      <c r="I183" s="220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552" t="n"/>
      <c r="K183" s="552" t="n"/>
      <c r="L183" s="552" t="n"/>
      <c r="M183" s="552" t="n"/>
    </row>
    <row r="184" ht="15" customHeight="1" s="468">
      <c r="A184" s="685" t="n"/>
      <c r="B184" s="218" t="n"/>
      <c r="C184" s="219" t="n"/>
      <c r="D184" s="220" t="n"/>
      <c r="E184" s="221" t="inlineStr">
        <is>
          <t>CX</t>
        </is>
      </c>
      <c r="F184" s="686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20">
        <f>IFERROR(ROUNDUP(D184/F184,0),"")</f>
        <v/>
      </c>
      <c r="H184" s="224" t="n"/>
      <c r="I184" s="220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552" t="n"/>
      <c r="K184" s="552" t="n"/>
      <c r="L184" s="552" t="n"/>
      <c r="M184" s="552" t="n"/>
    </row>
    <row r="185" ht="14.25" customHeight="1" s="468">
      <c r="A185" s="658" t="n"/>
      <c r="B185" s="640" t="inlineStr">
        <is>
          <t>TOTAL</t>
        </is>
      </c>
      <c r="C185" s="667" t="n"/>
      <c r="D185" s="642">
        <f>SUM(D180:D184)</f>
        <v/>
      </c>
      <c r="E185" s="668" t="n"/>
      <c r="F185" s="644" t="n"/>
      <c r="G185" s="642">
        <f>SUM(G180:G184)</f>
        <v/>
      </c>
      <c r="H185" s="642">
        <f>SUM(H180:H184)</f>
        <v/>
      </c>
      <c r="I185" s="642">
        <f>SUM(I180:I184)</f>
        <v/>
      </c>
      <c r="J185" s="644">
        <f>D185</f>
        <v/>
      </c>
      <c r="K185" s="644">
        <f>G185</f>
        <v/>
      </c>
      <c r="L185" s="644">
        <f>H185</f>
        <v/>
      </c>
      <c r="M185" s="644">
        <f>I185</f>
        <v/>
      </c>
    </row>
    <row r="186" ht="14.25" customHeight="1" s="468">
      <c r="A186" s="638" t="n"/>
      <c r="C186" s="71" t="n"/>
      <c r="D186" s="552" t="n"/>
      <c r="F186" s="552" t="n"/>
      <c r="G186" s="552" t="n"/>
      <c r="H186" s="552" t="n"/>
      <c r="I186" s="552" t="n"/>
      <c r="J186" s="552" t="n"/>
      <c r="K186" s="552" t="n"/>
      <c r="L186" s="552" t="n"/>
      <c r="M186" s="552" t="n"/>
    </row>
    <row r="187" ht="14.25" customHeight="1" s="468">
      <c r="A187" s="646" t="n">
        <v>46323</v>
      </c>
      <c r="B187" s="213" t="inlineStr">
        <is>
          <t>PRODUTO</t>
        </is>
      </c>
      <c r="C187" s="214" t="inlineStr">
        <is>
          <t>EMBALAGEM</t>
        </is>
      </c>
      <c r="D187" s="244" t="inlineStr">
        <is>
          <t>CAIXAS</t>
        </is>
      </c>
      <c r="E187" s="215" t="inlineStr">
        <is>
          <t>UN</t>
        </is>
      </c>
      <c r="F187" s="687" t="inlineStr">
        <is>
          <t>CX/PALLET</t>
        </is>
      </c>
      <c r="G187" s="244" t="inlineStr">
        <is>
          <t>PALLETS (PBR)</t>
        </is>
      </c>
      <c r="H187" s="244" t="inlineStr">
        <is>
          <t>REAL (CX)</t>
        </is>
      </c>
      <c r="I187" s="244" t="inlineStr">
        <is>
          <t>TOTAL LATAS</t>
        </is>
      </c>
      <c r="J187" s="552" t="n"/>
      <c r="K187" s="552" t="n"/>
      <c r="L187" s="552" t="n"/>
      <c r="M187" s="552" t="n"/>
    </row>
    <row r="188" ht="21" customHeight="1" s="468">
      <c r="A188" s="685" t="n"/>
      <c r="B188" s="218" t="n"/>
      <c r="C188" s="219" t="n"/>
      <c r="D188" s="220" t="n"/>
      <c r="E188" s="221" t="inlineStr">
        <is>
          <t>CX</t>
        </is>
      </c>
      <c r="F188" s="686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20">
        <f>IFERROR(ROUNDUP(D188/F188,0),"")</f>
        <v/>
      </c>
      <c r="H188" s="224" t="n"/>
      <c r="I188" s="220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552" t="n"/>
      <c r="K188" s="552" t="n"/>
      <c r="L188" s="552" t="n"/>
      <c r="M188" s="552" t="n"/>
    </row>
    <row r="189" ht="21" customHeight="1" s="468">
      <c r="A189" s="685" t="n"/>
      <c r="B189" s="218" t="n"/>
      <c r="C189" s="219" t="n"/>
      <c r="D189" s="220" t="n"/>
      <c r="E189" s="221" t="inlineStr">
        <is>
          <t>CX</t>
        </is>
      </c>
      <c r="F189" s="686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20">
        <f>IFERROR(ROUNDUP(D189/F189,0),"")</f>
        <v/>
      </c>
      <c r="H189" s="224" t="n"/>
      <c r="I189" s="220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552" t="n"/>
      <c r="K189" s="552" t="n"/>
      <c r="L189" s="552" t="n"/>
      <c r="M189" s="552" t="n"/>
    </row>
    <row r="190" ht="21" customHeight="1" s="468">
      <c r="A190" s="685" t="n"/>
      <c r="B190" s="218" t="n"/>
      <c r="C190" s="219" t="n"/>
      <c r="D190" s="220" t="n"/>
      <c r="E190" s="221" t="inlineStr">
        <is>
          <t>CX</t>
        </is>
      </c>
      <c r="F190" s="686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20">
        <f>IFERROR(ROUNDUP(D190/F190,0),"")</f>
        <v/>
      </c>
      <c r="H190" s="224" t="n"/>
      <c r="I190" s="220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552" t="n"/>
      <c r="K190" s="552" t="n"/>
      <c r="L190" s="552" t="n"/>
      <c r="M190" s="552" t="n"/>
    </row>
    <row r="191" ht="21" customHeight="1" s="468">
      <c r="A191" s="685" t="n"/>
      <c r="B191" s="218" t="n"/>
      <c r="C191" s="219" t="n"/>
      <c r="D191" s="220" t="n"/>
      <c r="E191" s="221" t="inlineStr">
        <is>
          <t>CX</t>
        </is>
      </c>
      <c r="F191" s="686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20">
        <f>IFERROR(ROUNDUP(D191/F191,0),"")</f>
        <v/>
      </c>
      <c r="H191" s="224" t="n"/>
      <c r="I191" s="220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552" t="n"/>
      <c r="K191" s="552" t="n"/>
      <c r="L191" s="552" t="n"/>
      <c r="M191" s="552" t="n"/>
    </row>
    <row r="192" ht="21" customHeight="1" s="468">
      <c r="A192" s="685" t="n"/>
      <c r="B192" s="218" t="n"/>
      <c r="C192" s="219" t="n"/>
      <c r="D192" s="220" t="n"/>
      <c r="E192" s="221" t="inlineStr">
        <is>
          <t>CX</t>
        </is>
      </c>
      <c r="F192" s="686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20">
        <f>IFERROR(ROUNDUP(D192/F192,0),"")</f>
        <v/>
      </c>
      <c r="H192" s="224" t="n"/>
      <c r="I192" s="220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552" t="n"/>
      <c r="K192" s="552" t="n"/>
      <c r="L192" s="552" t="n"/>
      <c r="M192" s="552" t="n"/>
    </row>
    <row r="193" ht="14.25" customHeight="1" s="468">
      <c r="A193" s="658" t="n"/>
      <c r="B193" s="640" t="inlineStr">
        <is>
          <t>TOTAL</t>
        </is>
      </c>
      <c r="C193" s="667" t="n"/>
      <c r="D193" s="642">
        <f>SUM(D188:D192)</f>
        <v/>
      </c>
      <c r="E193" s="668" t="n"/>
      <c r="F193" s="644" t="n"/>
      <c r="G193" s="642">
        <f>SUM(G188:G192)</f>
        <v/>
      </c>
      <c r="H193" s="642">
        <f>SUM(H188:H192)</f>
        <v/>
      </c>
      <c r="I193" s="642">
        <f>SUM(I188:I192)</f>
        <v/>
      </c>
      <c r="J193" s="644">
        <f>D193</f>
        <v/>
      </c>
      <c r="K193" s="644">
        <f>G193</f>
        <v/>
      </c>
      <c r="L193" s="644">
        <f>H193</f>
        <v/>
      </c>
      <c r="M193" s="644">
        <f>I193</f>
        <v/>
      </c>
    </row>
    <row r="194" ht="14.25" customHeight="1" s="468">
      <c r="A194" s="638" t="n"/>
      <c r="C194" s="71" t="n"/>
      <c r="D194" s="552" t="n"/>
      <c r="F194" s="552" t="n"/>
      <c r="G194" s="552" t="n"/>
      <c r="H194" s="552" t="n"/>
      <c r="I194" s="552" t="n"/>
      <c r="J194" s="552" t="n"/>
      <c r="K194" s="552" t="n"/>
      <c r="L194" s="552" t="n"/>
      <c r="M194" s="552" t="n"/>
    </row>
    <row r="195" ht="14.25" customHeight="1" s="468">
      <c r="A195" s="646" t="n">
        <v>46324</v>
      </c>
      <c r="B195" s="213" t="inlineStr">
        <is>
          <t>PRODUTO</t>
        </is>
      </c>
      <c r="C195" s="214" t="inlineStr">
        <is>
          <t>EMBALAGEM</t>
        </is>
      </c>
      <c r="D195" s="244" t="inlineStr">
        <is>
          <t>CAIXAS</t>
        </is>
      </c>
      <c r="E195" s="215" t="inlineStr">
        <is>
          <t>UN</t>
        </is>
      </c>
      <c r="F195" s="687" t="inlineStr">
        <is>
          <t>CX/PALLET</t>
        </is>
      </c>
      <c r="G195" s="244" t="inlineStr">
        <is>
          <t>PALLETS (PBR)</t>
        </is>
      </c>
      <c r="H195" s="244" t="inlineStr">
        <is>
          <t>REAL (CX)</t>
        </is>
      </c>
      <c r="I195" s="244" t="inlineStr">
        <is>
          <t>TOTAL LATAS</t>
        </is>
      </c>
      <c r="J195" s="552" t="n"/>
      <c r="K195" s="552" t="n"/>
      <c r="L195" s="552" t="n"/>
      <c r="M195" s="552" t="n"/>
    </row>
    <row r="196" ht="21" customHeight="1" s="468">
      <c r="A196" s="685" t="n"/>
      <c r="B196" s="218" t="n"/>
      <c r="C196" s="219" t="n"/>
      <c r="D196" s="220" t="n"/>
      <c r="E196" s="221" t="inlineStr">
        <is>
          <t>CX</t>
        </is>
      </c>
      <c r="F196" s="68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20">
        <f>IFERROR(ROUNDUP(D196/F196,0),"")</f>
        <v/>
      </c>
      <c r="H196" s="224" t="n"/>
      <c r="I196" s="220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552" t="n"/>
      <c r="K196" s="552" t="n"/>
      <c r="L196" s="552" t="n"/>
      <c r="M196" s="552" t="n"/>
    </row>
    <row r="197" ht="21" customHeight="1" s="468">
      <c r="A197" s="685" t="n"/>
      <c r="B197" s="218" t="n"/>
      <c r="C197" s="219" t="n"/>
      <c r="D197" s="220" t="n"/>
      <c r="E197" s="221" t="inlineStr">
        <is>
          <t>CX</t>
        </is>
      </c>
      <c r="F197" s="686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20">
        <f>IFERROR(ROUNDUP(D197/F197,0),"")</f>
        <v/>
      </c>
      <c r="H197" s="224" t="n"/>
      <c r="I197" s="220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552" t="n"/>
      <c r="K197" s="552" t="n"/>
      <c r="L197" s="552" t="n"/>
      <c r="M197" s="552" t="n"/>
    </row>
    <row r="198" ht="21" customHeight="1" s="468">
      <c r="A198" s="685" t="n"/>
      <c r="B198" s="218" t="n"/>
      <c r="C198" s="219" t="n"/>
      <c r="D198" s="220" t="n"/>
      <c r="E198" s="221" t="inlineStr">
        <is>
          <t>CX</t>
        </is>
      </c>
      <c r="F198" s="686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20">
        <f>IFERROR(ROUNDUP(D198/F198,0),"")</f>
        <v/>
      </c>
      <c r="H198" s="224" t="n"/>
      <c r="I198" s="220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552" t="n"/>
      <c r="K198" s="552" t="n"/>
      <c r="L198" s="552" t="n"/>
      <c r="M198" s="552" t="n"/>
    </row>
    <row r="199" ht="21" customHeight="1" s="468">
      <c r="A199" s="685" t="n"/>
      <c r="B199" s="218" t="n"/>
      <c r="C199" s="219" t="n"/>
      <c r="D199" s="220" t="n"/>
      <c r="E199" s="221" t="inlineStr">
        <is>
          <t>CX</t>
        </is>
      </c>
      <c r="F199" s="686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20">
        <f>IFERROR(ROUNDUP(D199/F199,0),"")</f>
        <v/>
      </c>
      <c r="H199" s="224" t="n"/>
      <c r="I199" s="220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552" t="n"/>
      <c r="K199" s="552" t="n"/>
      <c r="L199" s="552" t="n"/>
      <c r="M199" s="552" t="n"/>
    </row>
    <row r="200" ht="21" customHeight="1" s="468">
      <c r="A200" s="685" t="n"/>
      <c r="B200" s="218" t="n"/>
      <c r="C200" s="219" t="n"/>
      <c r="D200" s="220" t="n"/>
      <c r="E200" s="221" t="inlineStr">
        <is>
          <t>CX</t>
        </is>
      </c>
      <c r="F200" s="686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20">
        <f>IFERROR(ROUNDUP(D200/F200,0),"")</f>
        <v/>
      </c>
      <c r="H200" s="224" t="n"/>
      <c r="I200" s="220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552" t="n"/>
      <c r="K200" s="552" t="n"/>
      <c r="L200" s="552" t="n"/>
      <c r="M200" s="552" t="n"/>
    </row>
    <row r="201" ht="14.25" customHeight="1" s="468">
      <c r="A201" s="658" t="n"/>
      <c r="B201" s="640" t="inlineStr">
        <is>
          <t>TOTAL</t>
        </is>
      </c>
      <c r="C201" s="667" t="n"/>
      <c r="D201" s="642">
        <f>SUM(D196:D200)</f>
        <v/>
      </c>
      <c r="E201" s="668" t="n"/>
      <c r="F201" s="644" t="n"/>
      <c r="G201" s="642">
        <f>SUM(G196:G200)</f>
        <v/>
      </c>
      <c r="H201" s="642">
        <f>SUM(H196:H200)</f>
        <v/>
      </c>
      <c r="I201" s="642">
        <f>SUM(I196:I200)</f>
        <v/>
      </c>
      <c r="J201" s="644">
        <f>D201</f>
        <v/>
      </c>
      <c r="K201" s="644">
        <f>G201</f>
        <v/>
      </c>
      <c r="L201" s="644">
        <f>H201</f>
        <v/>
      </c>
      <c r="M201" s="644">
        <f>I201</f>
        <v/>
      </c>
    </row>
    <row r="202" ht="14.25" customHeight="1" s="468">
      <c r="A202" s="638" t="n"/>
      <c r="C202" s="71" t="n"/>
      <c r="D202" s="552" t="n"/>
      <c r="F202" s="552" t="n"/>
      <c r="G202" s="552" t="n"/>
      <c r="H202" s="552" t="n"/>
      <c r="I202" s="552" t="n"/>
      <c r="J202" s="552" t="n"/>
      <c r="K202" s="552" t="n"/>
      <c r="L202" s="552" t="n"/>
      <c r="M202" s="552" t="n"/>
    </row>
    <row r="203" ht="14.25" customHeight="1" s="468">
      <c r="A203" s="646" t="n">
        <v>46325</v>
      </c>
      <c r="B203" s="213" t="inlineStr">
        <is>
          <t>PRODUTO</t>
        </is>
      </c>
      <c r="C203" s="214" t="inlineStr">
        <is>
          <t>EMBALAGEM</t>
        </is>
      </c>
      <c r="D203" s="244" t="inlineStr">
        <is>
          <t>CAIXAS</t>
        </is>
      </c>
      <c r="E203" s="215" t="inlineStr">
        <is>
          <t>UN</t>
        </is>
      </c>
      <c r="F203" s="687" t="inlineStr">
        <is>
          <t>CX/PALLET</t>
        </is>
      </c>
      <c r="G203" s="244" t="inlineStr">
        <is>
          <t>PALLETS (PBR)</t>
        </is>
      </c>
      <c r="H203" s="244" t="inlineStr">
        <is>
          <t>REAL (CX)</t>
        </is>
      </c>
      <c r="I203" s="244" t="inlineStr">
        <is>
          <t>TOTAL LATAS</t>
        </is>
      </c>
      <c r="J203" s="552" t="n"/>
      <c r="K203" s="552" t="n"/>
      <c r="L203" s="552" t="n"/>
      <c r="M203" s="552" t="n"/>
    </row>
    <row r="204" ht="21" customHeight="1" s="468">
      <c r="A204" s="685" t="n"/>
      <c r="B204" s="218" t="n"/>
      <c r="C204" s="219" t="n"/>
      <c r="D204" s="220" t="n"/>
      <c r="E204" s="221" t="inlineStr">
        <is>
          <t>CX</t>
        </is>
      </c>
      <c r="F204" s="686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20">
        <f>IFERROR(ROUNDUP(D204/F204,0),"")</f>
        <v/>
      </c>
      <c r="H204" s="224" t="n"/>
      <c r="I204" s="220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  <c r="J204" s="552" t="n"/>
      <c r="K204" s="552" t="n"/>
      <c r="L204" s="552" t="n"/>
      <c r="M204" s="552" t="n"/>
    </row>
    <row r="205" ht="21" customHeight="1" s="468">
      <c r="A205" s="685" t="n"/>
      <c r="B205" s="218" t="n"/>
      <c r="C205" s="219" t="n"/>
      <c r="D205" s="220" t="n"/>
      <c r="E205" s="221" t="inlineStr">
        <is>
          <t>CX</t>
        </is>
      </c>
      <c r="F205" s="686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20">
        <f>IFERROR(ROUNDUP(D205/F205,0),"")</f>
        <v/>
      </c>
      <c r="H205" s="224" t="n"/>
      <c r="I205" s="220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  <c r="J205" s="552" t="n"/>
      <c r="K205" s="552" t="n"/>
      <c r="L205" s="552" t="n"/>
      <c r="M205" s="552" t="n"/>
    </row>
    <row r="206" ht="21" customHeight="1" s="468">
      <c r="A206" s="685" t="n"/>
      <c r="B206" s="218" t="n"/>
      <c r="C206" s="219" t="n"/>
      <c r="D206" s="220" t="n"/>
      <c r="E206" s="221" t="inlineStr">
        <is>
          <t>CX</t>
        </is>
      </c>
      <c r="F206" s="686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20">
        <f>IFERROR(ROUNDUP(D206/F206,0),"")</f>
        <v/>
      </c>
      <c r="H206" s="224" t="n"/>
      <c r="I206" s="220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  <c r="J206" s="552" t="n"/>
      <c r="K206" s="552" t="n"/>
      <c r="L206" s="552" t="n"/>
      <c r="M206" s="552" t="n"/>
    </row>
    <row r="207" ht="21" customHeight="1" s="468">
      <c r="A207" s="685" t="n"/>
      <c r="B207" s="218" t="n"/>
      <c r="C207" s="219" t="n"/>
      <c r="D207" s="220" t="n"/>
      <c r="E207" s="221" t="inlineStr">
        <is>
          <t>CX</t>
        </is>
      </c>
      <c r="F207" s="686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20">
        <f>IFERROR(ROUNDUP(D207/F207,0),"")</f>
        <v/>
      </c>
      <c r="H207" s="224" t="n"/>
      <c r="I207" s="220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  <c r="J207" s="552" t="n"/>
      <c r="K207" s="552" t="n"/>
      <c r="L207" s="552" t="n"/>
      <c r="M207" s="552" t="n"/>
    </row>
    <row r="208" ht="21" customHeight="1" s="468">
      <c r="A208" s="685" t="n"/>
      <c r="B208" s="218" t="n"/>
      <c r="C208" s="219" t="n"/>
      <c r="D208" s="220" t="n"/>
      <c r="E208" s="221" t="inlineStr">
        <is>
          <t>CX</t>
        </is>
      </c>
      <c r="F208" s="686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20">
        <f>IFERROR(ROUNDUP(D208/F208,0),"")</f>
        <v/>
      </c>
      <c r="H208" s="224" t="n"/>
      <c r="I208" s="220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  <c r="J208" s="552" t="n"/>
      <c r="K208" s="552" t="n"/>
      <c r="L208" s="552" t="n"/>
      <c r="M208" s="552" t="n"/>
    </row>
    <row r="209" ht="14.25" customHeight="1" s="468">
      <c r="A209" s="658" t="n"/>
      <c r="B209" s="640" t="inlineStr">
        <is>
          <t>TOTAL</t>
        </is>
      </c>
      <c r="C209" s="667" t="n"/>
      <c r="D209" s="642">
        <f>SUM(D204:D208)</f>
        <v/>
      </c>
      <c r="E209" s="668" t="n"/>
      <c r="F209" s="644" t="n"/>
      <c r="G209" s="642">
        <f>SUM(G204:G208)</f>
        <v/>
      </c>
      <c r="H209" s="642">
        <f>SUM(H204:H208)</f>
        <v/>
      </c>
      <c r="I209" s="642">
        <f>SUM(I204:I208)</f>
        <v/>
      </c>
      <c r="J209" s="644">
        <f>D209</f>
        <v/>
      </c>
      <c r="K209" s="644">
        <f>G209</f>
        <v/>
      </c>
      <c r="L209" s="644">
        <f>H209</f>
        <v/>
      </c>
      <c r="M209" s="644">
        <f>I209</f>
        <v/>
      </c>
    </row>
    <row r="210" ht="14.25" customHeight="1" s="468">
      <c r="A210" s="696" t="n">
        <v>46326</v>
      </c>
      <c r="B210" s="213" t="inlineStr">
        <is>
          <t>PRODUTO</t>
        </is>
      </c>
      <c r="C210" s="214" t="inlineStr">
        <is>
          <t>EMBALAGEM</t>
        </is>
      </c>
      <c r="D210" s="244" t="inlineStr">
        <is>
          <t>CAIXAS</t>
        </is>
      </c>
      <c r="E210" s="215" t="inlineStr">
        <is>
          <t>UN</t>
        </is>
      </c>
      <c r="F210" s="697" t="inlineStr">
        <is>
          <t>CX/PALLET</t>
        </is>
      </c>
      <c r="G210" s="244" t="inlineStr">
        <is>
          <t>PALLETS (PBR)</t>
        </is>
      </c>
      <c r="H210" s="244" t="inlineStr">
        <is>
          <t>REAL (CX)</t>
        </is>
      </c>
      <c r="I210" s="244" t="inlineStr">
        <is>
          <t>TOTAL LATAS</t>
        </is>
      </c>
      <c r="J210" s="274" t="n"/>
      <c r="K210" s="274" t="n"/>
      <c r="L210" s="274" t="n"/>
      <c r="M210" s="274" t="n"/>
    </row>
    <row r="211" ht="21" customHeight="1" s="468">
      <c r="A211" s="685" t="n"/>
      <c r="B211" s="266" t="n"/>
      <c r="C211" s="267" t="n"/>
      <c r="D211" s="268" t="n"/>
      <c r="E211" s="269" t="inlineStr">
        <is>
          <t>CX</t>
        </is>
      </c>
      <c r="F211" s="698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/>
      </c>
      <c r="G211" s="268">
        <f>IFERROR(ROUNDUP(D211/F211,0),"")</f>
        <v/>
      </c>
      <c r="H211" s="224" t="n"/>
      <c r="I211" s="268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/>
      </c>
      <c r="J211" s="274" t="n"/>
      <c r="K211" s="274" t="n"/>
      <c r="L211" s="274" t="n"/>
      <c r="M211" s="274" t="n"/>
    </row>
    <row r="212" ht="21" customHeight="1" s="468">
      <c r="A212" s="685" t="n"/>
      <c r="B212" s="266" t="n"/>
      <c r="C212" s="267" t="n"/>
      <c r="D212" s="268" t="n"/>
      <c r="E212" s="269" t="inlineStr">
        <is>
          <t>CX</t>
        </is>
      </c>
      <c r="F212" s="698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68">
        <f>IFERROR(ROUNDUP(D212/F212,0),"")</f>
        <v/>
      </c>
      <c r="H212" s="224" t="n"/>
      <c r="I212" s="268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  <c r="J212" s="274" t="n"/>
      <c r="K212" s="274" t="n"/>
      <c r="L212" s="274" t="n"/>
      <c r="M212" s="274" t="n"/>
    </row>
    <row r="213" ht="21" customHeight="1" s="468">
      <c r="A213" s="685" t="n"/>
      <c r="B213" s="266" t="n"/>
      <c r="C213" s="267" t="n"/>
      <c r="D213" s="268" t="n"/>
      <c r="E213" s="269" t="inlineStr">
        <is>
          <t>CX</t>
        </is>
      </c>
      <c r="F213" s="698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68">
        <f>IFERROR(ROUNDUP(D213/F213,0),"")</f>
        <v/>
      </c>
      <c r="H213" s="224" t="n"/>
      <c r="I213" s="268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  <c r="J213" s="274" t="n"/>
      <c r="K213" s="274" t="n"/>
      <c r="L213" s="274" t="n"/>
      <c r="M213" s="274" t="n"/>
    </row>
    <row r="214" ht="21" customHeight="1" s="468">
      <c r="A214" s="685" t="n"/>
      <c r="B214" s="266" t="n"/>
      <c r="C214" s="267" t="n"/>
      <c r="D214" s="268" t="n"/>
      <c r="E214" s="269" t="inlineStr">
        <is>
          <t>CX</t>
        </is>
      </c>
      <c r="F214" s="698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68">
        <f>IFERROR(ROUNDUP(D214/F214,0),"")</f>
        <v/>
      </c>
      <c r="H214" s="224" t="n"/>
      <c r="I214" s="268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  <c r="J214" s="274" t="n"/>
      <c r="K214" s="274" t="n"/>
      <c r="L214" s="274" t="n"/>
      <c r="M214" s="274" t="n"/>
    </row>
    <row r="215" ht="21" customHeight="1" s="468">
      <c r="A215" s="685" t="n"/>
      <c r="B215" s="266" t="n"/>
      <c r="C215" s="267" t="n"/>
      <c r="D215" s="268" t="n"/>
      <c r="E215" s="269" t="inlineStr">
        <is>
          <t>CX</t>
        </is>
      </c>
      <c r="F215" s="698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268">
        <f>IFERROR(ROUNDUP(D215/F215,0),"")</f>
        <v/>
      </c>
      <c r="H215" s="224" t="n"/>
      <c r="I215" s="268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  <c r="J215" s="274" t="n"/>
      <c r="K215" s="274" t="n"/>
      <c r="L215" s="274" t="n"/>
      <c r="M215" s="274" t="n"/>
    </row>
    <row r="216" ht="14.25" customHeight="1" s="468">
      <c r="A216" s="658" t="n"/>
      <c r="B216" s="640" t="inlineStr">
        <is>
          <t>TOTAL</t>
        </is>
      </c>
      <c r="C216" s="667" t="n"/>
      <c r="D216" s="642">
        <f>SUM(D211:D215)</f>
        <v/>
      </c>
      <c r="E216" s="668" t="n"/>
      <c r="F216" s="644" t="n"/>
      <c r="G216" s="642">
        <f>SUM(G211:G215)</f>
        <v/>
      </c>
      <c r="H216" s="642">
        <f>SUM(H211:H215)</f>
        <v/>
      </c>
      <c r="I216" s="642">
        <f>SUM(I211:I215)</f>
        <v/>
      </c>
      <c r="J216" s="644">
        <f>D216</f>
        <v/>
      </c>
      <c r="K216" s="644">
        <f>G216</f>
        <v/>
      </c>
      <c r="L216" s="644">
        <f>H216</f>
        <v/>
      </c>
      <c r="M216" s="644">
        <f>I216</f>
        <v/>
      </c>
    </row>
  </sheetData>
  <mergeCells count="3">
    <mergeCell ref="A1:I1"/>
    <mergeCell ref="A2:F2"/>
    <mergeCell ref="G2:I2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77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tabColor rgb="FF0F766E"/>
    <outlinePr summaryBelow="1" summaryRight="1"/>
    <pageSetUpPr/>
  </sheetPr>
  <dimension ref="A1:Y59"/>
  <sheetViews>
    <sheetView showGridLines="0" topLeftCell="A10" zoomScale="90" zoomScaleNormal="9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width="13" customWidth="1" style="468" min="13" max="13"/>
    <col hidden="1" width="13" customWidth="1" style="468" min="24" max="25"/>
  </cols>
  <sheetData>
    <row r="1" ht="19.5" customHeight="1" s="468">
      <c r="A1" s="675" t="inlineStr">
        <is>
          <t>RESULTADOS E GRÁFICO - OUTUBRO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SUM(C9:C35)</f>
        <v/>
      </c>
      <c r="D4" s="152">
        <f>SUM(D9:D35)</f>
        <v/>
      </c>
      <c r="F4" s="152">
        <f>IFERROR(SUMIFS(C9:C35,A9:A35,"&lt;="&amp;TODAY(),F9:F35,"&lt;&gt;*Feriado*")/COUNTIFS(A9:A35,"&lt;="&amp;TODAY(),F9:F35,"&lt;&gt;*Feriado*"),0)</f>
        <v/>
      </c>
      <c r="H4" s="152">
        <f>IFERROR(MAX(C9:C35),0)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5" customHeight="1" s="468">
      <c r="A9" s="676" t="n">
        <v>46296</v>
      </c>
      <c r="B9" s="677">
        <f>IF(D9&gt;0,COUNTIF($D$9:D9,"&gt;0"),"")</f>
        <v/>
      </c>
      <c r="C9" s="678">
        <f>'SEMANA OUTUBRO'!$M$9</f>
        <v/>
      </c>
      <c r="D9" s="678">
        <f>CONFIG!$B$3</f>
        <v/>
      </c>
      <c r="E9" s="678">
        <f>C9-D9</f>
        <v/>
      </c>
      <c r="F9" s="700" t="n"/>
      <c r="X9" s="552">
        <f>IF(COUNTIF($F9,"*Feriado*")&gt;0,NA(),$C9)</f>
        <v/>
      </c>
      <c r="Y9" s="552">
        <f>IF(COUNTIF($F9,"*Feriado*")&gt;0,NA(),$D9)</f>
        <v/>
      </c>
    </row>
    <row r="10" ht="15" customHeight="1" s="468">
      <c r="A10" s="676" t="n">
        <v>46297</v>
      </c>
      <c r="B10" s="677">
        <f>IF(D10&gt;0,COUNTIF($D$9:D10,"&gt;0"),"")</f>
        <v/>
      </c>
      <c r="C10" s="678">
        <f>'SEMANA OUTUBRO'!$M$17</f>
        <v/>
      </c>
      <c r="D10" s="678">
        <f>CONFIG!$B$3</f>
        <v/>
      </c>
      <c r="E10" s="678">
        <f>C10-D10</f>
        <v/>
      </c>
      <c r="F10" s="700" t="n"/>
      <c r="X10" s="552">
        <f>IF(COUNTIF($F10,"*Feriado*")&gt;0,NA(),$C10)</f>
        <v/>
      </c>
      <c r="Y10" s="552">
        <f>IF(COUNTIF($F10,"*Feriado*")&gt;0,NA(),$D10)</f>
        <v/>
      </c>
    </row>
    <row r="11" ht="15" customHeight="1" s="468">
      <c r="A11" s="676" t="n">
        <v>46298</v>
      </c>
      <c r="B11" s="677">
        <f>IF(D11&gt;0,COUNTIF($D$9:D11,"&gt;0"),"")</f>
        <v/>
      </c>
      <c r="C11" s="678">
        <f>'SEMANA OUTUBRO'!$M$25</f>
        <v/>
      </c>
      <c r="D11" s="678">
        <f>CONFIG!$B$3</f>
        <v/>
      </c>
      <c r="E11" s="678">
        <f>C11-D11</f>
        <v/>
      </c>
      <c r="F11" s="679" t="inlineStr">
        <is>
          <t>Sábado - produção normal</t>
        </is>
      </c>
      <c r="X11" s="552">
        <f>IF(COUNTIF($F11,"*Feriado*")&gt;0,NA(),$C11)</f>
        <v/>
      </c>
      <c r="Y11" s="552">
        <f>IF(COUNTIF($F11,"*Feriado*")&gt;0,NA(),$D11)</f>
        <v/>
      </c>
    </row>
    <row r="12" ht="15" customHeight="1" s="468">
      <c r="A12" s="676" t="n">
        <v>46300</v>
      </c>
      <c r="B12" s="677">
        <f>IF(D12&gt;0,COUNTIF($D$9:D12,"&gt;0"),"")</f>
        <v/>
      </c>
      <c r="C12" s="678">
        <f>'SEMANA OUTUBRO'!$M$33</f>
        <v/>
      </c>
      <c r="D12" s="678">
        <f>CONFIG!$B$3</f>
        <v/>
      </c>
      <c r="E12" s="678">
        <f>C12-D12</f>
        <v/>
      </c>
      <c r="F12" s="700" t="n"/>
      <c r="X12" s="552">
        <f>IF(COUNTIF($F12,"*Feriado*")&gt;0,NA(),$C12)</f>
        <v/>
      </c>
      <c r="Y12" s="552">
        <f>IF(COUNTIF($F12,"*Feriado*")&gt;0,NA(),$D12)</f>
        <v/>
      </c>
    </row>
    <row r="13" ht="15" customHeight="1" s="468">
      <c r="A13" s="676" t="n">
        <v>46301</v>
      </c>
      <c r="B13" s="677">
        <f>IF(D13&gt;0,COUNTIF($D$9:D13,"&gt;0"),"")</f>
        <v/>
      </c>
      <c r="C13" s="678">
        <f>'SEMANA OUTUBRO'!$M$41</f>
        <v/>
      </c>
      <c r="D13" s="678">
        <f>CONFIG!$B$3</f>
        <v/>
      </c>
      <c r="E13" s="678">
        <f>C13-D13</f>
        <v/>
      </c>
      <c r="F13" s="700" t="n"/>
      <c r="X13" s="552">
        <f>IF(COUNTIF($F13,"*Feriado*")&gt;0,NA(),$C13)</f>
        <v/>
      </c>
      <c r="Y13" s="552">
        <f>IF(COUNTIF($F13,"*Feriado*")&gt;0,NA(),$D13)</f>
        <v/>
      </c>
    </row>
    <row r="14" ht="15" customHeight="1" s="468">
      <c r="A14" s="676" t="n">
        <v>46302</v>
      </c>
      <c r="B14" s="677">
        <f>IF(D14&gt;0,COUNTIF($D$9:D14,"&gt;0"),"")</f>
        <v/>
      </c>
      <c r="C14" s="678">
        <f>'SEMANA OUTUBRO'!$M$49</f>
        <v/>
      </c>
      <c r="D14" s="678">
        <f>CONFIG!$B$3</f>
        <v/>
      </c>
      <c r="E14" s="678">
        <f>C14-D14</f>
        <v/>
      </c>
      <c r="F14" s="700" t="n"/>
      <c r="X14" s="552">
        <f>IF(COUNTIF($F14,"*Feriado*")&gt;0,NA(),$C14)</f>
        <v/>
      </c>
      <c r="Y14" s="552">
        <f>IF(COUNTIF($F14,"*Feriado*")&gt;0,NA(),$D14)</f>
        <v/>
      </c>
    </row>
    <row r="15" ht="15" customHeight="1" s="468">
      <c r="A15" s="676" t="n">
        <v>46303</v>
      </c>
      <c r="B15" s="677">
        <f>IF(D15&gt;0,COUNTIF($D$9:D15,"&gt;0"),"")</f>
        <v/>
      </c>
      <c r="C15" s="678">
        <f>'SEMANA OUTUBRO'!$M$57</f>
        <v/>
      </c>
      <c r="D15" s="678">
        <f>CONFIG!$B$3</f>
        <v/>
      </c>
      <c r="E15" s="678">
        <f>C15-D15</f>
        <v/>
      </c>
      <c r="F15" s="700" t="n"/>
      <c r="X15" s="552">
        <f>IF(COUNTIF($F15,"*Feriado*")&gt;0,NA(),$C15)</f>
        <v/>
      </c>
      <c r="Y15" s="552">
        <f>IF(COUNTIF($F15,"*Feriado*")&gt;0,NA(),$D15)</f>
        <v/>
      </c>
    </row>
    <row r="16" ht="15" customHeight="1" s="468">
      <c r="A16" s="676" t="n">
        <v>46304</v>
      </c>
      <c r="B16" s="677">
        <f>IF(D16&gt;0,COUNTIF($D$9:D16,"&gt;0"),"")</f>
        <v/>
      </c>
      <c r="C16" s="678">
        <f>'SEMANA OUTUBRO'!$M$65</f>
        <v/>
      </c>
      <c r="D16" s="678">
        <f>CONFIG!$B$3</f>
        <v/>
      </c>
      <c r="E16" s="678">
        <f>C16-D16</f>
        <v/>
      </c>
      <c r="F16" s="700" t="n"/>
      <c r="X16" s="552">
        <f>IF(COUNTIF($F16,"*Feriado*")&gt;0,NA(),$C16)</f>
        <v/>
      </c>
      <c r="Y16" s="552">
        <f>IF(COUNTIF($F16,"*Feriado*")&gt;0,NA(),$D16)</f>
        <v/>
      </c>
    </row>
    <row r="17" ht="15" customHeight="1" s="468">
      <c r="A17" s="676" t="n">
        <v>46305</v>
      </c>
      <c r="B17" s="677">
        <f>IF(D17&gt;0,COUNTIF($D$9:D17,"&gt;0"),"")</f>
        <v/>
      </c>
      <c r="C17" s="678">
        <f>'SEMANA OUTUBRO'!$M$73</f>
        <v/>
      </c>
      <c r="D17" s="678">
        <f>CONFIG!$B$3</f>
        <v/>
      </c>
      <c r="E17" s="678">
        <f>C17-D17</f>
        <v/>
      </c>
      <c r="F17" s="679" t="inlineStr">
        <is>
          <t>Sábado - produção normal</t>
        </is>
      </c>
      <c r="X17" s="552">
        <f>IF(COUNTIF($F17,"*Feriado*")&gt;0,NA(),$C17)</f>
        <v/>
      </c>
      <c r="Y17" s="552">
        <f>IF(COUNTIF($F17,"*Feriado*")&gt;0,NA(),$D17)</f>
        <v/>
      </c>
    </row>
    <row r="18" ht="15" customHeight="1" s="468">
      <c r="A18" s="676" t="n">
        <v>46307</v>
      </c>
      <c r="B18" s="677">
        <f>IF(D18&gt;0,COUNTIF($D$9:D18,"&gt;0"),"")</f>
        <v/>
      </c>
      <c r="C18" s="678">
        <f>'SEMANA OUTUBRO'!$M$81</f>
        <v/>
      </c>
      <c r="D18" s="678" t="n">
        <v>0</v>
      </c>
      <c r="E18" s="678">
        <f>C18-D18</f>
        <v/>
      </c>
      <c r="F18" s="679" t="inlineStr">
        <is>
          <t>Feriado - Nossa Senhora Aparecida</t>
        </is>
      </c>
      <c r="X18" s="552">
        <f>IF(COUNTIF($F18,"*Feriado*")&gt;0,NA(),$C18)</f>
        <v/>
      </c>
      <c r="Y18" s="552">
        <f>IF(COUNTIF($F18,"*Feriado*")&gt;0,NA(),$D18)</f>
        <v/>
      </c>
    </row>
    <row r="19" ht="15" customHeight="1" s="468">
      <c r="A19" s="676" t="n">
        <v>46308</v>
      </c>
      <c r="B19" s="677">
        <f>IF(D19&gt;0,COUNTIF($D$9:D19,"&gt;0"),"")</f>
        <v/>
      </c>
      <c r="C19" s="678">
        <f>'SEMANA OUTUBRO'!$M$89</f>
        <v/>
      </c>
      <c r="D19" s="678">
        <f>CONFIG!$B$3</f>
        <v/>
      </c>
      <c r="E19" s="678">
        <f>C19-D19</f>
        <v/>
      </c>
      <c r="F19" s="700" t="n"/>
      <c r="X19" s="552">
        <f>IF(COUNTIF($F19,"*Feriado*")&gt;0,NA(),$C19)</f>
        <v/>
      </c>
      <c r="Y19" s="552">
        <f>IF(COUNTIF($F19,"*Feriado*")&gt;0,NA(),$D19)</f>
        <v/>
      </c>
    </row>
    <row r="20" ht="15" customHeight="1" s="468">
      <c r="A20" s="676" t="n">
        <v>46309</v>
      </c>
      <c r="B20" s="677">
        <f>IF(D20&gt;0,COUNTIF($D$9:D20,"&gt;0"),"")</f>
        <v/>
      </c>
      <c r="C20" s="678">
        <f>'SEMANA OUTUBRO'!$M$97</f>
        <v/>
      </c>
      <c r="D20" s="678">
        <f>CONFIG!$B$3</f>
        <v/>
      </c>
      <c r="E20" s="678">
        <f>C20-D20</f>
        <v/>
      </c>
      <c r="F20" s="700" t="n"/>
      <c r="X20" s="552">
        <f>IF(COUNTIF($F20,"*Feriado*")&gt;0,NA(),$C20)</f>
        <v/>
      </c>
      <c r="Y20" s="552">
        <f>IF(COUNTIF($F20,"*Feriado*")&gt;0,NA(),$D20)</f>
        <v/>
      </c>
    </row>
    <row r="21" ht="15" customHeight="1" s="468">
      <c r="A21" s="676" t="n">
        <v>46310</v>
      </c>
      <c r="B21" s="677">
        <f>IF(D21&gt;0,COUNTIF($D$9:D21,"&gt;0"),"")</f>
        <v/>
      </c>
      <c r="C21" s="678">
        <f>'SEMANA OUTUBRO'!$M$105</f>
        <v/>
      </c>
      <c r="D21" s="678">
        <f>CONFIG!$B$3</f>
        <v/>
      </c>
      <c r="E21" s="678">
        <f>C21-D21</f>
        <v/>
      </c>
      <c r="F21" s="700" t="n"/>
      <c r="X21" s="552">
        <f>IF(COUNTIF($F21,"*Feriado*")&gt;0,NA(),$C21)</f>
        <v/>
      </c>
      <c r="Y21" s="552">
        <f>IF(COUNTIF($F21,"*Feriado*")&gt;0,NA(),$D21)</f>
        <v/>
      </c>
    </row>
    <row r="22" ht="15" customHeight="1" s="468">
      <c r="A22" s="676" t="n">
        <v>46311</v>
      </c>
      <c r="B22" s="677">
        <f>IF(D22&gt;0,COUNTIF($D$9:D22,"&gt;0"),"")</f>
        <v/>
      </c>
      <c r="C22" s="678">
        <f>'SEMANA OUTUBRO'!$M$113</f>
        <v/>
      </c>
      <c r="D22" s="678">
        <f>CONFIG!$B$3</f>
        <v/>
      </c>
      <c r="E22" s="678">
        <f>C22-D22</f>
        <v/>
      </c>
      <c r="F22" s="700" t="n"/>
      <c r="X22" s="552">
        <f>IF(COUNTIF($F22,"*Feriado*")&gt;0,NA(),$C22)</f>
        <v/>
      </c>
      <c r="Y22" s="552">
        <f>IF(COUNTIF($F22,"*Feriado*")&gt;0,NA(),$D22)</f>
        <v/>
      </c>
    </row>
    <row r="23" ht="15" customHeight="1" s="468">
      <c r="A23" s="676" t="n">
        <v>46312</v>
      </c>
      <c r="B23" s="677">
        <f>IF(D23&gt;0,COUNTIF($D$9:D23,"&gt;0"),"")</f>
        <v/>
      </c>
      <c r="C23" s="678">
        <f>'SEMANA OUTUBRO'!$M$121</f>
        <v/>
      </c>
      <c r="D23" s="678">
        <f>CONFIG!$B$3</f>
        <v/>
      </c>
      <c r="E23" s="678">
        <f>C23-D23</f>
        <v/>
      </c>
      <c r="F23" s="679" t="inlineStr">
        <is>
          <t>Sábado - produção normal</t>
        </is>
      </c>
      <c r="X23" s="552">
        <f>IF(COUNTIF($F23,"*Feriado*")&gt;0,NA(),$C23)</f>
        <v/>
      </c>
      <c r="Y23" s="552">
        <f>IF(COUNTIF($F23,"*Feriado*")&gt;0,NA(),$D23)</f>
        <v/>
      </c>
    </row>
    <row r="24" ht="15" customHeight="1" s="468">
      <c r="A24" s="676" t="n">
        <v>46314</v>
      </c>
      <c r="B24" s="677">
        <f>IF(D24&gt;0,COUNTIF($D$9:D24,"&gt;0"),"")</f>
        <v/>
      </c>
      <c r="C24" s="678">
        <f>'SEMANA OUTUBRO'!$M$129</f>
        <v/>
      </c>
      <c r="D24" s="678">
        <f>CONFIG!$B$3</f>
        <v/>
      </c>
      <c r="E24" s="678">
        <f>C24-D24</f>
        <v/>
      </c>
      <c r="F24" s="700" t="n"/>
      <c r="X24" s="552">
        <f>IF(COUNTIF($F24,"*Feriado*")&gt;0,NA(),$C24)</f>
        <v/>
      </c>
      <c r="Y24" s="552">
        <f>IF(COUNTIF($F24,"*Feriado*")&gt;0,NA(),$D24)</f>
        <v/>
      </c>
    </row>
    <row r="25" ht="15" customHeight="1" s="468">
      <c r="A25" s="676" t="n">
        <v>46315</v>
      </c>
      <c r="B25" s="677">
        <f>IF(D25&gt;0,COUNTIF($D$9:D25,"&gt;0"),"")</f>
        <v/>
      </c>
      <c r="C25" s="678">
        <f>'SEMANA OUTUBRO'!$M$137</f>
        <v/>
      </c>
      <c r="D25" s="678">
        <f>CONFIG!$B$3</f>
        <v/>
      </c>
      <c r="E25" s="678">
        <f>C25-D25</f>
        <v/>
      </c>
      <c r="F25" s="700" t="n"/>
      <c r="X25" s="552">
        <f>IF(COUNTIF($F25,"*Feriado*")&gt;0,NA(),$C25)</f>
        <v/>
      </c>
      <c r="Y25" s="552">
        <f>IF(COUNTIF($F25,"*Feriado*")&gt;0,NA(),$D25)</f>
        <v/>
      </c>
    </row>
    <row r="26" ht="15" customHeight="1" s="468">
      <c r="A26" s="676" t="n">
        <v>46316</v>
      </c>
      <c r="B26" s="677">
        <f>IF(D26&gt;0,COUNTIF($D$9:D26,"&gt;0"),"")</f>
        <v/>
      </c>
      <c r="C26" s="678">
        <f>'SEMANA OUTUBRO'!$M$145</f>
        <v/>
      </c>
      <c r="D26" s="678">
        <f>CONFIG!$B$3</f>
        <v/>
      </c>
      <c r="E26" s="678">
        <f>C26-D26</f>
        <v/>
      </c>
      <c r="F26" s="700" t="n"/>
      <c r="X26" s="552">
        <f>IF(COUNTIF($F26,"*Feriado*")&gt;0,NA(),$C26)</f>
        <v/>
      </c>
      <c r="Y26" s="552">
        <f>IF(COUNTIF($F26,"*Feriado*")&gt;0,NA(),$D26)</f>
        <v/>
      </c>
    </row>
    <row r="27" ht="15" customHeight="1" s="468">
      <c r="A27" s="676" t="n">
        <v>46317</v>
      </c>
      <c r="B27" s="677">
        <f>IF(D27&gt;0,COUNTIF($D$9:D27,"&gt;0"),"")</f>
        <v/>
      </c>
      <c r="C27" s="678">
        <f>'SEMANA OUTUBRO'!$M$153</f>
        <v/>
      </c>
      <c r="D27" s="678">
        <f>CONFIG!$B$3</f>
        <v/>
      </c>
      <c r="E27" s="678">
        <f>C27-D27</f>
        <v/>
      </c>
      <c r="F27" s="700" t="n"/>
      <c r="X27" s="552">
        <f>IF(COUNTIF($F27,"*Feriado*")&gt;0,NA(),$C27)</f>
        <v/>
      </c>
      <c r="Y27" s="552">
        <f>IF(COUNTIF($F27,"*Feriado*")&gt;0,NA(),$D27)</f>
        <v/>
      </c>
    </row>
    <row r="28" ht="15" customHeight="1" s="468">
      <c r="A28" s="676" t="n">
        <v>46318</v>
      </c>
      <c r="B28" s="677">
        <f>IF(D28&gt;0,COUNTIF($D$9:D28,"&gt;0"),"")</f>
        <v/>
      </c>
      <c r="C28" s="678">
        <f>'SEMANA OUTUBRO'!$M$161</f>
        <v/>
      </c>
      <c r="D28" s="678">
        <f>CONFIG!$B$3</f>
        <v/>
      </c>
      <c r="E28" s="678">
        <f>C28-D28</f>
        <v/>
      </c>
      <c r="F28" s="700" t="n"/>
      <c r="X28" s="552">
        <f>IF(COUNTIF($F28,"*Feriado*")&gt;0,NA(),$C28)</f>
        <v/>
      </c>
      <c r="Y28" s="552">
        <f>IF(COUNTIF($F28,"*Feriado*")&gt;0,NA(),$D28)</f>
        <v/>
      </c>
    </row>
    <row r="29" ht="15" customHeight="1" s="468">
      <c r="A29" s="676" t="n">
        <v>46319</v>
      </c>
      <c r="B29" s="677">
        <f>IF(D29&gt;0,COUNTIF($D$9:D29,"&gt;0"),"")</f>
        <v/>
      </c>
      <c r="C29" s="678">
        <f>'SEMANA OUTUBRO'!$M$169</f>
        <v/>
      </c>
      <c r="D29" s="678">
        <f>CONFIG!$B$3</f>
        <v/>
      </c>
      <c r="E29" s="678">
        <f>C29-D29</f>
        <v/>
      </c>
      <c r="F29" s="679" t="inlineStr">
        <is>
          <t>Sábado - produção normal</t>
        </is>
      </c>
      <c r="X29" s="552">
        <f>IF(COUNTIF($F29,"*Feriado*")&gt;0,NA(),$C29)</f>
        <v/>
      </c>
      <c r="Y29" s="552">
        <f>IF(COUNTIF($F29,"*Feriado*")&gt;0,NA(),$D29)</f>
        <v/>
      </c>
    </row>
    <row r="30" ht="15" customHeight="1" s="468">
      <c r="A30" s="676" t="n">
        <v>46321</v>
      </c>
      <c r="B30" s="677">
        <f>IF(D30&gt;0,COUNTIF($D$9:D30,"&gt;0"),"")</f>
        <v/>
      </c>
      <c r="C30" s="678">
        <f>'SEMANA OUTUBRO'!$M$177</f>
        <v/>
      </c>
      <c r="D30" s="678">
        <f>CONFIG!$B$3</f>
        <v/>
      </c>
      <c r="E30" s="678">
        <f>C30-D30</f>
        <v/>
      </c>
      <c r="F30" s="700" t="n"/>
      <c r="X30" s="552">
        <f>IF(COUNTIF($F30,"*Feriado*")&gt;0,NA(),$C30)</f>
        <v/>
      </c>
      <c r="Y30" s="552">
        <f>IF(COUNTIF($F30,"*Feriado*")&gt;0,NA(),$D30)</f>
        <v/>
      </c>
    </row>
    <row r="31" ht="14.25" customHeight="1" s="468">
      <c r="A31" s="676" t="n">
        <v>46322</v>
      </c>
      <c r="B31" s="677">
        <f>IF(D31&gt;0,COUNTIF($D$9:D31,"&gt;0"),"")</f>
        <v/>
      </c>
      <c r="C31" s="678">
        <f>'SEMANA OUTUBRO'!$M$185</f>
        <v/>
      </c>
      <c r="D31" s="678">
        <f>CONFIG!$B$3</f>
        <v/>
      </c>
      <c r="E31" s="678">
        <f>C31-D31</f>
        <v/>
      </c>
      <c r="F31" s="700" t="n"/>
    </row>
    <row r="32" ht="14.25" customHeight="1" s="468">
      <c r="A32" s="676" t="n">
        <v>46323</v>
      </c>
      <c r="B32" s="677">
        <f>IF(D32&gt;0,COUNTIF($D$9:D32,"&gt;0"),"")</f>
        <v/>
      </c>
      <c r="C32" s="678">
        <f>'SEMANA OUTUBRO'!$M$193</f>
        <v/>
      </c>
      <c r="D32" s="678">
        <f>CONFIG!$B$3</f>
        <v/>
      </c>
      <c r="E32" s="678">
        <f>C32-D32</f>
        <v/>
      </c>
      <c r="F32" s="700" t="n"/>
    </row>
    <row r="33" ht="14.25" customHeight="1" s="468">
      <c r="A33" s="676" t="n">
        <v>46324</v>
      </c>
      <c r="B33" s="677">
        <f>IF(D33&gt;0,COUNTIF($D$9:D33,"&gt;0"),"")</f>
        <v/>
      </c>
      <c r="C33" s="678">
        <f>'SEMANA OUTUBRO'!$M$201</f>
        <v/>
      </c>
      <c r="D33" s="678">
        <f>CONFIG!$B$3</f>
        <v/>
      </c>
      <c r="E33" s="678">
        <f>C33-D33</f>
        <v/>
      </c>
      <c r="F33" s="700" t="n"/>
    </row>
    <row r="34" ht="14.25" customHeight="1" s="468">
      <c r="A34" s="676" t="n">
        <v>46325</v>
      </c>
      <c r="B34" s="677">
        <f>IF(D34&gt;0,COUNTIF($D$9:D34,"&gt;0"),"")</f>
        <v/>
      </c>
      <c r="C34" s="678">
        <f>'SEMANA OUTUBRO'!$M$209</f>
        <v/>
      </c>
      <c r="D34" s="678">
        <f>CONFIG!$B$3</f>
        <v/>
      </c>
      <c r="E34" s="678">
        <f>C34-D34</f>
        <v/>
      </c>
      <c r="F34" s="700" t="n"/>
    </row>
    <row r="35" ht="14.25" customHeight="1" s="468">
      <c r="A35" s="676" t="n">
        <v>46326</v>
      </c>
      <c r="B35" s="677">
        <f>IF(D35&gt;0,COUNTIF($D$9:D35,"&gt;0"),"")</f>
        <v/>
      </c>
      <c r="C35" s="678">
        <f>'SEMANA OUTUBRO'!$M$216</f>
        <v/>
      </c>
      <c r="D35" s="678">
        <f>CONFIG!$B$3</f>
        <v/>
      </c>
      <c r="E35" s="678">
        <f>C35-D35</f>
        <v/>
      </c>
      <c r="F35" s="679" t="inlineStr">
        <is>
          <t>Sábado - produção normal</t>
        </is>
      </c>
    </row>
    <row r="36" ht="14.25" customHeight="1" s="468">
      <c r="A36" s="692" t="n"/>
      <c r="B36" s="693" t="n"/>
      <c r="C36" s="693" t="n"/>
      <c r="D36" s="693" t="n"/>
      <c r="E36" s="693" t="n"/>
      <c r="F36" s="683" t="n"/>
    </row>
    <row r="37" ht="14.25" customHeight="1" s="468">
      <c r="A37" s="692" t="n"/>
      <c r="B37" s="693" t="n"/>
      <c r="C37" s="693" t="n"/>
      <c r="D37" s="693" t="n"/>
      <c r="E37" s="693" t="n"/>
      <c r="F37" s="683" t="n"/>
    </row>
    <row r="38" ht="14.25" customHeight="1" s="468">
      <c r="A38" s="692" t="n"/>
      <c r="B38" s="693" t="n"/>
      <c r="C38" s="693" t="n"/>
      <c r="D38" s="693" t="n"/>
      <c r="E38" s="693" t="n"/>
      <c r="F38" s="683" t="n"/>
    </row>
    <row r="39" ht="14.25" customHeight="1" s="468">
      <c r="A39" s="692" t="n"/>
      <c r="B39" s="693" t="n"/>
      <c r="C39" s="693" t="n"/>
      <c r="D39" s="693" t="n"/>
      <c r="E39" s="693" t="n"/>
      <c r="F39" s="683" t="n"/>
    </row>
    <row r="40" ht="14.25" customHeight="1" s="468">
      <c r="A40" s="692" t="n"/>
      <c r="B40" s="693" t="n"/>
      <c r="C40" s="693" t="n"/>
      <c r="D40" s="693" t="n"/>
      <c r="E40" s="693" t="n"/>
      <c r="F40" s="683" t="n"/>
    </row>
    <row r="41" ht="14.25" customHeight="1" s="468">
      <c r="A41" s="692" t="n"/>
      <c r="B41" s="693" t="n"/>
      <c r="C41" s="693" t="n"/>
      <c r="D41" s="693" t="n"/>
      <c r="E41" s="693" t="n"/>
      <c r="F41" s="683" t="n"/>
    </row>
    <row r="42" ht="14.25" customHeight="1" s="468">
      <c r="A42" s="692" t="n"/>
      <c r="B42" s="693" t="n"/>
      <c r="C42" s="693" t="n"/>
      <c r="D42" s="693" t="n"/>
      <c r="E42" s="693" t="n"/>
      <c r="F42" s="683" t="n"/>
    </row>
    <row r="43" ht="14.25" customHeight="1" s="468">
      <c r="A43" s="692" t="n"/>
      <c r="B43" s="693" t="n"/>
      <c r="C43" s="693" t="n"/>
      <c r="D43" s="693" t="n"/>
      <c r="E43" s="693" t="n"/>
      <c r="F43" s="683" t="n"/>
    </row>
    <row r="44" ht="14.25" customHeight="1" s="468">
      <c r="A44" s="692" t="n"/>
      <c r="B44" s="693" t="n"/>
      <c r="C44" s="693" t="n"/>
      <c r="D44" s="693" t="n"/>
      <c r="E44" s="693" t="n"/>
      <c r="F44" s="683" t="n"/>
    </row>
    <row r="45" ht="14.25" customHeight="1" s="468">
      <c r="A45" s="692" t="n"/>
      <c r="B45" s="693" t="n"/>
      <c r="C45" s="693" t="n"/>
      <c r="D45" s="693" t="n"/>
      <c r="E45" s="693" t="n"/>
      <c r="F45" s="683" t="n"/>
    </row>
    <row r="46" ht="14.25" customHeight="1" s="468">
      <c r="A46" s="692" t="n"/>
      <c r="B46" s="693" t="n"/>
      <c r="C46" s="693" t="n"/>
      <c r="D46" s="693" t="n"/>
      <c r="E46" s="693" t="n"/>
      <c r="F46" s="683" t="n"/>
    </row>
    <row r="47" ht="14.25" customHeight="1" s="468">
      <c r="A47" s="692" t="n"/>
      <c r="B47" s="693" t="n"/>
      <c r="C47" s="693" t="n"/>
      <c r="D47" s="693" t="n"/>
      <c r="E47" s="693" t="n"/>
      <c r="F47" s="683" t="n"/>
    </row>
    <row r="48" ht="14.25" customHeight="1" s="468">
      <c r="A48" s="692" t="n"/>
      <c r="B48" s="693" t="n"/>
      <c r="C48" s="693" t="n"/>
      <c r="D48" s="693" t="n"/>
      <c r="E48" s="693" t="n"/>
      <c r="F48" s="683" t="n"/>
    </row>
    <row r="49" ht="14.25" customHeight="1" s="468">
      <c r="A49" s="692" t="n"/>
      <c r="B49" s="693" t="n"/>
      <c r="C49" s="693" t="n"/>
      <c r="D49" s="693" t="n"/>
      <c r="E49" s="693" t="n"/>
      <c r="F49" s="683" t="n"/>
    </row>
    <row r="50" ht="14.25" customHeight="1" s="468">
      <c r="A50" s="692" t="n"/>
      <c r="B50" s="693" t="n"/>
      <c r="C50" s="693" t="n"/>
      <c r="D50" s="693" t="n"/>
      <c r="E50" s="693" t="n"/>
      <c r="F50" s="683" t="n"/>
    </row>
    <row r="51" ht="14.25" customHeight="1" s="468">
      <c r="A51" s="692" t="n"/>
      <c r="B51" s="693" t="n"/>
      <c r="C51" s="693" t="n"/>
      <c r="D51" s="693" t="n"/>
      <c r="E51" s="693" t="n"/>
      <c r="F51" s="683" t="n"/>
    </row>
    <row r="52" ht="14.25" customHeight="1" s="468">
      <c r="A52" s="692" t="n"/>
      <c r="B52" s="693" t="n"/>
      <c r="C52" s="693" t="n"/>
      <c r="D52" s="693" t="n"/>
      <c r="E52" s="693" t="n"/>
      <c r="F52" s="683" t="n"/>
    </row>
    <row r="53" ht="14.25" customHeight="1" s="468">
      <c r="A53" s="692" t="n"/>
      <c r="B53" s="693" t="n"/>
      <c r="C53" s="693" t="n"/>
      <c r="D53" s="693" t="n"/>
      <c r="E53" s="693" t="n"/>
      <c r="F53" s="683" t="n"/>
    </row>
    <row r="54" ht="14.25" customHeight="1" s="468">
      <c r="A54" s="692" t="n"/>
      <c r="B54" s="693" t="n"/>
      <c r="C54" s="693" t="n"/>
      <c r="D54" s="693" t="n"/>
      <c r="E54" s="693" t="n"/>
      <c r="F54" s="683" t="n"/>
    </row>
    <row r="55" ht="14.25" customHeight="1" s="468">
      <c r="A55" s="692" t="n"/>
      <c r="B55" s="693" t="n"/>
      <c r="C55" s="693" t="n"/>
      <c r="D55" s="693" t="n"/>
      <c r="E55" s="693" t="n"/>
      <c r="F55" s="683" t="n"/>
    </row>
    <row r="56" ht="14.25" customHeight="1" s="468">
      <c r="A56" s="692" t="n"/>
      <c r="B56" s="693" t="n"/>
      <c r="C56" s="693" t="n"/>
      <c r="D56" s="693" t="n"/>
      <c r="E56" s="693" t="n"/>
      <c r="F56" s="683" t="n"/>
    </row>
    <row r="57" ht="14.25" customHeight="1" s="468">
      <c r="A57" s="692" t="n"/>
      <c r="B57" s="693" t="n"/>
      <c r="C57" s="693" t="n"/>
      <c r="D57" s="693" t="n"/>
      <c r="E57" s="693" t="n"/>
      <c r="F57" s="683" t="n"/>
    </row>
    <row r="58" ht="14.25" customHeight="1" s="468">
      <c r="A58" s="692" t="n"/>
      <c r="B58" s="693" t="n"/>
      <c r="C58" s="693" t="n"/>
      <c r="D58" s="693" t="n"/>
      <c r="E58" s="693" t="n"/>
      <c r="F58" s="683" t="n"/>
    </row>
    <row r="59" ht="14.25" customHeight="1" s="468">
      <c r="A59" s="692" t="n"/>
      <c r="B59" s="693" t="n"/>
      <c r="C59" s="693" t="n"/>
      <c r="D59" s="693" t="n"/>
      <c r="E59" s="693" t="n"/>
      <c r="F59" s="683" t="n"/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tabColor rgb="FFC96B0A"/>
    <outlinePr summaryBelow="1" summaryRight="1"/>
    <pageSetUpPr/>
  </sheetPr>
  <dimension ref="B1:N300"/>
  <sheetViews>
    <sheetView showGridLines="0" zoomScaleNormal="100" workbookViewId="0">
      <selection activeCell="A1" sqref="A1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5" min="14" max="14"/>
  </cols>
  <sheetData>
    <row r="1" ht="21.75" customHeight="1" s="468">
      <c r="B1" s="511" t="inlineStr">
        <is>
          <t>ORDEM DE PRODUÇÃO - NOVEMBRO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179" t="inlineStr">
        <is>
          <t>OP</t>
        </is>
      </c>
      <c r="C3" s="519" t="inlineStr">
        <is>
          <t xml:space="preserve">LOTE </t>
        </is>
      </c>
      <c r="D3" s="454" t="n"/>
      <c r="E3" s="519" t="inlineStr">
        <is>
          <t>LOTE CLIENTE</t>
        </is>
      </c>
      <c r="F3" s="454" t="n"/>
      <c r="G3" s="519" t="inlineStr">
        <is>
          <t>PRODUTO</t>
        </is>
      </c>
      <c r="H3" s="456" t="n"/>
      <c r="I3" s="456" t="n"/>
      <c r="J3" s="454" t="n"/>
      <c r="K3" s="519" t="inlineStr">
        <is>
          <t>CLIENTE</t>
        </is>
      </c>
      <c r="L3" s="454" t="n"/>
      <c r="M3" s="180" t="inlineStr">
        <is>
          <t>QTDE(Kg)</t>
        </is>
      </c>
      <c r="N3" s="417" t="inlineStr">
        <is>
          <t>FABRICAÇÃO</t>
        </is>
      </c>
    </row>
    <row r="4" ht="17.25" customHeight="1" s="468">
      <c r="B4" s="262" t="n"/>
      <c r="C4" s="510" t="n"/>
      <c r="D4" s="484" t="n"/>
      <c r="E4" s="510" t="n"/>
      <c r="F4" s="484" t="n"/>
      <c r="G4" s="510" t="n"/>
      <c r="H4" s="483" t="n"/>
      <c r="I4" s="483" t="n"/>
      <c r="J4" s="484" t="n"/>
      <c r="K4" s="510" t="n"/>
      <c r="L4" s="484" t="n"/>
      <c r="M4" s="263" t="n"/>
      <c r="N4" s="417" t="n"/>
    </row>
    <row r="5" ht="17.25" customHeight="1" s="468">
      <c r="B5" s="20" t="n"/>
      <c r="C5" s="490" t="n"/>
      <c r="D5" s="486" t="n"/>
      <c r="E5" s="490" t="n"/>
      <c r="F5" s="486" t="n"/>
      <c r="G5" s="490" t="n"/>
      <c r="H5" s="488" t="n"/>
      <c r="I5" s="488" t="n"/>
      <c r="J5" s="486" t="n"/>
      <c r="K5" s="490" t="n"/>
      <c r="L5" s="486" t="n"/>
      <c r="M5" s="21" t="n"/>
      <c r="N5" s="417" t="n"/>
    </row>
    <row r="6" ht="17.25" customHeight="1" s="468">
      <c r="B6" s="18" t="n"/>
      <c r="C6" s="485" t="n"/>
      <c r="D6" s="486" t="n"/>
      <c r="E6" s="485" t="n"/>
      <c r="F6" s="486" t="n"/>
      <c r="G6" s="485" t="n"/>
      <c r="H6" s="488" t="n"/>
      <c r="I6" s="488" t="n"/>
      <c r="J6" s="486" t="n"/>
      <c r="K6" s="485" t="n"/>
      <c r="L6" s="486" t="n"/>
      <c r="M6" s="22" t="n"/>
      <c r="N6" s="417" t="n"/>
    </row>
    <row r="7" ht="17.25" customHeight="1" s="468">
      <c r="B7" s="20" t="n"/>
      <c r="C7" s="490" t="n"/>
      <c r="D7" s="486" t="n"/>
      <c r="E7" s="490" t="n"/>
      <c r="F7" s="486" t="n"/>
      <c r="G7" s="490" t="n"/>
      <c r="H7" s="488" t="n"/>
      <c r="I7" s="488" t="n"/>
      <c r="J7" s="486" t="n"/>
      <c r="K7" s="490" t="n"/>
      <c r="L7" s="486" t="n"/>
      <c r="M7" s="23" t="n"/>
      <c r="N7" s="417" t="n"/>
    </row>
    <row r="8" ht="17.25" customHeight="1" s="468">
      <c r="B8" s="18" t="n"/>
      <c r="C8" s="485" t="n"/>
      <c r="D8" s="486" t="n"/>
      <c r="E8" s="485" t="n"/>
      <c r="F8" s="486" t="n"/>
      <c r="G8" s="485" t="n"/>
      <c r="H8" s="488" t="n"/>
      <c r="I8" s="488" t="n"/>
      <c r="J8" s="486" t="n"/>
      <c r="K8" s="485" t="n"/>
      <c r="L8" s="486" t="n"/>
      <c r="M8" s="22" t="n"/>
      <c r="N8" s="417" t="n"/>
    </row>
    <row r="9" ht="17.25" customHeight="1" s="468">
      <c r="B9" s="20" t="n"/>
      <c r="C9" s="490" t="n"/>
      <c r="D9" s="486" t="n"/>
      <c r="E9" s="490" t="n"/>
      <c r="F9" s="486" t="n"/>
      <c r="G9" s="490" t="n"/>
      <c r="H9" s="488" t="n"/>
      <c r="I9" s="488" t="n"/>
      <c r="J9" s="486" t="n"/>
      <c r="K9" s="490" t="n"/>
      <c r="L9" s="486" t="n"/>
      <c r="M9" s="21" t="n"/>
      <c r="N9" s="417" t="n"/>
    </row>
    <row r="10" ht="17.25" customHeight="1" s="468">
      <c r="B10" s="18" t="n"/>
      <c r="C10" s="485" t="n"/>
      <c r="D10" s="486" t="n"/>
      <c r="E10" s="485" t="n"/>
      <c r="F10" s="486" t="n"/>
      <c r="G10" s="485" t="n"/>
      <c r="H10" s="488" t="n"/>
      <c r="I10" s="488" t="n"/>
      <c r="J10" s="486" t="n"/>
      <c r="K10" s="485" t="n"/>
      <c r="L10" s="486" t="n"/>
      <c r="M10" s="19" t="n"/>
      <c r="N10" s="417" t="n"/>
    </row>
    <row r="11" ht="17.25" customHeight="1" s="468">
      <c r="B11" s="20" t="n"/>
      <c r="C11" s="490" t="n"/>
      <c r="D11" s="486" t="n"/>
      <c r="E11" s="490" t="n"/>
      <c r="F11" s="486" t="n"/>
      <c r="G11" s="490" t="n"/>
      <c r="H11" s="488" t="n"/>
      <c r="I11" s="488" t="n"/>
      <c r="J11" s="486" t="n"/>
      <c r="K11" s="490" t="n"/>
      <c r="L11" s="486" t="n"/>
      <c r="M11" s="21" t="n"/>
      <c r="N11" s="417" t="n"/>
    </row>
    <row r="12" ht="17.25" customHeight="1" s="468">
      <c r="B12" s="18" t="n"/>
      <c r="C12" s="485" t="n"/>
      <c r="D12" s="486" t="n"/>
      <c r="E12" s="485" t="n"/>
      <c r="F12" s="486" t="n"/>
      <c r="G12" s="485" t="n"/>
      <c r="H12" s="488" t="n"/>
      <c r="I12" s="488" t="n"/>
      <c r="J12" s="486" t="n"/>
      <c r="K12" s="485" t="n"/>
      <c r="L12" s="486" t="n"/>
      <c r="M12" s="19" t="n"/>
      <c r="N12" s="417" t="n"/>
    </row>
    <row r="13" ht="17.25" customHeight="1" s="468">
      <c r="B13" s="20" t="n"/>
      <c r="C13" s="490" t="n"/>
      <c r="D13" s="486" t="n"/>
      <c r="E13" s="490" t="n"/>
      <c r="F13" s="486" t="n"/>
      <c r="G13" s="490" t="n"/>
      <c r="H13" s="488" t="n"/>
      <c r="I13" s="488" t="n"/>
      <c r="J13" s="486" t="n"/>
      <c r="K13" s="490" t="n"/>
      <c r="L13" s="486" t="n"/>
      <c r="M13" s="21" t="n"/>
      <c r="N13" s="417" t="n"/>
    </row>
    <row r="14" ht="17.25" customHeight="1" s="468">
      <c r="B14" s="18" t="n"/>
      <c r="C14" s="485" t="n"/>
      <c r="D14" s="486" t="n"/>
      <c r="E14" s="485" t="n"/>
      <c r="F14" s="486" t="n"/>
      <c r="G14" s="485" t="n"/>
      <c r="H14" s="488" t="n"/>
      <c r="I14" s="488" t="n"/>
      <c r="J14" s="486" t="n"/>
      <c r="K14" s="485" t="n"/>
      <c r="L14" s="486" t="n"/>
      <c r="M14" s="19" t="n"/>
      <c r="N14" s="417" t="n"/>
    </row>
    <row r="15" ht="17.25" customHeight="1" s="468">
      <c r="B15" s="20" t="n"/>
      <c r="C15" s="490" t="n"/>
      <c r="D15" s="486" t="n"/>
      <c r="E15" s="490" t="n"/>
      <c r="F15" s="486" t="n"/>
      <c r="G15" s="490" t="n"/>
      <c r="H15" s="488" t="n"/>
      <c r="I15" s="488" t="n"/>
      <c r="J15" s="486" t="n"/>
      <c r="K15" s="490" t="n"/>
      <c r="L15" s="486" t="n"/>
      <c r="M15" s="21" t="n"/>
      <c r="N15" s="417" t="n"/>
    </row>
    <row r="16" ht="17.25" customHeight="1" s="468">
      <c r="B16" s="18" t="n"/>
      <c r="C16" s="485" t="n"/>
      <c r="D16" s="486" t="n"/>
      <c r="E16" s="485" t="n"/>
      <c r="F16" s="486" t="n"/>
      <c r="G16" s="485" t="n"/>
      <c r="H16" s="488" t="n"/>
      <c r="I16" s="488" t="n"/>
      <c r="J16" s="486" t="n"/>
      <c r="K16" s="485" t="n"/>
      <c r="L16" s="486" t="n"/>
      <c r="M16" s="19" t="n"/>
      <c r="N16" s="417" t="n"/>
    </row>
    <row r="17" ht="17.25" customHeight="1" s="468">
      <c r="B17" s="20" t="n"/>
      <c r="C17" s="490" t="n"/>
      <c r="D17" s="486" t="n"/>
      <c r="E17" s="490" t="n"/>
      <c r="F17" s="486" t="n"/>
      <c r="G17" s="490" t="n"/>
      <c r="H17" s="488" t="n"/>
      <c r="I17" s="488" t="n"/>
      <c r="J17" s="486" t="n"/>
      <c r="K17" s="490" t="n"/>
      <c r="L17" s="486" t="n"/>
      <c r="M17" s="23" t="n"/>
      <c r="N17" s="417" t="n"/>
    </row>
    <row r="18" ht="17.25" customHeight="1" s="468">
      <c r="B18" s="18" t="n"/>
      <c r="C18" s="485" t="n"/>
      <c r="D18" s="486" t="n"/>
      <c r="E18" s="485" t="n"/>
      <c r="F18" s="486" t="n"/>
      <c r="G18" s="485" t="n"/>
      <c r="H18" s="488" t="n"/>
      <c r="I18" s="488" t="n"/>
      <c r="J18" s="486" t="n"/>
      <c r="K18" s="485" t="n"/>
      <c r="L18" s="486" t="n"/>
      <c r="M18" s="19" t="n"/>
      <c r="N18" s="417" t="n"/>
    </row>
    <row r="19" ht="17.25" customHeight="1" s="468">
      <c r="B19" s="20" t="n"/>
      <c r="C19" s="490" t="n"/>
      <c r="D19" s="486" t="n"/>
      <c r="E19" s="490" t="n"/>
      <c r="F19" s="486" t="n"/>
      <c r="G19" s="490" t="n"/>
      <c r="H19" s="488" t="n"/>
      <c r="I19" s="488" t="n"/>
      <c r="J19" s="486" t="n"/>
      <c r="K19" s="490" t="n"/>
      <c r="L19" s="486" t="n"/>
      <c r="M19" s="21" t="n"/>
      <c r="N19" s="417" t="n"/>
    </row>
    <row r="20" ht="17.25" customHeight="1" s="468">
      <c r="B20" s="18" t="n"/>
      <c r="C20" s="485" t="n"/>
      <c r="D20" s="486" t="n"/>
      <c r="E20" s="485" t="n"/>
      <c r="F20" s="486" t="n"/>
      <c r="G20" s="485" t="n"/>
      <c r="H20" s="488" t="n"/>
      <c r="I20" s="488" t="n"/>
      <c r="J20" s="486" t="n"/>
      <c r="K20" s="485" t="n"/>
      <c r="L20" s="486" t="n"/>
      <c r="M20" s="19" t="n"/>
      <c r="N20" s="417" t="n"/>
    </row>
    <row r="21" ht="17.25" customHeight="1" s="468">
      <c r="B21" s="20" t="n"/>
      <c r="C21" s="490" t="n"/>
      <c r="D21" s="486" t="n"/>
      <c r="E21" s="490" t="n"/>
      <c r="F21" s="486" t="n"/>
      <c r="G21" s="490" t="n"/>
      <c r="H21" s="488" t="n"/>
      <c r="I21" s="488" t="n"/>
      <c r="J21" s="486" t="n"/>
      <c r="K21" s="490" t="n"/>
      <c r="L21" s="486" t="n"/>
      <c r="M21" s="21" t="n"/>
      <c r="N21" s="417" t="n"/>
    </row>
    <row r="22" ht="17.25" customHeight="1" s="468">
      <c r="B22" s="18" t="n"/>
      <c r="C22" s="485" t="n"/>
      <c r="D22" s="486" t="n"/>
      <c r="E22" s="485" t="n"/>
      <c r="F22" s="486" t="n"/>
      <c r="G22" s="485" t="n"/>
      <c r="H22" s="488" t="n"/>
      <c r="I22" s="488" t="n"/>
      <c r="J22" s="486" t="n"/>
      <c r="K22" s="485" t="n"/>
      <c r="L22" s="486" t="n"/>
      <c r="M22" s="19" t="n"/>
      <c r="N22" s="417" t="n"/>
    </row>
    <row r="23" ht="17.25" customHeight="1" s="468">
      <c r="B23" s="20" t="n"/>
      <c r="C23" s="490" t="n"/>
      <c r="D23" s="486" t="n"/>
      <c r="E23" s="490" t="n"/>
      <c r="F23" s="486" t="n"/>
      <c r="G23" s="490" t="n"/>
      <c r="H23" s="488" t="n"/>
      <c r="I23" s="488" t="n"/>
      <c r="J23" s="486" t="n"/>
      <c r="K23" s="490" t="n"/>
      <c r="L23" s="486" t="n"/>
      <c r="M23" s="21" t="n"/>
      <c r="N23" s="417" t="n"/>
    </row>
    <row r="24" ht="17.25" customHeight="1" s="468">
      <c r="B24" s="18" t="n"/>
      <c r="C24" s="485" t="n"/>
      <c r="D24" s="486" t="n"/>
      <c r="E24" s="485" t="n"/>
      <c r="F24" s="486" t="n"/>
      <c r="G24" s="485" t="n"/>
      <c r="H24" s="488" t="n"/>
      <c r="I24" s="488" t="n"/>
      <c r="J24" s="486" t="n"/>
      <c r="K24" s="485" t="n"/>
      <c r="L24" s="486" t="n"/>
      <c r="M24" s="19" t="n"/>
      <c r="N24" s="417" t="n"/>
    </row>
    <row r="25" ht="17.25" customHeight="1" s="468">
      <c r="B25" s="20" t="n"/>
      <c r="C25" s="490" t="n"/>
      <c r="D25" s="486" t="n"/>
      <c r="E25" s="490" t="n"/>
      <c r="F25" s="486" t="n"/>
      <c r="G25" s="490" t="n"/>
      <c r="H25" s="488" t="n"/>
      <c r="I25" s="488" t="n"/>
      <c r="J25" s="486" t="n"/>
      <c r="K25" s="490" t="n"/>
      <c r="L25" s="486" t="n"/>
      <c r="M25" s="23" t="n"/>
      <c r="N25" s="417" t="n"/>
    </row>
    <row r="26" ht="17.25" customHeight="1" s="468">
      <c r="B26" s="18" t="n"/>
      <c r="C26" s="485" t="n"/>
      <c r="D26" s="486" t="n"/>
      <c r="E26" s="485" t="n"/>
      <c r="F26" s="486" t="n"/>
      <c r="G26" s="485" t="n"/>
      <c r="H26" s="488" t="n"/>
      <c r="I26" s="488" t="n"/>
      <c r="J26" s="486" t="n"/>
      <c r="K26" s="485" t="n"/>
      <c r="L26" s="486" t="n"/>
      <c r="M26" s="19" t="n"/>
      <c r="N26" s="417" t="n"/>
    </row>
    <row r="27" ht="17.25" customHeight="1" s="468">
      <c r="B27" s="20" t="n"/>
      <c r="C27" s="490" t="n"/>
      <c r="D27" s="486" t="n"/>
      <c r="E27" s="490" t="n"/>
      <c r="F27" s="486" t="n"/>
      <c r="G27" s="490" t="n"/>
      <c r="H27" s="488" t="n"/>
      <c r="I27" s="488" t="n"/>
      <c r="J27" s="486" t="n"/>
      <c r="K27" s="490" t="n"/>
      <c r="L27" s="486" t="n"/>
      <c r="M27" s="21" t="n"/>
      <c r="N27" s="417" t="n"/>
    </row>
    <row r="28" ht="17.25" customHeight="1" s="468">
      <c r="B28" s="18" t="n"/>
      <c r="C28" s="485" t="n"/>
      <c r="D28" s="486" t="n"/>
      <c r="E28" s="485" t="n"/>
      <c r="F28" s="486" t="n"/>
      <c r="G28" s="485" t="n"/>
      <c r="H28" s="488" t="n"/>
      <c r="I28" s="488" t="n"/>
      <c r="J28" s="486" t="n"/>
      <c r="K28" s="485" t="n"/>
      <c r="L28" s="486" t="n"/>
      <c r="M28" s="19" t="n"/>
      <c r="N28" s="417" t="n"/>
    </row>
    <row r="29" ht="17.25" customHeight="1" s="468">
      <c r="B29" s="20" t="n"/>
      <c r="C29" s="490" t="n"/>
      <c r="D29" s="486" t="n"/>
      <c r="E29" s="490" t="n"/>
      <c r="F29" s="486" t="n"/>
      <c r="G29" s="490" t="n"/>
      <c r="H29" s="488" t="n"/>
      <c r="I29" s="488" t="n"/>
      <c r="J29" s="486" t="n"/>
      <c r="K29" s="490" t="n"/>
      <c r="L29" s="486" t="n"/>
      <c r="M29" s="21" t="n"/>
      <c r="N29" s="417" t="n"/>
    </row>
    <row r="30" ht="17.25" customHeight="1" s="468">
      <c r="B30" s="18" t="n"/>
      <c r="C30" s="485" t="n"/>
      <c r="D30" s="486" t="n"/>
      <c r="E30" s="485" t="n"/>
      <c r="F30" s="486" t="n"/>
      <c r="G30" s="485" t="n"/>
      <c r="H30" s="488" t="n"/>
      <c r="I30" s="488" t="n"/>
      <c r="J30" s="486" t="n"/>
      <c r="K30" s="485" t="n"/>
      <c r="L30" s="486" t="n"/>
      <c r="M30" s="19" t="n"/>
      <c r="N30" s="417" t="n"/>
    </row>
    <row r="31" ht="17.25" customHeight="1" s="468">
      <c r="B31" s="20" t="n"/>
      <c r="C31" s="490" t="n"/>
      <c r="D31" s="486" t="n"/>
      <c r="E31" s="490" t="n"/>
      <c r="F31" s="486" t="n"/>
      <c r="G31" s="490" t="n"/>
      <c r="H31" s="488" t="n"/>
      <c r="I31" s="488" t="n"/>
      <c r="J31" s="486" t="n"/>
      <c r="K31" s="490" t="n"/>
      <c r="L31" s="486" t="n"/>
      <c r="M31" s="21" t="n"/>
      <c r="N31" s="417" t="n"/>
    </row>
    <row r="32" ht="17.25" customHeight="1" s="468">
      <c r="B32" s="18" t="n"/>
      <c r="C32" s="485" t="n"/>
      <c r="D32" s="486" t="n"/>
      <c r="E32" s="485" t="n"/>
      <c r="F32" s="486" t="n"/>
      <c r="G32" s="485" t="n"/>
      <c r="H32" s="488" t="n"/>
      <c r="I32" s="488" t="n"/>
      <c r="J32" s="486" t="n"/>
      <c r="K32" s="485" t="n"/>
      <c r="L32" s="486" t="n"/>
      <c r="M32" s="19" t="n"/>
      <c r="N32" s="417" t="n"/>
    </row>
    <row r="33" ht="17.25" customHeight="1" s="468">
      <c r="B33" s="20" t="n"/>
      <c r="C33" s="490" t="n"/>
      <c r="D33" s="486" t="n"/>
      <c r="E33" s="490" t="n"/>
      <c r="F33" s="486" t="n"/>
      <c r="G33" s="490" t="n"/>
      <c r="H33" s="488" t="n"/>
      <c r="I33" s="488" t="n"/>
      <c r="J33" s="486" t="n"/>
      <c r="K33" s="490" t="n"/>
      <c r="L33" s="486" t="n"/>
      <c r="M33" s="21" t="n"/>
      <c r="N33" s="417" t="n"/>
    </row>
    <row r="34" ht="17.25" customHeight="1" s="468">
      <c r="B34" s="18" t="n"/>
      <c r="C34" s="485" t="n"/>
      <c r="D34" s="486" t="n"/>
      <c r="E34" s="485" t="n"/>
      <c r="F34" s="486" t="n"/>
      <c r="G34" s="485" t="n"/>
      <c r="H34" s="488" t="n"/>
      <c r="I34" s="488" t="n"/>
      <c r="J34" s="486" t="n"/>
      <c r="K34" s="485" t="n"/>
      <c r="L34" s="486" t="n"/>
      <c r="M34" s="22" t="n"/>
      <c r="N34" s="417" t="n"/>
    </row>
    <row r="35" ht="17.25" customHeight="1" s="468">
      <c r="B35" s="20" t="n"/>
      <c r="C35" s="490" t="n"/>
      <c r="D35" s="486" t="n"/>
      <c r="E35" s="490" t="n"/>
      <c r="F35" s="486" t="n"/>
      <c r="G35" s="490" t="n"/>
      <c r="H35" s="488" t="n"/>
      <c r="I35" s="488" t="n"/>
      <c r="J35" s="486" t="n"/>
      <c r="K35" s="490" t="n"/>
      <c r="L35" s="486" t="n"/>
      <c r="M35" s="21" t="n"/>
      <c r="N35" s="417" t="n"/>
    </row>
    <row r="36" ht="17.25" customHeight="1" s="468">
      <c r="B36" s="18" t="n"/>
      <c r="C36" s="485" t="n"/>
      <c r="D36" s="486" t="n"/>
      <c r="E36" s="485" t="n"/>
      <c r="F36" s="486" t="n"/>
      <c r="G36" s="485" t="n"/>
      <c r="H36" s="488" t="n"/>
      <c r="I36" s="488" t="n"/>
      <c r="J36" s="486" t="n"/>
      <c r="K36" s="485" t="n"/>
      <c r="L36" s="486" t="n"/>
      <c r="M36" s="19" t="n"/>
      <c r="N36" s="417" t="n"/>
    </row>
    <row r="37" ht="17.25" customHeight="1" s="468">
      <c r="B37" s="20" t="n"/>
      <c r="C37" s="490" t="n"/>
      <c r="D37" s="486" t="n"/>
      <c r="E37" s="490" t="n"/>
      <c r="F37" s="486" t="n"/>
      <c r="G37" s="490" t="n"/>
      <c r="H37" s="488" t="n"/>
      <c r="I37" s="488" t="n"/>
      <c r="J37" s="486" t="n"/>
      <c r="K37" s="490" t="n"/>
      <c r="L37" s="486" t="n"/>
      <c r="M37" s="21" t="n"/>
      <c r="N37" s="417" t="n"/>
    </row>
    <row r="38" ht="17.25" customHeight="1" s="468">
      <c r="B38" s="18" t="n"/>
      <c r="C38" s="485" t="n"/>
      <c r="D38" s="486" t="n"/>
      <c r="E38" s="485" t="n"/>
      <c r="F38" s="486" t="n"/>
      <c r="G38" s="485" t="n"/>
      <c r="H38" s="488" t="n"/>
      <c r="I38" s="488" t="n"/>
      <c r="J38" s="486" t="n"/>
      <c r="K38" s="485" t="n"/>
      <c r="L38" s="486" t="n"/>
      <c r="M38" s="19" t="n"/>
      <c r="N38" s="417" t="n"/>
    </row>
    <row r="39" ht="17.25" customHeight="1" s="468">
      <c r="B39" s="20" t="n"/>
      <c r="C39" s="490" t="n"/>
      <c r="D39" s="486" t="n"/>
      <c r="E39" s="490" t="n"/>
      <c r="F39" s="486" t="n"/>
      <c r="G39" s="490" t="n"/>
      <c r="H39" s="488" t="n"/>
      <c r="I39" s="488" t="n"/>
      <c r="J39" s="486" t="n"/>
      <c r="K39" s="490" t="n"/>
      <c r="L39" s="486" t="n"/>
      <c r="M39" s="21" t="n"/>
      <c r="N39" s="417" t="n"/>
    </row>
    <row r="40" ht="17.25" customHeight="1" s="468">
      <c r="B40" s="18" t="n"/>
      <c r="C40" s="485" t="n"/>
      <c r="D40" s="486" t="n"/>
      <c r="E40" s="485" t="n"/>
      <c r="F40" s="486" t="n"/>
      <c r="G40" s="485" t="n"/>
      <c r="H40" s="488" t="n"/>
      <c r="I40" s="488" t="n"/>
      <c r="J40" s="486" t="n"/>
      <c r="K40" s="485" t="n"/>
      <c r="L40" s="486" t="n"/>
      <c r="M40" s="19" t="n"/>
      <c r="N40" s="417" t="n"/>
    </row>
    <row r="41" ht="17.25" customHeight="1" s="468">
      <c r="B41" s="20" t="n"/>
      <c r="C41" s="490" t="n"/>
      <c r="D41" s="486" t="n"/>
      <c r="E41" s="490" t="n"/>
      <c r="F41" s="486" t="n"/>
      <c r="G41" s="490" t="n"/>
      <c r="H41" s="488" t="n"/>
      <c r="I41" s="488" t="n"/>
      <c r="J41" s="486" t="n"/>
      <c r="K41" s="490" t="n"/>
      <c r="L41" s="486" t="n"/>
      <c r="M41" s="21" t="n"/>
      <c r="N41" s="417" t="n"/>
    </row>
    <row r="42" ht="17.25" customHeight="1" s="468">
      <c r="B42" s="18" t="n"/>
      <c r="C42" s="485" t="n"/>
      <c r="D42" s="486" t="n"/>
      <c r="E42" s="485" t="n"/>
      <c r="F42" s="486" t="n"/>
      <c r="G42" s="485" t="n"/>
      <c r="H42" s="488" t="n"/>
      <c r="I42" s="488" t="n"/>
      <c r="J42" s="486" t="n"/>
      <c r="K42" s="485" t="n"/>
      <c r="L42" s="486" t="n"/>
      <c r="M42" s="22" t="n"/>
      <c r="N42" s="417" t="n"/>
    </row>
    <row r="43" ht="17.25" customHeight="1" s="468">
      <c r="B43" s="20" t="n"/>
      <c r="C43" s="490" t="n"/>
      <c r="D43" s="486" t="n"/>
      <c r="E43" s="490" t="n"/>
      <c r="F43" s="486" t="n"/>
      <c r="G43" s="490" t="n"/>
      <c r="H43" s="488" t="n"/>
      <c r="I43" s="488" t="n"/>
      <c r="J43" s="486" t="n"/>
      <c r="K43" s="490" t="n"/>
      <c r="L43" s="486" t="n"/>
      <c r="M43" s="21" t="n"/>
      <c r="N43" s="417" t="n"/>
    </row>
    <row r="44" ht="17.25" customHeight="1" s="468">
      <c r="B44" s="18" t="n"/>
      <c r="C44" s="485" t="n"/>
      <c r="D44" s="486" t="n"/>
      <c r="E44" s="485" t="n"/>
      <c r="F44" s="486" t="n"/>
      <c r="G44" s="485" t="n"/>
      <c r="H44" s="488" t="n"/>
      <c r="I44" s="488" t="n"/>
      <c r="J44" s="486" t="n"/>
      <c r="K44" s="485" t="n"/>
      <c r="L44" s="486" t="n"/>
      <c r="M44" s="19" t="n"/>
      <c r="N44" s="417" t="n"/>
    </row>
    <row r="45" ht="17.25" customHeight="1" s="468">
      <c r="B45" s="20" t="n"/>
      <c r="C45" s="490" t="n"/>
      <c r="D45" s="486" t="n"/>
      <c r="E45" s="490" t="n"/>
      <c r="F45" s="486" t="n"/>
      <c r="G45" s="490" t="n"/>
      <c r="H45" s="488" t="n"/>
      <c r="I45" s="488" t="n"/>
      <c r="J45" s="486" t="n"/>
      <c r="K45" s="490" t="n"/>
      <c r="L45" s="486" t="n"/>
      <c r="M45" s="21" t="n"/>
      <c r="N45" s="417" t="n"/>
    </row>
    <row r="46" ht="17.25" customHeight="1" s="468">
      <c r="B46" s="18" t="n"/>
      <c r="C46" s="485" t="n"/>
      <c r="D46" s="486" t="n"/>
      <c r="E46" s="485" t="n"/>
      <c r="F46" s="486" t="n"/>
      <c r="G46" s="485" t="n"/>
      <c r="H46" s="488" t="n"/>
      <c r="I46" s="488" t="n"/>
      <c r="J46" s="486" t="n"/>
      <c r="K46" s="485" t="n"/>
      <c r="L46" s="486" t="n"/>
      <c r="M46" s="19" t="n"/>
      <c r="N46" s="417" t="n"/>
    </row>
    <row r="47" ht="17.25" customHeight="1" s="468">
      <c r="B47" s="20" t="n"/>
      <c r="C47" s="490" t="n"/>
      <c r="D47" s="486" t="n"/>
      <c r="E47" s="490" t="n"/>
      <c r="F47" s="486" t="n"/>
      <c r="G47" s="490" t="n"/>
      <c r="H47" s="488" t="n"/>
      <c r="I47" s="488" t="n"/>
      <c r="J47" s="486" t="n"/>
      <c r="K47" s="490" t="n"/>
      <c r="L47" s="486" t="n"/>
      <c r="M47" s="21" t="n"/>
      <c r="N47" s="417" t="n"/>
    </row>
    <row r="48" ht="17.25" customHeight="1" s="468">
      <c r="B48" s="18" t="n"/>
      <c r="C48" s="485" t="n"/>
      <c r="D48" s="486" t="n"/>
      <c r="E48" s="485" t="n"/>
      <c r="F48" s="486" t="n"/>
      <c r="G48" s="485" t="n"/>
      <c r="H48" s="488" t="n"/>
      <c r="I48" s="488" t="n"/>
      <c r="J48" s="486" t="n"/>
      <c r="K48" s="485" t="n"/>
      <c r="L48" s="486" t="n"/>
      <c r="M48" s="19" t="n"/>
      <c r="N48" s="417" t="n"/>
    </row>
    <row r="49" ht="17.25" customHeight="1" s="468">
      <c r="B49" s="20" t="n"/>
      <c r="C49" s="490" t="n"/>
      <c r="D49" s="486" t="n"/>
      <c r="E49" s="490" t="n"/>
      <c r="F49" s="486" t="n"/>
      <c r="G49" s="490" t="n"/>
      <c r="H49" s="488" t="n"/>
      <c r="I49" s="488" t="n"/>
      <c r="J49" s="486" t="n"/>
      <c r="K49" s="490" t="n"/>
      <c r="L49" s="486" t="n"/>
      <c r="M49" s="21" t="n"/>
      <c r="N49" s="417" t="n"/>
    </row>
    <row r="50" ht="17.25" customHeight="1" s="468">
      <c r="B50" s="18" t="n"/>
      <c r="C50" s="485" t="n"/>
      <c r="D50" s="486" t="n"/>
      <c r="E50" s="485" t="n"/>
      <c r="F50" s="486" t="n"/>
      <c r="G50" s="485" t="n"/>
      <c r="H50" s="488" t="n"/>
      <c r="I50" s="488" t="n"/>
      <c r="J50" s="486" t="n"/>
      <c r="K50" s="485" t="n"/>
      <c r="L50" s="486" t="n"/>
      <c r="M50" s="19" t="n"/>
      <c r="N50" s="417" t="n"/>
    </row>
    <row r="51" ht="17.25" customHeight="1" s="468">
      <c r="B51" s="20" t="n"/>
      <c r="C51" s="490" t="n"/>
      <c r="D51" s="486" t="n"/>
      <c r="E51" s="490" t="n"/>
      <c r="F51" s="486" t="n"/>
      <c r="G51" s="490" t="n"/>
      <c r="H51" s="488" t="n"/>
      <c r="I51" s="488" t="n"/>
      <c r="J51" s="486" t="n"/>
      <c r="K51" s="490" t="n"/>
      <c r="L51" s="486" t="n"/>
      <c r="M51" s="23" t="n"/>
      <c r="N51" s="417" t="n"/>
    </row>
    <row r="52" ht="17.25" customHeight="1" s="468">
      <c r="B52" s="18" t="n"/>
      <c r="C52" s="485" t="n"/>
      <c r="D52" s="486" t="n"/>
      <c r="E52" s="485" t="n"/>
      <c r="F52" s="486" t="n"/>
      <c r="G52" s="485" t="n"/>
      <c r="H52" s="488" t="n"/>
      <c r="I52" s="488" t="n"/>
      <c r="J52" s="486" t="n"/>
      <c r="K52" s="485" t="n"/>
      <c r="L52" s="486" t="n"/>
      <c r="M52" s="19" t="n"/>
      <c r="N52" s="417" t="n"/>
    </row>
    <row r="53" ht="17.25" customHeight="1" s="468">
      <c r="B53" s="20" t="n"/>
      <c r="C53" s="490" t="n"/>
      <c r="D53" s="486" t="n"/>
      <c r="E53" s="490" t="n"/>
      <c r="F53" s="486" t="n"/>
      <c r="G53" s="490" t="n"/>
      <c r="H53" s="488" t="n"/>
      <c r="I53" s="488" t="n"/>
      <c r="J53" s="486" t="n"/>
      <c r="K53" s="490" t="n"/>
      <c r="L53" s="486" t="n"/>
      <c r="M53" s="21" t="n"/>
      <c r="N53" s="417" t="n"/>
    </row>
    <row r="54" ht="17.25" customHeight="1" s="468">
      <c r="B54" s="18" t="n"/>
      <c r="C54" s="485" t="n"/>
      <c r="D54" s="486" t="n"/>
      <c r="E54" s="485" t="n"/>
      <c r="F54" s="486" t="n"/>
      <c r="G54" s="485" t="n"/>
      <c r="H54" s="488" t="n"/>
      <c r="I54" s="488" t="n"/>
      <c r="J54" s="486" t="n"/>
      <c r="K54" s="485" t="n"/>
      <c r="L54" s="486" t="n"/>
      <c r="M54" s="19" t="n"/>
      <c r="N54" s="417" t="n"/>
    </row>
    <row r="55" ht="17.25" customHeight="1" s="468">
      <c r="B55" s="20" t="n"/>
      <c r="C55" s="490" t="n"/>
      <c r="D55" s="486" t="n"/>
      <c r="E55" s="490" t="n"/>
      <c r="F55" s="486" t="n"/>
      <c r="G55" s="490" t="n"/>
      <c r="H55" s="488" t="n"/>
      <c r="I55" s="488" t="n"/>
      <c r="J55" s="486" t="n"/>
      <c r="K55" s="490" t="n"/>
      <c r="L55" s="486" t="n"/>
      <c r="M55" s="21" t="n"/>
      <c r="N55" s="417" t="n"/>
    </row>
    <row r="56" ht="17.25" customHeight="1" s="468">
      <c r="B56" s="18" t="n"/>
      <c r="C56" s="485" t="n"/>
      <c r="D56" s="486" t="n"/>
      <c r="E56" s="485" t="n"/>
      <c r="F56" s="486" t="n"/>
      <c r="G56" s="485" t="n"/>
      <c r="H56" s="488" t="n"/>
      <c r="I56" s="488" t="n"/>
      <c r="J56" s="486" t="n"/>
      <c r="K56" s="485" t="n"/>
      <c r="L56" s="486" t="n"/>
      <c r="M56" s="19" t="n"/>
      <c r="N56" s="417" t="n"/>
    </row>
    <row r="57" ht="17.25" customHeight="1" s="468">
      <c r="B57" s="20" t="n"/>
      <c r="C57" s="490" t="n"/>
      <c r="D57" s="486" t="n"/>
      <c r="E57" s="490" t="n"/>
      <c r="F57" s="486" t="n"/>
      <c r="G57" s="490" t="n"/>
      <c r="H57" s="488" t="n"/>
      <c r="I57" s="488" t="n"/>
      <c r="J57" s="486" t="n"/>
      <c r="K57" s="490" t="n"/>
      <c r="L57" s="486" t="n"/>
      <c r="M57" s="21" t="n"/>
      <c r="N57" s="417" t="n"/>
    </row>
    <row r="58" ht="17.25" customHeight="1" s="468">
      <c r="B58" s="18" t="n"/>
      <c r="C58" s="485" t="n"/>
      <c r="D58" s="486" t="n"/>
      <c r="E58" s="485" t="n"/>
      <c r="F58" s="486" t="n"/>
      <c r="G58" s="485" t="n"/>
      <c r="H58" s="488" t="n"/>
      <c r="I58" s="488" t="n"/>
      <c r="J58" s="486" t="n"/>
      <c r="K58" s="485" t="n"/>
      <c r="L58" s="486" t="n"/>
      <c r="M58" s="19" t="n"/>
      <c r="N58" s="417" t="n"/>
    </row>
    <row r="59" ht="17.25" customHeight="1" s="468">
      <c r="B59" s="20" t="n"/>
      <c r="C59" s="490" t="n"/>
      <c r="D59" s="486" t="n"/>
      <c r="E59" s="490" t="n"/>
      <c r="F59" s="486" t="n"/>
      <c r="G59" s="490" t="n"/>
      <c r="H59" s="488" t="n"/>
      <c r="I59" s="488" t="n"/>
      <c r="J59" s="486" t="n"/>
      <c r="K59" s="490" t="n"/>
      <c r="L59" s="486" t="n"/>
      <c r="M59" s="23" t="n"/>
      <c r="N59" s="417" t="n"/>
    </row>
    <row r="60" ht="17.25" customHeight="1" s="468">
      <c r="B60" s="18" t="n"/>
      <c r="C60" s="485" t="n"/>
      <c r="D60" s="486" t="n"/>
      <c r="E60" s="485" t="n"/>
      <c r="F60" s="486" t="n"/>
      <c r="G60" s="485" t="n"/>
      <c r="H60" s="488" t="n"/>
      <c r="I60" s="488" t="n"/>
      <c r="J60" s="486" t="n"/>
      <c r="K60" s="485" t="n"/>
      <c r="L60" s="486" t="n"/>
      <c r="M60" s="19" t="n"/>
      <c r="N60" s="417" t="n"/>
    </row>
    <row r="61" ht="17.25" customHeight="1" s="468">
      <c r="B61" s="20" t="n"/>
      <c r="C61" s="490" t="n"/>
      <c r="D61" s="486" t="n"/>
      <c r="E61" s="490" t="n"/>
      <c r="F61" s="486" t="n"/>
      <c r="G61" s="490" t="n"/>
      <c r="H61" s="488" t="n"/>
      <c r="I61" s="488" t="n"/>
      <c r="J61" s="486" t="n"/>
      <c r="K61" s="490" t="n"/>
      <c r="L61" s="486" t="n"/>
      <c r="M61" s="21" t="n"/>
      <c r="N61" s="417" t="n"/>
    </row>
    <row r="62" ht="17.25" customHeight="1" s="468">
      <c r="B62" s="18" t="n"/>
      <c r="C62" s="485" t="n"/>
      <c r="D62" s="486" t="n"/>
      <c r="E62" s="485" t="n"/>
      <c r="F62" s="486" t="n"/>
      <c r="G62" s="485" t="n"/>
      <c r="H62" s="488" t="n"/>
      <c r="I62" s="488" t="n"/>
      <c r="J62" s="486" t="n"/>
      <c r="K62" s="485" t="n"/>
      <c r="L62" s="486" t="n"/>
      <c r="M62" s="19" t="n"/>
      <c r="N62" s="417" t="n"/>
    </row>
    <row r="63" ht="17.25" customHeight="1" s="468">
      <c r="B63" s="20" t="n"/>
      <c r="C63" s="490" t="n"/>
      <c r="D63" s="486" t="n"/>
      <c r="E63" s="490" t="n"/>
      <c r="F63" s="486" t="n"/>
      <c r="G63" s="490" t="n"/>
      <c r="H63" s="488" t="n"/>
      <c r="I63" s="488" t="n"/>
      <c r="J63" s="486" t="n"/>
      <c r="K63" s="490" t="n"/>
      <c r="L63" s="486" t="n"/>
      <c r="M63" s="21" t="n"/>
      <c r="N63" s="417" t="n"/>
    </row>
    <row r="64" ht="17.25" customHeight="1" s="468">
      <c r="B64" s="18" t="n"/>
      <c r="C64" s="485" t="n"/>
      <c r="D64" s="486" t="n"/>
      <c r="E64" s="485" t="n"/>
      <c r="F64" s="486" t="n"/>
      <c r="G64" s="485" t="n"/>
      <c r="H64" s="488" t="n"/>
      <c r="I64" s="488" t="n"/>
      <c r="J64" s="486" t="n"/>
      <c r="K64" s="485" t="n"/>
      <c r="L64" s="486" t="n"/>
      <c r="M64" s="19" t="n"/>
      <c r="N64" s="417" t="n"/>
    </row>
    <row r="65" ht="17.25" customHeight="1" s="468">
      <c r="B65" s="20" t="n"/>
      <c r="C65" s="490" t="n"/>
      <c r="D65" s="486" t="n"/>
      <c r="E65" s="490" t="n"/>
      <c r="F65" s="486" t="n"/>
      <c r="G65" s="490" t="n"/>
      <c r="H65" s="488" t="n"/>
      <c r="I65" s="488" t="n"/>
      <c r="J65" s="486" t="n"/>
      <c r="K65" s="490" t="n"/>
      <c r="L65" s="486" t="n"/>
      <c r="M65" s="21" t="n"/>
      <c r="N65" s="417" t="n"/>
    </row>
    <row r="66" ht="17.25" customHeight="1" s="468">
      <c r="B66" s="18" t="n"/>
      <c r="C66" s="485" t="n"/>
      <c r="D66" s="486" t="n"/>
      <c r="E66" s="485" t="n"/>
      <c r="F66" s="486" t="n"/>
      <c r="G66" s="485" t="n"/>
      <c r="H66" s="488" t="n"/>
      <c r="I66" s="488" t="n"/>
      <c r="J66" s="486" t="n"/>
      <c r="K66" s="485" t="n"/>
      <c r="L66" s="486" t="n"/>
      <c r="M66" s="19" t="n"/>
      <c r="N66" s="417" t="n"/>
    </row>
    <row r="67" ht="17.25" customHeight="1" s="468">
      <c r="B67" s="20" t="n"/>
      <c r="C67" s="490" t="n"/>
      <c r="D67" s="486" t="n"/>
      <c r="E67" s="490" t="n"/>
      <c r="F67" s="486" t="n"/>
      <c r="G67" s="490" t="n"/>
      <c r="H67" s="488" t="n"/>
      <c r="I67" s="488" t="n"/>
      <c r="J67" s="486" t="n"/>
      <c r="K67" s="490" t="n"/>
      <c r="L67" s="486" t="n"/>
      <c r="M67" s="21" t="n"/>
      <c r="N67" s="417" t="n"/>
    </row>
    <row r="68" ht="17.25" customHeight="1" s="468">
      <c r="B68" s="18" t="n"/>
      <c r="C68" s="485" t="n"/>
      <c r="D68" s="486" t="n"/>
      <c r="E68" s="485" t="n"/>
      <c r="F68" s="486" t="n"/>
      <c r="G68" s="485" t="n"/>
      <c r="H68" s="488" t="n"/>
      <c r="I68" s="488" t="n"/>
      <c r="J68" s="486" t="n"/>
      <c r="K68" s="485" t="n"/>
      <c r="L68" s="486" t="n"/>
      <c r="M68" s="22" t="n"/>
      <c r="N68" s="417" t="n"/>
    </row>
    <row r="69" ht="17.25" customHeight="1" s="468">
      <c r="B69" s="20" t="n"/>
      <c r="C69" s="490" t="n"/>
      <c r="D69" s="486" t="n"/>
      <c r="E69" s="490" t="n"/>
      <c r="F69" s="486" t="n"/>
      <c r="G69" s="490" t="n"/>
      <c r="H69" s="488" t="n"/>
      <c r="I69" s="488" t="n"/>
      <c r="J69" s="486" t="n"/>
      <c r="K69" s="490" t="n"/>
      <c r="L69" s="486" t="n"/>
      <c r="M69" s="21" t="n"/>
      <c r="N69" s="417" t="n"/>
    </row>
    <row r="70" ht="17.25" customHeight="1" s="468">
      <c r="B70" s="18" t="n"/>
      <c r="C70" s="485" t="n"/>
      <c r="D70" s="486" t="n"/>
      <c r="E70" s="485" t="n"/>
      <c r="F70" s="486" t="n"/>
      <c r="G70" s="485" t="n"/>
      <c r="H70" s="488" t="n"/>
      <c r="I70" s="488" t="n"/>
      <c r="J70" s="486" t="n"/>
      <c r="K70" s="485" t="n"/>
      <c r="L70" s="486" t="n"/>
      <c r="M70" s="19" t="n"/>
      <c r="N70" s="417" t="n"/>
    </row>
    <row r="71" ht="17.25" customHeight="1" s="468">
      <c r="B71" s="20" t="n"/>
      <c r="C71" s="490" t="n"/>
      <c r="D71" s="486" t="n"/>
      <c r="E71" s="490" t="n"/>
      <c r="F71" s="486" t="n"/>
      <c r="G71" s="490" t="n"/>
      <c r="H71" s="488" t="n"/>
      <c r="I71" s="488" t="n"/>
      <c r="J71" s="486" t="n"/>
      <c r="K71" s="490" t="n"/>
      <c r="L71" s="486" t="n"/>
      <c r="M71" s="21" t="n"/>
      <c r="N71" s="417" t="n"/>
    </row>
    <row r="72" ht="17.25" customHeight="1" s="468">
      <c r="B72" s="18" t="n"/>
      <c r="C72" s="485" t="n"/>
      <c r="D72" s="486" t="n"/>
      <c r="E72" s="485" t="n"/>
      <c r="F72" s="486" t="n"/>
      <c r="G72" s="485" t="n"/>
      <c r="H72" s="488" t="n"/>
      <c r="I72" s="488" t="n"/>
      <c r="J72" s="486" t="n"/>
      <c r="K72" s="485" t="n"/>
      <c r="L72" s="486" t="n"/>
      <c r="M72" s="19" t="n"/>
      <c r="N72" s="417" t="n"/>
    </row>
    <row r="73" ht="17.25" customHeight="1" s="468">
      <c r="B73" s="20" t="n"/>
      <c r="C73" s="490" t="n"/>
      <c r="D73" s="486" t="n"/>
      <c r="E73" s="490" t="n"/>
      <c r="F73" s="486" t="n"/>
      <c r="G73" s="490" t="n"/>
      <c r="H73" s="488" t="n"/>
      <c r="I73" s="488" t="n"/>
      <c r="J73" s="486" t="n"/>
      <c r="K73" s="490" t="n"/>
      <c r="L73" s="486" t="n"/>
      <c r="M73" s="21" t="n"/>
      <c r="N73" s="417" t="n"/>
    </row>
    <row r="74" ht="17.25" customHeight="1" s="468">
      <c r="B74" s="18" t="n"/>
      <c r="C74" s="485" t="n"/>
      <c r="D74" s="486" t="n"/>
      <c r="E74" s="485" t="n"/>
      <c r="F74" s="486" t="n"/>
      <c r="G74" s="485" t="n"/>
      <c r="H74" s="488" t="n"/>
      <c r="I74" s="488" t="n"/>
      <c r="J74" s="486" t="n"/>
      <c r="K74" s="485" t="n"/>
      <c r="L74" s="486" t="n"/>
      <c r="M74" s="19" t="n"/>
      <c r="N74" s="417" t="n"/>
    </row>
    <row r="75" ht="17.25" customHeight="1" s="468">
      <c r="B75" s="20" t="n"/>
      <c r="C75" s="490" t="n"/>
      <c r="D75" s="486" t="n"/>
      <c r="E75" s="490" t="n"/>
      <c r="F75" s="486" t="n"/>
      <c r="G75" s="490" t="n"/>
      <c r="H75" s="488" t="n"/>
      <c r="I75" s="488" t="n"/>
      <c r="J75" s="486" t="n"/>
      <c r="K75" s="490" t="n"/>
      <c r="L75" s="486" t="n"/>
      <c r="M75" s="21" t="n"/>
      <c r="N75" s="417" t="n"/>
    </row>
    <row r="76" ht="17.25" customHeight="1" s="468">
      <c r="B76" s="18" t="n"/>
      <c r="C76" s="485" t="n"/>
      <c r="D76" s="486" t="n"/>
      <c r="E76" s="485" t="n"/>
      <c r="F76" s="486" t="n"/>
      <c r="G76" s="485" t="n"/>
      <c r="H76" s="488" t="n"/>
      <c r="I76" s="488" t="n"/>
      <c r="J76" s="486" t="n"/>
      <c r="K76" s="485" t="n"/>
      <c r="L76" s="486" t="n"/>
      <c r="M76" s="22" t="n"/>
      <c r="N76" s="417" t="n"/>
    </row>
    <row r="77" ht="17.25" customHeight="1" s="468">
      <c r="B77" s="20" t="n"/>
      <c r="C77" s="490" t="n"/>
      <c r="D77" s="486" t="n"/>
      <c r="E77" s="490" t="n"/>
      <c r="F77" s="486" t="n"/>
      <c r="G77" s="490" t="n"/>
      <c r="H77" s="488" t="n"/>
      <c r="I77" s="488" t="n"/>
      <c r="J77" s="486" t="n"/>
      <c r="K77" s="490" t="n"/>
      <c r="L77" s="486" t="n"/>
      <c r="M77" s="21" t="n"/>
      <c r="N77" s="417" t="n"/>
    </row>
    <row r="78" ht="17.25" customHeight="1" s="468">
      <c r="B78" s="18" t="n"/>
      <c r="C78" s="485" t="n"/>
      <c r="D78" s="486" t="n"/>
      <c r="E78" s="485" t="n"/>
      <c r="F78" s="486" t="n"/>
      <c r="G78" s="485" t="n"/>
      <c r="H78" s="488" t="n"/>
      <c r="I78" s="488" t="n"/>
      <c r="J78" s="486" t="n"/>
      <c r="K78" s="485" t="n"/>
      <c r="L78" s="486" t="n"/>
      <c r="M78" s="19" t="n"/>
      <c r="N78" s="417" t="n"/>
    </row>
    <row r="79" ht="17.25" customHeight="1" s="468">
      <c r="B79" s="20" t="n"/>
      <c r="C79" s="490" t="n"/>
      <c r="D79" s="486" t="n"/>
      <c r="E79" s="490" t="n"/>
      <c r="F79" s="486" t="n"/>
      <c r="G79" s="490" t="n"/>
      <c r="H79" s="488" t="n"/>
      <c r="I79" s="488" t="n"/>
      <c r="J79" s="486" t="n"/>
      <c r="K79" s="490" t="n"/>
      <c r="L79" s="486" t="n"/>
      <c r="M79" s="21" t="n"/>
      <c r="N79" s="417" t="n"/>
    </row>
    <row r="80" ht="17.25" customHeight="1" s="468">
      <c r="B80" s="18" t="n"/>
      <c r="C80" s="485" t="n"/>
      <c r="D80" s="486" t="n"/>
      <c r="E80" s="485" t="n"/>
      <c r="F80" s="486" t="n"/>
      <c r="G80" s="485" t="n"/>
      <c r="H80" s="488" t="n"/>
      <c r="I80" s="488" t="n"/>
      <c r="J80" s="486" t="n"/>
      <c r="K80" s="485" t="n"/>
      <c r="L80" s="486" t="n"/>
      <c r="M80" s="19" t="n"/>
      <c r="N80" s="417" t="n"/>
    </row>
    <row r="81" ht="17.25" customHeight="1" s="468">
      <c r="B81" s="20" t="n"/>
      <c r="C81" s="490" t="n"/>
      <c r="D81" s="486" t="n"/>
      <c r="E81" s="490" t="n"/>
      <c r="F81" s="486" t="n"/>
      <c r="G81" s="490" t="n"/>
      <c r="H81" s="488" t="n"/>
      <c r="I81" s="488" t="n"/>
      <c r="J81" s="486" t="n"/>
      <c r="K81" s="490" t="n"/>
      <c r="L81" s="486" t="n"/>
      <c r="M81" s="21" t="n"/>
      <c r="N81" s="417" t="n"/>
    </row>
    <row r="82" ht="17.25" customHeight="1" s="468">
      <c r="B82" s="18" t="n"/>
      <c r="C82" s="485" t="n"/>
      <c r="D82" s="486" t="n"/>
      <c r="E82" s="485" t="n"/>
      <c r="F82" s="486" t="n"/>
      <c r="G82" s="485" t="n"/>
      <c r="H82" s="488" t="n"/>
      <c r="I82" s="488" t="n"/>
      <c r="J82" s="486" t="n"/>
      <c r="K82" s="485" t="n"/>
      <c r="L82" s="486" t="n"/>
      <c r="M82" s="19" t="n"/>
      <c r="N82" s="417" t="n"/>
    </row>
    <row r="83" ht="17.25" customHeight="1" s="468">
      <c r="B83" s="20" t="n"/>
      <c r="C83" s="490" t="n"/>
      <c r="D83" s="486" t="n"/>
      <c r="E83" s="490" t="n"/>
      <c r="F83" s="486" t="n"/>
      <c r="G83" s="490" t="n"/>
      <c r="H83" s="488" t="n"/>
      <c r="I83" s="488" t="n"/>
      <c r="J83" s="486" t="n"/>
      <c r="K83" s="490" t="n"/>
      <c r="L83" s="486" t="n"/>
      <c r="M83" s="21" t="n"/>
      <c r="N83" s="417" t="n"/>
    </row>
    <row r="84" ht="17.25" customHeight="1" s="468">
      <c r="B84" s="18" t="n"/>
      <c r="C84" s="485" t="n"/>
      <c r="D84" s="486" t="n"/>
      <c r="E84" s="485" t="n"/>
      <c r="F84" s="486" t="n"/>
      <c r="G84" s="485" t="n"/>
      <c r="H84" s="488" t="n"/>
      <c r="I84" s="488" t="n"/>
      <c r="J84" s="486" t="n"/>
      <c r="K84" s="485" t="n"/>
      <c r="L84" s="486" t="n"/>
      <c r="M84" s="19" t="n"/>
      <c r="N84" s="417" t="n"/>
    </row>
    <row r="85" ht="17.25" customHeight="1" s="468">
      <c r="B85" s="20" t="n"/>
      <c r="C85" s="490" t="n"/>
      <c r="D85" s="486" t="n"/>
      <c r="E85" s="490" t="n"/>
      <c r="F85" s="486" t="n"/>
      <c r="G85" s="490" t="n"/>
      <c r="H85" s="488" t="n"/>
      <c r="I85" s="488" t="n"/>
      <c r="J85" s="486" t="n"/>
      <c r="K85" s="490" t="n"/>
      <c r="L85" s="486" t="n"/>
      <c r="M85" s="23" t="n"/>
      <c r="N85" s="417" t="n"/>
    </row>
    <row r="86" ht="17.25" customHeight="1" s="468">
      <c r="B86" s="18" t="n"/>
      <c r="C86" s="485" t="n"/>
      <c r="D86" s="486" t="n"/>
      <c r="E86" s="485" t="n"/>
      <c r="F86" s="486" t="n"/>
      <c r="G86" s="485" t="n"/>
      <c r="H86" s="488" t="n"/>
      <c r="I86" s="488" t="n"/>
      <c r="J86" s="486" t="n"/>
      <c r="K86" s="485" t="n"/>
      <c r="L86" s="486" t="n"/>
      <c r="M86" s="19" t="n"/>
      <c r="N86" s="417" t="n"/>
    </row>
    <row r="87" ht="17.25" customHeight="1" s="468">
      <c r="B87" s="20" t="n"/>
      <c r="C87" s="490" t="n"/>
      <c r="D87" s="486" t="n"/>
      <c r="E87" s="490" t="n"/>
      <c r="F87" s="486" t="n"/>
      <c r="G87" s="490" t="n"/>
      <c r="H87" s="488" t="n"/>
      <c r="I87" s="488" t="n"/>
      <c r="J87" s="486" t="n"/>
      <c r="K87" s="490" t="n"/>
      <c r="L87" s="486" t="n"/>
      <c r="M87" s="21" t="n"/>
      <c r="N87" s="417" t="n"/>
    </row>
    <row r="88" ht="17.25" customHeight="1" s="468">
      <c r="B88" s="18" t="n"/>
      <c r="C88" s="485" t="n"/>
      <c r="D88" s="486" t="n"/>
      <c r="E88" s="485" t="n"/>
      <c r="F88" s="486" t="n"/>
      <c r="G88" s="485" t="n"/>
      <c r="H88" s="488" t="n"/>
      <c r="I88" s="488" t="n"/>
      <c r="J88" s="486" t="n"/>
      <c r="K88" s="485" t="n"/>
      <c r="L88" s="486" t="n"/>
      <c r="M88" s="19" t="n"/>
      <c r="N88" s="417" t="n"/>
    </row>
    <row r="89" ht="17.25" customHeight="1" s="468">
      <c r="B89" s="20" t="n"/>
      <c r="C89" s="490" t="n"/>
      <c r="D89" s="486" t="n"/>
      <c r="E89" s="490" t="n"/>
      <c r="F89" s="486" t="n"/>
      <c r="G89" s="490" t="n"/>
      <c r="H89" s="488" t="n"/>
      <c r="I89" s="488" t="n"/>
      <c r="J89" s="486" t="n"/>
      <c r="K89" s="490" t="n"/>
      <c r="L89" s="486" t="n"/>
      <c r="M89" s="21" t="n"/>
      <c r="N89" s="417" t="n"/>
    </row>
    <row r="90" ht="17.25" customHeight="1" s="468">
      <c r="B90" s="18" t="n"/>
      <c r="C90" s="485" t="n"/>
      <c r="D90" s="486" t="n"/>
      <c r="E90" s="485" t="n"/>
      <c r="F90" s="486" t="n"/>
      <c r="G90" s="485" t="n"/>
      <c r="H90" s="488" t="n"/>
      <c r="I90" s="488" t="n"/>
      <c r="J90" s="486" t="n"/>
      <c r="K90" s="485" t="n"/>
      <c r="L90" s="486" t="n"/>
      <c r="M90" s="19" t="n"/>
      <c r="N90" s="417" t="n"/>
    </row>
    <row r="91" ht="17.25" customHeight="1" s="468">
      <c r="B91" s="20" t="n"/>
      <c r="C91" s="490" t="n"/>
      <c r="D91" s="486" t="n"/>
      <c r="E91" s="490" t="n"/>
      <c r="F91" s="486" t="n"/>
      <c r="G91" s="490" t="n"/>
      <c r="H91" s="488" t="n"/>
      <c r="I91" s="488" t="n"/>
      <c r="J91" s="486" t="n"/>
      <c r="K91" s="490" t="n"/>
      <c r="L91" s="486" t="n"/>
      <c r="M91" s="21" t="n"/>
      <c r="N91" s="417" t="n"/>
    </row>
    <row r="92" ht="17.25" customHeight="1" s="468">
      <c r="B92" s="18" t="n"/>
      <c r="C92" s="485" t="n"/>
      <c r="D92" s="486" t="n"/>
      <c r="E92" s="485" t="n"/>
      <c r="F92" s="486" t="n"/>
      <c r="G92" s="485" t="n"/>
      <c r="H92" s="488" t="n"/>
      <c r="I92" s="488" t="n"/>
      <c r="J92" s="486" t="n"/>
      <c r="K92" s="485" t="n"/>
      <c r="L92" s="486" t="n"/>
      <c r="M92" s="19" t="n"/>
      <c r="N92" s="417" t="n"/>
    </row>
    <row r="93" ht="17.25" customHeight="1" s="468">
      <c r="B93" s="20" t="n"/>
      <c r="C93" s="490" t="n"/>
      <c r="D93" s="486" t="n"/>
      <c r="E93" s="490" t="n"/>
      <c r="F93" s="486" t="n"/>
      <c r="G93" s="490" t="n"/>
      <c r="H93" s="488" t="n"/>
      <c r="I93" s="488" t="n"/>
      <c r="J93" s="486" t="n"/>
      <c r="K93" s="490" t="n"/>
      <c r="L93" s="486" t="n"/>
      <c r="M93" s="23" t="n"/>
      <c r="N93" s="417" t="n"/>
    </row>
    <row r="94" ht="17.25" customHeight="1" s="468">
      <c r="B94" s="24" t="n"/>
      <c r="C94" s="506" t="n"/>
      <c r="D94" s="507" t="n"/>
      <c r="E94" s="506" t="n"/>
      <c r="F94" s="507" t="n"/>
      <c r="G94" s="506" t="n"/>
      <c r="H94" s="509" t="n"/>
      <c r="I94" s="509" t="n"/>
      <c r="J94" s="507" t="n"/>
      <c r="K94" s="506" t="n"/>
      <c r="L94" s="507" t="n"/>
      <c r="M94" s="25" t="n"/>
      <c r="N94" s="417" t="n"/>
    </row>
    <row r="95" ht="18" customHeight="1" s="468">
      <c r="N95" s="420" t="n"/>
    </row>
    <row r="96" ht="18" customHeight="1" s="468">
      <c r="N96" s="420" t="n"/>
    </row>
    <row r="97" ht="18" customHeight="1" s="468">
      <c r="N97" s="420" t="n"/>
    </row>
    <row r="98" ht="18" customHeight="1" s="468">
      <c r="N98" s="420" t="n"/>
    </row>
    <row r="99" ht="18" customHeight="1" s="468">
      <c r="N99" s="420" t="n"/>
    </row>
    <row r="100" ht="18" customHeight="1" s="468">
      <c r="N100" s="420" t="n"/>
    </row>
    <row r="101" ht="18" customHeight="1" s="468">
      <c r="N101" s="420" t="n"/>
    </row>
    <row r="102" ht="18" customHeight="1" s="468">
      <c r="N102" s="420" t="n"/>
    </row>
    <row r="103" ht="18" customHeight="1" s="468">
      <c r="N103" s="420" t="n"/>
    </row>
    <row r="104" ht="18" customHeight="1" s="468">
      <c r="N104" s="420" t="n"/>
    </row>
    <row r="105" ht="18" customHeight="1" s="468">
      <c r="N105" s="420" t="n"/>
    </row>
    <row r="106" ht="18" customHeight="1" s="468">
      <c r="N106" s="420" t="n"/>
    </row>
    <row r="107" ht="18" customHeight="1" s="468">
      <c r="N107" s="420" t="n"/>
    </row>
    <row r="108" ht="18" customHeight="1" s="468">
      <c r="N108" s="420" t="n"/>
    </row>
    <row r="109" ht="18" customHeight="1" s="468">
      <c r="N109" s="420" t="n"/>
    </row>
    <row r="110" ht="18" customHeight="1" s="468">
      <c r="N110" s="420" t="n"/>
    </row>
    <row r="111" ht="18" customHeight="1" s="468">
      <c r="N111" s="420" t="n"/>
    </row>
    <row r="112" ht="18" customHeight="1" s="468">
      <c r="N112" s="420" t="n"/>
    </row>
    <row r="113" ht="18" customHeight="1" s="468">
      <c r="N113" s="420" t="n"/>
    </row>
    <row r="114" ht="18" customHeight="1" s="468">
      <c r="N114" s="420" t="n"/>
    </row>
    <row r="115" ht="18" customHeight="1" s="468">
      <c r="N115" s="420" t="n"/>
    </row>
    <row r="116" ht="18" customHeight="1" s="468">
      <c r="N116" s="420" t="n"/>
    </row>
    <row r="117" ht="18" customHeight="1" s="468">
      <c r="N117" s="420" t="n"/>
    </row>
    <row r="118" ht="18" customHeight="1" s="468">
      <c r="N118" s="420" t="n"/>
    </row>
    <row r="119" ht="18" customHeight="1" s="468">
      <c r="N119" s="420" t="n"/>
    </row>
    <row r="120" ht="18" customHeight="1" s="468">
      <c r="N120" s="420" t="n"/>
    </row>
    <row r="121" ht="18" customHeight="1" s="468">
      <c r="N121" s="420" t="n"/>
    </row>
    <row r="122" ht="18" customHeight="1" s="468">
      <c r="N122" s="420" t="n"/>
    </row>
    <row r="123" ht="18" customHeight="1" s="468">
      <c r="N123" s="420" t="n"/>
    </row>
    <row r="124" ht="18" customHeight="1" s="468">
      <c r="N124" s="420" t="n"/>
    </row>
    <row r="125" ht="18" customHeight="1" s="468">
      <c r="N125" s="420" t="n"/>
    </row>
    <row r="126" ht="18" customHeight="1" s="468">
      <c r="N126" s="420" t="n"/>
    </row>
    <row r="127" ht="18" customHeight="1" s="468">
      <c r="N127" s="420" t="n"/>
    </row>
    <row r="128" ht="18" customHeight="1" s="468">
      <c r="N128" s="420" t="n"/>
    </row>
    <row r="129" ht="18" customHeight="1" s="468">
      <c r="N129" s="420" t="n"/>
    </row>
    <row r="130" ht="18" customHeight="1" s="468">
      <c r="N130" s="420" t="n"/>
    </row>
    <row r="131" ht="18" customHeight="1" s="468">
      <c r="N131" s="420" t="n"/>
    </row>
    <row r="132" ht="18" customHeight="1" s="468">
      <c r="N132" s="420" t="n"/>
    </row>
    <row r="133" ht="18" customHeight="1" s="468">
      <c r="N133" s="420" t="n"/>
    </row>
    <row r="134" ht="18" customHeight="1" s="468">
      <c r="N134" s="420" t="n"/>
    </row>
    <row r="135" ht="18" customHeight="1" s="468">
      <c r="N135" s="420" t="n"/>
    </row>
    <row r="136" ht="18" customHeight="1" s="468">
      <c r="N136" s="420" t="n"/>
    </row>
    <row r="137" ht="18" customHeight="1" s="468">
      <c r="N137" s="420" t="n"/>
    </row>
    <row r="138" ht="18" customHeight="1" s="468">
      <c r="N138" s="420" t="n"/>
    </row>
    <row r="139" ht="18" customHeight="1" s="468">
      <c r="N139" s="420" t="n"/>
    </row>
    <row r="140" ht="18" customHeight="1" s="468">
      <c r="N140" s="420" t="n"/>
    </row>
    <row r="141" ht="18" customHeight="1" s="468">
      <c r="N141" s="420" t="n"/>
    </row>
    <row r="142" ht="18" customHeight="1" s="468">
      <c r="N142" s="420" t="n"/>
    </row>
    <row r="143" ht="18" customHeight="1" s="468">
      <c r="N143" s="420" t="n"/>
    </row>
    <row r="144" ht="18" customHeight="1" s="468">
      <c r="N144" s="420" t="n"/>
    </row>
    <row r="145" ht="18" customHeight="1" s="468">
      <c r="N145" s="420" t="n"/>
    </row>
    <row r="146" ht="18" customHeight="1" s="468">
      <c r="N146" s="420" t="n"/>
    </row>
    <row r="147" ht="18" customHeight="1" s="468">
      <c r="N147" s="420" t="n"/>
    </row>
    <row r="148" ht="18" customHeight="1" s="468">
      <c r="N148" s="420" t="n"/>
    </row>
    <row r="149" ht="18" customHeight="1" s="468">
      <c r="N149" s="420" t="n"/>
    </row>
    <row r="150" ht="18" customHeight="1" s="468">
      <c r="N150" s="420" t="n"/>
    </row>
    <row r="151" ht="18" customHeight="1" s="468">
      <c r="N151" s="420" t="n"/>
    </row>
    <row r="152" ht="18" customHeight="1" s="468">
      <c r="N152" s="420" t="n"/>
    </row>
    <row r="153" ht="18" customHeight="1" s="468">
      <c r="N153" s="420" t="n"/>
    </row>
    <row r="154" ht="18" customHeight="1" s="468">
      <c r="N154" s="420" t="n"/>
    </row>
    <row r="155" ht="18" customHeight="1" s="468">
      <c r="N155" s="420" t="n"/>
    </row>
    <row r="156" ht="18" customHeight="1" s="468">
      <c r="N156" s="420" t="n"/>
    </row>
    <row r="157" ht="18" customHeight="1" s="468">
      <c r="N157" s="420" t="n"/>
    </row>
    <row r="158" ht="18" customHeight="1" s="468">
      <c r="N158" s="420" t="n"/>
    </row>
    <row r="159" ht="18" customHeight="1" s="468">
      <c r="N159" s="420" t="n"/>
    </row>
    <row r="160" ht="18" customHeight="1" s="468">
      <c r="N160" s="420" t="n"/>
    </row>
    <row r="161" ht="18" customHeight="1" s="468">
      <c r="N161" s="420" t="n"/>
    </row>
    <row r="162" ht="18" customHeight="1" s="468">
      <c r="N162" s="420" t="n"/>
    </row>
    <row r="163" ht="18" customHeight="1" s="468">
      <c r="N163" s="420" t="n"/>
    </row>
    <row r="164" ht="18" customHeight="1" s="468">
      <c r="N164" s="420" t="n"/>
    </row>
    <row r="165" ht="18" customHeight="1" s="468">
      <c r="N165" s="420" t="n"/>
    </row>
    <row r="166" ht="18" customHeight="1" s="468">
      <c r="N166" s="420" t="n"/>
    </row>
    <row r="167" ht="18" customHeight="1" s="468">
      <c r="N167" s="420" t="n"/>
    </row>
    <row r="168" ht="18" customHeight="1" s="468">
      <c r="N168" s="420" t="n"/>
    </row>
    <row r="169" ht="18" customHeight="1" s="468">
      <c r="N169" s="420" t="n"/>
    </row>
    <row r="170" ht="18" customHeight="1" s="468">
      <c r="N170" s="420" t="n"/>
    </row>
    <row r="171" ht="18" customHeight="1" s="468">
      <c r="N171" s="420" t="n"/>
    </row>
    <row r="172" ht="18" customHeight="1" s="468">
      <c r="N172" s="420" t="n"/>
    </row>
    <row r="173" ht="18" customHeight="1" s="468">
      <c r="N173" s="420" t="n"/>
    </row>
    <row r="174" ht="18" customHeight="1" s="468">
      <c r="N174" s="420" t="n"/>
    </row>
    <row r="175" ht="18" customHeight="1" s="468">
      <c r="N175" s="420" t="n"/>
    </row>
    <row r="176" ht="18" customHeight="1" s="468">
      <c r="N176" s="420" t="n"/>
    </row>
    <row r="177" ht="18" customHeight="1" s="468">
      <c r="N177" s="420" t="n"/>
    </row>
    <row r="178" ht="18" customHeight="1" s="468">
      <c r="N178" s="420" t="n"/>
    </row>
    <row r="179" ht="18" customHeight="1" s="468">
      <c r="N179" s="420" t="n"/>
    </row>
    <row r="180" ht="18" customHeight="1" s="468">
      <c r="N180" s="420" t="n"/>
    </row>
    <row r="181" ht="18" customHeight="1" s="468">
      <c r="N181" s="420" t="n"/>
    </row>
    <row r="182" ht="18" customHeight="1" s="468">
      <c r="N182" s="420" t="n"/>
    </row>
    <row r="183" ht="18" customHeight="1" s="468">
      <c r="N183" s="420" t="n"/>
    </row>
    <row r="184" ht="18" customHeight="1" s="468">
      <c r="N184" s="420" t="n"/>
    </row>
    <row r="185" ht="18" customHeight="1" s="468">
      <c r="N185" s="420" t="n"/>
    </row>
    <row r="186" ht="18" customHeight="1" s="468">
      <c r="N186" s="420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8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8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8" customHeight="1" s="468">
      <c r="N295" s="420" t="n"/>
    </row>
    <row r="296" ht="18" customHeight="1" s="468">
      <c r="N296" s="420" t="n"/>
    </row>
    <row r="297" ht="18" customHeight="1" s="468">
      <c r="N297" s="420" t="n"/>
    </row>
    <row r="298" ht="18" customHeight="1" s="468">
      <c r="N298" s="420" t="n"/>
    </row>
    <row r="299" ht="18" customHeight="1" s="468">
      <c r="N299" s="420" t="n"/>
    </row>
    <row r="300" ht="18" customHeight="1" s="468">
      <c r="N300" s="420" t="n"/>
    </row>
  </sheetData>
  <mergeCells count="369">
    <mergeCell ref="C15:D15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6:F6"/>
    <mergeCell ref="E77:F77"/>
    <mergeCell ref="E89:F89"/>
    <mergeCell ref="G13:J13"/>
    <mergeCell ref="G78:J78"/>
    <mergeCell ref="E72:F72"/>
    <mergeCell ref="K57:L57"/>
    <mergeCell ref="G15:J15"/>
    <mergeCell ref="G80:J80"/>
    <mergeCell ref="C49:D49"/>
    <mergeCell ref="C24:D24"/>
    <mergeCell ref="G79:J79"/>
    <mergeCell ref="E24:F24"/>
    <mergeCell ref="G73:J73"/>
    <mergeCell ref="C42:D42"/>
    <mergeCell ref="E42:F42"/>
    <mergeCell ref="C88:D88"/>
    <mergeCell ref="E17:F17"/>
    <mergeCell ref="C26:D26"/>
    <mergeCell ref="E88:F88"/>
    <mergeCell ref="E82:F82"/>
    <mergeCell ref="E19:F19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G3:J3"/>
    <mergeCell ref="C81:D81"/>
    <mergeCell ref="C37:D37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C8:D8"/>
    <mergeCell ref="G49:J49"/>
    <mergeCell ref="K10:L10"/>
    <mergeCell ref="K66:L66"/>
    <mergeCell ref="C66:D66"/>
    <mergeCell ref="G24:J24"/>
    <mergeCell ref="E66:F66"/>
    <mergeCell ref="C53:D53"/>
    <mergeCell ref="K3:L3"/>
    <mergeCell ref="C77:D77"/>
    <mergeCell ref="K74:L74"/>
    <mergeCell ref="K68:L68"/>
    <mergeCell ref="G88:J88"/>
    <mergeCell ref="C68:D68"/>
    <mergeCell ref="G26:J26"/>
    <mergeCell ref="E68:F68"/>
    <mergeCell ref="K5:L5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C16:D1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:D6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46:J46"/>
    <mergeCell ref="G40:J40"/>
    <mergeCell ref="E51:F51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G61:J61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K16:L16"/>
    <mergeCell ref="K9:L9"/>
    <mergeCell ref="G16:J16"/>
    <mergeCell ref="E83:F83"/>
    <mergeCell ref="K45:L45"/>
    <mergeCell ref="G76:J76"/>
    <mergeCell ref="C20:D20"/>
    <mergeCell ref="G9:J9"/>
    <mergeCell ref="K11:L11"/>
    <mergeCell ref="C85:D85"/>
    <mergeCell ref="E20:F20"/>
    <mergeCell ref="K47:L47"/>
    <mergeCell ref="C84:D84"/>
    <mergeCell ref="E13:F13"/>
    <mergeCell ref="C22:D22"/>
    <mergeCell ref="E84:F84"/>
    <mergeCell ref="K46:L46"/>
    <mergeCell ref="G11:J11"/>
    <mergeCell ref="E78:F78"/>
    <mergeCell ref="K40:L40"/>
    <mergeCell ref="E15:F15"/>
    <mergeCell ref="E86:F86"/>
    <mergeCell ref="C51:D51"/>
    <mergeCell ref="E80:F80"/>
    <mergeCell ref="K71:L71"/>
    <mergeCell ref="K73:L73"/>
    <mergeCell ref="C38:D38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10:D10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C56:D56"/>
    <mergeCell ref="E34:F34"/>
    <mergeCell ref="C43:D43"/>
    <mergeCell ref="K67:L67"/>
    <mergeCell ref="E49:F49"/>
    <mergeCell ref="C36:D36"/>
    <mergeCell ref="E36:F36"/>
    <mergeCell ref="C67:D67"/>
    <mergeCell ref="K69:L69"/>
    <mergeCell ref="C69:D69"/>
    <mergeCell ref="G20:J20"/>
    <mergeCell ref="G91:J91"/>
    <mergeCell ref="G85:J85"/>
    <mergeCell ref="K64:L64"/>
    <mergeCell ref="C4:D4"/>
    <mergeCell ref="G84:J84"/>
    <mergeCell ref="E4:F4"/>
    <mergeCell ref="G22:J22"/>
    <mergeCell ref="K51:L51"/>
    <mergeCell ref="K72:L72"/>
    <mergeCell ref="G86:J86"/>
    <mergeCell ref="C60:D60"/>
    <mergeCell ref="G38:J38"/>
    <mergeCell ref="E26:F26"/>
    <mergeCell ref="K17:L17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35:J35"/>
    <mergeCell ref="C58:D58"/>
    <mergeCell ref="E52:F52"/>
    <mergeCell ref="E39:F39"/>
    <mergeCell ref="E44:F44"/>
    <mergeCell ref="K60:L60"/>
    <mergeCell ref="C75:D75"/>
    <mergeCell ref="G59:J59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K91:L91"/>
    <mergeCell ref="G56:J56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13:D13"/>
    <mergeCell ref="K4:L4"/>
    <mergeCell ref="C78:D7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tabColor rgb="FF2F3A4A"/>
    <outlinePr summaryBelow="1" summaryRight="1"/>
    <pageSetUpPr/>
  </sheetPr>
  <dimension ref="A1:M201"/>
  <sheetViews>
    <sheetView showGridLines="0" topLeftCell="A7" zoomScale="90" zoomScaleNormal="90" workbookViewId="0">
      <pane ySplit="3" topLeftCell="A4" activePane="bottomLeft" state="frozen"/>
      <selection pane="bottomLeft" activeCell="B7" sqref="B7"/>
    </sheetView>
  </sheetViews>
  <sheetFormatPr baseColWidth="8" defaultColWidth="8.6640625" defaultRowHeight="14.25" customHeight="1"/>
  <cols>
    <col width="16" customWidth="1" style="468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8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8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</row>
    <row r="3" ht="15" customHeight="1" s="468">
      <c r="A3" s="631" t="n">
        <v>46328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</row>
    <row r="4" ht="21" customHeight="1" s="468">
      <c r="A4" s="685" t="n"/>
      <c r="B4" s="218" t="n"/>
      <c r="C4" s="219" t="n"/>
      <c r="D4" s="220" t="n"/>
      <c r="E4" s="221" t="inlineStr">
        <is>
          <t>CX</t>
        </is>
      </c>
      <c r="F4" s="68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20">
        <f>IFERROR(ROUNDUP(D4/F4,0),"")</f>
        <v/>
      </c>
      <c r="H4" s="224" t="n"/>
      <c r="I4" s="220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552" t="n"/>
      <c r="K4" s="552" t="n"/>
      <c r="L4" s="552" t="n"/>
      <c r="M4" s="552" t="n"/>
    </row>
    <row r="5" ht="21" customHeight="1" s="468">
      <c r="A5" s="685" t="n"/>
      <c r="B5" s="218" t="n"/>
      <c r="C5" s="219" t="n"/>
      <c r="D5" s="220" t="n"/>
      <c r="E5" s="221" t="inlineStr">
        <is>
          <t>CX</t>
        </is>
      </c>
      <c r="F5" s="68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20">
        <f>IFERROR(ROUNDUP(D5/F5,0),"")</f>
        <v/>
      </c>
      <c r="H5" s="224" t="n"/>
      <c r="I5" s="22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552" t="n"/>
      <c r="K5" s="552" t="n"/>
      <c r="L5" s="552" t="n"/>
      <c r="M5" s="552" t="n"/>
    </row>
    <row r="6" ht="21" customHeight="1" s="468">
      <c r="A6" s="685" t="n"/>
      <c r="B6" s="218" t="n"/>
      <c r="C6" s="219" t="n"/>
      <c r="D6" s="220" t="n"/>
      <c r="E6" s="221" t="inlineStr">
        <is>
          <t>CX</t>
        </is>
      </c>
      <c r="F6" s="68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20">
        <f>IFERROR(ROUNDUP(D6/F6,0),"")</f>
        <v/>
      </c>
      <c r="H6" s="224" t="n"/>
      <c r="I6" s="220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552" t="n"/>
      <c r="K6" s="552" t="n"/>
      <c r="L6" s="552" t="n"/>
      <c r="M6" s="552" t="n"/>
    </row>
    <row r="7" ht="21" customHeight="1" s="468">
      <c r="A7" s="685" t="n"/>
      <c r="B7" s="218" t="n"/>
      <c r="C7" s="219" t="n"/>
      <c r="D7" s="220" t="n"/>
      <c r="E7" s="221" t="inlineStr">
        <is>
          <t>CX</t>
        </is>
      </c>
      <c r="F7" s="68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20">
        <f>IFERROR(ROUNDUP(D7/F7,0),"")</f>
        <v/>
      </c>
      <c r="H7" s="224" t="n"/>
      <c r="I7" s="220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2" t="n"/>
      <c r="K7" s="552" t="n"/>
      <c r="L7" s="552" t="n"/>
      <c r="M7" s="552" t="n"/>
    </row>
    <row r="8" ht="21" customHeight="1" s="468">
      <c r="A8" s="685" t="n"/>
      <c r="B8" s="218" t="n"/>
      <c r="C8" s="219" t="n"/>
      <c r="D8" s="220" t="n"/>
      <c r="E8" s="221" t="inlineStr">
        <is>
          <t>CX</t>
        </is>
      </c>
      <c r="F8" s="68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20">
        <f>IFERROR(ROUNDUP(D8/F8,0),"")</f>
        <v/>
      </c>
      <c r="H8" s="224" t="n"/>
      <c r="I8" s="220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552" t="n"/>
      <c r="K8" s="552" t="n"/>
      <c r="L8" s="552" t="n"/>
      <c r="M8" s="552" t="n"/>
    </row>
    <row r="9" ht="15" customHeight="1" s="468">
      <c r="A9" s="658" t="n"/>
      <c r="B9" s="640" t="inlineStr">
        <is>
          <t>TOTAL</t>
        </is>
      </c>
      <c r="C9" s="667" t="n"/>
      <c r="D9" s="642">
        <f>SUM(D4:D8)</f>
        <v/>
      </c>
      <c r="E9" s="668" t="n"/>
      <c r="F9" s="644" t="n"/>
      <c r="G9" s="642">
        <f>SUM(G4:G8)</f>
        <v/>
      </c>
      <c r="H9" s="642">
        <f>SUM(H4:H8)</f>
        <v/>
      </c>
      <c r="I9" s="642">
        <f>SUM(I4:I8)</f>
        <v/>
      </c>
      <c r="J9" s="644">
        <f>D9</f>
        <v/>
      </c>
      <c r="K9" s="644">
        <f>G9</f>
        <v/>
      </c>
      <c r="L9" s="644">
        <f>H9</f>
        <v/>
      </c>
      <c r="M9" s="644">
        <f>I9</f>
        <v/>
      </c>
    </row>
    <row r="10" ht="6" customHeight="1" s="468">
      <c r="A10" s="638" t="n"/>
      <c r="C10" s="71" t="n"/>
      <c r="D10" s="552" t="n"/>
      <c r="F10" s="552" t="n"/>
      <c r="G10" s="552" t="n"/>
      <c r="H10" s="552" t="n"/>
      <c r="I10" s="552" t="n"/>
      <c r="J10" s="552" t="n"/>
      <c r="K10" s="552" t="n"/>
      <c r="L10" s="552" t="n"/>
      <c r="M10" s="552" t="n"/>
    </row>
    <row r="11" ht="15" customHeight="1" s="468">
      <c r="A11" s="646" t="n">
        <v>46329</v>
      </c>
      <c r="B11" s="213" t="inlineStr">
        <is>
          <t>PRODUTO</t>
        </is>
      </c>
      <c r="C11" s="214" t="inlineStr">
        <is>
          <t>EMBALAGEM</t>
        </is>
      </c>
      <c r="D11" s="244" t="inlineStr">
        <is>
          <t>CAIXAS</t>
        </is>
      </c>
      <c r="E11" s="215" t="inlineStr">
        <is>
          <t>UN</t>
        </is>
      </c>
      <c r="F11" s="687" t="inlineStr">
        <is>
          <t>CX/PALLET</t>
        </is>
      </c>
      <c r="G11" s="244" t="inlineStr">
        <is>
          <t>PALLETS (PBR)</t>
        </is>
      </c>
      <c r="H11" s="244" t="inlineStr">
        <is>
          <t>REAL (CX)</t>
        </is>
      </c>
      <c r="I11" s="244" t="inlineStr">
        <is>
          <t>TOTAL LATAS</t>
        </is>
      </c>
      <c r="J11" s="552" t="n"/>
      <c r="K11" s="552" t="n"/>
      <c r="L11" s="552" t="n"/>
      <c r="M11" s="552" t="n"/>
    </row>
    <row r="12" ht="21" customHeight="1" s="468">
      <c r="A12" s="685" t="n"/>
      <c r="B12" s="218" t="n"/>
      <c r="C12" s="219" t="n"/>
      <c r="D12" s="220" t="n"/>
      <c r="E12" s="221" t="inlineStr">
        <is>
          <t>CX</t>
        </is>
      </c>
      <c r="F12" s="686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20">
        <f>IFERROR(ROUNDUP(D12/F12,0),"")</f>
        <v/>
      </c>
      <c r="H12" s="224" t="n"/>
      <c r="I12" s="220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  <c r="J12" s="552" t="n"/>
      <c r="K12" s="552" t="n"/>
      <c r="L12" s="552" t="n"/>
      <c r="M12" s="552" t="n"/>
    </row>
    <row r="13" ht="21" customHeight="1" s="468">
      <c r="A13" s="685" t="n"/>
      <c r="B13" s="218" t="n"/>
      <c r="C13" s="219" t="n"/>
      <c r="D13" s="220" t="n"/>
      <c r="E13" s="221" t="inlineStr">
        <is>
          <t>CX</t>
        </is>
      </c>
      <c r="F13" s="68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20">
        <f>IFERROR(ROUNDUP(D13/F13,0),"")</f>
        <v/>
      </c>
      <c r="H13" s="224" t="n"/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552" t="n"/>
      <c r="K13" s="552" t="n"/>
      <c r="L13" s="552" t="n"/>
      <c r="M13" s="552" t="n"/>
    </row>
    <row r="14" ht="21" customHeight="1" s="468">
      <c r="A14" s="685" t="n"/>
      <c r="B14" s="218" t="n"/>
      <c r="C14" s="219" t="n"/>
      <c r="D14" s="220" t="n"/>
      <c r="E14" s="221" t="inlineStr">
        <is>
          <t>CX</t>
        </is>
      </c>
      <c r="F14" s="68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20">
        <f>IFERROR(ROUNDUP(D14/F14,0),"")</f>
        <v/>
      </c>
      <c r="H14" s="224" t="n"/>
      <c r="I14" s="220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52" t="n"/>
      <c r="K14" s="552" t="n"/>
      <c r="L14" s="552" t="n"/>
      <c r="M14" s="552" t="n"/>
    </row>
    <row r="15" ht="21" customHeight="1" s="468">
      <c r="A15" s="685" t="n"/>
      <c r="B15" s="218" t="n"/>
      <c r="C15" s="219" t="n"/>
      <c r="D15" s="220" t="n"/>
      <c r="E15" s="221" t="inlineStr">
        <is>
          <t>CX</t>
        </is>
      </c>
      <c r="F15" s="686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20">
        <f>IFERROR(ROUNDUP(D15/F15,0),"")</f>
        <v/>
      </c>
      <c r="H15" s="224" t="n"/>
      <c r="I15" s="220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2" t="n"/>
      <c r="K15" s="552" t="n"/>
      <c r="L15" s="552" t="n"/>
      <c r="M15" s="552" t="n"/>
    </row>
    <row r="16" ht="21" customHeight="1" s="468">
      <c r="A16" s="685" t="n"/>
      <c r="B16" s="218" t="n"/>
      <c r="C16" s="219" t="n"/>
      <c r="D16" s="220" t="n"/>
      <c r="E16" s="221" t="inlineStr">
        <is>
          <t>CX</t>
        </is>
      </c>
      <c r="F16" s="686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20">
        <f>IFERROR(ROUNDUP(D16/F16,0),"")</f>
        <v/>
      </c>
      <c r="H16" s="224" t="n"/>
      <c r="I16" s="220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552" t="n"/>
      <c r="K16" s="552" t="n"/>
      <c r="L16" s="552" t="n"/>
      <c r="M16" s="552" t="n"/>
    </row>
    <row r="17" ht="15" customHeight="1" s="468">
      <c r="A17" s="658" t="n"/>
      <c r="B17" s="640" t="inlineStr">
        <is>
          <t>TOTAL</t>
        </is>
      </c>
      <c r="C17" s="667" t="n"/>
      <c r="D17" s="642">
        <f>SUM(D12:D16)</f>
        <v/>
      </c>
      <c r="E17" s="668" t="n"/>
      <c r="F17" s="644" t="n"/>
      <c r="G17" s="642">
        <f>SUM(G12:G16)</f>
        <v/>
      </c>
      <c r="H17" s="642">
        <f>SUM(H12:H16)</f>
        <v/>
      </c>
      <c r="I17" s="642">
        <f>SUM(I12:I16)</f>
        <v/>
      </c>
      <c r="J17" s="644">
        <f>D17</f>
        <v/>
      </c>
      <c r="K17" s="644">
        <f>G17</f>
        <v/>
      </c>
      <c r="L17" s="644">
        <f>H17</f>
        <v/>
      </c>
      <c r="M17" s="644">
        <f>I17</f>
        <v/>
      </c>
    </row>
    <row r="18" ht="6" customHeight="1" s="468">
      <c r="A18" s="638" t="n"/>
      <c r="C18" s="71" t="n"/>
      <c r="D18" s="552" t="n"/>
      <c r="F18" s="552" t="n"/>
      <c r="G18" s="552" t="n"/>
      <c r="H18" s="552" t="n"/>
      <c r="I18" s="552" t="n"/>
      <c r="J18" s="552" t="n"/>
      <c r="K18" s="552" t="n"/>
      <c r="L18" s="552" t="n"/>
      <c r="M18" s="552" t="n"/>
    </row>
    <row r="19" ht="15" customHeight="1" s="468">
      <c r="A19" s="646" t="n">
        <v>46330</v>
      </c>
      <c r="B19" s="213" t="inlineStr">
        <is>
          <t>PRODUTO</t>
        </is>
      </c>
      <c r="C19" s="214" t="inlineStr">
        <is>
          <t>EMBALAGEM</t>
        </is>
      </c>
      <c r="D19" s="244" t="inlineStr">
        <is>
          <t>CAIXAS</t>
        </is>
      </c>
      <c r="E19" s="215" t="inlineStr">
        <is>
          <t>UN</t>
        </is>
      </c>
      <c r="F19" s="687" t="inlineStr">
        <is>
          <t>CX/PALLET</t>
        </is>
      </c>
      <c r="G19" s="244" t="inlineStr">
        <is>
          <t>PALLETS (PBR)</t>
        </is>
      </c>
      <c r="H19" s="244" t="inlineStr">
        <is>
          <t>REAL (CX)</t>
        </is>
      </c>
      <c r="I19" s="244" t="inlineStr">
        <is>
          <t>TOTAL LATAS</t>
        </is>
      </c>
      <c r="J19" s="552" t="n"/>
      <c r="K19" s="552" t="n"/>
      <c r="L19" s="552" t="n"/>
      <c r="M19" s="552" t="n"/>
    </row>
    <row r="20" ht="21" customHeight="1" s="468">
      <c r="A20" s="685" t="n"/>
      <c r="B20" s="218" t="n"/>
      <c r="C20" s="219" t="n"/>
      <c r="D20" s="220" t="n"/>
      <c r="E20" s="221" t="inlineStr">
        <is>
          <t>CX</t>
        </is>
      </c>
      <c r="F20" s="686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20">
        <f>IFERROR(ROUNDUP(D20/F20,0),"")</f>
        <v/>
      </c>
      <c r="H20" s="224" t="n"/>
      <c r="I20" s="220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552" t="n"/>
      <c r="K20" s="552" t="n"/>
      <c r="L20" s="552" t="n"/>
      <c r="M20" s="552" t="n"/>
    </row>
    <row r="21" ht="21" customHeight="1" s="468">
      <c r="A21" s="685" t="n"/>
      <c r="B21" s="218" t="n"/>
      <c r="C21" s="219" t="n"/>
      <c r="D21" s="220" t="n"/>
      <c r="E21" s="221" t="inlineStr">
        <is>
          <t>CX</t>
        </is>
      </c>
      <c r="F21" s="686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20">
        <f>IFERROR(ROUNDUP(D21/F21,0),"")</f>
        <v/>
      </c>
      <c r="H21" s="224" t="n"/>
      <c r="I21" s="22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552" t="n"/>
      <c r="K21" s="552" t="n"/>
      <c r="L21" s="552" t="n"/>
      <c r="M21" s="552" t="n"/>
    </row>
    <row r="22" ht="21" customHeight="1" s="468">
      <c r="A22" s="685" t="n"/>
      <c r="B22" s="218" t="n"/>
      <c r="C22" s="219" t="n"/>
      <c r="D22" s="220" t="n"/>
      <c r="E22" s="221" t="inlineStr">
        <is>
          <t>CX</t>
        </is>
      </c>
      <c r="F22" s="686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20">
        <f>IFERROR(ROUNDUP(D22/F22,0),"")</f>
        <v/>
      </c>
      <c r="H22" s="224" t="n"/>
      <c r="I22" s="220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552" t="n"/>
      <c r="K22" s="552" t="n"/>
      <c r="L22" s="552" t="n"/>
      <c r="M22" s="552" t="n"/>
    </row>
    <row r="23" ht="21" customHeight="1" s="468">
      <c r="A23" s="685" t="n"/>
      <c r="B23" s="218" t="n"/>
      <c r="C23" s="219" t="n"/>
      <c r="D23" s="220" t="n"/>
      <c r="E23" s="221" t="inlineStr">
        <is>
          <t>CX</t>
        </is>
      </c>
      <c r="F23" s="686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20">
        <f>IFERROR(ROUNDUP(D23/F23,0),"")</f>
        <v/>
      </c>
      <c r="H23" s="224" t="n"/>
      <c r="I23" s="220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52" t="n"/>
      <c r="K23" s="552" t="n"/>
      <c r="L23" s="552" t="n"/>
      <c r="M23" s="552" t="n"/>
    </row>
    <row r="24" ht="21" customHeight="1" s="468">
      <c r="A24" s="685" t="n"/>
      <c r="B24" s="218" t="n"/>
      <c r="C24" s="219" t="n"/>
      <c r="D24" s="220" t="n"/>
      <c r="E24" s="221" t="inlineStr">
        <is>
          <t>CX</t>
        </is>
      </c>
      <c r="F24" s="686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20">
        <f>IFERROR(ROUNDUP(D24/F24,0),"")</f>
        <v/>
      </c>
      <c r="H24" s="224" t="n"/>
      <c r="I24" s="220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552" t="n"/>
      <c r="K24" s="552" t="n"/>
      <c r="L24" s="552" t="n"/>
      <c r="M24" s="552" t="n"/>
    </row>
    <row r="25" ht="15" customHeight="1" s="468">
      <c r="A25" s="658" t="n"/>
      <c r="B25" s="640" t="inlineStr">
        <is>
          <t>TOTAL</t>
        </is>
      </c>
      <c r="C25" s="667" t="n"/>
      <c r="D25" s="642">
        <f>SUM(D20:D24)</f>
        <v/>
      </c>
      <c r="E25" s="668" t="n"/>
      <c r="F25" s="644" t="n"/>
      <c r="G25" s="642">
        <f>SUM(G20:G24)</f>
        <v/>
      </c>
      <c r="H25" s="642">
        <f>SUM(H20:H24)</f>
        <v/>
      </c>
      <c r="I25" s="642">
        <f>SUM(I20:I24)</f>
        <v/>
      </c>
      <c r="J25" s="644">
        <f>D25</f>
        <v/>
      </c>
      <c r="K25" s="644">
        <f>G25</f>
        <v/>
      </c>
      <c r="L25" s="644">
        <f>H25</f>
        <v/>
      </c>
      <c r="M25" s="644">
        <f>I25</f>
        <v/>
      </c>
    </row>
    <row r="26" ht="6" customHeight="1" s="468">
      <c r="A26" s="638" t="n"/>
      <c r="C26" s="71" t="n"/>
      <c r="D26" s="552" t="n"/>
      <c r="F26" s="552" t="n"/>
      <c r="G26" s="552" t="n"/>
      <c r="H26" s="552" t="n"/>
      <c r="I26" s="552" t="n"/>
      <c r="J26" s="552" t="n"/>
      <c r="K26" s="552" t="n"/>
      <c r="L26" s="552" t="n"/>
      <c r="M26" s="552" t="n"/>
    </row>
    <row r="27" ht="15" customHeight="1" s="468">
      <c r="A27" s="646" t="n">
        <v>46331</v>
      </c>
      <c r="B27" s="213" t="inlineStr">
        <is>
          <t>PRODUTO</t>
        </is>
      </c>
      <c r="C27" s="214" t="inlineStr">
        <is>
          <t>EMBALAGEM</t>
        </is>
      </c>
      <c r="D27" s="244" t="inlineStr">
        <is>
          <t>CAIXAS</t>
        </is>
      </c>
      <c r="E27" s="215" t="inlineStr">
        <is>
          <t>UN</t>
        </is>
      </c>
      <c r="F27" s="687" t="inlineStr">
        <is>
          <t>CX/PALLET</t>
        </is>
      </c>
      <c r="G27" s="244" t="inlineStr">
        <is>
          <t>PALLETS (PBR)</t>
        </is>
      </c>
      <c r="H27" s="244" t="inlineStr">
        <is>
          <t>REAL (CX)</t>
        </is>
      </c>
      <c r="I27" s="244" t="inlineStr">
        <is>
          <t>TOTAL LATAS</t>
        </is>
      </c>
      <c r="J27" s="552" t="n"/>
      <c r="K27" s="552" t="n"/>
      <c r="L27" s="552" t="n"/>
      <c r="M27" s="552" t="n"/>
    </row>
    <row r="28" ht="21" customHeight="1" s="468">
      <c r="A28" s="685" t="n"/>
      <c r="B28" s="218" t="n"/>
      <c r="C28" s="219" t="n"/>
      <c r="D28" s="220" t="n"/>
      <c r="E28" s="221" t="inlineStr">
        <is>
          <t>CX</t>
        </is>
      </c>
      <c r="F28" s="686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20">
        <f>IFERROR(ROUNDUP(D28/F28,0),"")</f>
        <v/>
      </c>
      <c r="H28" s="224" t="n"/>
      <c r="I28" s="220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552" t="n"/>
      <c r="K28" s="552" t="n"/>
      <c r="L28" s="552" t="n"/>
      <c r="M28" s="552" t="n"/>
    </row>
    <row r="29" ht="21" customHeight="1" s="468">
      <c r="A29" s="685" t="n"/>
      <c r="B29" s="218" t="n"/>
      <c r="C29" s="219" t="n"/>
      <c r="D29" s="220" t="n"/>
      <c r="E29" s="221" t="inlineStr">
        <is>
          <t>CX</t>
        </is>
      </c>
      <c r="F29" s="686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20">
        <f>IFERROR(ROUNDUP(D29/F29,0),"")</f>
        <v/>
      </c>
      <c r="H29" s="224" t="n"/>
      <c r="I29" s="220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52" t="n"/>
      <c r="K29" s="552" t="n"/>
      <c r="L29" s="552" t="n"/>
      <c r="M29" s="552" t="n"/>
    </row>
    <row r="30" ht="21" customHeight="1" s="468">
      <c r="A30" s="685" t="n"/>
      <c r="B30" s="218" t="n"/>
      <c r="C30" s="219" t="n"/>
      <c r="D30" s="220" t="n"/>
      <c r="E30" s="221" t="inlineStr">
        <is>
          <t>CX</t>
        </is>
      </c>
      <c r="F30" s="686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20">
        <f>IFERROR(ROUNDUP(D30/F30,0),"")</f>
        <v/>
      </c>
      <c r="H30" s="224" t="n"/>
      <c r="I30" s="220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552" t="n"/>
      <c r="K30" s="552" t="n"/>
      <c r="L30" s="552" t="n"/>
      <c r="M30" s="552" t="n"/>
    </row>
    <row r="31" ht="21" customHeight="1" s="468">
      <c r="A31" s="685" t="n"/>
      <c r="B31" s="218" t="n"/>
      <c r="C31" s="219" t="n"/>
      <c r="D31" s="220" t="n"/>
      <c r="E31" s="221" t="inlineStr">
        <is>
          <t>CX</t>
        </is>
      </c>
      <c r="F31" s="68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20">
        <f>IFERROR(ROUNDUP(D31/F31,0),"")</f>
        <v/>
      </c>
      <c r="H31" s="224" t="n"/>
      <c r="I31" s="220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552" t="n"/>
      <c r="K31" s="552" t="n"/>
      <c r="L31" s="552" t="n"/>
      <c r="M31" s="552" t="n"/>
    </row>
    <row r="32" ht="21" customHeight="1" s="468">
      <c r="A32" s="685" t="n"/>
      <c r="B32" s="218" t="n"/>
      <c r="C32" s="219" t="n"/>
      <c r="D32" s="220" t="n"/>
      <c r="E32" s="221" t="inlineStr">
        <is>
          <t>CX</t>
        </is>
      </c>
      <c r="F32" s="68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20">
        <f>IFERROR(ROUNDUP(D32/F32,0),"")</f>
        <v/>
      </c>
      <c r="H32" s="224" t="n"/>
      <c r="I32" s="220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552" t="n"/>
      <c r="K32" s="552" t="n"/>
      <c r="L32" s="552" t="n"/>
      <c r="M32" s="552" t="n"/>
    </row>
    <row r="33" ht="15" customHeight="1" s="468">
      <c r="A33" s="658" t="n"/>
      <c r="B33" s="640" t="inlineStr">
        <is>
          <t>TOTAL</t>
        </is>
      </c>
      <c r="C33" s="667" t="n"/>
      <c r="D33" s="642">
        <f>SUM(D28:D32)</f>
        <v/>
      </c>
      <c r="E33" s="668" t="n"/>
      <c r="F33" s="644" t="n"/>
      <c r="G33" s="642">
        <f>SUM(G28:G32)</f>
        <v/>
      </c>
      <c r="H33" s="642">
        <f>SUM(H28:H32)</f>
        <v/>
      </c>
      <c r="I33" s="642">
        <f>SUM(I28:I32)</f>
        <v/>
      </c>
      <c r="J33" s="644">
        <f>D33</f>
        <v/>
      </c>
      <c r="K33" s="644">
        <f>G33</f>
        <v/>
      </c>
      <c r="L33" s="644">
        <f>H33</f>
        <v/>
      </c>
      <c r="M33" s="644">
        <f>I33</f>
        <v/>
      </c>
    </row>
    <row r="34" ht="6" customHeight="1" s="468">
      <c r="A34" s="638" t="n"/>
      <c r="C34" s="71" t="n"/>
      <c r="D34" s="552" t="n"/>
      <c r="F34" s="552" t="n"/>
      <c r="G34" s="552" t="n"/>
      <c r="H34" s="552" t="n"/>
      <c r="I34" s="552" t="n"/>
      <c r="J34" s="552" t="n"/>
      <c r="K34" s="552" t="n"/>
      <c r="L34" s="552" t="n"/>
      <c r="M34" s="552" t="n"/>
    </row>
    <row r="35" ht="15" customHeight="1" s="468">
      <c r="A35" s="646" t="n">
        <v>46332</v>
      </c>
      <c r="B35" s="213" t="inlineStr">
        <is>
          <t>PRODUTO</t>
        </is>
      </c>
      <c r="C35" s="214" t="inlineStr">
        <is>
          <t>EMBALAGEM</t>
        </is>
      </c>
      <c r="D35" s="244" t="inlineStr">
        <is>
          <t>CAIXAS</t>
        </is>
      </c>
      <c r="E35" s="215" t="inlineStr">
        <is>
          <t>UN</t>
        </is>
      </c>
      <c r="F35" s="687" t="inlineStr">
        <is>
          <t>CX/PALLET</t>
        </is>
      </c>
      <c r="G35" s="244" t="inlineStr">
        <is>
          <t>PALLETS (PBR)</t>
        </is>
      </c>
      <c r="H35" s="244" t="inlineStr">
        <is>
          <t>REAL (CX)</t>
        </is>
      </c>
      <c r="I35" s="244" t="inlineStr">
        <is>
          <t>TOTAL LATAS</t>
        </is>
      </c>
      <c r="J35" s="552" t="n"/>
      <c r="K35" s="552" t="n"/>
      <c r="L35" s="552" t="n"/>
      <c r="M35" s="552" t="n"/>
    </row>
    <row r="36" ht="21" customHeight="1" s="468">
      <c r="A36" s="685" t="n"/>
      <c r="B36" s="218" t="n"/>
      <c r="C36" s="219" t="n"/>
      <c r="D36" s="220" t="n"/>
      <c r="E36" s="221" t="inlineStr">
        <is>
          <t>CX</t>
        </is>
      </c>
      <c r="F36" s="68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20">
        <f>IFERROR(ROUNDUP(D36/F36,0),"")</f>
        <v/>
      </c>
      <c r="H36" s="224" t="n"/>
      <c r="I36" s="220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552" t="n"/>
      <c r="K36" s="552" t="n"/>
      <c r="L36" s="552" t="n"/>
      <c r="M36" s="552" t="n"/>
    </row>
    <row r="37" ht="21" customHeight="1" s="468">
      <c r="A37" s="685" t="n"/>
      <c r="B37" s="218" t="n"/>
      <c r="C37" s="219" t="n"/>
      <c r="D37" s="220" t="n"/>
      <c r="E37" s="221" t="inlineStr">
        <is>
          <t>CX</t>
        </is>
      </c>
      <c r="F37" s="686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20">
        <f>IFERROR(ROUNDUP(D37/F37,0),"")</f>
        <v/>
      </c>
      <c r="H37" s="224" t="n"/>
      <c r="I37" s="220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552" t="n"/>
      <c r="K37" s="552" t="n"/>
      <c r="L37" s="552" t="n"/>
      <c r="M37" s="552" t="n"/>
    </row>
    <row r="38" ht="21" customHeight="1" s="468">
      <c r="A38" s="685" t="n"/>
      <c r="B38" s="218" t="n"/>
      <c r="C38" s="219" t="n"/>
      <c r="D38" s="220" t="n"/>
      <c r="E38" s="221" t="inlineStr">
        <is>
          <t>CX</t>
        </is>
      </c>
      <c r="F38" s="686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20">
        <f>IFERROR(ROUNDUP(D38/F38,0),"")</f>
        <v/>
      </c>
      <c r="H38" s="224" t="n"/>
      <c r="I38" s="220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552" t="n"/>
      <c r="K38" s="552" t="n"/>
      <c r="L38" s="552" t="n"/>
      <c r="M38" s="552" t="n"/>
    </row>
    <row r="39" ht="21" customHeight="1" s="468">
      <c r="A39" s="685" t="n"/>
      <c r="B39" s="218" t="n"/>
      <c r="C39" s="219" t="n"/>
      <c r="D39" s="220" t="n"/>
      <c r="E39" s="221" t="inlineStr">
        <is>
          <t>CX</t>
        </is>
      </c>
      <c r="F39" s="686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20">
        <f>IFERROR(ROUNDUP(D39/F39,0),"")</f>
        <v/>
      </c>
      <c r="H39" s="224" t="n"/>
      <c r="I39" s="220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52" t="n"/>
      <c r="K39" s="552" t="n"/>
      <c r="L39" s="552" t="n"/>
      <c r="M39" s="552" t="n"/>
    </row>
    <row r="40" ht="21" customHeight="1" s="468">
      <c r="A40" s="685" t="n"/>
      <c r="B40" s="218" t="n"/>
      <c r="C40" s="219" t="n"/>
      <c r="D40" s="220" t="n"/>
      <c r="E40" s="221" t="inlineStr">
        <is>
          <t>CX</t>
        </is>
      </c>
      <c r="F40" s="686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20">
        <f>IFERROR(ROUNDUP(D40/F40,0),"")</f>
        <v/>
      </c>
      <c r="H40" s="224" t="n"/>
      <c r="I40" s="220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552" t="n"/>
      <c r="K40" s="552" t="n"/>
      <c r="L40" s="552" t="n"/>
      <c r="M40" s="552" t="n"/>
    </row>
    <row r="41" ht="15" customHeight="1" s="468">
      <c r="A41" s="658" t="n"/>
      <c r="B41" s="640" t="inlineStr">
        <is>
          <t>TOTAL</t>
        </is>
      </c>
      <c r="C41" s="667" t="n"/>
      <c r="D41" s="642">
        <f>SUM(D36:D40)</f>
        <v/>
      </c>
      <c r="E41" s="668" t="n"/>
      <c r="F41" s="644" t="n"/>
      <c r="G41" s="642">
        <f>SUM(G36:G40)</f>
        <v/>
      </c>
      <c r="H41" s="642">
        <f>SUM(H36:H40)</f>
        <v/>
      </c>
      <c r="I41" s="642">
        <f>SUM(I36:I40)</f>
        <v/>
      </c>
      <c r="J41" s="644">
        <f>D41</f>
        <v/>
      </c>
      <c r="K41" s="644">
        <f>G41</f>
        <v/>
      </c>
      <c r="L41" s="644">
        <f>H41</f>
        <v/>
      </c>
      <c r="M41" s="644">
        <f>I41</f>
        <v/>
      </c>
    </row>
    <row r="42" ht="6" customHeight="1" s="468">
      <c r="A42" s="638" t="n"/>
      <c r="C42" s="71" t="n"/>
      <c r="D42" s="552" t="n"/>
      <c r="F42" s="552" t="n"/>
      <c r="G42" s="552" t="n"/>
      <c r="H42" s="552" t="n"/>
      <c r="I42" s="552" t="n"/>
      <c r="J42" s="552" t="n"/>
      <c r="K42" s="552" t="n"/>
      <c r="L42" s="552" t="n"/>
      <c r="M42" s="552" t="n"/>
    </row>
    <row r="43" ht="15" customHeight="1" s="468">
      <c r="A43" s="696" t="n">
        <v>46333</v>
      </c>
      <c r="B43" s="213" t="inlineStr">
        <is>
          <t>PRODUTO</t>
        </is>
      </c>
      <c r="C43" s="214" t="inlineStr">
        <is>
          <t>EMBALAGEM</t>
        </is>
      </c>
      <c r="D43" s="244" t="inlineStr">
        <is>
          <t>CAIXAS</t>
        </is>
      </c>
      <c r="E43" s="215" t="inlineStr">
        <is>
          <t>UN</t>
        </is>
      </c>
      <c r="F43" s="697" t="inlineStr">
        <is>
          <t>CX/PALLET</t>
        </is>
      </c>
      <c r="G43" s="244" t="inlineStr">
        <is>
          <t>PALLETS (PBR)</t>
        </is>
      </c>
      <c r="H43" s="244" t="inlineStr">
        <is>
          <t>REAL (CX)</t>
        </is>
      </c>
      <c r="I43" s="244" t="inlineStr">
        <is>
          <t>TOTAL LATAS</t>
        </is>
      </c>
      <c r="J43" s="274" t="n"/>
      <c r="K43" s="274" t="n"/>
      <c r="L43" s="274" t="n"/>
      <c r="M43" s="274" t="n"/>
    </row>
    <row r="44" ht="21" customHeight="1" s="468">
      <c r="A44" s="685" t="n"/>
      <c r="B44" s="266" t="n"/>
      <c r="C44" s="267" t="n"/>
      <c r="D44" s="268" t="n"/>
      <c r="E44" s="269" t="inlineStr">
        <is>
          <t>CX</t>
        </is>
      </c>
      <c r="F44" s="698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68">
        <f>IFERROR(ROUNDUP(D44/F44,0),"")</f>
        <v/>
      </c>
      <c r="H44" s="224" t="n"/>
      <c r="I44" s="268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274" t="n"/>
      <c r="K44" s="274" t="n"/>
      <c r="L44" s="274" t="n"/>
      <c r="M44" s="274" t="n"/>
    </row>
    <row r="45" ht="21" customHeight="1" s="468">
      <c r="A45" s="685" t="n"/>
      <c r="B45" s="266" t="n"/>
      <c r="C45" s="267" t="n"/>
      <c r="D45" s="268" t="n"/>
      <c r="E45" s="269" t="inlineStr">
        <is>
          <t>CX</t>
        </is>
      </c>
      <c r="F45" s="698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68">
        <f>IFERROR(ROUNDUP(D45/F45,0),"")</f>
        <v/>
      </c>
      <c r="H45" s="224" t="n"/>
      <c r="I45" s="268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274" t="n"/>
      <c r="K45" s="274" t="n"/>
      <c r="L45" s="274" t="n"/>
      <c r="M45" s="274" t="n"/>
    </row>
    <row r="46" ht="21" customHeight="1" s="468">
      <c r="A46" s="685" t="n"/>
      <c r="B46" s="266" t="n"/>
      <c r="C46" s="267" t="n"/>
      <c r="D46" s="268" t="n"/>
      <c r="E46" s="269" t="inlineStr">
        <is>
          <t>CX</t>
        </is>
      </c>
      <c r="F46" s="698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68">
        <f>IFERROR(ROUNDUP(D46/F46,0),"")</f>
        <v/>
      </c>
      <c r="H46" s="224" t="n"/>
      <c r="I46" s="268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274" t="n"/>
      <c r="K46" s="274" t="n"/>
      <c r="L46" s="274" t="n"/>
      <c r="M46" s="274" t="n"/>
    </row>
    <row r="47" ht="21" customHeight="1" s="468">
      <c r="A47" s="685" t="n"/>
      <c r="B47" s="266" t="n"/>
      <c r="C47" s="267" t="n"/>
      <c r="D47" s="268" t="n"/>
      <c r="E47" s="269" t="inlineStr">
        <is>
          <t>CX</t>
        </is>
      </c>
      <c r="F47" s="698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68">
        <f>IFERROR(ROUNDUP(D47/F47,0),"")</f>
        <v/>
      </c>
      <c r="H47" s="224" t="n"/>
      <c r="I47" s="268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274" t="n"/>
      <c r="K47" s="274" t="n"/>
      <c r="L47" s="274" t="n"/>
      <c r="M47" s="274" t="n"/>
    </row>
    <row r="48" ht="21" customHeight="1" s="468">
      <c r="A48" s="685" t="n"/>
      <c r="B48" s="266" t="n"/>
      <c r="C48" s="267" t="n"/>
      <c r="D48" s="268" t="n"/>
      <c r="E48" s="269" t="inlineStr">
        <is>
          <t>CX</t>
        </is>
      </c>
      <c r="F48" s="698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68">
        <f>IFERROR(ROUNDUP(D48/F48,0),"")</f>
        <v/>
      </c>
      <c r="H48" s="224" t="n"/>
      <c r="I48" s="268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274" t="n"/>
      <c r="K48" s="274" t="n"/>
      <c r="L48" s="274" t="n"/>
      <c r="M48" s="274" t="n"/>
    </row>
    <row r="49" ht="15" customHeight="1" s="468">
      <c r="A49" s="658" t="n"/>
      <c r="B49" s="640" t="inlineStr">
        <is>
          <t>TOTAL</t>
        </is>
      </c>
      <c r="C49" s="667" t="n"/>
      <c r="D49" s="642">
        <f>SUM(D44:D48)</f>
        <v/>
      </c>
      <c r="E49" s="668" t="n"/>
      <c r="F49" s="644" t="n"/>
      <c r="G49" s="642">
        <f>SUM(G44:G48)</f>
        <v/>
      </c>
      <c r="H49" s="642">
        <f>SUM(H44:H48)</f>
        <v/>
      </c>
      <c r="I49" s="642">
        <f>SUM(I44:I48)</f>
        <v/>
      </c>
      <c r="J49" s="644">
        <f>D49</f>
        <v/>
      </c>
      <c r="K49" s="644">
        <f>G49</f>
        <v/>
      </c>
      <c r="L49" s="644">
        <f>H49</f>
        <v/>
      </c>
      <c r="M49" s="644">
        <f>I49</f>
        <v/>
      </c>
    </row>
    <row r="50" ht="6" customHeight="1" s="468">
      <c r="A50" s="699" t="n"/>
      <c r="B50" s="265" t="n"/>
      <c r="C50" s="276" t="n"/>
      <c r="D50" s="274" t="n"/>
      <c r="E50" s="265" t="n"/>
      <c r="F50" s="274" t="n"/>
      <c r="G50" s="274" t="n"/>
      <c r="H50" s="274" t="n"/>
      <c r="I50" s="274" t="n"/>
      <c r="J50" s="274" t="n"/>
      <c r="K50" s="274" t="n"/>
      <c r="L50" s="274" t="n"/>
      <c r="M50" s="274" t="n"/>
    </row>
    <row r="51" ht="15" customHeight="1" s="468">
      <c r="A51" s="646" t="n">
        <v>46335</v>
      </c>
      <c r="B51" s="213" t="inlineStr">
        <is>
          <t>PRODUTO</t>
        </is>
      </c>
      <c r="C51" s="214" t="inlineStr">
        <is>
          <t>EMBALAGEM</t>
        </is>
      </c>
      <c r="D51" s="244" t="inlineStr">
        <is>
          <t>CAIXAS</t>
        </is>
      </c>
      <c r="E51" s="215" t="inlineStr">
        <is>
          <t>UN</t>
        </is>
      </c>
      <c r="F51" s="687" t="inlineStr">
        <is>
          <t>CX/PALLET</t>
        </is>
      </c>
      <c r="G51" s="244" t="inlineStr">
        <is>
          <t>PALLETS (PBR)</t>
        </is>
      </c>
      <c r="H51" s="244" t="inlineStr">
        <is>
          <t>REAL (CX)</t>
        </is>
      </c>
      <c r="I51" s="244" t="inlineStr">
        <is>
          <t>TOTAL LATAS</t>
        </is>
      </c>
      <c r="J51" s="552" t="n"/>
      <c r="K51" s="552" t="n"/>
      <c r="L51" s="552" t="n"/>
      <c r="M51" s="552" t="n"/>
    </row>
    <row r="52" ht="21" customHeight="1" s="468">
      <c r="A52" s="685" t="n"/>
      <c r="B52" s="218" t="n"/>
      <c r="C52" s="219" t="n"/>
      <c r="D52" s="220" t="n"/>
      <c r="E52" s="221" t="inlineStr">
        <is>
          <t>CX</t>
        </is>
      </c>
      <c r="F52" s="686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20">
        <f>IFERROR(ROUNDUP(D52/F52,0),"")</f>
        <v/>
      </c>
      <c r="H52" s="224" t="n"/>
      <c r="I52" s="220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552" t="n"/>
      <c r="K52" s="552" t="n"/>
      <c r="L52" s="552" t="n"/>
      <c r="M52" s="552" t="n"/>
    </row>
    <row r="53" ht="21" customHeight="1" s="468">
      <c r="A53" s="685" t="n"/>
      <c r="B53" s="218" t="n"/>
      <c r="C53" s="219" t="n"/>
      <c r="D53" s="220" t="n"/>
      <c r="E53" s="221" t="inlineStr">
        <is>
          <t>CX</t>
        </is>
      </c>
      <c r="F53" s="68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20">
        <f>IFERROR(ROUNDUP(D53/F53,0),"")</f>
        <v/>
      </c>
      <c r="H53" s="224" t="n"/>
      <c r="I53" s="220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552" t="n"/>
      <c r="K53" s="552" t="n"/>
      <c r="L53" s="552" t="n"/>
      <c r="M53" s="552" t="n"/>
    </row>
    <row r="54" ht="21" customHeight="1" s="468">
      <c r="A54" s="685" t="n"/>
      <c r="B54" s="218" t="n"/>
      <c r="C54" s="219" t="n"/>
      <c r="D54" s="220" t="n"/>
      <c r="E54" s="221" t="inlineStr">
        <is>
          <t>CX</t>
        </is>
      </c>
      <c r="F54" s="686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20">
        <f>IFERROR(ROUNDUP(D54/F54,0),"")</f>
        <v/>
      </c>
      <c r="H54" s="224" t="n"/>
      <c r="I54" s="220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552" t="n"/>
      <c r="K54" s="552" t="n"/>
      <c r="L54" s="552" t="n"/>
      <c r="M54" s="552" t="n"/>
    </row>
    <row r="55" ht="21" customHeight="1" s="468">
      <c r="A55" s="685" t="n"/>
      <c r="B55" s="218" t="n"/>
      <c r="C55" s="219" t="n"/>
      <c r="D55" s="220" t="n"/>
      <c r="E55" s="221" t="inlineStr">
        <is>
          <t>CX</t>
        </is>
      </c>
      <c r="F55" s="68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20">
        <f>IFERROR(ROUNDUP(D55/F55,0),"")</f>
        <v/>
      </c>
      <c r="H55" s="224" t="n"/>
      <c r="I55" s="220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552" t="n"/>
      <c r="K55" s="552" t="n"/>
      <c r="L55" s="552" t="n"/>
      <c r="M55" s="552" t="n"/>
    </row>
    <row r="56" ht="21" customHeight="1" s="468">
      <c r="A56" s="685" t="n"/>
      <c r="B56" s="218" t="n"/>
      <c r="C56" s="219" t="n"/>
      <c r="D56" s="220" t="n"/>
      <c r="E56" s="221" t="inlineStr">
        <is>
          <t>CX</t>
        </is>
      </c>
      <c r="F56" s="686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20">
        <f>IFERROR(ROUNDUP(D56/F56,0),"")</f>
        <v/>
      </c>
      <c r="H56" s="224" t="n"/>
      <c r="I56" s="220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552" t="n"/>
      <c r="K56" s="552" t="n"/>
      <c r="L56" s="552" t="n"/>
      <c r="M56" s="552" t="n"/>
    </row>
    <row r="57" ht="15" customHeight="1" s="468">
      <c r="A57" s="658" t="n"/>
      <c r="B57" s="640" t="inlineStr">
        <is>
          <t>TOTAL</t>
        </is>
      </c>
      <c r="C57" s="667" t="n"/>
      <c r="D57" s="642">
        <f>SUM(D52:D56)</f>
        <v/>
      </c>
      <c r="E57" s="668" t="n"/>
      <c r="F57" s="644" t="n"/>
      <c r="G57" s="642">
        <f>SUM(G52:G56)</f>
        <v/>
      </c>
      <c r="H57" s="642">
        <f>SUM(H52:H56)</f>
        <v/>
      </c>
      <c r="I57" s="642">
        <f>SUM(I52:I56)</f>
        <v/>
      </c>
      <c r="J57" s="644">
        <f>D57</f>
        <v/>
      </c>
      <c r="K57" s="644">
        <f>G57</f>
        <v/>
      </c>
      <c r="L57" s="644">
        <f>H57</f>
        <v/>
      </c>
      <c r="M57" s="644">
        <f>I57</f>
        <v/>
      </c>
    </row>
    <row r="58" ht="6" customHeight="1" s="468">
      <c r="A58" s="638" t="n"/>
      <c r="C58" s="71" t="n"/>
      <c r="D58" s="552" t="n"/>
      <c r="F58" s="552" t="n"/>
      <c r="G58" s="552" t="n"/>
      <c r="H58" s="552" t="n"/>
      <c r="I58" s="552" t="n"/>
      <c r="J58" s="552" t="n"/>
      <c r="K58" s="552" t="n"/>
      <c r="L58" s="552" t="n"/>
      <c r="M58" s="552" t="n"/>
    </row>
    <row r="59" ht="15" customHeight="1" s="468">
      <c r="A59" s="646" t="n">
        <v>46336</v>
      </c>
      <c r="B59" s="213" t="inlineStr">
        <is>
          <t>PRODUTO</t>
        </is>
      </c>
      <c r="C59" s="214" t="inlineStr">
        <is>
          <t>EMBALAGEM</t>
        </is>
      </c>
      <c r="D59" s="244" t="inlineStr">
        <is>
          <t>CAIXAS</t>
        </is>
      </c>
      <c r="E59" s="215" t="inlineStr">
        <is>
          <t>UN</t>
        </is>
      </c>
      <c r="F59" s="687" t="inlineStr">
        <is>
          <t>CX/PALLET</t>
        </is>
      </c>
      <c r="G59" s="244" t="inlineStr">
        <is>
          <t>PALLETS (PBR)</t>
        </is>
      </c>
      <c r="H59" s="244" t="inlineStr">
        <is>
          <t>REAL (CX)</t>
        </is>
      </c>
      <c r="I59" s="244" t="inlineStr">
        <is>
          <t>TOTAL LATAS</t>
        </is>
      </c>
      <c r="J59" s="552" t="n"/>
      <c r="K59" s="552" t="n"/>
      <c r="L59" s="552" t="n"/>
      <c r="M59" s="552" t="n"/>
    </row>
    <row r="60" ht="21" customHeight="1" s="468">
      <c r="A60" s="685" t="n"/>
      <c r="B60" s="218" t="n"/>
      <c r="C60" s="219" t="n"/>
      <c r="D60" s="220" t="n"/>
      <c r="E60" s="221" t="inlineStr">
        <is>
          <t>CX</t>
        </is>
      </c>
      <c r="F60" s="68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20">
        <f>IFERROR(ROUNDUP(D60/F60,0),"")</f>
        <v/>
      </c>
      <c r="H60" s="224" t="n"/>
      <c r="I60" s="220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  <c r="J60" s="552" t="n"/>
      <c r="K60" s="552" t="n"/>
      <c r="L60" s="552" t="n"/>
      <c r="M60" s="552" t="n"/>
    </row>
    <row r="61" ht="21" customHeight="1" s="468">
      <c r="A61" s="685" t="n"/>
      <c r="B61" s="218" t="n"/>
      <c r="C61" s="219" t="n"/>
      <c r="D61" s="220" t="n"/>
      <c r="E61" s="221" t="inlineStr">
        <is>
          <t>CX</t>
        </is>
      </c>
      <c r="F61" s="68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20">
        <f>IFERROR(ROUNDUP(D61/F61,0),"")</f>
        <v/>
      </c>
      <c r="H61" s="224" t="n"/>
      <c r="I61" s="220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552" t="n"/>
      <c r="K61" s="552" t="n"/>
      <c r="L61" s="552" t="n"/>
      <c r="M61" s="552" t="n"/>
    </row>
    <row r="62" ht="21" customHeight="1" s="468">
      <c r="A62" s="685" t="n"/>
      <c r="B62" s="218" t="n"/>
      <c r="C62" s="219" t="n"/>
      <c r="D62" s="220" t="n"/>
      <c r="E62" s="221" t="inlineStr">
        <is>
          <t>CX</t>
        </is>
      </c>
      <c r="F62" s="686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20">
        <f>IFERROR(ROUNDUP(D62/F62,0),"")</f>
        <v/>
      </c>
      <c r="H62" s="224" t="n"/>
      <c r="I62" s="220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 t="n"/>
      <c r="K62" s="552" t="n"/>
      <c r="L62" s="552" t="n"/>
      <c r="M62" s="552" t="n"/>
    </row>
    <row r="63" ht="21" customHeight="1" s="468">
      <c r="A63" s="685" t="n"/>
      <c r="B63" s="218" t="n"/>
      <c r="C63" s="219" t="n"/>
      <c r="D63" s="220" t="n"/>
      <c r="E63" s="221" t="inlineStr">
        <is>
          <t>CX</t>
        </is>
      </c>
      <c r="F63" s="68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20">
        <f>IFERROR(ROUNDUP(D63/F63,0),"")</f>
        <v/>
      </c>
      <c r="H63" s="224" t="n"/>
      <c r="I63" s="220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552" t="n"/>
      <c r="K63" s="552" t="n"/>
      <c r="L63" s="552" t="n"/>
      <c r="M63" s="552" t="n"/>
    </row>
    <row r="64" ht="21" customHeight="1" s="468">
      <c r="A64" s="685" t="n"/>
      <c r="B64" s="218" t="n"/>
      <c r="C64" s="219" t="n"/>
      <c r="D64" s="220" t="n"/>
      <c r="E64" s="221" t="inlineStr">
        <is>
          <t>CX</t>
        </is>
      </c>
      <c r="F64" s="686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20">
        <f>IFERROR(ROUNDUP(D64/F64,0),"")</f>
        <v/>
      </c>
      <c r="H64" s="224" t="n"/>
      <c r="I64" s="220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  <c r="J64" s="552" t="n"/>
      <c r="K64" s="552" t="n"/>
      <c r="L64" s="552" t="n"/>
      <c r="M64" s="552" t="n"/>
    </row>
    <row r="65" ht="15" customHeight="1" s="468">
      <c r="A65" s="658" t="n"/>
      <c r="B65" s="640" t="inlineStr">
        <is>
          <t>TOTAL</t>
        </is>
      </c>
      <c r="C65" s="667" t="n"/>
      <c r="D65" s="642">
        <f>SUM(D60:D64)</f>
        <v/>
      </c>
      <c r="E65" s="668" t="n"/>
      <c r="F65" s="644" t="n"/>
      <c r="G65" s="642">
        <f>SUM(G60:G64)</f>
        <v/>
      </c>
      <c r="H65" s="642">
        <f>SUM(H60:H64)</f>
        <v/>
      </c>
      <c r="I65" s="642">
        <f>SUM(I60:I64)</f>
        <v/>
      </c>
      <c r="J65" s="644">
        <f>D65</f>
        <v/>
      </c>
      <c r="K65" s="644">
        <f>G65</f>
        <v/>
      </c>
      <c r="L65" s="644">
        <f>H65</f>
        <v/>
      </c>
      <c r="M65" s="644">
        <f>I65</f>
        <v/>
      </c>
    </row>
    <row r="66" ht="6" customHeight="1" s="468">
      <c r="A66" s="638" t="n"/>
      <c r="C66" s="71" t="n"/>
      <c r="D66" s="552" t="n"/>
      <c r="F66" s="552" t="n"/>
      <c r="G66" s="552" t="n"/>
      <c r="H66" s="552" t="n"/>
      <c r="I66" s="552" t="n"/>
      <c r="J66" s="552" t="n"/>
      <c r="K66" s="552" t="n"/>
      <c r="L66" s="552" t="n"/>
      <c r="M66" s="552" t="n"/>
    </row>
    <row r="67" ht="15" customHeight="1" s="468">
      <c r="A67" s="646" t="n">
        <v>46337</v>
      </c>
      <c r="B67" s="213" t="inlineStr">
        <is>
          <t>PRODUTO</t>
        </is>
      </c>
      <c r="C67" s="214" t="inlineStr">
        <is>
          <t>EMBALAGEM</t>
        </is>
      </c>
      <c r="D67" s="244" t="inlineStr">
        <is>
          <t>CAIXAS</t>
        </is>
      </c>
      <c r="E67" s="215" t="inlineStr">
        <is>
          <t>UN</t>
        </is>
      </c>
      <c r="F67" s="687" t="inlineStr">
        <is>
          <t>CX/PALLET</t>
        </is>
      </c>
      <c r="G67" s="244" t="inlineStr">
        <is>
          <t>PALLETS (PBR)</t>
        </is>
      </c>
      <c r="H67" s="244" t="inlineStr">
        <is>
          <t>REAL (CX)</t>
        </is>
      </c>
      <c r="I67" s="244" t="inlineStr">
        <is>
          <t>TOTAL LATAS</t>
        </is>
      </c>
      <c r="J67" s="552" t="n"/>
      <c r="K67" s="552" t="n"/>
      <c r="L67" s="552" t="n"/>
      <c r="M67" s="552" t="n"/>
    </row>
    <row r="68" ht="21" customHeight="1" s="468">
      <c r="A68" s="685" t="n"/>
      <c r="B68" s="218" t="n"/>
      <c r="C68" s="219" t="n"/>
      <c r="D68" s="220" t="n"/>
      <c r="E68" s="221" t="inlineStr">
        <is>
          <t>CX</t>
        </is>
      </c>
      <c r="F68" s="686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20">
        <f>IFERROR(ROUNDUP(D68/F68,0),"")</f>
        <v/>
      </c>
      <c r="H68" s="224" t="n"/>
      <c r="I68" s="220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552" t="n"/>
      <c r="K68" s="552" t="n"/>
      <c r="L68" s="552" t="n"/>
      <c r="M68" s="552" t="n"/>
    </row>
    <row r="69" ht="21" customHeight="1" s="468">
      <c r="A69" s="685" t="n"/>
      <c r="B69" s="218" t="n"/>
      <c r="C69" s="219" t="n"/>
      <c r="D69" s="220" t="n"/>
      <c r="E69" s="221" t="inlineStr">
        <is>
          <t>CX</t>
        </is>
      </c>
      <c r="F69" s="68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20">
        <f>IFERROR(ROUNDUP(D69/F69,0),"")</f>
        <v/>
      </c>
      <c r="H69" s="224" t="n"/>
      <c r="I69" s="220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552" t="n"/>
      <c r="K69" s="552" t="n"/>
      <c r="L69" s="552" t="n"/>
      <c r="M69" s="552" t="n"/>
    </row>
    <row r="70" ht="21" customHeight="1" s="468">
      <c r="A70" s="685" t="n"/>
      <c r="B70" s="218" t="n"/>
      <c r="C70" s="219" t="n"/>
      <c r="D70" s="220" t="n"/>
      <c r="E70" s="221" t="inlineStr">
        <is>
          <t>CX</t>
        </is>
      </c>
      <c r="F70" s="686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20">
        <f>IFERROR(ROUNDUP(D70/F70,0),"")</f>
        <v/>
      </c>
      <c r="H70" s="224" t="n"/>
      <c r="I70" s="22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552" t="n"/>
      <c r="K70" s="552" t="n"/>
      <c r="L70" s="552" t="n"/>
      <c r="M70" s="552" t="n"/>
    </row>
    <row r="71" ht="21" customHeight="1" s="468">
      <c r="A71" s="685" t="n"/>
      <c r="B71" s="218" t="n"/>
      <c r="C71" s="219" t="n"/>
      <c r="D71" s="220" t="n"/>
      <c r="E71" s="221" t="inlineStr">
        <is>
          <t>CX</t>
        </is>
      </c>
      <c r="F71" s="686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20">
        <f>IFERROR(ROUNDUP(D71/F71,0),"")</f>
        <v/>
      </c>
      <c r="H71" s="224" t="n"/>
      <c r="I71" s="220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552" t="n"/>
      <c r="K71" s="552" t="n"/>
      <c r="L71" s="552" t="n"/>
      <c r="M71" s="552" t="n"/>
    </row>
    <row r="72" ht="21" customHeight="1" s="468">
      <c r="A72" s="685" t="n"/>
      <c r="B72" s="218" t="n"/>
      <c r="C72" s="219" t="n"/>
      <c r="D72" s="220" t="n"/>
      <c r="E72" s="221" t="inlineStr">
        <is>
          <t>CX</t>
        </is>
      </c>
      <c r="F72" s="686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20">
        <f>IFERROR(ROUNDUP(D72/F72,0),"")</f>
        <v/>
      </c>
      <c r="H72" s="224" t="n"/>
      <c r="I72" s="220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552" t="n"/>
      <c r="K72" s="552" t="n"/>
      <c r="L72" s="552" t="n"/>
      <c r="M72" s="552" t="n"/>
    </row>
    <row r="73" ht="15" customHeight="1" s="468">
      <c r="A73" s="658" t="n"/>
      <c r="B73" s="640" t="inlineStr">
        <is>
          <t>TOTAL</t>
        </is>
      </c>
      <c r="C73" s="667" t="n"/>
      <c r="D73" s="642">
        <f>SUM(D68:D72)</f>
        <v/>
      </c>
      <c r="E73" s="668" t="n"/>
      <c r="F73" s="644" t="n"/>
      <c r="G73" s="642">
        <f>SUM(G68:G72)</f>
        <v/>
      </c>
      <c r="H73" s="642">
        <f>SUM(H68:H72)</f>
        <v/>
      </c>
      <c r="I73" s="642">
        <f>SUM(I68:I72)</f>
        <v/>
      </c>
      <c r="J73" s="644">
        <f>D73</f>
        <v/>
      </c>
      <c r="K73" s="644">
        <f>G73</f>
        <v/>
      </c>
      <c r="L73" s="644">
        <f>H73</f>
        <v/>
      </c>
      <c r="M73" s="644">
        <f>I73</f>
        <v/>
      </c>
    </row>
    <row r="74" ht="6" customHeight="1" s="468">
      <c r="A74" s="638" t="n"/>
      <c r="C74" s="71" t="n"/>
      <c r="D74" s="552" t="n"/>
      <c r="F74" s="552" t="n"/>
      <c r="G74" s="552" t="n"/>
      <c r="H74" s="552" t="n"/>
      <c r="I74" s="552" t="n"/>
      <c r="J74" s="552" t="n"/>
      <c r="K74" s="552" t="n"/>
      <c r="L74" s="552" t="n"/>
      <c r="M74" s="552" t="n"/>
    </row>
    <row r="75" ht="15" customHeight="1" s="468">
      <c r="A75" s="646" t="n">
        <v>46338</v>
      </c>
      <c r="B75" s="213" t="inlineStr">
        <is>
          <t>PRODUTO</t>
        </is>
      </c>
      <c r="C75" s="214" t="inlineStr">
        <is>
          <t>EMBALAGEM</t>
        </is>
      </c>
      <c r="D75" s="244" t="inlineStr">
        <is>
          <t>CAIXAS</t>
        </is>
      </c>
      <c r="E75" s="215" t="inlineStr">
        <is>
          <t>UN</t>
        </is>
      </c>
      <c r="F75" s="687" t="inlineStr">
        <is>
          <t>CX/PALLET</t>
        </is>
      </c>
      <c r="G75" s="244" t="inlineStr">
        <is>
          <t>PALLETS (PBR)</t>
        </is>
      </c>
      <c r="H75" s="244" t="inlineStr">
        <is>
          <t>REAL (CX)</t>
        </is>
      </c>
      <c r="I75" s="244" t="inlineStr">
        <is>
          <t>TOTAL LATAS</t>
        </is>
      </c>
      <c r="J75" s="552" t="n"/>
      <c r="K75" s="552" t="n"/>
      <c r="L75" s="552" t="n"/>
      <c r="M75" s="552" t="n"/>
    </row>
    <row r="76" ht="21" customHeight="1" s="468">
      <c r="A76" s="685" t="n"/>
      <c r="B76" s="218" t="n"/>
      <c r="C76" s="219" t="n"/>
      <c r="D76" s="220" t="n"/>
      <c r="E76" s="221" t="inlineStr">
        <is>
          <t>CX</t>
        </is>
      </c>
      <c r="F76" s="68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20">
        <f>IFERROR(ROUNDUP(D76/F76,0),"")</f>
        <v/>
      </c>
      <c r="H76" s="224" t="n"/>
      <c r="I76" s="220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552" t="n"/>
      <c r="K76" s="552" t="n"/>
      <c r="L76" s="552" t="n"/>
      <c r="M76" s="552" t="n"/>
    </row>
    <row r="77" ht="21" customHeight="1" s="468">
      <c r="A77" s="685" t="n"/>
      <c r="B77" s="218" t="n"/>
      <c r="C77" s="219" t="n"/>
      <c r="D77" s="220" t="n"/>
      <c r="E77" s="221" t="inlineStr">
        <is>
          <t>CX</t>
        </is>
      </c>
      <c r="F77" s="68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20">
        <f>IFERROR(ROUNDUP(D77/F77,0),"")</f>
        <v/>
      </c>
      <c r="H77" s="224" t="n"/>
      <c r="I77" s="220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552" t="n"/>
      <c r="K77" s="552" t="n"/>
      <c r="L77" s="552" t="n"/>
      <c r="M77" s="552" t="n"/>
    </row>
    <row r="78" ht="21" customHeight="1" s="468">
      <c r="A78" s="685" t="n"/>
      <c r="B78" s="218" t="n"/>
      <c r="C78" s="219" t="n"/>
      <c r="D78" s="220" t="n"/>
      <c r="E78" s="221" t="inlineStr">
        <is>
          <t>CX</t>
        </is>
      </c>
      <c r="F78" s="686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20">
        <f>IFERROR(ROUNDUP(D78/F78,0),"")</f>
        <v/>
      </c>
      <c r="H78" s="224" t="n"/>
      <c r="I78" s="220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552" t="n"/>
      <c r="K78" s="552" t="n"/>
      <c r="L78" s="552" t="n"/>
      <c r="M78" s="552" t="n"/>
    </row>
    <row r="79" ht="21" customHeight="1" s="468">
      <c r="A79" s="685" t="n"/>
      <c r="B79" s="218" t="n"/>
      <c r="C79" s="219" t="n"/>
      <c r="D79" s="220" t="n"/>
      <c r="E79" s="221" t="inlineStr">
        <is>
          <t>CX</t>
        </is>
      </c>
      <c r="F79" s="686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20">
        <f>IFERROR(ROUNDUP(D79/F79,0),"")</f>
        <v/>
      </c>
      <c r="H79" s="224" t="n"/>
      <c r="I79" s="220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552" t="n"/>
      <c r="K79" s="552" t="n"/>
      <c r="L79" s="552" t="n"/>
      <c r="M79" s="552" t="n"/>
    </row>
    <row r="80" ht="21" customHeight="1" s="468">
      <c r="A80" s="685" t="n"/>
      <c r="B80" s="218" t="n"/>
      <c r="C80" s="219" t="n"/>
      <c r="D80" s="220" t="n"/>
      <c r="E80" s="221" t="inlineStr">
        <is>
          <t>CX</t>
        </is>
      </c>
      <c r="F80" s="686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20">
        <f>IFERROR(ROUNDUP(D80/F80,0),"")</f>
        <v/>
      </c>
      <c r="H80" s="224" t="n"/>
      <c r="I80" s="220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552" t="n"/>
      <c r="K80" s="552" t="n"/>
      <c r="L80" s="552" t="n"/>
      <c r="M80" s="552" t="n"/>
    </row>
    <row r="81" ht="15" customHeight="1" s="468">
      <c r="A81" s="658" t="n"/>
      <c r="B81" s="640" t="inlineStr">
        <is>
          <t>TOTAL</t>
        </is>
      </c>
      <c r="C81" s="667" t="n"/>
      <c r="D81" s="642">
        <f>SUM(D76:D80)</f>
        <v/>
      </c>
      <c r="E81" s="668" t="n"/>
      <c r="F81" s="644" t="n"/>
      <c r="G81" s="642">
        <f>SUM(G76:G80)</f>
        <v/>
      </c>
      <c r="H81" s="642">
        <f>SUM(H76:H80)</f>
        <v/>
      </c>
      <c r="I81" s="642">
        <f>SUM(I76:I80)</f>
        <v/>
      </c>
      <c r="J81" s="644">
        <f>D81</f>
        <v/>
      </c>
      <c r="K81" s="644">
        <f>G81</f>
        <v/>
      </c>
      <c r="L81" s="644">
        <f>H81</f>
        <v/>
      </c>
      <c r="M81" s="644">
        <f>I81</f>
        <v/>
      </c>
    </row>
    <row r="82" ht="6" customHeight="1" s="468">
      <c r="A82" s="638" t="n"/>
      <c r="C82" s="71" t="n"/>
      <c r="D82" s="552" t="n"/>
      <c r="F82" s="552" t="n"/>
      <c r="G82" s="552" t="n"/>
      <c r="H82" s="552" t="n"/>
      <c r="I82" s="552" t="n"/>
      <c r="J82" s="552" t="n"/>
      <c r="K82" s="552" t="n"/>
      <c r="L82" s="552" t="n"/>
      <c r="M82" s="552" t="n"/>
    </row>
    <row r="83" ht="15" customHeight="1" s="468">
      <c r="A83" s="646" t="n">
        <v>46339</v>
      </c>
      <c r="B83" s="213" t="inlineStr">
        <is>
          <t>PRODUTO</t>
        </is>
      </c>
      <c r="C83" s="214" t="inlineStr">
        <is>
          <t>EMBALAGEM</t>
        </is>
      </c>
      <c r="D83" s="244" t="inlineStr">
        <is>
          <t>CAIXAS</t>
        </is>
      </c>
      <c r="E83" s="215" t="inlineStr">
        <is>
          <t>UN</t>
        </is>
      </c>
      <c r="F83" s="687" t="inlineStr">
        <is>
          <t>CX/PALLET</t>
        </is>
      </c>
      <c r="G83" s="244" t="inlineStr">
        <is>
          <t>PALLETS (PBR)</t>
        </is>
      </c>
      <c r="H83" s="244" t="inlineStr">
        <is>
          <t>REAL (CX)</t>
        </is>
      </c>
      <c r="I83" s="244" t="inlineStr">
        <is>
          <t>TOTAL LATAS</t>
        </is>
      </c>
      <c r="J83" s="552" t="n"/>
      <c r="K83" s="552" t="n"/>
      <c r="L83" s="552" t="n"/>
      <c r="M83" s="552" t="n"/>
    </row>
    <row r="84" ht="21" customHeight="1" s="468">
      <c r="A84" s="685" t="n"/>
      <c r="B84" s="218" t="n"/>
      <c r="C84" s="219" t="n"/>
      <c r="D84" s="220" t="n"/>
      <c r="E84" s="221" t="inlineStr">
        <is>
          <t>CX</t>
        </is>
      </c>
      <c r="F84" s="686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20">
        <f>IFERROR(ROUNDUP(D84/F84,0),"")</f>
        <v/>
      </c>
      <c r="H84" s="224" t="n"/>
      <c r="I84" s="220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552" t="n"/>
      <c r="K84" s="552" t="n"/>
      <c r="L84" s="552" t="n"/>
      <c r="M84" s="552" t="n"/>
    </row>
    <row r="85" ht="21" customHeight="1" s="468">
      <c r="A85" s="685" t="n"/>
      <c r="B85" s="218" t="n"/>
      <c r="C85" s="219" t="n"/>
      <c r="D85" s="220" t="n"/>
      <c r="E85" s="221" t="inlineStr">
        <is>
          <t>CX</t>
        </is>
      </c>
      <c r="F85" s="686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20">
        <f>IFERROR(ROUNDUP(D85/F85,0),"")</f>
        <v/>
      </c>
      <c r="H85" s="224" t="n"/>
      <c r="I85" s="220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552" t="n"/>
      <c r="K85" s="552" t="n"/>
      <c r="L85" s="552" t="n"/>
      <c r="M85" s="552" t="n"/>
    </row>
    <row r="86" ht="21" customHeight="1" s="468">
      <c r="A86" s="685" t="n"/>
      <c r="B86" s="218" t="n"/>
      <c r="C86" s="219" t="n"/>
      <c r="D86" s="220" t="n"/>
      <c r="E86" s="221" t="inlineStr">
        <is>
          <t>CX</t>
        </is>
      </c>
      <c r="F86" s="6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20">
        <f>IFERROR(ROUNDUP(D86/F86,0),"")</f>
        <v/>
      </c>
      <c r="H86" s="224" t="n"/>
      <c r="I86" s="220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552" t="n"/>
      <c r="K86" s="552" t="n"/>
      <c r="L86" s="552" t="n"/>
      <c r="M86" s="552" t="n"/>
    </row>
    <row r="87" ht="21" customHeight="1" s="468">
      <c r="A87" s="685" t="n"/>
      <c r="B87" s="218" t="n"/>
      <c r="C87" s="219" t="n"/>
      <c r="D87" s="220" t="n"/>
      <c r="E87" s="221" t="inlineStr">
        <is>
          <t>CX</t>
        </is>
      </c>
      <c r="F87" s="686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20">
        <f>IFERROR(ROUNDUP(D87/F87,0),"")</f>
        <v/>
      </c>
      <c r="H87" s="224" t="n"/>
      <c r="I87" s="220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552" t="n"/>
      <c r="K87" s="552" t="n"/>
      <c r="L87" s="552" t="n"/>
      <c r="M87" s="552" t="n"/>
    </row>
    <row r="88" ht="21" customHeight="1" s="468">
      <c r="A88" s="685" t="n"/>
      <c r="B88" s="218" t="n"/>
      <c r="C88" s="219" t="n"/>
      <c r="D88" s="220" t="n"/>
      <c r="E88" s="221" t="inlineStr">
        <is>
          <t>CX</t>
        </is>
      </c>
      <c r="F88" s="686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20">
        <f>IFERROR(ROUNDUP(D88/F88,0),"")</f>
        <v/>
      </c>
      <c r="H88" s="224" t="n"/>
      <c r="I88" s="220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552" t="n"/>
      <c r="K88" s="552" t="n"/>
      <c r="L88" s="552" t="n"/>
      <c r="M88" s="552" t="n"/>
    </row>
    <row r="89" ht="15" customHeight="1" s="468">
      <c r="A89" s="658" t="n"/>
      <c r="B89" s="640" t="inlineStr">
        <is>
          <t>TOTAL</t>
        </is>
      </c>
      <c r="C89" s="667" t="n"/>
      <c r="D89" s="642">
        <f>SUM(D84:D88)</f>
        <v/>
      </c>
      <c r="E89" s="668" t="n"/>
      <c r="F89" s="644" t="n"/>
      <c r="G89" s="642">
        <f>SUM(G84:G88)</f>
        <v/>
      </c>
      <c r="H89" s="642">
        <f>SUM(H84:H88)</f>
        <v/>
      </c>
      <c r="I89" s="642">
        <f>SUM(I84:I88)</f>
        <v/>
      </c>
      <c r="J89" s="644">
        <f>D89</f>
        <v/>
      </c>
      <c r="K89" s="644">
        <f>G89</f>
        <v/>
      </c>
      <c r="L89" s="644">
        <f>H89</f>
        <v/>
      </c>
      <c r="M89" s="644">
        <f>I89</f>
        <v/>
      </c>
    </row>
    <row r="90" ht="6" customHeight="1" s="468">
      <c r="A90" s="638" t="n"/>
      <c r="C90" s="71" t="n"/>
      <c r="D90" s="552" t="n"/>
      <c r="F90" s="552" t="n"/>
      <c r="G90" s="552" t="n"/>
      <c r="H90" s="552" t="n"/>
      <c r="I90" s="552" t="n"/>
      <c r="J90" s="552" t="n"/>
      <c r="K90" s="552" t="n"/>
      <c r="L90" s="552" t="n"/>
      <c r="M90" s="552" t="n"/>
    </row>
    <row r="91" ht="15" customHeight="1" s="468">
      <c r="A91" s="696" t="n">
        <v>46340</v>
      </c>
      <c r="B91" s="213" t="inlineStr">
        <is>
          <t>PRODUTO</t>
        </is>
      </c>
      <c r="C91" s="214" t="inlineStr">
        <is>
          <t>EMBALAGEM</t>
        </is>
      </c>
      <c r="D91" s="244" t="inlineStr">
        <is>
          <t>CAIXAS</t>
        </is>
      </c>
      <c r="E91" s="215" t="inlineStr">
        <is>
          <t>UN</t>
        </is>
      </c>
      <c r="F91" s="697" t="inlineStr">
        <is>
          <t>CX/PALLET</t>
        </is>
      </c>
      <c r="G91" s="244" t="inlineStr">
        <is>
          <t>PALLETS (PBR)</t>
        </is>
      </c>
      <c r="H91" s="244" t="inlineStr">
        <is>
          <t>REAL (CX)</t>
        </is>
      </c>
      <c r="I91" s="244" t="inlineStr">
        <is>
          <t>TOTAL LATAS</t>
        </is>
      </c>
      <c r="J91" s="274" t="n"/>
      <c r="K91" s="274" t="n"/>
      <c r="L91" s="274" t="n"/>
      <c r="M91" s="274" t="n"/>
    </row>
    <row r="92" ht="21" customHeight="1" s="468">
      <c r="A92" s="685" t="n"/>
      <c r="B92" s="266" t="n"/>
      <c r="C92" s="267" t="n"/>
      <c r="D92" s="268" t="n"/>
      <c r="E92" s="269" t="inlineStr">
        <is>
          <t>CX</t>
        </is>
      </c>
      <c r="F92" s="698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68">
        <f>IFERROR(ROUNDUP(D92/F92,0),"")</f>
        <v/>
      </c>
      <c r="H92" s="224" t="n"/>
      <c r="I92" s="268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274" t="n"/>
      <c r="K92" s="274" t="n"/>
      <c r="L92" s="274" t="n"/>
      <c r="M92" s="274" t="n"/>
    </row>
    <row r="93" ht="21" customHeight="1" s="468">
      <c r="A93" s="685" t="n"/>
      <c r="B93" s="266" t="n"/>
      <c r="C93" s="267" t="n"/>
      <c r="D93" s="268" t="n"/>
      <c r="E93" s="269" t="inlineStr">
        <is>
          <t>CX</t>
        </is>
      </c>
      <c r="F93" s="698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68">
        <f>IFERROR(ROUNDUP(D93/F93,0),"")</f>
        <v/>
      </c>
      <c r="H93" s="224" t="n"/>
      <c r="I93" s="268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274" t="n"/>
      <c r="K93" s="274" t="n"/>
      <c r="L93" s="274" t="n"/>
      <c r="M93" s="274" t="n"/>
    </row>
    <row r="94" ht="21" customHeight="1" s="468">
      <c r="A94" s="685" t="n"/>
      <c r="B94" s="266" t="n"/>
      <c r="C94" s="267" t="n"/>
      <c r="D94" s="268" t="n"/>
      <c r="E94" s="269" t="inlineStr">
        <is>
          <t>CX</t>
        </is>
      </c>
      <c r="F94" s="698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68">
        <f>IFERROR(ROUNDUP(D94/F94,0),"")</f>
        <v/>
      </c>
      <c r="H94" s="224" t="n"/>
      <c r="I94" s="268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274" t="n"/>
      <c r="K94" s="274" t="n"/>
      <c r="L94" s="274" t="n"/>
      <c r="M94" s="274" t="n"/>
    </row>
    <row r="95" ht="21" customHeight="1" s="468">
      <c r="A95" s="685" t="n"/>
      <c r="B95" s="266" t="n"/>
      <c r="C95" s="267" t="n"/>
      <c r="D95" s="268" t="n"/>
      <c r="E95" s="269" t="inlineStr">
        <is>
          <t>CX</t>
        </is>
      </c>
      <c r="F95" s="698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68">
        <f>IFERROR(ROUNDUP(D95/F95,0),"")</f>
        <v/>
      </c>
      <c r="H95" s="224" t="n"/>
      <c r="I95" s="268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274" t="n"/>
      <c r="K95" s="274" t="n"/>
      <c r="L95" s="274" t="n"/>
      <c r="M95" s="274" t="n"/>
    </row>
    <row r="96" ht="21" customHeight="1" s="468">
      <c r="A96" s="685" t="n"/>
      <c r="B96" s="266" t="n"/>
      <c r="C96" s="267" t="n"/>
      <c r="D96" s="268" t="n"/>
      <c r="E96" s="269" t="inlineStr">
        <is>
          <t>CX</t>
        </is>
      </c>
      <c r="F96" s="698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68">
        <f>IFERROR(ROUNDUP(D96/F96,0),"")</f>
        <v/>
      </c>
      <c r="H96" s="224" t="n"/>
      <c r="I96" s="268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274" t="n"/>
      <c r="K96" s="274" t="n"/>
      <c r="L96" s="274" t="n"/>
      <c r="M96" s="274" t="n"/>
    </row>
    <row r="97" ht="15" customHeight="1" s="468">
      <c r="A97" s="658" t="n"/>
      <c r="B97" s="640" t="inlineStr">
        <is>
          <t>TOTAL</t>
        </is>
      </c>
      <c r="C97" s="667" t="n"/>
      <c r="D97" s="642">
        <f>SUM(D92:D96)</f>
        <v/>
      </c>
      <c r="E97" s="668" t="n"/>
      <c r="F97" s="644" t="n"/>
      <c r="G97" s="642">
        <f>SUM(G92:G96)</f>
        <v/>
      </c>
      <c r="H97" s="642">
        <f>SUM(H92:H96)</f>
        <v/>
      </c>
      <c r="I97" s="642">
        <f>SUM(I92:I96)</f>
        <v/>
      </c>
      <c r="J97" s="644">
        <f>D97</f>
        <v/>
      </c>
      <c r="K97" s="644">
        <f>G97</f>
        <v/>
      </c>
      <c r="L97" s="644">
        <f>H97</f>
        <v/>
      </c>
      <c r="M97" s="644">
        <f>I97</f>
        <v/>
      </c>
    </row>
    <row r="98" ht="6" customHeight="1" s="468">
      <c r="A98" s="699" t="n"/>
      <c r="B98" s="265" t="n"/>
      <c r="C98" s="276" t="n"/>
      <c r="D98" s="274" t="n"/>
      <c r="E98" s="265" t="n"/>
      <c r="F98" s="274" t="n"/>
      <c r="G98" s="274" t="n"/>
      <c r="H98" s="274" t="n"/>
      <c r="I98" s="274" t="n"/>
      <c r="J98" s="274" t="n"/>
      <c r="K98" s="274" t="n"/>
      <c r="L98" s="274" t="n"/>
      <c r="M98" s="274" t="n"/>
    </row>
    <row r="99" ht="15" customHeight="1" s="468">
      <c r="A99" s="646" t="n">
        <v>46342</v>
      </c>
      <c r="B99" s="213" t="inlineStr">
        <is>
          <t>PRODUTO</t>
        </is>
      </c>
      <c r="C99" s="214" t="inlineStr">
        <is>
          <t>EMBALAGEM</t>
        </is>
      </c>
      <c r="D99" s="244" t="inlineStr">
        <is>
          <t>CAIXAS</t>
        </is>
      </c>
      <c r="E99" s="215" t="inlineStr">
        <is>
          <t>UN</t>
        </is>
      </c>
      <c r="F99" s="687" t="inlineStr">
        <is>
          <t>CX/PALLET</t>
        </is>
      </c>
      <c r="G99" s="244" t="inlineStr">
        <is>
          <t>PALLETS (PBR)</t>
        </is>
      </c>
      <c r="H99" s="244" t="inlineStr">
        <is>
          <t>REAL (CX)</t>
        </is>
      </c>
      <c r="I99" s="244" t="inlineStr">
        <is>
          <t>TOTAL LATAS</t>
        </is>
      </c>
      <c r="J99" s="552" t="n"/>
      <c r="K99" s="552" t="n"/>
      <c r="L99" s="552" t="n"/>
      <c r="M99" s="552" t="n"/>
    </row>
    <row r="100" ht="21" customHeight="1" s="468">
      <c r="A100" s="685" t="n"/>
      <c r="B100" s="218" t="n"/>
      <c r="C100" s="219" t="n"/>
      <c r="D100" s="220" t="n"/>
      <c r="E100" s="221" t="inlineStr">
        <is>
          <t>CX</t>
        </is>
      </c>
      <c r="F100" s="686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20">
        <f>IFERROR(ROUNDUP(D100/F100,0),"")</f>
        <v/>
      </c>
      <c r="H100" s="224" t="n"/>
      <c r="I100" s="220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552" t="n"/>
      <c r="K100" s="552" t="n"/>
      <c r="L100" s="552" t="n"/>
      <c r="M100" s="552" t="n"/>
    </row>
    <row r="101" ht="21" customHeight="1" s="468">
      <c r="A101" s="685" t="n"/>
      <c r="B101" s="218" t="n"/>
      <c r="C101" s="219" t="n"/>
      <c r="D101" s="220" t="n"/>
      <c r="E101" s="221" t="inlineStr">
        <is>
          <t>CX</t>
        </is>
      </c>
      <c r="F101" s="686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20">
        <f>IFERROR(ROUNDUP(D101/F101,0),"")</f>
        <v/>
      </c>
      <c r="H101" s="224" t="n"/>
      <c r="I101" s="220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552" t="n"/>
      <c r="K101" s="552" t="n"/>
      <c r="L101" s="552" t="n"/>
      <c r="M101" s="552" t="n"/>
    </row>
    <row r="102" ht="21" customHeight="1" s="468">
      <c r="A102" s="685" t="n"/>
      <c r="B102" s="218" t="n"/>
      <c r="C102" s="219" t="n"/>
      <c r="D102" s="220" t="n"/>
      <c r="E102" s="221" t="inlineStr">
        <is>
          <t>CX</t>
        </is>
      </c>
      <c r="F102" s="686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20">
        <f>IFERROR(ROUNDUP(D102/F102,0),"")</f>
        <v/>
      </c>
      <c r="H102" s="224" t="n"/>
      <c r="I102" s="220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552" t="n"/>
      <c r="K102" s="552" t="n"/>
      <c r="L102" s="552" t="n"/>
      <c r="M102" s="552" t="n"/>
    </row>
    <row r="103" ht="21" customHeight="1" s="468">
      <c r="A103" s="685" t="n"/>
      <c r="B103" s="218" t="n"/>
      <c r="C103" s="219" t="n"/>
      <c r="D103" s="220" t="n"/>
      <c r="E103" s="221" t="inlineStr">
        <is>
          <t>CX</t>
        </is>
      </c>
      <c r="F103" s="68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20">
        <f>IFERROR(ROUNDUP(D103/F103,0),"")</f>
        <v/>
      </c>
      <c r="H103" s="224" t="n"/>
      <c r="I103" s="220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552" t="n"/>
      <c r="K103" s="552" t="n"/>
      <c r="L103" s="552" t="n"/>
      <c r="M103" s="552" t="n"/>
    </row>
    <row r="104" ht="21" customHeight="1" s="468">
      <c r="A104" s="685" t="n"/>
      <c r="B104" s="218" t="n"/>
      <c r="C104" s="219" t="n"/>
      <c r="D104" s="220" t="n"/>
      <c r="E104" s="221" t="inlineStr">
        <is>
          <t>CX</t>
        </is>
      </c>
      <c r="F104" s="686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20">
        <f>IFERROR(ROUNDUP(D104/F104,0),"")</f>
        <v/>
      </c>
      <c r="H104" s="224" t="n"/>
      <c r="I104" s="220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552" t="n"/>
      <c r="K104" s="552" t="n"/>
      <c r="L104" s="552" t="n"/>
      <c r="M104" s="552" t="n"/>
    </row>
    <row r="105" ht="15" customHeight="1" s="468">
      <c r="A105" s="658" t="n"/>
      <c r="B105" s="640" t="inlineStr">
        <is>
          <t>TOTAL</t>
        </is>
      </c>
      <c r="C105" s="667" t="n"/>
      <c r="D105" s="642">
        <f>SUM(D100:D104)</f>
        <v/>
      </c>
      <c r="E105" s="668" t="n"/>
      <c r="F105" s="644" t="n"/>
      <c r="G105" s="642">
        <f>SUM(G100:G104)</f>
        <v/>
      </c>
      <c r="H105" s="642">
        <f>SUM(H100:H104)</f>
        <v/>
      </c>
      <c r="I105" s="642">
        <f>SUM(I100:I104)</f>
        <v/>
      </c>
      <c r="J105" s="644">
        <f>D105</f>
        <v/>
      </c>
      <c r="K105" s="644">
        <f>G105</f>
        <v/>
      </c>
      <c r="L105" s="644">
        <f>H105</f>
        <v/>
      </c>
      <c r="M105" s="644">
        <f>I105</f>
        <v/>
      </c>
    </row>
    <row r="106" ht="6" customHeight="1" s="468">
      <c r="A106" s="638" t="n"/>
      <c r="C106" s="71" t="n"/>
      <c r="D106" s="552" t="n"/>
      <c r="F106" s="552" t="n"/>
      <c r="G106" s="552" t="n"/>
      <c r="H106" s="552" t="n"/>
      <c r="I106" s="552" t="n"/>
      <c r="J106" s="552" t="n"/>
      <c r="K106" s="552" t="n"/>
      <c r="L106" s="552" t="n"/>
      <c r="M106" s="552" t="n"/>
    </row>
    <row r="107" ht="15" customHeight="1" s="468">
      <c r="A107" s="646" t="n">
        <v>46343</v>
      </c>
      <c r="B107" s="213" t="inlineStr">
        <is>
          <t>PRODUTO</t>
        </is>
      </c>
      <c r="C107" s="214" t="inlineStr">
        <is>
          <t>EMBALAGEM</t>
        </is>
      </c>
      <c r="D107" s="244" t="inlineStr">
        <is>
          <t>CAIXAS</t>
        </is>
      </c>
      <c r="E107" s="215" t="inlineStr">
        <is>
          <t>UN</t>
        </is>
      </c>
      <c r="F107" s="687" t="inlineStr">
        <is>
          <t>CX/PALLET</t>
        </is>
      </c>
      <c r="G107" s="244" t="inlineStr">
        <is>
          <t>PALLETS (PBR)</t>
        </is>
      </c>
      <c r="H107" s="244" t="inlineStr">
        <is>
          <t>REAL (CX)</t>
        </is>
      </c>
      <c r="I107" s="244" t="inlineStr">
        <is>
          <t>TOTAL LATAS</t>
        </is>
      </c>
      <c r="J107" s="552" t="n"/>
      <c r="K107" s="552" t="n"/>
      <c r="L107" s="552" t="n"/>
      <c r="M107" s="552" t="n"/>
    </row>
    <row r="108" ht="21" customHeight="1" s="468">
      <c r="A108" s="685" t="n"/>
      <c r="B108" s="218" t="n"/>
      <c r="C108" s="219" t="n"/>
      <c r="D108" s="220" t="n"/>
      <c r="E108" s="221" t="inlineStr">
        <is>
          <t>CX</t>
        </is>
      </c>
      <c r="F108" s="686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20">
        <f>IFERROR(ROUNDUP(D108/F108,0),"")</f>
        <v/>
      </c>
      <c r="H108" s="224" t="n"/>
      <c r="I108" s="220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 t="n"/>
      <c r="K108" s="552" t="n"/>
      <c r="L108" s="552" t="n"/>
      <c r="M108" s="552" t="n"/>
    </row>
    <row r="109" ht="21" customHeight="1" s="468">
      <c r="A109" s="685" t="n"/>
      <c r="B109" s="218" t="n"/>
      <c r="C109" s="219" t="n"/>
      <c r="D109" s="220" t="n"/>
      <c r="E109" s="221" t="inlineStr">
        <is>
          <t>CX</t>
        </is>
      </c>
      <c r="F109" s="686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20">
        <f>IFERROR(ROUNDUP(D109/F109,0),"")</f>
        <v/>
      </c>
      <c r="H109" s="224" t="n"/>
      <c r="I109" s="220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  <c r="J109" s="552" t="n"/>
      <c r="K109" s="552" t="n"/>
      <c r="L109" s="552" t="n"/>
      <c r="M109" s="552" t="n"/>
    </row>
    <row r="110" ht="21" customHeight="1" s="468">
      <c r="A110" s="685" t="n"/>
      <c r="B110" s="218" t="n"/>
      <c r="C110" s="219" t="n"/>
      <c r="D110" s="220" t="n"/>
      <c r="E110" s="221" t="inlineStr">
        <is>
          <t>CX</t>
        </is>
      </c>
      <c r="F110" s="686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20">
        <f>IFERROR(ROUNDUP(D110/F110,0),"")</f>
        <v/>
      </c>
      <c r="H110" s="224" t="n"/>
      <c r="I110" s="220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  <c r="J110" s="552" t="n"/>
      <c r="K110" s="552" t="n"/>
      <c r="L110" s="552" t="n"/>
      <c r="M110" s="552" t="n"/>
    </row>
    <row r="111" ht="21" customHeight="1" s="468">
      <c r="A111" s="685" t="n"/>
      <c r="B111" s="218" t="n"/>
      <c r="C111" s="219" t="n"/>
      <c r="D111" s="220" t="n"/>
      <c r="E111" s="221" t="inlineStr">
        <is>
          <t>CX</t>
        </is>
      </c>
      <c r="F111" s="686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20">
        <f>IFERROR(ROUNDUP(D111/F111,0),"")</f>
        <v/>
      </c>
      <c r="H111" s="224" t="n"/>
      <c r="I111" s="220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  <c r="J111" s="552" t="n"/>
      <c r="K111" s="552" t="n"/>
      <c r="L111" s="552" t="n"/>
      <c r="M111" s="552" t="n"/>
    </row>
    <row r="112" ht="21" customHeight="1" s="468">
      <c r="A112" s="685" t="n"/>
      <c r="B112" s="218" t="n"/>
      <c r="C112" s="219" t="n"/>
      <c r="D112" s="220" t="n"/>
      <c r="E112" s="221" t="inlineStr">
        <is>
          <t>CX</t>
        </is>
      </c>
      <c r="F112" s="68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20">
        <f>IFERROR(ROUNDUP(D112/F112,0),"")</f>
        <v/>
      </c>
      <c r="H112" s="224" t="n"/>
      <c r="I112" s="220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  <c r="J112" s="552" t="n"/>
      <c r="K112" s="552" t="n"/>
      <c r="L112" s="552" t="n"/>
      <c r="M112" s="552" t="n"/>
    </row>
    <row r="113" ht="15" customHeight="1" s="468">
      <c r="A113" s="658" t="n"/>
      <c r="B113" s="640" t="inlineStr">
        <is>
          <t>TOTAL</t>
        </is>
      </c>
      <c r="C113" s="667" t="n"/>
      <c r="D113" s="642">
        <f>SUM(D108:D112)</f>
        <v/>
      </c>
      <c r="E113" s="668" t="n"/>
      <c r="F113" s="644" t="n"/>
      <c r="G113" s="642">
        <f>SUM(G108:G112)</f>
        <v/>
      </c>
      <c r="H113" s="642">
        <f>SUM(H108:H112)</f>
        <v/>
      </c>
      <c r="I113" s="642">
        <f>SUM(I108:I112)</f>
        <v/>
      </c>
      <c r="J113" s="644">
        <f>D113</f>
        <v/>
      </c>
      <c r="K113" s="644">
        <f>G113</f>
        <v/>
      </c>
      <c r="L113" s="644">
        <f>H113</f>
        <v/>
      </c>
      <c r="M113" s="644">
        <f>I113</f>
        <v/>
      </c>
    </row>
    <row r="114" ht="6" customHeight="1" s="468">
      <c r="A114" s="638" t="n"/>
      <c r="C114" s="71" t="n"/>
      <c r="D114" s="552" t="n"/>
      <c r="F114" s="552" t="n"/>
      <c r="G114" s="552" t="n"/>
      <c r="H114" s="552" t="n"/>
      <c r="I114" s="552" t="n"/>
      <c r="J114" s="552" t="n"/>
      <c r="K114" s="552" t="n"/>
      <c r="L114" s="552" t="n"/>
      <c r="M114" s="552" t="n"/>
    </row>
    <row r="115" ht="15" customHeight="1" s="468">
      <c r="A115" s="646" t="n">
        <v>46344</v>
      </c>
      <c r="B115" s="213" t="inlineStr">
        <is>
          <t>PRODUTO</t>
        </is>
      </c>
      <c r="C115" s="214" t="inlineStr">
        <is>
          <t>EMBALAGEM</t>
        </is>
      </c>
      <c r="D115" s="244" t="inlineStr">
        <is>
          <t>CAIXAS</t>
        </is>
      </c>
      <c r="E115" s="215" t="inlineStr">
        <is>
          <t>UN</t>
        </is>
      </c>
      <c r="F115" s="687" t="inlineStr">
        <is>
          <t>CX/PALLET</t>
        </is>
      </c>
      <c r="G115" s="244" t="inlineStr">
        <is>
          <t>PALLETS (PBR)</t>
        </is>
      </c>
      <c r="H115" s="244" t="inlineStr">
        <is>
          <t>REAL (CX)</t>
        </is>
      </c>
      <c r="I115" s="244" t="inlineStr">
        <is>
          <t>TOTAL LATAS</t>
        </is>
      </c>
      <c r="J115" s="552" t="n"/>
      <c r="K115" s="552" t="n"/>
      <c r="L115" s="552" t="n"/>
      <c r="M115" s="552" t="n"/>
    </row>
    <row r="116" ht="21" customHeight="1" s="468">
      <c r="A116" s="685" t="n"/>
      <c r="B116" s="218" t="n"/>
      <c r="C116" s="219" t="n"/>
      <c r="D116" s="220" t="n"/>
      <c r="E116" s="221" t="inlineStr">
        <is>
          <t>CX</t>
        </is>
      </c>
      <c r="F116" s="68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20">
        <f>IFERROR(ROUNDUP(D116/F116,0),"")</f>
        <v/>
      </c>
      <c r="H116" s="224" t="n"/>
      <c r="I116" s="220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552" t="n"/>
      <c r="K116" s="552" t="n"/>
      <c r="L116" s="552" t="n"/>
      <c r="M116" s="552" t="n"/>
    </row>
    <row r="117" ht="21" customHeight="1" s="468">
      <c r="A117" s="685" t="n"/>
      <c r="B117" s="218" t="n"/>
      <c r="C117" s="219" t="n"/>
      <c r="D117" s="220" t="n"/>
      <c r="E117" s="221" t="inlineStr">
        <is>
          <t>CX</t>
        </is>
      </c>
      <c r="F117" s="686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20">
        <f>IFERROR(ROUNDUP(D117/F117,0),"")</f>
        <v/>
      </c>
      <c r="H117" s="224" t="n"/>
      <c r="I117" s="220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52" t="n"/>
      <c r="K117" s="552" t="n"/>
      <c r="L117" s="552" t="n"/>
      <c r="M117" s="552" t="n"/>
    </row>
    <row r="118" ht="21" customHeight="1" s="468">
      <c r="A118" s="685" t="n"/>
      <c r="B118" s="218" t="n"/>
      <c r="C118" s="219" t="n"/>
      <c r="D118" s="220" t="n"/>
      <c r="E118" s="221" t="inlineStr">
        <is>
          <t>CX</t>
        </is>
      </c>
      <c r="F118" s="686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20">
        <f>IFERROR(ROUNDUP(D118/F118,0),"")</f>
        <v/>
      </c>
      <c r="H118" s="224" t="n"/>
      <c r="I118" s="220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552" t="n"/>
      <c r="K118" s="552" t="n"/>
      <c r="L118" s="552" t="n"/>
      <c r="M118" s="552" t="n"/>
    </row>
    <row r="119" ht="21" customHeight="1" s="468">
      <c r="A119" s="685" t="n"/>
      <c r="B119" s="218" t="n"/>
      <c r="C119" s="219" t="n"/>
      <c r="D119" s="220" t="n"/>
      <c r="E119" s="221" t="inlineStr">
        <is>
          <t>CX</t>
        </is>
      </c>
      <c r="F119" s="686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20">
        <f>IFERROR(ROUNDUP(D119/F119,0),"")</f>
        <v/>
      </c>
      <c r="H119" s="224" t="n"/>
      <c r="I119" s="220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552" t="n"/>
      <c r="K119" s="552" t="n"/>
      <c r="L119" s="552" t="n"/>
      <c r="M119" s="552" t="n"/>
    </row>
    <row r="120" ht="21" customHeight="1" s="468">
      <c r="A120" s="685" t="n"/>
      <c r="B120" s="218" t="n"/>
      <c r="C120" s="219" t="n"/>
      <c r="D120" s="220" t="n"/>
      <c r="E120" s="221" t="inlineStr">
        <is>
          <t>CX</t>
        </is>
      </c>
      <c r="F120" s="686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20">
        <f>IFERROR(ROUNDUP(D120/F120,0),"")</f>
        <v/>
      </c>
      <c r="H120" s="224" t="n"/>
      <c r="I120" s="220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552" t="n"/>
      <c r="K120" s="552" t="n"/>
      <c r="L120" s="552" t="n"/>
      <c r="M120" s="552" t="n"/>
    </row>
    <row r="121" ht="15" customHeight="1" s="468">
      <c r="A121" s="658" t="n"/>
      <c r="B121" s="640" t="inlineStr">
        <is>
          <t>TOTAL</t>
        </is>
      </c>
      <c r="C121" s="667" t="n"/>
      <c r="D121" s="642">
        <f>SUM(D116:D120)</f>
        <v/>
      </c>
      <c r="E121" s="668" t="n"/>
      <c r="F121" s="644" t="n"/>
      <c r="G121" s="642">
        <f>SUM(G116:G120)</f>
        <v/>
      </c>
      <c r="H121" s="642">
        <f>SUM(H116:H120)</f>
        <v/>
      </c>
      <c r="I121" s="642">
        <f>SUM(I116:I120)</f>
        <v/>
      </c>
      <c r="J121" s="644">
        <f>D121</f>
        <v/>
      </c>
      <c r="K121" s="644">
        <f>G121</f>
        <v/>
      </c>
      <c r="L121" s="644">
        <f>H121</f>
        <v/>
      </c>
      <c r="M121" s="644">
        <f>I121</f>
        <v/>
      </c>
    </row>
    <row r="122" ht="6" customHeight="1" s="468">
      <c r="A122" s="638" t="n"/>
      <c r="C122" s="71" t="n"/>
      <c r="D122" s="552" t="n"/>
      <c r="F122" s="552" t="n"/>
      <c r="G122" s="552" t="n"/>
      <c r="H122" s="552" t="n"/>
      <c r="I122" s="552" t="n"/>
      <c r="J122" s="552" t="n"/>
      <c r="K122" s="552" t="n"/>
      <c r="L122" s="552" t="n"/>
      <c r="M122" s="552" t="n"/>
    </row>
    <row r="123" ht="15" customHeight="1" s="468">
      <c r="A123" s="646" t="n">
        <v>46345</v>
      </c>
      <c r="B123" s="213" t="inlineStr">
        <is>
          <t>PRODUTO</t>
        </is>
      </c>
      <c r="C123" s="214" t="inlineStr">
        <is>
          <t>EMBALAGEM</t>
        </is>
      </c>
      <c r="D123" s="244" t="inlineStr">
        <is>
          <t>CAIXAS</t>
        </is>
      </c>
      <c r="E123" s="215" t="inlineStr">
        <is>
          <t>UN</t>
        </is>
      </c>
      <c r="F123" s="687" t="inlineStr">
        <is>
          <t>CX/PALLET</t>
        </is>
      </c>
      <c r="G123" s="244" t="inlineStr">
        <is>
          <t>PALLETS (PBR)</t>
        </is>
      </c>
      <c r="H123" s="244" t="inlineStr">
        <is>
          <t>REAL (CX)</t>
        </is>
      </c>
      <c r="I123" s="244" t="inlineStr">
        <is>
          <t>TOTAL LATAS</t>
        </is>
      </c>
      <c r="J123" s="552" t="n"/>
      <c r="K123" s="552" t="n"/>
      <c r="L123" s="552" t="n"/>
      <c r="M123" s="552" t="n"/>
    </row>
    <row r="124" ht="21" customHeight="1" s="468">
      <c r="A124" s="685" t="n"/>
      <c r="B124" s="218" t="n"/>
      <c r="C124" s="219" t="n"/>
      <c r="D124" s="220" t="n"/>
      <c r="E124" s="221" t="inlineStr">
        <is>
          <t>CX</t>
        </is>
      </c>
      <c r="F124" s="68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20">
        <f>IFERROR(ROUNDUP(D124/F124,0),"")</f>
        <v/>
      </c>
      <c r="H124" s="224" t="n"/>
      <c r="I124" s="22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552" t="n"/>
      <c r="K124" s="552" t="n"/>
      <c r="L124" s="552" t="n"/>
      <c r="M124" s="552" t="n"/>
    </row>
    <row r="125" ht="21" customHeight="1" s="468">
      <c r="A125" s="685" t="n"/>
      <c r="B125" s="218" t="n"/>
      <c r="C125" s="219" t="n"/>
      <c r="D125" s="220" t="n"/>
      <c r="E125" s="221" t="inlineStr">
        <is>
          <t>CX</t>
        </is>
      </c>
      <c r="F125" s="686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20">
        <f>IFERROR(ROUNDUP(D125/F125,0),"")</f>
        <v/>
      </c>
      <c r="H125" s="224" t="n"/>
      <c r="I125" s="220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52" t="n"/>
      <c r="K125" s="552" t="n"/>
      <c r="L125" s="552" t="n"/>
      <c r="M125" s="552" t="n"/>
    </row>
    <row r="126" ht="21" customHeight="1" s="468">
      <c r="A126" s="685" t="n"/>
      <c r="B126" s="218" t="n"/>
      <c r="C126" s="219" t="n"/>
      <c r="D126" s="220" t="n"/>
      <c r="E126" s="221" t="inlineStr">
        <is>
          <t>CX</t>
        </is>
      </c>
      <c r="F126" s="68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20">
        <f>IFERROR(ROUNDUP(D126/F126,0),"")</f>
        <v/>
      </c>
      <c r="H126" s="224" t="n"/>
      <c r="I126" s="220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552" t="n"/>
      <c r="K126" s="552" t="n"/>
      <c r="L126" s="552" t="n"/>
      <c r="M126" s="552" t="n"/>
    </row>
    <row r="127" ht="21" customHeight="1" s="468">
      <c r="A127" s="685" t="n"/>
      <c r="B127" s="218" t="n"/>
      <c r="C127" s="219" t="n"/>
      <c r="D127" s="220" t="n"/>
      <c r="E127" s="221" t="inlineStr">
        <is>
          <t>CX</t>
        </is>
      </c>
      <c r="F127" s="686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20">
        <f>IFERROR(ROUNDUP(D127/F127,0),"")</f>
        <v/>
      </c>
      <c r="H127" s="224" t="n"/>
      <c r="I127" s="220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552" t="n"/>
      <c r="K127" s="552" t="n"/>
      <c r="L127" s="552" t="n"/>
      <c r="M127" s="552" t="n"/>
    </row>
    <row r="128" ht="21" customHeight="1" s="468">
      <c r="A128" s="685" t="n"/>
      <c r="B128" s="218" t="n"/>
      <c r="C128" s="219" t="n"/>
      <c r="D128" s="220" t="n"/>
      <c r="E128" s="221" t="inlineStr">
        <is>
          <t>CX</t>
        </is>
      </c>
      <c r="F128" s="686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20">
        <f>IFERROR(ROUNDUP(D128/F128,0),"")</f>
        <v/>
      </c>
      <c r="H128" s="224" t="n"/>
      <c r="I128" s="220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552" t="n"/>
      <c r="K128" s="552" t="n"/>
      <c r="L128" s="552" t="n"/>
      <c r="M128" s="552" t="n"/>
    </row>
    <row r="129" ht="15" customHeight="1" s="468">
      <c r="A129" s="658" t="n"/>
      <c r="B129" s="640" t="inlineStr">
        <is>
          <t>TOTAL</t>
        </is>
      </c>
      <c r="C129" s="667" t="n"/>
      <c r="D129" s="642">
        <f>SUM(D124:D128)</f>
        <v/>
      </c>
      <c r="E129" s="668" t="n"/>
      <c r="F129" s="644" t="n"/>
      <c r="G129" s="642">
        <f>SUM(G124:G128)</f>
        <v/>
      </c>
      <c r="H129" s="642">
        <f>SUM(H124:H128)</f>
        <v/>
      </c>
      <c r="I129" s="642">
        <f>SUM(I124:I128)</f>
        <v/>
      </c>
      <c r="J129" s="644">
        <f>D129</f>
        <v/>
      </c>
      <c r="K129" s="644">
        <f>G129</f>
        <v/>
      </c>
      <c r="L129" s="644">
        <f>H129</f>
        <v/>
      </c>
      <c r="M129" s="644">
        <f>I129</f>
        <v/>
      </c>
    </row>
    <row r="130" ht="6" customHeight="1" s="468">
      <c r="A130" s="638" t="n"/>
      <c r="C130" s="71" t="n"/>
      <c r="D130" s="552" t="n"/>
      <c r="F130" s="552" t="n"/>
      <c r="G130" s="552" t="n"/>
      <c r="H130" s="552" t="n"/>
      <c r="I130" s="552" t="n"/>
      <c r="J130" s="552" t="n"/>
      <c r="K130" s="552" t="n"/>
      <c r="L130" s="552" t="n"/>
      <c r="M130" s="552" t="n"/>
    </row>
    <row r="131" ht="15" customHeight="1" s="468">
      <c r="A131" s="646" t="n">
        <v>46346</v>
      </c>
      <c r="B131" s="213" t="inlineStr">
        <is>
          <t>PRODUTO</t>
        </is>
      </c>
      <c r="C131" s="214" t="inlineStr">
        <is>
          <t>EMBALAGEM</t>
        </is>
      </c>
      <c r="D131" s="244" t="inlineStr">
        <is>
          <t>CAIXAS</t>
        </is>
      </c>
      <c r="E131" s="215" t="inlineStr">
        <is>
          <t>UN</t>
        </is>
      </c>
      <c r="F131" s="687" t="inlineStr">
        <is>
          <t>CX/PALLET</t>
        </is>
      </c>
      <c r="G131" s="244" t="inlineStr">
        <is>
          <t>PALLETS (PBR)</t>
        </is>
      </c>
      <c r="H131" s="244" t="inlineStr">
        <is>
          <t>REAL (CX)</t>
        </is>
      </c>
      <c r="I131" s="244" t="inlineStr">
        <is>
          <t>TOTAL LATAS</t>
        </is>
      </c>
      <c r="J131" s="552" t="n"/>
      <c r="K131" s="552" t="n"/>
      <c r="L131" s="552" t="n"/>
      <c r="M131" s="552" t="n"/>
    </row>
    <row r="132" ht="21" customHeight="1" s="468">
      <c r="A132" s="685" t="n"/>
      <c r="B132" s="218" t="n"/>
      <c r="C132" s="219" t="n"/>
      <c r="D132" s="220" t="n"/>
      <c r="E132" s="221" t="inlineStr">
        <is>
          <t>CX</t>
        </is>
      </c>
      <c r="F132" s="686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20">
        <f>IFERROR(ROUNDUP(D132/F132,0),"")</f>
        <v/>
      </c>
      <c r="H132" s="224" t="n"/>
      <c r="I132" s="220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552" t="n"/>
      <c r="K132" s="552" t="n"/>
      <c r="L132" s="552" t="n"/>
      <c r="M132" s="552" t="n"/>
    </row>
    <row r="133" ht="21" customHeight="1" s="468">
      <c r="A133" s="685" t="n"/>
      <c r="B133" s="218" t="n"/>
      <c r="C133" s="219" t="n"/>
      <c r="D133" s="220" t="n"/>
      <c r="E133" s="221" t="inlineStr">
        <is>
          <t>CX</t>
        </is>
      </c>
      <c r="F133" s="686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20">
        <f>IFERROR(ROUNDUP(D133/F133,0),"")</f>
        <v/>
      </c>
      <c r="H133" s="224" t="n"/>
      <c r="I133" s="220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52" t="n"/>
      <c r="K133" s="552" t="n"/>
      <c r="L133" s="552" t="n"/>
      <c r="M133" s="552" t="n"/>
    </row>
    <row r="134" ht="21" customHeight="1" s="468">
      <c r="A134" s="685" t="n"/>
      <c r="B134" s="218" t="n"/>
      <c r="C134" s="219" t="n"/>
      <c r="D134" s="220" t="n"/>
      <c r="E134" s="221" t="inlineStr">
        <is>
          <t>CX</t>
        </is>
      </c>
      <c r="F134" s="686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20">
        <f>IFERROR(ROUNDUP(D134/F134,0),"")</f>
        <v/>
      </c>
      <c r="H134" s="224" t="n"/>
      <c r="I134" s="220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552" t="n"/>
      <c r="K134" s="552" t="n"/>
      <c r="L134" s="552" t="n"/>
      <c r="M134" s="552" t="n"/>
    </row>
    <row r="135" ht="21" customHeight="1" s="468">
      <c r="A135" s="685" t="n"/>
      <c r="B135" s="218" t="n"/>
      <c r="C135" s="219" t="n"/>
      <c r="D135" s="220" t="n"/>
      <c r="E135" s="221" t="inlineStr">
        <is>
          <t>CX</t>
        </is>
      </c>
      <c r="F135" s="686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20">
        <f>IFERROR(ROUNDUP(D135/F135,0),"")</f>
        <v/>
      </c>
      <c r="H135" s="224" t="n"/>
      <c r="I135" s="220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552" t="n"/>
      <c r="K135" s="552" t="n"/>
      <c r="L135" s="552" t="n"/>
      <c r="M135" s="552" t="n"/>
    </row>
    <row r="136" ht="21" customHeight="1" s="468">
      <c r="A136" s="685" t="n"/>
      <c r="B136" s="218" t="n"/>
      <c r="C136" s="219" t="n"/>
      <c r="D136" s="220" t="n"/>
      <c r="E136" s="221" t="inlineStr">
        <is>
          <t>CX</t>
        </is>
      </c>
      <c r="F136" s="686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20">
        <f>IFERROR(ROUNDUP(D136/F136,0),"")</f>
        <v/>
      </c>
      <c r="H136" s="224" t="n"/>
      <c r="I136" s="220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552" t="n"/>
      <c r="K136" s="552" t="n"/>
      <c r="L136" s="552" t="n"/>
      <c r="M136" s="552" t="n"/>
    </row>
    <row r="137" ht="15" customHeight="1" s="468">
      <c r="A137" s="658" t="n"/>
      <c r="B137" s="640" t="inlineStr">
        <is>
          <t>TOTAL</t>
        </is>
      </c>
      <c r="C137" s="667" t="n"/>
      <c r="D137" s="642">
        <f>SUM(D132:D136)</f>
        <v/>
      </c>
      <c r="E137" s="668" t="n"/>
      <c r="F137" s="644" t="n"/>
      <c r="G137" s="642">
        <f>SUM(G132:G136)</f>
        <v/>
      </c>
      <c r="H137" s="642">
        <f>SUM(H132:H136)</f>
        <v/>
      </c>
      <c r="I137" s="642">
        <f>SUM(I132:I136)</f>
        <v/>
      </c>
      <c r="J137" s="644">
        <f>D137</f>
        <v/>
      </c>
      <c r="K137" s="644">
        <f>G137</f>
        <v/>
      </c>
      <c r="L137" s="644">
        <f>H137</f>
        <v/>
      </c>
      <c r="M137" s="644">
        <f>I137</f>
        <v/>
      </c>
    </row>
    <row r="138" ht="6" customHeight="1" s="468">
      <c r="A138" s="638" t="n"/>
      <c r="C138" s="71" t="n"/>
      <c r="D138" s="552" t="n"/>
      <c r="F138" s="552" t="n"/>
      <c r="G138" s="552" t="n"/>
      <c r="H138" s="552" t="n"/>
      <c r="I138" s="552" t="n"/>
      <c r="J138" s="552" t="n"/>
      <c r="K138" s="552" t="n"/>
      <c r="L138" s="552" t="n"/>
      <c r="M138" s="552" t="n"/>
    </row>
    <row r="139" ht="15" customHeight="1" s="468">
      <c r="A139" s="696" t="n">
        <v>46347</v>
      </c>
      <c r="B139" s="213" t="inlineStr">
        <is>
          <t>PRODUTO</t>
        </is>
      </c>
      <c r="C139" s="214" t="inlineStr">
        <is>
          <t>EMBALAGEM</t>
        </is>
      </c>
      <c r="D139" s="244" t="inlineStr">
        <is>
          <t>CAIXAS</t>
        </is>
      </c>
      <c r="E139" s="215" t="inlineStr">
        <is>
          <t>UN</t>
        </is>
      </c>
      <c r="F139" s="697" t="inlineStr">
        <is>
          <t>CX/PALLET</t>
        </is>
      </c>
      <c r="G139" s="244" t="inlineStr">
        <is>
          <t>PALLETS (PBR)</t>
        </is>
      </c>
      <c r="H139" s="244" t="inlineStr">
        <is>
          <t>REAL (CX)</t>
        </is>
      </c>
      <c r="I139" s="244" t="inlineStr">
        <is>
          <t>TOTAL LATAS</t>
        </is>
      </c>
      <c r="J139" s="274" t="n"/>
      <c r="K139" s="274" t="n"/>
      <c r="L139" s="274" t="n"/>
      <c r="M139" s="274" t="n"/>
    </row>
    <row r="140" ht="21" customHeight="1" s="468">
      <c r="A140" s="685" t="n"/>
      <c r="B140" s="266" t="n"/>
      <c r="C140" s="267" t="n"/>
      <c r="D140" s="268" t="n"/>
      <c r="E140" s="269" t="inlineStr">
        <is>
          <t>CX</t>
        </is>
      </c>
      <c r="F140" s="698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68">
        <f>IFERROR(ROUNDUP(D140/F140,0),"")</f>
        <v/>
      </c>
      <c r="H140" s="224" t="n"/>
      <c r="I140" s="268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274" t="n"/>
      <c r="K140" s="274" t="n"/>
      <c r="L140" s="274" t="n"/>
      <c r="M140" s="274" t="n"/>
    </row>
    <row r="141" ht="21" customHeight="1" s="468">
      <c r="A141" s="685" t="n"/>
      <c r="B141" s="266" t="n"/>
      <c r="C141" s="267" t="n"/>
      <c r="D141" s="268" t="n"/>
      <c r="E141" s="269" t="inlineStr">
        <is>
          <t>CX</t>
        </is>
      </c>
      <c r="F141" s="698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68">
        <f>IFERROR(ROUNDUP(D141/F141,0),"")</f>
        <v/>
      </c>
      <c r="H141" s="224" t="n"/>
      <c r="I141" s="268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274" t="n"/>
      <c r="K141" s="274" t="n"/>
      <c r="L141" s="274" t="n"/>
      <c r="M141" s="274" t="n"/>
    </row>
    <row r="142" ht="21" customHeight="1" s="468">
      <c r="A142" s="685" t="n"/>
      <c r="B142" s="266" t="n"/>
      <c r="C142" s="267" t="n"/>
      <c r="D142" s="268" t="n"/>
      <c r="E142" s="269" t="inlineStr">
        <is>
          <t>CX</t>
        </is>
      </c>
      <c r="F142" s="698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68">
        <f>IFERROR(ROUNDUP(D142/F142,0),"")</f>
        <v/>
      </c>
      <c r="H142" s="224" t="n"/>
      <c r="I142" s="268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274" t="n"/>
      <c r="K142" s="274" t="n"/>
      <c r="L142" s="274" t="n"/>
      <c r="M142" s="274" t="n"/>
    </row>
    <row r="143" ht="21" customHeight="1" s="468">
      <c r="A143" s="685" t="n"/>
      <c r="B143" s="266" t="n"/>
      <c r="C143" s="267" t="n"/>
      <c r="D143" s="268" t="n"/>
      <c r="E143" s="269" t="inlineStr">
        <is>
          <t>CX</t>
        </is>
      </c>
      <c r="F143" s="698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68">
        <f>IFERROR(ROUNDUP(D143/F143,0),"")</f>
        <v/>
      </c>
      <c r="H143" s="224" t="n"/>
      <c r="I143" s="268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274" t="n"/>
      <c r="K143" s="274" t="n"/>
      <c r="L143" s="274" t="n"/>
      <c r="M143" s="274" t="n"/>
    </row>
    <row r="144" ht="21" customHeight="1" s="468">
      <c r="A144" s="685" t="n"/>
      <c r="B144" s="266" t="n"/>
      <c r="C144" s="267" t="n"/>
      <c r="D144" s="268" t="n"/>
      <c r="E144" s="269" t="inlineStr">
        <is>
          <t>CX</t>
        </is>
      </c>
      <c r="F144" s="698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68">
        <f>IFERROR(ROUNDUP(D144/F144,0),"")</f>
        <v/>
      </c>
      <c r="H144" s="224" t="n"/>
      <c r="I144" s="268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274" t="n"/>
      <c r="K144" s="274" t="n"/>
      <c r="L144" s="274" t="n"/>
      <c r="M144" s="274" t="n"/>
    </row>
    <row r="145" ht="15" customHeight="1" s="468">
      <c r="A145" s="658" t="n"/>
      <c r="B145" s="640" t="inlineStr">
        <is>
          <t>TOTAL</t>
        </is>
      </c>
      <c r="C145" s="667" t="n"/>
      <c r="D145" s="642">
        <f>SUM(D140:D144)</f>
        <v/>
      </c>
      <c r="E145" s="668" t="n"/>
      <c r="F145" s="644" t="n"/>
      <c r="G145" s="642">
        <f>SUM(G140:G144)</f>
        <v/>
      </c>
      <c r="H145" s="642">
        <f>SUM(H140:H144)</f>
        <v/>
      </c>
      <c r="I145" s="642">
        <f>SUM(I140:I144)</f>
        <v/>
      </c>
      <c r="J145" s="644">
        <f>D145</f>
        <v/>
      </c>
      <c r="K145" s="644">
        <f>G145</f>
        <v/>
      </c>
      <c r="L145" s="644">
        <f>H145</f>
        <v/>
      </c>
      <c r="M145" s="644">
        <f>I145</f>
        <v/>
      </c>
    </row>
    <row r="146" ht="6" customHeight="1" s="468">
      <c r="A146" s="699" t="n"/>
      <c r="B146" s="265" t="n"/>
      <c r="C146" s="276" t="n"/>
      <c r="D146" s="274" t="n"/>
      <c r="E146" s="265" t="n"/>
      <c r="F146" s="274" t="n"/>
      <c r="G146" s="274" t="n"/>
      <c r="H146" s="274" t="n"/>
      <c r="I146" s="274" t="n"/>
      <c r="J146" s="274" t="n"/>
      <c r="K146" s="274" t="n"/>
      <c r="L146" s="274" t="n"/>
      <c r="M146" s="274" t="n"/>
    </row>
    <row r="147" ht="15" customHeight="1" s="468">
      <c r="A147" s="646" t="n">
        <v>46349</v>
      </c>
      <c r="B147" s="213" t="inlineStr">
        <is>
          <t>PRODUTO</t>
        </is>
      </c>
      <c r="C147" s="214" t="inlineStr">
        <is>
          <t>EMBALAGEM</t>
        </is>
      </c>
      <c r="D147" s="244" t="inlineStr">
        <is>
          <t>CAIXAS</t>
        </is>
      </c>
      <c r="E147" s="215" t="inlineStr">
        <is>
          <t>UN</t>
        </is>
      </c>
      <c r="F147" s="687" t="inlineStr">
        <is>
          <t>CX/PALLET</t>
        </is>
      </c>
      <c r="G147" s="244" t="inlineStr">
        <is>
          <t>PALLETS (PBR)</t>
        </is>
      </c>
      <c r="H147" s="244" t="inlineStr">
        <is>
          <t>REAL (CX)</t>
        </is>
      </c>
      <c r="I147" s="244" t="inlineStr">
        <is>
          <t>TOTAL LATAS</t>
        </is>
      </c>
      <c r="J147" s="552" t="n"/>
      <c r="K147" s="552" t="n"/>
      <c r="L147" s="552" t="n"/>
      <c r="M147" s="552" t="n"/>
    </row>
    <row r="148" ht="21" customHeight="1" s="468">
      <c r="A148" s="685" t="n"/>
      <c r="B148" s="218" t="n"/>
      <c r="C148" s="219" t="n"/>
      <c r="D148" s="220" t="n"/>
      <c r="E148" s="221" t="inlineStr">
        <is>
          <t>CX</t>
        </is>
      </c>
      <c r="F148" s="686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20">
        <f>IFERROR(ROUNDUP(D148/F148,0),"")</f>
        <v/>
      </c>
      <c r="H148" s="224" t="n"/>
      <c r="I148" s="220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552" t="n"/>
      <c r="K148" s="552" t="n"/>
      <c r="L148" s="552" t="n"/>
      <c r="M148" s="552" t="n"/>
    </row>
    <row r="149" ht="21" customHeight="1" s="468">
      <c r="A149" s="685" t="n"/>
      <c r="B149" s="218" t="n"/>
      <c r="C149" s="219" t="n"/>
      <c r="D149" s="220" t="n"/>
      <c r="E149" s="221" t="inlineStr">
        <is>
          <t>CX</t>
        </is>
      </c>
      <c r="F149" s="686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20">
        <f>IFERROR(ROUNDUP(D149/F149,0),"")</f>
        <v/>
      </c>
      <c r="H149" s="224" t="n"/>
      <c r="I149" s="220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552" t="n"/>
      <c r="K149" s="552" t="n"/>
      <c r="L149" s="552" t="n"/>
      <c r="M149" s="552" t="n"/>
    </row>
    <row r="150" ht="21" customHeight="1" s="468">
      <c r="A150" s="685" t="n"/>
      <c r="B150" s="218" t="n"/>
      <c r="C150" s="219" t="n"/>
      <c r="D150" s="220" t="n"/>
      <c r="E150" s="221" t="inlineStr">
        <is>
          <t>CX</t>
        </is>
      </c>
      <c r="F150" s="686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20">
        <f>IFERROR(ROUNDUP(D150/F150,0),"")</f>
        <v/>
      </c>
      <c r="H150" s="224" t="n"/>
      <c r="I150" s="220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552" t="n"/>
      <c r="K150" s="552" t="n"/>
      <c r="L150" s="552" t="n"/>
      <c r="M150" s="552" t="n"/>
    </row>
    <row r="151" ht="21" customHeight="1" s="468">
      <c r="A151" s="685" t="n"/>
      <c r="B151" s="218" t="n"/>
      <c r="C151" s="219" t="n"/>
      <c r="D151" s="220" t="n"/>
      <c r="E151" s="221" t="inlineStr">
        <is>
          <t>CX</t>
        </is>
      </c>
      <c r="F151" s="686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20">
        <f>IFERROR(ROUNDUP(D151/F151,0),"")</f>
        <v/>
      </c>
      <c r="H151" s="224" t="n"/>
      <c r="I151" s="220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52" t="n"/>
      <c r="K151" s="552" t="n"/>
      <c r="L151" s="552" t="n"/>
      <c r="M151" s="552" t="n"/>
    </row>
    <row r="152" ht="21" customHeight="1" s="468">
      <c r="A152" s="685" t="n"/>
      <c r="B152" s="218" t="n"/>
      <c r="C152" s="219" t="n"/>
      <c r="D152" s="220" t="n"/>
      <c r="E152" s="221" t="inlineStr">
        <is>
          <t>CX</t>
        </is>
      </c>
      <c r="F152" s="68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20">
        <f>IFERROR(ROUNDUP(D152/F152,0),"")</f>
        <v/>
      </c>
      <c r="H152" s="224" t="n"/>
      <c r="I152" s="220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552" t="n"/>
      <c r="K152" s="552" t="n"/>
      <c r="L152" s="552" t="n"/>
      <c r="M152" s="552" t="n"/>
    </row>
    <row r="153" ht="15" customHeight="1" s="468">
      <c r="A153" s="658" t="n"/>
      <c r="B153" s="640" t="inlineStr">
        <is>
          <t>TOTAL</t>
        </is>
      </c>
      <c r="C153" s="667" t="n"/>
      <c r="D153" s="642">
        <f>SUM(D148:D152)</f>
        <v/>
      </c>
      <c r="E153" s="668" t="n"/>
      <c r="F153" s="644" t="n"/>
      <c r="G153" s="642">
        <f>SUM(G148:G152)</f>
        <v/>
      </c>
      <c r="H153" s="642">
        <f>SUM(H148:H152)</f>
        <v/>
      </c>
      <c r="I153" s="642">
        <f>SUM(I148:I152)</f>
        <v/>
      </c>
      <c r="J153" s="644">
        <f>D153</f>
        <v/>
      </c>
      <c r="K153" s="644">
        <f>G153</f>
        <v/>
      </c>
      <c r="L153" s="644">
        <f>H153</f>
        <v/>
      </c>
      <c r="M153" s="644">
        <f>I153</f>
        <v/>
      </c>
    </row>
    <row r="154" ht="6" customHeight="1" s="468">
      <c r="A154" s="638" t="n"/>
      <c r="C154" s="71" t="n"/>
      <c r="D154" s="552" t="n"/>
      <c r="F154" s="552" t="n"/>
      <c r="G154" s="552" t="n"/>
      <c r="H154" s="552" t="n"/>
      <c r="I154" s="552" t="n"/>
      <c r="J154" s="552" t="n"/>
      <c r="K154" s="552" t="n"/>
      <c r="L154" s="552" t="n"/>
      <c r="M154" s="552" t="n"/>
    </row>
    <row r="155" ht="15" customHeight="1" s="468">
      <c r="A155" s="646" t="n">
        <v>46350</v>
      </c>
      <c r="B155" s="213" t="inlineStr">
        <is>
          <t>PRODUTO</t>
        </is>
      </c>
      <c r="C155" s="214" t="inlineStr">
        <is>
          <t>EMBALAGEM</t>
        </is>
      </c>
      <c r="D155" s="244" t="inlineStr">
        <is>
          <t>CAIXAS</t>
        </is>
      </c>
      <c r="E155" s="215" t="inlineStr">
        <is>
          <t>UN</t>
        </is>
      </c>
      <c r="F155" s="687" t="inlineStr">
        <is>
          <t>CX/PALLET</t>
        </is>
      </c>
      <c r="G155" s="244" t="inlineStr">
        <is>
          <t>PALLETS (PBR)</t>
        </is>
      </c>
      <c r="H155" s="244" t="inlineStr">
        <is>
          <t>REAL (CX)</t>
        </is>
      </c>
      <c r="I155" s="244" t="inlineStr">
        <is>
          <t>TOTAL LATAS</t>
        </is>
      </c>
      <c r="J155" s="552" t="n"/>
      <c r="K155" s="552" t="n"/>
      <c r="L155" s="552" t="n"/>
      <c r="M155" s="552" t="n"/>
    </row>
    <row r="156" ht="21" customHeight="1" s="468">
      <c r="A156" s="685" t="n"/>
      <c r="B156" s="218" t="n"/>
      <c r="C156" s="219" t="n"/>
      <c r="D156" s="220" t="n"/>
      <c r="E156" s="221" t="inlineStr">
        <is>
          <t>CX</t>
        </is>
      </c>
      <c r="F156" s="686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20">
        <f>IFERROR(ROUNDUP(D156/F156,0),"")</f>
        <v/>
      </c>
      <c r="H156" s="224" t="n"/>
      <c r="I156" s="220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552" t="n"/>
      <c r="K156" s="552" t="n"/>
      <c r="L156" s="552" t="n"/>
      <c r="M156" s="552" t="n"/>
    </row>
    <row r="157" ht="21" customHeight="1" s="468">
      <c r="A157" s="685" t="n"/>
      <c r="B157" s="218" t="n"/>
      <c r="C157" s="219" t="n"/>
      <c r="D157" s="220" t="n"/>
      <c r="E157" s="221" t="inlineStr">
        <is>
          <t>CX</t>
        </is>
      </c>
      <c r="F157" s="68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20">
        <f>IFERROR(ROUNDUP(D157/F157,0),"")</f>
        <v/>
      </c>
      <c r="H157" s="224" t="n"/>
      <c r="I157" s="220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 t="n"/>
      <c r="K157" s="552" t="n"/>
      <c r="L157" s="552" t="n"/>
      <c r="M157" s="552" t="n"/>
    </row>
    <row r="158" ht="21" customHeight="1" s="468">
      <c r="A158" s="685" t="n"/>
      <c r="B158" s="218" t="n"/>
      <c r="C158" s="219" t="n"/>
      <c r="D158" s="220" t="n"/>
      <c r="E158" s="221" t="inlineStr">
        <is>
          <t>CX</t>
        </is>
      </c>
      <c r="F158" s="68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20">
        <f>IFERROR(ROUNDUP(D158/F158,0),"")</f>
        <v/>
      </c>
      <c r="H158" s="224" t="n"/>
      <c r="I158" s="220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552" t="n"/>
      <c r="K158" s="552" t="n"/>
      <c r="L158" s="552" t="n"/>
      <c r="M158" s="552" t="n"/>
    </row>
    <row r="159" ht="21" customHeight="1" s="468">
      <c r="A159" s="685" t="n"/>
      <c r="B159" s="218" t="n"/>
      <c r="C159" s="219" t="n"/>
      <c r="D159" s="220" t="n"/>
      <c r="E159" s="221" t="inlineStr">
        <is>
          <t>CX</t>
        </is>
      </c>
      <c r="F159" s="686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20">
        <f>IFERROR(ROUNDUP(D159/F159,0),"")</f>
        <v/>
      </c>
      <c r="H159" s="224" t="n"/>
      <c r="I159" s="220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52" t="n"/>
      <c r="K159" s="552" t="n"/>
      <c r="L159" s="552" t="n"/>
      <c r="M159" s="552" t="n"/>
    </row>
    <row r="160" ht="21" customHeight="1" s="468">
      <c r="A160" s="685" t="n"/>
      <c r="B160" s="218" t="n"/>
      <c r="C160" s="219" t="n"/>
      <c r="D160" s="220" t="n"/>
      <c r="E160" s="221" t="inlineStr">
        <is>
          <t>CX</t>
        </is>
      </c>
      <c r="F160" s="68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20">
        <f>IFERROR(ROUNDUP(D160/F160,0),"")</f>
        <v/>
      </c>
      <c r="H160" s="224" t="n"/>
      <c r="I160" s="22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552" t="n"/>
      <c r="K160" s="552" t="n"/>
      <c r="L160" s="552" t="n"/>
      <c r="M160" s="552" t="n"/>
    </row>
    <row r="161" ht="15" customHeight="1" s="468">
      <c r="A161" s="658" t="n"/>
      <c r="B161" s="640" t="inlineStr">
        <is>
          <t>TOTAL</t>
        </is>
      </c>
      <c r="C161" s="667" t="n"/>
      <c r="D161" s="642">
        <f>SUM(D156:D160)</f>
        <v/>
      </c>
      <c r="E161" s="668" t="n"/>
      <c r="F161" s="644" t="n"/>
      <c r="G161" s="642">
        <f>SUM(G156:G160)</f>
        <v/>
      </c>
      <c r="H161" s="642">
        <f>SUM(H156:H160)</f>
        <v/>
      </c>
      <c r="I161" s="642">
        <f>SUM(I156:I160)</f>
        <v/>
      </c>
      <c r="J161" s="644">
        <f>D161</f>
        <v/>
      </c>
      <c r="K161" s="644">
        <f>G161</f>
        <v/>
      </c>
      <c r="L161" s="644">
        <f>H161</f>
        <v/>
      </c>
      <c r="M161" s="644">
        <f>I161</f>
        <v/>
      </c>
    </row>
    <row r="162" ht="6" customHeight="1" s="468">
      <c r="A162" s="638" t="n"/>
      <c r="C162" s="71" t="n"/>
      <c r="D162" s="552" t="n"/>
      <c r="F162" s="552" t="n"/>
      <c r="G162" s="552" t="n"/>
      <c r="H162" s="552" t="n"/>
      <c r="I162" s="552" t="n"/>
      <c r="J162" s="552" t="n"/>
      <c r="K162" s="552" t="n"/>
      <c r="L162" s="552" t="n"/>
      <c r="M162" s="552" t="n"/>
    </row>
    <row r="163" ht="15" customHeight="1" s="468">
      <c r="A163" s="646" t="n">
        <v>46351</v>
      </c>
      <c r="B163" s="213" t="inlineStr">
        <is>
          <t>PRODUTO</t>
        </is>
      </c>
      <c r="C163" s="214" t="inlineStr">
        <is>
          <t>EMBALAGEM</t>
        </is>
      </c>
      <c r="D163" s="244" t="inlineStr">
        <is>
          <t>CAIXAS</t>
        </is>
      </c>
      <c r="E163" s="215" t="inlineStr">
        <is>
          <t>UN</t>
        </is>
      </c>
      <c r="F163" s="687" t="inlineStr">
        <is>
          <t>CX/PALLET</t>
        </is>
      </c>
      <c r="G163" s="244" t="inlineStr">
        <is>
          <t>PALLETS (PBR)</t>
        </is>
      </c>
      <c r="H163" s="244" t="inlineStr">
        <is>
          <t>REAL (CX)</t>
        </is>
      </c>
      <c r="I163" s="244" t="inlineStr">
        <is>
          <t>TOTAL LATAS</t>
        </is>
      </c>
      <c r="J163" s="552" t="n"/>
      <c r="K163" s="552" t="n"/>
      <c r="L163" s="552" t="n"/>
      <c r="M163" s="552" t="n"/>
    </row>
    <row r="164" ht="21" customHeight="1" s="468">
      <c r="A164" s="685" t="n"/>
      <c r="B164" s="218" t="n"/>
      <c r="C164" s="219" t="n"/>
      <c r="D164" s="220" t="n"/>
      <c r="E164" s="221" t="inlineStr">
        <is>
          <t>CX</t>
        </is>
      </c>
      <c r="F164" s="686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20">
        <f>IFERROR(ROUNDUP(D164/F164,0),"")</f>
        <v/>
      </c>
      <c r="H164" s="224" t="n"/>
      <c r="I164" s="220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552" t="n"/>
      <c r="K164" s="552" t="n"/>
      <c r="L164" s="552" t="n"/>
      <c r="M164" s="552" t="n"/>
    </row>
    <row r="165" ht="21" customHeight="1" s="468">
      <c r="A165" s="685" t="n"/>
      <c r="B165" s="218" t="n"/>
      <c r="C165" s="219" t="n"/>
      <c r="D165" s="220" t="n"/>
      <c r="E165" s="221" t="inlineStr">
        <is>
          <t>CX</t>
        </is>
      </c>
      <c r="F165" s="686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20">
        <f>IFERROR(ROUNDUP(D165/F165,0),"")</f>
        <v/>
      </c>
      <c r="H165" s="224" t="n"/>
      <c r="I165" s="220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552" t="n"/>
      <c r="K165" s="552" t="n"/>
      <c r="L165" s="552" t="n"/>
      <c r="M165" s="552" t="n"/>
    </row>
    <row r="166" ht="21" customHeight="1" s="468">
      <c r="A166" s="685" t="n"/>
      <c r="B166" s="218" t="n"/>
      <c r="C166" s="219" t="n"/>
      <c r="D166" s="220" t="n"/>
      <c r="E166" s="221" t="inlineStr">
        <is>
          <t>CX</t>
        </is>
      </c>
      <c r="F166" s="686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20">
        <f>IFERROR(ROUNDUP(D166/F166,0),"")</f>
        <v/>
      </c>
      <c r="H166" s="224" t="n"/>
      <c r="I166" s="220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552" t="n"/>
      <c r="K166" s="552" t="n"/>
      <c r="L166" s="552" t="n"/>
      <c r="M166" s="552" t="n"/>
    </row>
    <row r="167" ht="21" customHeight="1" s="468">
      <c r="A167" s="685" t="n"/>
      <c r="B167" s="218" t="n"/>
      <c r="C167" s="219" t="n"/>
      <c r="D167" s="220" t="n"/>
      <c r="E167" s="221" t="inlineStr">
        <is>
          <t>CX</t>
        </is>
      </c>
      <c r="F167" s="686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20">
        <f>IFERROR(ROUNDUP(D167/F167,0),"")</f>
        <v/>
      </c>
      <c r="H167" s="224" t="n"/>
      <c r="I167" s="220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552" t="n"/>
      <c r="K167" s="552" t="n"/>
      <c r="L167" s="552" t="n"/>
      <c r="M167" s="552" t="n"/>
    </row>
    <row r="168" ht="21" customHeight="1" s="468">
      <c r="A168" s="685" t="n"/>
      <c r="B168" s="218" t="n"/>
      <c r="C168" s="219" t="n"/>
      <c r="D168" s="220" t="n"/>
      <c r="E168" s="221" t="inlineStr">
        <is>
          <t>CX</t>
        </is>
      </c>
      <c r="F168" s="68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20">
        <f>IFERROR(ROUNDUP(D168/F168,0),"")</f>
        <v/>
      </c>
      <c r="H168" s="224" t="n"/>
      <c r="I168" s="220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 t="n"/>
      <c r="K168" s="552" t="n"/>
      <c r="L168" s="552" t="n"/>
      <c r="M168" s="552" t="n"/>
    </row>
    <row r="169" ht="15" customHeight="1" s="468">
      <c r="A169" s="658" t="n"/>
      <c r="B169" s="640" t="inlineStr">
        <is>
          <t>TOTAL</t>
        </is>
      </c>
      <c r="C169" s="667" t="n"/>
      <c r="D169" s="642">
        <f>SUM(D164:D168)</f>
        <v/>
      </c>
      <c r="E169" s="668" t="n"/>
      <c r="F169" s="644" t="n"/>
      <c r="G169" s="642">
        <f>SUM(G164:G168)</f>
        <v/>
      </c>
      <c r="H169" s="642">
        <f>SUM(H164:H168)</f>
        <v/>
      </c>
      <c r="I169" s="642">
        <f>SUM(I164:I168)</f>
        <v/>
      </c>
      <c r="J169" s="644">
        <f>D169</f>
        <v/>
      </c>
      <c r="K169" s="644">
        <f>G169</f>
        <v/>
      </c>
      <c r="L169" s="644">
        <f>H169</f>
        <v/>
      </c>
      <c r="M169" s="644">
        <f>I169</f>
        <v/>
      </c>
    </row>
    <row r="170" ht="6" customHeight="1" s="468">
      <c r="A170" s="638" t="n"/>
      <c r="C170" s="71" t="n"/>
      <c r="D170" s="552" t="n"/>
      <c r="F170" s="552" t="n"/>
      <c r="G170" s="552" t="n"/>
      <c r="H170" s="552" t="n"/>
      <c r="I170" s="552" t="n"/>
      <c r="J170" s="552" t="n"/>
      <c r="K170" s="552" t="n"/>
      <c r="L170" s="552" t="n"/>
      <c r="M170" s="552" t="n"/>
    </row>
    <row r="171" ht="14.25" customHeight="1" s="468">
      <c r="A171" s="646" t="n">
        <v>46352</v>
      </c>
      <c r="B171" s="213" t="inlineStr">
        <is>
          <t>PRODUTO</t>
        </is>
      </c>
      <c r="C171" s="214" t="inlineStr">
        <is>
          <t>EMBALAGEM</t>
        </is>
      </c>
      <c r="D171" s="244" t="inlineStr">
        <is>
          <t>CAIXAS</t>
        </is>
      </c>
      <c r="E171" s="215" t="inlineStr">
        <is>
          <t>UN</t>
        </is>
      </c>
      <c r="F171" s="687" t="inlineStr">
        <is>
          <t>CX/PALLET</t>
        </is>
      </c>
      <c r="G171" s="244" t="inlineStr">
        <is>
          <t>PALLETS (PBR)</t>
        </is>
      </c>
      <c r="H171" s="244" t="inlineStr">
        <is>
          <t>REAL (CX)</t>
        </is>
      </c>
      <c r="I171" s="244" t="inlineStr">
        <is>
          <t>TOTAL LATAS</t>
        </is>
      </c>
      <c r="J171" s="552" t="n"/>
      <c r="K171" s="552" t="n"/>
      <c r="L171" s="552" t="n"/>
      <c r="M171" s="552" t="n"/>
    </row>
    <row r="172" ht="21" customHeight="1" s="468">
      <c r="A172" s="685" t="n"/>
      <c r="B172" s="218" t="n"/>
      <c r="C172" s="219" t="n"/>
      <c r="D172" s="220" t="n"/>
      <c r="E172" s="221" t="inlineStr">
        <is>
          <t>CX</t>
        </is>
      </c>
      <c r="F172" s="686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20">
        <f>IFERROR(ROUNDUP(D172/F172,0),"")</f>
        <v/>
      </c>
      <c r="H172" s="224" t="n"/>
      <c r="I172" s="220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552" t="n"/>
      <c r="K172" s="552" t="n"/>
      <c r="L172" s="552" t="n"/>
      <c r="M172" s="552" t="n"/>
    </row>
    <row r="173" ht="21" customHeight="1" s="468">
      <c r="A173" s="685" t="n"/>
      <c r="B173" s="218" t="n"/>
      <c r="C173" s="219" t="n"/>
      <c r="D173" s="220" t="n"/>
      <c r="E173" s="221" t="inlineStr">
        <is>
          <t>CX</t>
        </is>
      </c>
      <c r="F173" s="686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20">
        <f>IFERROR(ROUNDUP(D173/F173,0),"")</f>
        <v/>
      </c>
      <c r="H173" s="224" t="n"/>
      <c r="I173" s="220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552" t="n"/>
      <c r="K173" s="552" t="n"/>
      <c r="L173" s="552" t="n"/>
      <c r="M173" s="552" t="n"/>
    </row>
    <row r="174" ht="21" customHeight="1" s="468">
      <c r="A174" s="685" t="n"/>
      <c r="B174" s="218" t="n"/>
      <c r="C174" s="219" t="n"/>
      <c r="D174" s="220" t="n"/>
      <c r="E174" s="221" t="inlineStr">
        <is>
          <t>CX</t>
        </is>
      </c>
      <c r="F174" s="686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20">
        <f>IFERROR(ROUNDUP(D174/F174,0),"")</f>
        <v/>
      </c>
      <c r="H174" s="224" t="n"/>
      <c r="I174" s="220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552" t="n"/>
      <c r="K174" s="552" t="n"/>
      <c r="L174" s="552" t="n"/>
      <c r="M174" s="552" t="n"/>
    </row>
    <row r="175" ht="21" customHeight="1" s="468">
      <c r="A175" s="685" t="n"/>
      <c r="B175" s="218" t="n"/>
      <c r="C175" s="219" t="n"/>
      <c r="D175" s="220" t="n"/>
      <c r="E175" s="221" t="inlineStr">
        <is>
          <t>CX</t>
        </is>
      </c>
      <c r="F175" s="686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20">
        <f>IFERROR(ROUNDUP(D175/F175,0),"")</f>
        <v/>
      </c>
      <c r="H175" s="224" t="n"/>
      <c r="I175" s="220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552" t="n"/>
      <c r="K175" s="552" t="n"/>
      <c r="L175" s="552" t="n"/>
      <c r="M175" s="552" t="n"/>
    </row>
    <row r="176" ht="21" customHeight="1" s="468">
      <c r="A176" s="685" t="n"/>
      <c r="B176" s="218" t="n"/>
      <c r="C176" s="219" t="n"/>
      <c r="D176" s="220" t="n"/>
      <c r="E176" s="221" t="inlineStr">
        <is>
          <t>CX</t>
        </is>
      </c>
      <c r="F176" s="68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20">
        <f>IFERROR(ROUNDUP(D176/F176,0),"")</f>
        <v/>
      </c>
      <c r="H176" s="224" t="n"/>
      <c r="I176" s="220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 t="n"/>
      <c r="K176" s="552" t="n"/>
      <c r="L176" s="552" t="n"/>
      <c r="M176" s="552" t="n"/>
    </row>
    <row r="177" ht="14.25" customHeight="1" s="468">
      <c r="A177" s="658" t="n"/>
      <c r="B177" s="640" t="inlineStr">
        <is>
          <t>TOTAL</t>
        </is>
      </c>
      <c r="C177" s="667" t="n"/>
      <c r="D177" s="642">
        <f>SUM(D172:D176)</f>
        <v/>
      </c>
      <c r="E177" s="668" t="n"/>
      <c r="F177" s="644" t="n"/>
      <c r="G177" s="642">
        <f>SUM(G172:G176)</f>
        <v/>
      </c>
      <c r="H177" s="642">
        <f>SUM(H172:H176)</f>
        <v/>
      </c>
      <c r="I177" s="642">
        <f>SUM(I172:I176)</f>
        <v/>
      </c>
      <c r="J177" s="644">
        <f>D177</f>
        <v/>
      </c>
      <c r="K177" s="644">
        <f>G177</f>
        <v/>
      </c>
      <c r="L177" s="644">
        <f>H177</f>
        <v/>
      </c>
      <c r="M177" s="644">
        <f>I177</f>
        <v/>
      </c>
    </row>
    <row r="178" ht="14.25" customHeight="1" s="468">
      <c r="A178" s="638" t="n"/>
      <c r="C178" s="71" t="n"/>
      <c r="D178" s="552" t="n"/>
      <c r="F178" s="552" t="n"/>
      <c r="G178" s="552" t="n"/>
      <c r="H178" s="552" t="n"/>
      <c r="I178" s="552" t="n"/>
      <c r="J178" s="552" t="n"/>
      <c r="K178" s="552" t="n"/>
      <c r="L178" s="552" t="n"/>
      <c r="M178" s="552" t="n"/>
    </row>
    <row r="179" ht="14.25" customHeight="1" s="468">
      <c r="A179" s="646" t="n">
        <v>46353</v>
      </c>
      <c r="B179" s="213" t="inlineStr">
        <is>
          <t>PRODUTO</t>
        </is>
      </c>
      <c r="C179" s="214" t="inlineStr">
        <is>
          <t>EMBALAGEM</t>
        </is>
      </c>
      <c r="D179" s="244" t="inlineStr">
        <is>
          <t>CAIXAS</t>
        </is>
      </c>
      <c r="E179" s="215" t="inlineStr">
        <is>
          <t>UN</t>
        </is>
      </c>
      <c r="F179" s="687" t="inlineStr">
        <is>
          <t>CX/PALLET</t>
        </is>
      </c>
      <c r="G179" s="244" t="inlineStr">
        <is>
          <t>PALLETS (PBR)</t>
        </is>
      </c>
      <c r="H179" s="244" t="inlineStr">
        <is>
          <t>REAL (CX)</t>
        </is>
      </c>
      <c r="I179" s="244" t="inlineStr">
        <is>
          <t>TOTAL LATAS</t>
        </is>
      </c>
      <c r="J179" s="552" t="n"/>
      <c r="K179" s="552" t="n"/>
      <c r="L179" s="552" t="n"/>
      <c r="M179" s="552" t="n"/>
    </row>
    <row r="180" ht="21" customHeight="1" s="468">
      <c r="A180" s="685" t="n"/>
      <c r="B180" s="218" t="n"/>
      <c r="C180" s="219" t="n"/>
      <c r="D180" s="220" t="n"/>
      <c r="E180" s="221" t="inlineStr">
        <is>
          <t>CX</t>
        </is>
      </c>
      <c r="F180" s="686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20">
        <f>IFERROR(ROUNDUP(D180/F180,0),"")</f>
        <v/>
      </c>
      <c r="H180" s="224" t="n"/>
      <c r="I180" s="220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552" t="n"/>
      <c r="K180" s="552" t="n"/>
      <c r="L180" s="552" t="n"/>
      <c r="M180" s="552" t="n"/>
    </row>
    <row r="181" ht="21" customHeight="1" s="468">
      <c r="A181" s="685" t="n"/>
      <c r="B181" s="218" t="n"/>
      <c r="C181" s="219" t="n"/>
      <c r="D181" s="220" t="n"/>
      <c r="E181" s="221" t="inlineStr">
        <is>
          <t>CX</t>
        </is>
      </c>
      <c r="F181" s="686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20">
        <f>IFERROR(ROUNDUP(D181/F181,0),"")</f>
        <v/>
      </c>
      <c r="H181" s="224" t="n"/>
      <c r="I181" s="220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552" t="n"/>
      <c r="K181" s="552" t="n"/>
      <c r="L181" s="552" t="n"/>
      <c r="M181" s="552" t="n"/>
    </row>
    <row r="182" ht="21" customHeight="1" s="468">
      <c r="A182" s="685" t="n"/>
      <c r="B182" s="218" t="n"/>
      <c r="C182" s="219" t="n"/>
      <c r="D182" s="220" t="n"/>
      <c r="E182" s="221" t="inlineStr">
        <is>
          <t>CX</t>
        </is>
      </c>
      <c r="F182" s="686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20">
        <f>IFERROR(ROUNDUP(D182/F182,0),"")</f>
        <v/>
      </c>
      <c r="H182" s="224" t="n"/>
      <c r="I182" s="220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552" t="n"/>
      <c r="K182" s="552" t="n"/>
      <c r="L182" s="552" t="n"/>
      <c r="M182" s="552" t="n"/>
    </row>
    <row r="183" ht="21" customHeight="1" s="468">
      <c r="A183" s="685" t="n"/>
      <c r="B183" s="218" t="n"/>
      <c r="C183" s="219" t="n"/>
      <c r="D183" s="220" t="n"/>
      <c r="E183" s="221" t="inlineStr">
        <is>
          <t>CX</t>
        </is>
      </c>
      <c r="F183" s="686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20">
        <f>IFERROR(ROUNDUP(D183/F183,0),"")</f>
        <v/>
      </c>
      <c r="H183" s="224" t="n"/>
      <c r="I183" s="220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552" t="n"/>
      <c r="K183" s="552" t="n"/>
      <c r="L183" s="552" t="n"/>
      <c r="M183" s="552" t="n"/>
    </row>
    <row r="184" ht="21" customHeight="1" s="468">
      <c r="A184" s="685" t="n"/>
      <c r="B184" s="218" t="n"/>
      <c r="C184" s="219" t="n"/>
      <c r="D184" s="220" t="n"/>
      <c r="E184" s="221" t="inlineStr">
        <is>
          <t>CX</t>
        </is>
      </c>
      <c r="F184" s="686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20">
        <f>IFERROR(ROUNDUP(D184/F184,0),"")</f>
        <v/>
      </c>
      <c r="H184" s="224" t="n"/>
      <c r="I184" s="220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552" t="n"/>
      <c r="K184" s="552" t="n"/>
      <c r="L184" s="552" t="n"/>
      <c r="M184" s="552" t="n"/>
    </row>
    <row r="185" ht="14.25" customHeight="1" s="468">
      <c r="A185" s="658" t="n"/>
      <c r="B185" s="640" t="inlineStr">
        <is>
          <t>TOTAL</t>
        </is>
      </c>
      <c r="C185" s="667" t="n"/>
      <c r="D185" s="642">
        <f>SUM(D180:D184)</f>
        <v/>
      </c>
      <c r="E185" s="668" t="n"/>
      <c r="F185" s="644" t="n"/>
      <c r="G185" s="642">
        <f>SUM(G180:G184)</f>
        <v/>
      </c>
      <c r="H185" s="642">
        <f>SUM(H180:H184)</f>
        <v/>
      </c>
      <c r="I185" s="642">
        <f>SUM(I180:I184)</f>
        <v/>
      </c>
      <c r="J185" s="644">
        <f>D185</f>
        <v/>
      </c>
      <c r="K185" s="644">
        <f>G185</f>
        <v/>
      </c>
      <c r="L185" s="644">
        <f>H185</f>
        <v/>
      </c>
      <c r="M185" s="644">
        <f>I185</f>
        <v/>
      </c>
    </row>
    <row r="186" ht="14.25" customHeight="1" s="468">
      <c r="A186" s="638" t="n"/>
      <c r="C186" s="71" t="n"/>
      <c r="D186" s="552" t="n"/>
      <c r="F186" s="552" t="n"/>
      <c r="G186" s="552" t="n"/>
      <c r="H186" s="552" t="n"/>
      <c r="I186" s="552" t="n"/>
      <c r="J186" s="552" t="n"/>
      <c r="K186" s="552" t="n"/>
      <c r="L186" s="552" t="n"/>
      <c r="M186" s="552" t="n"/>
    </row>
    <row r="187" ht="14.25" customHeight="1" s="468">
      <c r="A187" s="696" t="n">
        <v>46354</v>
      </c>
      <c r="B187" s="213" t="inlineStr">
        <is>
          <t>PRODUTO</t>
        </is>
      </c>
      <c r="C187" s="214" t="inlineStr">
        <is>
          <t>EMBALAGEM</t>
        </is>
      </c>
      <c r="D187" s="244" t="inlineStr">
        <is>
          <t>CAIXAS</t>
        </is>
      </c>
      <c r="E187" s="215" t="inlineStr">
        <is>
          <t>UN</t>
        </is>
      </c>
      <c r="F187" s="697" t="inlineStr">
        <is>
          <t>CX/PALLET</t>
        </is>
      </c>
      <c r="G187" s="244" t="inlineStr">
        <is>
          <t>PALLETS (PBR)</t>
        </is>
      </c>
      <c r="H187" s="244" t="inlineStr">
        <is>
          <t>REAL (CX)</t>
        </is>
      </c>
      <c r="I187" s="244" t="inlineStr">
        <is>
          <t>TOTAL LATAS</t>
        </is>
      </c>
      <c r="J187" s="274" t="n"/>
      <c r="K187" s="274" t="n"/>
      <c r="L187" s="274" t="n"/>
      <c r="M187" s="274" t="n"/>
    </row>
    <row r="188" ht="21" customHeight="1" s="468">
      <c r="A188" s="685" t="n"/>
      <c r="B188" s="266" t="n"/>
      <c r="C188" s="267" t="n"/>
      <c r="D188" s="268" t="n"/>
      <c r="E188" s="269" t="inlineStr">
        <is>
          <t>CX</t>
        </is>
      </c>
      <c r="F188" s="698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68">
        <f>IFERROR(ROUNDUP(D188/F188,0),"")</f>
        <v/>
      </c>
      <c r="H188" s="224" t="n"/>
      <c r="I188" s="268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274" t="n"/>
      <c r="K188" s="274" t="n"/>
      <c r="L188" s="274" t="n"/>
      <c r="M188" s="274" t="n"/>
    </row>
    <row r="189" ht="21" customHeight="1" s="468">
      <c r="A189" s="685" t="n"/>
      <c r="B189" s="266" t="n"/>
      <c r="C189" s="267" t="n"/>
      <c r="D189" s="268" t="n"/>
      <c r="E189" s="269" t="inlineStr">
        <is>
          <t>CX</t>
        </is>
      </c>
      <c r="F189" s="698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68">
        <f>IFERROR(ROUNDUP(D189/F189,0),"")</f>
        <v/>
      </c>
      <c r="H189" s="224" t="n"/>
      <c r="I189" s="268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274" t="n"/>
      <c r="K189" s="274" t="n"/>
      <c r="L189" s="274" t="n"/>
      <c r="M189" s="274" t="n"/>
    </row>
    <row r="190" ht="21" customHeight="1" s="468">
      <c r="A190" s="685" t="n"/>
      <c r="B190" s="266" t="n"/>
      <c r="C190" s="267" t="n"/>
      <c r="D190" s="268" t="n"/>
      <c r="E190" s="269" t="inlineStr">
        <is>
          <t>CX</t>
        </is>
      </c>
      <c r="F190" s="698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68">
        <f>IFERROR(ROUNDUP(D190/F190,0),"")</f>
        <v/>
      </c>
      <c r="H190" s="224" t="n"/>
      <c r="I190" s="268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274" t="n"/>
      <c r="K190" s="274" t="n"/>
      <c r="L190" s="274" t="n"/>
      <c r="M190" s="274" t="n"/>
    </row>
    <row r="191" ht="21" customHeight="1" s="468">
      <c r="A191" s="685" t="n"/>
      <c r="B191" s="266" t="n"/>
      <c r="C191" s="267" t="n"/>
      <c r="D191" s="268" t="n"/>
      <c r="E191" s="269" t="inlineStr">
        <is>
          <t>CX</t>
        </is>
      </c>
      <c r="F191" s="698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68">
        <f>IFERROR(ROUNDUP(D191/F191,0),"")</f>
        <v/>
      </c>
      <c r="H191" s="224" t="n"/>
      <c r="I191" s="268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274" t="n"/>
      <c r="K191" s="274" t="n"/>
      <c r="L191" s="274" t="n"/>
      <c r="M191" s="274" t="n"/>
    </row>
    <row r="192" ht="21" customHeight="1" s="468">
      <c r="A192" s="685" t="n"/>
      <c r="B192" s="266" t="n"/>
      <c r="C192" s="267" t="n"/>
      <c r="D192" s="268" t="n"/>
      <c r="E192" s="269" t="inlineStr">
        <is>
          <t>CX</t>
        </is>
      </c>
      <c r="F192" s="698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68">
        <f>IFERROR(ROUNDUP(D192/F192,0),"")</f>
        <v/>
      </c>
      <c r="H192" s="224" t="n"/>
      <c r="I192" s="268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274" t="n"/>
      <c r="K192" s="274" t="n"/>
      <c r="L192" s="274" t="n"/>
      <c r="M192" s="274" t="n"/>
    </row>
    <row r="193" ht="14.25" customHeight="1" s="468">
      <c r="A193" s="658" t="n"/>
      <c r="B193" s="640" t="inlineStr">
        <is>
          <t>TOTAL</t>
        </is>
      </c>
      <c r="C193" s="667" t="n"/>
      <c r="D193" s="642">
        <f>SUM(D188:D192)</f>
        <v/>
      </c>
      <c r="E193" s="668" t="n"/>
      <c r="F193" s="644" t="n"/>
      <c r="G193" s="642">
        <f>SUM(G188:G192)</f>
        <v/>
      </c>
      <c r="H193" s="642">
        <f>SUM(H188:H192)</f>
        <v/>
      </c>
      <c r="I193" s="642">
        <f>SUM(I188:I192)</f>
        <v/>
      </c>
      <c r="J193" s="644">
        <f>D193</f>
        <v/>
      </c>
      <c r="K193" s="644">
        <f>G193</f>
        <v/>
      </c>
      <c r="L193" s="644">
        <f>H193</f>
        <v/>
      </c>
      <c r="M193" s="644">
        <f>I193</f>
        <v/>
      </c>
    </row>
    <row r="194" ht="14.25" customHeight="1" s="468">
      <c r="A194" s="699" t="n"/>
      <c r="B194" s="265" t="n"/>
      <c r="C194" s="276" t="n"/>
      <c r="D194" s="274" t="n"/>
      <c r="E194" s="265" t="n"/>
      <c r="F194" s="274" t="n"/>
      <c r="G194" s="274" t="n"/>
      <c r="H194" s="274" t="n"/>
      <c r="I194" s="274" t="n"/>
      <c r="J194" s="274" t="n"/>
      <c r="K194" s="274" t="n"/>
      <c r="L194" s="274" t="n"/>
      <c r="M194" s="274" t="n"/>
    </row>
    <row r="195" ht="14.25" customHeight="1" s="468">
      <c r="A195" s="646" t="n">
        <v>46356</v>
      </c>
      <c r="B195" s="213" t="inlineStr">
        <is>
          <t>PRODUTO</t>
        </is>
      </c>
      <c r="C195" s="214" t="inlineStr">
        <is>
          <t>EMBALAGEM</t>
        </is>
      </c>
      <c r="D195" s="244" t="inlineStr">
        <is>
          <t>CAIXAS</t>
        </is>
      </c>
      <c r="E195" s="215" t="inlineStr">
        <is>
          <t>UN</t>
        </is>
      </c>
      <c r="F195" s="687" t="inlineStr">
        <is>
          <t>CX/PALLET</t>
        </is>
      </c>
      <c r="G195" s="244" t="inlineStr">
        <is>
          <t>PALLETS (PBR)</t>
        </is>
      </c>
      <c r="H195" s="244" t="inlineStr">
        <is>
          <t>REAL (CX)</t>
        </is>
      </c>
      <c r="I195" s="244" t="inlineStr">
        <is>
          <t>TOTAL LATAS</t>
        </is>
      </c>
      <c r="J195" s="552" t="n"/>
      <c r="K195" s="552" t="n"/>
      <c r="L195" s="552" t="n"/>
      <c r="M195" s="552" t="n"/>
    </row>
    <row r="196" ht="21" customHeight="1" s="468">
      <c r="A196" s="685" t="n"/>
      <c r="B196" s="218" t="n"/>
      <c r="C196" s="219" t="n"/>
      <c r="D196" s="220" t="n"/>
      <c r="E196" s="221" t="inlineStr">
        <is>
          <t>CX</t>
        </is>
      </c>
      <c r="F196" s="68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20">
        <f>IFERROR(ROUNDUP(D196/F196,0),"")</f>
        <v/>
      </c>
      <c r="H196" s="224" t="n"/>
      <c r="I196" s="220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552" t="n"/>
      <c r="K196" s="552" t="n"/>
      <c r="L196" s="552" t="n"/>
      <c r="M196" s="552" t="n"/>
    </row>
    <row r="197" ht="21" customHeight="1" s="468">
      <c r="A197" s="685" t="n"/>
      <c r="B197" s="218" t="n"/>
      <c r="C197" s="219" t="n"/>
      <c r="D197" s="220" t="n"/>
      <c r="E197" s="221" t="inlineStr">
        <is>
          <t>CX</t>
        </is>
      </c>
      <c r="F197" s="686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20">
        <f>IFERROR(ROUNDUP(D197/F197,0),"")</f>
        <v/>
      </c>
      <c r="H197" s="224" t="n"/>
      <c r="I197" s="220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552" t="n"/>
      <c r="K197" s="552" t="n"/>
      <c r="L197" s="552" t="n"/>
      <c r="M197" s="552" t="n"/>
    </row>
    <row r="198" ht="21" customHeight="1" s="468">
      <c r="A198" s="685" t="n"/>
      <c r="B198" s="218" t="n"/>
      <c r="C198" s="219" t="n"/>
      <c r="D198" s="220" t="n"/>
      <c r="E198" s="221" t="inlineStr">
        <is>
          <t>CX</t>
        </is>
      </c>
      <c r="F198" s="686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20">
        <f>IFERROR(ROUNDUP(D198/F198,0),"")</f>
        <v/>
      </c>
      <c r="H198" s="224" t="n"/>
      <c r="I198" s="220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552" t="n"/>
      <c r="K198" s="552" t="n"/>
      <c r="L198" s="552" t="n"/>
      <c r="M198" s="552" t="n"/>
    </row>
    <row r="199" ht="21" customHeight="1" s="468">
      <c r="A199" s="685" t="n"/>
      <c r="B199" s="218" t="n"/>
      <c r="C199" s="219" t="n"/>
      <c r="D199" s="220" t="n"/>
      <c r="E199" s="221" t="inlineStr">
        <is>
          <t>CX</t>
        </is>
      </c>
      <c r="F199" s="686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20">
        <f>IFERROR(ROUNDUP(D199/F199,0),"")</f>
        <v/>
      </c>
      <c r="H199" s="224" t="n"/>
      <c r="I199" s="220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552" t="n"/>
      <c r="K199" s="552" t="n"/>
      <c r="L199" s="552" t="n"/>
      <c r="M199" s="552" t="n"/>
    </row>
    <row r="200" ht="21" customHeight="1" s="468">
      <c r="A200" s="685" t="n"/>
      <c r="B200" s="218" t="n"/>
      <c r="C200" s="219" t="n"/>
      <c r="D200" s="220" t="n"/>
      <c r="E200" s="221" t="inlineStr">
        <is>
          <t>CX</t>
        </is>
      </c>
      <c r="F200" s="686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20">
        <f>IFERROR(ROUNDUP(D200/F200,0),"")</f>
        <v/>
      </c>
      <c r="H200" s="224" t="n"/>
      <c r="I200" s="220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552" t="n"/>
      <c r="K200" s="552" t="n"/>
      <c r="L200" s="552" t="n"/>
      <c r="M200" s="552" t="n"/>
    </row>
    <row r="201" ht="14.25" customHeight="1" s="468">
      <c r="A201" s="658" t="n"/>
      <c r="B201" s="640" t="inlineStr">
        <is>
          <t>TOTAL</t>
        </is>
      </c>
      <c r="C201" s="667" t="n"/>
      <c r="D201" s="642">
        <f>SUM(D196:D200)</f>
        <v/>
      </c>
      <c r="E201" s="668" t="n"/>
      <c r="F201" s="644" t="n"/>
      <c r="G201" s="642">
        <f>SUM(G196:G200)</f>
        <v/>
      </c>
      <c r="H201" s="642">
        <f>SUM(H196:H200)</f>
        <v/>
      </c>
      <c r="I201" s="642">
        <f>SUM(I196:I200)</f>
        <v/>
      </c>
      <c r="J201" s="644">
        <f>D201</f>
        <v/>
      </c>
      <c r="K201" s="644">
        <f>G201</f>
        <v/>
      </c>
      <c r="L201" s="644">
        <f>H201</f>
        <v/>
      </c>
      <c r="M201" s="644">
        <f>I201</f>
        <v/>
      </c>
    </row>
  </sheetData>
  <mergeCells count="3">
    <mergeCell ref="A1:I1"/>
    <mergeCell ref="A2:F2"/>
    <mergeCell ref="G2:I2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69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tabColor rgb="FF0F766E"/>
    <outlinePr summaryBelow="1" summaryRight="1"/>
    <pageSetUpPr/>
  </sheetPr>
  <dimension ref="A1:Y59"/>
  <sheetViews>
    <sheetView showGridLines="0" topLeftCell="A10" zoomScale="90" zoomScaleNormal="90" workbookViewId="0">
      <pane ySplit="8" topLeftCell="A9" activePane="bottomLeft" state="frozen"/>
      <selection pane="bottomLeft" activeCell="F24" sqref="F24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width="13" customWidth="1" style="468" min="13" max="13"/>
    <col hidden="1" width="13" customWidth="1" style="468" min="24" max="25"/>
  </cols>
  <sheetData>
    <row r="1" ht="19.5" customHeight="1" s="468">
      <c r="A1" s="675" t="inlineStr">
        <is>
          <t>RESULTADOS E GRÁFICO - NOVEMBRO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SUM(C9:C33)</f>
        <v/>
      </c>
      <c r="D4" s="152">
        <f>SUM(D9:D33)</f>
        <v/>
      </c>
      <c r="F4" s="152">
        <f>IFERROR(SUMIFS(C9:C33,A9:A33,"&lt;="&amp;TODAY(),F9:F33,"&lt;&gt;*Feriado*")/COUNTIFS(A9:A33,"&lt;="&amp;TODAY(),F9:F33,"&lt;&gt;*Feriado*"),0)</f>
        <v/>
      </c>
      <c r="H4" s="152">
        <f>IFERROR(MAX(C9:C33),0)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5" customHeight="1" s="468">
      <c r="A9" s="676" t="n">
        <v>46328</v>
      </c>
      <c r="B9" s="677">
        <f>IF(D9&gt;0,COUNTIF($D$9:D9,"&gt;0"),"")</f>
        <v/>
      </c>
      <c r="C9" s="678">
        <f>'SEMANA NOVEMBRO'!$M$9</f>
        <v/>
      </c>
      <c r="D9" s="678" t="n">
        <v>0</v>
      </c>
      <c r="E9" s="678">
        <f>C9-D9</f>
        <v/>
      </c>
      <c r="F9" s="679" t="inlineStr">
        <is>
          <t>Feriado - Finados</t>
        </is>
      </c>
      <c r="X9">
        <f>IF(COUNTIF($F9,"*Feriado*")&gt;0,NA(),$C9)</f>
        <v/>
      </c>
      <c r="Y9">
        <f>IF(COUNTIF($F9,"*Feriado*")&gt;0,NA(),$D9)</f>
        <v/>
      </c>
    </row>
    <row r="10" ht="15" customHeight="1" s="468">
      <c r="A10" s="676" t="n">
        <v>46329</v>
      </c>
      <c r="B10" s="677">
        <f>IF(D10&gt;0,COUNTIF($D$9:D10,"&gt;0"),"")</f>
        <v/>
      </c>
      <c r="C10" s="678">
        <f>'SEMANA NOVEMBRO'!$M$17</f>
        <v/>
      </c>
      <c r="D10" s="678">
        <f>CONFIG!$B$3</f>
        <v/>
      </c>
      <c r="E10" s="678">
        <f>C10-D10</f>
        <v/>
      </c>
      <c r="F10" s="679" t="n"/>
      <c r="X10" s="552">
        <f>IF(COUNTIF($F10,"*Feriado*")&gt;0,NA(),$C10)</f>
        <v/>
      </c>
      <c r="Y10" s="552">
        <f>IF(COUNTIF($F10,"*Feriado*")&gt;0,NA(),$D10)</f>
        <v/>
      </c>
    </row>
    <row r="11" ht="15" customHeight="1" s="468">
      <c r="A11" s="676" t="n">
        <v>46330</v>
      </c>
      <c r="B11" s="677">
        <f>IF(D11&gt;0,COUNTIF($D$9:D11,"&gt;0"),"")</f>
        <v/>
      </c>
      <c r="C11" s="678">
        <f>'SEMANA NOVEMBRO'!$M$25</f>
        <v/>
      </c>
      <c r="D11" s="678">
        <f>CONFIG!$B$3</f>
        <v/>
      </c>
      <c r="E11" s="678">
        <f>C11-D11</f>
        <v/>
      </c>
      <c r="F11" s="679" t="n"/>
      <c r="X11" s="552">
        <f>IF(COUNTIF($F11,"*Feriado*")&gt;0,NA(),$C11)</f>
        <v/>
      </c>
      <c r="Y11" s="552">
        <f>IF(COUNTIF($F11,"*Feriado*")&gt;0,NA(),$D11)</f>
        <v/>
      </c>
    </row>
    <row r="12" ht="15" customHeight="1" s="468">
      <c r="A12" s="676" t="n">
        <v>46331</v>
      </c>
      <c r="B12" s="677">
        <f>IF(D12&gt;0,COUNTIF($D$9:D12,"&gt;0"),"")</f>
        <v/>
      </c>
      <c r="C12" s="678">
        <f>'SEMANA NOVEMBRO'!$M$33</f>
        <v/>
      </c>
      <c r="D12" s="678">
        <f>CONFIG!$B$3</f>
        <v/>
      </c>
      <c r="E12" s="678">
        <f>C12-D12</f>
        <v/>
      </c>
      <c r="F12" s="679" t="n"/>
      <c r="X12" s="552">
        <f>IF(COUNTIF($F12,"*Feriado*")&gt;0,NA(),$C12)</f>
        <v/>
      </c>
      <c r="Y12" s="552">
        <f>IF(COUNTIF($F12,"*Feriado*")&gt;0,NA(),$D12)</f>
        <v/>
      </c>
    </row>
    <row r="13" ht="15" customHeight="1" s="468">
      <c r="A13" s="676" t="n">
        <v>46332</v>
      </c>
      <c r="B13" s="677">
        <f>IF(D13&gt;0,COUNTIF($D$9:D13,"&gt;0"),"")</f>
        <v/>
      </c>
      <c r="C13" s="678">
        <f>'SEMANA NOVEMBRO'!$M$41</f>
        <v/>
      </c>
      <c r="D13" s="678">
        <f>CONFIG!$B$3</f>
        <v/>
      </c>
      <c r="E13" s="678">
        <f>C13-D13</f>
        <v/>
      </c>
      <c r="F13" s="679" t="n"/>
      <c r="X13" s="552">
        <f>IF(COUNTIF($F13,"*Feriado*")&gt;0,NA(),$C13)</f>
        <v/>
      </c>
      <c r="Y13" s="552">
        <f>IF(COUNTIF($F13,"*Feriado*")&gt;0,NA(),$D13)</f>
        <v/>
      </c>
    </row>
    <row r="14" ht="15" customHeight="1" s="468">
      <c r="A14" s="676" t="n">
        <v>46333</v>
      </c>
      <c r="B14" s="677">
        <f>IF(D14&gt;0,COUNTIF($D$9:D14,"&gt;0"),"")</f>
        <v/>
      </c>
      <c r="C14" s="678">
        <f>'SEMANA NOVEMBRO'!$M$49</f>
        <v/>
      </c>
      <c r="D14" s="678">
        <f>CONFIG!$B$3</f>
        <v/>
      </c>
      <c r="E14" s="678">
        <f>C14-D14</f>
        <v/>
      </c>
      <c r="F14" s="679" t="inlineStr">
        <is>
          <t>Sábado - produção normal</t>
        </is>
      </c>
      <c r="X14" s="552">
        <f>IF(COUNTIF($F14,"*Feriado*")&gt;0,NA(),$C14)</f>
        <v/>
      </c>
      <c r="Y14" s="552">
        <f>IF(COUNTIF($F14,"*Feriado*")&gt;0,NA(),$D14)</f>
        <v/>
      </c>
    </row>
    <row r="15" ht="15" customHeight="1" s="468">
      <c r="A15" s="676" t="n">
        <v>46335</v>
      </c>
      <c r="B15" s="677">
        <f>IF(D15&gt;0,COUNTIF($D$9:D15,"&gt;0"),"")</f>
        <v/>
      </c>
      <c r="C15" s="678">
        <f>'SEMANA NOVEMBRO'!$M$57</f>
        <v/>
      </c>
      <c r="D15" s="678">
        <f>CONFIG!$B$3</f>
        <v/>
      </c>
      <c r="E15" s="678">
        <f>C15-D15</f>
        <v/>
      </c>
      <c r="F15" s="679" t="n"/>
      <c r="X15" s="552">
        <f>IF(COUNTIF($F15,"*Feriado*")&gt;0,NA(),$C15)</f>
        <v/>
      </c>
      <c r="Y15" s="552">
        <f>IF(COUNTIF($F15,"*Feriado*")&gt;0,NA(),$D15)</f>
        <v/>
      </c>
    </row>
    <row r="16" ht="15" customHeight="1" s="468">
      <c r="A16" s="676" t="n">
        <v>46336</v>
      </c>
      <c r="B16" s="677">
        <f>IF(D16&gt;0,COUNTIF($D$9:D16,"&gt;0"),"")</f>
        <v/>
      </c>
      <c r="C16" s="678">
        <f>'SEMANA NOVEMBRO'!$M$65</f>
        <v/>
      </c>
      <c r="D16" s="678">
        <f>CONFIG!$B$3</f>
        <v/>
      </c>
      <c r="E16" s="678">
        <f>C16-D16</f>
        <v/>
      </c>
      <c r="F16" s="679" t="n"/>
      <c r="X16" s="552">
        <f>IF(COUNTIF($F16,"*Feriado*")&gt;0,NA(),$C16)</f>
        <v/>
      </c>
      <c r="Y16" s="552">
        <f>IF(COUNTIF($F16,"*Feriado*")&gt;0,NA(),$D16)</f>
        <v/>
      </c>
    </row>
    <row r="17" ht="15" customHeight="1" s="468">
      <c r="A17" s="676" t="n">
        <v>46337</v>
      </c>
      <c r="B17" s="677">
        <f>IF(D17&gt;0,COUNTIF($D$9:D17,"&gt;0"),"")</f>
        <v/>
      </c>
      <c r="C17" s="678">
        <f>'SEMANA NOVEMBRO'!$M$73</f>
        <v/>
      </c>
      <c r="D17" s="678">
        <f>CONFIG!$B$3</f>
        <v/>
      </c>
      <c r="E17" s="678">
        <f>C17-D17</f>
        <v/>
      </c>
      <c r="F17" s="679" t="n"/>
      <c r="X17" s="552">
        <f>IF(COUNTIF($F17,"*Feriado*")&gt;0,NA(),$C17)</f>
        <v/>
      </c>
      <c r="Y17" s="552">
        <f>IF(COUNTIF($F17,"*Feriado*")&gt;0,NA(),$D17)</f>
        <v/>
      </c>
    </row>
    <row r="18" ht="15" customHeight="1" s="468">
      <c r="A18" s="676" t="n">
        <v>46338</v>
      </c>
      <c r="B18" s="677">
        <f>IF(D18&gt;0,COUNTIF($D$9:D18,"&gt;0"),"")</f>
        <v/>
      </c>
      <c r="C18" s="678">
        <f>'SEMANA NOVEMBRO'!$M$81</f>
        <v/>
      </c>
      <c r="D18" s="678">
        <f>CONFIG!$B$3</f>
        <v/>
      </c>
      <c r="E18" s="678">
        <f>C18-D18</f>
        <v/>
      </c>
      <c r="F18" s="679" t="n"/>
      <c r="X18" s="552">
        <f>IF(COUNTIF($F18,"*Feriado*")&gt;0,NA(),$C18)</f>
        <v/>
      </c>
      <c r="Y18" s="552">
        <f>IF(COUNTIF($F18,"*Feriado*")&gt;0,NA(),$D18)</f>
        <v/>
      </c>
    </row>
    <row r="19" ht="15" customHeight="1" s="468">
      <c r="A19" s="676" t="n">
        <v>46339</v>
      </c>
      <c r="B19" s="677">
        <f>IF(D19&gt;0,COUNTIF($D$9:D19,"&gt;0"),"")</f>
        <v/>
      </c>
      <c r="C19" s="678">
        <f>'SEMANA NOVEMBRO'!$M$89</f>
        <v/>
      </c>
      <c r="D19" s="678">
        <f>CONFIG!$B$3</f>
        <v/>
      </c>
      <c r="E19" s="678">
        <f>C19-D19</f>
        <v/>
      </c>
      <c r="F19" s="679" t="n"/>
      <c r="X19" s="552">
        <f>IF(COUNTIF($F19,"*Feriado*")&gt;0,NA(),$C19)</f>
        <v/>
      </c>
      <c r="Y19" s="552">
        <f>IF(COUNTIF($F19,"*Feriado*")&gt;0,NA(),$D19)</f>
        <v/>
      </c>
    </row>
    <row r="20" ht="15" customHeight="1" s="468">
      <c r="A20" s="676" t="n">
        <v>46340</v>
      </c>
      <c r="B20" s="677">
        <f>IF(D20&gt;0,COUNTIF($D$9:D20,"&gt;0"),"")</f>
        <v/>
      </c>
      <c r="C20" s="678">
        <f>'SEMANA NOVEMBRO'!$M$97</f>
        <v/>
      </c>
      <c r="D20" s="678">
        <f>CONFIG!$B$3</f>
        <v/>
      </c>
      <c r="E20" s="678">
        <f>C20-D20</f>
        <v/>
      </c>
      <c r="F20" s="679" t="inlineStr">
        <is>
          <t>Sábado - produção normal</t>
        </is>
      </c>
      <c r="X20" s="552">
        <f>IF(COUNTIF($F20,"*Feriado*")&gt;0,NA(),$C20)</f>
        <v/>
      </c>
      <c r="Y20" s="552">
        <f>IF(COUNTIF($F20,"*Feriado*")&gt;0,NA(),$D20)</f>
        <v/>
      </c>
    </row>
    <row r="21" ht="15" customHeight="1" s="468">
      <c r="A21" s="676" t="n">
        <v>46342</v>
      </c>
      <c r="B21" s="677">
        <f>IF(D21&gt;0,COUNTIF($D$9:D21,"&gt;0"),"")</f>
        <v/>
      </c>
      <c r="C21" s="678">
        <f>'SEMANA NOVEMBRO'!$M$105</f>
        <v/>
      </c>
      <c r="D21" s="678">
        <f>CONFIG!$B$3</f>
        <v/>
      </c>
      <c r="E21" s="678">
        <f>C21-D21</f>
        <v/>
      </c>
      <c r="F21" s="679" t="n"/>
      <c r="X21" s="552">
        <f>IF(COUNTIF($F21,"*Feriado*")&gt;0,NA(),$C21)</f>
        <v/>
      </c>
      <c r="Y21" s="552">
        <f>IF(COUNTIF($F21,"*Feriado*")&gt;0,NA(),$D21)</f>
        <v/>
      </c>
    </row>
    <row r="22" ht="15" customHeight="1" s="468">
      <c r="A22" s="676" t="n">
        <v>46343</v>
      </c>
      <c r="B22" s="677">
        <f>IF(D22&gt;0,COUNTIF($D$9:D22,"&gt;0"),"")</f>
        <v/>
      </c>
      <c r="C22" s="678">
        <f>'SEMANA NOVEMBRO'!$M$113</f>
        <v/>
      </c>
      <c r="D22" s="678">
        <f>CONFIG!$B$3</f>
        <v/>
      </c>
      <c r="E22" s="678">
        <f>C22-D22</f>
        <v/>
      </c>
      <c r="F22" s="679" t="n"/>
      <c r="X22" s="552">
        <f>IF(COUNTIF($F22,"*Feriado*")&gt;0,NA(),$C22)</f>
        <v/>
      </c>
      <c r="Y22" s="552">
        <f>IF(COUNTIF($F22,"*Feriado*")&gt;0,NA(),$D22)</f>
        <v/>
      </c>
    </row>
    <row r="23" ht="15" customHeight="1" s="468">
      <c r="A23" s="676" t="n">
        <v>46344</v>
      </c>
      <c r="B23" s="677">
        <f>IF(D23&gt;0,COUNTIF($D$9:D23,"&gt;0"),"")</f>
        <v/>
      </c>
      <c r="C23" s="678">
        <f>'SEMANA NOVEMBRO'!$M$121</f>
        <v/>
      </c>
      <c r="D23" s="678">
        <f>CONFIG!$B$3</f>
        <v/>
      </c>
      <c r="E23" s="678">
        <f>C23-D23</f>
        <v/>
      </c>
      <c r="F23" s="679" t="n"/>
      <c r="X23" s="552">
        <f>IF(COUNTIF($F23,"*Feriado*")&gt;0,NA(),$C23)</f>
        <v/>
      </c>
      <c r="Y23" s="552">
        <f>IF(COUNTIF($F23,"*Feriado*")&gt;0,NA(),$D23)</f>
        <v/>
      </c>
    </row>
    <row r="24" ht="15" customHeight="1" s="468">
      <c r="A24" s="676" t="n">
        <v>46345</v>
      </c>
      <c r="B24" s="677">
        <f>IF(D24&gt;0,COUNTIF($D$9:D24,"&gt;0"),"")</f>
        <v/>
      </c>
      <c r="C24" s="678">
        <f>'SEMANA NOVEMBRO'!$M$129</f>
        <v/>
      </c>
      <c r="D24" s="678">
        <f>CONFIG!$B$3</f>
        <v/>
      </c>
      <c r="E24" s="678">
        <f>C24-D24</f>
        <v/>
      </c>
      <c r="F24" s="679" t="n"/>
      <c r="X24" s="552">
        <f>IF(COUNTIF($F24,"*Feriado*")&gt;0,NA(),$C24)</f>
        <v/>
      </c>
      <c r="Y24" s="552">
        <f>IF(COUNTIF($F24,"*Feriado*")&gt;0,NA(),$D24)</f>
        <v/>
      </c>
    </row>
    <row r="25" ht="15" customHeight="1" s="468">
      <c r="A25" s="676" t="n">
        <v>46346</v>
      </c>
      <c r="B25" s="677">
        <f>IF(D25&gt;0,COUNTIF($D$9:D25,"&gt;0"),"")</f>
        <v/>
      </c>
      <c r="C25" s="678">
        <f>'SEMANA NOVEMBRO'!$M$137</f>
        <v/>
      </c>
      <c r="D25" s="678" t="n">
        <v>0</v>
      </c>
      <c r="E25" s="678">
        <f>C25-D25</f>
        <v/>
      </c>
      <c r="F25" s="679" t="inlineStr">
        <is>
          <t>Feriado - Dia da Consciência Negra</t>
        </is>
      </c>
      <c r="X25" s="552">
        <f>IF(COUNTIF($F25,"*Feriado*")&gt;0,NA(),$C25)</f>
        <v/>
      </c>
      <c r="Y25" s="552">
        <f>IF(COUNTIF($F25,"*Feriado*")&gt;0,NA(),$D25)</f>
        <v/>
      </c>
    </row>
    <row r="26" ht="15" customHeight="1" s="468">
      <c r="A26" s="676" t="n">
        <v>46347</v>
      </c>
      <c r="B26" s="677">
        <f>IF(D26&gt;0,COUNTIF($D$9:D26,"&gt;0"),"")</f>
        <v/>
      </c>
      <c r="C26" s="678">
        <f>'SEMANA NOVEMBRO'!$M$145</f>
        <v/>
      </c>
      <c r="D26" s="678">
        <f>CONFIG!$B$3</f>
        <v/>
      </c>
      <c r="E26" s="678">
        <f>C26-D26</f>
        <v/>
      </c>
      <c r="F26" s="679" t="inlineStr">
        <is>
          <t>Sábado - produção normal</t>
        </is>
      </c>
      <c r="X26" s="552">
        <f>IF(COUNTIF($F26,"*Feriado*")&gt;0,NA(),$C26)</f>
        <v/>
      </c>
      <c r="Y26" s="552">
        <f>IF(COUNTIF($F26,"*Feriado*")&gt;0,NA(),$D26)</f>
        <v/>
      </c>
    </row>
    <row r="27" ht="15" customHeight="1" s="468">
      <c r="A27" s="676" t="n">
        <v>46349</v>
      </c>
      <c r="B27" s="677">
        <f>IF(D27&gt;0,COUNTIF($D$9:D27,"&gt;0"),"")</f>
        <v/>
      </c>
      <c r="C27" s="678">
        <f>'SEMANA NOVEMBRO'!$M$153</f>
        <v/>
      </c>
      <c r="D27" s="678">
        <f>CONFIG!$B$3</f>
        <v/>
      </c>
      <c r="E27" s="678">
        <f>C27-D27</f>
        <v/>
      </c>
      <c r="F27" s="679" t="n"/>
      <c r="X27" s="552">
        <f>IF(COUNTIF($F27,"*Feriado*")&gt;0,NA(),$C27)</f>
        <v/>
      </c>
      <c r="Y27" s="552">
        <f>IF(COUNTIF($F27,"*Feriado*")&gt;0,NA(),$D27)</f>
        <v/>
      </c>
    </row>
    <row r="28" ht="15" customHeight="1" s="468">
      <c r="A28" s="676" t="n">
        <v>46350</v>
      </c>
      <c r="B28" s="677">
        <f>IF(D28&gt;0,COUNTIF($D$9:D28,"&gt;0"),"")</f>
        <v/>
      </c>
      <c r="C28" s="678">
        <f>'SEMANA NOVEMBRO'!$M$161</f>
        <v/>
      </c>
      <c r="D28" s="678">
        <f>CONFIG!$B$3</f>
        <v/>
      </c>
      <c r="E28" s="678">
        <f>C28-D28</f>
        <v/>
      </c>
      <c r="F28" s="679" t="n"/>
      <c r="X28" s="552">
        <f>IF(COUNTIF($F28,"*Feriado*")&gt;0,NA(),$C28)</f>
        <v/>
      </c>
      <c r="Y28" s="552">
        <f>IF(COUNTIF($F28,"*Feriado*")&gt;0,NA(),$D28)</f>
        <v/>
      </c>
    </row>
    <row r="29" ht="15" customHeight="1" s="468">
      <c r="A29" s="676" t="n">
        <v>46351</v>
      </c>
      <c r="B29" s="677">
        <f>IF(D29&gt;0,COUNTIF($D$9:D29,"&gt;0"),"")</f>
        <v/>
      </c>
      <c r="C29" s="678">
        <f>'SEMANA NOVEMBRO'!$M$169</f>
        <v/>
      </c>
      <c r="D29" s="678">
        <f>CONFIG!$B$3</f>
        <v/>
      </c>
      <c r="E29" s="678">
        <f>C29-D29</f>
        <v/>
      </c>
      <c r="F29" s="679" t="n"/>
      <c r="X29" s="552">
        <f>IF(COUNTIF($F29,"*Feriado*")&gt;0,NA(),$C29)</f>
        <v/>
      </c>
      <c r="Y29" s="552">
        <f>IF(COUNTIF($F29,"*Feriado*")&gt;0,NA(),$D29)</f>
        <v/>
      </c>
    </row>
    <row r="30" ht="15" customHeight="1" s="468">
      <c r="A30" s="676" t="n">
        <v>46352</v>
      </c>
      <c r="B30" s="677">
        <f>IF(D30&gt;0,COUNTIF($D$9:D30,"&gt;0"),"")</f>
        <v/>
      </c>
      <c r="C30" s="678">
        <f>'SEMANA NOVEMBRO'!$M$177</f>
        <v/>
      </c>
      <c r="D30" s="678">
        <f>CONFIG!$B$3</f>
        <v/>
      </c>
      <c r="E30" s="678">
        <f>C30-D30</f>
        <v/>
      </c>
      <c r="F30" s="679" t="n"/>
    </row>
    <row r="31" ht="14.25" customHeight="1" s="468">
      <c r="A31" s="676" t="n">
        <v>46353</v>
      </c>
      <c r="B31" s="677">
        <f>IF(D31&gt;0,COUNTIF($D$9:D31,"&gt;0"),"")</f>
        <v/>
      </c>
      <c r="C31" s="678">
        <f>'SEMANA NOVEMBRO'!$M$185</f>
        <v/>
      </c>
      <c r="D31" s="678">
        <f>CONFIG!$B$3</f>
        <v/>
      </c>
      <c r="E31" s="678">
        <f>C31-D31</f>
        <v/>
      </c>
      <c r="F31" s="679" t="n"/>
    </row>
    <row r="32" ht="14.25" customHeight="1" s="468">
      <c r="A32" s="676" t="n">
        <v>46354</v>
      </c>
      <c r="B32" s="677">
        <f>IF(D32&gt;0,COUNTIF($D$9:D32,"&gt;0"),"")</f>
        <v/>
      </c>
      <c r="C32" s="678">
        <f>'SEMANA NOVEMBRO'!$M$193</f>
        <v/>
      </c>
      <c r="D32" s="678">
        <f>CONFIG!$B$3</f>
        <v/>
      </c>
      <c r="E32" s="678">
        <f>C32-D32</f>
        <v/>
      </c>
      <c r="F32" s="679" t="inlineStr">
        <is>
          <t>Sábado - produção normal</t>
        </is>
      </c>
    </row>
    <row r="33" ht="14.25" customHeight="1" s="468">
      <c r="A33" s="676" t="n">
        <v>46356</v>
      </c>
      <c r="B33" s="677">
        <f>IF(D33&gt;0,COUNTIF($D$9:D33,"&gt;0"),"")</f>
        <v/>
      </c>
      <c r="C33" s="678">
        <f>'SEMANA NOVEMBRO'!$M$201</f>
        <v/>
      </c>
      <c r="D33" s="678">
        <f>CONFIG!$B$3</f>
        <v/>
      </c>
      <c r="E33" s="678">
        <f>C33-D33</f>
        <v/>
      </c>
      <c r="F33" s="679" t="n"/>
    </row>
    <row r="34" ht="14.25" customHeight="1" s="468">
      <c r="A34" s="692" t="n"/>
      <c r="B34" s="693" t="n"/>
      <c r="C34" s="693" t="n"/>
      <c r="D34" s="693" t="n"/>
      <c r="E34" s="693" t="n"/>
      <c r="F34" s="683" t="n"/>
    </row>
    <row r="35" ht="14.25" customHeight="1" s="468">
      <c r="A35" s="692" t="n"/>
      <c r="B35" s="693" t="n"/>
      <c r="C35" s="693" t="n"/>
      <c r="D35" s="693" t="n"/>
      <c r="E35" s="693" t="n"/>
      <c r="F35" s="683" t="n"/>
    </row>
    <row r="36" ht="14.25" customHeight="1" s="468">
      <c r="A36" s="692" t="n"/>
      <c r="B36" s="693" t="n"/>
      <c r="C36" s="693" t="n"/>
      <c r="D36" s="693" t="n"/>
      <c r="E36" s="693" t="n"/>
      <c r="F36" s="683" t="n"/>
    </row>
    <row r="37" ht="14.25" customHeight="1" s="468">
      <c r="A37" s="692" t="n"/>
      <c r="B37" s="693" t="n"/>
      <c r="C37" s="693" t="n"/>
      <c r="D37" s="693" t="n"/>
      <c r="E37" s="693" t="n"/>
      <c r="F37" s="683" t="n"/>
    </row>
    <row r="38" ht="14.25" customHeight="1" s="468">
      <c r="A38" s="692" t="n"/>
      <c r="B38" s="693" t="n"/>
      <c r="C38" s="693" t="n"/>
      <c r="D38" s="693" t="n"/>
      <c r="E38" s="693" t="n"/>
      <c r="F38" s="683" t="n"/>
    </row>
    <row r="39" ht="14.25" customHeight="1" s="468">
      <c r="A39" s="692" t="n"/>
      <c r="B39" s="693" t="n"/>
      <c r="C39" s="693" t="n"/>
      <c r="D39" s="693" t="n"/>
      <c r="E39" s="693" t="n"/>
      <c r="F39" s="683" t="n"/>
    </row>
    <row r="40" ht="14.25" customHeight="1" s="468">
      <c r="A40" s="692" t="n"/>
      <c r="B40" s="693" t="n"/>
      <c r="C40" s="693" t="n"/>
      <c r="D40" s="693" t="n"/>
      <c r="E40" s="693" t="n"/>
      <c r="F40" s="683" t="n"/>
    </row>
    <row r="41" ht="14.25" customHeight="1" s="468">
      <c r="A41" s="692" t="n"/>
      <c r="B41" s="693" t="n"/>
      <c r="C41" s="693" t="n"/>
      <c r="D41" s="693" t="n"/>
      <c r="E41" s="693" t="n"/>
      <c r="F41" s="683" t="n"/>
    </row>
    <row r="42" ht="14.25" customHeight="1" s="468">
      <c r="A42" s="692" t="n"/>
      <c r="B42" s="693" t="n"/>
      <c r="C42" s="693" t="n"/>
      <c r="D42" s="693" t="n"/>
      <c r="E42" s="693" t="n"/>
      <c r="F42" s="683" t="n"/>
    </row>
    <row r="43" ht="14.25" customHeight="1" s="468">
      <c r="A43" s="692" t="n"/>
      <c r="B43" s="693" t="n"/>
      <c r="C43" s="693" t="n"/>
      <c r="D43" s="693" t="n"/>
      <c r="E43" s="693" t="n"/>
      <c r="F43" s="683" t="n"/>
    </row>
    <row r="44" ht="14.25" customHeight="1" s="468">
      <c r="A44" s="692" t="n"/>
      <c r="B44" s="693" t="n"/>
      <c r="C44" s="693" t="n"/>
      <c r="D44" s="693" t="n"/>
      <c r="E44" s="693" t="n"/>
      <c r="F44" s="683" t="n"/>
    </row>
    <row r="45" ht="14.25" customHeight="1" s="468">
      <c r="A45" s="692" t="n"/>
      <c r="B45" s="693" t="n"/>
      <c r="C45" s="693" t="n"/>
      <c r="D45" s="693" t="n"/>
      <c r="E45" s="693" t="n"/>
      <c r="F45" s="683" t="n"/>
    </row>
    <row r="46" ht="14.25" customHeight="1" s="468">
      <c r="A46" s="692" t="n"/>
      <c r="B46" s="693" t="n"/>
      <c r="C46" s="693" t="n"/>
      <c r="D46" s="693" t="n"/>
      <c r="E46" s="693" t="n"/>
      <c r="F46" s="683" t="n"/>
    </row>
    <row r="47" ht="14.25" customHeight="1" s="468">
      <c r="A47" s="692" t="n"/>
      <c r="B47" s="693" t="n"/>
      <c r="C47" s="693" t="n"/>
      <c r="D47" s="693" t="n"/>
      <c r="E47" s="693" t="n"/>
      <c r="F47" s="683" t="n"/>
    </row>
    <row r="48" ht="14.25" customHeight="1" s="468">
      <c r="A48" s="692" t="n"/>
      <c r="B48" s="693" t="n"/>
      <c r="C48" s="693" t="n"/>
      <c r="D48" s="693" t="n"/>
      <c r="E48" s="693" t="n"/>
      <c r="F48" s="683" t="n"/>
    </row>
    <row r="49" ht="14.25" customHeight="1" s="468">
      <c r="A49" s="692" t="n"/>
      <c r="B49" s="693" t="n"/>
      <c r="C49" s="693" t="n"/>
      <c r="D49" s="693" t="n"/>
      <c r="E49" s="693" t="n"/>
      <c r="F49" s="683" t="n"/>
    </row>
    <row r="50" ht="14.25" customHeight="1" s="468">
      <c r="A50" s="692" t="n"/>
      <c r="B50" s="693" t="n"/>
      <c r="C50" s="693" t="n"/>
      <c r="D50" s="693" t="n"/>
      <c r="E50" s="693" t="n"/>
      <c r="F50" s="683" t="n"/>
    </row>
    <row r="51" ht="14.25" customHeight="1" s="468">
      <c r="A51" s="692" t="n"/>
      <c r="B51" s="693" t="n"/>
      <c r="C51" s="693" t="n"/>
      <c r="D51" s="693" t="n"/>
      <c r="E51" s="693" t="n"/>
      <c r="F51" s="683" t="n"/>
    </row>
    <row r="52" ht="14.25" customHeight="1" s="468">
      <c r="A52" s="692" t="n"/>
      <c r="B52" s="693" t="n"/>
      <c r="C52" s="693" t="n"/>
      <c r="D52" s="693" t="n"/>
      <c r="E52" s="693" t="n"/>
      <c r="F52" s="683" t="n"/>
    </row>
    <row r="53" ht="14.25" customHeight="1" s="468">
      <c r="A53" s="692" t="n"/>
      <c r="B53" s="693" t="n"/>
      <c r="C53" s="693" t="n"/>
      <c r="D53" s="693" t="n"/>
      <c r="E53" s="693" t="n"/>
      <c r="F53" s="683" t="n"/>
    </row>
    <row r="54" ht="14.25" customHeight="1" s="468">
      <c r="A54" s="692" t="n"/>
      <c r="B54" s="693" t="n"/>
      <c r="C54" s="693" t="n"/>
      <c r="D54" s="693" t="n"/>
      <c r="E54" s="693" t="n"/>
      <c r="F54" s="683" t="n"/>
    </row>
    <row r="55" ht="14.25" customHeight="1" s="468">
      <c r="A55" s="692" t="n"/>
      <c r="B55" s="693" t="n"/>
      <c r="C55" s="693" t="n"/>
      <c r="D55" s="693" t="n"/>
      <c r="E55" s="693" t="n"/>
      <c r="F55" s="683" t="n"/>
    </row>
    <row r="56" ht="14.25" customHeight="1" s="468">
      <c r="A56" s="692" t="n"/>
      <c r="B56" s="693" t="n"/>
      <c r="C56" s="693" t="n"/>
      <c r="D56" s="693" t="n"/>
      <c r="E56" s="693" t="n"/>
      <c r="F56" s="683" t="n"/>
    </row>
    <row r="57" ht="14.25" customHeight="1" s="468">
      <c r="A57" s="692" t="n"/>
      <c r="B57" s="693" t="n"/>
      <c r="C57" s="693" t="n"/>
      <c r="D57" s="693" t="n"/>
      <c r="E57" s="693" t="n"/>
      <c r="F57" s="683" t="n"/>
    </row>
    <row r="58" ht="14.25" customHeight="1" s="468">
      <c r="A58" s="692" t="n"/>
      <c r="B58" s="693" t="n"/>
      <c r="C58" s="693" t="n"/>
      <c r="D58" s="693" t="n"/>
      <c r="E58" s="693" t="n"/>
      <c r="F58" s="683" t="n"/>
    </row>
    <row r="59" ht="14.25" customHeight="1" s="468">
      <c r="A59" s="692" t="n"/>
      <c r="B59" s="693" t="n"/>
      <c r="C59" s="693" t="n"/>
      <c r="D59" s="693" t="n"/>
      <c r="E59" s="693" t="n"/>
      <c r="F59" s="683" t="n"/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tabColor rgb="FFC96B0A"/>
    <outlinePr summaryBelow="1" summaryRight="1"/>
    <pageSetUpPr/>
  </sheetPr>
  <dimension ref="B1:N300"/>
  <sheetViews>
    <sheetView showGridLines="0" zoomScaleNormal="100" workbookViewId="0">
      <selection activeCell="A1" sqref="A1"/>
    </sheetView>
  </sheetViews>
  <sheetFormatPr baseColWidth="8" defaultColWidth="8.6640625" defaultRowHeight="17.25" customHeight="1"/>
  <cols>
    <col width="2.5546875" customWidth="1" style="468" min="1" max="1"/>
    <col width="13.5546875" customWidth="1" style="4" min="2" max="2"/>
    <col width="7.6640625" customWidth="1" style="5" min="3" max="3"/>
    <col width="12.6640625" customWidth="1" style="5" min="4" max="4"/>
    <col width="9.109375" customWidth="1" style="6" min="5" max="5"/>
    <col width="13.5546875" customWidth="1" style="6" min="6" max="6"/>
    <col width="6.6640625" customWidth="1" style="6" min="7" max="7"/>
    <col width="8" customWidth="1" style="6" min="8" max="8"/>
    <col width="7.5546875" customWidth="1" style="6" min="9" max="9"/>
    <col width="20" customWidth="1" style="6" min="10" max="10"/>
    <col width="9.109375" customWidth="1" style="6" min="11" max="11"/>
    <col width="21" customWidth="1" style="6" min="12" max="12"/>
    <col width="18.109375" customWidth="1" style="5" min="13" max="13"/>
    <col width="17.109375" customWidth="1" style="5" min="14" max="14"/>
  </cols>
  <sheetData>
    <row r="1" ht="21.75" customHeight="1" s="468">
      <c r="B1" s="511" t="inlineStr">
        <is>
          <t>ORDEM DE PRODUÇÃO - DEZEMBRO</t>
        </is>
      </c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3" t="n"/>
    </row>
    <row r="2" ht="15" customHeight="1" s="468">
      <c r="B2" s="464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6" t="n"/>
    </row>
    <row r="3" ht="17.25" customHeight="1" s="468">
      <c r="B3" s="179" t="inlineStr">
        <is>
          <t>OP</t>
        </is>
      </c>
      <c r="C3" s="519" t="inlineStr">
        <is>
          <t xml:space="preserve">LOTE </t>
        </is>
      </c>
      <c r="D3" s="454" t="n"/>
      <c r="E3" s="519" t="inlineStr">
        <is>
          <t>LOTE CLIENTE</t>
        </is>
      </c>
      <c r="F3" s="454" t="n"/>
      <c r="G3" s="519" t="inlineStr">
        <is>
          <t>PRODUTO</t>
        </is>
      </c>
      <c r="H3" s="456" t="n"/>
      <c r="I3" s="456" t="n"/>
      <c r="J3" s="454" t="n"/>
      <c r="K3" s="519" t="inlineStr">
        <is>
          <t>CLIENTE</t>
        </is>
      </c>
      <c r="L3" s="454" t="n"/>
      <c r="M3" s="180" t="inlineStr">
        <is>
          <t>QTDE(Kg)</t>
        </is>
      </c>
      <c r="N3" s="417" t="inlineStr">
        <is>
          <t>FABRICAÇÃO</t>
        </is>
      </c>
    </row>
    <row r="4" ht="17.25" customHeight="1" s="468">
      <c r="B4" s="262" t="n"/>
      <c r="C4" s="510" t="n"/>
      <c r="D4" s="484" t="n"/>
      <c r="E4" s="510" t="n"/>
      <c r="F4" s="484" t="n"/>
      <c r="G4" s="510" t="n"/>
      <c r="H4" s="483" t="n"/>
      <c r="I4" s="483" t="n"/>
      <c r="J4" s="484" t="n"/>
      <c r="K4" s="510" t="n"/>
      <c r="L4" s="484" t="n"/>
      <c r="M4" s="263" t="n"/>
      <c r="N4" s="417" t="n"/>
    </row>
    <row r="5" ht="17.25" customHeight="1" s="468">
      <c r="B5" s="20" t="n"/>
      <c r="C5" s="490" t="n"/>
      <c r="D5" s="486" t="n"/>
      <c r="E5" s="490" t="n"/>
      <c r="F5" s="486" t="n"/>
      <c r="G5" s="490" t="n"/>
      <c r="H5" s="488" t="n"/>
      <c r="I5" s="488" t="n"/>
      <c r="J5" s="486" t="n"/>
      <c r="K5" s="490" t="n"/>
      <c r="L5" s="486" t="n"/>
      <c r="M5" s="21" t="n"/>
      <c r="N5" s="417" t="n"/>
    </row>
    <row r="6" ht="17.25" customHeight="1" s="468">
      <c r="B6" s="18" t="n"/>
      <c r="C6" s="485" t="n"/>
      <c r="D6" s="486" t="n"/>
      <c r="E6" s="485" t="n"/>
      <c r="F6" s="486" t="n"/>
      <c r="G6" s="485" t="n"/>
      <c r="H6" s="488" t="n"/>
      <c r="I6" s="488" t="n"/>
      <c r="J6" s="486" t="n"/>
      <c r="K6" s="485" t="n"/>
      <c r="L6" s="486" t="n"/>
      <c r="M6" s="22" t="n"/>
      <c r="N6" s="417" t="n"/>
    </row>
    <row r="7" ht="17.25" customHeight="1" s="468">
      <c r="B7" s="20" t="n"/>
      <c r="C7" s="490" t="n"/>
      <c r="D7" s="486" t="n"/>
      <c r="E7" s="490" t="n"/>
      <c r="F7" s="486" t="n"/>
      <c r="G7" s="490" t="n"/>
      <c r="H7" s="488" t="n"/>
      <c r="I7" s="488" t="n"/>
      <c r="J7" s="486" t="n"/>
      <c r="K7" s="490" t="n"/>
      <c r="L7" s="486" t="n"/>
      <c r="M7" s="23" t="n"/>
      <c r="N7" s="417" t="n"/>
    </row>
    <row r="8" ht="17.25" customHeight="1" s="468">
      <c r="B8" s="18" t="n"/>
      <c r="C8" s="485" t="n"/>
      <c r="D8" s="486" t="n"/>
      <c r="E8" s="485" t="n"/>
      <c r="F8" s="486" t="n"/>
      <c r="G8" s="485" t="n"/>
      <c r="H8" s="488" t="n"/>
      <c r="I8" s="488" t="n"/>
      <c r="J8" s="486" t="n"/>
      <c r="K8" s="485" t="n"/>
      <c r="L8" s="486" t="n"/>
      <c r="M8" s="22" t="n"/>
      <c r="N8" s="417" t="n"/>
    </row>
    <row r="9" ht="17.25" customHeight="1" s="468">
      <c r="B9" s="20" t="n"/>
      <c r="C9" s="490" t="n"/>
      <c r="D9" s="486" t="n"/>
      <c r="E9" s="490" t="n"/>
      <c r="F9" s="486" t="n"/>
      <c r="G9" s="490" t="n"/>
      <c r="H9" s="488" t="n"/>
      <c r="I9" s="488" t="n"/>
      <c r="J9" s="486" t="n"/>
      <c r="K9" s="490" t="n"/>
      <c r="L9" s="486" t="n"/>
      <c r="M9" s="21" t="n"/>
      <c r="N9" s="417" t="n"/>
    </row>
    <row r="10" ht="17.25" customHeight="1" s="468">
      <c r="B10" s="18" t="n"/>
      <c r="C10" s="485" t="n"/>
      <c r="D10" s="486" t="n"/>
      <c r="E10" s="485" t="n"/>
      <c r="F10" s="486" t="n"/>
      <c r="G10" s="485" t="n"/>
      <c r="H10" s="488" t="n"/>
      <c r="I10" s="488" t="n"/>
      <c r="J10" s="486" t="n"/>
      <c r="K10" s="485" t="n"/>
      <c r="L10" s="486" t="n"/>
      <c r="M10" s="19" t="n"/>
      <c r="N10" s="417" t="n"/>
    </row>
    <row r="11" ht="17.25" customHeight="1" s="468">
      <c r="B11" s="20" t="n"/>
      <c r="C11" s="490" t="n"/>
      <c r="D11" s="486" t="n"/>
      <c r="E11" s="490" t="n"/>
      <c r="F11" s="486" t="n"/>
      <c r="G11" s="490" t="n"/>
      <c r="H11" s="488" t="n"/>
      <c r="I11" s="488" t="n"/>
      <c r="J11" s="486" t="n"/>
      <c r="K11" s="490" t="n"/>
      <c r="L11" s="486" t="n"/>
      <c r="M11" s="21" t="n"/>
      <c r="N11" s="417" t="n"/>
    </row>
    <row r="12" ht="17.25" customHeight="1" s="468">
      <c r="B12" s="18" t="n"/>
      <c r="C12" s="485" t="n"/>
      <c r="D12" s="486" t="n"/>
      <c r="E12" s="485" t="n"/>
      <c r="F12" s="486" t="n"/>
      <c r="G12" s="485" t="n"/>
      <c r="H12" s="488" t="n"/>
      <c r="I12" s="488" t="n"/>
      <c r="J12" s="486" t="n"/>
      <c r="K12" s="485" t="n"/>
      <c r="L12" s="486" t="n"/>
      <c r="M12" s="19" t="n"/>
      <c r="N12" s="417" t="n"/>
    </row>
    <row r="13" ht="17.25" customHeight="1" s="468">
      <c r="B13" s="20" t="n"/>
      <c r="C13" s="490" t="n"/>
      <c r="D13" s="486" t="n"/>
      <c r="E13" s="490" t="n"/>
      <c r="F13" s="486" t="n"/>
      <c r="G13" s="490" t="n"/>
      <c r="H13" s="488" t="n"/>
      <c r="I13" s="488" t="n"/>
      <c r="J13" s="486" t="n"/>
      <c r="K13" s="490" t="n"/>
      <c r="L13" s="486" t="n"/>
      <c r="M13" s="21" t="n"/>
      <c r="N13" s="417" t="n"/>
    </row>
    <row r="14" ht="17.25" customHeight="1" s="468">
      <c r="B14" s="18" t="n"/>
      <c r="C14" s="485" t="n"/>
      <c r="D14" s="486" t="n"/>
      <c r="E14" s="485" t="n"/>
      <c r="F14" s="486" t="n"/>
      <c r="G14" s="485" t="n"/>
      <c r="H14" s="488" t="n"/>
      <c r="I14" s="488" t="n"/>
      <c r="J14" s="486" t="n"/>
      <c r="K14" s="485" t="n"/>
      <c r="L14" s="486" t="n"/>
      <c r="M14" s="19" t="n"/>
      <c r="N14" s="417" t="n"/>
    </row>
    <row r="15" ht="17.25" customHeight="1" s="468">
      <c r="B15" s="20" t="n"/>
      <c r="C15" s="490" t="n"/>
      <c r="D15" s="486" t="n"/>
      <c r="E15" s="490" t="n"/>
      <c r="F15" s="486" t="n"/>
      <c r="G15" s="490" t="n"/>
      <c r="H15" s="488" t="n"/>
      <c r="I15" s="488" t="n"/>
      <c r="J15" s="486" t="n"/>
      <c r="K15" s="490" t="n"/>
      <c r="L15" s="486" t="n"/>
      <c r="M15" s="21" t="n"/>
      <c r="N15" s="417" t="n"/>
    </row>
    <row r="16" ht="17.25" customHeight="1" s="468">
      <c r="B16" s="18" t="n"/>
      <c r="C16" s="485" t="n"/>
      <c r="D16" s="486" t="n"/>
      <c r="E16" s="485" t="n"/>
      <c r="F16" s="486" t="n"/>
      <c r="G16" s="485" t="n"/>
      <c r="H16" s="488" t="n"/>
      <c r="I16" s="488" t="n"/>
      <c r="J16" s="486" t="n"/>
      <c r="K16" s="485" t="n"/>
      <c r="L16" s="486" t="n"/>
      <c r="M16" s="19" t="n"/>
      <c r="N16" s="417" t="n"/>
    </row>
    <row r="17" ht="17.25" customHeight="1" s="468">
      <c r="B17" s="20" t="n"/>
      <c r="C17" s="490" t="n"/>
      <c r="D17" s="486" t="n"/>
      <c r="E17" s="490" t="n"/>
      <c r="F17" s="486" t="n"/>
      <c r="G17" s="490" t="n"/>
      <c r="H17" s="488" t="n"/>
      <c r="I17" s="488" t="n"/>
      <c r="J17" s="486" t="n"/>
      <c r="K17" s="490" t="n"/>
      <c r="L17" s="486" t="n"/>
      <c r="M17" s="23" t="n"/>
      <c r="N17" s="417" t="n"/>
    </row>
    <row r="18" ht="17.25" customHeight="1" s="468">
      <c r="B18" s="18" t="n"/>
      <c r="C18" s="485" t="n"/>
      <c r="D18" s="486" t="n"/>
      <c r="E18" s="485" t="n"/>
      <c r="F18" s="486" t="n"/>
      <c r="G18" s="485" t="n"/>
      <c r="H18" s="488" t="n"/>
      <c r="I18" s="488" t="n"/>
      <c r="J18" s="486" t="n"/>
      <c r="K18" s="485" t="n"/>
      <c r="L18" s="486" t="n"/>
      <c r="M18" s="19" t="n"/>
      <c r="N18" s="417" t="n"/>
    </row>
    <row r="19" ht="17.25" customHeight="1" s="468">
      <c r="B19" s="20" t="n"/>
      <c r="C19" s="490" t="n"/>
      <c r="D19" s="486" t="n"/>
      <c r="E19" s="490" t="n"/>
      <c r="F19" s="486" t="n"/>
      <c r="G19" s="490" t="n"/>
      <c r="H19" s="488" t="n"/>
      <c r="I19" s="488" t="n"/>
      <c r="J19" s="486" t="n"/>
      <c r="K19" s="490" t="n"/>
      <c r="L19" s="486" t="n"/>
      <c r="M19" s="21" t="n"/>
      <c r="N19" s="417" t="n"/>
    </row>
    <row r="20" ht="17.25" customHeight="1" s="468">
      <c r="B20" s="18" t="n"/>
      <c r="C20" s="485" t="n"/>
      <c r="D20" s="486" t="n"/>
      <c r="E20" s="485" t="n"/>
      <c r="F20" s="486" t="n"/>
      <c r="G20" s="485" t="n"/>
      <c r="H20" s="488" t="n"/>
      <c r="I20" s="488" t="n"/>
      <c r="J20" s="486" t="n"/>
      <c r="K20" s="485" t="n"/>
      <c r="L20" s="486" t="n"/>
      <c r="M20" s="19" t="n"/>
      <c r="N20" s="417" t="n"/>
    </row>
    <row r="21" ht="17.25" customHeight="1" s="468">
      <c r="B21" s="20" t="n"/>
      <c r="C21" s="490" t="n"/>
      <c r="D21" s="486" t="n"/>
      <c r="E21" s="490" t="n"/>
      <c r="F21" s="486" t="n"/>
      <c r="G21" s="490" t="n"/>
      <c r="H21" s="488" t="n"/>
      <c r="I21" s="488" t="n"/>
      <c r="J21" s="486" t="n"/>
      <c r="K21" s="490" t="n"/>
      <c r="L21" s="486" t="n"/>
      <c r="M21" s="21" t="n"/>
      <c r="N21" s="417" t="n"/>
    </row>
    <row r="22" ht="17.25" customHeight="1" s="468">
      <c r="B22" s="18" t="n"/>
      <c r="C22" s="485" t="n"/>
      <c r="D22" s="486" t="n"/>
      <c r="E22" s="485" t="n"/>
      <c r="F22" s="486" t="n"/>
      <c r="G22" s="485" t="n"/>
      <c r="H22" s="488" t="n"/>
      <c r="I22" s="488" t="n"/>
      <c r="J22" s="486" t="n"/>
      <c r="K22" s="485" t="n"/>
      <c r="L22" s="486" t="n"/>
      <c r="M22" s="19" t="n"/>
      <c r="N22" s="417" t="n"/>
    </row>
    <row r="23" ht="17.25" customHeight="1" s="468">
      <c r="B23" s="20" t="n"/>
      <c r="C23" s="490" t="n"/>
      <c r="D23" s="486" t="n"/>
      <c r="E23" s="490" t="n"/>
      <c r="F23" s="486" t="n"/>
      <c r="G23" s="490" t="n"/>
      <c r="H23" s="488" t="n"/>
      <c r="I23" s="488" t="n"/>
      <c r="J23" s="486" t="n"/>
      <c r="K23" s="490" t="n"/>
      <c r="L23" s="486" t="n"/>
      <c r="M23" s="21" t="n"/>
      <c r="N23" s="417" t="n"/>
    </row>
    <row r="24" ht="17.25" customHeight="1" s="468">
      <c r="B24" s="18" t="n"/>
      <c r="C24" s="485" t="n"/>
      <c r="D24" s="486" t="n"/>
      <c r="E24" s="485" t="n"/>
      <c r="F24" s="486" t="n"/>
      <c r="G24" s="485" t="n"/>
      <c r="H24" s="488" t="n"/>
      <c r="I24" s="488" t="n"/>
      <c r="J24" s="486" t="n"/>
      <c r="K24" s="485" t="n"/>
      <c r="L24" s="486" t="n"/>
      <c r="M24" s="19" t="n"/>
      <c r="N24" s="417" t="n"/>
    </row>
    <row r="25" ht="17.25" customHeight="1" s="468">
      <c r="B25" s="20" t="n"/>
      <c r="C25" s="490" t="n"/>
      <c r="D25" s="486" t="n"/>
      <c r="E25" s="490" t="n"/>
      <c r="F25" s="486" t="n"/>
      <c r="G25" s="490" t="n"/>
      <c r="H25" s="488" t="n"/>
      <c r="I25" s="488" t="n"/>
      <c r="J25" s="486" t="n"/>
      <c r="K25" s="490" t="n"/>
      <c r="L25" s="486" t="n"/>
      <c r="M25" s="23" t="n"/>
      <c r="N25" s="417" t="n"/>
    </row>
    <row r="26" ht="17.25" customHeight="1" s="468">
      <c r="B26" s="18" t="n"/>
      <c r="C26" s="485" t="n"/>
      <c r="D26" s="486" t="n"/>
      <c r="E26" s="485" t="n"/>
      <c r="F26" s="486" t="n"/>
      <c r="G26" s="485" t="n"/>
      <c r="H26" s="488" t="n"/>
      <c r="I26" s="488" t="n"/>
      <c r="J26" s="486" t="n"/>
      <c r="K26" s="485" t="n"/>
      <c r="L26" s="486" t="n"/>
      <c r="M26" s="19" t="n"/>
      <c r="N26" s="417" t="n"/>
    </row>
    <row r="27" ht="17.25" customHeight="1" s="468">
      <c r="B27" s="20" t="n"/>
      <c r="C27" s="490" t="n"/>
      <c r="D27" s="486" t="n"/>
      <c r="E27" s="490" t="n"/>
      <c r="F27" s="486" t="n"/>
      <c r="G27" s="490" t="n"/>
      <c r="H27" s="488" t="n"/>
      <c r="I27" s="488" t="n"/>
      <c r="J27" s="486" t="n"/>
      <c r="K27" s="490" t="n"/>
      <c r="L27" s="486" t="n"/>
      <c r="M27" s="21" t="n"/>
      <c r="N27" s="417" t="n"/>
    </row>
    <row r="28" ht="17.25" customHeight="1" s="468">
      <c r="B28" s="18" t="n"/>
      <c r="C28" s="485" t="n"/>
      <c r="D28" s="486" t="n"/>
      <c r="E28" s="485" t="n"/>
      <c r="F28" s="486" t="n"/>
      <c r="G28" s="485" t="n"/>
      <c r="H28" s="488" t="n"/>
      <c r="I28" s="488" t="n"/>
      <c r="J28" s="486" t="n"/>
      <c r="K28" s="485" t="n"/>
      <c r="L28" s="486" t="n"/>
      <c r="M28" s="19" t="n"/>
      <c r="N28" s="417" t="n"/>
    </row>
    <row r="29" ht="17.25" customHeight="1" s="468">
      <c r="B29" s="20" t="n"/>
      <c r="C29" s="490" t="n"/>
      <c r="D29" s="486" t="n"/>
      <c r="E29" s="490" t="n"/>
      <c r="F29" s="486" t="n"/>
      <c r="G29" s="490" t="n"/>
      <c r="H29" s="488" t="n"/>
      <c r="I29" s="488" t="n"/>
      <c r="J29" s="486" t="n"/>
      <c r="K29" s="490" t="n"/>
      <c r="L29" s="486" t="n"/>
      <c r="M29" s="21" t="n"/>
      <c r="N29" s="417" t="n"/>
    </row>
    <row r="30" ht="17.25" customHeight="1" s="468">
      <c r="B30" s="18" t="n"/>
      <c r="C30" s="485" t="n"/>
      <c r="D30" s="486" t="n"/>
      <c r="E30" s="485" t="n"/>
      <c r="F30" s="486" t="n"/>
      <c r="G30" s="485" t="n"/>
      <c r="H30" s="488" t="n"/>
      <c r="I30" s="488" t="n"/>
      <c r="J30" s="486" t="n"/>
      <c r="K30" s="485" t="n"/>
      <c r="L30" s="486" t="n"/>
      <c r="M30" s="19" t="n"/>
      <c r="N30" s="417" t="n"/>
    </row>
    <row r="31" ht="17.25" customHeight="1" s="468">
      <c r="B31" s="20" t="n"/>
      <c r="C31" s="490" t="n"/>
      <c r="D31" s="486" t="n"/>
      <c r="E31" s="490" t="n"/>
      <c r="F31" s="486" t="n"/>
      <c r="G31" s="490" t="n"/>
      <c r="H31" s="488" t="n"/>
      <c r="I31" s="488" t="n"/>
      <c r="J31" s="486" t="n"/>
      <c r="K31" s="490" t="n"/>
      <c r="L31" s="486" t="n"/>
      <c r="M31" s="21" t="n"/>
      <c r="N31" s="417" t="n"/>
    </row>
    <row r="32" ht="17.25" customHeight="1" s="468">
      <c r="B32" s="18" t="n"/>
      <c r="C32" s="485" t="n"/>
      <c r="D32" s="486" t="n"/>
      <c r="E32" s="485" t="n"/>
      <c r="F32" s="486" t="n"/>
      <c r="G32" s="485" t="n"/>
      <c r="H32" s="488" t="n"/>
      <c r="I32" s="488" t="n"/>
      <c r="J32" s="486" t="n"/>
      <c r="K32" s="485" t="n"/>
      <c r="L32" s="486" t="n"/>
      <c r="M32" s="19" t="n"/>
      <c r="N32" s="417" t="n"/>
    </row>
    <row r="33" ht="17.25" customHeight="1" s="468">
      <c r="B33" s="20" t="n"/>
      <c r="C33" s="490" t="n"/>
      <c r="D33" s="486" t="n"/>
      <c r="E33" s="490" t="n"/>
      <c r="F33" s="486" t="n"/>
      <c r="G33" s="490" t="n"/>
      <c r="H33" s="488" t="n"/>
      <c r="I33" s="488" t="n"/>
      <c r="J33" s="486" t="n"/>
      <c r="K33" s="490" t="n"/>
      <c r="L33" s="486" t="n"/>
      <c r="M33" s="21" t="n"/>
      <c r="N33" s="417" t="n"/>
    </row>
    <row r="34" ht="17.25" customHeight="1" s="468">
      <c r="B34" s="18" t="n"/>
      <c r="C34" s="485" t="n"/>
      <c r="D34" s="486" t="n"/>
      <c r="E34" s="485" t="n"/>
      <c r="F34" s="486" t="n"/>
      <c r="G34" s="485" t="n"/>
      <c r="H34" s="488" t="n"/>
      <c r="I34" s="488" t="n"/>
      <c r="J34" s="486" t="n"/>
      <c r="K34" s="485" t="n"/>
      <c r="L34" s="486" t="n"/>
      <c r="M34" s="22" t="n"/>
      <c r="N34" s="417" t="n"/>
    </row>
    <row r="35" ht="17.25" customHeight="1" s="468">
      <c r="B35" s="20" t="n"/>
      <c r="C35" s="490" t="n"/>
      <c r="D35" s="486" t="n"/>
      <c r="E35" s="490" t="n"/>
      <c r="F35" s="486" t="n"/>
      <c r="G35" s="490" t="n"/>
      <c r="H35" s="488" t="n"/>
      <c r="I35" s="488" t="n"/>
      <c r="J35" s="486" t="n"/>
      <c r="K35" s="490" t="n"/>
      <c r="L35" s="486" t="n"/>
      <c r="M35" s="21" t="n"/>
      <c r="N35" s="417" t="n"/>
    </row>
    <row r="36" ht="17.25" customHeight="1" s="468">
      <c r="B36" s="18" t="n"/>
      <c r="C36" s="485" t="n"/>
      <c r="D36" s="486" t="n"/>
      <c r="E36" s="485" t="n"/>
      <c r="F36" s="486" t="n"/>
      <c r="G36" s="485" t="n"/>
      <c r="H36" s="488" t="n"/>
      <c r="I36" s="488" t="n"/>
      <c r="J36" s="486" t="n"/>
      <c r="K36" s="485" t="n"/>
      <c r="L36" s="486" t="n"/>
      <c r="M36" s="19" t="n"/>
      <c r="N36" s="417" t="n"/>
    </row>
    <row r="37" ht="17.25" customHeight="1" s="468">
      <c r="B37" s="20" t="n"/>
      <c r="C37" s="490" t="n"/>
      <c r="D37" s="486" t="n"/>
      <c r="E37" s="490" t="n"/>
      <c r="F37" s="486" t="n"/>
      <c r="G37" s="490" t="n"/>
      <c r="H37" s="488" t="n"/>
      <c r="I37" s="488" t="n"/>
      <c r="J37" s="486" t="n"/>
      <c r="K37" s="490" t="n"/>
      <c r="L37" s="486" t="n"/>
      <c r="M37" s="21" t="n"/>
      <c r="N37" s="417" t="n"/>
    </row>
    <row r="38" ht="17.25" customHeight="1" s="468">
      <c r="B38" s="18" t="n"/>
      <c r="C38" s="485" t="n"/>
      <c r="D38" s="486" t="n"/>
      <c r="E38" s="485" t="n"/>
      <c r="F38" s="486" t="n"/>
      <c r="G38" s="485" t="n"/>
      <c r="H38" s="488" t="n"/>
      <c r="I38" s="488" t="n"/>
      <c r="J38" s="486" t="n"/>
      <c r="K38" s="485" t="n"/>
      <c r="L38" s="486" t="n"/>
      <c r="M38" s="19" t="n"/>
      <c r="N38" s="417" t="n"/>
    </row>
    <row r="39" ht="17.25" customHeight="1" s="468">
      <c r="B39" s="20" t="n"/>
      <c r="C39" s="490" t="n"/>
      <c r="D39" s="486" t="n"/>
      <c r="E39" s="490" t="n"/>
      <c r="F39" s="486" t="n"/>
      <c r="G39" s="490" t="n"/>
      <c r="H39" s="488" t="n"/>
      <c r="I39" s="488" t="n"/>
      <c r="J39" s="486" t="n"/>
      <c r="K39" s="490" t="n"/>
      <c r="L39" s="486" t="n"/>
      <c r="M39" s="21" t="n"/>
      <c r="N39" s="417" t="n"/>
    </row>
    <row r="40" ht="17.25" customHeight="1" s="468">
      <c r="B40" s="18" t="n"/>
      <c r="C40" s="485" t="n"/>
      <c r="D40" s="486" t="n"/>
      <c r="E40" s="485" t="n"/>
      <c r="F40" s="486" t="n"/>
      <c r="G40" s="485" t="n"/>
      <c r="H40" s="488" t="n"/>
      <c r="I40" s="488" t="n"/>
      <c r="J40" s="486" t="n"/>
      <c r="K40" s="485" t="n"/>
      <c r="L40" s="486" t="n"/>
      <c r="M40" s="19" t="n"/>
      <c r="N40" s="417" t="n"/>
    </row>
    <row r="41" ht="17.25" customHeight="1" s="468">
      <c r="B41" s="20" t="n"/>
      <c r="C41" s="490" t="n"/>
      <c r="D41" s="486" t="n"/>
      <c r="E41" s="490" t="n"/>
      <c r="F41" s="486" t="n"/>
      <c r="G41" s="490" t="n"/>
      <c r="H41" s="488" t="n"/>
      <c r="I41" s="488" t="n"/>
      <c r="J41" s="486" t="n"/>
      <c r="K41" s="490" t="n"/>
      <c r="L41" s="486" t="n"/>
      <c r="M41" s="21" t="n"/>
      <c r="N41" s="417" t="n"/>
    </row>
    <row r="42" ht="17.25" customHeight="1" s="468">
      <c r="B42" s="18" t="n"/>
      <c r="C42" s="485" t="n"/>
      <c r="D42" s="486" t="n"/>
      <c r="E42" s="485" t="n"/>
      <c r="F42" s="486" t="n"/>
      <c r="G42" s="485" t="n"/>
      <c r="H42" s="488" t="n"/>
      <c r="I42" s="488" t="n"/>
      <c r="J42" s="486" t="n"/>
      <c r="K42" s="485" t="n"/>
      <c r="L42" s="486" t="n"/>
      <c r="M42" s="22" t="n"/>
      <c r="N42" s="417" t="n"/>
    </row>
    <row r="43" ht="17.25" customHeight="1" s="468">
      <c r="B43" s="20" t="n"/>
      <c r="C43" s="490" t="n"/>
      <c r="D43" s="486" t="n"/>
      <c r="E43" s="490" t="n"/>
      <c r="F43" s="486" t="n"/>
      <c r="G43" s="490" t="n"/>
      <c r="H43" s="488" t="n"/>
      <c r="I43" s="488" t="n"/>
      <c r="J43" s="486" t="n"/>
      <c r="K43" s="490" t="n"/>
      <c r="L43" s="486" t="n"/>
      <c r="M43" s="21" t="n"/>
      <c r="N43" s="417" t="n"/>
    </row>
    <row r="44" ht="17.25" customHeight="1" s="468">
      <c r="B44" s="18" t="n"/>
      <c r="C44" s="485" t="n"/>
      <c r="D44" s="486" t="n"/>
      <c r="E44" s="485" t="n"/>
      <c r="F44" s="486" t="n"/>
      <c r="G44" s="485" t="n"/>
      <c r="H44" s="488" t="n"/>
      <c r="I44" s="488" t="n"/>
      <c r="J44" s="486" t="n"/>
      <c r="K44" s="485" t="n"/>
      <c r="L44" s="486" t="n"/>
      <c r="M44" s="19" t="n"/>
      <c r="N44" s="417" t="n"/>
    </row>
    <row r="45" ht="17.25" customHeight="1" s="468">
      <c r="B45" s="20" t="n"/>
      <c r="C45" s="490" t="n"/>
      <c r="D45" s="486" t="n"/>
      <c r="E45" s="490" t="n"/>
      <c r="F45" s="486" t="n"/>
      <c r="G45" s="490" t="n"/>
      <c r="H45" s="488" t="n"/>
      <c r="I45" s="488" t="n"/>
      <c r="J45" s="486" t="n"/>
      <c r="K45" s="490" t="n"/>
      <c r="L45" s="486" t="n"/>
      <c r="M45" s="21" t="n"/>
      <c r="N45" s="417" t="n"/>
    </row>
    <row r="46" ht="17.25" customHeight="1" s="468">
      <c r="B46" s="18" t="n"/>
      <c r="C46" s="485" t="n"/>
      <c r="D46" s="486" t="n"/>
      <c r="E46" s="485" t="n"/>
      <c r="F46" s="486" t="n"/>
      <c r="G46" s="485" t="n"/>
      <c r="H46" s="488" t="n"/>
      <c r="I46" s="488" t="n"/>
      <c r="J46" s="486" t="n"/>
      <c r="K46" s="485" t="n"/>
      <c r="L46" s="486" t="n"/>
      <c r="M46" s="19" t="n"/>
      <c r="N46" s="417" t="n"/>
    </row>
    <row r="47" ht="17.25" customHeight="1" s="468">
      <c r="B47" s="20" t="n"/>
      <c r="C47" s="490" t="n"/>
      <c r="D47" s="486" t="n"/>
      <c r="E47" s="490" t="n"/>
      <c r="F47" s="486" t="n"/>
      <c r="G47" s="490" t="n"/>
      <c r="H47" s="488" t="n"/>
      <c r="I47" s="488" t="n"/>
      <c r="J47" s="486" t="n"/>
      <c r="K47" s="490" t="n"/>
      <c r="L47" s="486" t="n"/>
      <c r="M47" s="21" t="n"/>
      <c r="N47" s="417" t="n"/>
    </row>
    <row r="48" ht="17.25" customHeight="1" s="468">
      <c r="B48" s="18" t="n"/>
      <c r="C48" s="485" t="n"/>
      <c r="D48" s="486" t="n"/>
      <c r="E48" s="485" t="n"/>
      <c r="F48" s="486" t="n"/>
      <c r="G48" s="485" t="n"/>
      <c r="H48" s="488" t="n"/>
      <c r="I48" s="488" t="n"/>
      <c r="J48" s="486" t="n"/>
      <c r="K48" s="485" t="n"/>
      <c r="L48" s="486" t="n"/>
      <c r="M48" s="19" t="n"/>
      <c r="N48" s="417" t="n"/>
    </row>
    <row r="49" ht="17.25" customHeight="1" s="468">
      <c r="B49" s="20" t="n"/>
      <c r="C49" s="490" t="n"/>
      <c r="D49" s="486" t="n"/>
      <c r="E49" s="490" t="n"/>
      <c r="F49" s="486" t="n"/>
      <c r="G49" s="490" t="n"/>
      <c r="H49" s="488" t="n"/>
      <c r="I49" s="488" t="n"/>
      <c r="J49" s="486" t="n"/>
      <c r="K49" s="490" t="n"/>
      <c r="L49" s="486" t="n"/>
      <c r="M49" s="21" t="n"/>
      <c r="N49" s="417" t="n"/>
    </row>
    <row r="50" ht="17.25" customHeight="1" s="468">
      <c r="B50" s="18" t="n"/>
      <c r="C50" s="485" t="n"/>
      <c r="D50" s="486" t="n"/>
      <c r="E50" s="485" t="n"/>
      <c r="F50" s="486" t="n"/>
      <c r="G50" s="485" t="n"/>
      <c r="H50" s="488" t="n"/>
      <c r="I50" s="488" t="n"/>
      <c r="J50" s="486" t="n"/>
      <c r="K50" s="485" t="n"/>
      <c r="L50" s="486" t="n"/>
      <c r="M50" s="19" t="n"/>
      <c r="N50" s="417" t="n"/>
    </row>
    <row r="51" ht="17.25" customHeight="1" s="468">
      <c r="B51" s="20" t="n"/>
      <c r="C51" s="490" t="n"/>
      <c r="D51" s="486" t="n"/>
      <c r="E51" s="490" t="n"/>
      <c r="F51" s="486" t="n"/>
      <c r="G51" s="490" t="n"/>
      <c r="H51" s="488" t="n"/>
      <c r="I51" s="488" t="n"/>
      <c r="J51" s="486" t="n"/>
      <c r="K51" s="490" t="n"/>
      <c r="L51" s="486" t="n"/>
      <c r="M51" s="23" t="n"/>
      <c r="N51" s="417" t="n"/>
    </row>
    <row r="52" ht="17.25" customHeight="1" s="468">
      <c r="B52" s="18" t="n"/>
      <c r="C52" s="485" t="n"/>
      <c r="D52" s="486" t="n"/>
      <c r="E52" s="485" t="n"/>
      <c r="F52" s="486" t="n"/>
      <c r="G52" s="485" t="n"/>
      <c r="H52" s="488" t="n"/>
      <c r="I52" s="488" t="n"/>
      <c r="J52" s="486" t="n"/>
      <c r="K52" s="485" t="n"/>
      <c r="L52" s="486" t="n"/>
      <c r="M52" s="19" t="n"/>
      <c r="N52" s="417" t="n"/>
    </row>
    <row r="53" ht="17.25" customHeight="1" s="468">
      <c r="B53" s="20" t="n"/>
      <c r="C53" s="490" t="n"/>
      <c r="D53" s="486" t="n"/>
      <c r="E53" s="490" t="n"/>
      <c r="F53" s="486" t="n"/>
      <c r="G53" s="490" t="n"/>
      <c r="H53" s="488" t="n"/>
      <c r="I53" s="488" t="n"/>
      <c r="J53" s="486" t="n"/>
      <c r="K53" s="490" t="n"/>
      <c r="L53" s="486" t="n"/>
      <c r="M53" s="21" t="n"/>
      <c r="N53" s="417" t="n"/>
    </row>
    <row r="54" ht="17.25" customHeight="1" s="468">
      <c r="B54" s="18" t="n"/>
      <c r="C54" s="485" t="n"/>
      <c r="D54" s="486" t="n"/>
      <c r="E54" s="485" t="n"/>
      <c r="F54" s="486" t="n"/>
      <c r="G54" s="485" t="n"/>
      <c r="H54" s="488" t="n"/>
      <c r="I54" s="488" t="n"/>
      <c r="J54" s="486" t="n"/>
      <c r="K54" s="485" t="n"/>
      <c r="L54" s="486" t="n"/>
      <c r="M54" s="19" t="n"/>
      <c r="N54" s="417" t="n"/>
    </row>
    <row r="55" ht="17.25" customHeight="1" s="468">
      <c r="B55" s="20" t="n"/>
      <c r="C55" s="490" t="n"/>
      <c r="D55" s="486" t="n"/>
      <c r="E55" s="490" t="n"/>
      <c r="F55" s="486" t="n"/>
      <c r="G55" s="490" t="n"/>
      <c r="H55" s="488" t="n"/>
      <c r="I55" s="488" t="n"/>
      <c r="J55" s="486" t="n"/>
      <c r="K55" s="490" t="n"/>
      <c r="L55" s="486" t="n"/>
      <c r="M55" s="21" t="n"/>
      <c r="N55" s="417" t="n"/>
    </row>
    <row r="56" ht="17.25" customHeight="1" s="468">
      <c r="B56" s="18" t="n"/>
      <c r="C56" s="485" t="n"/>
      <c r="D56" s="486" t="n"/>
      <c r="E56" s="485" t="n"/>
      <c r="F56" s="486" t="n"/>
      <c r="G56" s="485" t="n"/>
      <c r="H56" s="488" t="n"/>
      <c r="I56" s="488" t="n"/>
      <c r="J56" s="486" t="n"/>
      <c r="K56" s="485" t="n"/>
      <c r="L56" s="486" t="n"/>
      <c r="M56" s="19" t="n"/>
      <c r="N56" s="417" t="n"/>
    </row>
    <row r="57" ht="17.25" customHeight="1" s="468">
      <c r="B57" s="20" t="n"/>
      <c r="C57" s="490" t="n"/>
      <c r="D57" s="486" t="n"/>
      <c r="E57" s="490" t="n"/>
      <c r="F57" s="486" t="n"/>
      <c r="G57" s="490" t="n"/>
      <c r="H57" s="488" t="n"/>
      <c r="I57" s="488" t="n"/>
      <c r="J57" s="486" t="n"/>
      <c r="K57" s="490" t="n"/>
      <c r="L57" s="486" t="n"/>
      <c r="M57" s="21" t="n"/>
      <c r="N57" s="417" t="n"/>
    </row>
    <row r="58" ht="17.25" customHeight="1" s="468">
      <c r="B58" s="18" t="n"/>
      <c r="C58" s="485" t="n"/>
      <c r="D58" s="486" t="n"/>
      <c r="E58" s="485" t="n"/>
      <c r="F58" s="486" t="n"/>
      <c r="G58" s="485" t="n"/>
      <c r="H58" s="488" t="n"/>
      <c r="I58" s="488" t="n"/>
      <c r="J58" s="486" t="n"/>
      <c r="K58" s="485" t="n"/>
      <c r="L58" s="486" t="n"/>
      <c r="M58" s="19" t="n"/>
      <c r="N58" s="417" t="n"/>
    </row>
    <row r="59" ht="17.25" customHeight="1" s="468">
      <c r="B59" s="20" t="n"/>
      <c r="C59" s="490" t="n"/>
      <c r="D59" s="486" t="n"/>
      <c r="E59" s="490" t="n"/>
      <c r="F59" s="486" t="n"/>
      <c r="G59" s="490" t="n"/>
      <c r="H59" s="488" t="n"/>
      <c r="I59" s="488" t="n"/>
      <c r="J59" s="486" t="n"/>
      <c r="K59" s="490" t="n"/>
      <c r="L59" s="486" t="n"/>
      <c r="M59" s="23" t="n"/>
      <c r="N59" s="417" t="n"/>
    </row>
    <row r="60" ht="17.25" customHeight="1" s="468">
      <c r="B60" s="18" t="n"/>
      <c r="C60" s="485" t="n"/>
      <c r="D60" s="486" t="n"/>
      <c r="E60" s="485" t="n"/>
      <c r="F60" s="486" t="n"/>
      <c r="G60" s="485" t="n"/>
      <c r="H60" s="488" t="n"/>
      <c r="I60" s="488" t="n"/>
      <c r="J60" s="486" t="n"/>
      <c r="K60" s="485" t="n"/>
      <c r="L60" s="486" t="n"/>
      <c r="M60" s="19" t="n"/>
      <c r="N60" s="417" t="n"/>
    </row>
    <row r="61" ht="17.25" customHeight="1" s="468">
      <c r="B61" s="20" t="n"/>
      <c r="C61" s="490" t="n"/>
      <c r="D61" s="486" t="n"/>
      <c r="E61" s="490" t="n"/>
      <c r="F61" s="486" t="n"/>
      <c r="G61" s="490" t="n"/>
      <c r="H61" s="488" t="n"/>
      <c r="I61" s="488" t="n"/>
      <c r="J61" s="486" t="n"/>
      <c r="K61" s="490" t="n"/>
      <c r="L61" s="486" t="n"/>
      <c r="M61" s="21" t="n"/>
      <c r="N61" s="417" t="n"/>
    </row>
    <row r="62" ht="17.25" customHeight="1" s="468">
      <c r="B62" s="18" t="n"/>
      <c r="C62" s="485" t="n"/>
      <c r="D62" s="486" t="n"/>
      <c r="E62" s="485" t="n"/>
      <c r="F62" s="486" t="n"/>
      <c r="G62" s="485" t="n"/>
      <c r="H62" s="488" t="n"/>
      <c r="I62" s="488" t="n"/>
      <c r="J62" s="486" t="n"/>
      <c r="K62" s="485" t="n"/>
      <c r="L62" s="486" t="n"/>
      <c r="M62" s="19" t="n"/>
      <c r="N62" s="417" t="n"/>
    </row>
    <row r="63" ht="17.25" customHeight="1" s="468">
      <c r="B63" s="20" t="n"/>
      <c r="C63" s="490" t="n"/>
      <c r="D63" s="486" t="n"/>
      <c r="E63" s="490" t="n"/>
      <c r="F63" s="486" t="n"/>
      <c r="G63" s="490" t="n"/>
      <c r="H63" s="488" t="n"/>
      <c r="I63" s="488" t="n"/>
      <c r="J63" s="486" t="n"/>
      <c r="K63" s="490" t="n"/>
      <c r="L63" s="486" t="n"/>
      <c r="M63" s="21" t="n"/>
      <c r="N63" s="417" t="n"/>
    </row>
    <row r="64" ht="17.25" customHeight="1" s="468">
      <c r="B64" s="18" t="n"/>
      <c r="C64" s="485" t="n"/>
      <c r="D64" s="486" t="n"/>
      <c r="E64" s="485" t="n"/>
      <c r="F64" s="486" t="n"/>
      <c r="G64" s="485" t="n"/>
      <c r="H64" s="488" t="n"/>
      <c r="I64" s="488" t="n"/>
      <c r="J64" s="486" t="n"/>
      <c r="K64" s="485" t="n"/>
      <c r="L64" s="486" t="n"/>
      <c r="M64" s="19" t="n"/>
      <c r="N64" s="417" t="n"/>
    </row>
    <row r="65" ht="17.25" customHeight="1" s="468">
      <c r="B65" s="20" t="n"/>
      <c r="C65" s="490" t="n"/>
      <c r="D65" s="486" t="n"/>
      <c r="E65" s="490" t="n"/>
      <c r="F65" s="486" t="n"/>
      <c r="G65" s="490" t="n"/>
      <c r="H65" s="488" t="n"/>
      <c r="I65" s="488" t="n"/>
      <c r="J65" s="486" t="n"/>
      <c r="K65" s="490" t="n"/>
      <c r="L65" s="486" t="n"/>
      <c r="M65" s="21" t="n"/>
      <c r="N65" s="417" t="n"/>
    </row>
    <row r="66" ht="17.25" customHeight="1" s="468">
      <c r="B66" s="18" t="n"/>
      <c r="C66" s="485" t="n"/>
      <c r="D66" s="486" t="n"/>
      <c r="E66" s="485" t="n"/>
      <c r="F66" s="486" t="n"/>
      <c r="G66" s="485" t="n"/>
      <c r="H66" s="488" t="n"/>
      <c r="I66" s="488" t="n"/>
      <c r="J66" s="486" t="n"/>
      <c r="K66" s="485" t="n"/>
      <c r="L66" s="486" t="n"/>
      <c r="M66" s="19" t="n"/>
      <c r="N66" s="417" t="n"/>
    </row>
    <row r="67" ht="17.25" customHeight="1" s="468">
      <c r="B67" s="20" t="n"/>
      <c r="C67" s="490" t="n"/>
      <c r="D67" s="486" t="n"/>
      <c r="E67" s="490" t="n"/>
      <c r="F67" s="486" t="n"/>
      <c r="G67" s="490" t="n"/>
      <c r="H67" s="488" t="n"/>
      <c r="I67" s="488" t="n"/>
      <c r="J67" s="486" t="n"/>
      <c r="K67" s="490" t="n"/>
      <c r="L67" s="486" t="n"/>
      <c r="M67" s="21" t="n"/>
      <c r="N67" s="417" t="n"/>
    </row>
    <row r="68" ht="17.25" customHeight="1" s="468">
      <c r="B68" s="18" t="n"/>
      <c r="C68" s="485" t="n"/>
      <c r="D68" s="486" t="n"/>
      <c r="E68" s="485" t="n"/>
      <c r="F68" s="486" t="n"/>
      <c r="G68" s="485" t="n"/>
      <c r="H68" s="488" t="n"/>
      <c r="I68" s="488" t="n"/>
      <c r="J68" s="486" t="n"/>
      <c r="K68" s="485" t="n"/>
      <c r="L68" s="486" t="n"/>
      <c r="M68" s="22" t="n"/>
      <c r="N68" s="417" t="n"/>
    </row>
    <row r="69" ht="17.25" customHeight="1" s="468">
      <c r="B69" s="20" t="n"/>
      <c r="C69" s="490" t="n"/>
      <c r="D69" s="486" t="n"/>
      <c r="E69" s="490" t="n"/>
      <c r="F69" s="486" t="n"/>
      <c r="G69" s="490" t="n"/>
      <c r="H69" s="488" t="n"/>
      <c r="I69" s="488" t="n"/>
      <c r="J69" s="486" t="n"/>
      <c r="K69" s="490" t="n"/>
      <c r="L69" s="486" t="n"/>
      <c r="M69" s="21" t="n"/>
      <c r="N69" s="417" t="n"/>
    </row>
    <row r="70" ht="17.25" customHeight="1" s="468">
      <c r="B70" s="18" t="n"/>
      <c r="C70" s="485" t="n"/>
      <c r="D70" s="486" t="n"/>
      <c r="E70" s="485" t="n"/>
      <c r="F70" s="486" t="n"/>
      <c r="G70" s="485" t="n"/>
      <c r="H70" s="488" t="n"/>
      <c r="I70" s="488" t="n"/>
      <c r="J70" s="486" t="n"/>
      <c r="K70" s="485" t="n"/>
      <c r="L70" s="486" t="n"/>
      <c r="M70" s="19" t="n"/>
      <c r="N70" s="417" t="n"/>
    </row>
    <row r="71" ht="17.25" customHeight="1" s="468">
      <c r="B71" s="20" t="n"/>
      <c r="C71" s="490" t="n"/>
      <c r="D71" s="486" t="n"/>
      <c r="E71" s="490" t="n"/>
      <c r="F71" s="486" t="n"/>
      <c r="G71" s="490" t="n"/>
      <c r="H71" s="488" t="n"/>
      <c r="I71" s="488" t="n"/>
      <c r="J71" s="486" t="n"/>
      <c r="K71" s="490" t="n"/>
      <c r="L71" s="486" t="n"/>
      <c r="M71" s="21" t="n"/>
      <c r="N71" s="417" t="n"/>
    </row>
    <row r="72" ht="17.25" customHeight="1" s="468">
      <c r="B72" s="18" t="n"/>
      <c r="C72" s="485" t="n"/>
      <c r="D72" s="486" t="n"/>
      <c r="E72" s="485" t="n"/>
      <c r="F72" s="486" t="n"/>
      <c r="G72" s="485" t="n"/>
      <c r="H72" s="488" t="n"/>
      <c r="I72" s="488" t="n"/>
      <c r="J72" s="486" t="n"/>
      <c r="K72" s="485" t="n"/>
      <c r="L72" s="486" t="n"/>
      <c r="M72" s="19" t="n"/>
      <c r="N72" s="417" t="n"/>
    </row>
    <row r="73" ht="17.25" customHeight="1" s="468">
      <c r="B73" s="20" t="n"/>
      <c r="C73" s="490" t="n"/>
      <c r="D73" s="486" t="n"/>
      <c r="E73" s="490" t="n"/>
      <c r="F73" s="486" t="n"/>
      <c r="G73" s="490" t="n"/>
      <c r="H73" s="488" t="n"/>
      <c r="I73" s="488" t="n"/>
      <c r="J73" s="486" t="n"/>
      <c r="K73" s="490" t="n"/>
      <c r="L73" s="486" t="n"/>
      <c r="M73" s="21" t="n"/>
      <c r="N73" s="417" t="n"/>
    </row>
    <row r="74" ht="17.25" customHeight="1" s="468">
      <c r="B74" s="18" t="n"/>
      <c r="C74" s="485" t="n"/>
      <c r="D74" s="486" t="n"/>
      <c r="E74" s="485" t="n"/>
      <c r="F74" s="486" t="n"/>
      <c r="G74" s="485" t="n"/>
      <c r="H74" s="488" t="n"/>
      <c r="I74" s="488" t="n"/>
      <c r="J74" s="486" t="n"/>
      <c r="K74" s="485" t="n"/>
      <c r="L74" s="486" t="n"/>
      <c r="M74" s="19" t="n"/>
      <c r="N74" s="417" t="n"/>
    </row>
    <row r="75" ht="17.25" customHeight="1" s="468">
      <c r="B75" s="20" t="n"/>
      <c r="C75" s="490" t="n"/>
      <c r="D75" s="486" t="n"/>
      <c r="E75" s="490" t="n"/>
      <c r="F75" s="486" t="n"/>
      <c r="G75" s="490" t="n"/>
      <c r="H75" s="488" t="n"/>
      <c r="I75" s="488" t="n"/>
      <c r="J75" s="486" t="n"/>
      <c r="K75" s="490" t="n"/>
      <c r="L75" s="486" t="n"/>
      <c r="M75" s="21" t="n"/>
      <c r="N75" s="417" t="n"/>
    </row>
    <row r="76" ht="17.25" customHeight="1" s="468">
      <c r="B76" s="18" t="n"/>
      <c r="C76" s="485" t="n"/>
      <c r="D76" s="486" t="n"/>
      <c r="E76" s="485" t="n"/>
      <c r="F76" s="486" t="n"/>
      <c r="G76" s="485" t="n"/>
      <c r="H76" s="488" t="n"/>
      <c r="I76" s="488" t="n"/>
      <c r="J76" s="486" t="n"/>
      <c r="K76" s="485" t="n"/>
      <c r="L76" s="486" t="n"/>
      <c r="M76" s="22" t="n"/>
      <c r="N76" s="417" t="n"/>
    </row>
    <row r="77" ht="17.25" customHeight="1" s="468">
      <c r="B77" s="20" t="n"/>
      <c r="C77" s="490" t="n"/>
      <c r="D77" s="486" t="n"/>
      <c r="E77" s="490" t="n"/>
      <c r="F77" s="486" t="n"/>
      <c r="G77" s="490" t="n"/>
      <c r="H77" s="488" t="n"/>
      <c r="I77" s="488" t="n"/>
      <c r="J77" s="486" t="n"/>
      <c r="K77" s="490" t="n"/>
      <c r="L77" s="486" t="n"/>
      <c r="M77" s="21" t="n"/>
      <c r="N77" s="417" t="n"/>
    </row>
    <row r="78" ht="17.25" customHeight="1" s="468">
      <c r="B78" s="18" t="n"/>
      <c r="C78" s="485" t="n"/>
      <c r="D78" s="486" t="n"/>
      <c r="E78" s="485" t="n"/>
      <c r="F78" s="486" t="n"/>
      <c r="G78" s="485" t="n"/>
      <c r="H78" s="488" t="n"/>
      <c r="I78" s="488" t="n"/>
      <c r="J78" s="486" t="n"/>
      <c r="K78" s="485" t="n"/>
      <c r="L78" s="486" t="n"/>
      <c r="M78" s="19" t="n"/>
      <c r="N78" s="417" t="n"/>
    </row>
    <row r="79" ht="17.25" customHeight="1" s="468">
      <c r="B79" s="20" t="n"/>
      <c r="C79" s="490" t="n"/>
      <c r="D79" s="486" t="n"/>
      <c r="E79" s="490" t="n"/>
      <c r="F79" s="486" t="n"/>
      <c r="G79" s="490" t="n"/>
      <c r="H79" s="488" t="n"/>
      <c r="I79" s="488" t="n"/>
      <c r="J79" s="486" t="n"/>
      <c r="K79" s="490" t="n"/>
      <c r="L79" s="486" t="n"/>
      <c r="M79" s="21" t="n"/>
      <c r="N79" s="417" t="n"/>
    </row>
    <row r="80" ht="17.25" customHeight="1" s="468">
      <c r="B80" s="18" t="n"/>
      <c r="C80" s="485" t="n"/>
      <c r="D80" s="486" t="n"/>
      <c r="E80" s="485" t="n"/>
      <c r="F80" s="486" t="n"/>
      <c r="G80" s="485" t="n"/>
      <c r="H80" s="488" t="n"/>
      <c r="I80" s="488" t="n"/>
      <c r="J80" s="486" t="n"/>
      <c r="K80" s="485" t="n"/>
      <c r="L80" s="486" t="n"/>
      <c r="M80" s="19" t="n"/>
      <c r="N80" s="417" t="n"/>
    </row>
    <row r="81" ht="17.25" customHeight="1" s="468">
      <c r="B81" s="20" t="n"/>
      <c r="C81" s="490" t="n"/>
      <c r="D81" s="486" t="n"/>
      <c r="E81" s="490" t="n"/>
      <c r="F81" s="486" t="n"/>
      <c r="G81" s="490" t="n"/>
      <c r="H81" s="488" t="n"/>
      <c r="I81" s="488" t="n"/>
      <c r="J81" s="486" t="n"/>
      <c r="K81" s="490" t="n"/>
      <c r="L81" s="486" t="n"/>
      <c r="M81" s="21" t="n"/>
      <c r="N81" s="417" t="n"/>
    </row>
    <row r="82" ht="17.25" customHeight="1" s="468">
      <c r="B82" s="18" t="n"/>
      <c r="C82" s="485" t="n"/>
      <c r="D82" s="486" t="n"/>
      <c r="E82" s="485" t="n"/>
      <c r="F82" s="486" t="n"/>
      <c r="G82" s="485" t="n"/>
      <c r="H82" s="488" t="n"/>
      <c r="I82" s="488" t="n"/>
      <c r="J82" s="486" t="n"/>
      <c r="K82" s="485" t="n"/>
      <c r="L82" s="486" t="n"/>
      <c r="M82" s="19" t="n"/>
      <c r="N82" s="417" t="n"/>
    </row>
    <row r="83" ht="17.25" customHeight="1" s="468">
      <c r="B83" s="20" t="n"/>
      <c r="C83" s="490" t="n"/>
      <c r="D83" s="486" t="n"/>
      <c r="E83" s="490" t="n"/>
      <c r="F83" s="486" t="n"/>
      <c r="G83" s="490" t="n"/>
      <c r="H83" s="488" t="n"/>
      <c r="I83" s="488" t="n"/>
      <c r="J83" s="486" t="n"/>
      <c r="K83" s="490" t="n"/>
      <c r="L83" s="486" t="n"/>
      <c r="M83" s="21" t="n"/>
      <c r="N83" s="417" t="n"/>
    </row>
    <row r="84" ht="17.25" customHeight="1" s="468">
      <c r="B84" s="18" t="n"/>
      <c r="C84" s="485" t="n"/>
      <c r="D84" s="486" t="n"/>
      <c r="E84" s="485" t="n"/>
      <c r="F84" s="486" t="n"/>
      <c r="G84" s="485" t="n"/>
      <c r="H84" s="488" t="n"/>
      <c r="I84" s="488" t="n"/>
      <c r="J84" s="486" t="n"/>
      <c r="K84" s="485" t="n"/>
      <c r="L84" s="486" t="n"/>
      <c r="M84" s="19" t="n"/>
      <c r="N84" s="417" t="n"/>
    </row>
    <row r="85" ht="17.25" customHeight="1" s="468">
      <c r="B85" s="20" t="n"/>
      <c r="C85" s="490" t="n"/>
      <c r="D85" s="486" t="n"/>
      <c r="E85" s="490" t="n"/>
      <c r="F85" s="486" t="n"/>
      <c r="G85" s="490" t="n"/>
      <c r="H85" s="488" t="n"/>
      <c r="I85" s="488" t="n"/>
      <c r="J85" s="486" t="n"/>
      <c r="K85" s="490" t="n"/>
      <c r="L85" s="486" t="n"/>
      <c r="M85" s="23" t="n"/>
      <c r="N85" s="417" t="n"/>
    </row>
    <row r="86" ht="17.25" customHeight="1" s="468">
      <c r="B86" s="18" t="n"/>
      <c r="C86" s="485" t="n"/>
      <c r="D86" s="486" t="n"/>
      <c r="E86" s="485" t="n"/>
      <c r="F86" s="486" t="n"/>
      <c r="G86" s="485" t="n"/>
      <c r="H86" s="488" t="n"/>
      <c r="I86" s="488" t="n"/>
      <c r="J86" s="486" t="n"/>
      <c r="K86" s="485" t="n"/>
      <c r="L86" s="486" t="n"/>
      <c r="M86" s="19" t="n"/>
      <c r="N86" s="417" t="n"/>
    </row>
    <row r="87" ht="17.25" customHeight="1" s="468">
      <c r="B87" s="20" t="n"/>
      <c r="C87" s="490" t="n"/>
      <c r="D87" s="486" t="n"/>
      <c r="E87" s="490" t="n"/>
      <c r="F87" s="486" t="n"/>
      <c r="G87" s="490" t="n"/>
      <c r="H87" s="488" t="n"/>
      <c r="I87" s="488" t="n"/>
      <c r="J87" s="486" t="n"/>
      <c r="K87" s="490" t="n"/>
      <c r="L87" s="486" t="n"/>
      <c r="M87" s="21" t="n"/>
      <c r="N87" s="417" t="n"/>
    </row>
    <row r="88" ht="17.25" customHeight="1" s="468">
      <c r="B88" s="18" t="n"/>
      <c r="C88" s="485" t="n"/>
      <c r="D88" s="486" t="n"/>
      <c r="E88" s="485" t="n"/>
      <c r="F88" s="486" t="n"/>
      <c r="G88" s="485" t="n"/>
      <c r="H88" s="488" t="n"/>
      <c r="I88" s="488" t="n"/>
      <c r="J88" s="486" t="n"/>
      <c r="K88" s="485" t="n"/>
      <c r="L88" s="486" t="n"/>
      <c r="M88" s="19" t="n"/>
      <c r="N88" s="417" t="n"/>
    </row>
    <row r="89" ht="17.25" customHeight="1" s="468">
      <c r="B89" s="20" t="n"/>
      <c r="C89" s="490" t="n"/>
      <c r="D89" s="486" t="n"/>
      <c r="E89" s="490" t="n"/>
      <c r="F89" s="486" t="n"/>
      <c r="G89" s="490" t="n"/>
      <c r="H89" s="488" t="n"/>
      <c r="I89" s="488" t="n"/>
      <c r="J89" s="486" t="n"/>
      <c r="K89" s="490" t="n"/>
      <c r="L89" s="486" t="n"/>
      <c r="M89" s="21" t="n"/>
      <c r="N89" s="417" t="n"/>
    </row>
    <row r="90" ht="17.25" customHeight="1" s="468">
      <c r="B90" s="18" t="n"/>
      <c r="C90" s="485" t="n"/>
      <c r="D90" s="486" t="n"/>
      <c r="E90" s="485" t="n"/>
      <c r="F90" s="486" t="n"/>
      <c r="G90" s="485" t="n"/>
      <c r="H90" s="488" t="n"/>
      <c r="I90" s="488" t="n"/>
      <c r="J90" s="486" t="n"/>
      <c r="K90" s="485" t="n"/>
      <c r="L90" s="486" t="n"/>
      <c r="M90" s="19" t="n"/>
      <c r="N90" s="417" t="n"/>
    </row>
    <row r="91" ht="17.25" customHeight="1" s="468">
      <c r="B91" s="20" t="n"/>
      <c r="C91" s="490" t="n"/>
      <c r="D91" s="486" t="n"/>
      <c r="E91" s="490" t="n"/>
      <c r="F91" s="486" t="n"/>
      <c r="G91" s="490" t="n"/>
      <c r="H91" s="488" t="n"/>
      <c r="I91" s="488" t="n"/>
      <c r="J91" s="486" t="n"/>
      <c r="K91" s="490" t="n"/>
      <c r="L91" s="486" t="n"/>
      <c r="M91" s="21" t="n"/>
      <c r="N91" s="417" t="n"/>
    </row>
    <row r="92" ht="17.25" customHeight="1" s="468">
      <c r="B92" s="18" t="n"/>
      <c r="C92" s="485" t="n"/>
      <c r="D92" s="486" t="n"/>
      <c r="E92" s="485" t="n"/>
      <c r="F92" s="486" t="n"/>
      <c r="G92" s="485" t="n"/>
      <c r="H92" s="488" t="n"/>
      <c r="I92" s="488" t="n"/>
      <c r="J92" s="486" t="n"/>
      <c r="K92" s="485" t="n"/>
      <c r="L92" s="486" t="n"/>
      <c r="M92" s="19" t="n"/>
      <c r="N92" s="417" t="n"/>
    </row>
    <row r="93" ht="17.25" customHeight="1" s="468">
      <c r="B93" s="20" t="n"/>
      <c r="C93" s="490" t="n"/>
      <c r="D93" s="486" t="n"/>
      <c r="E93" s="490" t="n"/>
      <c r="F93" s="486" t="n"/>
      <c r="G93" s="490" t="n"/>
      <c r="H93" s="488" t="n"/>
      <c r="I93" s="488" t="n"/>
      <c r="J93" s="486" t="n"/>
      <c r="K93" s="490" t="n"/>
      <c r="L93" s="486" t="n"/>
      <c r="M93" s="23" t="n"/>
      <c r="N93" s="417" t="n"/>
    </row>
    <row r="94" ht="17.25" customHeight="1" s="468">
      <c r="B94" s="24" t="n"/>
      <c r="C94" s="506" t="n"/>
      <c r="D94" s="507" t="n"/>
      <c r="E94" s="506" t="n"/>
      <c r="F94" s="507" t="n"/>
      <c r="G94" s="506" t="n"/>
      <c r="H94" s="509" t="n"/>
      <c r="I94" s="509" t="n"/>
      <c r="J94" s="507" t="n"/>
      <c r="K94" s="506" t="n"/>
      <c r="L94" s="507" t="n"/>
      <c r="M94" s="25" t="n"/>
      <c r="N94" s="417" t="n"/>
    </row>
    <row r="95" ht="18" customHeight="1" s="468">
      <c r="N95" s="420" t="n"/>
    </row>
    <row r="96" ht="18" customHeight="1" s="468">
      <c r="N96" s="420" t="n"/>
    </row>
    <row r="97" ht="18" customHeight="1" s="468">
      <c r="N97" s="420" t="n"/>
    </row>
    <row r="98" ht="18" customHeight="1" s="468">
      <c r="N98" s="420" t="n"/>
    </row>
    <row r="99" ht="18" customHeight="1" s="468">
      <c r="N99" s="420" t="n"/>
    </row>
    <row r="100" ht="18" customHeight="1" s="468">
      <c r="N100" s="420" t="n"/>
    </row>
    <row r="101" ht="18" customHeight="1" s="468">
      <c r="N101" s="420" t="n"/>
    </row>
    <row r="102" ht="18" customHeight="1" s="468">
      <c r="N102" s="420" t="n"/>
    </row>
    <row r="103" ht="18" customHeight="1" s="468">
      <c r="N103" s="420" t="n"/>
    </row>
    <row r="104" ht="18" customHeight="1" s="468">
      <c r="N104" s="420" t="n"/>
    </row>
    <row r="105" ht="18" customHeight="1" s="468">
      <c r="N105" s="420" t="n"/>
    </row>
    <row r="106" ht="18" customHeight="1" s="468">
      <c r="N106" s="420" t="n"/>
    </row>
    <row r="107" ht="18" customHeight="1" s="468">
      <c r="N107" s="420" t="n"/>
    </row>
    <row r="108" ht="18" customHeight="1" s="468">
      <c r="N108" s="420" t="n"/>
    </row>
    <row r="109" ht="18" customHeight="1" s="468">
      <c r="N109" s="420" t="n"/>
    </row>
    <row r="110" ht="18" customHeight="1" s="468">
      <c r="N110" s="420" t="n"/>
    </row>
    <row r="111" ht="18" customHeight="1" s="468">
      <c r="N111" s="420" t="n"/>
    </row>
    <row r="112" ht="18" customHeight="1" s="468">
      <c r="N112" s="420" t="n"/>
    </row>
    <row r="113" ht="18" customHeight="1" s="468">
      <c r="N113" s="420" t="n"/>
    </row>
    <row r="114" ht="18" customHeight="1" s="468">
      <c r="N114" s="420" t="n"/>
    </row>
    <row r="115" ht="18" customHeight="1" s="468">
      <c r="N115" s="420" t="n"/>
    </row>
    <row r="116" ht="18" customHeight="1" s="468">
      <c r="N116" s="420" t="n"/>
    </row>
    <row r="117" ht="18" customHeight="1" s="468">
      <c r="N117" s="420" t="n"/>
    </row>
    <row r="118" ht="18" customHeight="1" s="468">
      <c r="N118" s="420" t="n"/>
    </row>
    <row r="119" ht="18" customHeight="1" s="468">
      <c r="N119" s="420" t="n"/>
    </row>
    <row r="120" ht="18" customHeight="1" s="468">
      <c r="N120" s="420" t="n"/>
    </row>
    <row r="121" ht="18" customHeight="1" s="468">
      <c r="N121" s="420" t="n"/>
    </row>
    <row r="122" ht="18" customHeight="1" s="468">
      <c r="N122" s="420" t="n"/>
    </row>
    <row r="123" ht="18" customHeight="1" s="468">
      <c r="N123" s="420" t="n"/>
    </row>
    <row r="124" ht="18" customHeight="1" s="468">
      <c r="N124" s="420" t="n"/>
    </row>
    <row r="125" ht="18" customHeight="1" s="468">
      <c r="N125" s="420" t="n"/>
    </row>
    <row r="126" ht="18" customHeight="1" s="468">
      <c r="N126" s="420" t="n"/>
    </row>
    <row r="127" ht="18" customHeight="1" s="468">
      <c r="N127" s="420" t="n"/>
    </row>
    <row r="128" ht="18" customHeight="1" s="468">
      <c r="N128" s="420" t="n"/>
    </row>
    <row r="129" ht="18" customHeight="1" s="468">
      <c r="N129" s="420" t="n"/>
    </row>
    <row r="130" ht="18" customHeight="1" s="468">
      <c r="N130" s="420" t="n"/>
    </row>
    <row r="131" ht="18" customHeight="1" s="468">
      <c r="N131" s="420" t="n"/>
    </row>
    <row r="132" ht="18" customHeight="1" s="468">
      <c r="N132" s="420" t="n"/>
    </row>
    <row r="133" ht="18" customHeight="1" s="468">
      <c r="N133" s="420" t="n"/>
    </row>
    <row r="134" ht="18" customHeight="1" s="468">
      <c r="N134" s="420" t="n"/>
    </row>
    <row r="135" ht="18" customHeight="1" s="468">
      <c r="N135" s="420" t="n"/>
    </row>
    <row r="136" ht="18" customHeight="1" s="468">
      <c r="N136" s="420" t="n"/>
    </row>
    <row r="137" ht="18" customHeight="1" s="468">
      <c r="N137" s="420" t="n"/>
    </row>
    <row r="138" ht="18" customHeight="1" s="468">
      <c r="N138" s="420" t="n"/>
    </row>
    <row r="139" ht="18" customHeight="1" s="468">
      <c r="N139" s="420" t="n"/>
    </row>
    <row r="140" ht="18" customHeight="1" s="468">
      <c r="N140" s="420" t="n"/>
    </row>
    <row r="141" ht="18" customHeight="1" s="468">
      <c r="N141" s="420" t="n"/>
    </row>
    <row r="142" ht="18" customHeight="1" s="468">
      <c r="N142" s="420" t="n"/>
    </row>
    <row r="143" ht="18" customHeight="1" s="468">
      <c r="N143" s="420" t="n"/>
    </row>
    <row r="144" ht="18" customHeight="1" s="468">
      <c r="N144" s="420" t="n"/>
    </row>
    <row r="145" ht="18" customHeight="1" s="468">
      <c r="N145" s="420" t="n"/>
    </row>
    <row r="146" ht="18" customHeight="1" s="468">
      <c r="N146" s="420" t="n"/>
    </row>
    <row r="147" ht="18" customHeight="1" s="468">
      <c r="N147" s="420" t="n"/>
    </row>
    <row r="148" ht="18" customHeight="1" s="468">
      <c r="N148" s="420" t="n"/>
    </row>
    <row r="149" ht="18" customHeight="1" s="468">
      <c r="N149" s="420" t="n"/>
    </row>
    <row r="150" ht="18" customHeight="1" s="468">
      <c r="N150" s="420" t="n"/>
    </row>
    <row r="151" ht="18" customHeight="1" s="468">
      <c r="N151" s="420" t="n"/>
    </row>
    <row r="152" ht="18" customHeight="1" s="468">
      <c r="N152" s="420" t="n"/>
    </row>
    <row r="153" ht="18" customHeight="1" s="468">
      <c r="N153" s="420" t="n"/>
    </row>
    <row r="154" ht="18" customHeight="1" s="468">
      <c r="N154" s="420" t="n"/>
    </row>
    <row r="155" ht="18" customHeight="1" s="468">
      <c r="N155" s="420" t="n"/>
    </row>
    <row r="156" ht="18" customHeight="1" s="468">
      <c r="N156" s="420" t="n"/>
    </row>
    <row r="157" ht="18" customHeight="1" s="468">
      <c r="N157" s="420" t="n"/>
    </row>
    <row r="158" ht="18" customHeight="1" s="468">
      <c r="N158" s="420" t="n"/>
    </row>
    <row r="159" ht="18" customHeight="1" s="468">
      <c r="N159" s="420" t="n"/>
    </row>
    <row r="160" ht="18" customHeight="1" s="468">
      <c r="N160" s="420" t="n"/>
    </row>
    <row r="161" ht="18" customHeight="1" s="468">
      <c r="N161" s="420" t="n"/>
    </row>
    <row r="162" ht="18" customHeight="1" s="468">
      <c r="N162" s="420" t="n"/>
    </row>
    <row r="163" ht="18" customHeight="1" s="468">
      <c r="N163" s="420" t="n"/>
    </row>
    <row r="164" ht="18" customHeight="1" s="468">
      <c r="N164" s="420" t="n"/>
    </row>
    <row r="165" ht="18" customHeight="1" s="468">
      <c r="N165" s="420" t="n"/>
    </row>
    <row r="166" ht="18" customHeight="1" s="468">
      <c r="N166" s="420" t="n"/>
    </row>
    <row r="167" ht="18" customHeight="1" s="468">
      <c r="N167" s="420" t="n"/>
    </row>
    <row r="168" ht="18" customHeight="1" s="468">
      <c r="N168" s="420" t="n"/>
    </row>
    <row r="169" ht="18" customHeight="1" s="468">
      <c r="N169" s="420" t="n"/>
    </row>
    <row r="170" ht="18" customHeight="1" s="468">
      <c r="N170" s="420" t="n"/>
    </row>
    <row r="171" ht="18" customHeight="1" s="468">
      <c r="N171" s="420" t="n"/>
    </row>
    <row r="172" ht="18" customHeight="1" s="468">
      <c r="N172" s="420" t="n"/>
    </row>
    <row r="173" ht="18" customHeight="1" s="468">
      <c r="N173" s="420" t="n"/>
    </row>
    <row r="174" ht="18" customHeight="1" s="468">
      <c r="N174" s="420" t="n"/>
    </row>
    <row r="175" ht="18" customHeight="1" s="468">
      <c r="N175" s="420" t="n"/>
    </row>
    <row r="176" ht="18" customHeight="1" s="468">
      <c r="N176" s="420" t="n"/>
    </row>
    <row r="177" ht="18" customHeight="1" s="468">
      <c r="N177" s="420" t="n"/>
    </row>
    <row r="178" ht="18" customHeight="1" s="468">
      <c r="N178" s="420" t="n"/>
    </row>
    <row r="179" ht="18" customHeight="1" s="468">
      <c r="N179" s="420" t="n"/>
    </row>
    <row r="180" ht="18" customHeight="1" s="468">
      <c r="N180" s="420" t="n"/>
    </row>
    <row r="181" ht="18" customHeight="1" s="468">
      <c r="N181" s="420" t="n"/>
    </row>
    <row r="182" ht="18" customHeight="1" s="468">
      <c r="N182" s="420" t="n"/>
    </row>
    <row r="183" ht="18" customHeight="1" s="468">
      <c r="N183" s="420" t="n"/>
    </row>
    <row r="184" ht="18" customHeight="1" s="468">
      <c r="N184" s="420" t="n"/>
    </row>
    <row r="185" ht="18" customHeight="1" s="468">
      <c r="N185" s="420" t="n"/>
    </row>
    <row r="186" ht="18" customHeight="1" s="468">
      <c r="N186" s="420" t="n"/>
    </row>
    <row r="187" ht="18" customHeight="1" s="468">
      <c r="N187" s="420" t="n"/>
    </row>
    <row r="188" ht="18" customHeight="1" s="468">
      <c r="N188" s="420" t="n"/>
    </row>
    <row r="189" ht="18" customHeight="1" s="468">
      <c r="N189" s="420" t="n"/>
    </row>
    <row r="190" ht="18" customHeight="1" s="468">
      <c r="N190" s="420" t="n"/>
    </row>
    <row r="191" ht="18" customHeight="1" s="468">
      <c r="N191" s="420" t="n"/>
    </row>
    <row r="192" ht="18" customHeight="1" s="468">
      <c r="N192" s="420" t="n"/>
    </row>
    <row r="193" ht="18" customHeight="1" s="468">
      <c r="N193" s="420" t="n"/>
    </row>
    <row r="194" ht="18" customHeight="1" s="468">
      <c r="N194" s="420" t="n"/>
    </row>
    <row r="195" ht="18" customHeight="1" s="468">
      <c r="N195" s="420" t="n"/>
    </row>
    <row r="196" ht="18" customHeight="1" s="468">
      <c r="N196" s="420" t="n"/>
    </row>
    <row r="197" ht="18" customHeight="1" s="468">
      <c r="N197" s="420" t="n"/>
    </row>
    <row r="198" ht="18" customHeight="1" s="468">
      <c r="N198" s="420" t="n"/>
    </row>
    <row r="199" ht="18" customHeight="1" s="468">
      <c r="N199" s="420" t="n"/>
    </row>
    <row r="200" ht="18" customHeight="1" s="468">
      <c r="N200" s="420" t="n"/>
    </row>
    <row r="201" ht="18" customHeight="1" s="468">
      <c r="N201" s="420" t="n"/>
    </row>
    <row r="202" ht="18" customHeight="1" s="468">
      <c r="N202" s="420" t="n"/>
    </row>
    <row r="203" ht="18" customHeight="1" s="468">
      <c r="N203" s="420" t="n"/>
    </row>
    <row r="204" ht="18" customHeight="1" s="468">
      <c r="N204" s="420" t="n"/>
    </row>
    <row r="205" ht="18" customHeight="1" s="468">
      <c r="N205" s="420" t="n"/>
    </row>
    <row r="206" ht="18" customHeight="1" s="468">
      <c r="N206" s="420" t="n"/>
    </row>
    <row r="207" ht="18" customHeight="1" s="468">
      <c r="N207" s="420" t="n"/>
    </row>
    <row r="208" ht="18" customHeight="1" s="468">
      <c r="N208" s="420" t="n"/>
    </row>
    <row r="209" ht="18" customHeight="1" s="468">
      <c r="N209" s="420" t="n"/>
    </row>
    <row r="210" ht="18" customHeight="1" s="468">
      <c r="N210" s="420" t="n"/>
    </row>
    <row r="211" ht="18" customHeight="1" s="468">
      <c r="N211" s="420" t="n"/>
    </row>
    <row r="212" ht="18" customHeight="1" s="468">
      <c r="N212" s="420" t="n"/>
    </row>
    <row r="213" ht="18" customHeight="1" s="468">
      <c r="N213" s="420" t="n"/>
    </row>
    <row r="214" ht="18" customHeight="1" s="468">
      <c r="N214" s="420" t="n"/>
    </row>
    <row r="215" ht="18" customHeight="1" s="468">
      <c r="N215" s="420" t="n"/>
    </row>
    <row r="216" ht="18" customHeight="1" s="468">
      <c r="N216" s="420" t="n"/>
    </row>
    <row r="217" ht="18" customHeight="1" s="468">
      <c r="N217" s="420" t="n"/>
    </row>
    <row r="218" ht="18" customHeight="1" s="468">
      <c r="N218" s="420" t="n"/>
    </row>
    <row r="219" ht="18" customHeight="1" s="468">
      <c r="N219" s="420" t="n"/>
    </row>
    <row r="220" ht="18" customHeight="1" s="468">
      <c r="N220" s="420" t="n"/>
    </row>
    <row r="221" ht="18" customHeight="1" s="468">
      <c r="N221" s="420" t="n"/>
    </row>
    <row r="222" ht="18" customHeight="1" s="468">
      <c r="N222" s="420" t="n"/>
    </row>
    <row r="223" ht="18" customHeight="1" s="468">
      <c r="N223" s="420" t="n"/>
    </row>
    <row r="224" ht="18" customHeight="1" s="468">
      <c r="N224" s="420" t="n"/>
    </row>
    <row r="225" ht="18" customHeight="1" s="468">
      <c r="N225" s="420" t="n"/>
    </row>
    <row r="226" ht="18" customHeight="1" s="468">
      <c r="N226" s="420" t="n"/>
    </row>
    <row r="227" ht="18" customHeight="1" s="468">
      <c r="N227" s="420" t="n"/>
    </row>
    <row r="228" ht="18" customHeight="1" s="468">
      <c r="N228" s="420" t="n"/>
    </row>
    <row r="229" ht="18" customHeight="1" s="468">
      <c r="N229" s="420" t="n"/>
    </row>
    <row r="230" ht="18" customHeight="1" s="468">
      <c r="N230" s="420" t="n"/>
    </row>
    <row r="231" ht="18" customHeight="1" s="468">
      <c r="N231" s="420" t="n"/>
    </row>
    <row r="232" ht="18" customHeight="1" s="468">
      <c r="N232" s="420" t="n"/>
    </row>
    <row r="233" ht="18" customHeight="1" s="468">
      <c r="N233" s="420" t="n"/>
    </row>
    <row r="234" ht="18" customHeight="1" s="468">
      <c r="N234" s="420" t="n"/>
    </row>
    <row r="235" ht="18" customHeight="1" s="468">
      <c r="N235" s="420" t="n"/>
    </row>
    <row r="236" ht="18" customHeight="1" s="468">
      <c r="N236" s="420" t="n"/>
    </row>
    <row r="237" ht="18" customHeight="1" s="468">
      <c r="N237" s="420" t="n"/>
    </row>
    <row r="238" ht="18" customHeight="1" s="468">
      <c r="N238" s="420" t="n"/>
    </row>
    <row r="239" ht="18" customHeight="1" s="468">
      <c r="N239" s="420" t="n"/>
    </row>
    <row r="240" ht="18" customHeight="1" s="468">
      <c r="N240" s="420" t="n"/>
    </row>
    <row r="241" ht="18" customHeight="1" s="468">
      <c r="N241" s="420" t="n"/>
    </row>
    <row r="242" ht="18" customHeight="1" s="468">
      <c r="N242" s="420" t="n"/>
    </row>
    <row r="243" ht="18" customHeight="1" s="468">
      <c r="N243" s="420" t="n"/>
    </row>
    <row r="244" ht="18" customHeight="1" s="468">
      <c r="N244" s="420" t="n"/>
    </row>
    <row r="245" ht="18" customHeight="1" s="468">
      <c r="N245" s="420" t="n"/>
    </row>
    <row r="246" ht="18" customHeight="1" s="468">
      <c r="N246" s="420" t="n"/>
    </row>
    <row r="247" ht="18" customHeight="1" s="468">
      <c r="N247" s="420" t="n"/>
    </row>
    <row r="248" ht="18" customHeight="1" s="468">
      <c r="N248" s="420" t="n"/>
    </row>
    <row r="249" ht="18" customHeight="1" s="468">
      <c r="N249" s="420" t="n"/>
    </row>
    <row r="250" ht="18" customHeight="1" s="468">
      <c r="N250" s="420" t="n"/>
    </row>
    <row r="251" ht="18" customHeight="1" s="468">
      <c r="N251" s="420" t="n"/>
    </row>
    <row r="252" ht="18" customHeight="1" s="468">
      <c r="N252" s="420" t="n"/>
    </row>
    <row r="253" ht="18" customHeight="1" s="468">
      <c r="N253" s="420" t="n"/>
    </row>
    <row r="254" ht="18" customHeight="1" s="468">
      <c r="N254" s="420" t="n"/>
    </row>
    <row r="255" ht="18" customHeight="1" s="468">
      <c r="N255" s="420" t="n"/>
    </row>
    <row r="256" ht="18" customHeight="1" s="468">
      <c r="N256" s="420" t="n"/>
    </row>
    <row r="257" ht="18" customHeight="1" s="468">
      <c r="N257" s="420" t="n"/>
    </row>
    <row r="258" ht="18" customHeight="1" s="468">
      <c r="N258" s="420" t="n"/>
    </row>
    <row r="259" ht="18" customHeight="1" s="468">
      <c r="N259" s="420" t="n"/>
    </row>
    <row r="260" ht="18" customHeight="1" s="468">
      <c r="N260" s="420" t="n"/>
    </row>
    <row r="261" ht="18" customHeight="1" s="468">
      <c r="N261" s="420" t="n"/>
    </row>
    <row r="262" ht="18" customHeight="1" s="468">
      <c r="N262" s="420" t="n"/>
    </row>
    <row r="263" ht="18" customHeight="1" s="468">
      <c r="N263" s="420" t="n"/>
    </row>
    <row r="264" ht="18" customHeight="1" s="468">
      <c r="N264" s="420" t="n"/>
    </row>
    <row r="265" ht="18" customHeight="1" s="468">
      <c r="N265" s="420" t="n"/>
    </row>
    <row r="266" ht="18" customHeight="1" s="468">
      <c r="N266" s="420" t="n"/>
    </row>
    <row r="267" ht="18" customHeight="1" s="468">
      <c r="N267" s="420" t="n"/>
    </row>
    <row r="268" ht="18" customHeight="1" s="468">
      <c r="N268" s="420" t="n"/>
    </row>
    <row r="269" ht="18" customHeight="1" s="468">
      <c r="N269" s="420" t="n"/>
    </row>
    <row r="270" ht="18" customHeight="1" s="468">
      <c r="N270" s="420" t="n"/>
    </row>
    <row r="271" ht="18" customHeight="1" s="468">
      <c r="N271" s="420" t="n"/>
    </row>
    <row r="272" ht="18" customHeight="1" s="468">
      <c r="N272" s="420" t="n"/>
    </row>
    <row r="273" ht="18" customHeight="1" s="468">
      <c r="N273" s="420" t="n"/>
    </row>
    <row r="274" ht="18" customHeight="1" s="468">
      <c r="N274" s="420" t="n"/>
    </row>
    <row r="275" ht="18" customHeight="1" s="468">
      <c r="N275" s="420" t="n"/>
    </row>
    <row r="276" ht="18" customHeight="1" s="468">
      <c r="N276" s="420" t="n"/>
    </row>
    <row r="277" ht="18" customHeight="1" s="468">
      <c r="N277" s="420" t="n"/>
    </row>
    <row r="278" ht="18" customHeight="1" s="468">
      <c r="N278" s="420" t="n"/>
    </row>
    <row r="279" ht="18" customHeight="1" s="468">
      <c r="N279" s="420" t="n"/>
    </row>
    <row r="280" ht="18" customHeight="1" s="468">
      <c r="N280" s="420" t="n"/>
    </row>
    <row r="281" ht="18" customHeight="1" s="468">
      <c r="N281" s="420" t="n"/>
    </row>
    <row r="282" ht="18" customHeight="1" s="468">
      <c r="N282" s="420" t="n"/>
    </row>
    <row r="283" ht="18" customHeight="1" s="468">
      <c r="N283" s="420" t="n"/>
    </row>
    <row r="284" ht="18" customHeight="1" s="468">
      <c r="N284" s="420" t="n"/>
    </row>
    <row r="285" ht="18" customHeight="1" s="468">
      <c r="N285" s="420" t="n"/>
    </row>
    <row r="286" ht="18" customHeight="1" s="468">
      <c r="N286" s="420" t="n"/>
    </row>
    <row r="287" ht="18" customHeight="1" s="468">
      <c r="N287" s="420" t="n"/>
    </row>
    <row r="288" ht="18" customHeight="1" s="468">
      <c r="N288" s="420" t="n"/>
    </row>
    <row r="289" ht="18" customHeight="1" s="468">
      <c r="N289" s="420" t="n"/>
    </row>
    <row r="290" ht="18" customHeight="1" s="468">
      <c r="N290" s="420" t="n"/>
    </row>
    <row r="291" ht="18" customHeight="1" s="468">
      <c r="N291" s="420" t="n"/>
    </row>
    <row r="292" ht="18" customHeight="1" s="468">
      <c r="N292" s="420" t="n"/>
    </row>
    <row r="293" ht="18" customHeight="1" s="468">
      <c r="N293" s="420" t="n"/>
    </row>
    <row r="294" ht="18" customHeight="1" s="468">
      <c r="N294" s="420" t="n"/>
    </row>
    <row r="295" ht="18" customHeight="1" s="468">
      <c r="N295" s="420" t="n"/>
    </row>
    <row r="296" ht="18" customHeight="1" s="468">
      <c r="N296" s="420" t="n"/>
    </row>
    <row r="297" ht="18" customHeight="1" s="468">
      <c r="N297" s="420" t="n"/>
    </row>
    <row r="298" ht="18" customHeight="1" s="468">
      <c r="N298" s="420" t="n"/>
    </row>
    <row r="299" ht="18" customHeight="1" s="468">
      <c r="N299" s="420" t="n"/>
    </row>
    <row r="300" ht="18" customHeight="1" s="468">
      <c r="N300" s="420" t="n"/>
    </row>
  </sheetData>
  <mergeCells count="369">
    <mergeCell ref="C15:D15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31:D31"/>
    <mergeCell ref="C80:D80"/>
    <mergeCell ref="E31:F31"/>
    <mergeCell ref="E6:F6"/>
    <mergeCell ref="E77:F77"/>
    <mergeCell ref="E89:F89"/>
    <mergeCell ref="G13:J13"/>
    <mergeCell ref="G78:J78"/>
    <mergeCell ref="E72:F72"/>
    <mergeCell ref="K57:L57"/>
    <mergeCell ref="G15:J15"/>
    <mergeCell ref="G80:J80"/>
    <mergeCell ref="C49:D49"/>
    <mergeCell ref="C24:D24"/>
    <mergeCell ref="G79:J79"/>
    <mergeCell ref="E24:F24"/>
    <mergeCell ref="G73:J73"/>
    <mergeCell ref="C42:D42"/>
    <mergeCell ref="E42:F42"/>
    <mergeCell ref="C88:D88"/>
    <mergeCell ref="E17:F17"/>
    <mergeCell ref="C26:D26"/>
    <mergeCell ref="E88:F88"/>
    <mergeCell ref="E82:F82"/>
    <mergeCell ref="E19:F19"/>
    <mergeCell ref="C55:D55"/>
    <mergeCell ref="K75:L75"/>
    <mergeCell ref="K12:L12"/>
    <mergeCell ref="C52:D52"/>
    <mergeCell ref="K39:L39"/>
    <mergeCell ref="K14:L14"/>
    <mergeCell ref="K70:L70"/>
    <mergeCell ref="C39:D39"/>
    <mergeCell ref="G28:J28"/>
    <mergeCell ref="G3:J3"/>
    <mergeCell ref="C81:D81"/>
    <mergeCell ref="C37:D37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27:D27"/>
    <mergeCell ref="C76:D76"/>
    <mergeCell ref="E27:F27"/>
    <mergeCell ref="E91:F91"/>
    <mergeCell ref="K53:L53"/>
    <mergeCell ref="G18:J18"/>
    <mergeCell ref="E85:F85"/>
    <mergeCell ref="G34:J34"/>
    <mergeCell ref="E22:F22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C8:D8"/>
    <mergeCell ref="G49:J49"/>
    <mergeCell ref="K10:L10"/>
    <mergeCell ref="K66:L66"/>
    <mergeCell ref="C66:D66"/>
    <mergeCell ref="G24:J24"/>
    <mergeCell ref="E66:F66"/>
    <mergeCell ref="C53:D53"/>
    <mergeCell ref="K3:L3"/>
    <mergeCell ref="C77:D77"/>
    <mergeCell ref="K74:L74"/>
    <mergeCell ref="K68:L68"/>
    <mergeCell ref="G88:J88"/>
    <mergeCell ref="C68:D68"/>
    <mergeCell ref="G26:J26"/>
    <mergeCell ref="E68:F68"/>
    <mergeCell ref="K5:L5"/>
    <mergeCell ref="G90:J90"/>
    <mergeCell ref="C59:D59"/>
    <mergeCell ref="E59:F59"/>
    <mergeCell ref="C46:D46"/>
    <mergeCell ref="C21:D21"/>
    <mergeCell ref="E46:F4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C74:D74"/>
    <mergeCell ref="G63:J63"/>
    <mergeCell ref="K36:L36"/>
    <mergeCell ref="G50:J50"/>
    <mergeCell ref="C16:D1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:D6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G46:J46"/>
    <mergeCell ref="G40:J40"/>
    <mergeCell ref="E51:F51"/>
    <mergeCell ref="K90:L90"/>
    <mergeCell ref="C93:D93"/>
    <mergeCell ref="G71:J71"/>
    <mergeCell ref="E65:F65"/>
    <mergeCell ref="G8:J8"/>
    <mergeCell ref="K42:L42"/>
    <mergeCell ref="C17:D17"/>
    <mergeCell ref="G10:J10"/>
    <mergeCell ref="G66:J66"/>
    <mergeCell ref="G53:J53"/>
    <mergeCell ref="C19:D19"/>
    <mergeCell ref="G74:J74"/>
    <mergeCell ref="E75:F75"/>
    <mergeCell ref="K37:L37"/>
    <mergeCell ref="G68:J68"/>
    <mergeCell ref="C83:D83"/>
    <mergeCell ref="E12:F12"/>
    <mergeCell ref="C14:D14"/>
    <mergeCell ref="E14:F14"/>
    <mergeCell ref="K21:L21"/>
    <mergeCell ref="K32:L32"/>
    <mergeCell ref="K63:L63"/>
    <mergeCell ref="G21:J21"/>
    <mergeCell ref="G67:J67"/>
    <mergeCell ref="G61:J61"/>
    <mergeCell ref="C90:D90"/>
    <mergeCell ref="G48:J48"/>
    <mergeCell ref="G23:J23"/>
    <mergeCell ref="E90:F90"/>
    <mergeCell ref="K27:L27"/>
    <mergeCell ref="G62:J62"/>
    <mergeCell ref="E25:F25"/>
    <mergeCell ref="K93:L93"/>
    <mergeCell ref="E58:F58"/>
    <mergeCell ref="K16:L16"/>
    <mergeCell ref="K9:L9"/>
    <mergeCell ref="G16:J16"/>
    <mergeCell ref="E83:F83"/>
    <mergeCell ref="K45:L45"/>
    <mergeCell ref="G76:J76"/>
    <mergeCell ref="C20:D20"/>
    <mergeCell ref="G9:J9"/>
    <mergeCell ref="K11:L11"/>
    <mergeCell ref="C85:D85"/>
    <mergeCell ref="E20:F20"/>
    <mergeCell ref="K47:L47"/>
    <mergeCell ref="C84:D84"/>
    <mergeCell ref="E13:F13"/>
    <mergeCell ref="C22:D22"/>
    <mergeCell ref="E84:F84"/>
    <mergeCell ref="K46:L46"/>
    <mergeCell ref="G11:J11"/>
    <mergeCell ref="E78:F78"/>
    <mergeCell ref="K40:L40"/>
    <mergeCell ref="E15:F15"/>
    <mergeCell ref="E86:F86"/>
    <mergeCell ref="C51:D51"/>
    <mergeCell ref="E80:F80"/>
    <mergeCell ref="K71:L71"/>
    <mergeCell ref="K73:L73"/>
    <mergeCell ref="C38:D38"/>
    <mergeCell ref="G87:J87"/>
    <mergeCell ref="E81:F81"/>
    <mergeCell ref="G89:J89"/>
    <mergeCell ref="G64:J64"/>
    <mergeCell ref="C33:D33"/>
    <mergeCell ref="E33:F33"/>
    <mergeCell ref="G51:J51"/>
    <mergeCell ref="C35:D35"/>
    <mergeCell ref="E35:F35"/>
    <mergeCell ref="C10:D10"/>
    <mergeCell ref="E10:F10"/>
    <mergeCell ref="E28:F28"/>
    <mergeCell ref="E74:F74"/>
    <mergeCell ref="G42:J42"/>
    <mergeCell ref="K59:L59"/>
    <mergeCell ref="E30:F30"/>
    <mergeCell ref="G17:J17"/>
    <mergeCell ref="K61:L61"/>
    <mergeCell ref="G19:J19"/>
    <mergeCell ref="K48:L48"/>
    <mergeCell ref="G6:J6"/>
    <mergeCell ref="C72:D72"/>
    <mergeCell ref="G83:J83"/>
    <mergeCell ref="K62:L62"/>
    <mergeCell ref="E21:F21"/>
    <mergeCell ref="G14:J14"/>
    <mergeCell ref="E23:F23"/>
    <mergeCell ref="G32:J32"/>
    <mergeCell ref="E87:F87"/>
    <mergeCell ref="C54:D54"/>
    <mergeCell ref="G72:J72"/>
    <mergeCell ref="C41:D41"/>
    <mergeCell ref="K76:L76"/>
    <mergeCell ref="C56:D56"/>
    <mergeCell ref="E34:F34"/>
    <mergeCell ref="C43:D43"/>
    <mergeCell ref="K67:L67"/>
    <mergeCell ref="E49:F49"/>
    <mergeCell ref="C36:D36"/>
    <mergeCell ref="E36:F36"/>
    <mergeCell ref="C67:D67"/>
    <mergeCell ref="K69:L69"/>
    <mergeCell ref="C69:D69"/>
    <mergeCell ref="G20:J20"/>
    <mergeCell ref="G91:J91"/>
    <mergeCell ref="G85:J85"/>
    <mergeCell ref="K64:L64"/>
    <mergeCell ref="C4:D4"/>
    <mergeCell ref="G84:J84"/>
    <mergeCell ref="E4:F4"/>
    <mergeCell ref="G22:J22"/>
    <mergeCell ref="K51:L51"/>
    <mergeCell ref="K72:L72"/>
    <mergeCell ref="G86:J86"/>
    <mergeCell ref="C60:D60"/>
    <mergeCell ref="G38:J38"/>
    <mergeCell ref="E26:F26"/>
    <mergeCell ref="K17:L17"/>
    <mergeCell ref="C91:D91"/>
    <mergeCell ref="K82:L82"/>
    <mergeCell ref="C82:D82"/>
    <mergeCell ref="C57:D57"/>
    <mergeCell ref="K19:L19"/>
    <mergeCell ref="G33:J33"/>
    <mergeCell ref="K6:L6"/>
    <mergeCell ref="E50:F50"/>
    <mergeCell ref="K83:L83"/>
    <mergeCell ref="C86:D86"/>
    <mergeCell ref="G35:J35"/>
    <mergeCell ref="C58:D58"/>
    <mergeCell ref="E52:F52"/>
    <mergeCell ref="E39:F39"/>
    <mergeCell ref="E44:F44"/>
    <mergeCell ref="K60:L60"/>
    <mergeCell ref="C75:D75"/>
    <mergeCell ref="G59:J59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K91:L91"/>
    <mergeCell ref="G56:J56"/>
    <mergeCell ref="K85:L85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13:D13"/>
    <mergeCell ref="K4:L4"/>
    <mergeCell ref="C78:D7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9.xml><?xml version="1.0" encoding="utf-8"?>
<worksheet xmlns="http://schemas.openxmlformats.org/spreadsheetml/2006/main">
  <sheetPr>
    <tabColor rgb="FF2F3A4A"/>
    <outlinePr summaryBelow="1" summaryRight="1"/>
    <pageSetUpPr/>
  </sheetPr>
  <dimension ref="A1:M217"/>
  <sheetViews>
    <sheetView showGridLines="0" zoomScale="90" zoomScaleNormal="9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25" customHeight="1"/>
  <cols>
    <col width="16" customWidth="1" style="468" min="1" max="1"/>
    <col width="24" customWidth="1" style="468" min="2" max="2"/>
    <col width="12" customWidth="1" style="468" min="3" max="3"/>
    <col width="14" customWidth="1" style="468" min="4" max="4"/>
    <col width="8" customWidth="1" style="468" min="5" max="5"/>
    <col width="13" customWidth="1" style="468" min="6" max="8"/>
    <col width="14" customWidth="1" style="468" min="7" max="7"/>
    <col width="13" customWidth="1" style="468" min="8" max="8"/>
    <col width="14" customWidth="1" style="468" min="9" max="9"/>
    <col hidden="1" width="16" customWidth="1" style="468" min="10" max="13"/>
    <col width="16" customWidth="1" style="468" min="11" max="11"/>
    <col width="16" customWidth="1" style="468" min="12" max="12"/>
    <col width="16" customWidth="1" style="468" min="13" max="13"/>
  </cols>
  <sheetData>
    <row r="1" ht="21.75" customHeight="1" s="468">
      <c r="A1" s="629" t="inlineStr">
        <is>
          <t>LANÇAMENTO DE PRODUÇÃO • PREENCHIMENTO RÁPIDO</t>
        </is>
      </c>
      <c r="J1" t="inlineStr">
        <is>
          <t>_TOTAL_CX_NUM</t>
        </is>
      </c>
      <c r="K1" t="inlineStr">
        <is>
          <t>_TOTAL_PALLETS_NUM</t>
        </is>
      </c>
      <c r="L1" t="inlineStr">
        <is>
          <t>_TOTAL_REALCX_NUM</t>
        </is>
      </c>
      <c r="M1" t="inlineStr">
        <is>
          <t>_TOTAL_LATAS_NUM</t>
        </is>
      </c>
    </row>
    <row r="2" ht="18" customHeight="1" s="468">
      <c r="A2" s="630" t="inlineStr">
        <is>
          <t>Preencha produto, embalagem e caixas. As demais colunas ajudam a leitura diária.</t>
        </is>
      </c>
      <c r="G2" s="517" t="inlineStr">
        <is>
          <t>Legenda: verde = acima da meta • vermelho = abaixo da meta</t>
        </is>
      </c>
    </row>
    <row r="3" ht="15" customHeight="1" s="468">
      <c r="A3" s="631" t="n">
        <v>46357</v>
      </c>
      <c r="B3" s="623" t="inlineStr">
        <is>
          <t>PRODUTO</t>
        </is>
      </c>
      <c r="C3" s="632" t="inlineStr">
        <is>
          <t>EMBALAGEM</t>
        </is>
      </c>
      <c r="D3" s="623" t="inlineStr">
        <is>
          <t>CAIXAS</t>
        </is>
      </c>
      <c r="E3" s="623" t="inlineStr">
        <is>
          <t>UN</t>
        </is>
      </c>
      <c r="F3" s="623" t="inlineStr">
        <is>
          <t>CX/PALLET</t>
        </is>
      </c>
      <c r="G3" s="623" t="inlineStr">
        <is>
          <t>PALLETS (PBR)</t>
        </is>
      </c>
      <c r="H3" s="623" t="inlineStr">
        <is>
          <t>REAL (CX)</t>
        </is>
      </c>
      <c r="I3" s="623" t="inlineStr">
        <is>
          <t>TOTAL LATAS</t>
        </is>
      </c>
      <c r="J3" s="633" t="n"/>
      <c r="K3" s="633" t="n"/>
      <c r="L3" s="633" t="n"/>
      <c r="M3" s="633" t="n"/>
    </row>
    <row r="4" ht="21" customHeight="1" s="468">
      <c r="A4" s="685" t="n"/>
      <c r="B4" s="218" t="n"/>
      <c r="C4" s="219" t="n"/>
      <c r="D4" s="220" t="n"/>
      <c r="E4" s="221" t="inlineStr">
        <is>
          <t>CX</t>
        </is>
      </c>
      <c r="F4" s="686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20">
        <f>IFERROR(ROUNDUP(D4/F4,0),"")</f>
        <v/>
      </c>
      <c r="H4" s="224" t="n"/>
      <c r="I4" s="220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552" t="n"/>
      <c r="K4" s="552" t="n"/>
      <c r="L4" s="552" t="n"/>
      <c r="M4" s="552" t="n"/>
    </row>
    <row r="5" ht="21" customHeight="1" s="468">
      <c r="A5" s="685" t="n"/>
      <c r="B5" s="218" t="n"/>
      <c r="C5" s="219" t="n"/>
      <c r="D5" s="220" t="n"/>
      <c r="E5" s="221" t="inlineStr">
        <is>
          <t>CX</t>
        </is>
      </c>
      <c r="F5" s="686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20">
        <f>IFERROR(ROUNDUP(D5/F5,0),"")</f>
        <v/>
      </c>
      <c r="H5" s="224" t="n"/>
      <c r="I5" s="220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552" t="n"/>
      <c r="K5" s="552" t="n"/>
      <c r="L5" s="552" t="n"/>
      <c r="M5" s="552" t="n"/>
    </row>
    <row r="6" ht="21" customHeight="1" s="468">
      <c r="A6" s="685" t="n"/>
      <c r="B6" s="218" t="n"/>
      <c r="C6" s="219" t="n"/>
      <c r="D6" s="220" t="n"/>
      <c r="E6" s="221" t="inlineStr">
        <is>
          <t>CX</t>
        </is>
      </c>
      <c r="F6" s="68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20">
        <f>IFERROR(ROUNDUP(D6/F6,0),"")</f>
        <v/>
      </c>
      <c r="H6" s="224" t="n"/>
      <c r="I6" s="220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552" t="n"/>
      <c r="K6" s="552" t="n"/>
      <c r="L6" s="552" t="n"/>
      <c r="M6" s="552" t="n"/>
    </row>
    <row r="7" ht="21" customHeight="1" s="468">
      <c r="A7" s="685" t="n"/>
      <c r="B7" s="218" t="n"/>
      <c r="C7" s="219" t="n"/>
      <c r="D7" s="220" t="n"/>
      <c r="E7" s="221" t="inlineStr">
        <is>
          <t>CX</t>
        </is>
      </c>
      <c r="F7" s="686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20">
        <f>IFERROR(ROUNDUP(D7/F7,0),"")</f>
        <v/>
      </c>
      <c r="H7" s="224" t="n"/>
      <c r="I7" s="220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52" t="n"/>
      <c r="K7" s="552" t="n"/>
      <c r="L7" s="552" t="n"/>
      <c r="M7" s="552" t="n"/>
    </row>
    <row r="8" ht="21" customHeight="1" s="468">
      <c r="A8" s="685" t="n"/>
      <c r="B8" s="218" t="n"/>
      <c r="C8" s="219" t="n"/>
      <c r="D8" s="220" t="n"/>
      <c r="E8" s="221" t="inlineStr">
        <is>
          <t>CX</t>
        </is>
      </c>
      <c r="F8" s="686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20">
        <f>IFERROR(ROUNDUP(D8/F8,0),"")</f>
        <v/>
      </c>
      <c r="H8" s="224" t="n"/>
      <c r="I8" s="220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552" t="n"/>
      <c r="K8" s="552" t="n"/>
      <c r="L8" s="552" t="n"/>
      <c r="M8" s="552" t="n"/>
    </row>
    <row r="9" ht="15" customHeight="1" s="468">
      <c r="A9" s="658" t="n"/>
      <c r="B9" s="640" t="inlineStr">
        <is>
          <t>TOTAL</t>
        </is>
      </c>
      <c r="C9" s="667" t="n"/>
      <c r="D9" s="642">
        <f>SUM(D4:D8)</f>
        <v/>
      </c>
      <c r="E9" s="668" t="n"/>
      <c r="F9" s="644" t="n"/>
      <c r="G9" s="642">
        <f>SUM(G4:G8)</f>
        <v/>
      </c>
      <c r="H9" s="642">
        <f>SUM(H4:H8)</f>
        <v/>
      </c>
      <c r="I9" s="642">
        <f>SUM(I4:I8)</f>
        <v/>
      </c>
      <c r="J9" s="644">
        <f>D9</f>
        <v/>
      </c>
      <c r="K9" s="644">
        <f>G9</f>
        <v/>
      </c>
      <c r="L9" s="644">
        <f>H9</f>
        <v/>
      </c>
      <c r="M9" s="644">
        <f>I9</f>
        <v/>
      </c>
    </row>
    <row r="10" ht="6" customHeight="1" s="468">
      <c r="A10" s="638" t="n"/>
      <c r="C10" s="71" t="n"/>
      <c r="D10" s="552" t="n"/>
      <c r="F10" s="552" t="n"/>
      <c r="G10" s="552" t="n"/>
      <c r="H10" s="552" t="n"/>
      <c r="I10" s="552" t="n"/>
      <c r="J10" s="552" t="n"/>
      <c r="K10" s="552" t="n"/>
      <c r="L10" s="552" t="n"/>
      <c r="M10" s="552" t="n"/>
    </row>
    <row r="11" ht="15" customHeight="1" s="468">
      <c r="A11" s="646" t="n">
        <v>46358</v>
      </c>
      <c r="B11" s="213" t="inlineStr">
        <is>
          <t>PRODUTO</t>
        </is>
      </c>
      <c r="C11" s="214" t="inlineStr">
        <is>
          <t>EMBALAGEM</t>
        </is>
      </c>
      <c r="D11" s="244" t="inlineStr">
        <is>
          <t>CAIXAS</t>
        </is>
      </c>
      <c r="E11" s="215" t="inlineStr">
        <is>
          <t>UN</t>
        </is>
      </c>
      <c r="F11" s="687" t="inlineStr">
        <is>
          <t>CX/PALLET</t>
        </is>
      </c>
      <c r="G11" s="244" t="inlineStr">
        <is>
          <t>PALLETS (PBR)</t>
        </is>
      </c>
      <c r="H11" s="244" t="inlineStr">
        <is>
          <t>REAL (CX)</t>
        </is>
      </c>
      <c r="I11" s="244" t="inlineStr">
        <is>
          <t>TOTAL LATAS</t>
        </is>
      </c>
      <c r="J11" s="552" t="n"/>
      <c r="K11" s="552" t="n"/>
      <c r="L11" s="552" t="n"/>
      <c r="M11" s="552" t="n"/>
    </row>
    <row r="12" ht="21" customHeight="1" s="468">
      <c r="A12" s="685" t="n"/>
      <c r="B12" s="218" t="n"/>
      <c r="C12" s="219" t="n"/>
      <c r="D12" s="220" t="n"/>
      <c r="E12" s="221" t="inlineStr">
        <is>
          <t>CX</t>
        </is>
      </c>
      <c r="F12" s="686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20">
        <f>IFERROR(ROUNDUP(D12/F12,0),"")</f>
        <v/>
      </c>
      <c r="H12" s="224" t="n"/>
      <c r="I12" s="220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  <c r="J12" s="552" t="n"/>
      <c r="K12" s="552" t="n"/>
      <c r="L12" s="552" t="n"/>
      <c r="M12" s="552" t="n"/>
    </row>
    <row r="13" ht="21" customHeight="1" s="468">
      <c r="A13" s="685" t="n"/>
      <c r="B13" s="218" t="n"/>
      <c r="C13" s="219" t="n"/>
      <c r="D13" s="220" t="n"/>
      <c r="E13" s="221" t="inlineStr">
        <is>
          <t>CX</t>
        </is>
      </c>
      <c r="F13" s="686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20">
        <f>IFERROR(ROUNDUP(D13/F13,0),"")</f>
        <v/>
      </c>
      <c r="H13" s="224" t="n"/>
      <c r="I13" s="220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  <c r="J13" s="552" t="n"/>
      <c r="K13" s="552" t="n"/>
      <c r="L13" s="552" t="n"/>
      <c r="M13" s="552" t="n"/>
    </row>
    <row r="14" ht="21" customHeight="1" s="468">
      <c r="A14" s="685" t="n"/>
      <c r="B14" s="218" t="n"/>
      <c r="C14" s="219" t="n"/>
      <c r="D14" s="220" t="n"/>
      <c r="E14" s="221" t="inlineStr">
        <is>
          <t>CX</t>
        </is>
      </c>
      <c r="F14" s="686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20">
        <f>IFERROR(ROUNDUP(D14/F14,0),"")</f>
        <v/>
      </c>
      <c r="H14" s="224" t="n"/>
      <c r="I14" s="220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552" t="n"/>
      <c r="K14" s="552" t="n"/>
      <c r="L14" s="552" t="n"/>
      <c r="M14" s="552" t="n"/>
    </row>
    <row r="15" ht="21" customHeight="1" s="468">
      <c r="A15" s="685" t="n"/>
      <c r="B15" s="218" t="n"/>
      <c r="C15" s="219" t="n"/>
      <c r="D15" s="220" t="n"/>
      <c r="E15" s="221" t="inlineStr">
        <is>
          <t>CX</t>
        </is>
      </c>
      <c r="F15" s="686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20">
        <f>IFERROR(ROUNDUP(D15/F15,0),"")</f>
        <v/>
      </c>
      <c r="H15" s="224" t="n"/>
      <c r="I15" s="220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52" t="n"/>
      <c r="K15" s="552" t="n"/>
      <c r="L15" s="552" t="n"/>
      <c r="M15" s="552" t="n"/>
    </row>
    <row r="16" ht="21" customHeight="1" s="468">
      <c r="A16" s="685" t="n"/>
      <c r="B16" s="218" t="n"/>
      <c r="C16" s="219" t="n"/>
      <c r="D16" s="220" t="n"/>
      <c r="E16" s="221" t="inlineStr">
        <is>
          <t>CX</t>
        </is>
      </c>
      <c r="F16" s="686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20">
        <f>IFERROR(ROUNDUP(D16/F16,0),"")</f>
        <v/>
      </c>
      <c r="H16" s="224" t="n"/>
      <c r="I16" s="220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552" t="n"/>
      <c r="K16" s="552" t="n"/>
      <c r="L16" s="552" t="n"/>
      <c r="M16" s="552" t="n"/>
    </row>
    <row r="17" ht="15" customHeight="1" s="468">
      <c r="A17" s="658" t="n"/>
      <c r="B17" s="640" t="inlineStr">
        <is>
          <t>TOTAL</t>
        </is>
      </c>
      <c r="C17" s="667" t="n"/>
      <c r="D17" s="642">
        <f>SUM(D12:D16)</f>
        <v/>
      </c>
      <c r="E17" s="668" t="n"/>
      <c r="F17" s="644" t="n"/>
      <c r="G17" s="642">
        <f>SUM(G12:G16)</f>
        <v/>
      </c>
      <c r="H17" s="642">
        <f>SUM(H12:H16)</f>
        <v/>
      </c>
      <c r="I17" s="642">
        <f>SUM(I12:I16)</f>
        <v/>
      </c>
      <c r="J17" s="644">
        <f>D17</f>
        <v/>
      </c>
      <c r="K17" s="644">
        <f>G17</f>
        <v/>
      </c>
      <c r="L17" s="644">
        <f>H17</f>
        <v/>
      </c>
      <c r="M17" s="644">
        <f>I17</f>
        <v/>
      </c>
    </row>
    <row r="18" ht="6" customHeight="1" s="468">
      <c r="A18" s="638" t="n"/>
      <c r="C18" s="71" t="n"/>
      <c r="D18" s="552" t="n"/>
      <c r="F18" s="552" t="n"/>
      <c r="G18" s="552" t="n"/>
      <c r="H18" s="552" t="n"/>
      <c r="I18" s="552" t="n"/>
      <c r="J18" s="552" t="n"/>
      <c r="K18" s="552" t="n"/>
      <c r="L18" s="552" t="n"/>
      <c r="M18" s="552" t="n"/>
    </row>
    <row r="19" ht="15" customHeight="1" s="468">
      <c r="A19" s="646" t="n">
        <v>46359</v>
      </c>
      <c r="B19" s="213" t="inlineStr">
        <is>
          <t>PRODUTO</t>
        </is>
      </c>
      <c r="C19" s="214" t="inlineStr">
        <is>
          <t>EMBALAGEM</t>
        </is>
      </c>
      <c r="D19" s="244" t="inlineStr">
        <is>
          <t>CAIXAS</t>
        </is>
      </c>
      <c r="E19" s="215" t="inlineStr">
        <is>
          <t>UN</t>
        </is>
      </c>
      <c r="F19" s="687" t="inlineStr">
        <is>
          <t>CX/PALLET</t>
        </is>
      </c>
      <c r="G19" s="244" t="inlineStr">
        <is>
          <t>PALLETS (PBR)</t>
        </is>
      </c>
      <c r="H19" s="244" t="inlineStr">
        <is>
          <t>REAL (CX)</t>
        </is>
      </c>
      <c r="I19" s="244" t="inlineStr">
        <is>
          <t>TOTAL LATAS</t>
        </is>
      </c>
      <c r="J19" s="552" t="n"/>
      <c r="K19" s="552" t="n"/>
      <c r="L19" s="552" t="n"/>
      <c r="M19" s="552" t="n"/>
    </row>
    <row r="20" ht="21" customHeight="1" s="468">
      <c r="A20" s="685" t="n"/>
      <c r="B20" s="218" t="n"/>
      <c r="C20" s="219" t="n"/>
      <c r="D20" s="220" t="n"/>
      <c r="E20" s="221" t="inlineStr">
        <is>
          <t>CX</t>
        </is>
      </c>
      <c r="F20" s="686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20">
        <f>IFERROR(ROUNDUP(D20/F20,0),"")</f>
        <v/>
      </c>
      <c r="H20" s="224" t="n"/>
      <c r="I20" s="220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552" t="n"/>
      <c r="K20" s="552" t="n"/>
      <c r="L20" s="552" t="n"/>
      <c r="M20" s="552" t="n"/>
    </row>
    <row r="21" ht="21" customHeight="1" s="468">
      <c r="A21" s="685" t="n"/>
      <c r="B21" s="218" t="n"/>
      <c r="C21" s="219" t="n"/>
      <c r="D21" s="220" t="n"/>
      <c r="E21" s="221" t="inlineStr">
        <is>
          <t>CX</t>
        </is>
      </c>
      <c r="F21" s="686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20">
        <f>IFERROR(ROUNDUP(D21/F21,0),"")</f>
        <v/>
      </c>
      <c r="H21" s="224" t="n"/>
      <c r="I21" s="220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552" t="n"/>
      <c r="K21" s="552" t="n"/>
      <c r="L21" s="552" t="n"/>
      <c r="M21" s="552" t="n"/>
    </row>
    <row r="22" ht="21" customHeight="1" s="468">
      <c r="A22" s="685" t="n"/>
      <c r="B22" s="218" t="n"/>
      <c r="C22" s="219" t="n"/>
      <c r="D22" s="220" t="n"/>
      <c r="E22" s="221" t="inlineStr">
        <is>
          <t>CX</t>
        </is>
      </c>
      <c r="F22" s="686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20">
        <f>IFERROR(ROUNDUP(D22/F22,0),"")</f>
        <v/>
      </c>
      <c r="H22" s="224" t="n"/>
      <c r="I22" s="220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552" t="n"/>
      <c r="K22" s="552" t="n"/>
      <c r="L22" s="552" t="n"/>
      <c r="M22" s="552" t="n"/>
    </row>
    <row r="23" ht="21" customHeight="1" s="468">
      <c r="A23" s="685" t="n"/>
      <c r="B23" s="218" t="n"/>
      <c r="C23" s="219" t="n"/>
      <c r="D23" s="220" t="n"/>
      <c r="E23" s="221" t="inlineStr">
        <is>
          <t>CX</t>
        </is>
      </c>
      <c r="F23" s="686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20">
        <f>IFERROR(ROUNDUP(D23/F23,0),"")</f>
        <v/>
      </c>
      <c r="H23" s="224" t="n"/>
      <c r="I23" s="220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52" t="n"/>
      <c r="K23" s="552" t="n"/>
      <c r="L23" s="552" t="n"/>
      <c r="M23" s="552" t="n"/>
    </row>
    <row r="24" ht="21" customHeight="1" s="468">
      <c r="A24" s="685" t="n"/>
      <c r="B24" s="218" t="n"/>
      <c r="C24" s="219" t="n"/>
      <c r="D24" s="220" t="n"/>
      <c r="E24" s="221" t="inlineStr">
        <is>
          <t>CX</t>
        </is>
      </c>
      <c r="F24" s="686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20">
        <f>IFERROR(ROUNDUP(D24/F24,0),"")</f>
        <v/>
      </c>
      <c r="H24" s="224" t="n"/>
      <c r="I24" s="220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552" t="n"/>
      <c r="K24" s="552" t="n"/>
      <c r="L24" s="552" t="n"/>
      <c r="M24" s="552" t="n"/>
    </row>
    <row r="25" ht="15" customHeight="1" s="468">
      <c r="A25" s="658" t="n"/>
      <c r="B25" s="640" t="inlineStr">
        <is>
          <t>TOTAL</t>
        </is>
      </c>
      <c r="C25" s="667" t="n"/>
      <c r="D25" s="642">
        <f>SUM(D20:D24)</f>
        <v/>
      </c>
      <c r="E25" s="668" t="n"/>
      <c r="F25" s="644" t="n"/>
      <c r="G25" s="642">
        <f>SUM(G20:G24)</f>
        <v/>
      </c>
      <c r="H25" s="642">
        <f>SUM(H20:H24)</f>
        <v/>
      </c>
      <c r="I25" s="642">
        <f>SUM(I20:I24)</f>
        <v/>
      </c>
      <c r="J25" s="644">
        <f>D25</f>
        <v/>
      </c>
      <c r="K25" s="644">
        <f>G25</f>
        <v/>
      </c>
      <c r="L25" s="644">
        <f>H25</f>
        <v/>
      </c>
      <c r="M25" s="644">
        <f>I25</f>
        <v/>
      </c>
    </row>
    <row r="26" ht="6" customHeight="1" s="468">
      <c r="A26" s="638" t="n"/>
      <c r="C26" s="71" t="n"/>
      <c r="D26" s="552" t="n"/>
      <c r="F26" s="552" t="n"/>
      <c r="G26" s="552" t="n"/>
      <c r="H26" s="552" t="n"/>
      <c r="I26" s="552" t="n"/>
      <c r="J26" s="552" t="n"/>
      <c r="K26" s="552" t="n"/>
      <c r="L26" s="552" t="n"/>
      <c r="M26" s="552" t="n"/>
    </row>
    <row r="27" ht="15" customHeight="1" s="468">
      <c r="A27" s="646" t="n">
        <v>46360</v>
      </c>
      <c r="B27" s="213" t="inlineStr">
        <is>
          <t>PRODUTO</t>
        </is>
      </c>
      <c r="C27" s="214" t="inlineStr">
        <is>
          <t>EMBALAGEM</t>
        </is>
      </c>
      <c r="D27" s="244" t="inlineStr">
        <is>
          <t>CAIXAS</t>
        </is>
      </c>
      <c r="E27" s="215" t="inlineStr">
        <is>
          <t>UN</t>
        </is>
      </c>
      <c r="F27" s="687" t="inlineStr">
        <is>
          <t>CX/PALLET</t>
        </is>
      </c>
      <c r="G27" s="244" t="inlineStr">
        <is>
          <t>PALLETS (PBR)</t>
        </is>
      </c>
      <c r="H27" s="244" t="inlineStr">
        <is>
          <t>REAL (CX)</t>
        </is>
      </c>
      <c r="I27" s="244" t="inlineStr">
        <is>
          <t>TOTAL LATAS</t>
        </is>
      </c>
      <c r="J27" s="552" t="n"/>
      <c r="K27" s="552" t="n"/>
      <c r="L27" s="552" t="n"/>
      <c r="M27" s="552" t="n"/>
    </row>
    <row r="28" ht="21" customHeight="1" s="468">
      <c r="A28" s="685" t="n"/>
      <c r="B28" s="218" t="n"/>
      <c r="C28" s="219" t="n"/>
      <c r="D28" s="220" t="n"/>
      <c r="E28" s="221" t="inlineStr">
        <is>
          <t>CX</t>
        </is>
      </c>
      <c r="F28" s="686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20">
        <f>IFERROR(ROUNDUP(D28/F28,0),"")</f>
        <v/>
      </c>
      <c r="H28" s="224" t="n"/>
      <c r="I28" s="220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552" t="n"/>
      <c r="K28" s="552" t="n"/>
      <c r="L28" s="552" t="n"/>
      <c r="M28" s="552" t="n"/>
    </row>
    <row r="29" ht="21" customHeight="1" s="468">
      <c r="A29" s="685" t="n"/>
      <c r="B29" s="218" t="n"/>
      <c r="C29" s="219" t="n"/>
      <c r="D29" s="220" t="n"/>
      <c r="E29" s="221" t="inlineStr">
        <is>
          <t>CX</t>
        </is>
      </c>
      <c r="F29" s="686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20">
        <f>IFERROR(ROUNDUP(D29/F29,0),"")</f>
        <v/>
      </c>
      <c r="H29" s="224" t="n"/>
      <c r="I29" s="220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52" t="n"/>
      <c r="K29" s="552" t="n"/>
      <c r="L29" s="552" t="n"/>
      <c r="M29" s="552" t="n"/>
    </row>
    <row r="30" ht="21" customHeight="1" s="468">
      <c r="A30" s="685" t="n"/>
      <c r="B30" s="218" t="n"/>
      <c r="C30" s="219" t="n"/>
      <c r="D30" s="220" t="n"/>
      <c r="E30" s="221" t="inlineStr">
        <is>
          <t>CX</t>
        </is>
      </c>
      <c r="F30" s="686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20">
        <f>IFERROR(ROUNDUP(D30/F30,0),"")</f>
        <v/>
      </c>
      <c r="H30" s="224" t="n"/>
      <c r="I30" s="220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552" t="n"/>
      <c r="K30" s="552" t="n"/>
      <c r="L30" s="552" t="n"/>
      <c r="M30" s="552" t="n"/>
    </row>
    <row r="31" ht="21" customHeight="1" s="468">
      <c r="A31" s="685" t="n"/>
      <c r="B31" s="218" t="n"/>
      <c r="C31" s="219" t="n"/>
      <c r="D31" s="220" t="n"/>
      <c r="E31" s="221" t="inlineStr">
        <is>
          <t>CX</t>
        </is>
      </c>
      <c r="F31" s="686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20">
        <f>IFERROR(ROUNDUP(D31/F31,0),"")</f>
        <v/>
      </c>
      <c r="H31" s="224" t="n"/>
      <c r="I31" s="220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552" t="n"/>
      <c r="K31" s="552" t="n"/>
      <c r="L31" s="552" t="n"/>
      <c r="M31" s="552" t="n"/>
    </row>
    <row r="32" ht="21" customHeight="1" s="468">
      <c r="A32" s="685" t="n"/>
      <c r="B32" s="218" t="n"/>
      <c r="C32" s="219" t="n"/>
      <c r="D32" s="220" t="n"/>
      <c r="E32" s="221" t="inlineStr">
        <is>
          <t>CX</t>
        </is>
      </c>
      <c r="F32" s="686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20">
        <f>IFERROR(ROUNDUP(D32/F32,0),"")</f>
        <v/>
      </c>
      <c r="H32" s="224" t="n"/>
      <c r="I32" s="220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552" t="n"/>
      <c r="K32" s="552" t="n"/>
      <c r="L32" s="552" t="n"/>
      <c r="M32" s="552" t="n"/>
    </row>
    <row r="33" ht="15" customHeight="1" s="468">
      <c r="A33" s="658" t="n"/>
      <c r="B33" s="640" t="inlineStr">
        <is>
          <t>TOTAL</t>
        </is>
      </c>
      <c r="C33" s="667" t="n"/>
      <c r="D33" s="642">
        <f>SUM(D28:D32)</f>
        <v/>
      </c>
      <c r="E33" s="668" t="n"/>
      <c r="F33" s="644" t="n"/>
      <c r="G33" s="642">
        <f>SUM(G28:G32)</f>
        <v/>
      </c>
      <c r="H33" s="642">
        <f>SUM(H28:H32)</f>
        <v/>
      </c>
      <c r="I33" s="642">
        <f>SUM(I28:I32)</f>
        <v/>
      </c>
      <c r="J33" s="644">
        <f>D33</f>
        <v/>
      </c>
      <c r="K33" s="644">
        <f>G33</f>
        <v/>
      </c>
      <c r="L33" s="644">
        <f>H33</f>
        <v/>
      </c>
      <c r="M33" s="644">
        <f>I33</f>
        <v/>
      </c>
    </row>
    <row r="34" ht="6" customHeight="1" s="468">
      <c r="A34" s="638" t="n"/>
      <c r="C34" s="71" t="n"/>
      <c r="D34" s="552" t="n"/>
      <c r="F34" s="552" t="n"/>
      <c r="G34" s="552" t="n"/>
      <c r="H34" s="552" t="n"/>
      <c r="I34" s="552" t="n"/>
      <c r="J34" s="552" t="n"/>
      <c r="K34" s="552" t="n"/>
      <c r="L34" s="552" t="n"/>
      <c r="M34" s="552" t="n"/>
    </row>
    <row r="35" ht="15" customHeight="1" s="468">
      <c r="A35" s="696" t="n">
        <v>46361</v>
      </c>
      <c r="B35" s="213" t="inlineStr">
        <is>
          <t>PRODUTO</t>
        </is>
      </c>
      <c r="C35" s="214" t="inlineStr">
        <is>
          <t>EMBALAGEM</t>
        </is>
      </c>
      <c r="D35" s="244" t="inlineStr">
        <is>
          <t>CAIXAS</t>
        </is>
      </c>
      <c r="E35" s="215" t="inlineStr">
        <is>
          <t>UN</t>
        </is>
      </c>
      <c r="F35" s="697" t="inlineStr">
        <is>
          <t>CX/PALLET</t>
        </is>
      </c>
      <c r="G35" s="244" t="inlineStr">
        <is>
          <t>PALLETS (PBR)</t>
        </is>
      </c>
      <c r="H35" s="244" t="inlineStr">
        <is>
          <t>REAL (CX)</t>
        </is>
      </c>
      <c r="I35" s="244" t="inlineStr">
        <is>
          <t>TOTAL LATAS</t>
        </is>
      </c>
      <c r="J35" s="274" t="n"/>
      <c r="K35" s="274" t="n"/>
      <c r="L35" s="274" t="n"/>
      <c r="M35" s="274" t="n"/>
    </row>
    <row r="36" ht="21" customHeight="1" s="468">
      <c r="A36" s="685" t="n"/>
      <c r="B36" s="266" t="n"/>
      <c r="C36" s="267" t="n"/>
      <c r="D36" s="268" t="n"/>
      <c r="E36" s="269" t="inlineStr">
        <is>
          <t>CX</t>
        </is>
      </c>
      <c r="F36" s="698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68">
        <f>IFERROR(ROUNDUP(D36/F36,0),"")</f>
        <v/>
      </c>
      <c r="H36" s="224" t="n"/>
      <c r="I36" s="268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274" t="n"/>
      <c r="K36" s="274" t="n"/>
      <c r="L36" s="274" t="n"/>
      <c r="M36" s="274" t="n"/>
    </row>
    <row r="37" ht="21" customHeight="1" s="468">
      <c r="A37" s="685" t="n"/>
      <c r="B37" s="266" t="n"/>
      <c r="C37" s="267" t="n"/>
      <c r="D37" s="268" t="n"/>
      <c r="E37" s="269" t="inlineStr">
        <is>
          <t>CX</t>
        </is>
      </c>
      <c r="F37" s="698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68">
        <f>IFERROR(ROUNDUP(D37/F37,0),"")</f>
        <v/>
      </c>
      <c r="H37" s="224" t="n"/>
      <c r="I37" s="268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274" t="n"/>
      <c r="K37" s="274" t="n"/>
      <c r="L37" s="274" t="n"/>
      <c r="M37" s="274" t="n"/>
    </row>
    <row r="38" ht="21" customHeight="1" s="468">
      <c r="A38" s="685" t="n"/>
      <c r="B38" s="266" t="n"/>
      <c r="C38" s="267" t="n"/>
      <c r="D38" s="268" t="n"/>
      <c r="E38" s="269" t="inlineStr">
        <is>
          <t>CX</t>
        </is>
      </c>
      <c r="F38" s="698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68">
        <f>IFERROR(ROUNDUP(D38/F38,0),"")</f>
        <v/>
      </c>
      <c r="H38" s="224" t="n"/>
      <c r="I38" s="268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274" t="n"/>
      <c r="K38" s="274" t="n"/>
      <c r="L38" s="274" t="n"/>
      <c r="M38" s="274" t="n"/>
    </row>
    <row r="39" ht="21" customHeight="1" s="468">
      <c r="A39" s="685" t="n"/>
      <c r="B39" s="266" t="n"/>
      <c r="C39" s="267" t="n"/>
      <c r="D39" s="268" t="n"/>
      <c r="E39" s="269" t="inlineStr">
        <is>
          <t>CX</t>
        </is>
      </c>
      <c r="F39" s="698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68">
        <f>IFERROR(ROUNDUP(D39/F39,0),"")</f>
        <v/>
      </c>
      <c r="H39" s="224" t="n"/>
      <c r="I39" s="268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274" t="n"/>
      <c r="K39" s="274" t="n"/>
      <c r="L39" s="274" t="n"/>
      <c r="M39" s="274" t="n"/>
    </row>
    <row r="40" ht="21" customHeight="1" s="468">
      <c r="A40" s="685" t="n"/>
      <c r="B40" s="266" t="n"/>
      <c r="C40" s="267" t="n"/>
      <c r="D40" s="268" t="n"/>
      <c r="E40" s="269" t="inlineStr">
        <is>
          <t>CX</t>
        </is>
      </c>
      <c r="F40" s="698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68">
        <f>IFERROR(ROUNDUP(D40/F40,0),"")</f>
        <v/>
      </c>
      <c r="H40" s="224" t="n"/>
      <c r="I40" s="268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274" t="n"/>
      <c r="K40" s="274" t="n"/>
      <c r="L40" s="274" t="n"/>
      <c r="M40" s="274" t="n"/>
    </row>
    <row r="41" ht="15" customHeight="1" s="468">
      <c r="A41" s="658" t="n"/>
      <c r="B41" s="640" t="inlineStr">
        <is>
          <t>TOTAL</t>
        </is>
      </c>
      <c r="C41" s="667" t="n"/>
      <c r="D41" s="642">
        <f>SUM(D36:D40)</f>
        <v/>
      </c>
      <c r="E41" s="668" t="n"/>
      <c r="F41" s="644" t="n"/>
      <c r="G41" s="642">
        <f>SUM(G36:G40)</f>
        <v/>
      </c>
      <c r="H41" s="642">
        <f>SUM(H36:H40)</f>
        <v/>
      </c>
      <c r="I41" s="642">
        <f>SUM(I36:I40)</f>
        <v/>
      </c>
      <c r="J41" s="644">
        <f>D41</f>
        <v/>
      </c>
      <c r="K41" s="644">
        <f>G41</f>
        <v/>
      </c>
      <c r="L41" s="644">
        <f>H41</f>
        <v/>
      </c>
      <c r="M41" s="644">
        <f>I41</f>
        <v/>
      </c>
    </row>
    <row r="42" ht="6" customHeight="1" s="468">
      <c r="A42" s="699" t="n"/>
      <c r="B42" s="265" t="n"/>
      <c r="C42" s="276" t="n"/>
      <c r="D42" s="274" t="n"/>
      <c r="E42" s="265" t="n"/>
      <c r="F42" s="274" t="n"/>
      <c r="G42" s="274" t="n"/>
      <c r="H42" s="274" t="n"/>
      <c r="I42" s="274" t="n"/>
      <c r="J42" s="274" t="n"/>
      <c r="K42" s="274" t="n"/>
      <c r="L42" s="274" t="n"/>
      <c r="M42" s="274" t="n"/>
    </row>
    <row r="43" ht="15" customHeight="1" s="468">
      <c r="A43" s="646" t="n">
        <v>46363</v>
      </c>
      <c r="B43" s="213" t="inlineStr">
        <is>
          <t>PRODUTO</t>
        </is>
      </c>
      <c r="C43" s="214" t="inlineStr">
        <is>
          <t>EMBALAGEM</t>
        </is>
      </c>
      <c r="D43" s="244" t="inlineStr">
        <is>
          <t>CAIXAS</t>
        </is>
      </c>
      <c r="E43" s="215" t="inlineStr">
        <is>
          <t>UN</t>
        </is>
      </c>
      <c r="F43" s="687" t="inlineStr">
        <is>
          <t>CX/PALLET</t>
        </is>
      </c>
      <c r="G43" s="244" t="inlineStr">
        <is>
          <t>PALLETS (PBR)</t>
        </is>
      </c>
      <c r="H43" s="244" t="inlineStr">
        <is>
          <t>REAL (CX)</t>
        </is>
      </c>
      <c r="I43" s="244" t="inlineStr">
        <is>
          <t>TOTAL LATAS</t>
        </is>
      </c>
      <c r="J43" s="552" t="n"/>
      <c r="K43" s="552" t="n"/>
      <c r="L43" s="552" t="n"/>
      <c r="M43" s="552" t="n"/>
    </row>
    <row r="44" ht="21" customHeight="1" s="468">
      <c r="A44" s="685" t="n"/>
      <c r="B44" s="218" t="n"/>
      <c r="C44" s="219" t="n"/>
      <c r="D44" s="220" t="n"/>
      <c r="E44" s="221" t="inlineStr">
        <is>
          <t>CX</t>
        </is>
      </c>
      <c r="F44" s="686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20">
        <f>IFERROR(ROUNDUP(D44/F44,0),"")</f>
        <v/>
      </c>
      <c r="H44" s="224" t="n"/>
      <c r="I44" s="220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552" t="n"/>
      <c r="K44" s="552" t="n"/>
      <c r="L44" s="552" t="n"/>
      <c r="M44" s="552" t="n"/>
    </row>
    <row r="45" ht="21" customHeight="1" s="468">
      <c r="A45" s="685" t="n"/>
      <c r="B45" s="218" t="n"/>
      <c r="C45" s="219" t="n"/>
      <c r="D45" s="220" t="n"/>
      <c r="E45" s="221" t="inlineStr">
        <is>
          <t>CX</t>
        </is>
      </c>
      <c r="F45" s="686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20">
        <f>IFERROR(ROUNDUP(D45/F45,0),"")</f>
        <v/>
      </c>
      <c r="H45" s="224" t="n"/>
      <c r="I45" s="220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552" t="n"/>
      <c r="K45" s="552" t="n"/>
      <c r="L45" s="552" t="n"/>
      <c r="M45" s="552" t="n"/>
    </row>
    <row r="46" ht="21" customHeight="1" s="468">
      <c r="A46" s="685" t="n"/>
      <c r="B46" s="218" t="n"/>
      <c r="C46" s="219" t="n"/>
      <c r="D46" s="220" t="n"/>
      <c r="E46" s="221" t="inlineStr">
        <is>
          <t>CX</t>
        </is>
      </c>
      <c r="F46" s="686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20">
        <f>IFERROR(ROUNDUP(D46/F46,0),"")</f>
        <v/>
      </c>
      <c r="H46" s="224" t="n"/>
      <c r="I46" s="220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552" t="n"/>
      <c r="K46" s="552" t="n"/>
      <c r="L46" s="552" t="n"/>
      <c r="M46" s="552" t="n"/>
    </row>
    <row r="47" ht="21" customHeight="1" s="468">
      <c r="A47" s="685" t="n"/>
      <c r="B47" s="218" t="n"/>
      <c r="C47" s="219" t="n"/>
      <c r="D47" s="220" t="n"/>
      <c r="E47" s="221" t="inlineStr">
        <is>
          <t>CX</t>
        </is>
      </c>
      <c r="F47" s="686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20">
        <f>IFERROR(ROUNDUP(D47/F47,0),"")</f>
        <v/>
      </c>
      <c r="H47" s="224" t="n"/>
      <c r="I47" s="220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52" t="n"/>
      <c r="K47" s="552" t="n"/>
      <c r="L47" s="552" t="n"/>
      <c r="M47" s="552" t="n"/>
    </row>
    <row r="48" ht="21" customHeight="1" s="468">
      <c r="A48" s="685" t="n"/>
      <c r="B48" s="218" t="n"/>
      <c r="C48" s="219" t="n"/>
      <c r="D48" s="220" t="n"/>
      <c r="E48" s="221" t="inlineStr">
        <is>
          <t>CX</t>
        </is>
      </c>
      <c r="F48" s="686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20">
        <f>IFERROR(ROUNDUP(D48/F48,0),"")</f>
        <v/>
      </c>
      <c r="H48" s="224" t="n"/>
      <c r="I48" s="220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552" t="n"/>
      <c r="K48" s="552" t="n"/>
      <c r="L48" s="552" t="n"/>
      <c r="M48" s="552" t="n"/>
    </row>
    <row r="49" ht="15" customHeight="1" s="468">
      <c r="A49" s="658" t="n"/>
      <c r="B49" s="640" t="inlineStr">
        <is>
          <t>TOTAL</t>
        </is>
      </c>
      <c r="C49" s="667" t="n"/>
      <c r="D49" s="642">
        <f>SUM(D44:D48)</f>
        <v/>
      </c>
      <c r="E49" s="668" t="n"/>
      <c r="F49" s="644" t="n"/>
      <c r="G49" s="642">
        <f>SUM(G44:G48)</f>
        <v/>
      </c>
      <c r="H49" s="642">
        <f>SUM(H44:H48)</f>
        <v/>
      </c>
      <c r="I49" s="642">
        <f>SUM(I44:I48)</f>
        <v/>
      </c>
      <c r="J49" s="644">
        <f>D49</f>
        <v/>
      </c>
      <c r="K49" s="644">
        <f>G49</f>
        <v/>
      </c>
      <c r="L49" s="644">
        <f>H49</f>
        <v/>
      </c>
      <c r="M49" s="644">
        <f>I49</f>
        <v/>
      </c>
    </row>
    <row r="50" ht="6" customHeight="1" s="468">
      <c r="A50" s="638" t="n"/>
      <c r="C50" s="71" t="n"/>
      <c r="D50" s="552" t="n"/>
      <c r="F50" s="552" t="n"/>
      <c r="G50" s="552" t="n"/>
      <c r="H50" s="552" t="n"/>
      <c r="I50" s="552" t="n"/>
      <c r="J50" s="552" t="n"/>
      <c r="K50" s="552" t="n"/>
      <c r="L50" s="552" t="n"/>
      <c r="M50" s="552" t="n"/>
    </row>
    <row r="51" ht="15" customHeight="1" s="468">
      <c r="A51" s="646" t="n">
        <v>46364</v>
      </c>
      <c r="B51" s="213" t="inlineStr">
        <is>
          <t>PRODUTO</t>
        </is>
      </c>
      <c r="C51" s="214" t="inlineStr">
        <is>
          <t>EMBALAGEM</t>
        </is>
      </c>
      <c r="D51" s="244" t="inlineStr">
        <is>
          <t>CAIXAS</t>
        </is>
      </c>
      <c r="E51" s="215" t="inlineStr">
        <is>
          <t>UN</t>
        </is>
      </c>
      <c r="F51" s="687" t="inlineStr">
        <is>
          <t>CX/PALLET</t>
        </is>
      </c>
      <c r="G51" s="244" t="inlineStr">
        <is>
          <t>PALLETS (PBR)</t>
        </is>
      </c>
      <c r="H51" s="244" t="inlineStr">
        <is>
          <t>REAL (CX)</t>
        </is>
      </c>
      <c r="I51" s="244" t="inlineStr">
        <is>
          <t>TOTAL LATAS</t>
        </is>
      </c>
      <c r="J51" s="552" t="n"/>
      <c r="K51" s="552" t="n"/>
      <c r="L51" s="552" t="n"/>
      <c r="M51" s="552" t="n"/>
    </row>
    <row r="52" ht="21" customHeight="1" s="468">
      <c r="A52" s="685" t="n"/>
      <c r="B52" s="218" t="n"/>
      <c r="C52" s="219" t="n"/>
      <c r="D52" s="220" t="n"/>
      <c r="E52" s="221" t="inlineStr">
        <is>
          <t>CX</t>
        </is>
      </c>
      <c r="F52" s="686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20">
        <f>IFERROR(ROUNDUP(D52/F52,0),"")</f>
        <v/>
      </c>
      <c r="H52" s="224" t="n"/>
      <c r="I52" s="220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552" t="n"/>
      <c r="K52" s="552" t="n"/>
      <c r="L52" s="552" t="n"/>
      <c r="M52" s="552" t="n"/>
    </row>
    <row r="53" ht="21" customHeight="1" s="468">
      <c r="A53" s="685" t="n"/>
      <c r="B53" s="218" t="n"/>
      <c r="C53" s="219" t="n"/>
      <c r="D53" s="220" t="n"/>
      <c r="E53" s="221" t="inlineStr">
        <is>
          <t>CX</t>
        </is>
      </c>
      <c r="F53" s="68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20">
        <f>IFERROR(ROUNDUP(D53/F53,0),"")</f>
        <v/>
      </c>
      <c r="H53" s="224" t="n"/>
      <c r="I53" s="220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552" t="n"/>
      <c r="K53" s="552" t="n"/>
      <c r="L53" s="552" t="n"/>
      <c r="M53" s="552" t="n"/>
    </row>
    <row r="54" ht="21" customHeight="1" s="468">
      <c r="A54" s="685" t="n"/>
      <c r="B54" s="218" t="n"/>
      <c r="C54" s="219" t="n"/>
      <c r="D54" s="220" t="n"/>
      <c r="E54" s="221" t="inlineStr">
        <is>
          <t>CX</t>
        </is>
      </c>
      <c r="F54" s="686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20">
        <f>IFERROR(ROUNDUP(D54/F54,0),"")</f>
        <v/>
      </c>
      <c r="H54" s="224" t="n"/>
      <c r="I54" s="220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552" t="n"/>
      <c r="K54" s="552" t="n"/>
      <c r="L54" s="552" t="n"/>
      <c r="M54" s="552" t="n"/>
    </row>
    <row r="55" ht="21" customHeight="1" s="468">
      <c r="A55" s="685" t="n"/>
      <c r="B55" s="218" t="n"/>
      <c r="C55" s="219" t="n"/>
      <c r="D55" s="220" t="n"/>
      <c r="E55" s="221" t="inlineStr">
        <is>
          <t>CX</t>
        </is>
      </c>
      <c r="F55" s="686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20">
        <f>IFERROR(ROUNDUP(D55/F55,0),"")</f>
        <v/>
      </c>
      <c r="H55" s="224" t="n"/>
      <c r="I55" s="220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552" t="n"/>
      <c r="K55" s="552" t="n"/>
      <c r="L55" s="552" t="n"/>
      <c r="M55" s="552" t="n"/>
    </row>
    <row r="56" ht="21" customHeight="1" s="468">
      <c r="A56" s="685" t="n"/>
      <c r="B56" s="218" t="n"/>
      <c r="C56" s="219" t="n"/>
      <c r="D56" s="220" t="n"/>
      <c r="E56" s="221" t="inlineStr">
        <is>
          <t>CX</t>
        </is>
      </c>
      <c r="F56" s="686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20">
        <f>IFERROR(ROUNDUP(D56/F56,0),"")</f>
        <v/>
      </c>
      <c r="H56" s="224" t="n"/>
      <c r="I56" s="220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552" t="n"/>
      <c r="K56" s="552" t="n"/>
      <c r="L56" s="552" t="n"/>
      <c r="M56" s="552" t="n"/>
    </row>
    <row r="57" ht="15" customHeight="1" s="468">
      <c r="A57" s="658" t="n"/>
      <c r="B57" s="640" t="inlineStr">
        <is>
          <t>TOTAL</t>
        </is>
      </c>
      <c r="C57" s="667" t="n"/>
      <c r="D57" s="642">
        <f>SUM(D52:D56)</f>
        <v/>
      </c>
      <c r="E57" s="668" t="n"/>
      <c r="F57" s="644" t="n"/>
      <c r="G57" s="642">
        <f>SUM(G52:G56)</f>
        <v/>
      </c>
      <c r="H57" s="642">
        <f>SUM(H52:H56)</f>
        <v/>
      </c>
      <c r="I57" s="642">
        <f>SUM(I52:I56)</f>
        <v/>
      </c>
      <c r="J57" s="644">
        <f>D57</f>
        <v/>
      </c>
      <c r="K57" s="644">
        <f>G57</f>
        <v/>
      </c>
      <c r="L57" s="644">
        <f>H57</f>
        <v/>
      </c>
      <c r="M57" s="644">
        <f>I57</f>
        <v/>
      </c>
    </row>
    <row r="58" ht="6" customHeight="1" s="468">
      <c r="A58" s="638" t="n"/>
      <c r="C58" s="71" t="n"/>
      <c r="D58" s="552" t="n"/>
      <c r="F58" s="552" t="n"/>
      <c r="G58" s="552" t="n"/>
      <c r="H58" s="552" t="n"/>
      <c r="I58" s="552" t="n"/>
      <c r="J58" s="552" t="n"/>
      <c r="K58" s="552" t="n"/>
      <c r="L58" s="552" t="n"/>
      <c r="M58" s="552" t="n"/>
    </row>
    <row r="59" ht="15" customHeight="1" s="468">
      <c r="A59" s="646" t="n">
        <v>46365</v>
      </c>
      <c r="B59" s="213" t="inlineStr">
        <is>
          <t>PRODUTO</t>
        </is>
      </c>
      <c r="C59" s="214" t="inlineStr">
        <is>
          <t>EMBALAGEM</t>
        </is>
      </c>
      <c r="D59" s="244" t="inlineStr">
        <is>
          <t>CAIXAS</t>
        </is>
      </c>
      <c r="E59" s="215" t="inlineStr">
        <is>
          <t>UN</t>
        </is>
      </c>
      <c r="F59" s="687" t="inlineStr">
        <is>
          <t>CX/PALLET</t>
        </is>
      </c>
      <c r="G59" s="244" t="inlineStr">
        <is>
          <t>PALLETS (PBR)</t>
        </is>
      </c>
      <c r="H59" s="244" t="inlineStr">
        <is>
          <t>REAL (CX)</t>
        </is>
      </c>
      <c r="I59" s="244" t="inlineStr">
        <is>
          <t>TOTAL LATAS</t>
        </is>
      </c>
      <c r="J59" s="552" t="n"/>
      <c r="K59" s="552" t="n"/>
      <c r="L59" s="552" t="n"/>
      <c r="M59" s="552" t="n"/>
    </row>
    <row r="60" ht="21" customHeight="1" s="468">
      <c r="A60" s="685" t="n"/>
      <c r="B60" s="218" t="n"/>
      <c r="C60" s="219" t="n"/>
      <c r="D60" s="220" t="n"/>
      <c r="E60" s="221" t="inlineStr">
        <is>
          <t>CX</t>
        </is>
      </c>
      <c r="F60" s="686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20">
        <f>IFERROR(ROUNDUP(D60/F60,0),"")</f>
        <v/>
      </c>
      <c r="H60" s="224" t="n"/>
      <c r="I60" s="220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  <c r="J60" s="552" t="n"/>
      <c r="K60" s="552" t="n"/>
      <c r="L60" s="552" t="n"/>
      <c r="M60" s="552" t="n"/>
    </row>
    <row r="61" ht="21" customHeight="1" s="468">
      <c r="A61" s="685" t="n"/>
      <c r="B61" s="218" t="n"/>
      <c r="C61" s="219" t="n"/>
      <c r="D61" s="220" t="n"/>
      <c r="E61" s="221" t="inlineStr">
        <is>
          <t>CX</t>
        </is>
      </c>
      <c r="F61" s="686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20">
        <f>IFERROR(ROUNDUP(D61/F61,0),"")</f>
        <v/>
      </c>
      <c r="H61" s="224" t="n"/>
      <c r="I61" s="220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  <c r="J61" s="552" t="n"/>
      <c r="K61" s="552" t="n"/>
      <c r="L61" s="552" t="n"/>
      <c r="M61" s="552" t="n"/>
    </row>
    <row r="62" ht="21" customHeight="1" s="468">
      <c r="A62" s="685" t="n"/>
      <c r="B62" s="218" t="n"/>
      <c r="C62" s="219" t="n"/>
      <c r="D62" s="220" t="n"/>
      <c r="E62" s="221" t="inlineStr">
        <is>
          <t>CX</t>
        </is>
      </c>
      <c r="F62" s="686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20">
        <f>IFERROR(ROUNDUP(D62/F62,0),"")</f>
        <v/>
      </c>
      <c r="H62" s="224" t="n"/>
      <c r="I62" s="220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s="552" t="n"/>
      <c r="K62" s="552" t="n"/>
      <c r="L62" s="552" t="n"/>
      <c r="M62" s="552" t="n"/>
    </row>
    <row r="63" ht="21" customHeight="1" s="468">
      <c r="A63" s="685" t="n"/>
      <c r="B63" s="218" t="n"/>
      <c r="C63" s="219" t="n"/>
      <c r="D63" s="220" t="n"/>
      <c r="E63" s="221" t="inlineStr">
        <is>
          <t>CX</t>
        </is>
      </c>
      <c r="F63" s="686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20">
        <f>IFERROR(ROUNDUP(D63/F63,0),"")</f>
        <v/>
      </c>
      <c r="H63" s="224" t="n"/>
      <c r="I63" s="220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552" t="n"/>
      <c r="K63" s="552" t="n"/>
      <c r="L63" s="552" t="n"/>
      <c r="M63" s="552" t="n"/>
    </row>
    <row r="64" ht="21" customHeight="1" s="468">
      <c r="A64" s="685" t="n"/>
      <c r="B64" s="218" t="n"/>
      <c r="C64" s="219" t="n"/>
      <c r="D64" s="220" t="n"/>
      <c r="E64" s="221" t="inlineStr">
        <is>
          <t>CX</t>
        </is>
      </c>
      <c r="F64" s="686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20">
        <f>IFERROR(ROUNDUP(D64/F64,0),"")</f>
        <v/>
      </c>
      <c r="H64" s="224" t="n"/>
      <c r="I64" s="220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  <c r="J64" s="552" t="n"/>
      <c r="K64" s="552" t="n"/>
      <c r="L64" s="552" t="n"/>
      <c r="M64" s="552" t="n"/>
    </row>
    <row r="65" ht="15" customHeight="1" s="468">
      <c r="A65" s="658" t="n"/>
      <c r="B65" s="640" t="inlineStr">
        <is>
          <t>TOTAL</t>
        </is>
      </c>
      <c r="C65" s="667" t="n"/>
      <c r="D65" s="642">
        <f>SUM(D60:D64)</f>
        <v/>
      </c>
      <c r="E65" s="668" t="n"/>
      <c r="F65" s="644" t="n"/>
      <c r="G65" s="642">
        <f>SUM(G60:G64)</f>
        <v/>
      </c>
      <c r="H65" s="642">
        <f>SUM(H60:H64)</f>
        <v/>
      </c>
      <c r="I65" s="642">
        <f>SUM(I60:I64)</f>
        <v/>
      </c>
      <c r="J65" s="644">
        <f>D65</f>
        <v/>
      </c>
      <c r="K65" s="644">
        <f>G65</f>
        <v/>
      </c>
      <c r="L65" s="644">
        <f>H65</f>
        <v/>
      </c>
      <c r="M65" s="644">
        <f>I65</f>
        <v/>
      </c>
    </row>
    <row r="66" ht="6" customHeight="1" s="468">
      <c r="A66" s="638" t="n"/>
      <c r="C66" s="71" t="n"/>
      <c r="D66" s="552" t="n"/>
      <c r="F66" s="552" t="n"/>
      <c r="G66" s="552" t="n"/>
      <c r="H66" s="552" t="n"/>
      <c r="I66" s="552" t="n"/>
      <c r="J66" s="552" t="n"/>
      <c r="K66" s="552" t="n"/>
      <c r="L66" s="552" t="n"/>
      <c r="M66" s="552" t="n"/>
    </row>
    <row r="67" ht="15" customHeight="1" s="468">
      <c r="A67" s="646" t="n">
        <v>46366</v>
      </c>
      <c r="B67" s="213" t="inlineStr">
        <is>
          <t>PRODUTO</t>
        </is>
      </c>
      <c r="C67" s="214" t="inlineStr">
        <is>
          <t>EMBALAGEM</t>
        </is>
      </c>
      <c r="D67" s="244" t="inlineStr">
        <is>
          <t>CAIXAS</t>
        </is>
      </c>
      <c r="E67" s="215" t="inlineStr">
        <is>
          <t>UN</t>
        </is>
      </c>
      <c r="F67" s="687" t="inlineStr">
        <is>
          <t>CX/PALLET</t>
        </is>
      </c>
      <c r="G67" s="244" t="inlineStr">
        <is>
          <t>PALLETS (PBR)</t>
        </is>
      </c>
      <c r="H67" s="244" t="inlineStr">
        <is>
          <t>REAL (CX)</t>
        </is>
      </c>
      <c r="I67" s="244" t="inlineStr">
        <is>
          <t>TOTAL LATAS</t>
        </is>
      </c>
      <c r="J67" s="552" t="n"/>
      <c r="K67" s="552" t="n"/>
      <c r="L67" s="552" t="n"/>
      <c r="M67" s="552" t="n"/>
    </row>
    <row r="68" ht="21" customHeight="1" s="468">
      <c r="A68" s="685" t="n"/>
      <c r="B68" s="218" t="n"/>
      <c r="C68" s="219" t="n"/>
      <c r="D68" s="220" t="n"/>
      <c r="E68" s="221" t="inlineStr">
        <is>
          <t>CX</t>
        </is>
      </c>
      <c r="F68" s="686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20">
        <f>IFERROR(ROUNDUP(D68/F68,0),"")</f>
        <v/>
      </c>
      <c r="H68" s="224" t="n"/>
      <c r="I68" s="220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552" t="n"/>
      <c r="K68" s="552" t="n"/>
      <c r="L68" s="552" t="n"/>
      <c r="M68" s="552" t="n"/>
    </row>
    <row r="69" ht="21" customHeight="1" s="468">
      <c r="A69" s="685" t="n"/>
      <c r="B69" s="218" t="n"/>
      <c r="C69" s="219" t="n"/>
      <c r="D69" s="220" t="n"/>
      <c r="E69" s="221" t="inlineStr">
        <is>
          <t>CX</t>
        </is>
      </c>
      <c r="F69" s="68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20">
        <f>IFERROR(ROUNDUP(D69/F69,0),"")</f>
        <v/>
      </c>
      <c r="H69" s="224" t="n"/>
      <c r="I69" s="220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552" t="n"/>
      <c r="K69" s="552" t="n"/>
      <c r="L69" s="552" t="n"/>
      <c r="M69" s="552" t="n"/>
    </row>
    <row r="70" ht="21" customHeight="1" s="468">
      <c r="A70" s="685" t="n"/>
      <c r="B70" s="218" t="n"/>
      <c r="C70" s="219" t="n"/>
      <c r="D70" s="220" t="n"/>
      <c r="E70" s="221" t="inlineStr">
        <is>
          <t>CX</t>
        </is>
      </c>
      <c r="F70" s="686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20">
        <f>IFERROR(ROUNDUP(D70/F70,0),"")</f>
        <v/>
      </c>
      <c r="H70" s="224" t="n"/>
      <c r="I70" s="22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552" t="n"/>
      <c r="K70" s="552" t="n"/>
      <c r="L70" s="552" t="n"/>
      <c r="M70" s="552" t="n"/>
    </row>
    <row r="71" ht="21" customHeight="1" s="468">
      <c r="A71" s="685" t="n"/>
      <c r="B71" s="218" t="n"/>
      <c r="C71" s="219" t="n"/>
      <c r="D71" s="220" t="n"/>
      <c r="E71" s="221" t="inlineStr">
        <is>
          <t>CX</t>
        </is>
      </c>
      <c r="F71" s="686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20">
        <f>IFERROR(ROUNDUP(D71/F71,0),"")</f>
        <v/>
      </c>
      <c r="H71" s="224" t="n"/>
      <c r="I71" s="220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552" t="n"/>
      <c r="K71" s="552" t="n"/>
      <c r="L71" s="552" t="n"/>
      <c r="M71" s="552" t="n"/>
    </row>
    <row r="72" ht="21" customHeight="1" s="468">
      <c r="A72" s="685" t="n"/>
      <c r="B72" s="218" t="n"/>
      <c r="C72" s="219" t="n"/>
      <c r="D72" s="220" t="n"/>
      <c r="E72" s="221" t="inlineStr">
        <is>
          <t>CX</t>
        </is>
      </c>
      <c r="F72" s="686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20">
        <f>IFERROR(ROUNDUP(D72/F72,0),"")</f>
        <v/>
      </c>
      <c r="H72" s="224" t="n"/>
      <c r="I72" s="220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552" t="n"/>
      <c r="K72" s="552" t="n"/>
      <c r="L72" s="552" t="n"/>
      <c r="M72" s="552" t="n"/>
    </row>
    <row r="73" ht="15" customHeight="1" s="468">
      <c r="A73" s="658" t="n"/>
      <c r="B73" s="640" t="inlineStr">
        <is>
          <t>TOTAL</t>
        </is>
      </c>
      <c r="C73" s="667" t="n"/>
      <c r="D73" s="642">
        <f>SUM(D68:D72)</f>
        <v/>
      </c>
      <c r="E73" s="668" t="n"/>
      <c r="F73" s="644" t="n"/>
      <c r="G73" s="642">
        <f>SUM(G68:G72)</f>
        <v/>
      </c>
      <c r="H73" s="642">
        <f>SUM(H68:H72)</f>
        <v/>
      </c>
      <c r="I73" s="642">
        <f>SUM(I68:I72)</f>
        <v/>
      </c>
      <c r="J73" s="644">
        <f>D73</f>
        <v/>
      </c>
      <c r="K73" s="644">
        <f>G73</f>
        <v/>
      </c>
      <c r="L73" s="644">
        <f>H73</f>
        <v/>
      </c>
      <c r="M73" s="644">
        <f>I73</f>
        <v/>
      </c>
    </row>
    <row r="74" ht="6" customHeight="1" s="468">
      <c r="A74" s="638" t="n"/>
      <c r="C74" s="71" t="n"/>
      <c r="D74" s="552" t="n"/>
      <c r="F74" s="552" t="n"/>
      <c r="G74" s="552" t="n"/>
      <c r="H74" s="552" t="n"/>
      <c r="I74" s="552" t="n"/>
      <c r="J74" s="552" t="n"/>
      <c r="K74" s="552" t="n"/>
      <c r="L74" s="552" t="n"/>
      <c r="M74" s="552" t="n"/>
    </row>
    <row r="75" ht="15" customHeight="1" s="468">
      <c r="A75" s="646" t="n">
        <v>46367</v>
      </c>
      <c r="B75" s="213" t="inlineStr">
        <is>
          <t>PRODUTO</t>
        </is>
      </c>
      <c r="C75" s="214" t="inlineStr">
        <is>
          <t>EMBALAGEM</t>
        </is>
      </c>
      <c r="D75" s="244" t="inlineStr">
        <is>
          <t>CAIXAS</t>
        </is>
      </c>
      <c r="E75" s="215" t="inlineStr">
        <is>
          <t>UN</t>
        </is>
      </c>
      <c r="F75" s="687" t="inlineStr">
        <is>
          <t>CX/PALLET</t>
        </is>
      </c>
      <c r="G75" s="244" t="inlineStr">
        <is>
          <t>PALLETS (PBR)</t>
        </is>
      </c>
      <c r="H75" s="244" t="inlineStr">
        <is>
          <t>REAL (CX)</t>
        </is>
      </c>
      <c r="I75" s="244" t="inlineStr">
        <is>
          <t>TOTAL LATAS</t>
        </is>
      </c>
      <c r="J75" s="552" t="n"/>
      <c r="K75" s="552" t="n"/>
      <c r="L75" s="552" t="n"/>
      <c r="M75" s="552" t="n"/>
    </row>
    <row r="76" ht="21" customHeight="1" s="468">
      <c r="A76" s="685" t="n"/>
      <c r="B76" s="218" t="n"/>
      <c r="C76" s="219" t="n"/>
      <c r="D76" s="220" t="n"/>
      <c r="E76" s="221" t="inlineStr">
        <is>
          <t>CX</t>
        </is>
      </c>
      <c r="F76" s="686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20">
        <f>IFERROR(ROUNDUP(D76/F76,0),"")</f>
        <v/>
      </c>
      <c r="H76" s="224" t="n"/>
      <c r="I76" s="220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552" t="n"/>
      <c r="K76" s="552" t="n"/>
      <c r="L76" s="552" t="n"/>
      <c r="M76" s="552" t="n"/>
    </row>
    <row r="77" ht="21" customHeight="1" s="468">
      <c r="A77" s="685" t="n"/>
      <c r="B77" s="218" t="n"/>
      <c r="C77" s="219" t="n"/>
      <c r="D77" s="220" t="n"/>
      <c r="E77" s="221" t="inlineStr">
        <is>
          <t>CX</t>
        </is>
      </c>
      <c r="F77" s="686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20">
        <f>IFERROR(ROUNDUP(D77/F77,0),"")</f>
        <v/>
      </c>
      <c r="H77" s="224" t="n"/>
      <c r="I77" s="220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552" t="n"/>
      <c r="K77" s="552" t="n"/>
      <c r="L77" s="552" t="n"/>
      <c r="M77" s="552" t="n"/>
    </row>
    <row r="78" ht="21" customHeight="1" s="468">
      <c r="A78" s="685" t="n"/>
      <c r="B78" s="218" t="n"/>
      <c r="C78" s="219" t="n"/>
      <c r="D78" s="220" t="n"/>
      <c r="E78" s="221" t="inlineStr">
        <is>
          <t>CX</t>
        </is>
      </c>
      <c r="F78" s="686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20">
        <f>IFERROR(ROUNDUP(D78/F78,0),"")</f>
        <v/>
      </c>
      <c r="H78" s="224" t="n"/>
      <c r="I78" s="220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552" t="n"/>
      <c r="K78" s="552" t="n"/>
      <c r="L78" s="552" t="n"/>
      <c r="M78" s="552" t="n"/>
    </row>
    <row r="79" ht="21" customHeight="1" s="468">
      <c r="A79" s="685" t="n"/>
      <c r="B79" s="218" t="n"/>
      <c r="C79" s="219" t="n"/>
      <c r="D79" s="220" t="n"/>
      <c r="E79" s="221" t="inlineStr">
        <is>
          <t>CX</t>
        </is>
      </c>
      <c r="F79" s="686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20">
        <f>IFERROR(ROUNDUP(D79/F79,0),"")</f>
        <v/>
      </c>
      <c r="H79" s="224" t="n"/>
      <c r="I79" s="220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552" t="n"/>
      <c r="K79" s="552" t="n"/>
      <c r="L79" s="552" t="n"/>
      <c r="M79" s="552" t="n"/>
    </row>
    <row r="80" ht="21" customHeight="1" s="468">
      <c r="A80" s="685" t="n"/>
      <c r="B80" s="218" t="n"/>
      <c r="C80" s="219" t="n"/>
      <c r="D80" s="220" t="n"/>
      <c r="E80" s="221" t="inlineStr">
        <is>
          <t>CX</t>
        </is>
      </c>
      <c r="F80" s="686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20">
        <f>IFERROR(ROUNDUP(D80/F80,0),"")</f>
        <v/>
      </c>
      <c r="H80" s="224" t="n"/>
      <c r="I80" s="220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552" t="n"/>
      <c r="K80" s="552" t="n"/>
      <c r="L80" s="552" t="n"/>
      <c r="M80" s="552" t="n"/>
    </row>
    <row r="81" ht="15" customHeight="1" s="468">
      <c r="A81" s="658" t="n"/>
      <c r="B81" s="640" t="inlineStr">
        <is>
          <t>TOTAL</t>
        </is>
      </c>
      <c r="C81" s="667" t="n"/>
      <c r="D81" s="642">
        <f>SUM(D76:D80)</f>
        <v/>
      </c>
      <c r="E81" s="668" t="n"/>
      <c r="F81" s="644" t="n"/>
      <c r="G81" s="642">
        <f>SUM(G76:G80)</f>
        <v/>
      </c>
      <c r="H81" s="642">
        <f>SUM(H76:H80)</f>
        <v/>
      </c>
      <c r="I81" s="642">
        <f>SUM(I76:I80)</f>
        <v/>
      </c>
      <c r="J81" s="644">
        <f>D81</f>
        <v/>
      </c>
      <c r="K81" s="644">
        <f>G81</f>
        <v/>
      </c>
      <c r="L81" s="644">
        <f>H81</f>
        <v/>
      </c>
      <c r="M81" s="644">
        <f>I81</f>
        <v/>
      </c>
    </row>
    <row r="82" ht="6" customHeight="1" s="468">
      <c r="A82" s="638" t="n"/>
      <c r="C82" s="71" t="n"/>
      <c r="D82" s="552" t="n"/>
      <c r="F82" s="552" t="n"/>
      <c r="G82" s="552" t="n"/>
      <c r="H82" s="552" t="n"/>
      <c r="I82" s="552" t="n"/>
      <c r="J82" s="552" t="n"/>
      <c r="K82" s="552" t="n"/>
      <c r="L82" s="552" t="n"/>
      <c r="M82" s="552" t="n"/>
    </row>
    <row r="83" ht="15" customHeight="1" s="468">
      <c r="A83" s="696" t="n">
        <v>46368</v>
      </c>
      <c r="B83" s="213" t="inlineStr">
        <is>
          <t>PRODUTO</t>
        </is>
      </c>
      <c r="C83" s="214" t="inlineStr">
        <is>
          <t>EMBALAGEM</t>
        </is>
      </c>
      <c r="D83" s="244" t="inlineStr">
        <is>
          <t>CAIXAS</t>
        </is>
      </c>
      <c r="E83" s="215" t="inlineStr">
        <is>
          <t>UN</t>
        </is>
      </c>
      <c r="F83" s="697" t="inlineStr">
        <is>
          <t>CX/PALLET</t>
        </is>
      </c>
      <c r="G83" s="244" t="inlineStr">
        <is>
          <t>PALLETS (PBR)</t>
        </is>
      </c>
      <c r="H83" s="244" t="inlineStr">
        <is>
          <t>REAL (CX)</t>
        </is>
      </c>
      <c r="I83" s="244" t="inlineStr">
        <is>
          <t>TOTAL LATAS</t>
        </is>
      </c>
      <c r="J83" s="274" t="n"/>
      <c r="K83" s="274" t="n"/>
      <c r="L83" s="274" t="n"/>
      <c r="M83" s="274" t="n"/>
    </row>
    <row r="84" ht="21" customHeight="1" s="468">
      <c r="A84" s="685" t="n"/>
      <c r="B84" s="266" t="n"/>
      <c r="C84" s="267" t="n"/>
      <c r="D84" s="268" t="n"/>
      <c r="E84" s="269" t="inlineStr">
        <is>
          <t>CX</t>
        </is>
      </c>
      <c r="F84" s="698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68">
        <f>IFERROR(ROUNDUP(D84/F84,0),"")</f>
        <v/>
      </c>
      <c r="H84" s="224" t="n"/>
      <c r="I84" s="268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274" t="n"/>
      <c r="K84" s="274" t="n"/>
      <c r="L84" s="274" t="n"/>
      <c r="M84" s="274" t="n"/>
    </row>
    <row r="85" ht="21" customHeight="1" s="468">
      <c r="A85" s="685" t="n"/>
      <c r="B85" s="266" t="n"/>
      <c r="C85" s="267" t="n"/>
      <c r="D85" s="268" t="n"/>
      <c r="E85" s="269" t="inlineStr">
        <is>
          <t>CX</t>
        </is>
      </c>
      <c r="F85" s="698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68">
        <f>IFERROR(ROUNDUP(D85/F85,0),"")</f>
        <v/>
      </c>
      <c r="H85" s="224" t="n"/>
      <c r="I85" s="268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274" t="n"/>
      <c r="K85" s="274" t="n"/>
      <c r="L85" s="274" t="n"/>
      <c r="M85" s="274" t="n"/>
    </row>
    <row r="86" ht="21" customHeight="1" s="468">
      <c r="A86" s="685" t="n"/>
      <c r="B86" s="266" t="n"/>
      <c r="C86" s="267" t="n"/>
      <c r="D86" s="268" t="n"/>
      <c r="E86" s="269" t="inlineStr">
        <is>
          <t>CX</t>
        </is>
      </c>
      <c r="F86" s="698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68">
        <f>IFERROR(ROUNDUP(D86/F86,0),"")</f>
        <v/>
      </c>
      <c r="H86" s="224" t="n"/>
      <c r="I86" s="268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274" t="n"/>
      <c r="K86" s="274" t="n"/>
      <c r="L86" s="274" t="n"/>
      <c r="M86" s="274" t="n"/>
    </row>
    <row r="87" ht="21" customHeight="1" s="468">
      <c r="A87" s="685" t="n"/>
      <c r="B87" s="266" t="n"/>
      <c r="C87" s="267" t="n"/>
      <c r="D87" s="268" t="n"/>
      <c r="E87" s="269" t="inlineStr">
        <is>
          <t>CX</t>
        </is>
      </c>
      <c r="F87" s="698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68">
        <f>IFERROR(ROUNDUP(D87/F87,0),"")</f>
        <v/>
      </c>
      <c r="H87" s="224" t="n"/>
      <c r="I87" s="268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274" t="n"/>
      <c r="K87" s="274" t="n"/>
      <c r="L87" s="274" t="n"/>
      <c r="M87" s="274" t="n"/>
    </row>
    <row r="88" ht="21" customHeight="1" s="468">
      <c r="A88" s="685" t="n"/>
      <c r="B88" s="266" t="n"/>
      <c r="C88" s="267" t="n"/>
      <c r="D88" s="268" t="n"/>
      <c r="E88" s="269" t="inlineStr">
        <is>
          <t>CX</t>
        </is>
      </c>
      <c r="F88" s="698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68">
        <f>IFERROR(ROUNDUP(D88/F88,0),"")</f>
        <v/>
      </c>
      <c r="H88" s="224" t="n"/>
      <c r="I88" s="268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274" t="n"/>
      <c r="K88" s="274" t="n"/>
      <c r="L88" s="274" t="n"/>
      <c r="M88" s="274" t="n"/>
    </row>
    <row r="89" ht="15" customHeight="1" s="468">
      <c r="A89" s="658" t="n"/>
      <c r="B89" s="640" t="inlineStr">
        <is>
          <t>TOTAL</t>
        </is>
      </c>
      <c r="C89" s="667" t="n"/>
      <c r="D89" s="642">
        <f>SUM(D84:D88)</f>
        <v/>
      </c>
      <c r="E89" s="668" t="n"/>
      <c r="F89" s="644" t="n"/>
      <c r="G89" s="642">
        <f>SUM(G84:G88)</f>
        <v/>
      </c>
      <c r="H89" s="642">
        <f>SUM(H84:H88)</f>
        <v/>
      </c>
      <c r="I89" s="642">
        <f>SUM(I84:I88)</f>
        <v/>
      </c>
      <c r="J89" s="644">
        <f>D89</f>
        <v/>
      </c>
      <c r="K89" s="644">
        <f>G89</f>
        <v/>
      </c>
      <c r="L89" s="644">
        <f>H89</f>
        <v/>
      </c>
      <c r="M89" s="644">
        <f>I89</f>
        <v/>
      </c>
    </row>
    <row r="90" ht="6" customHeight="1" s="468">
      <c r="A90" s="699" t="n"/>
      <c r="B90" s="265" t="n"/>
      <c r="C90" s="276" t="n"/>
      <c r="D90" s="274" t="n"/>
      <c r="E90" s="265" t="n"/>
      <c r="F90" s="274" t="n"/>
      <c r="G90" s="274" t="n"/>
      <c r="H90" s="274" t="n"/>
      <c r="I90" s="274" t="n"/>
      <c r="J90" s="274" t="n"/>
      <c r="K90" s="274" t="n"/>
      <c r="L90" s="274" t="n"/>
      <c r="M90" s="274" t="n"/>
    </row>
    <row r="91" ht="15" customHeight="1" s="468">
      <c r="A91" s="646" t="n">
        <v>46370</v>
      </c>
      <c r="B91" s="213" t="inlineStr">
        <is>
          <t>PRODUTO</t>
        </is>
      </c>
      <c r="C91" s="214" t="inlineStr">
        <is>
          <t>EMBALAGEM</t>
        </is>
      </c>
      <c r="D91" s="244" t="inlineStr">
        <is>
          <t>CAIXAS</t>
        </is>
      </c>
      <c r="E91" s="215" t="inlineStr">
        <is>
          <t>UN</t>
        </is>
      </c>
      <c r="F91" s="687" t="inlineStr">
        <is>
          <t>CX/PALLET</t>
        </is>
      </c>
      <c r="G91" s="244" t="inlineStr">
        <is>
          <t>PALLETS (PBR)</t>
        </is>
      </c>
      <c r="H91" s="244" t="inlineStr">
        <is>
          <t>REAL (CX)</t>
        </is>
      </c>
      <c r="I91" s="244" t="inlineStr">
        <is>
          <t>TOTAL LATAS</t>
        </is>
      </c>
      <c r="J91" s="552" t="n"/>
      <c r="K91" s="552" t="n"/>
      <c r="L91" s="552" t="n"/>
      <c r="M91" s="552" t="n"/>
    </row>
    <row r="92" ht="21" customHeight="1" s="468">
      <c r="A92" s="685" t="n"/>
      <c r="B92" s="218" t="n"/>
      <c r="C92" s="219" t="n"/>
      <c r="D92" s="220" t="n"/>
      <c r="E92" s="221" t="inlineStr">
        <is>
          <t>CX</t>
        </is>
      </c>
      <c r="F92" s="686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20">
        <f>IFERROR(ROUNDUP(D92/F92,0),"")</f>
        <v/>
      </c>
      <c r="H92" s="224" t="n"/>
      <c r="I92" s="220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552" t="n"/>
      <c r="K92" s="552" t="n"/>
      <c r="L92" s="552" t="n"/>
      <c r="M92" s="552" t="n"/>
    </row>
    <row r="93" ht="21" customHeight="1" s="468">
      <c r="A93" s="685" t="n"/>
      <c r="B93" s="218" t="n"/>
      <c r="C93" s="219" t="n"/>
      <c r="D93" s="220" t="n"/>
      <c r="E93" s="221" t="inlineStr">
        <is>
          <t>CX</t>
        </is>
      </c>
      <c r="F93" s="686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20">
        <f>IFERROR(ROUNDUP(D93/F93,0),"")</f>
        <v/>
      </c>
      <c r="H93" s="224" t="n"/>
      <c r="I93" s="220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552" t="n"/>
      <c r="K93" s="552" t="n"/>
      <c r="L93" s="552" t="n"/>
      <c r="M93" s="552" t="n"/>
    </row>
    <row r="94" ht="21" customHeight="1" s="468">
      <c r="A94" s="685" t="n"/>
      <c r="B94" s="218" t="n"/>
      <c r="C94" s="219" t="n"/>
      <c r="D94" s="220" t="n"/>
      <c r="E94" s="221" t="inlineStr">
        <is>
          <t>CX</t>
        </is>
      </c>
      <c r="F94" s="686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20">
        <f>IFERROR(ROUNDUP(D94/F94,0),"")</f>
        <v/>
      </c>
      <c r="H94" s="224" t="n"/>
      <c r="I94" s="220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552" t="n"/>
      <c r="K94" s="552" t="n"/>
      <c r="L94" s="552" t="n"/>
      <c r="M94" s="552" t="n"/>
    </row>
    <row r="95" ht="21" customHeight="1" s="468">
      <c r="A95" s="685" t="n"/>
      <c r="B95" s="218" t="n"/>
      <c r="C95" s="219" t="n"/>
      <c r="D95" s="220" t="n"/>
      <c r="E95" s="221" t="inlineStr">
        <is>
          <t>CX</t>
        </is>
      </c>
      <c r="F95" s="686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20">
        <f>IFERROR(ROUNDUP(D95/F95,0),"")</f>
        <v/>
      </c>
      <c r="H95" s="224" t="n"/>
      <c r="I95" s="220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552" t="n"/>
      <c r="K95" s="552" t="n"/>
      <c r="L95" s="552" t="n"/>
      <c r="M95" s="552" t="n"/>
    </row>
    <row r="96" ht="21" customHeight="1" s="468">
      <c r="A96" s="685" t="n"/>
      <c r="B96" s="218" t="n"/>
      <c r="C96" s="219" t="n"/>
      <c r="D96" s="220" t="n"/>
      <c r="E96" s="221" t="inlineStr">
        <is>
          <t>CX</t>
        </is>
      </c>
      <c r="F96" s="68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20">
        <f>IFERROR(ROUNDUP(D96/F96,0),"")</f>
        <v/>
      </c>
      <c r="H96" s="224" t="n"/>
      <c r="I96" s="220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552" t="n"/>
      <c r="K96" s="552" t="n"/>
      <c r="L96" s="552" t="n"/>
      <c r="M96" s="552" t="n"/>
    </row>
    <row r="97" ht="15" customHeight="1" s="468">
      <c r="A97" s="658" t="n"/>
      <c r="B97" s="640" t="inlineStr">
        <is>
          <t>TOTAL</t>
        </is>
      </c>
      <c r="C97" s="667" t="n"/>
      <c r="D97" s="642">
        <f>SUM(D92:D96)</f>
        <v/>
      </c>
      <c r="E97" s="668" t="n"/>
      <c r="F97" s="644" t="n"/>
      <c r="G97" s="642">
        <f>SUM(G92:G96)</f>
        <v/>
      </c>
      <c r="H97" s="642">
        <f>SUM(H92:H96)</f>
        <v/>
      </c>
      <c r="I97" s="642">
        <f>SUM(I92:I96)</f>
        <v/>
      </c>
      <c r="J97" s="644">
        <f>D97</f>
        <v/>
      </c>
      <c r="K97" s="644">
        <f>G97</f>
        <v/>
      </c>
      <c r="L97" s="644">
        <f>H97</f>
        <v/>
      </c>
      <c r="M97" s="644">
        <f>I97</f>
        <v/>
      </c>
    </row>
    <row r="98" ht="6" customHeight="1" s="468">
      <c r="A98" s="638" t="n"/>
      <c r="C98" s="71" t="n"/>
      <c r="D98" s="552" t="n"/>
      <c r="F98" s="552" t="n"/>
      <c r="G98" s="552" t="n"/>
      <c r="H98" s="552" t="n"/>
      <c r="I98" s="552" t="n"/>
      <c r="J98" s="552" t="n"/>
      <c r="K98" s="552" t="n"/>
      <c r="L98" s="552" t="n"/>
      <c r="M98" s="552" t="n"/>
    </row>
    <row r="99" ht="15" customHeight="1" s="468">
      <c r="A99" s="646" t="n">
        <v>46371</v>
      </c>
      <c r="B99" s="213" t="inlineStr">
        <is>
          <t>PRODUTO</t>
        </is>
      </c>
      <c r="C99" s="214" t="inlineStr">
        <is>
          <t>EMBALAGEM</t>
        </is>
      </c>
      <c r="D99" s="244" t="inlineStr">
        <is>
          <t>CAIXAS</t>
        </is>
      </c>
      <c r="E99" s="215" t="inlineStr">
        <is>
          <t>UN</t>
        </is>
      </c>
      <c r="F99" s="687" t="inlineStr">
        <is>
          <t>CX/PALLET</t>
        </is>
      </c>
      <c r="G99" s="244" t="inlineStr">
        <is>
          <t>PALLETS (PBR)</t>
        </is>
      </c>
      <c r="H99" s="244" t="inlineStr">
        <is>
          <t>REAL (CX)</t>
        </is>
      </c>
      <c r="I99" s="244" t="inlineStr">
        <is>
          <t>TOTAL LATAS</t>
        </is>
      </c>
      <c r="J99" s="552" t="n"/>
      <c r="K99" s="552" t="n"/>
      <c r="L99" s="552" t="n"/>
      <c r="M99" s="552" t="n"/>
    </row>
    <row r="100" ht="21" customHeight="1" s="468">
      <c r="A100" s="685" t="n"/>
      <c r="B100" s="218" t="n"/>
      <c r="C100" s="219" t="n"/>
      <c r="D100" s="220" t="n"/>
      <c r="E100" s="221" t="inlineStr">
        <is>
          <t>CX</t>
        </is>
      </c>
      <c r="F100" s="686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20">
        <f>IFERROR(ROUNDUP(D100/F100,0),"")</f>
        <v/>
      </c>
      <c r="H100" s="224" t="n"/>
      <c r="I100" s="220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552" t="n"/>
      <c r="K100" s="552" t="n"/>
      <c r="L100" s="552" t="n"/>
      <c r="M100" s="552" t="n"/>
    </row>
    <row r="101" ht="21" customHeight="1" s="468">
      <c r="A101" s="685" t="n"/>
      <c r="B101" s="218" t="n"/>
      <c r="C101" s="219" t="n"/>
      <c r="D101" s="220" t="n"/>
      <c r="E101" s="221" t="inlineStr">
        <is>
          <t>CX</t>
        </is>
      </c>
      <c r="F101" s="686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20">
        <f>IFERROR(ROUNDUP(D101/F101,0),"")</f>
        <v/>
      </c>
      <c r="H101" s="224" t="n"/>
      <c r="I101" s="220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552" t="n"/>
      <c r="K101" s="552" t="n"/>
      <c r="L101" s="552" t="n"/>
      <c r="M101" s="552" t="n"/>
    </row>
    <row r="102" ht="21" customHeight="1" s="468">
      <c r="A102" s="685" t="n"/>
      <c r="B102" s="218" t="n"/>
      <c r="C102" s="219" t="n"/>
      <c r="D102" s="220" t="n"/>
      <c r="E102" s="221" t="inlineStr">
        <is>
          <t>CX</t>
        </is>
      </c>
      <c r="F102" s="686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20">
        <f>IFERROR(ROUNDUP(D102/F102,0),"")</f>
        <v/>
      </c>
      <c r="H102" s="224" t="n"/>
      <c r="I102" s="220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552" t="n"/>
      <c r="K102" s="552" t="n"/>
      <c r="L102" s="552" t="n"/>
      <c r="M102" s="552" t="n"/>
    </row>
    <row r="103" ht="21" customHeight="1" s="468">
      <c r="A103" s="685" t="n"/>
      <c r="B103" s="218" t="n"/>
      <c r="C103" s="219" t="n"/>
      <c r="D103" s="220" t="n"/>
      <c r="E103" s="221" t="inlineStr">
        <is>
          <t>CX</t>
        </is>
      </c>
      <c r="F103" s="686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20">
        <f>IFERROR(ROUNDUP(D103/F103,0),"")</f>
        <v/>
      </c>
      <c r="H103" s="224" t="n"/>
      <c r="I103" s="220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552" t="n"/>
      <c r="K103" s="552" t="n"/>
      <c r="L103" s="552" t="n"/>
      <c r="M103" s="552" t="n"/>
    </row>
    <row r="104" ht="21" customHeight="1" s="468">
      <c r="A104" s="685" t="n"/>
      <c r="B104" s="218" t="n"/>
      <c r="C104" s="219" t="n"/>
      <c r="D104" s="220" t="n"/>
      <c r="E104" s="221" t="inlineStr">
        <is>
          <t>CX</t>
        </is>
      </c>
      <c r="F104" s="686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20">
        <f>IFERROR(ROUNDUP(D104/F104,0),"")</f>
        <v/>
      </c>
      <c r="H104" s="224" t="n"/>
      <c r="I104" s="220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552" t="n"/>
      <c r="K104" s="552" t="n"/>
      <c r="L104" s="552" t="n"/>
      <c r="M104" s="552" t="n"/>
    </row>
    <row r="105" ht="15" customHeight="1" s="468">
      <c r="A105" s="658" t="n"/>
      <c r="B105" s="640" t="inlineStr">
        <is>
          <t>TOTAL</t>
        </is>
      </c>
      <c r="C105" s="667" t="n"/>
      <c r="D105" s="642">
        <f>SUM(D100:D104)</f>
        <v/>
      </c>
      <c r="E105" s="668" t="n"/>
      <c r="F105" s="644" t="n"/>
      <c r="G105" s="642">
        <f>SUM(G100:G104)</f>
        <v/>
      </c>
      <c r="H105" s="642">
        <f>SUM(H100:H104)</f>
        <v/>
      </c>
      <c r="I105" s="642">
        <f>SUM(I100:I104)</f>
        <v/>
      </c>
      <c r="J105" s="644">
        <f>D105</f>
        <v/>
      </c>
      <c r="K105" s="644">
        <f>G105</f>
        <v/>
      </c>
      <c r="L105" s="644">
        <f>H105</f>
        <v/>
      </c>
      <c r="M105" s="644">
        <f>I105</f>
        <v/>
      </c>
    </row>
    <row r="106" ht="6" customHeight="1" s="468">
      <c r="A106" s="638" t="n"/>
      <c r="C106" s="71" t="n"/>
      <c r="D106" s="552" t="n"/>
      <c r="F106" s="552" t="n"/>
      <c r="G106" s="552" t="n"/>
      <c r="H106" s="552" t="n"/>
      <c r="I106" s="552" t="n"/>
      <c r="J106" s="552" t="n"/>
      <c r="K106" s="552" t="n"/>
      <c r="L106" s="552" t="n"/>
      <c r="M106" s="552" t="n"/>
    </row>
    <row r="107" ht="15" customHeight="1" s="468">
      <c r="A107" s="646" t="n">
        <v>46372</v>
      </c>
      <c r="B107" s="213" t="inlineStr">
        <is>
          <t>PRODUTO</t>
        </is>
      </c>
      <c r="C107" s="214" t="inlineStr">
        <is>
          <t>EMBALAGEM</t>
        </is>
      </c>
      <c r="D107" s="244" t="inlineStr">
        <is>
          <t>CAIXAS</t>
        </is>
      </c>
      <c r="E107" s="215" t="inlineStr">
        <is>
          <t>UN</t>
        </is>
      </c>
      <c r="F107" s="687" t="inlineStr">
        <is>
          <t>CX/PALLET</t>
        </is>
      </c>
      <c r="G107" s="244" t="inlineStr">
        <is>
          <t>PALLETS (PBR)</t>
        </is>
      </c>
      <c r="H107" s="244" t="inlineStr">
        <is>
          <t>REAL (CX)</t>
        </is>
      </c>
      <c r="I107" s="244" t="inlineStr">
        <is>
          <t>TOTAL LATAS</t>
        </is>
      </c>
      <c r="J107" s="552" t="n"/>
      <c r="K107" s="552" t="n"/>
      <c r="L107" s="552" t="n"/>
      <c r="M107" s="552" t="n"/>
    </row>
    <row r="108" ht="21" customHeight="1" s="468">
      <c r="A108" s="685" t="n"/>
      <c r="B108" s="218" t="n"/>
      <c r="C108" s="219" t="n"/>
      <c r="D108" s="220" t="n"/>
      <c r="E108" s="221" t="inlineStr">
        <is>
          <t>CX</t>
        </is>
      </c>
      <c r="F108" s="686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20">
        <f>IFERROR(ROUNDUP(D108/F108,0),"")</f>
        <v/>
      </c>
      <c r="H108" s="224" t="n"/>
      <c r="I108" s="220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s="552" t="n"/>
      <c r="K108" s="552" t="n"/>
      <c r="L108" s="552" t="n"/>
      <c r="M108" s="552" t="n"/>
    </row>
    <row r="109" ht="21" customHeight="1" s="468">
      <c r="A109" s="685" t="n"/>
      <c r="B109" s="218" t="n"/>
      <c r="C109" s="219" t="n"/>
      <c r="D109" s="220" t="n"/>
      <c r="E109" s="221" t="inlineStr">
        <is>
          <t>CX</t>
        </is>
      </c>
      <c r="F109" s="686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20">
        <f>IFERROR(ROUNDUP(D109/F109,0),"")</f>
        <v/>
      </c>
      <c r="H109" s="224" t="n"/>
      <c r="I109" s="220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  <c r="J109" s="552" t="n"/>
      <c r="K109" s="552" t="n"/>
      <c r="L109" s="552" t="n"/>
      <c r="M109" s="552" t="n"/>
    </row>
    <row r="110" ht="21" customHeight="1" s="468">
      <c r="A110" s="685" t="n"/>
      <c r="B110" s="218" t="n"/>
      <c r="C110" s="219" t="n"/>
      <c r="D110" s="220" t="n"/>
      <c r="E110" s="221" t="inlineStr">
        <is>
          <t>CX</t>
        </is>
      </c>
      <c r="F110" s="686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20">
        <f>IFERROR(ROUNDUP(D110/F110,0),"")</f>
        <v/>
      </c>
      <c r="H110" s="224" t="n"/>
      <c r="I110" s="220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  <c r="J110" s="552" t="n"/>
      <c r="K110" s="552" t="n"/>
      <c r="L110" s="552" t="n"/>
      <c r="M110" s="552" t="n"/>
    </row>
    <row r="111" ht="21" customHeight="1" s="468">
      <c r="A111" s="685" t="n"/>
      <c r="B111" s="218" t="n"/>
      <c r="C111" s="219" t="n"/>
      <c r="D111" s="220" t="n"/>
      <c r="E111" s="221" t="inlineStr">
        <is>
          <t>CX</t>
        </is>
      </c>
      <c r="F111" s="686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20">
        <f>IFERROR(ROUNDUP(D111/F111,0),"")</f>
        <v/>
      </c>
      <c r="H111" s="224" t="n"/>
      <c r="I111" s="220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  <c r="J111" s="552" t="n"/>
      <c r="K111" s="552" t="n"/>
      <c r="L111" s="552" t="n"/>
      <c r="M111" s="552" t="n"/>
    </row>
    <row r="112" ht="21" customHeight="1" s="468">
      <c r="A112" s="685" t="n"/>
      <c r="B112" s="218" t="n"/>
      <c r="C112" s="219" t="n"/>
      <c r="D112" s="220" t="n"/>
      <c r="E112" s="221" t="inlineStr">
        <is>
          <t>CX</t>
        </is>
      </c>
      <c r="F112" s="686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20">
        <f>IFERROR(ROUNDUP(D112/F112,0),"")</f>
        <v/>
      </c>
      <c r="H112" s="224" t="n"/>
      <c r="I112" s="220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  <c r="J112" s="552" t="n"/>
      <c r="K112" s="552" t="n"/>
      <c r="L112" s="552" t="n"/>
      <c r="M112" s="552" t="n"/>
    </row>
    <row r="113" ht="15" customHeight="1" s="468">
      <c r="A113" s="658" t="n"/>
      <c r="B113" s="640" t="inlineStr">
        <is>
          <t>TOTAL</t>
        </is>
      </c>
      <c r="C113" s="667" t="n"/>
      <c r="D113" s="642">
        <f>SUM(D108:D112)</f>
        <v/>
      </c>
      <c r="E113" s="668" t="n"/>
      <c r="F113" s="644" t="n"/>
      <c r="G113" s="642">
        <f>SUM(G108:G112)</f>
        <v/>
      </c>
      <c r="H113" s="642">
        <f>SUM(H108:H112)</f>
        <v/>
      </c>
      <c r="I113" s="642">
        <f>SUM(I108:I112)</f>
        <v/>
      </c>
      <c r="J113" s="644">
        <f>D113</f>
        <v/>
      </c>
      <c r="K113" s="644">
        <f>G113</f>
        <v/>
      </c>
      <c r="L113" s="644">
        <f>H113</f>
        <v/>
      </c>
      <c r="M113" s="644">
        <f>I113</f>
        <v/>
      </c>
    </row>
    <row r="114" ht="6" customHeight="1" s="468">
      <c r="A114" s="638" t="n"/>
      <c r="C114" s="71" t="n"/>
      <c r="D114" s="552" t="n"/>
      <c r="F114" s="552" t="n"/>
      <c r="G114" s="552" t="n"/>
      <c r="H114" s="552" t="n"/>
      <c r="I114" s="552" t="n"/>
      <c r="J114" s="552" t="n"/>
      <c r="K114" s="552" t="n"/>
      <c r="L114" s="552" t="n"/>
      <c r="M114" s="552" t="n"/>
    </row>
    <row r="115" ht="15" customHeight="1" s="468">
      <c r="A115" s="646" t="n">
        <v>46373</v>
      </c>
      <c r="B115" s="213" t="inlineStr">
        <is>
          <t>PRODUTO</t>
        </is>
      </c>
      <c r="C115" s="214" t="inlineStr">
        <is>
          <t>EMBALAGEM</t>
        </is>
      </c>
      <c r="D115" s="244" t="inlineStr">
        <is>
          <t>CAIXAS</t>
        </is>
      </c>
      <c r="E115" s="215" t="inlineStr">
        <is>
          <t>UN</t>
        </is>
      </c>
      <c r="F115" s="687" t="inlineStr">
        <is>
          <t>CX/PALLET</t>
        </is>
      </c>
      <c r="G115" s="244" t="inlineStr">
        <is>
          <t>PALLETS (PBR)</t>
        </is>
      </c>
      <c r="H115" s="244" t="inlineStr">
        <is>
          <t>REAL (CX)</t>
        </is>
      </c>
      <c r="I115" s="244" t="inlineStr">
        <is>
          <t>TOTAL LATAS</t>
        </is>
      </c>
      <c r="J115" s="552" t="n"/>
      <c r="K115" s="552" t="n"/>
      <c r="L115" s="552" t="n"/>
      <c r="M115" s="552" t="n"/>
    </row>
    <row r="116" ht="21" customHeight="1" s="468">
      <c r="A116" s="685" t="n"/>
      <c r="B116" s="218" t="n"/>
      <c r="C116" s="219" t="n"/>
      <c r="D116" s="220" t="n"/>
      <c r="E116" s="221" t="inlineStr">
        <is>
          <t>CX</t>
        </is>
      </c>
      <c r="F116" s="68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20">
        <f>IFERROR(ROUNDUP(D116/F116,0),"")</f>
        <v/>
      </c>
      <c r="H116" s="224" t="n"/>
      <c r="I116" s="220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552" t="n"/>
      <c r="K116" s="552" t="n"/>
      <c r="L116" s="552" t="n"/>
      <c r="M116" s="552" t="n"/>
    </row>
    <row r="117" ht="21" customHeight="1" s="468">
      <c r="A117" s="685" t="n"/>
      <c r="B117" s="218" t="n"/>
      <c r="C117" s="219" t="n"/>
      <c r="D117" s="220" t="n"/>
      <c r="E117" s="221" t="inlineStr">
        <is>
          <t>CX</t>
        </is>
      </c>
      <c r="F117" s="686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20">
        <f>IFERROR(ROUNDUP(D117/F117,0),"")</f>
        <v/>
      </c>
      <c r="H117" s="224" t="n"/>
      <c r="I117" s="220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52" t="n"/>
      <c r="K117" s="552" t="n"/>
      <c r="L117" s="552" t="n"/>
      <c r="M117" s="552" t="n"/>
    </row>
    <row r="118" ht="21" customHeight="1" s="468">
      <c r="A118" s="685" t="n"/>
      <c r="B118" s="218" t="n"/>
      <c r="C118" s="219" t="n"/>
      <c r="D118" s="220" t="n"/>
      <c r="E118" s="221" t="inlineStr">
        <is>
          <t>CX</t>
        </is>
      </c>
      <c r="F118" s="686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20">
        <f>IFERROR(ROUNDUP(D118/F118,0),"")</f>
        <v/>
      </c>
      <c r="H118" s="224" t="n"/>
      <c r="I118" s="220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552" t="n"/>
      <c r="K118" s="552" t="n"/>
      <c r="L118" s="552" t="n"/>
      <c r="M118" s="552" t="n"/>
    </row>
    <row r="119" ht="21" customHeight="1" s="468">
      <c r="A119" s="685" t="n"/>
      <c r="B119" s="218" t="n"/>
      <c r="C119" s="219" t="n"/>
      <c r="D119" s="220" t="n"/>
      <c r="E119" s="221" t="inlineStr">
        <is>
          <t>CX</t>
        </is>
      </c>
      <c r="F119" s="686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20">
        <f>IFERROR(ROUNDUP(D119/F119,0),"")</f>
        <v/>
      </c>
      <c r="H119" s="224" t="n"/>
      <c r="I119" s="220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552" t="n"/>
      <c r="K119" s="552" t="n"/>
      <c r="L119" s="552" t="n"/>
      <c r="M119" s="552" t="n"/>
    </row>
    <row r="120" ht="21" customHeight="1" s="468">
      <c r="A120" s="685" t="n"/>
      <c r="B120" s="218" t="n"/>
      <c r="C120" s="219" t="n"/>
      <c r="D120" s="220" t="n"/>
      <c r="E120" s="221" t="inlineStr">
        <is>
          <t>CX</t>
        </is>
      </c>
      <c r="F120" s="686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20">
        <f>IFERROR(ROUNDUP(D120/F120,0),"")</f>
        <v/>
      </c>
      <c r="H120" s="224" t="n"/>
      <c r="I120" s="220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552" t="n"/>
      <c r="K120" s="552" t="n"/>
      <c r="L120" s="552" t="n"/>
      <c r="M120" s="552" t="n"/>
    </row>
    <row r="121" ht="15" customHeight="1" s="468">
      <c r="A121" s="658" t="n"/>
      <c r="B121" s="640" t="inlineStr">
        <is>
          <t>TOTAL</t>
        </is>
      </c>
      <c r="C121" s="667" t="n"/>
      <c r="D121" s="642">
        <f>SUM(D116:D120)</f>
        <v/>
      </c>
      <c r="E121" s="668" t="n"/>
      <c r="F121" s="644" t="n"/>
      <c r="G121" s="642">
        <f>SUM(G116:G120)</f>
        <v/>
      </c>
      <c r="H121" s="642">
        <f>SUM(H116:H120)</f>
        <v/>
      </c>
      <c r="I121" s="642">
        <f>SUM(I116:I120)</f>
        <v/>
      </c>
      <c r="J121" s="644">
        <f>D121</f>
        <v/>
      </c>
      <c r="K121" s="644">
        <f>G121</f>
        <v/>
      </c>
      <c r="L121" s="644">
        <f>H121</f>
        <v/>
      </c>
      <c r="M121" s="644">
        <f>I121</f>
        <v/>
      </c>
    </row>
    <row r="122" ht="6" customHeight="1" s="468">
      <c r="A122" s="638" t="n"/>
      <c r="C122" s="71" t="n"/>
      <c r="D122" s="552" t="n"/>
      <c r="F122" s="552" t="n"/>
      <c r="G122" s="552" t="n"/>
      <c r="H122" s="552" t="n"/>
      <c r="I122" s="552" t="n"/>
      <c r="J122" s="552" t="n"/>
      <c r="K122" s="552" t="n"/>
      <c r="L122" s="552" t="n"/>
      <c r="M122" s="552" t="n"/>
    </row>
    <row r="123" ht="15" customHeight="1" s="468">
      <c r="A123" s="646" t="n">
        <v>46374</v>
      </c>
      <c r="B123" s="213" t="inlineStr">
        <is>
          <t>PRODUTO</t>
        </is>
      </c>
      <c r="C123" s="214" t="inlineStr">
        <is>
          <t>EMBALAGEM</t>
        </is>
      </c>
      <c r="D123" s="244" t="inlineStr">
        <is>
          <t>CAIXAS</t>
        </is>
      </c>
      <c r="E123" s="215" t="inlineStr">
        <is>
          <t>UN</t>
        </is>
      </c>
      <c r="F123" s="687" t="inlineStr">
        <is>
          <t>CX/PALLET</t>
        </is>
      </c>
      <c r="G123" s="244" t="inlineStr">
        <is>
          <t>PALLETS (PBR)</t>
        </is>
      </c>
      <c r="H123" s="244" t="inlineStr">
        <is>
          <t>REAL (CX)</t>
        </is>
      </c>
      <c r="I123" s="244" t="inlineStr">
        <is>
          <t>TOTAL LATAS</t>
        </is>
      </c>
      <c r="J123" s="552" t="n"/>
      <c r="K123" s="552" t="n"/>
      <c r="L123" s="552" t="n"/>
      <c r="M123" s="552" t="n"/>
    </row>
    <row r="124" ht="21" customHeight="1" s="468">
      <c r="A124" s="685" t="n"/>
      <c r="B124" s="218" t="n"/>
      <c r="C124" s="219" t="n"/>
      <c r="D124" s="220" t="n"/>
      <c r="E124" s="221" t="inlineStr">
        <is>
          <t>CX</t>
        </is>
      </c>
      <c r="F124" s="686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20">
        <f>IFERROR(ROUNDUP(D124/F124,0),"")</f>
        <v/>
      </c>
      <c r="H124" s="224" t="n"/>
      <c r="I124" s="220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552" t="n"/>
      <c r="K124" s="552" t="n"/>
      <c r="L124" s="552" t="n"/>
      <c r="M124" s="552" t="n"/>
    </row>
    <row r="125" ht="21" customHeight="1" s="468">
      <c r="A125" s="685" t="n"/>
      <c r="B125" s="218" t="n"/>
      <c r="C125" s="219" t="n"/>
      <c r="D125" s="220" t="n"/>
      <c r="E125" s="221" t="inlineStr">
        <is>
          <t>CX</t>
        </is>
      </c>
      <c r="F125" s="686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20">
        <f>IFERROR(ROUNDUP(D125/F125,0),"")</f>
        <v/>
      </c>
      <c r="H125" s="224" t="n"/>
      <c r="I125" s="220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52" t="n"/>
      <c r="K125" s="552" t="n"/>
      <c r="L125" s="552" t="n"/>
      <c r="M125" s="552" t="n"/>
    </row>
    <row r="126" ht="21" customHeight="1" s="468">
      <c r="A126" s="685" t="n"/>
      <c r="B126" s="218" t="n"/>
      <c r="C126" s="219" t="n"/>
      <c r="D126" s="220" t="n"/>
      <c r="E126" s="221" t="inlineStr">
        <is>
          <t>CX</t>
        </is>
      </c>
      <c r="F126" s="68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20">
        <f>IFERROR(ROUNDUP(D126/F126,0),"")</f>
        <v/>
      </c>
      <c r="H126" s="224" t="n"/>
      <c r="I126" s="220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552" t="n"/>
      <c r="K126" s="552" t="n"/>
      <c r="L126" s="552" t="n"/>
      <c r="M126" s="552" t="n"/>
    </row>
    <row r="127" ht="21" customHeight="1" s="468">
      <c r="A127" s="685" t="n"/>
      <c r="B127" s="218" t="n"/>
      <c r="C127" s="219" t="n"/>
      <c r="D127" s="220" t="n"/>
      <c r="E127" s="221" t="inlineStr">
        <is>
          <t>CX</t>
        </is>
      </c>
      <c r="F127" s="686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20">
        <f>IFERROR(ROUNDUP(D127/F127,0),"")</f>
        <v/>
      </c>
      <c r="H127" s="224" t="n"/>
      <c r="I127" s="220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552" t="n"/>
      <c r="K127" s="552" t="n"/>
      <c r="L127" s="552" t="n"/>
      <c r="M127" s="552" t="n"/>
    </row>
    <row r="128" ht="21" customHeight="1" s="468">
      <c r="A128" s="685" t="n"/>
      <c r="B128" s="218" t="n"/>
      <c r="C128" s="219" t="n"/>
      <c r="D128" s="220" t="n"/>
      <c r="E128" s="221" t="inlineStr">
        <is>
          <t>CX</t>
        </is>
      </c>
      <c r="F128" s="686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20">
        <f>IFERROR(ROUNDUP(D128/F128,0),"")</f>
        <v/>
      </c>
      <c r="H128" s="224" t="n"/>
      <c r="I128" s="220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552" t="n"/>
      <c r="K128" s="552" t="n"/>
      <c r="L128" s="552" t="n"/>
      <c r="M128" s="552" t="n"/>
    </row>
    <row r="129" ht="15" customHeight="1" s="468">
      <c r="A129" s="658" t="n"/>
      <c r="B129" s="640" t="inlineStr">
        <is>
          <t>TOTAL</t>
        </is>
      </c>
      <c r="C129" s="667" t="n"/>
      <c r="D129" s="642">
        <f>SUM(D124:D128)</f>
        <v/>
      </c>
      <c r="E129" s="668" t="n"/>
      <c r="F129" s="644" t="n"/>
      <c r="G129" s="642">
        <f>SUM(G124:G128)</f>
        <v/>
      </c>
      <c r="H129" s="642">
        <f>SUM(H124:H128)</f>
        <v/>
      </c>
      <c r="I129" s="642">
        <f>SUM(I124:I128)</f>
        <v/>
      </c>
      <c r="J129" s="644">
        <f>D129</f>
        <v/>
      </c>
      <c r="K129" s="644">
        <f>G129</f>
        <v/>
      </c>
      <c r="L129" s="644">
        <f>H129</f>
        <v/>
      </c>
      <c r="M129" s="644">
        <f>I129</f>
        <v/>
      </c>
    </row>
    <row r="130" ht="6" customHeight="1" s="468">
      <c r="A130" s="638" t="n"/>
      <c r="C130" s="71" t="n"/>
      <c r="D130" s="552" t="n"/>
      <c r="F130" s="552" t="n"/>
      <c r="G130" s="552" t="n"/>
      <c r="H130" s="552" t="n"/>
      <c r="I130" s="552" t="n"/>
      <c r="J130" s="552" t="n"/>
      <c r="K130" s="552" t="n"/>
      <c r="L130" s="552" t="n"/>
      <c r="M130" s="552" t="n"/>
    </row>
    <row r="131" ht="15" customHeight="1" s="468">
      <c r="A131" s="696" t="n">
        <v>46375</v>
      </c>
      <c r="B131" s="213" t="inlineStr">
        <is>
          <t>PRODUTO</t>
        </is>
      </c>
      <c r="C131" s="214" t="inlineStr">
        <is>
          <t>EMBALAGEM</t>
        </is>
      </c>
      <c r="D131" s="244" t="inlineStr">
        <is>
          <t>CAIXAS</t>
        </is>
      </c>
      <c r="E131" s="215" t="inlineStr">
        <is>
          <t>UN</t>
        </is>
      </c>
      <c r="F131" s="697" t="inlineStr">
        <is>
          <t>CX/PALLET</t>
        </is>
      </c>
      <c r="G131" s="244" t="inlineStr">
        <is>
          <t>PALLETS (PBR)</t>
        </is>
      </c>
      <c r="H131" s="244" t="inlineStr">
        <is>
          <t>REAL (CX)</t>
        </is>
      </c>
      <c r="I131" s="244" t="inlineStr">
        <is>
          <t>TOTAL LATAS</t>
        </is>
      </c>
      <c r="J131" s="274" t="n"/>
      <c r="K131" s="274" t="n"/>
      <c r="L131" s="274" t="n"/>
      <c r="M131" s="274" t="n"/>
    </row>
    <row r="132" ht="21" customHeight="1" s="468">
      <c r="A132" s="685" t="n"/>
      <c r="B132" s="266" t="n"/>
      <c r="C132" s="267" t="n"/>
      <c r="D132" s="268" t="n"/>
      <c r="E132" s="269" t="inlineStr">
        <is>
          <t>CX</t>
        </is>
      </c>
      <c r="F132" s="698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68">
        <f>IFERROR(ROUNDUP(D132/F132,0),"")</f>
        <v/>
      </c>
      <c r="H132" s="224" t="n"/>
      <c r="I132" s="268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274" t="n"/>
      <c r="K132" s="274" t="n"/>
      <c r="L132" s="274" t="n"/>
      <c r="M132" s="274" t="n"/>
    </row>
    <row r="133" ht="21" customHeight="1" s="468">
      <c r="A133" s="685" t="n"/>
      <c r="B133" s="266" t="n"/>
      <c r="C133" s="267" t="n"/>
      <c r="D133" s="268" t="n"/>
      <c r="E133" s="269" t="inlineStr">
        <is>
          <t>CX</t>
        </is>
      </c>
      <c r="F133" s="698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68">
        <f>IFERROR(ROUNDUP(D133/F133,0),"")</f>
        <v/>
      </c>
      <c r="H133" s="224" t="n"/>
      <c r="I133" s="268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274" t="n"/>
      <c r="K133" s="274" t="n"/>
      <c r="L133" s="274" t="n"/>
      <c r="M133" s="274" t="n"/>
    </row>
    <row r="134" ht="21" customHeight="1" s="468">
      <c r="A134" s="685" t="n"/>
      <c r="B134" s="266" t="n"/>
      <c r="C134" s="267" t="n"/>
      <c r="D134" s="268" t="n"/>
      <c r="E134" s="269" t="inlineStr">
        <is>
          <t>CX</t>
        </is>
      </c>
      <c r="F134" s="698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68">
        <f>IFERROR(ROUNDUP(D134/F134,0),"")</f>
        <v/>
      </c>
      <c r="H134" s="224" t="n"/>
      <c r="I134" s="268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274" t="n"/>
      <c r="K134" s="274" t="n"/>
      <c r="L134" s="274" t="n"/>
      <c r="M134" s="274" t="n"/>
    </row>
    <row r="135" ht="21" customHeight="1" s="468">
      <c r="A135" s="685" t="n"/>
      <c r="B135" s="266" t="n"/>
      <c r="C135" s="267" t="n"/>
      <c r="D135" s="268" t="n"/>
      <c r="E135" s="269" t="inlineStr">
        <is>
          <t>CX</t>
        </is>
      </c>
      <c r="F135" s="698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68">
        <f>IFERROR(ROUNDUP(D135/F135,0),"")</f>
        <v/>
      </c>
      <c r="H135" s="224" t="n"/>
      <c r="I135" s="268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274" t="n"/>
      <c r="K135" s="274" t="n"/>
      <c r="L135" s="274" t="n"/>
      <c r="M135" s="274" t="n"/>
    </row>
    <row r="136" ht="21" customHeight="1" s="468">
      <c r="A136" s="685" t="n"/>
      <c r="B136" s="266" t="n"/>
      <c r="C136" s="267" t="n"/>
      <c r="D136" s="268" t="n"/>
      <c r="E136" s="269" t="inlineStr">
        <is>
          <t>CX</t>
        </is>
      </c>
      <c r="F136" s="698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68">
        <f>IFERROR(ROUNDUP(D136/F136,0),"")</f>
        <v/>
      </c>
      <c r="H136" s="224" t="n"/>
      <c r="I136" s="268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274" t="n"/>
      <c r="K136" s="274" t="n"/>
      <c r="L136" s="274" t="n"/>
      <c r="M136" s="274" t="n"/>
    </row>
    <row r="137" ht="15" customHeight="1" s="468">
      <c r="A137" s="658" t="n"/>
      <c r="B137" s="640" t="inlineStr">
        <is>
          <t>TOTAL</t>
        </is>
      </c>
      <c r="C137" s="667" t="n"/>
      <c r="D137" s="642">
        <f>SUM(D132:D136)</f>
        <v/>
      </c>
      <c r="E137" s="668" t="n"/>
      <c r="F137" s="644" t="n"/>
      <c r="G137" s="642">
        <f>SUM(G132:G136)</f>
        <v/>
      </c>
      <c r="H137" s="642">
        <f>SUM(H132:H136)</f>
        <v/>
      </c>
      <c r="I137" s="642">
        <f>SUM(I132:I136)</f>
        <v/>
      </c>
      <c r="J137" s="644">
        <f>D137</f>
        <v/>
      </c>
      <c r="K137" s="644">
        <f>G137</f>
        <v/>
      </c>
      <c r="L137" s="644">
        <f>H137</f>
        <v/>
      </c>
      <c r="M137" s="644">
        <f>I137</f>
        <v/>
      </c>
    </row>
    <row r="138" ht="6" customHeight="1" s="468">
      <c r="A138" s="699" t="n"/>
      <c r="B138" s="265" t="n"/>
      <c r="C138" s="276" t="n"/>
      <c r="D138" s="274" t="n"/>
      <c r="E138" s="265" t="n"/>
      <c r="F138" s="274" t="n"/>
      <c r="G138" s="274" t="n"/>
      <c r="H138" s="274" t="n"/>
      <c r="I138" s="274" t="n"/>
      <c r="J138" s="274" t="n"/>
      <c r="K138" s="274" t="n"/>
      <c r="L138" s="274" t="n"/>
      <c r="M138" s="274" t="n"/>
    </row>
    <row r="139" ht="15" customHeight="1" s="468">
      <c r="A139" s="646" t="n">
        <v>46377</v>
      </c>
      <c r="B139" s="213" t="inlineStr">
        <is>
          <t>PRODUTO</t>
        </is>
      </c>
      <c r="C139" s="214" t="inlineStr">
        <is>
          <t>EMBALAGEM</t>
        </is>
      </c>
      <c r="D139" s="244" t="inlineStr">
        <is>
          <t>CAIXAS</t>
        </is>
      </c>
      <c r="E139" s="215" t="inlineStr">
        <is>
          <t>UN</t>
        </is>
      </c>
      <c r="F139" s="687" t="inlineStr">
        <is>
          <t>CX/PALLET</t>
        </is>
      </c>
      <c r="G139" s="244" t="inlineStr">
        <is>
          <t>PALLETS (PBR)</t>
        </is>
      </c>
      <c r="H139" s="244" t="inlineStr">
        <is>
          <t>REAL (CX)</t>
        </is>
      </c>
      <c r="I139" s="244" t="inlineStr">
        <is>
          <t>TOTAL LATAS</t>
        </is>
      </c>
      <c r="J139" s="552" t="n"/>
      <c r="K139" s="552" t="n"/>
      <c r="L139" s="552" t="n"/>
      <c r="M139" s="552" t="n"/>
    </row>
    <row r="140" ht="21" customHeight="1" s="468">
      <c r="A140" s="685" t="n"/>
      <c r="B140" s="218" t="n"/>
      <c r="C140" s="219" t="n"/>
      <c r="D140" s="220" t="n"/>
      <c r="E140" s="221" t="inlineStr">
        <is>
          <t>CX</t>
        </is>
      </c>
      <c r="F140" s="686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20">
        <f>IFERROR(ROUNDUP(D140/F140,0),"")</f>
        <v/>
      </c>
      <c r="H140" s="224" t="n"/>
      <c r="I140" s="220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552" t="n"/>
      <c r="K140" s="552" t="n"/>
      <c r="L140" s="552" t="n"/>
      <c r="M140" s="552" t="n"/>
    </row>
    <row r="141" ht="21" customHeight="1" s="468">
      <c r="A141" s="685" t="n"/>
      <c r="B141" s="218" t="n"/>
      <c r="C141" s="219" t="n"/>
      <c r="D141" s="220" t="n"/>
      <c r="E141" s="221" t="inlineStr">
        <is>
          <t>CX</t>
        </is>
      </c>
      <c r="F141" s="686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20">
        <f>IFERROR(ROUNDUP(D141/F141,0),"")</f>
        <v/>
      </c>
      <c r="H141" s="224" t="n"/>
      <c r="I141" s="220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552" t="n"/>
      <c r="K141" s="552" t="n"/>
      <c r="L141" s="552" t="n"/>
      <c r="M141" s="552" t="n"/>
    </row>
    <row r="142" ht="21" customHeight="1" s="468">
      <c r="A142" s="685" t="n"/>
      <c r="B142" s="218" t="n"/>
      <c r="C142" s="219" t="n"/>
      <c r="D142" s="220" t="n"/>
      <c r="E142" s="221" t="inlineStr">
        <is>
          <t>CX</t>
        </is>
      </c>
      <c r="F142" s="686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20">
        <f>IFERROR(ROUNDUP(D142/F142,0),"")</f>
        <v/>
      </c>
      <c r="H142" s="224" t="n"/>
      <c r="I142" s="220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552" t="n"/>
      <c r="K142" s="552" t="n"/>
      <c r="L142" s="552" t="n"/>
      <c r="M142" s="552" t="n"/>
    </row>
    <row r="143" ht="21" customHeight="1" s="468">
      <c r="A143" s="685" t="n"/>
      <c r="B143" s="218" t="n"/>
      <c r="C143" s="219" t="n"/>
      <c r="D143" s="220" t="n"/>
      <c r="E143" s="221" t="inlineStr">
        <is>
          <t>CX</t>
        </is>
      </c>
      <c r="F143" s="686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20">
        <f>IFERROR(ROUNDUP(D143/F143,0),"")</f>
        <v/>
      </c>
      <c r="H143" s="224" t="n"/>
      <c r="I143" s="220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552" t="n"/>
      <c r="K143" s="552" t="n"/>
      <c r="L143" s="552" t="n"/>
      <c r="M143" s="552" t="n"/>
    </row>
    <row r="144" ht="21" customHeight="1" s="468">
      <c r="A144" s="685" t="n"/>
      <c r="B144" s="218" t="n"/>
      <c r="C144" s="219" t="n"/>
      <c r="D144" s="220" t="n"/>
      <c r="E144" s="221" t="inlineStr">
        <is>
          <t>CX</t>
        </is>
      </c>
      <c r="F144" s="686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20">
        <f>IFERROR(ROUNDUP(D144/F144,0),"")</f>
        <v/>
      </c>
      <c r="H144" s="224" t="n"/>
      <c r="I144" s="220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552" t="n"/>
      <c r="K144" s="552" t="n"/>
      <c r="L144" s="552" t="n"/>
      <c r="M144" s="552" t="n"/>
    </row>
    <row r="145" ht="15" customHeight="1" s="468">
      <c r="A145" s="658" t="n"/>
      <c r="B145" s="640" t="inlineStr">
        <is>
          <t>TOTAL</t>
        </is>
      </c>
      <c r="C145" s="667" t="n"/>
      <c r="D145" s="642">
        <f>SUM(D140:D144)</f>
        <v/>
      </c>
      <c r="E145" s="668" t="n"/>
      <c r="F145" s="644" t="n"/>
      <c r="G145" s="642">
        <f>SUM(G140:G144)</f>
        <v/>
      </c>
      <c r="H145" s="642">
        <f>SUM(H140:H144)</f>
        <v/>
      </c>
      <c r="I145" s="642">
        <f>SUM(I140:I144)</f>
        <v/>
      </c>
      <c r="J145" s="644">
        <f>D145</f>
        <v/>
      </c>
      <c r="K145" s="644">
        <f>G145</f>
        <v/>
      </c>
      <c r="L145" s="644">
        <f>H145</f>
        <v/>
      </c>
      <c r="M145" s="644">
        <f>I145</f>
        <v/>
      </c>
    </row>
    <row r="146" ht="6" customHeight="1" s="468">
      <c r="A146" s="638" t="n"/>
      <c r="C146" s="71" t="n"/>
      <c r="D146" s="552" t="n"/>
      <c r="F146" s="552" t="n"/>
      <c r="G146" s="552" t="n"/>
      <c r="H146" s="552" t="n"/>
      <c r="I146" s="552" t="n"/>
      <c r="J146" s="552" t="n"/>
      <c r="K146" s="552" t="n"/>
      <c r="L146" s="552" t="n"/>
      <c r="M146" s="552" t="n"/>
    </row>
    <row r="147" ht="15" customHeight="1" s="468">
      <c r="A147" s="646" t="n">
        <v>46378</v>
      </c>
      <c r="B147" s="213" t="inlineStr">
        <is>
          <t>PRODUTO</t>
        </is>
      </c>
      <c r="C147" s="214" t="inlineStr">
        <is>
          <t>EMBALAGEM</t>
        </is>
      </c>
      <c r="D147" s="244" t="inlineStr">
        <is>
          <t>CAIXAS</t>
        </is>
      </c>
      <c r="E147" s="215" t="inlineStr">
        <is>
          <t>UN</t>
        </is>
      </c>
      <c r="F147" s="687" t="inlineStr">
        <is>
          <t>CX/PALLET</t>
        </is>
      </c>
      <c r="G147" s="244" t="inlineStr">
        <is>
          <t>PALLETS (PBR)</t>
        </is>
      </c>
      <c r="H147" s="244" t="inlineStr">
        <is>
          <t>REAL (CX)</t>
        </is>
      </c>
      <c r="I147" s="244" t="inlineStr">
        <is>
          <t>TOTAL LATAS</t>
        </is>
      </c>
      <c r="J147" s="552" t="n"/>
      <c r="K147" s="552" t="n"/>
      <c r="L147" s="552" t="n"/>
      <c r="M147" s="552" t="n"/>
    </row>
    <row r="148" ht="21" customHeight="1" s="468">
      <c r="A148" s="685" t="n"/>
      <c r="B148" s="218" t="n"/>
      <c r="C148" s="219" t="n"/>
      <c r="D148" s="220" t="n"/>
      <c r="E148" s="221" t="inlineStr">
        <is>
          <t>CX</t>
        </is>
      </c>
      <c r="F148" s="686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20">
        <f>IFERROR(ROUNDUP(D148/F148,0),"")</f>
        <v/>
      </c>
      <c r="H148" s="224" t="n"/>
      <c r="I148" s="220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552" t="n"/>
      <c r="K148" s="552" t="n"/>
      <c r="L148" s="552" t="n"/>
      <c r="M148" s="552" t="n"/>
    </row>
    <row r="149" ht="21" customHeight="1" s="468">
      <c r="A149" s="685" t="n"/>
      <c r="B149" s="218" t="n"/>
      <c r="C149" s="219" t="n"/>
      <c r="D149" s="220" t="n"/>
      <c r="E149" s="221" t="inlineStr">
        <is>
          <t>CX</t>
        </is>
      </c>
      <c r="F149" s="686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20">
        <f>IFERROR(ROUNDUP(D149/F149,0),"")</f>
        <v/>
      </c>
      <c r="H149" s="224" t="n"/>
      <c r="I149" s="220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552" t="n"/>
      <c r="K149" s="552" t="n"/>
      <c r="L149" s="552" t="n"/>
      <c r="M149" s="552" t="n"/>
    </row>
    <row r="150" ht="21" customHeight="1" s="468">
      <c r="A150" s="685" t="n"/>
      <c r="B150" s="218" t="n"/>
      <c r="C150" s="219" t="n"/>
      <c r="D150" s="220" t="n"/>
      <c r="E150" s="221" t="inlineStr">
        <is>
          <t>CX</t>
        </is>
      </c>
      <c r="F150" s="686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20">
        <f>IFERROR(ROUNDUP(D150/F150,0),"")</f>
        <v/>
      </c>
      <c r="H150" s="224" t="n"/>
      <c r="I150" s="220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552" t="n"/>
      <c r="K150" s="552" t="n"/>
      <c r="L150" s="552" t="n"/>
      <c r="M150" s="552" t="n"/>
    </row>
    <row r="151" ht="21" customHeight="1" s="468">
      <c r="A151" s="685" t="n"/>
      <c r="B151" s="218" t="n"/>
      <c r="C151" s="219" t="n"/>
      <c r="D151" s="220" t="n"/>
      <c r="E151" s="221" t="inlineStr">
        <is>
          <t>CX</t>
        </is>
      </c>
      <c r="F151" s="686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20">
        <f>IFERROR(ROUNDUP(D151/F151,0),"")</f>
        <v/>
      </c>
      <c r="H151" s="224" t="n"/>
      <c r="I151" s="220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52" t="n"/>
      <c r="K151" s="552" t="n"/>
      <c r="L151" s="552" t="n"/>
      <c r="M151" s="552" t="n"/>
    </row>
    <row r="152" ht="21" customHeight="1" s="468">
      <c r="A152" s="685" t="n"/>
      <c r="B152" s="218" t="n"/>
      <c r="C152" s="219" t="n"/>
      <c r="D152" s="220" t="n"/>
      <c r="E152" s="221" t="inlineStr">
        <is>
          <t>CX</t>
        </is>
      </c>
      <c r="F152" s="686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20">
        <f>IFERROR(ROUNDUP(D152/F152,0),"")</f>
        <v/>
      </c>
      <c r="H152" s="224" t="n"/>
      <c r="I152" s="220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552" t="n"/>
      <c r="K152" s="552" t="n"/>
      <c r="L152" s="552" t="n"/>
      <c r="M152" s="552" t="n"/>
    </row>
    <row r="153" ht="15" customHeight="1" s="468">
      <c r="A153" s="658" t="n"/>
      <c r="B153" s="640" t="inlineStr">
        <is>
          <t>TOTAL</t>
        </is>
      </c>
      <c r="C153" s="667" t="n"/>
      <c r="D153" s="642">
        <f>SUM(D148:D152)</f>
        <v/>
      </c>
      <c r="E153" s="668" t="n"/>
      <c r="F153" s="644" t="n"/>
      <c r="G153" s="642">
        <f>SUM(G148:G152)</f>
        <v/>
      </c>
      <c r="H153" s="642">
        <f>SUM(H148:H152)</f>
        <v/>
      </c>
      <c r="I153" s="642">
        <f>SUM(I148:I152)</f>
        <v/>
      </c>
      <c r="J153" s="644">
        <f>D153</f>
        <v/>
      </c>
      <c r="K153" s="644">
        <f>G153</f>
        <v/>
      </c>
      <c r="L153" s="644">
        <f>H153</f>
        <v/>
      </c>
      <c r="M153" s="644">
        <f>I153</f>
        <v/>
      </c>
    </row>
    <row r="154" ht="6" customHeight="1" s="468">
      <c r="A154" s="638" t="n"/>
      <c r="C154" s="71" t="n"/>
      <c r="D154" s="552" t="n"/>
      <c r="F154" s="552" t="n"/>
      <c r="G154" s="552" t="n"/>
      <c r="H154" s="552" t="n"/>
      <c r="I154" s="552" t="n"/>
      <c r="J154" s="552" t="n"/>
      <c r="K154" s="552" t="n"/>
      <c r="L154" s="552" t="n"/>
      <c r="M154" s="552" t="n"/>
    </row>
    <row r="155" ht="15" customHeight="1" s="468">
      <c r="A155" s="646" t="n">
        <v>46379</v>
      </c>
      <c r="B155" s="213" t="inlineStr">
        <is>
          <t>PRODUTO</t>
        </is>
      </c>
      <c r="C155" s="214" t="inlineStr">
        <is>
          <t>EMBALAGEM</t>
        </is>
      </c>
      <c r="D155" s="244" t="inlineStr">
        <is>
          <t>CAIXAS</t>
        </is>
      </c>
      <c r="E155" s="215" t="inlineStr">
        <is>
          <t>UN</t>
        </is>
      </c>
      <c r="F155" s="687" t="inlineStr">
        <is>
          <t>CX/PALLET</t>
        </is>
      </c>
      <c r="G155" s="244" t="inlineStr">
        <is>
          <t>PALLETS (PBR)</t>
        </is>
      </c>
      <c r="H155" s="244" t="inlineStr">
        <is>
          <t>REAL (CX)</t>
        </is>
      </c>
      <c r="I155" s="244" t="inlineStr">
        <is>
          <t>TOTAL LATAS</t>
        </is>
      </c>
      <c r="J155" s="552" t="n"/>
      <c r="K155" s="552" t="n"/>
      <c r="L155" s="552" t="n"/>
      <c r="M155" s="552" t="n"/>
    </row>
    <row r="156" ht="21" customHeight="1" s="468">
      <c r="A156" s="685" t="n"/>
      <c r="B156" s="218" t="n"/>
      <c r="C156" s="219" t="n"/>
      <c r="D156" s="220" t="n"/>
      <c r="E156" s="221" t="inlineStr">
        <is>
          <t>CX</t>
        </is>
      </c>
      <c r="F156" s="686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20">
        <f>IFERROR(ROUNDUP(D156/F156,0),"")</f>
        <v/>
      </c>
      <c r="H156" s="224" t="n"/>
      <c r="I156" s="220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552" t="n"/>
      <c r="K156" s="552" t="n"/>
      <c r="L156" s="552" t="n"/>
      <c r="M156" s="552" t="n"/>
    </row>
    <row r="157" ht="21" customHeight="1" s="468">
      <c r="A157" s="685" t="n"/>
      <c r="B157" s="218" t="n"/>
      <c r="C157" s="219" t="n"/>
      <c r="D157" s="220" t="n"/>
      <c r="E157" s="221" t="inlineStr">
        <is>
          <t>CX</t>
        </is>
      </c>
      <c r="F157" s="686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20">
        <f>IFERROR(ROUNDUP(D157/F157,0),"")</f>
        <v/>
      </c>
      <c r="H157" s="224" t="n"/>
      <c r="I157" s="220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s="552" t="n"/>
      <c r="K157" s="552" t="n"/>
      <c r="L157" s="552" t="n"/>
      <c r="M157" s="552" t="n"/>
    </row>
    <row r="158" ht="21" customHeight="1" s="468">
      <c r="A158" s="685" t="n"/>
      <c r="B158" s="218" t="n"/>
      <c r="C158" s="219" t="n"/>
      <c r="D158" s="220" t="n"/>
      <c r="E158" s="221" t="inlineStr">
        <is>
          <t>CX</t>
        </is>
      </c>
      <c r="F158" s="686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20">
        <f>IFERROR(ROUNDUP(D158/F158,0),"")</f>
        <v/>
      </c>
      <c r="H158" s="224" t="n"/>
      <c r="I158" s="220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552" t="n"/>
      <c r="K158" s="552" t="n"/>
      <c r="L158" s="552" t="n"/>
      <c r="M158" s="552" t="n"/>
    </row>
    <row r="159" ht="21" customHeight="1" s="468">
      <c r="A159" s="685" t="n"/>
      <c r="B159" s="218" t="n"/>
      <c r="C159" s="219" t="n"/>
      <c r="D159" s="220" t="n"/>
      <c r="E159" s="221" t="inlineStr">
        <is>
          <t>CX</t>
        </is>
      </c>
      <c r="F159" s="686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20">
        <f>IFERROR(ROUNDUP(D159/F159,0),"")</f>
        <v/>
      </c>
      <c r="H159" s="224" t="n"/>
      <c r="I159" s="220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52" t="n"/>
      <c r="K159" s="552" t="n"/>
      <c r="L159" s="552" t="n"/>
      <c r="M159" s="552" t="n"/>
    </row>
    <row r="160" ht="21" customHeight="1" s="468">
      <c r="A160" s="685" t="n"/>
      <c r="B160" s="218" t="n"/>
      <c r="C160" s="219" t="n"/>
      <c r="D160" s="220" t="n"/>
      <c r="E160" s="221" t="inlineStr">
        <is>
          <t>CX</t>
        </is>
      </c>
      <c r="F160" s="686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20">
        <f>IFERROR(ROUNDUP(D160/F160,0),"")</f>
        <v/>
      </c>
      <c r="H160" s="224" t="n"/>
      <c r="I160" s="220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552" t="n"/>
      <c r="K160" s="552" t="n"/>
      <c r="L160" s="552" t="n"/>
      <c r="M160" s="552" t="n"/>
    </row>
    <row r="161" ht="15" customHeight="1" s="468">
      <c r="A161" s="658" t="n"/>
      <c r="B161" s="640" t="inlineStr">
        <is>
          <t>TOTAL</t>
        </is>
      </c>
      <c r="C161" s="667" t="n"/>
      <c r="D161" s="642">
        <f>SUM(D156:D160)</f>
        <v/>
      </c>
      <c r="E161" s="668" t="n"/>
      <c r="F161" s="644" t="n"/>
      <c r="G161" s="642">
        <f>SUM(G156:G160)</f>
        <v/>
      </c>
      <c r="H161" s="642">
        <f>SUM(H156:H160)</f>
        <v/>
      </c>
      <c r="I161" s="642">
        <f>SUM(I156:I160)</f>
        <v/>
      </c>
      <c r="J161" s="644">
        <f>D161</f>
        <v/>
      </c>
      <c r="K161" s="644">
        <f>G161</f>
        <v/>
      </c>
      <c r="L161" s="644">
        <f>H161</f>
        <v/>
      </c>
      <c r="M161" s="644">
        <f>I161</f>
        <v/>
      </c>
    </row>
    <row r="162" ht="6" customHeight="1" s="468">
      <c r="A162" s="638" t="n"/>
      <c r="C162" s="71" t="n"/>
      <c r="D162" s="552" t="n"/>
      <c r="F162" s="552" t="n"/>
      <c r="G162" s="552" t="n"/>
      <c r="H162" s="552" t="n"/>
      <c r="I162" s="552" t="n"/>
      <c r="J162" s="552" t="n"/>
      <c r="K162" s="552" t="n"/>
      <c r="L162" s="552" t="n"/>
      <c r="M162" s="552" t="n"/>
    </row>
    <row r="163" ht="15" customHeight="1" s="468">
      <c r="A163" s="646" t="n">
        <v>46380</v>
      </c>
      <c r="B163" s="213" t="inlineStr">
        <is>
          <t>PRODUTO</t>
        </is>
      </c>
      <c r="C163" s="214" t="inlineStr">
        <is>
          <t>EMBALAGEM</t>
        </is>
      </c>
      <c r="D163" s="244" t="inlineStr">
        <is>
          <t>CAIXAS</t>
        </is>
      </c>
      <c r="E163" s="215" t="inlineStr">
        <is>
          <t>UN</t>
        </is>
      </c>
      <c r="F163" s="687" t="inlineStr">
        <is>
          <t>CX/PALLET</t>
        </is>
      </c>
      <c r="G163" s="244" t="inlineStr">
        <is>
          <t>PALLETS (PBR)</t>
        </is>
      </c>
      <c r="H163" s="244" t="inlineStr">
        <is>
          <t>REAL (CX)</t>
        </is>
      </c>
      <c r="I163" s="244" t="inlineStr">
        <is>
          <t>TOTAL LATAS</t>
        </is>
      </c>
      <c r="J163" s="552" t="n"/>
      <c r="K163" s="552" t="n"/>
      <c r="L163" s="552" t="n"/>
      <c r="M163" s="552" t="n"/>
    </row>
    <row r="164" ht="21" customHeight="1" s="468">
      <c r="A164" s="685" t="n"/>
      <c r="B164" s="218" t="n"/>
      <c r="C164" s="219" t="n"/>
      <c r="D164" s="220" t="n"/>
      <c r="E164" s="221" t="inlineStr">
        <is>
          <t>CX</t>
        </is>
      </c>
      <c r="F164" s="686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20">
        <f>IFERROR(ROUNDUP(D164/F164,0),"")</f>
        <v/>
      </c>
      <c r="H164" s="224" t="n"/>
      <c r="I164" s="220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552" t="n"/>
      <c r="K164" s="552" t="n"/>
      <c r="L164" s="552" t="n"/>
      <c r="M164" s="552" t="n"/>
    </row>
    <row r="165" ht="21" customHeight="1" s="468">
      <c r="A165" s="685" t="n"/>
      <c r="B165" s="218" t="n"/>
      <c r="C165" s="219" t="n"/>
      <c r="D165" s="220" t="n"/>
      <c r="E165" s="221" t="inlineStr">
        <is>
          <t>CX</t>
        </is>
      </c>
      <c r="F165" s="686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20">
        <f>IFERROR(ROUNDUP(D165/F165,0),"")</f>
        <v/>
      </c>
      <c r="H165" s="224" t="n"/>
      <c r="I165" s="220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552" t="n"/>
      <c r="K165" s="552" t="n"/>
      <c r="L165" s="552" t="n"/>
      <c r="M165" s="552" t="n"/>
    </row>
    <row r="166" ht="21" customHeight="1" s="468">
      <c r="A166" s="685" t="n"/>
      <c r="B166" s="218" t="n"/>
      <c r="C166" s="219" t="n"/>
      <c r="D166" s="220" t="n"/>
      <c r="E166" s="221" t="inlineStr">
        <is>
          <t>CX</t>
        </is>
      </c>
      <c r="F166" s="686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20">
        <f>IFERROR(ROUNDUP(D166/F166,0),"")</f>
        <v/>
      </c>
      <c r="H166" s="224" t="n"/>
      <c r="I166" s="220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552" t="n"/>
      <c r="K166" s="552" t="n"/>
      <c r="L166" s="552" t="n"/>
      <c r="M166" s="552" t="n"/>
    </row>
    <row r="167" ht="21" customHeight="1" s="468">
      <c r="A167" s="685" t="n"/>
      <c r="B167" s="218" t="n"/>
      <c r="C167" s="219" t="n"/>
      <c r="D167" s="220" t="n"/>
      <c r="E167" s="221" t="inlineStr">
        <is>
          <t>CX</t>
        </is>
      </c>
      <c r="F167" s="686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20">
        <f>IFERROR(ROUNDUP(D167/F167,0),"")</f>
        <v/>
      </c>
      <c r="H167" s="224" t="n"/>
      <c r="I167" s="220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552" t="n"/>
      <c r="K167" s="552" t="n"/>
      <c r="L167" s="552" t="n"/>
      <c r="M167" s="552" t="n"/>
    </row>
    <row r="168" ht="21" customHeight="1" s="468">
      <c r="A168" s="685" t="n"/>
      <c r="B168" s="218" t="n"/>
      <c r="C168" s="219" t="n"/>
      <c r="D168" s="220" t="n"/>
      <c r="E168" s="221" t="inlineStr">
        <is>
          <t>CX</t>
        </is>
      </c>
      <c r="F168" s="686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20">
        <f>IFERROR(ROUNDUP(D168/F168,0),"")</f>
        <v/>
      </c>
      <c r="H168" s="224" t="n"/>
      <c r="I168" s="220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552" t="n"/>
      <c r="K168" s="552" t="n"/>
      <c r="L168" s="552" t="n"/>
      <c r="M168" s="552" t="n"/>
    </row>
    <row r="169" ht="15" customHeight="1" s="468">
      <c r="A169" s="658" t="n"/>
      <c r="B169" s="640" t="inlineStr">
        <is>
          <t>TOTAL</t>
        </is>
      </c>
      <c r="C169" s="667" t="n"/>
      <c r="D169" s="642">
        <f>SUM(D164:D168)</f>
        <v/>
      </c>
      <c r="E169" s="668" t="n"/>
      <c r="F169" s="644" t="n"/>
      <c r="G169" s="642">
        <f>SUM(G164:G168)</f>
        <v/>
      </c>
      <c r="H169" s="642">
        <f>SUM(H164:H168)</f>
        <v/>
      </c>
      <c r="I169" s="642">
        <f>SUM(I164:I168)</f>
        <v/>
      </c>
      <c r="J169" s="644">
        <f>D169</f>
        <v/>
      </c>
      <c r="K169" s="644">
        <f>G169</f>
        <v/>
      </c>
      <c r="L169" s="644">
        <f>H169</f>
        <v/>
      </c>
      <c r="M169" s="644">
        <f>I169</f>
        <v/>
      </c>
    </row>
    <row r="170" ht="6" customHeight="1" s="468">
      <c r="A170" s="638" t="n"/>
      <c r="C170" s="71" t="n"/>
      <c r="D170" s="552" t="n"/>
      <c r="F170" s="552" t="n"/>
      <c r="G170" s="552" t="n"/>
      <c r="H170" s="552" t="n"/>
      <c r="I170" s="552" t="n"/>
      <c r="J170" s="552" t="n"/>
      <c r="K170" s="552" t="n"/>
      <c r="L170" s="552" t="n"/>
      <c r="M170" s="552" t="n"/>
    </row>
    <row r="171" ht="15" customHeight="1" s="468">
      <c r="A171" s="646" t="n">
        <v>46381</v>
      </c>
      <c r="B171" s="213" t="inlineStr">
        <is>
          <t>PRODUTO</t>
        </is>
      </c>
      <c r="C171" s="214" t="inlineStr">
        <is>
          <t>EMBALAGEM</t>
        </is>
      </c>
      <c r="D171" s="244" t="inlineStr">
        <is>
          <t>CAIXAS</t>
        </is>
      </c>
      <c r="E171" s="215" t="inlineStr">
        <is>
          <t>UN</t>
        </is>
      </c>
      <c r="F171" s="687" t="inlineStr">
        <is>
          <t>CX/PALLET</t>
        </is>
      </c>
      <c r="G171" s="244" t="inlineStr">
        <is>
          <t>PALLETS (PBR)</t>
        </is>
      </c>
      <c r="H171" s="244" t="inlineStr">
        <is>
          <t>REAL (CX)</t>
        </is>
      </c>
      <c r="I171" s="244" t="inlineStr">
        <is>
          <t>TOTAL LATAS</t>
        </is>
      </c>
      <c r="J171" s="552" t="n"/>
      <c r="K171" s="552" t="n"/>
      <c r="L171" s="552" t="n"/>
      <c r="M171" s="552" t="n"/>
    </row>
    <row r="172" ht="21" customHeight="1" s="468">
      <c r="A172" s="685" t="n"/>
      <c r="B172" s="218" t="n"/>
      <c r="C172" s="219" t="n"/>
      <c r="D172" s="220" t="n"/>
      <c r="E172" s="221" t="inlineStr">
        <is>
          <t>CX</t>
        </is>
      </c>
      <c r="F172" s="686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20">
        <f>IFERROR(ROUNDUP(D172/F172,0),"")</f>
        <v/>
      </c>
      <c r="H172" s="224" t="n"/>
      <c r="I172" s="220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552" t="n"/>
      <c r="K172" s="552" t="n"/>
      <c r="L172" s="552" t="n"/>
      <c r="M172" s="552" t="n"/>
    </row>
    <row r="173" ht="21" customHeight="1" s="468">
      <c r="A173" s="685" t="n"/>
      <c r="B173" s="218" t="n"/>
      <c r="C173" s="219" t="n"/>
      <c r="D173" s="220" t="n"/>
      <c r="E173" s="221" t="inlineStr">
        <is>
          <t>CX</t>
        </is>
      </c>
      <c r="F173" s="686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20">
        <f>IFERROR(ROUNDUP(D173/F173,0),"")</f>
        <v/>
      </c>
      <c r="H173" s="224" t="n"/>
      <c r="I173" s="220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552" t="n"/>
      <c r="K173" s="552" t="n"/>
      <c r="L173" s="552" t="n"/>
      <c r="M173" s="552" t="n"/>
    </row>
    <row r="174" ht="21" customHeight="1" s="468">
      <c r="A174" s="685" t="n"/>
      <c r="B174" s="218" t="n"/>
      <c r="C174" s="219" t="n"/>
      <c r="D174" s="220" t="n"/>
      <c r="E174" s="221" t="inlineStr">
        <is>
          <t>CX</t>
        </is>
      </c>
      <c r="F174" s="686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20">
        <f>IFERROR(ROUNDUP(D174/F174,0),"")</f>
        <v/>
      </c>
      <c r="H174" s="224" t="n"/>
      <c r="I174" s="220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552" t="n"/>
      <c r="K174" s="552" t="n"/>
      <c r="L174" s="552" t="n"/>
      <c r="M174" s="552" t="n"/>
    </row>
    <row r="175" ht="21" customHeight="1" s="468">
      <c r="A175" s="685" t="n"/>
      <c r="B175" s="218" t="n"/>
      <c r="C175" s="219" t="n"/>
      <c r="D175" s="220" t="n"/>
      <c r="E175" s="221" t="inlineStr">
        <is>
          <t>CX</t>
        </is>
      </c>
      <c r="F175" s="686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20">
        <f>IFERROR(ROUNDUP(D175/F175,0),"")</f>
        <v/>
      </c>
      <c r="H175" s="224" t="n"/>
      <c r="I175" s="220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552" t="n"/>
      <c r="K175" s="552" t="n"/>
      <c r="L175" s="552" t="n"/>
      <c r="M175" s="552" t="n"/>
    </row>
    <row r="176" ht="21" customHeight="1" s="468">
      <c r="A176" s="685" t="n"/>
      <c r="B176" s="218" t="n"/>
      <c r="C176" s="219" t="n"/>
      <c r="D176" s="220" t="n"/>
      <c r="E176" s="221" t="inlineStr">
        <is>
          <t>CX</t>
        </is>
      </c>
      <c r="F176" s="686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20">
        <f>IFERROR(ROUNDUP(D176/F176,0),"")</f>
        <v/>
      </c>
      <c r="H176" s="224" t="n"/>
      <c r="I176" s="220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552" t="n"/>
      <c r="K176" s="552" t="n"/>
      <c r="L176" s="552" t="n"/>
      <c r="M176" s="552" t="n"/>
    </row>
    <row r="177" ht="15" customHeight="1" s="468">
      <c r="A177" s="658" t="n"/>
      <c r="B177" s="640" t="inlineStr">
        <is>
          <t>TOTAL</t>
        </is>
      </c>
      <c r="C177" s="667" t="n"/>
      <c r="D177" s="642">
        <f>SUM(D172:D176)</f>
        <v/>
      </c>
      <c r="E177" s="668" t="n"/>
      <c r="F177" s="644" t="n"/>
      <c r="G177" s="642">
        <f>SUM(G172:G176)</f>
        <v/>
      </c>
      <c r="H177" s="642">
        <f>SUM(H172:H176)</f>
        <v/>
      </c>
      <c r="I177" s="642">
        <f>SUM(I172:I176)</f>
        <v/>
      </c>
      <c r="J177" s="644">
        <f>D177</f>
        <v/>
      </c>
      <c r="K177" s="644">
        <f>G177</f>
        <v/>
      </c>
      <c r="L177" s="644">
        <f>H177</f>
        <v/>
      </c>
      <c r="M177" s="644">
        <f>I177</f>
        <v/>
      </c>
    </row>
    <row r="178" ht="6" customHeight="1" s="468">
      <c r="A178" s="638" t="n"/>
      <c r="C178" s="71" t="n"/>
      <c r="D178" s="552" t="n"/>
      <c r="F178" s="552" t="n"/>
      <c r="G178" s="552" t="n"/>
      <c r="H178" s="552" t="n"/>
      <c r="I178" s="552" t="n"/>
      <c r="J178" s="552" t="n"/>
      <c r="K178" s="552" t="n"/>
      <c r="L178" s="552" t="n"/>
      <c r="M178" s="552" t="n"/>
    </row>
    <row r="179" ht="15" customHeight="1" s="468">
      <c r="A179" s="696" t="n">
        <v>46382</v>
      </c>
      <c r="B179" s="213" t="inlineStr">
        <is>
          <t>PRODUTO</t>
        </is>
      </c>
      <c r="C179" s="214" t="inlineStr">
        <is>
          <t>EMBALAGEM</t>
        </is>
      </c>
      <c r="D179" s="244" t="inlineStr">
        <is>
          <t>CAIXAS</t>
        </is>
      </c>
      <c r="E179" s="215" t="inlineStr">
        <is>
          <t>UN</t>
        </is>
      </c>
      <c r="F179" s="697" t="inlineStr">
        <is>
          <t>CX/PALLET</t>
        </is>
      </c>
      <c r="G179" s="244" t="inlineStr">
        <is>
          <t>PALLETS (PBR)</t>
        </is>
      </c>
      <c r="H179" s="244" t="inlineStr">
        <is>
          <t>REAL (CX)</t>
        </is>
      </c>
      <c r="I179" s="244" t="inlineStr">
        <is>
          <t>TOTAL LATAS</t>
        </is>
      </c>
      <c r="J179" s="274" t="n"/>
      <c r="K179" s="274" t="n"/>
      <c r="L179" s="274" t="n"/>
      <c r="M179" s="274" t="n"/>
    </row>
    <row r="180" ht="21" customHeight="1" s="468">
      <c r="A180" s="685" t="n"/>
      <c r="B180" s="266" t="n"/>
      <c r="C180" s="267" t="n"/>
      <c r="D180" s="268" t="n"/>
      <c r="E180" s="269" t="inlineStr">
        <is>
          <t>CX</t>
        </is>
      </c>
      <c r="F180" s="698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68">
        <f>IFERROR(ROUNDUP(D180/F180,0),"")</f>
        <v/>
      </c>
      <c r="H180" s="224" t="n"/>
      <c r="I180" s="268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274" t="n"/>
      <c r="K180" s="274" t="n"/>
      <c r="L180" s="274" t="n"/>
      <c r="M180" s="274" t="n"/>
    </row>
    <row r="181" ht="21" customHeight="1" s="468">
      <c r="A181" s="685" t="n"/>
      <c r="B181" s="266" t="n"/>
      <c r="C181" s="267" t="n"/>
      <c r="D181" s="268" t="n"/>
      <c r="E181" s="269" t="inlineStr">
        <is>
          <t>CX</t>
        </is>
      </c>
      <c r="F181" s="698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68">
        <f>IFERROR(ROUNDUP(D181/F181,0),"")</f>
        <v/>
      </c>
      <c r="H181" s="224" t="n"/>
      <c r="I181" s="268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274" t="n"/>
      <c r="K181" s="274" t="n"/>
      <c r="L181" s="274" t="n"/>
      <c r="M181" s="274" t="n"/>
    </row>
    <row r="182" ht="21" customHeight="1" s="468">
      <c r="A182" s="685" t="n"/>
      <c r="B182" s="266" t="n"/>
      <c r="C182" s="267" t="n"/>
      <c r="D182" s="268" t="n"/>
      <c r="E182" s="269" t="inlineStr">
        <is>
          <t>CX</t>
        </is>
      </c>
      <c r="F182" s="698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68">
        <f>IFERROR(ROUNDUP(D182/F182,0),"")</f>
        <v/>
      </c>
      <c r="H182" s="224" t="n"/>
      <c r="I182" s="268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274" t="n"/>
      <c r="K182" s="274" t="n"/>
      <c r="L182" s="274" t="n"/>
      <c r="M182" s="274" t="n"/>
    </row>
    <row r="183" ht="21" customHeight="1" s="468">
      <c r="A183" s="685" t="n"/>
      <c r="B183" s="266" t="n"/>
      <c r="C183" s="267" t="n"/>
      <c r="D183" s="268" t="n"/>
      <c r="E183" s="269" t="inlineStr">
        <is>
          <t>CX</t>
        </is>
      </c>
      <c r="F183" s="698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68">
        <f>IFERROR(ROUNDUP(D183/F183,0),"")</f>
        <v/>
      </c>
      <c r="H183" s="224" t="n"/>
      <c r="I183" s="268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274" t="n"/>
      <c r="K183" s="274" t="n"/>
      <c r="L183" s="274" t="n"/>
      <c r="M183" s="274" t="n"/>
    </row>
    <row r="184" ht="21" customHeight="1" s="468">
      <c r="A184" s="685" t="n"/>
      <c r="B184" s="266" t="n"/>
      <c r="C184" s="267" t="n"/>
      <c r="D184" s="268" t="n"/>
      <c r="E184" s="269" t="inlineStr">
        <is>
          <t>CX</t>
        </is>
      </c>
      <c r="F184" s="698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68">
        <f>IFERROR(ROUNDUP(D184/F184,0),"")</f>
        <v/>
      </c>
      <c r="H184" s="224" t="n"/>
      <c r="I184" s="268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274" t="n"/>
      <c r="K184" s="274" t="n"/>
      <c r="L184" s="274" t="n"/>
      <c r="M184" s="274" t="n"/>
    </row>
    <row r="185" ht="15" customHeight="1" s="468">
      <c r="A185" s="658" t="n"/>
      <c r="B185" s="640" t="inlineStr">
        <is>
          <t>TOTAL</t>
        </is>
      </c>
      <c r="C185" s="667" t="n"/>
      <c r="D185" s="642">
        <f>SUM(D180:D184)</f>
        <v/>
      </c>
      <c r="E185" s="668" t="n"/>
      <c r="F185" s="644" t="n"/>
      <c r="G185" s="642">
        <f>SUM(G180:G184)</f>
        <v/>
      </c>
      <c r="H185" s="642">
        <f>SUM(H180:H184)</f>
        <v/>
      </c>
      <c r="I185" s="642">
        <f>SUM(I180:I184)</f>
        <v/>
      </c>
      <c r="J185" s="644">
        <f>D185</f>
        <v/>
      </c>
      <c r="K185" s="644">
        <f>G185</f>
        <v/>
      </c>
      <c r="L185" s="644">
        <f>H185</f>
        <v/>
      </c>
      <c r="M185" s="644">
        <f>I185</f>
        <v/>
      </c>
    </row>
    <row r="186" ht="6" customHeight="1" s="468">
      <c r="A186" s="699" t="n"/>
      <c r="B186" s="265" t="n"/>
      <c r="C186" s="276" t="n"/>
      <c r="D186" s="274" t="n"/>
      <c r="E186" s="265" t="n"/>
      <c r="F186" s="274" t="n"/>
      <c r="G186" s="274" t="n"/>
      <c r="H186" s="274" t="n"/>
      <c r="I186" s="274" t="n"/>
      <c r="J186" s="274" t="n"/>
      <c r="K186" s="274" t="n"/>
      <c r="L186" s="274" t="n"/>
      <c r="M186" s="274" t="n"/>
    </row>
    <row r="187" ht="14.25" customHeight="1" s="468">
      <c r="A187" s="646" t="n">
        <v>46384</v>
      </c>
      <c r="B187" s="213" t="inlineStr">
        <is>
          <t>PRODUTO</t>
        </is>
      </c>
      <c r="C187" s="214" t="inlineStr">
        <is>
          <t>EMBALAGEM</t>
        </is>
      </c>
      <c r="D187" s="244" t="inlineStr">
        <is>
          <t>CAIXAS</t>
        </is>
      </c>
      <c r="E187" s="215" t="inlineStr">
        <is>
          <t>UN</t>
        </is>
      </c>
      <c r="F187" s="687" t="inlineStr">
        <is>
          <t>CX/PALLET</t>
        </is>
      </c>
      <c r="G187" s="244" t="inlineStr">
        <is>
          <t>PALLETS (PBR)</t>
        </is>
      </c>
      <c r="H187" s="244" t="inlineStr">
        <is>
          <t>REAL (CX)</t>
        </is>
      </c>
      <c r="I187" s="244" t="inlineStr">
        <is>
          <t>TOTAL LATAS</t>
        </is>
      </c>
      <c r="J187" s="552" t="n"/>
      <c r="K187" s="552" t="n"/>
      <c r="L187" s="552" t="n"/>
      <c r="M187" s="552" t="n"/>
    </row>
    <row r="188" ht="21" customHeight="1" s="468">
      <c r="A188" s="685" t="n"/>
      <c r="B188" s="218" t="n"/>
      <c r="C188" s="219" t="n"/>
      <c r="D188" s="220" t="n"/>
      <c r="E188" s="221" t="inlineStr">
        <is>
          <t>CX</t>
        </is>
      </c>
      <c r="F188" s="686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20">
        <f>IFERROR(ROUNDUP(D188/F188,0),"")</f>
        <v/>
      </c>
      <c r="H188" s="224" t="n"/>
      <c r="I188" s="220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552" t="n"/>
      <c r="K188" s="552" t="n"/>
      <c r="L188" s="552" t="n"/>
      <c r="M188" s="552" t="n"/>
    </row>
    <row r="189" ht="21" customHeight="1" s="468">
      <c r="A189" s="685" t="n"/>
      <c r="B189" s="218" t="n"/>
      <c r="C189" s="219" t="n"/>
      <c r="D189" s="220" t="n"/>
      <c r="E189" s="221" t="inlineStr">
        <is>
          <t>CX</t>
        </is>
      </c>
      <c r="F189" s="686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20">
        <f>IFERROR(ROUNDUP(D189/F189,0),"")</f>
        <v/>
      </c>
      <c r="H189" s="224" t="n"/>
      <c r="I189" s="220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552" t="n"/>
      <c r="K189" s="552" t="n"/>
      <c r="L189" s="552" t="n"/>
      <c r="M189" s="552" t="n"/>
    </row>
    <row r="190" ht="21" customHeight="1" s="468">
      <c r="A190" s="685" t="n"/>
      <c r="B190" s="218" t="n"/>
      <c r="C190" s="219" t="n"/>
      <c r="D190" s="220" t="n"/>
      <c r="E190" s="221" t="inlineStr">
        <is>
          <t>CX</t>
        </is>
      </c>
      <c r="F190" s="686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20">
        <f>IFERROR(ROUNDUP(D190/F190,0),"")</f>
        <v/>
      </c>
      <c r="H190" s="224" t="n"/>
      <c r="I190" s="220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552" t="n"/>
      <c r="K190" s="552" t="n"/>
      <c r="L190" s="552" t="n"/>
      <c r="M190" s="552" t="n"/>
    </row>
    <row r="191" ht="21" customHeight="1" s="468">
      <c r="A191" s="685" t="n"/>
      <c r="B191" s="218" t="n"/>
      <c r="C191" s="219" t="n"/>
      <c r="D191" s="220" t="n"/>
      <c r="E191" s="221" t="inlineStr">
        <is>
          <t>CX</t>
        </is>
      </c>
      <c r="F191" s="686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20">
        <f>IFERROR(ROUNDUP(D191/F191,0),"")</f>
        <v/>
      </c>
      <c r="H191" s="224" t="n"/>
      <c r="I191" s="220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552" t="n"/>
      <c r="K191" s="552" t="n"/>
      <c r="L191" s="552" t="n"/>
      <c r="M191" s="552" t="n"/>
    </row>
    <row r="192" ht="21" customHeight="1" s="468">
      <c r="A192" s="685" t="n"/>
      <c r="B192" s="218" t="n"/>
      <c r="C192" s="219" t="n"/>
      <c r="D192" s="220" t="n"/>
      <c r="E192" s="221" t="inlineStr">
        <is>
          <t>CX</t>
        </is>
      </c>
      <c r="F192" s="686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20">
        <f>IFERROR(ROUNDUP(D192/F192,0),"")</f>
        <v/>
      </c>
      <c r="H192" s="224" t="n"/>
      <c r="I192" s="220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552" t="n"/>
      <c r="K192" s="552" t="n"/>
      <c r="L192" s="552" t="n"/>
      <c r="M192" s="552" t="n"/>
    </row>
    <row r="193" ht="14.25" customHeight="1" s="468">
      <c r="A193" s="658" t="n"/>
      <c r="B193" s="640" t="inlineStr">
        <is>
          <t>TOTAL</t>
        </is>
      </c>
      <c r="C193" s="667" t="n"/>
      <c r="D193" s="642">
        <f>SUM(D188:D192)</f>
        <v/>
      </c>
      <c r="E193" s="668" t="n"/>
      <c r="F193" s="644" t="n"/>
      <c r="G193" s="642">
        <f>SUM(G188:G192)</f>
        <v/>
      </c>
      <c r="H193" s="642">
        <f>SUM(H188:H192)</f>
        <v/>
      </c>
      <c r="I193" s="642">
        <f>SUM(I188:I192)</f>
        <v/>
      </c>
      <c r="J193" s="644">
        <f>D193</f>
        <v/>
      </c>
      <c r="K193" s="644">
        <f>G193</f>
        <v/>
      </c>
      <c r="L193" s="644">
        <f>H193</f>
        <v/>
      </c>
      <c r="M193" s="644">
        <f>I193</f>
        <v/>
      </c>
    </row>
    <row r="194" ht="14.25" customHeight="1" s="468">
      <c r="A194" s="638" t="n"/>
      <c r="C194" s="71" t="n"/>
      <c r="D194" s="552" t="n"/>
      <c r="F194" s="552" t="n"/>
      <c r="G194" s="552" t="n"/>
      <c r="H194" s="552" t="n"/>
      <c r="I194" s="552" t="n"/>
      <c r="J194" s="552" t="n"/>
      <c r="K194" s="552" t="n"/>
      <c r="L194" s="552" t="n"/>
      <c r="M194" s="552" t="n"/>
    </row>
    <row r="195" ht="14.25" customHeight="1" s="468">
      <c r="A195" s="646" t="n">
        <v>46385</v>
      </c>
      <c r="B195" s="213" t="inlineStr">
        <is>
          <t>PRODUTO</t>
        </is>
      </c>
      <c r="C195" s="214" t="inlineStr">
        <is>
          <t>EMBALAGEM</t>
        </is>
      </c>
      <c r="D195" s="244" t="inlineStr">
        <is>
          <t>CAIXAS</t>
        </is>
      </c>
      <c r="E195" s="215" t="inlineStr">
        <is>
          <t>UN</t>
        </is>
      </c>
      <c r="F195" s="687" t="inlineStr">
        <is>
          <t>CX/PALLET</t>
        </is>
      </c>
      <c r="G195" s="244" t="inlineStr">
        <is>
          <t>PALLETS (PBR)</t>
        </is>
      </c>
      <c r="H195" s="244" t="inlineStr">
        <is>
          <t>REAL (CX)</t>
        </is>
      </c>
      <c r="I195" s="244" t="inlineStr">
        <is>
          <t>TOTAL LATAS</t>
        </is>
      </c>
      <c r="J195" s="552" t="n"/>
      <c r="K195" s="552" t="n"/>
      <c r="L195" s="552" t="n"/>
      <c r="M195" s="552" t="n"/>
    </row>
    <row r="196" ht="21" customHeight="1" s="468">
      <c r="A196" s="685" t="n"/>
      <c r="B196" s="218" t="n"/>
      <c r="C196" s="219" t="n"/>
      <c r="D196" s="220" t="n"/>
      <c r="E196" s="221" t="inlineStr">
        <is>
          <t>CX</t>
        </is>
      </c>
      <c r="F196" s="686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20">
        <f>IFERROR(ROUNDUP(D196/F196,0),"")</f>
        <v/>
      </c>
      <c r="H196" s="224" t="n"/>
      <c r="I196" s="220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552" t="n"/>
      <c r="K196" s="552" t="n"/>
      <c r="L196" s="552" t="n"/>
      <c r="M196" s="552" t="n"/>
    </row>
    <row r="197" ht="21" customHeight="1" s="468">
      <c r="A197" s="685" t="n"/>
      <c r="B197" s="218" t="n"/>
      <c r="C197" s="219" t="n"/>
      <c r="D197" s="220" t="n"/>
      <c r="E197" s="221" t="inlineStr">
        <is>
          <t>CX</t>
        </is>
      </c>
      <c r="F197" s="686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20">
        <f>IFERROR(ROUNDUP(D197/F197,0),"")</f>
        <v/>
      </c>
      <c r="H197" s="224" t="n"/>
      <c r="I197" s="220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552" t="n"/>
      <c r="K197" s="552" t="n"/>
      <c r="L197" s="552" t="n"/>
      <c r="M197" s="552" t="n"/>
    </row>
    <row r="198" ht="21" customHeight="1" s="468">
      <c r="A198" s="685" t="n"/>
      <c r="B198" s="218" t="n"/>
      <c r="C198" s="219" t="n"/>
      <c r="D198" s="220" t="n"/>
      <c r="E198" s="221" t="inlineStr">
        <is>
          <t>CX</t>
        </is>
      </c>
      <c r="F198" s="686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20">
        <f>IFERROR(ROUNDUP(D198/F198,0),"")</f>
        <v/>
      </c>
      <c r="H198" s="224" t="n"/>
      <c r="I198" s="220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552" t="n"/>
      <c r="K198" s="552" t="n"/>
      <c r="L198" s="552" t="n"/>
      <c r="M198" s="552" t="n"/>
    </row>
    <row r="199" ht="21" customHeight="1" s="468">
      <c r="A199" s="685" t="n"/>
      <c r="B199" s="218" t="n"/>
      <c r="C199" s="219" t="n"/>
      <c r="D199" s="220" t="n"/>
      <c r="E199" s="221" t="inlineStr">
        <is>
          <t>CX</t>
        </is>
      </c>
      <c r="F199" s="686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20">
        <f>IFERROR(ROUNDUP(D199/F199,0),"")</f>
        <v/>
      </c>
      <c r="H199" s="224" t="n"/>
      <c r="I199" s="220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552" t="n"/>
      <c r="K199" s="552" t="n"/>
      <c r="L199" s="552" t="n"/>
      <c r="M199" s="552" t="n"/>
    </row>
    <row r="200" ht="21" customHeight="1" s="468">
      <c r="A200" s="685" t="n"/>
      <c r="B200" s="218" t="n"/>
      <c r="C200" s="219" t="n"/>
      <c r="D200" s="220" t="n"/>
      <c r="E200" s="221" t="inlineStr">
        <is>
          <t>CX</t>
        </is>
      </c>
      <c r="F200" s="686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20">
        <f>IFERROR(ROUNDUP(D200/F200,0),"")</f>
        <v/>
      </c>
      <c r="H200" s="224" t="n"/>
      <c r="I200" s="220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552" t="n"/>
      <c r="K200" s="552" t="n"/>
      <c r="L200" s="552" t="n"/>
      <c r="M200" s="552" t="n"/>
    </row>
    <row r="201" ht="14.25" customHeight="1" s="468">
      <c r="A201" s="658" t="n"/>
      <c r="B201" s="640" t="inlineStr">
        <is>
          <t>TOTAL</t>
        </is>
      </c>
      <c r="C201" s="667" t="n"/>
      <c r="D201" s="642">
        <f>SUM(D196:D200)</f>
        <v/>
      </c>
      <c r="E201" s="668" t="n"/>
      <c r="F201" s="644" t="n"/>
      <c r="G201" s="642">
        <f>SUM(G196:G200)</f>
        <v/>
      </c>
      <c r="H201" s="642">
        <f>SUM(H196:H200)</f>
        <v/>
      </c>
      <c r="I201" s="642">
        <f>SUM(I196:I200)</f>
        <v/>
      </c>
      <c r="J201" s="644">
        <f>D201</f>
        <v/>
      </c>
      <c r="K201" s="644">
        <f>G201</f>
        <v/>
      </c>
      <c r="L201" s="644">
        <f>H201</f>
        <v/>
      </c>
      <c r="M201" s="644">
        <f>I201</f>
        <v/>
      </c>
    </row>
    <row r="202" ht="14.25" customHeight="1" s="468">
      <c r="A202" s="638" t="n"/>
      <c r="C202" s="71" t="n"/>
      <c r="D202" s="552" t="n"/>
      <c r="F202" s="552" t="n"/>
      <c r="G202" s="552" t="n"/>
      <c r="H202" s="552" t="n"/>
      <c r="I202" s="552" t="n"/>
      <c r="J202" s="552" t="n"/>
      <c r="K202" s="552" t="n"/>
      <c r="L202" s="552" t="n"/>
      <c r="M202" s="552" t="n"/>
    </row>
    <row r="203" ht="14.25" customHeight="1" s="468">
      <c r="A203" s="646" t="n">
        <v>46386</v>
      </c>
      <c r="B203" s="213" t="inlineStr">
        <is>
          <t>PRODUTO</t>
        </is>
      </c>
      <c r="C203" s="214" t="inlineStr">
        <is>
          <t>EMBALAGEM</t>
        </is>
      </c>
      <c r="D203" s="244" t="inlineStr">
        <is>
          <t>CAIXAS</t>
        </is>
      </c>
      <c r="E203" s="215" t="inlineStr">
        <is>
          <t>UN</t>
        </is>
      </c>
      <c r="F203" s="687" t="inlineStr">
        <is>
          <t>CX/PALLET</t>
        </is>
      </c>
      <c r="G203" s="244" t="inlineStr">
        <is>
          <t>PALLETS (PBR)</t>
        </is>
      </c>
      <c r="H203" s="244" t="inlineStr">
        <is>
          <t>REAL (CX)</t>
        </is>
      </c>
      <c r="I203" s="244" t="inlineStr">
        <is>
          <t>TOTAL LATAS</t>
        </is>
      </c>
      <c r="J203" s="552" t="n"/>
      <c r="K203" s="552" t="n"/>
      <c r="L203" s="552" t="n"/>
      <c r="M203" s="552" t="n"/>
    </row>
    <row r="204" ht="21" customHeight="1" s="468">
      <c r="A204" s="685" t="n"/>
      <c r="B204" s="218" t="n"/>
      <c r="C204" s="219" t="n"/>
      <c r="D204" s="220" t="n"/>
      <c r="E204" s="221" t="inlineStr">
        <is>
          <t>CX</t>
        </is>
      </c>
      <c r="F204" s="686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20">
        <f>IFERROR(ROUNDUP(D204/F204,0),"")</f>
        <v/>
      </c>
      <c r="H204" s="224" t="n"/>
      <c r="I204" s="220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  <c r="J204" s="552" t="n"/>
      <c r="K204" s="552" t="n"/>
      <c r="L204" s="552" t="n"/>
      <c r="M204" s="552" t="n"/>
    </row>
    <row r="205" ht="21" customHeight="1" s="468">
      <c r="A205" s="685" t="n"/>
      <c r="B205" s="218" t="n"/>
      <c r="C205" s="219" t="n"/>
      <c r="D205" s="220" t="n"/>
      <c r="E205" s="221" t="inlineStr">
        <is>
          <t>CX</t>
        </is>
      </c>
      <c r="F205" s="686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20">
        <f>IFERROR(ROUNDUP(D205/F205,0),"")</f>
        <v/>
      </c>
      <c r="H205" s="224" t="n"/>
      <c r="I205" s="220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  <c r="J205" s="552" t="n"/>
      <c r="K205" s="552" t="n"/>
      <c r="L205" s="552" t="n"/>
      <c r="M205" s="552" t="n"/>
    </row>
    <row r="206" ht="21" customHeight="1" s="468">
      <c r="A206" s="685" t="n"/>
      <c r="B206" s="218" t="n"/>
      <c r="C206" s="219" t="n"/>
      <c r="D206" s="220" t="n"/>
      <c r="E206" s="221" t="inlineStr">
        <is>
          <t>CX</t>
        </is>
      </c>
      <c r="F206" s="686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20">
        <f>IFERROR(ROUNDUP(D206/F206,0),"")</f>
        <v/>
      </c>
      <c r="H206" s="224" t="n"/>
      <c r="I206" s="220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  <c r="J206" s="552" t="n"/>
      <c r="K206" s="552" t="n"/>
      <c r="L206" s="552" t="n"/>
      <c r="M206" s="552" t="n"/>
    </row>
    <row r="207" ht="21" customHeight="1" s="468">
      <c r="A207" s="685" t="n"/>
      <c r="B207" s="218" t="n"/>
      <c r="C207" s="219" t="n"/>
      <c r="D207" s="220" t="n"/>
      <c r="E207" s="221" t="inlineStr">
        <is>
          <t>CX</t>
        </is>
      </c>
      <c r="F207" s="686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20">
        <f>IFERROR(ROUNDUP(D207/F207,0),"")</f>
        <v/>
      </c>
      <c r="H207" s="224" t="n"/>
      <c r="I207" s="220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  <c r="J207" s="552" t="n"/>
      <c r="K207" s="552" t="n"/>
      <c r="L207" s="552" t="n"/>
      <c r="M207" s="552" t="n"/>
    </row>
    <row r="208" ht="21" customHeight="1" s="468">
      <c r="A208" s="685" t="n"/>
      <c r="B208" s="218" t="n"/>
      <c r="C208" s="219" t="n"/>
      <c r="D208" s="220" t="n"/>
      <c r="E208" s="221" t="inlineStr">
        <is>
          <t>CX</t>
        </is>
      </c>
      <c r="F208" s="686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20">
        <f>IFERROR(ROUNDUP(D208/F208,0),"")</f>
        <v/>
      </c>
      <c r="H208" s="224" t="n"/>
      <c r="I208" s="220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  <c r="J208" s="552" t="n"/>
      <c r="K208" s="552" t="n"/>
      <c r="L208" s="552" t="n"/>
      <c r="M208" s="552" t="n"/>
    </row>
    <row r="209" ht="14.25" customHeight="1" s="468">
      <c r="A209" s="658" t="n"/>
      <c r="B209" s="640" t="inlineStr">
        <is>
          <t>TOTAL</t>
        </is>
      </c>
      <c r="C209" s="667" t="n"/>
      <c r="D209" s="642">
        <f>SUM(D204:D208)</f>
        <v/>
      </c>
      <c r="E209" s="668" t="n"/>
      <c r="F209" s="644" t="n"/>
      <c r="G209" s="642">
        <f>SUM(G204:G208)</f>
        <v/>
      </c>
      <c r="H209" s="642">
        <f>SUM(H204:H208)</f>
        <v/>
      </c>
      <c r="I209" s="642">
        <f>SUM(I204:I208)</f>
        <v/>
      </c>
      <c r="J209" s="644">
        <f>D209</f>
        <v/>
      </c>
      <c r="K209" s="644">
        <f>G209</f>
        <v/>
      </c>
      <c r="L209" s="644">
        <f>H209</f>
        <v/>
      </c>
      <c r="M209" s="644">
        <f>I209</f>
        <v/>
      </c>
    </row>
    <row r="210" ht="14.25" customHeight="1" s="468">
      <c r="A210" s="638" t="n"/>
      <c r="C210" s="71" t="n"/>
      <c r="D210" s="552" t="n"/>
      <c r="F210" s="552" t="n"/>
      <c r="G210" s="552" t="n"/>
      <c r="H210" s="552" t="n"/>
      <c r="I210" s="552" t="n"/>
      <c r="J210" s="552" t="n"/>
      <c r="K210" s="552" t="n"/>
      <c r="L210" s="552" t="n"/>
      <c r="M210" s="552" t="n"/>
    </row>
    <row r="211" ht="14.25" customHeight="1" s="468">
      <c r="A211" s="646" t="n">
        <v>46387</v>
      </c>
      <c r="B211" s="213" t="inlineStr">
        <is>
          <t>PRODUTO</t>
        </is>
      </c>
      <c r="C211" s="214" t="inlineStr">
        <is>
          <t>EMBALAGEM</t>
        </is>
      </c>
      <c r="D211" s="244" t="inlineStr">
        <is>
          <t>CAIXAS</t>
        </is>
      </c>
      <c r="E211" s="215" t="inlineStr">
        <is>
          <t>UN</t>
        </is>
      </c>
      <c r="F211" s="687" t="inlineStr">
        <is>
          <t>CX/PALLET</t>
        </is>
      </c>
      <c r="G211" s="244" t="inlineStr">
        <is>
          <t>PALLETS (PBR)</t>
        </is>
      </c>
      <c r="H211" s="244" t="inlineStr">
        <is>
          <t>REAL (CX)</t>
        </is>
      </c>
      <c r="I211" s="244" t="inlineStr">
        <is>
          <t>TOTAL LATAS</t>
        </is>
      </c>
      <c r="J211" s="552" t="n"/>
      <c r="K211" s="552" t="n"/>
      <c r="L211" s="552" t="n"/>
      <c r="M211" s="552" t="n"/>
    </row>
    <row r="212" ht="21" customHeight="1" s="468">
      <c r="A212" s="685" t="n"/>
      <c r="B212" s="218" t="n"/>
      <c r="C212" s="219" t="n"/>
      <c r="D212" s="220" t="n"/>
      <c r="E212" s="221" t="inlineStr">
        <is>
          <t>CX</t>
        </is>
      </c>
      <c r="F212" s="686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20">
        <f>IFERROR(ROUNDUP(D212/F212,0),"")</f>
        <v/>
      </c>
      <c r="H212" s="224" t="n"/>
      <c r="I212" s="220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  <c r="J212" s="552" t="n"/>
      <c r="K212" s="552" t="n"/>
      <c r="L212" s="552" t="n"/>
      <c r="M212" s="552" t="n"/>
    </row>
    <row r="213" ht="21" customHeight="1" s="468">
      <c r="A213" s="685" t="n"/>
      <c r="B213" s="218" t="n"/>
      <c r="C213" s="219" t="n"/>
      <c r="D213" s="220" t="n"/>
      <c r="E213" s="221" t="inlineStr">
        <is>
          <t>CX</t>
        </is>
      </c>
      <c r="F213" s="686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20">
        <f>IFERROR(ROUNDUP(D213/F213,0),"")</f>
        <v/>
      </c>
      <c r="H213" s="224" t="n"/>
      <c r="I213" s="220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  <c r="J213" s="552" t="n"/>
      <c r="K213" s="552" t="n"/>
      <c r="L213" s="552" t="n"/>
      <c r="M213" s="552" t="n"/>
    </row>
    <row r="214" ht="21" customHeight="1" s="468">
      <c r="A214" s="685" t="n"/>
      <c r="B214" s="218" t="n"/>
      <c r="C214" s="219" t="n"/>
      <c r="D214" s="220" t="n"/>
      <c r="E214" s="221" t="inlineStr">
        <is>
          <t>CX</t>
        </is>
      </c>
      <c r="F214" s="686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20">
        <f>IFERROR(ROUNDUP(D214/F214,0),"")</f>
        <v/>
      </c>
      <c r="H214" s="224" t="n"/>
      <c r="I214" s="220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  <c r="J214" s="552" t="n"/>
      <c r="K214" s="552" t="n"/>
      <c r="L214" s="552" t="n"/>
      <c r="M214" s="552" t="n"/>
    </row>
    <row r="215" ht="21" customHeight="1" s="468">
      <c r="A215" s="685" t="n"/>
      <c r="B215" s="218" t="n"/>
      <c r="C215" s="219" t="n"/>
      <c r="D215" s="220" t="n"/>
      <c r="E215" s="221" t="inlineStr">
        <is>
          <t>CX</t>
        </is>
      </c>
      <c r="F215" s="686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220">
        <f>IFERROR(ROUNDUP(D215/F215,0),"")</f>
        <v/>
      </c>
      <c r="H215" s="224" t="n"/>
      <c r="I215" s="220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  <c r="J215" s="552" t="n"/>
      <c r="K215" s="552" t="n"/>
      <c r="L215" s="552" t="n"/>
      <c r="M215" s="552" t="n"/>
    </row>
    <row r="216" ht="21" customHeight="1" s="468">
      <c r="A216" s="685" t="n"/>
      <c r="B216" s="218" t="n"/>
      <c r="C216" s="219" t="n"/>
      <c r="D216" s="220" t="n"/>
      <c r="E216" s="221" t="inlineStr">
        <is>
          <t>CX</t>
        </is>
      </c>
      <c r="F216" s="686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220">
        <f>IFERROR(ROUNDUP(D216/F216,0),"")</f>
        <v/>
      </c>
      <c r="H216" s="224" t="n"/>
      <c r="I216" s="220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  <c r="J216" s="552" t="n"/>
      <c r="K216" s="552" t="n"/>
      <c r="L216" s="552" t="n"/>
      <c r="M216" s="552" t="n"/>
    </row>
    <row r="217" ht="14.25" customHeight="1" s="468">
      <c r="A217" s="658" t="n"/>
      <c r="B217" s="640" t="inlineStr">
        <is>
          <t>TOTAL</t>
        </is>
      </c>
      <c r="C217" s="667" t="n"/>
      <c r="D217" s="642">
        <f>SUM(D212:D216)</f>
        <v/>
      </c>
      <c r="E217" s="668" t="n"/>
      <c r="F217" s="644" t="n"/>
      <c r="G217" s="642">
        <f>SUM(G212:G216)</f>
        <v/>
      </c>
      <c r="H217" s="642">
        <f>SUM(H212:H216)</f>
        <v/>
      </c>
      <c r="I217" s="642">
        <f>SUM(I212:I216)</f>
        <v/>
      </c>
      <c r="J217" s="644">
        <f>D217</f>
        <v/>
      </c>
      <c r="K217" s="644">
        <f>G217</f>
        <v/>
      </c>
      <c r="L217" s="644">
        <f>H217</f>
        <v/>
      </c>
      <c r="M217" s="644">
        <f>I217</f>
        <v/>
      </c>
    </row>
  </sheetData>
  <mergeCells count="3">
    <mergeCell ref="A1:I1"/>
    <mergeCell ref="A2:F2"/>
    <mergeCell ref="G2:I2"/>
  </mergeCells>
  <conditionalFormatting sqref="H4:H220">
    <cfRule type="cellIs" priority="1" operator="greaterThan" dxfId="44">
      <formula>0</formula>
    </cfRule>
  </conditionalFormatting>
  <conditionalFormatting sqref="D4:D220">
    <cfRule type="cellIs" priority="2" operator="lessThan" dxfId="45">
      <formula>0</formula>
    </cfRule>
  </conditionalFormatting>
  <dataValidations count="3">
    <dataValidation sqref="C1:C1185" showDropDown="0" showInputMessage="0" showErrorMessage="0" allowBlank="1" errorTitle="Embalagem inválida" error="Escolha uma embalagem compatível com o produto." promptTitle="Selecione a embalagem" prompt="As opções mudam conforme o produto escolhido." type="list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  <dataValidation sqref="B4:B220" showDropDown="0" showInputMessage="0" showErrorMessage="0" allowBlank="1" type="list">
      <formula1>'CONFIG_LISTAS'!$F$2:$F$114</formula1>
    </dataValidation>
    <dataValidation sqref="C4:C220" showDropDown="0" showInputMessage="0" showErrorMessage="0" allowBlank="1" type="list">
      <formula1>'CONFIG_LISTAS'!$A$2:$A$9</formula1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40.xml><?xml version="1.0" encoding="utf-8"?>
<worksheet xmlns="http://schemas.openxmlformats.org/spreadsheetml/2006/main">
  <sheetPr>
    <tabColor rgb="FF0F766E"/>
    <outlinePr summaryBelow="1" summaryRight="1"/>
    <pageSetUpPr/>
  </sheetPr>
  <dimension ref="A1:Y59"/>
  <sheetViews>
    <sheetView showGridLines="0" zoomScale="90" zoomScaleNormal="90" workbookViewId="0">
      <pane ySplit="8" topLeftCell="A9" activePane="bottomLeft" state="frozen"/>
      <selection pane="bottomLeft" activeCell="F19" sqref="F19"/>
    </sheetView>
  </sheetViews>
  <sheetFormatPr baseColWidth="8" defaultColWidth="8.6640625" defaultRowHeight="14.25" customHeight="1"/>
  <cols>
    <col width="14" customWidth="1" style="468" min="1" max="1"/>
    <col width="16" customWidth="1" style="468" min="2" max="2"/>
    <col width="14" customWidth="1" style="468" min="3" max="3"/>
    <col width="14" customWidth="1" style="468" min="4" max="4"/>
    <col width="14" customWidth="1" style="468" min="5" max="5"/>
    <col width="34" customWidth="1" style="468" min="6" max="6"/>
    <col width="4" customWidth="1" style="468" min="7" max="7"/>
    <col width="14" customWidth="1" style="468" min="8" max="8"/>
    <col width="4" customWidth="1" style="468" min="9" max="9"/>
    <col width="13.6640625" customWidth="1" style="468" min="10" max="10"/>
    <col width="16" customWidth="1" style="468" min="11" max="11"/>
    <col width="28" customWidth="1" style="468" min="12" max="12"/>
    <col width="13" customWidth="1" style="468" min="13" max="13"/>
    <col hidden="1" width="13" customWidth="1" style="468" min="24" max="25"/>
  </cols>
  <sheetData>
    <row r="1" ht="19.5" customHeight="1" s="468">
      <c r="A1" s="675" t="inlineStr">
        <is>
          <t>RESULTADOS E GRÁFICO - DEZEMBRO</t>
        </is>
      </c>
      <c r="B1" s="456" t="n"/>
      <c r="C1" s="456" t="n"/>
      <c r="D1" s="456" t="n"/>
      <c r="E1" s="456" t="n"/>
      <c r="F1" s="513" t="n"/>
    </row>
    <row r="2" ht="14.4" customHeight="1" s="468">
      <c r="A2" s="638" t="n"/>
    </row>
    <row r="3" ht="14.25" customHeight="1" s="468">
      <c r="A3" s="638" t="n"/>
      <c r="B3" s="148" t="inlineStr">
        <is>
          <t>Total do mês</t>
        </is>
      </c>
      <c r="D3" s="148" t="inlineStr">
        <is>
          <t>Meta do mês</t>
        </is>
      </c>
      <c r="F3" s="149" t="inlineStr">
        <is>
          <t>Média por dia</t>
        </is>
      </c>
      <c r="H3" s="148" t="inlineStr">
        <is>
          <t>Melhor dia</t>
        </is>
      </c>
      <c r="J3" s="150" t="inlineStr">
        <is>
          <t>Atingimento</t>
        </is>
      </c>
      <c r="K3" s="151" t="inlineStr">
        <is>
          <t>Legenda</t>
        </is>
      </c>
      <c r="L3" s="151" t="inlineStr">
        <is>
          <t>Leitura</t>
        </is>
      </c>
    </row>
    <row r="4" ht="15.75" customHeight="1" s="468">
      <c r="A4" s="638" t="n"/>
      <c r="B4" s="152">
        <f>SUM(C9:C35)</f>
        <v/>
      </c>
      <c r="D4" s="152">
        <f>SUM(D9:D35)</f>
        <v/>
      </c>
      <c r="F4" s="152">
        <f>IFERROR(SUMIFS(C9:C35,A9:A35,"&lt;="&amp;TODAY(),F9:F35,"&lt;&gt;*Feriado*")/COUNTIFS(A9:A35,"&lt;="&amp;TODAY(),F9:F35,"&lt;&gt;*Feriado*"),0)</f>
        <v/>
      </c>
      <c r="H4" s="152">
        <f>IFERROR(MAX(C9:C35),0)</f>
        <v/>
      </c>
      <c r="J4" s="153">
        <f>IFERROR(B4/D4,0)</f>
        <v/>
      </c>
      <c r="K4" s="154" t="inlineStr">
        <is>
          <t>Verde</t>
        </is>
      </c>
      <c r="L4" s="155" t="inlineStr">
        <is>
          <t>Acima da meta</t>
        </is>
      </c>
    </row>
    <row r="5" ht="15" customHeight="1" s="468">
      <c r="A5" s="638" t="n"/>
      <c r="K5" s="156" t="inlineStr">
        <is>
          <t>Vermelho</t>
        </is>
      </c>
      <c r="L5" s="157" t="inlineStr">
        <is>
          <t>Abaixo da meta</t>
        </is>
      </c>
    </row>
    <row r="6" ht="15" customHeight="1" s="468">
      <c r="A6" s="638" t="n"/>
      <c r="K6" s="158" t="inlineStr">
        <is>
          <t>Cinza</t>
        </is>
      </c>
      <c r="L6" s="159" t="inlineStr">
        <is>
          <t>Igual à meta</t>
        </is>
      </c>
    </row>
    <row r="7" ht="14.4" customHeight="1" s="468">
      <c r="A7" s="638" t="n"/>
    </row>
    <row r="8" ht="14.25" customHeight="1" s="468">
      <c r="A8" s="631" t="inlineStr">
        <is>
          <t>Data</t>
        </is>
      </c>
      <c r="B8" s="623" t="inlineStr">
        <is>
          <t>Dias trabalhados</t>
        </is>
      </c>
      <c r="C8" s="623" t="inlineStr">
        <is>
          <t>Realizado</t>
        </is>
      </c>
      <c r="D8" s="623" t="inlineStr">
        <is>
          <t>Meta diária</t>
        </is>
      </c>
      <c r="E8" s="623" t="inlineStr">
        <is>
          <t>Diferença</t>
        </is>
      </c>
      <c r="F8" s="623" t="inlineStr">
        <is>
          <t>Observações</t>
        </is>
      </c>
      <c r="X8" t="inlineStr">
        <is>
          <t>Realizado gráfico</t>
        </is>
      </c>
      <c r="Y8" t="inlineStr">
        <is>
          <t>Meta gráfico</t>
        </is>
      </c>
    </row>
    <row r="9" ht="15" customHeight="1" s="468">
      <c r="A9" s="676" t="n">
        <v>46357</v>
      </c>
      <c r="B9" s="677">
        <f>IF(D9&gt;0,COUNTIF($D$9:D9,"&gt;0"),"")</f>
        <v/>
      </c>
      <c r="C9" s="678">
        <f>'SEMANA DEZEMBRO'!$M$9</f>
        <v/>
      </c>
      <c r="D9" s="678">
        <f>CONFIG!$B$3</f>
        <v/>
      </c>
      <c r="E9" s="678">
        <f>C9-D9</f>
        <v/>
      </c>
      <c r="F9" s="700" t="n"/>
      <c r="X9" s="552">
        <f>IF(COUNTIF($F9,"*Feriado*")&gt;0,NA(),$C9)</f>
        <v/>
      </c>
      <c r="Y9" s="552">
        <f>IF(COUNTIF($F9,"*Feriado*")&gt;0,NA(),$D9)</f>
        <v/>
      </c>
    </row>
    <row r="10" ht="15" customHeight="1" s="468">
      <c r="A10" s="676" t="n">
        <v>46358</v>
      </c>
      <c r="B10" s="677">
        <f>IF(D10&gt;0,COUNTIF($D$9:D10,"&gt;0"),"")</f>
        <v/>
      </c>
      <c r="C10" s="678">
        <f>'SEMANA DEZEMBRO'!$M$17</f>
        <v/>
      </c>
      <c r="D10" s="678">
        <f>CONFIG!$B$3</f>
        <v/>
      </c>
      <c r="E10" s="678">
        <f>C10-D10</f>
        <v/>
      </c>
      <c r="F10" s="700" t="n"/>
      <c r="X10" s="552">
        <f>IF(COUNTIF($F10,"*Feriado*")&gt;0,NA(),$C10)</f>
        <v/>
      </c>
      <c r="Y10" s="552">
        <f>IF(COUNTIF($F10,"*Feriado*")&gt;0,NA(),$D10)</f>
        <v/>
      </c>
    </row>
    <row r="11" ht="15" customHeight="1" s="468">
      <c r="A11" s="676" t="n">
        <v>46359</v>
      </c>
      <c r="B11" s="677">
        <f>IF(D11&gt;0,COUNTIF($D$9:D11,"&gt;0"),"")</f>
        <v/>
      </c>
      <c r="C11" s="678">
        <f>'SEMANA DEZEMBRO'!$M$25</f>
        <v/>
      </c>
      <c r="D11" s="678">
        <f>CONFIG!$B$3</f>
        <v/>
      </c>
      <c r="E11" s="678">
        <f>C11-D11</f>
        <v/>
      </c>
      <c r="F11" s="700" t="n"/>
      <c r="X11" s="552">
        <f>IF(COUNTIF($F11,"*Feriado*")&gt;0,NA(),$C11)</f>
        <v/>
      </c>
      <c r="Y11" s="552">
        <f>IF(COUNTIF($F11,"*Feriado*")&gt;0,NA(),$D11)</f>
        <v/>
      </c>
    </row>
    <row r="12" ht="15" customHeight="1" s="468">
      <c r="A12" s="676" t="n">
        <v>46360</v>
      </c>
      <c r="B12" s="677">
        <f>IF(D12&gt;0,COUNTIF($D$9:D12,"&gt;0"),"")</f>
        <v/>
      </c>
      <c r="C12" s="678">
        <f>'SEMANA DEZEMBRO'!$M$33</f>
        <v/>
      </c>
      <c r="D12" s="678">
        <f>CONFIG!$B$3</f>
        <v/>
      </c>
      <c r="E12" s="678">
        <f>C12-D12</f>
        <v/>
      </c>
      <c r="F12" s="700" t="n"/>
      <c r="X12" s="552">
        <f>IF(COUNTIF($F12,"*Feriado*")&gt;0,NA(),$C12)</f>
        <v/>
      </c>
      <c r="Y12" s="552">
        <f>IF(COUNTIF($F12,"*Feriado*")&gt;0,NA(),$D12)</f>
        <v/>
      </c>
    </row>
    <row r="13" ht="15" customHeight="1" s="468">
      <c r="A13" s="676" t="n">
        <v>46361</v>
      </c>
      <c r="B13" s="677">
        <f>IF(D13&gt;0,COUNTIF($D$9:D13,"&gt;0"),"")</f>
        <v/>
      </c>
      <c r="C13" s="678">
        <f>'SEMANA DEZEMBRO'!$M$41</f>
        <v/>
      </c>
      <c r="D13" s="678">
        <f>CONFIG!$B$3</f>
        <v/>
      </c>
      <c r="E13" s="678">
        <f>C13-D13</f>
        <v/>
      </c>
      <c r="F13" s="679" t="inlineStr">
        <is>
          <t>Sábado - produção normal</t>
        </is>
      </c>
      <c r="X13" s="552">
        <f>IF(COUNTIF($F13,"*Feriado*")&gt;0,NA(),$C13)</f>
        <v/>
      </c>
      <c r="Y13" s="552">
        <f>IF(COUNTIF($F13,"*Feriado*")&gt;0,NA(),$D13)</f>
        <v/>
      </c>
    </row>
    <row r="14" ht="15" customHeight="1" s="468">
      <c r="A14" s="676" t="n">
        <v>46363</v>
      </c>
      <c r="B14" s="677">
        <f>IF(D14&gt;0,COUNTIF($D$9:D14,"&gt;0"),"")</f>
        <v/>
      </c>
      <c r="C14" s="678">
        <f>'SEMANA DEZEMBRO'!$M$49</f>
        <v/>
      </c>
      <c r="D14" s="678">
        <f>CONFIG!$B$3</f>
        <v/>
      </c>
      <c r="E14" s="678">
        <f>C14-D14</f>
        <v/>
      </c>
      <c r="F14" s="700" t="n"/>
      <c r="X14" s="552">
        <f>IF(COUNTIF($F14,"*Feriado*")&gt;0,NA(),$C14)</f>
        <v/>
      </c>
      <c r="Y14" s="552">
        <f>IF(COUNTIF($F14,"*Feriado*")&gt;0,NA(),$D14)</f>
        <v/>
      </c>
    </row>
    <row r="15" ht="15" customHeight="1" s="468">
      <c r="A15" s="676" t="n">
        <v>46364</v>
      </c>
      <c r="B15" s="677">
        <f>IF(D15&gt;0,COUNTIF($D$9:D15,"&gt;0"),"")</f>
        <v/>
      </c>
      <c r="C15" s="678">
        <f>'SEMANA DEZEMBRO'!$M$57</f>
        <v/>
      </c>
      <c r="D15" s="678">
        <f>CONFIG!$B$3</f>
        <v/>
      </c>
      <c r="E15" s="678">
        <f>C15-D15</f>
        <v/>
      </c>
      <c r="F15" s="700" t="n"/>
      <c r="X15" s="552">
        <f>IF(COUNTIF($F15,"*Feriado*")&gt;0,NA(),$C15)</f>
        <v/>
      </c>
      <c r="Y15" s="552">
        <f>IF(COUNTIF($F15,"*Feriado*")&gt;0,NA(),$D15)</f>
        <v/>
      </c>
    </row>
    <row r="16" ht="15" customHeight="1" s="468">
      <c r="A16" s="676" t="n">
        <v>46365</v>
      </c>
      <c r="B16" s="677">
        <f>IF(D16&gt;0,COUNTIF($D$9:D16,"&gt;0"),"")</f>
        <v/>
      </c>
      <c r="C16" s="678">
        <f>'SEMANA DEZEMBRO'!$M$65</f>
        <v/>
      </c>
      <c r="D16" s="678">
        <f>CONFIG!$B$3</f>
        <v/>
      </c>
      <c r="E16" s="678">
        <f>C16-D16</f>
        <v/>
      </c>
      <c r="F16" s="700" t="n"/>
      <c r="X16" s="552">
        <f>IF(COUNTIF($F16,"*Feriado*")&gt;0,NA(),$C16)</f>
        <v/>
      </c>
      <c r="Y16" s="552">
        <f>IF(COUNTIF($F16,"*Feriado*")&gt;0,NA(),$D16)</f>
        <v/>
      </c>
    </row>
    <row r="17" ht="15" customHeight="1" s="468">
      <c r="A17" s="676" t="n">
        <v>46366</v>
      </c>
      <c r="B17" s="677">
        <f>IF(D17&gt;0,COUNTIF($D$9:D17,"&gt;0"),"")</f>
        <v/>
      </c>
      <c r="C17" s="678">
        <f>'SEMANA DEZEMBRO'!$M$73</f>
        <v/>
      </c>
      <c r="D17" s="678">
        <f>CONFIG!$B$3</f>
        <v/>
      </c>
      <c r="E17" s="678">
        <f>C17-D17</f>
        <v/>
      </c>
      <c r="F17" s="700" t="n"/>
      <c r="X17" s="552">
        <f>IF(COUNTIF($F17,"*Feriado*")&gt;0,NA(),$C17)</f>
        <v/>
      </c>
      <c r="Y17" s="552">
        <f>IF(COUNTIF($F17,"*Feriado*")&gt;0,NA(),$D17)</f>
        <v/>
      </c>
    </row>
    <row r="18" ht="15" customHeight="1" s="468">
      <c r="A18" s="676" t="n">
        <v>46367</v>
      </c>
      <c r="B18" s="677">
        <f>IF(D18&gt;0,COUNTIF($D$9:D18,"&gt;0"),"")</f>
        <v/>
      </c>
      <c r="C18" s="678">
        <f>'SEMANA DEZEMBRO'!$M$81</f>
        <v/>
      </c>
      <c r="D18" s="678">
        <f>CONFIG!$B$3</f>
        <v/>
      </c>
      <c r="E18" s="678">
        <f>C18-D18</f>
        <v/>
      </c>
      <c r="F18" s="700" t="n"/>
      <c r="X18" s="552">
        <f>IF(COUNTIF($F18,"*Feriado*")&gt;0,NA(),$C18)</f>
        <v/>
      </c>
      <c r="Y18" s="552">
        <f>IF(COUNTIF($F18,"*Feriado*")&gt;0,NA(),$D18)</f>
        <v/>
      </c>
    </row>
    <row r="19" ht="15" customHeight="1" s="468">
      <c r="A19" s="676" t="n">
        <v>46368</v>
      </c>
      <c r="B19" s="677">
        <f>IF(D19&gt;0,COUNTIF($D$9:D19,"&gt;0"),"")</f>
        <v/>
      </c>
      <c r="C19" s="678">
        <f>'SEMANA DEZEMBRO'!$M$89</f>
        <v/>
      </c>
      <c r="D19" s="678">
        <f>CONFIG!$B$3</f>
        <v/>
      </c>
      <c r="E19" s="678">
        <f>C19-D19</f>
        <v/>
      </c>
      <c r="F19" s="679" t="inlineStr">
        <is>
          <t>Sábado - produção normal</t>
        </is>
      </c>
      <c r="X19" s="552">
        <f>IF(COUNTIF($F19,"*Feriado*")&gt;0,NA(),$C19)</f>
        <v/>
      </c>
      <c r="Y19" s="552">
        <f>IF(COUNTIF($F19,"*Feriado*")&gt;0,NA(),$D19)</f>
        <v/>
      </c>
    </row>
    <row r="20" ht="15" customHeight="1" s="468">
      <c r="A20" s="676" t="n">
        <v>46370</v>
      </c>
      <c r="B20" s="677">
        <f>IF(D20&gt;0,COUNTIF($D$9:D20,"&gt;0"),"")</f>
        <v/>
      </c>
      <c r="C20" s="678">
        <f>'SEMANA DEZEMBRO'!$M$97</f>
        <v/>
      </c>
      <c r="D20" s="678">
        <f>CONFIG!$B$3</f>
        <v/>
      </c>
      <c r="E20" s="678">
        <f>C20-D20</f>
        <v/>
      </c>
      <c r="F20" s="700" t="n"/>
      <c r="X20" s="552">
        <f>IF(COUNTIF($F20,"*Feriado*")&gt;0,NA(),$C20)</f>
        <v/>
      </c>
      <c r="Y20" s="552">
        <f>IF(COUNTIF($F20,"*Feriado*")&gt;0,NA(),$D20)</f>
        <v/>
      </c>
    </row>
    <row r="21" ht="15" customHeight="1" s="468">
      <c r="A21" s="676" t="n">
        <v>46371</v>
      </c>
      <c r="B21" s="677">
        <f>IF(D21&gt;0,COUNTIF($D$9:D21,"&gt;0"),"")</f>
        <v/>
      </c>
      <c r="C21" s="678">
        <f>'SEMANA DEZEMBRO'!$M$105</f>
        <v/>
      </c>
      <c r="D21" s="678">
        <f>CONFIG!$B$3</f>
        <v/>
      </c>
      <c r="E21" s="678">
        <f>C21-D21</f>
        <v/>
      </c>
      <c r="F21" s="700" t="n"/>
      <c r="X21" s="552">
        <f>IF(COUNTIF($F21,"*Feriado*")&gt;0,NA(),$C21)</f>
        <v/>
      </c>
      <c r="Y21" s="552">
        <f>IF(COUNTIF($F21,"*Feriado*")&gt;0,NA(),$D21)</f>
        <v/>
      </c>
    </row>
    <row r="22" ht="15" customHeight="1" s="468">
      <c r="A22" s="676" t="n">
        <v>46372</v>
      </c>
      <c r="B22" s="677">
        <f>IF(D22&gt;0,COUNTIF($D$9:D22,"&gt;0"),"")</f>
        <v/>
      </c>
      <c r="C22" s="678">
        <f>'SEMANA DEZEMBRO'!$M$113</f>
        <v/>
      </c>
      <c r="D22" s="678">
        <f>CONFIG!$B$3</f>
        <v/>
      </c>
      <c r="E22" s="678">
        <f>C22-D22</f>
        <v/>
      </c>
      <c r="F22" s="700" t="n"/>
      <c r="X22" s="552">
        <f>IF(COUNTIF($F22,"*Feriado*")&gt;0,NA(),$C22)</f>
        <v/>
      </c>
      <c r="Y22" s="552">
        <f>IF(COUNTIF($F22,"*Feriado*")&gt;0,NA(),$D22)</f>
        <v/>
      </c>
    </row>
    <row r="23" ht="15" customHeight="1" s="468">
      <c r="A23" s="676" t="n">
        <v>46373</v>
      </c>
      <c r="B23" s="677">
        <f>IF(D23&gt;0,COUNTIF($D$9:D23,"&gt;0"),"")</f>
        <v/>
      </c>
      <c r="C23" s="678">
        <f>'SEMANA DEZEMBRO'!$M$121</f>
        <v/>
      </c>
      <c r="D23" s="678">
        <f>CONFIG!$B$3</f>
        <v/>
      </c>
      <c r="E23" s="678">
        <f>C23-D23</f>
        <v/>
      </c>
      <c r="F23" s="700" t="n"/>
      <c r="X23" s="552">
        <f>IF(COUNTIF($F23,"*Feriado*")&gt;0,NA(),$C23)</f>
        <v/>
      </c>
      <c r="Y23" s="552">
        <f>IF(COUNTIF($F23,"*Feriado*")&gt;0,NA(),$D23)</f>
        <v/>
      </c>
    </row>
    <row r="24" ht="15" customHeight="1" s="468">
      <c r="A24" s="676" t="n">
        <v>46374</v>
      </c>
      <c r="B24" s="677">
        <f>IF(D24&gt;0,COUNTIF($D$9:D24,"&gt;0"),"")</f>
        <v/>
      </c>
      <c r="C24" s="678">
        <f>'SEMANA DEZEMBRO'!$M$129</f>
        <v/>
      </c>
      <c r="D24" s="678">
        <f>CONFIG!$B$3</f>
        <v/>
      </c>
      <c r="E24" s="678">
        <f>C24-D24</f>
        <v/>
      </c>
      <c r="F24" s="700" t="n"/>
      <c r="X24" s="552">
        <f>IF(COUNTIF($F24,"*Feriado*")&gt;0,NA(),$C24)</f>
        <v/>
      </c>
      <c r="Y24" s="552">
        <f>IF(COUNTIF($F24,"*Feriado*")&gt;0,NA(),$D24)</f>
        <v/>
      </c>
    </row>
    <row r="25" ht="15" customHeight="1" s="468">
      <c r="A25" s="676" t="n">
        <v>46375</v>
      </c>
      <c r="B25" s="677">
        <f>IF(D25&gt;0,COUNTIF($D$9:D25,"&gt;0"),"")</f>
        <v/>
      </c>
      <c r="C25" s="678">
        <f>'SEMANA DEZEMBRO'!$M$137</f>
        <v/>
      </c>
      <c r="D25" s="678">
        <f>CONFIG!$B$3</f>
        <v/>
      </c>
      <c r="E25" s="678">
        <f>C25-D25</f>
        <v/>
      </c>
      <c r="F25" s="679" t="inlineStr">
        <is>
          <t>Sábado - produção normal</t>
        </is>
      </c>
      <c r="X25" s="552">
        <f>IF(COUNTIF($F25,"*Feriado*")&gt;0,NA(),$C25)</f>
        <v/>
      </c>
      <c r="Y25" s="552">
        <f>IF(COUNTIF($F25,"*Feriado*")&gt;0,NA(),$D25)</f>
        <v/>
      </c>
    </row>
    <row r="26" ht="15" customHeight="1" s="468">
      <c r="A26" s="676" t="n">
        <v>46377</v>
      </c>
      <c r="B26" s="677">
        <f>IF(D26&gt;0,COUNTIF($D$9:D26,"&gt;0"),"")</f>
        <v/>
      </c>
      <c r="C26" s="678">
        <f>'SEMANA DEZEMBRO'!$M$145</f>
        <v/>
      </c>
      <c r="D26" s="678">
        <f>CONFIG!$B$3</f>
        <v/>
      </c>
      <c r="E26" s="678">
        <f>C26-D26</f>
        <v/>
      </c>
      <c r="F26" s="700" t="n"/>
      <c r="X26" s="552">
        <f>IF(COUNTIF($F26,"*Feriado*")&gt;0,NA(),$C26)</f>
        <v/>
      </c>
      <c r="Y26" s="552">
        <f>IF(COUNTIF($F26,"*Feriado*")&gt;0,NA(),$D26)</f>
        <v/>
      </c>
    </row>
    <row r="27" ht="15" customHeight="1" s="468">
      <c r="A27" s="676" t="n">
        <v>46378</v>
      </c>
      <c r="B27" s="677">
        <f>IF(D27&gt;0,COUNTIF($D$9:D27,"&gt;0"),"")</f>
        <v/>
      </c>
      <c r="C27" s="678">
        <f>'SEMANA DEZEMBRO'!$M$153</f>
        <v/>
      </c>
      <c r="D27" s="678">
        <f>CONFIG!$B$3</f>
        <v/>
      </c>
      <c r="E27" s="678">
        <f>C27-D27</f>
        <v/>
      </c>
      <c r="F27" s="700" t="n"/>
      <c r="X27" s="552">
        <f>IF(COUNTIF($F27,"*Feriado*")&gt;0,NA(),$C27)</f>
        <v/>
      </c>
      <c r="Y27" s="552">
        <f>IF(COUNTIF($F27,"*Feriado*")&gt;0,NA(),$D27)</f>
        <v/>
      </c>
    </row>
    <row r="28" ht="15" customHeight="1" s="468">
      <c r="A28" s="676" t="n">
        <v>46379</v>
      </c>
      <c r="B28" s="677">
        <f>IF(D28&gt;0,COUNTIF($D$9:D28,"&gt;0"),"")</f>
        <v/>
      </c>
      <c r="C28" s="678">
        <f>'SEMANA DEZEMBRO'!$M$161</f>
        <v/>
      </c>
      <c r="D28" s="678">
        <f>CONFIG!$B$3</f>
        <v/>
      </c>
      <c r="E28" s="678">
        <f>C28-D28</f>
        <v/>
      </c>
      <c r="F28" s="700" t="n"/>
      <c r="X28" s="552">
        <f>IF(COUNTIF($F28,"*Feriado*")&gt;0,NA(),$C28)</f>
        <v/>
      </c>
      <c r="Y28" s="552">
        <f>IF(COUNTIF($F28,"*Feriado*")&gt;0,NA(),$D28)</f>
        <v/>
      </c>
    </row>
    <row r="29" ht="15" customHeight="1" s="468">
      <c r="A29" s="676" t="n">
        <v>46380</v>
      </c>
      <c r="B29" s="677">
        <f>IF(D29&gt;0,COUNTIF($D$9:D29,"&gt;0"),"")</f>
        <v/>
      </c>
      <c r="C29" s="678">
        <f>'SEMANA DEZEMBRO'!$M$169</f>
        <v/>
      </c>
      <c r="D29" s="678">
        <f>CONFIG!$B$3</f>
        <v/>
      </c>
      <c r="E29" s="678">
        <f>C29-D29</f>
        <v/>
      </c>
      <c r="F29" s="700" t="n"/>
      <c r="X29" s="552">
        <f>IF(COUNTIF($F29,"*Feriado*")&gt;0,NA(),$C29)</f>
        <v/>
      </c>
      <c r="Y29" s="552">
        <f>IF(COUNTIF($F29,"*Feriado*")&gt;0,NA(),$D29)</f>
        <v/>
      </c>
    </row>
    <row r="30" ht="15" customHeight="1" s="468">
      <c r="A30" s="676" t="n">
        <v>46381</v>
      </c>
      <c r="B30" s="677">
        <f>IF(D30&gt;0,COUNTIF($D$9:D30,"&gt;0"),"")</f>
        <v/>
      </c>
      <c r="C30" s="678">
        <f>'SEMANA DEZEMBRO'!$M$177</f>
        <v/>
      </c>
      <c r="D30" s="678" t="n">
        <v>0</v>
      </c>
      <c r="E30" s="678">
        <f>C30-D30</f>
        <v/>
      </c>
      <c r="F30" s="679" t="inlineStr">
        <is>
          <t>Feriado - Natal</t>
        </is>
      </c>
      <c r="X30" s="552">
        <f>IF(COUNTIF($F30,"*Feriado*")&gt;0,NA(),$C30)</f>
        <v/>
      </c>
      <c r="Y30" s="552">
        <f>IF(COUNTIF($F30,"*Feriado*")&gt;0,NA(),$D30)</f>
        <v/>
      </c>
    </row>
    <row r="31" ht="15" customHeight="1" s="468">
      <c r="A31" s="676" t="n">
        <v>46382</v>
      </c>
      <c r="B31" s="677">
        <f>IF(D31&gt;0,COUNTIF($D$9:D31,"&gt;0"),"")</f>
        <v/>
      </c>
      <c r="C31" s="678">
        <f>'SEMANA DEZEMBRO'!$M$185</f>
        <v/>
      </c>
      <c r="D31" s="678">
        <f>CONFIG!$B$3</f>
        <v/>
      </c>
      <c r="E31" s="678">
        <f>C31-D31</f>
        <v/>
      </c>
      <c r="F31" s="679" t="inlineStr">
        <is>
          <t>Sábado - produção normal</t>
        </is>
      </c>
      <c r="X31" s="552">
        <f>IF(COUNTIF($F31,"*Feriado*")&gt;0,NA(),$C31)</f>
        <v/>
      </c>
      <c r="Y31" s="552">
        <f>IF(COUNTIF($F31,"*Feriado*")&gt;0,NA(),$D31)</f>
        <v/>
      </c>
    </row>
    <row r="32" ht="14.25" customHeight="1" s="468">
      <c r="A32" s="676" t="n">
        <v>46384</v>
      </c>
      <c r="B32" s="677">
        <f>IF(D32&gt;0,COUNTIF($D$9:D32,"&gt;0"),"")</f>
        <v/>
      </c>
      <c r="C32" s="678">
        <f>'SEMANA DEZEMBRO'!$M$193</f>
        <v/>
      </c>
      <c r="D32" s="678">
        <f>CONFIG!$B$3</f>
        <v/>
      </c>
      <c r="E32" s="678">
        <f>C32-D32</f>
        <v/>
      </c>
      <c r="F32" s="700" t="n"/>
    </row>
    <row r="33" ht="14.25" customHeight="1" s="468">
      <c r="A33" s="676" t="n">
        <v>46385</v>
      </c>
      <c r="B33" s="677">
        <f>IF(D33&gt;0,COUNTIF($D$9:D33,"&gt;0"),"")</f>
        <v/>
      </c>
      <c r="C33" s="678">
        <f>'SEMANA DEZEMBRO'!$M$201</f>
        <v/>
      </c>
      <c r="D33" s="678">
        <f>CONFIG!$B$3</f>
        <v/>
      </c>
      <c r="E33" s="678">
        <f>C33-D33</f>
        <v/>
      </c>
      <c r="F33" s="700" t="n"/>
    </row>
    <row r="34" ht="14.25" customHeight="1" s="468">
      <c r="A34" s="676" t="n">
        <v>46386</v>
      </c>
      <c r="B34" s="677">
        <f>IF(D34&gt;0,COUNTIF($D$9:D34,"&gt;0"),"")</f>
        <v/>
      </c>
      <c r="C34" s="678">
        <f>'SEMANA DEZEMBRO'!$M$209</f>
        <v/>
      </c>
      <c r="D34" s="678">
        <f>CONFIG!$B$3</f>
        <v/>
      </c>
      <c r="E34" s="678">
        <f>C34-D34</f>
        <v/>
      </c>
      <c r="F34" s="700" t="n"/>
    </row>
    <row r="35" ht="14.25" customHeight="1" s="468">
      <c r="A35" s="676" t="n">
        <v>46387</v>
      </c>
      <c r="B35" s="677">
        <f>IF(D35&gt;0,COUNTIF($D$9:D35,"&gt;0"),"")</f>
        <v/>
      </c>
      <c r="C35" s="678">
        <f>'SEMANA DEZEMBRO'!$M$217</f>
        <v/>
      </c>
      <c r="D35" s="678">
        <f>CONFIG!$B$3</f>
        <v/>
      </c>
      <c r="E35" s="678">
        <f>C35-D35</f>
        <v/>
      </c>
      <c r="F35" s="700" t="n"/>
    </row>
    <row r="36" ht="14.25" customHeight="1" s="468">
      <c r="A36" s="692" t="n"/>
      <c r="B36" s="693" t="n"/>
      <c r="C36" s="693" t="n"/>
      <c r="D36" s="693" t="n"/>
      <c r="E36" s="693" t="n"/>
      <c r="F36" s="683" t="n"/>
    </row>
    <row r="37" ht="14.25" customHeight="1" s="468">
      <c r="A37" s="692" t="n"/>
      <c r="B37" s="693" t="n"/>
      <c r="C37" s="693" t="n"/>
      <c r="D37" s="693" t="n"/>
      <c r="E37" s="693" t="n"/>
      <c r="F37" s="683" t="n"/>
    </row>
    <row r="38" ht="14.25" customHeight="1" s="468">
      <c r="A38" s="692" t="n"/>
      <c r="B38" s="693" t="n"/>
      <c r="C38" s="693" t="n"/>
      <c r="D38" s="693" t="n"/>
      <c r="E38" s="693" t="n"/>
      <c r="F38" s="683" t="n"/>
    </row>
    <row r="39" ht="14.25" customHeight="1" s="468">
      <c r="A39" s="692" t="n"/>
      <c r="B39" s="693" t="n"/>
      <c r="C39" s="693" t="n"/>
      <c r="D39" s="693" t="n"/>
      <c r="E39" s="693" t="n"/>
      <c r="F39" s="683" t="n"/>
    </row>
    <row r="40" ht="14.25" customHeight="1" s="468">
      <c r="A40" s="692" t="n"/>
      <c r="B40" s="693" t="n"/>
      <c r="C40" s="693" t="n"/>
      <c r="D40" s="693" t="n"/>
      <c r="E40" s="693" t="n"/>
      <c r="F40" s="683" t="n"/>
    </row>
    <row r="41" ht="14.25" customHeight="1" s="468">
      <c r="A41" s="692" t="n"/>
      <c r="B41" s="693" t="n"/>
      <c r="C41" s="693" t="n"/>
      <c r="D41" s="693" t="n"/>
      <c r="E41" s="693" t="n"/>
      <c r="F41" s="683" t="n"/>
    </row>
    <row r="42" ht="14.25" customHeight="1" s="468">
      <c r="A42" s="692" t="n"/>
      <c r="B42" s="693" t="n"/>
      <c r="C42" s="693" t="n"/>
      <c r="D42" s="693" t="n"/>
      <c r="E42" s="693" t="n"/>
      <c r="F42" s="683" t="n"/>
    </row>
    <row r="43" ht="14.25" customHeight="1" s="468">
      <c r="A43" s="692" t="n"/>
      <c r="B43" s="693" t="n"/>
      <c r="C43" s="693" t="n"/>
      <c r="D43" s="693" t="n"/>
      <c r="E43" s="693" t="n"/>
      <c r="F43" s="683" t="n"/>
    </row>
    <row r="44" ht="14.25" customHeight="1" s="468">
      <c r="A44" s="692" t="n"/>
      <c r="B44" s="693" t="n"/>
      <c r="C44" s="693" t="n"/>
      <c r="D44" s="693" t="n"/>
      <c r="E44" s="693" t="n"/>
      <c r="F44" s="683" t="n"/>
    </row>
    <row r="45" ht="14.25" customHeight="1" s="468">
      <c r="A45" s="692" t="n"/>
      <c r="B45" s="693" t="n"/>
      <c r="C45" s="693" t="n"/>
      <c r="D45" s="693" t="n"/>
      <c r="E45" s="693" t="n"/>
      <c r="F45" s="683" t="n"/>
    </row>
    <row r="46" ht="14.25" customHeight="1" s="468">
      <c r="A46" s="692" t="n"/>
      <c r="B46" s="693" t="n"/>
      <c r="C46" s="693" t="n"/>
      <c r="D46" s="693" t="n"/>
      <c r="E46" s="693" t="n"/>
      <c r="F46" s="683" t="n"/>
    </row>
    <row r="47" ht="14.25" customHeight="1" s="468">
      <c r="A47" s="692" t="n"/>
      <c r="B47" s="693" t="n"/>
      <c r="C47" s="693" t="n"/>
      <c r="D47" s="693" t="n"/>
      <c r="E47" s="693" t="n"/>
      <c r="F47" s="683" t="n"/>
    </row>
    <row r="48" ht="14.25" customHeight="1" s="468">
      <c r="A48" s="692" t="n"/>
      <c r="B48" s="693" t="n"/>
      <c r="C48" s="693" t="n"/>
      <c r="D48" s="693" t="n"/>
      <c r="E48" s="693" t="n"/>
      <c r="F48" s="683" t="n"/>
    </row>
    <row r="49" ht="14.25" customHeight="1" s="468">
      <c r="A49" s="692" t="n"/>
      <c r="B49" s="693" t="n"/>
      <c r="C49" s="693" t="n"/>
      <c r="D49" s="693" t="n"/>
      <c r="E49" s="693" t="n"/>
      <c r="F49" s="683" t="n"/>
    </row>
    <row r="50" ht="14.25" customHeight="1" s="468">
      <c r="A50" s="692" t="n"/>
      <c r="B50" s="693" t="n"/>
      <c r="C50" s="693" t="n"/>
      <c r="D50" s="693" t="n"/>
      <c r="E50" s="693" t="n"/>
      <c r="F50" s="683" t="n"/>
    </row>
    <row r="51" ht="14.25" customHeight="1" s="468">
      <c r="A51" s="692" t="n"/>
      <c r="B51" s="693" t="n"/>
      <c r="C51" s="693" t="n"/>
      <c r="D51" s="693" t="n"/>
      <c r="E51" s="693" t="n"/>
      <c r="F51" s="683" t="n"/>
    </row>
    <row r="52" ht="14.25" customHeight="1" s="468">
      <c r="A52" s="692" t="n"/>
      <c r="B52" s="693" t="n"/>
      <c r="C52" s="693" t="n"/>
      <c r="D52" s="693" t="n"/>
      <c r="E52" s="693" t="n"/>
      <c r="F52" s="683" t="n"/>
    </row>
    <row r="53" ht="14.25" customHeight="1" s="468">
      <c r="A53" s="692" t="n"/>
      <c r="B53" s="693" t="n"/>
      <c r="C53" s="693" t="n"/>
      <c r="D53" s="693" t="n"/>
      <c r="E53" s="693" t="n"/>
      <c r="F53" s="683" t="n"/>
    </row>
    <row r="54" ht="14.25" customHeight="1" s="468">
      <c r="A54" s="692" t="n"/>
      <c r="B54" s="693" t="n"/>
      <c r="C54" s="693" t="n"/>
      <c r="D54" s="693" t="n"/>
      <c r="E54" s="693" t="n"/>
      <c r="F54" s="683" t="n"/>
    </row>
    <row r="55" ht="14.25" customHeight="1" s="468">
      <c r="A55" s="692" t="n"/>
      <c r="B55" s="693" t="n"/>
      <c r="C55" s="693" t="n"/>
      <c r="D55" s="693" t="n"/>
      <c r="E55" s="693" t="n"/>
      <c r="F55" s="683" t="n"/>
    </row>
    <row r="56" ht="14.25" customHeight="1" s="468">
      <c r="A56" s="692" t="n"/>
      <c r="B56" s="693" t="n"/>
      <c r="C56" s="693" t="n"/>
      <c r="D56" s="693" t="n"/>
      <c r="E56" s="693" t="n"/>
      <c r="F56" s="683" t="n"/>
    </row>
    <row r="57" ht="14.25" customHeight="1" s="468">
      <c r="A57" s="692" t="n"/>
      <c r="B57" s="693" t="n"/>
      <c r="C57" s="693" t="n"/>
      <c r="D57" s="693" t="n"/>
      <c r="E57" s="693" t="n"/>
      <c r="F57" s="683" t="n"/>
    </row>
    <row r="58" ht="14.25" customHeight="1" s="468">
      <c r="A58" s="692" t="n"/>
      <c r="B58" s="693" t="n"/>
      <c r="C58" s="693" t="n"/>
      <c r="D58" s="693" t="n"/>
      <c r="E58" s="693" t="n"/>
      <c r="F58" s="683" t="n"/>
    </row>
    <row r="59" ht="14.25" customHeight="1" s="468">
      <c r="A59" s="692" t="n"/>
      <c r="B59" s="693" t="n"/>
      <c r="C59" s="693" t="n"/>
      <c r="D59" s="693" t="n"/>
      <c r="E59" s="693" t="n"/>
      <c r="F59" s="683" t="n"/>
    </row>
  </sheetData>
  <mergeCells count="1">
    <mergeCell ref="A1:F1"/>
  </mergeCells>
  <conditionalFormatting sqref="E9:E30">
    <cfRule type="cellIs" priority="2" operator="greaterThan" dxfId="10">
      <formula>0</formula>
    </cfRule>
    <cfRule type="cellIs" priority="3" operator="lessThan" dxfId="9">
      <formula>0</formula>
    </cfRule>
    <cfRule type="cellIs" priority="4" operator="equal" dxfId="8">
      <formula>0</formula>
    </cfRule>
  </conditionalFormatting>
  <conditionalFormatting sqref="E9:E40">
    <cfRule type="cellIs" priority="4" operator="greaterThan" dxfId="46">
      <formula>0</formula>
    </cfRule>
    <cfRule type="cellIs" priority="5" operator="lessThan" dxfId="45">
      <formula>0</formula>
    </cfRule>
    <cfRule type="cellIs" priority="6" operator="equal" dxfId="47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48"/>
  <sheetViews>
    <sheetView zoomScaleNormal="100" workbookViewId="0">
      <selection activeCell="A1" sqref="A1"/>
    </sheetView>
  </sheetViews>
  <sheetFormatPr baseColWidth="8" defaultColWidth="8.6640625" defaultRowHeight="14.25" customHeight="1"/>
  <cols>
    <col width="22.88671875" customWidth="1" style="468" min="1" max="1"/>
    <col width="12.5546875" customWidth="1" style="468" min="2" max="2"/>
    <col width="11" customWidth="1" style="468" min="3" max="3"/>
    <col width="13.44140625" customWidth="1" style="468" min="4" max="4"/>
    <col width="17" customWidth="1" style="468" min="5" max="5"/>
    <col width="14.5546875" customWidth="1" style="468" min="6" max="6"/>
    <col width="15.5546875" customWidth="1" style="468" min="7" max="7"/>
    <col width="15.88671875" customWidth="1" style="468" min="8" max="8"/>
    <col width="26.5546875" customWidth="1" style="468" min="9" max="9"/>
    <col width="12.109375" customWidth="1" style="468" min="11" max="11"/>
    <col width="12.33203125" customWidth="1" style="468" min="12" max="12"/>
    <col width="19" customWidth="1" style="468" min="13" max="13"/>
    <col width="14.33203125" customWidth="1" style="468" min="14" max="14"/>
    <col width="17.109375" customWidth="1" style="468" min="15" max="15"/>
    <col width="16.44140625" customWidth="1" style="468" min="16" max="16"/>
    <col width="16.5546875" customWidth="1" style="468" min="17" max="17"/>
    <col width="13.33203125" customWidth="1" style="468" min="18" max="18"/>
    <col width="22" customWidth="1" style="468" min="19" max="19"/>
    <col width="26" customWidth="1" style="468" min="20" max="20"/>
  </cols>
  <sheetData>
    <row r="1" ht="14.25" customHeight="1" s="468">
      <c r="A1" s="283" t="inlineStr">
        <is>
          <t>PRODUTO</t>
        </is>
      </c>
      <c r="B1" s="284" t="inlineStr">
        <is>
          <t>NCM</t>
        </is>
      </c>
      <c r="C1" s="284" t="inlineStr">
        <is>
          <t>TAMANHO</t>
        </is>
      </c>
      <c r="D1" s="284" t="inlineStr">
        <is>
          <t>UNIDS/CX</t>
        </is>
      </c>
      <c r="E1" s="284" t="inlineStr">
        <is>
          <t>CX/PALLET</t>
        </is>
      </c>
      <c r="F1" s="284" t="inlineStr">
        <is>
          <t>PREÇO R$</t>
        </is>
      </c>
      <c r="G1" s="284" t="inlineStr">
        <is>
          <t>TOTAL</t>
        </is>
      </c>
    </row>
    <row r="2" ht="14.25" customHeight="1" s="468">
      <c r="A2" s="285" t="n"/>
      <c r="B2" s="286" t="n"/>
      <c r="C2" s="286" t="n"/>
      <c r="D2" s="286" t="n"/>
      <c r="E2" s="286" t="n"/>
      <c r="F2" s="286" t="n"/>
      <c r="G2" s="287" t="n"/>
    </row>
    <row r="3" ht="14.25" customHeight="1" s="468">
      <c r="A3" s="285" t="inlineStr">
        <is>
          <t>CONGELANTE</t>
        </is>
      </c>
      <c r="B3" s="288" t="n"/>
      <c r="C3" s="288" t="inlineStr">
        <is>
          <t>400 ml</t>
        </is>
      </c>
      <c r="D3" s="288" t="n">
        <v>12</v>
      </c>
      <c r="E3" s="288" t="n">
        <v>125</v>
      </c>
      <c r="F3" s="289" t="n"/>
      <c r="G3" s="290" t="n">
        <v>21</v>
      </c>
      <c r="I3" s="561" t="inlineStr">
        <is>
          <t>PRODUÇÃO</t>
        </is>
      </c>
      <c r="J3" s="291" t="inlineStr">
        <is>
          <t>N°</t>
        </is>
      </c>
    </row>
    <row r="4" ht="18" customHeight="1" s="468">
      <c r="A4" s="292" t="n"/>
      <c r="B4" s="293" t="n"/>
      <c r="C4" s="293" t="n"/>
      <c r="D4" s="293" t="n"/>
      <c r="E4" s="293" t="n"/>
      <c r="F4" s="294" t="n"/>
      <c r="G4" s="295" t="n"/>
      <c r="I4" s="450" t="inlineStr">
        <is>
          <t>DESMOLDANTE</t>
        </is>
      </c>
      <c r="J4" s="296" t="n">
        <v>1</v>
      </c>
    </row>
    <row r="5" ht="14.25" customHeight="1" s="468">
      <c r="A5" s="285" t="n"/>
      <c r="B5" s="297" t="n"/>
      <c r="C5" s="297" t="n"/>
      <c r="D5" s="297" t="n"/>
      <c r="E5" s="297" t="n"/>
      <c r="F5" s="297" t="n"/>
      <c r="G5" s="287" t="n"/>
      <c r="I5" s="450" t="inlineStr">
        <is>
          <t>ESPUMA</t>
        </is>
      </c>
      <c r="J5" s="296" t="n">
        <v>2</v>
      </c>
    </row>
    <row r="6" ht="14.25" customHeight="1" s="468">
      <c r="A6" s="285" t="inlineStr">
        <is>
          <t>UNTA FORMA</t>
        </is>
      </c>
      <c r="B6" s="288" t="n">
        <v>15179090</v>
      </c>
      <c r="C6" s="288" t="inlineStr">
        <is>
          <t>400ML</t>
        </is>
      </c>
      <c r="D6" s="288" t="n">
        <v>12</v>
      </c>
      <c r="E6" s="288" t="n">
        <v>250</v>
      </c>
      <c r="F6" s="290" t="n">
        <v>16.1</v>
      </c>
      <c r="G6" s="290">
        <f>F6*E6*12</f>
        <v/>
      </c>
      <c r="I6" s="450" t="inlineStr">
        <is>
          <t>CORANTE</t>
        </is>
      </c>
      <c r="J6" s="296" t="n">
        <v>3</v>
      </c>
    </row>
    <row r="7" ht="18" customHeight="1" s="468">
      <c r="A7" s="292" t="n"/>
      <c r="B7" s="293" t="n"/>
      <c r="C7" s="293" t="n"/>
      <c r="D7" s="293" t="n"/>
      <c r="E7" s="293" t="n"/>
      <c r="F7" s="294" t="n"/>
      <c r="G7" s="295" t="n"/>
      <c r="I7" s="450" t="inlineStr">
        <is>
          <t>COCO</t>
        </is>
      </c>
      <c r="J7" s="296" t="n">
        <v>4</v>
      </c>
    </row>
    <row r="8" ht="18" customHeight="1" s="468">
      <c r="A8" s="285" t="n"/>
      <c r="B8" s="298" t="n"/>
      <c r="C8" s="298" t="n"/>
      <c r="D8" s="298" t="n"/>
      <c r="E8" s="298" t="n"/>
      <c r="F8" s="288" t="n"/>
      <c r="G8" s="287" t="n"/>
      <c r="I8" s="450" t="inlineStr">
        <is>
          <t>MANTEIGA GHEE</t>
        </is>
      </c>
      <c r="J8" s="296" t="n">
        <v>5</v>
      </c>
    </row>
    <row r="9" ht="14.25" customHeight="1" s="468">
      <c r="A9" s="299" t="inlineStr">
        <is>
          <t>SLEEVE FLEX FEST</t>
        </is>
      </c>
      <c r="B9" s="288" t="n"/>
      <c r="C9" s="288" t="n"/>
      <c r="D9" s="288" t="n"/>
      <c r="E9" s="288" t="n">
        <v>25000</v>
      </c>
      <c r="F9" s="300" t="n">
        <v>0.37</v>
      </c>
      <c r="G9" s="290">
        <f>F9*E9</f>
        <v/>
      </c>
      <c r="I9" s="450" t="inlineStr">
        <is>
          <t>ANTIMOFO</t>
        </is>
      </c>
      <c r="J9" s="296" t="n">
        <v>6</v>
      </c>
    </row>
    <row r="10" ht="18" customHeight="1" s="468">
      <c r="A10" s="292" t="n"/>
      <c r="B10" s="293" t="n"/>
      <c r="C10" s="293" t="n"/>
      <c r="D10" s="293" t="n"/>
      <c r="E10" s="293" t="n"/>
      <c r="F10" s="294" t="n"/>
      <c r="G10" s="295" t="inlineStr">
        <is>
          <t>x3 PARCELAS</t>
        </is>
      </c>
      <c r="I10" s="450" t="inlineStr">
        <is>
          <t>DOURADOR</t>
        </is>
      </c>
      <c r="J10" s="296" t="n">
        <v>7</v>
      </c>
    </row>
    <row r="11" ht="14.25" customHeight="1" s="468">
      <c r="A11" s="292" t="n"/>
      <c r="B11" s="301" t="n"/>
      <c r="C11" s="301" t="n"/>
      <c r="D11" s="301" t="n"/>
      <c r="E11" s="301" t="n"/>
      <c r="F11" s="295" t="n"/>
      <c r="G11" s="295" t="n"/>
      <c r="I11" s="450" t="inlineStr">
        <is>
          <t>CHANTILLY</t>
        </is>
      </c>
      <c r="J11" s="296" t="n">
        <v>8</v>
      </c>
    </row>
    <row r="12" ht="14.25" customHeight="1" s="468">
      <c r="I12" s="450" t="inlineStr">
        <is>
          <t>CHANTILLY DE COCO</t>
        </is>
      </c>
      <c r="J12" s="296" t="n">
        <v>9</v>
      </c>
    </row>
    <row r="13" ht="14.25" customHeight="1" s="468">
      <c r="I13" s="450" t="inlineStr">
        <is>
          <t>BULLET</t>
        </is>
      </c>
      <c r="J13" s="296" t="n">
        <v>10</v>
      </c>
    </row>
    <row r="14" ht="14.25" customHeight="1" s="468">
      <c r="I14" s="450" t="inlineStr">
        <is>
          <t>ÓLEOS FRIOS</t>
        </is>
      </c>
      <c r="J14" s="296" t="n">
        <v>11</v>
      </c>
    </row>
    <row r="15" ht="14.25" customHeight="1" s="468">
      <c r="A15" s="302" t="inlineStr">
        <is>
          <t>PEDIDO ESPUMA</t>
        </is>
      </c>
      <c r="B15" s="124" t="inlineStr">
        <is>
          <t>GIN SABORES</t>
        </is>
      </c>
      <c r="C15" s="124" t="inlineStr">
        <is>
          <t>VERDE MAR</t>
        </is>
      </c>
      <c r="D15" s="124" t="inlineStr">
        <is>
          <t>DIOTTONI</t>
        </is>
      </c>
      <c r="E15" s="124" t="inlineStr">
        <is>
          <t>BACCO</t>
        </is>
      </c>
      <c r="F15" s="124" t="inlineStr">
        <is>
          <t>INLOCO</t>
        </is>
      </c>
      <c r="G15" s="124" t="inlineStr">
        <is>
          <t>TOTAL</t>
        </is>
      </c>
      <c r="H15" s="124" t="inlineStr">
        <is>
          <t>KG</t>
        </is>
      </c>
    </row>
    <row r="16" ht="14.25" customHeight="1" s="468">
      <c r="A16" t="inlineStr">
        <is>
          <t>GENGIBRE</t>
        </is>
      </c>
      <c r="B16" t="n">
        <v>500</v>
      </c>
      <c r="C16" t="n">
        <v>100</v>
      </c>
      <c r="D16" t="n">
        <v>100</v>
      </c>
      <c r="E16" t="n">
        <v>990</v>
      </c>
      <c r="F16" t="n">
        <v>330</v>
      </c>
      <c r="G16">
        <f>SUM(B16:F16)</f>
        <v/>
      </c>
      <c r="H16">
        <f>G16*6*0.195</f>
        <v/>
      </c>
    </row>
    <row r="17" ht="14.25" customHeight="1" s="468">
      <c r="A17" t="inlineStr">
        <is>
          <t>FRUTAS VERM.</t>
        </is>
      </c>
      <c r="B17" t="n">
        <v>300</v>
      </c>
      <c r="C17" t="n">
        <v>100</v>
      </c>
      <c r="D17" t="n">
        <v>100</v>
      </c>
      <c r="G17">
        <f>SUM(B17:F17)</f>
        <v/>
      </c>
      <c r="H17">
        <f>G17*6*0.195</f>
        <v/>
      </c>
    </row>
    <row r="18" ht="14.25" customHeight="1" s="468">
      <c r="A18" t="inlineStr">
        <is>
          <t>TANGERINA</t>
        </is>
      </c>
      <c r="B18" t="n">
        <v>200</v>
      </c>
      <c r="C18" t="n">
        <v>100</v>
      </c>
      <c r="D18" t="n">
        <v>100</v>
      </c>
      <c r="G18">
        <f>SUM(B18:F18)</f>
        <v/>
      </c>
      <c r="H18">
        <f>G18*6*0.195</f>
        <v/>
      </c>
    </row>
    <row r="19" ht="14.25" customHeight="1" s="468">
      <c r="A19" t="inlineStr">
        <is>
          <t>LIMÃO</t>
        </is>
      </c>
      <c r="B19" t="n">
        <v>300</v>
      </c>
      <c r="C19" t="n">
        <v>100</v>
      </c>
      <c r="D19" t="n">
        <v>100</v>
      </c>
      <c r="G19">
        <f>SUM(B19:F19)</f>
        <v/>
      </c>
      <c r="H19">
        <f>G19*6*0.195</f>
        <v/>
      </c>
    </row>
    <row r="20" ht="14.25" customHeight="1" s="468">
      <c r="A20" t="inlineStr">
        <is>
          <t>PITAYA</t>
        </is>
      </c>
      <c r="B20" t="n">
        <v>250</v>
      </c>
      <c r="G20">
        <f>SUM(B20:F20)</f>
        <v/>
      </c>
      <c r="H20">
        <f>G20*6*0.195</f>
        <v/>
      </c>
    </row>
    <row r="21" ht="14.25" customHeight="1" s="468">
      <c r="A21" t="inlineStr">
        <is>
          <t>MAÇA VERDE</t>
        </is>
      </c>
      <c r="B21" t="n">
        <v>300</v>
      </c>
      <c r="G21">
        <f>SUM(B21:F21)</f>
        <v/>
      </c>
      <c r="H21">
        <f>G21*6*0.195</f>
        <v/>
      </c>
    </row>
    <row r="22" ht="14.25" customHeight="1" s="468">
      <c r="A22" t="inlineStr">
        <is>
          <t>MELANCIA</t>
        </is>
      </c>
      <c r="B22" t="n">
        <v>250</v>
      </c>
      <c r="G22">
        <f>SUM(B22:F22)</f>
        <v/>
      </c>
      <c r="H22">
        <f>G22*6*0.195</f>
        <v/>
      </c>
    </row>
    <row r="23" ht="14.25" customHeight="1" s="468">
      <c r="A23" t="inlineStr">
        <is>
          <t>CEREJA</t>
        </is>
      </c>
      <c r="B23" t="n">
        <v>250</v>
      </c>
      <c r="G23">
        <f>SUM(B23:F23)</f>
        <v/>
      </c>
      <c r="H23">
        <f>G23*6*0.195</f>
        <v/>
      </c>
    </row>
    <row r="24" ht="14.25" customHeight="1" s="468">
      <c r="A24" t="inlineStr">
        <is>
          <t>MORANGO(LOVE)</t>
        </is>
      </c>
      <c r="G24">
        <f>SUM(B24:F24)</f>
        <v/>
      </c>
      <c r="H24">
        <f>G24*6*0.195</f>
        <v/>
      </c>
    </row>
    <row r="25" ht="14.25" customHeight="1" s="468">
      <c r="A25" t="inlineStr">
        <is>
          <t>LIMÃO SICILIANO</t>
        </is>
      </c>
      <c r="F25" t="n">
        <v>330</v>
      </c>
      <c r="G25">
        <f>SUM(B25:F25)</f>
        <v/>
      </c>
      <c r="H25">
        <f>G25*6*0.195</f>
        <v/>
      </c>
    </row>
    <row r="26" ht="14.25" customHeight="1" s="468">
      <c r="G26">
        <f>SUM(G16:G25)</f>
        <v/>
      </c>
      <c r="H26">
        <f>G26*6*0.195</f>
        <v/>
      </c>
    </row>
    <row r="27" ht="14.4" customHeight="1" s="468"/>
    <row r="28" ht="14.4" customHeight="1" s="468"/>
    <row r="29" ht="14.25" customHeight="1" s="468">
      <c r="A29" s="560" t="n"/>
    </row>
    <row r="30" ht="78.75" customHeight="1" s="468">
      <c r="A30" s="465" t="n"/>
      <c r="M30" s="560" t="n"/>
    </row>
    <row r="31" ht="30" customHeight="1" s="468">
      <c r="A31" s="303" t="inlineStr">
        <is>
          <t>PRODUTO</t>
        </is>
      </c>
      <c r="B31" s="304" t="inlineStr">
        <is>
          <t>NCM</t>
        </is>
      </c>
      <c r="C31" s="304" t="inlineStr">
        <is>
          <t>TAMANHO</t>
        </is>
      </c>
      <c r="D31" s="304" t="inlineStr">
        <is>
          <t>UNIDS/CX</t>
        </is>
      </c>
      <c r="E31" s="304" t="inlineStr">
        <is>
          <t>QUANT. MIN. CXS</t>
        </is>
      </c>
      <c r="F31" s="305" t="inlineStr">
        <is>
          <t xml:space="preserve">PREÇO R$ LITRO </t>
        </is>
      </c>
      <c r="G31" s="304" t="inlineStr">
        <is>
          <t>TOTAL</t>
        </is>
      </c>
      <c r="H31" s="304" t="n"/>
      <c r="M31" s="465" t="n"/>
    </row>
    <row r="32" ht="30" customHeight="1" s="468">
      <c r="A32" s="285" t="n"/>
      <c r="B32" s="286" t="n"/>
      <c r="C32" s="286" t="n"/>
      <c r="D32" s="286" t="n"/>
      <c r="E32" s="286" t="n"/>
      <c r="F32" s="286" t="n"/>
      <c r="G32" s="287" t="n"/>
      <c r="H32" s="299" t="n"/>
      <c r="I32" s="558" t="inlineStr">
        <is>
          <t>PRIMEIRA COMPRA À VISTA</t>
        </is>
      </c>
      <c r="M32" s="303" t="inlineStr">
        <is>
          <t>PRODUTO</t>
        </is>
      </c>
      <c r="N32" s="304" t="inlineStr">
        <is>
          <t>NCM</t>
        </is>
      </c>
      <c r="O32" s="304" t="inlineStr">
        <is>
          <t>TAMANHO</t>
        </is>
      </c>
      <c r="P32" s="304" t="inlineStr">
        <is>
          <t>UNIDS/CX</t>
        </is>
      </c>
      <c r="Q32" s="304" t="inlineStr">
        <is>
          <t>QUANT. MIN. CXS</t>
        </is>
      </c>
      <c r="R32" s="305" t="inlineStr">
        <is>
          <t xml:space="preserve">PREÇO R$ LITRO </t>
        </is>
      </c>
      <c r="S32" s="304" t="inlineStr">
        <is>
          <t>TOTAL</t>
        </is>
      </c>
    </row>
    <row r="33" ht="15" customHeight="1" s="468">
      <c r="A33" s="285" t="inlineStr">
        <is>
          <t>ESPUMA (Por Sabor)</t>
        </is>
      </c>
      <c r="B33" s="288" t="n"/>
      <c r="C33" s="288" t="inlineStr">
        <is>
          <t>200ML</t>
        </is>
      </c>
      <c r="D33" s="288" t="n">
        <v>6</v>
      </c>
      <c r="E33" s="288" t="n">
        <v>660</v>
      </c>
      <c r="F33" s="289" t="n">
        <v>10.12</v>
      </c>
      <c r="G33" s="290">
        <f>F33*E33*D33</f>
        <v/>
      </c>
      <c r="H33" s="306" t="n"/>
      <c r="I33" s="530" t="n"/>
      <c r="M33" s="285" t="n"/>
      <c r="N33" s="286" t="n"/>
      <c r="O33" s="286" t="n"/>
      <c r="P33" s="286" t="n"/>
      <c r="Q33" s="286" t="n"/>
      <c r="R33" s="286" t="n"/>
      <c r="S33" s="287" t="n"/>
      <c r="T33" s="563" t="inlineStr">
        <is>
          <t>PRIMEIRA COMPRA À VISTA, DEMAIS 28DD.                     FRETE FOB</t>
        </is>
      </c>
    </row>
    <row r="34" ht="18" customHeight="1" s="468">
      <c r="A34" s="292" t="n"/>
      <c r="B34" s="293" t="n"/>
      <c r="C34" s="293" t="n"/>
      <c r="D34" s="293" t="n"/>
      <c r="E34" s="293" t="n"/>
      <c r="F34" s="294" t="n"/>
      <c r="G34" s="295" t="n"/>
      <c r="H34" s="301" t="n"/>
      <c r="I34" s="531" t="n"/>
      <c r="M34" s="285" t="inlineStr">
        <is>
          <t>ESPUMA (Por Sabor)</t>
        </is>
      </c>
      <c r="N34" s="288" t="n"/>
      <c r="O34" s="288" t="inlineStr">
        <is>
          <t>200ML</t>
        </is>
      </c>
      <c r="P34" s="288" t="n">
        <v>6</v>
      </c>
      <c r="Q34" s="288" t="n">
        <v>660</v>
      </c>
      <c r="R34" s="289" t="n">
        <v>10.12</v>
      </c>
      <c r="S34" s="290">
        <f>R34*Q34*P34</f>
        <v/>
      </c>
      <c r="T34" s="530" t="n"/>
    </row>
    <row r="35" ht="18" customHeight="1" s="468">
      <c r="A35" s="285" t="n"/>
      <c r="B35" s="298" t="n"/>
      <c r="C35" s="298" t="n"/>
      <c r="D35" s="298" t="n"/>
      <c r="E35" s="298" t="n"/>
      <c r="F35" s="288" t="n"/>
      <c r="G35" s="287" t="n"/>
      <c r="H35" s="299" t="n"/>
      <c r="I35" s="558" t="inlineStr">
        <is>
          <t>SERÁ FATURADO JUNTO DO PRIMEIRO PEDIDO E PARCELADO EM TRÊS VEZES (28DD)</t>
        </is>
      </c>
      <c r="M35" s="292" t="n"/>
      <c r="N35" s="293" t="n"/>
      <c r="O35" s="293" t="n"/>
      <c r="P35" s="293" t="n"/>
      <c r="Q35" s="293" t="n"/>
      <c r="R35" s="294" t="n"/>
      <c r="S35" s="295" t="n"/>
      <c r="T35" s="530" t="n"/>
    </row>
    <row r="36" ht="18" customHeight="1" s="468">
      <c r="A36" s="299" t="inlineStr">
        <is>
          <t>RÓTULO  SABOR</t>
        </is>
      </c>
      <c r="B36" s="288" t="n"/>
      <c r="C36" s="288" t="n"/>
      <c r="D36" s="288" t="n"/>
      <c r="E36" s="288" t="n">
        <v>25000</v>
      </c>
      <c r="F36" s="300" t="n">
        <v>0.27</v>
      </c>
      <c r="G36" s="290">
        <f>F36*E36</f>
        <v/>
      </c>
      <c r="H36" s="306" t="n"/>
      <c r="I36" s="530" t="n"/>
      <c r="K36" t="inlineStr">
        <is>
          <t>21/28/35</t>
        </is>
      </c>
      <c r="M36" s="285" t="n"/>
      <c r="N36" s="298" t="n"/>
      <c r="O36" s="298" t="n"/>
      <c r="P36" s="298" t="n"/>
      <c r="Q36" s="298" t="n"/>
      <c r="R36" s="288" t="n"/>
      <c r="S36" s="299" t="n"/>
      <c r="T36" s="558" t="inlineStr">
        <is>
          <t>SERÁ FATURADO JUNTO DO PRIMEIRO PEDIDO E PARCELADO EM TRÊS VEZES (21/28/35DD)</t>
        </is>
      </c>
    </row>
    <row r="37" ht="18" customHeight="1" s="468">
      <c r="A37" s="292" t="n"/>
      <c r="B37" s="293" t="n"/>
      <c r="C37" s="293" t="n"/>
      <c r="D37" s="293" t="n"/>
      <c r="E37" s="293" t="n"/>
      <c r="F37" s="294" t="n"/>
      <c r="G37" s="295" t="n"/>
      <c r="H37" s="301" t="n"/>
      <c r="I37" s="530" t="n"/>
      <c r="M37" s="297" t="inlineStr">
        <is>
          <t>RÓTULO  SABOR</t>
        </is>
      </c>
      <c r="N37" s="288" t="n"/>
      <c r="O37" s="288" t="n"/>
      <c r="P37" s="288" t="n"/>
      <c r="Q37" s="288" t="n">
        <v>25000</v>
      </c>
      <c r="R37" s="300" t="n">
        <v>0.27</v>
      </c>
      <c r="S37" s="306">
        <f>R37*Q37</f>
        <v/>
      </c>
      <c r="T37" s="530" t="n"/>
    </row>
    <row r="38" ht="18" customHeight="1" s="468">
      <c r="A38" s="292" t="n"/>
      <c r="B38" s="301" t="n"/>
      <c r="C38" s="301" t="n"/>
      <c r="D38" s="301" t="n"/>
      <c r="E38" s="301" t="n"/>
      <c r="F38" s="295" t="n"/>
      <c r="G38" s="295" t="n"/>
      <c r="H38" s="301" t="n"/>
      <c r="I38" s="530" t="n"/>
      <c r="M38" s="292" t="n"/>
      <c r="N38" s="293" t="n"/>
      <c r="O38" s="293" t="n"/>
      <c r="P38" s="293" t="n"/>
      <c r="Q38" s="293" t="n"/>
      <c r="R38" s="294" t="n"/>
      <c r="S38" s="301" t="n"/>
      <c r="T38" s="530" t="n"/>
    </row>
    <row r="39" ht="14.25" customHeight="1" s="468">
      <c r="I39" s="531" t="n"/>
      <c r="M39" s="292" t="n"/>
      <c r="N39" s="301" t="n"/>
      <c r="O39" s="301" t="n"/>
      <c r="P39" s="301" t="n"/>
      <c r="Q39" s="301" t="n"/>
      <c r="R39" s="295" t="n"/>
      <c r="S39" s="301" t="n"/>
      <c r="T39" s="531" t="n"/>
    </row>
    <row r="40" ht="14.4" customHeight="1" s="468"/>
    <row r="41" ht="14.25" customHeight="1" s="468">
      <c r="A41" s="560" t="n"/>
    </row>
    <row r="42" ht="78.75" customHeight="1" s="468">
      <c r="A42" s="465" t="n"/>
    </row>
    <row r="43" ht="15" customHeight="1" s="468">
      <c r="A43" s="283" t="inlineStr">
        <is>
          <t>PRODUTO</t>
        </is>
      </c>
      <c r="B43" s="284" t="inlineStr">
        <is>
          <t>NCM</t>
        </is>
      </c>
      <c r="C43" s="284" t="inlineStr">
        <is>
          <t>TAMANHO</t>
        </is>
      </c>
      <c r="D43" s="284" t="inlineStr">
        <is>
          <t>UNIDS/CX</t>
        </is>
      </c>
      <c r="E43" s="284" t="inlineStr">
        <is>
          <t xml:space="preserve">QUANT. MIN. CXS </t>
        </is>
      </c>
      <c r="F43" s="284" t="inlineStr">
        <is>
          <t>PREÇO R$</t>
        </is>
      </c>
      <c r="G43" s="284" t="inlineStr">
        <is>
          <t>TOTAL</t>
        </is>
      </c>
      <c r="H43" s="566" t="inlineStr">
        <is>
          <t>PRAZO DE PAGAMENTO ESTÁ EM ANÁLISE</t>
        </is>
      </c>
    </row>
    <row r="44" ht="14.25" customHeight="1" s="468">
      <c r="A44" s="285" t="n"/>
      <c r="B44" s="286" t="n"/>
      <c r="C44" s="286" t="n"/>
      <c r="D44" s="286" t="n"/>
      <c r="E44" s="286" t="n"/>
      <c r="F44" s="286" t="n"/>
      <c r="G44" s="287" t="n"/>
    </row>
    <row r="45" ht="14.25" customHeight="1" s="468">
      <c r="A45" s="285" t="inlineStr">
        <is>
          <t>UNTA FORMA</t>
        </is>
      </c>
      <c r="B45" s="288" t="n">
        <v>15179090</v>
      </c>
      <c r="C45" s="288" t="inlineStr">
        <is>
          <t>400 ml</t>
        </is>
      </c>
      <c r="D45" s="288" t="n">
        <v>12</v>
      </c>
      <c r="E45" s="288" t="n">
        <v>750</v>
      </c>
      <c r="F45" s="289" t="n">
        <v>13.58</v>
      </c>
      <c r="G45" s="290">
        <f>F45*E45*12</f>
        <v/>
      </c>
    </row>
    <row r="46" ht="18" customHeight="1" s="468">
      <c r="A46" s="292" t="n"/>
      <c r="B46" s="293" t="n"/>
      <c r="C46" s="293" t="n"/>
      <c r="D46" s="293" t="n"/>
      <c r="E46" s="293" t="inlineStr">
        <is>
          <t>6 pallets</t>
        </is>
      </c>
      <c r="F46" s="294" t="n"/>
      <c r="G46" s="295" t="n"/>
    </row>
    <row r="47" ht="14.25" customHeight="1" s="468"/>
    <row r="48" ht="30" customHeight="1" s="468">
      <c r="A48" s="303" t="inlineStr">
        <is>
          <t>PRODUTO</t>
        </is>
      </c>
      <c r="B48" s="304" t="inlineStr">
        <is>
          <t>NCM</t>
        </is>
      </c>
      <c r="C48" s="304" t="inlineStr">
        <is>
          <t>TAMANHO</t>
        </is>
      </c>
      <c r="D48" s="307" t="inlineStr">
        <is>
          <t>PROD. MIN. SLEEVES</t>
        </is>
      </c>
      <c r="E48" s="304" t="inlineStr">
        <is>
          <t>PREÇO R$</t>
        </is>
      </c>
      <c r="F48" s="284" t="inlineStr">
        <is>
          <t>TOTAL</t>
        </is>
      </c>
    </row>
    <row r="49" ht="15" customHeight="1" s="468">
      <c r="A49" s="285" t="n"/>
      <c r="B49" s="286" t="n"/>
      <c r="C49" s="286" t="n"/>
      <c r="D49" s="286" t="n"/>
      <c r="E49" s="308" t="n"/>
      <c r="F49" s="309" t="n"/>
      <c r="G49" s="558" t="inlineStr">
        <is>
          <t>SERÁ FATURADO JUNTO DO PRIMEIRO PEDIDO (28dd)</t>
        </is>
      </c>
    </row>
    <row r="50" ht="14.25" customHeight="1" s="468">
      <c r="A50" s="285" t="inlineStr">
        <is>
          <t>UNTA FORMA</t>
        </is>
      </c>
      <c r="B50" s="288" t="n">
        <v>15179090</v>
      </c>
      <c r="C50" s="288" t="inlineStr">
        <is>
          <t>400 ml</t>
        </is>
      </c>
      <c r="D50" s="310" t="n">
        <v>25000</v>
      </c>
      <c r="E50" s="311" t="n">
        <v>0.45</v>
      </c>
      <c r="F50" s="312">
        <f>E50*D50</f>
        <v/>
      </c>
      <c r="G50" s="530" t="n"/>
    </row>
    <row r="51" ht="18" customHeight="1" s="468">
      <c r="A51" s="292" t="n"/>
      <c r="B51" s="293" t="n"/>
      <c r="C51" s="293" t="n"/>
      <c r="D51" s="293" t="n"/>
      <c r="E51" s="531" t="n"/>
      <c r="F51" s="464" t="n"/>
      <c r="G51" s="530" t="n"/>
    </row>
    <row r="52" ht="14.25" customHeight="1" s="468">
      <c r="G52" s="530" t="n"/>
    </row>
    <row r="53" ht="14.25" customHeight="1" s="468">
      <c r="G53" s="530" t="n"/>
    </row>
    <row r="54" ht="14.25" customHeight="1" s="468">
      <c r="G54" s="530" t="n"/>
    </row>
    <row r="55" ht="14.25" customHeight="1" s="468">
      <c r="G55" s="531" t="n"/>
    </row>
    <row r="56" ht="15" customHeight="1" s="468">
      <c r="A56" s="560" t="n"/>
      <c r="I56" t="inlineStr">
        <is>
          <t xml:space="preserve"> </t>
        </is>
      </c>
    </row>
    <row r="57" ht="67.5" customHeight="1" s="468">
      <c r="A57" s="465" t="n"/>
    </row>
    <row r="58" ht="14.25" customHeight="1" s="468">
      <c r="A58" s="283" t="inlineStr">
        <is>
          <t>PRODUTO</t>
        </is>
      </c>
      <c r="B58" s="284" t="inlineStr">
        <is>
          <t>NCM</t>
        </is>
      </c>
      <c r="C58" s="284" t="inlineStr">
        <is>
          <t>TAMANHO</t>
        </is>
      </c>
      <c r="D58" s="284" t="inlineStr">
        <is>
          <t>UNIDS/CX</t>
        </is>
      </c>
      <c r="E58" s="284" t="inlineStr">
        <is>
          <t xml:space="preserve">QUANT. MIN. CXS </t>
        </is>
      </c>
      <c r="F58" s="284" t="inlineStr">
        <is>
          <t>PREÇO R$</t>
        </is>
      </c>
      <c r="G58" s="284" t="inlineStr">
        <is>
          <t>TOTAL</t>
        </is>
      </c>
    </row>
    <row r="59" ht="15" customHeight="1" s="468">
      <c r="A59" s="285" t="n"/>
      <c r="B59" s="286" t="n"/>
      <c r="C59" s="286" t="n"/>
      <c r="D59" s="286" t="n"/>
      <c r="E59" s="286" t="inlineStr">
        <is>
          <t>pallet 125cxs</t>
        </is>
      </c>
      <c r="F59" s="286" t="n"/>
      <c r="G59" s="287" t="n"/>
      <c r="H59" s="558" t="inlineStr">
        <is>
          <t>*** PRIMEIRO PEDIDO PAGAMENTO À VISTA ***</t>
        </is>
      </c>
    </row>
    <row r="60" ht="14.25" customHeight="1" s="468">
      <c r="A60" s="285" t="inlineStr">
        <is>
          <t>UNTA FORMA</t>
        </is>
      </c>
      <c r="B60" s="288" t="n">
        <v>15179090</v>
      </c>
      <c r="C60" s="288" t="inlineStr">
        <is>
          <t>400 ml</t>
        </is>
      </c>
      <c r="D60" s="288" t="n">
        <v>12</v>
      </c>
      <c r="E60" s="288" t="n">
        <v>750</v>
      </c>
      <c r="F60" s="289" t="n">
        <v>12.57</v>
      </c>
      <c r="G60" s="290">
        <f>F60*E60*12</f>
        <v/>
      </c>
      <c r="H60" s="530" t="n"/>
    </row>
    <row r="61" ht="18" customHeight="1" s="468">
      <c r="A61" s="292" t="n"/>
      <c r="B61" s="293" t="n"/>
      <c r="C61" s="293" t="n"/>
      <c r="D61" s="293" t="n"/>
      <c r="E61" s="293" t="inlineStr">
        <is>
          <t>15 PALLETS</t>
        </is>
      </c>
      <c r="F61" s="294" t="n"/>
      <c r="G61" s="295" t="n"/>
      <c r="H61" s="530" t="n"/>
    </row>
    <row r="62" ht="14.25" customHeight="1" s="468">
      <c r="A62" s="285" t="n"/>
      <c r="B62" s="297" t="n"/>
      <c r="C62" s="297" t="n"/>
      <c r="D62" s="297" t="n"/>
      <c r="E62" s="297" t="inlineStr">
        <is>
          <t>pallet 95cxs</t>
        </is>
      </c>
      <c r="F62" s="297" t="n"/>
      <c r="G62" s="287" t="n"/>
      <c r="H62" s="530" t="n"/>
    </row>
    <row r="63" ht="14.25" customHeight="1" s="468">
      <c r="A63" s="285" t="inlineStr">
        <is>
          <t>UNTA FORMA</t>
        </is>
      </c>
      <c r="B63" s="288" t="n">
        <v>15179090</v>
      </c>
      <c r="C63" s="288" t="inlineStr">
        <is>
          <t>600 ml</t>
        </is>
      </c>
      <c r="D63" s="288" t="n">
        <v>12</v>
      </c>
      <c r="E63" s="288" t="n">
        <v>380</v>
      </c>
      <c r="F63" s="290" t="n">
        <v>18.32</v>
      </c>
      <c r="G63" s="290">
        <f>F63*E63*12</f>
        <v/>
      </c>
      <c r="H63" s="530" t="n"/>
    </row>
    <row r="64" ht="18" customHeight="1" s="468">
      <c r="A64" s="292" t="n"/>
      <c r="B64" s="293" t="n"/>
      <c r="C64" s="293" t="n"/>
      <c r="D64" s="293" t="n"/>
      <c r="E64" s="293" t="inlineStr">
        <is>
          <t>12 PALLETS</t>
        </is>
      </c>
      <c r="F64" s="294" t="n"/>
      <c r="G64" s="295" t="n"/>
      <c r="H64" s="531" t="n"/>
    </row>
    <row r="65" ht="14.4" customHeight="1" s="468"/>
    <row r="66" ht="30" customHeight="1" s="468">
      <c r="A66" s="303" t="inlineStr">
        <is>
          <t>PRODUTO</t>
        </is>
      </c>
      <c r="B66" s="304" t="inlineStr">
        <is>
          <t>NCM</t>
        </is>
      </c>
      <c r="C66" s="304" t="inlineStr">
        <is>
          <t>TAMANHO</t>
        </is>
      </c>
      <c r="D66" s="307" t="inlineStr">
        <is>
          <t>PROD. MIN. SLEEVES</t>
        </is>
      </c>
      <c r="E66" s="304" t="inlineStr">
        <is>
          <t>PREÇO R$</t>
        </is>
      </c>
      <c r="F66" s="284" t="inlineStr">
        <is>
          <t>TOTAL</t>
        </is>
      </c>
      <c r="M66" s="303" t="inlineStr">
        <is>
          <t>PRODUTO</t>
        </is>
      </c>
      <c r="N66" s="304" t="inlineStr">
        <is>
          <t>NCM</t>
        </is>
      </c>
      <c r="O66" s="304" t="inlineStr">
        <is>
          <t>TAMANHO</t>
        </is>
      </c>
      <c r="P66" s="307" t="inlineStr">
        <is>
          <t>PROD. MIN. SLEEVES</t>
        </is>
      </c>
      <c r="Q66" s="304" t="inlineStr">
        <is>
          <t>PREÇO R$</t>
        </is>
      </c>
      <c r="R66" s="284" t="inlineStr">
        <is>
          <t>TOTAL</t>
        </is>
      </c>
    </row>
    <row r="67" ht="15" customHeight="1" s="468">
      <c r="A67" s="285" t="n"/>
      <c r="B67" s="297" t="n"/>
      <c r="C67" s="297" t="n"/>
      <c r="D67" s="297" t="n"/>
      <c r="E67" s="308" t="n"/>
      <c r="F67" s="309" t="n"/>
      <c r="G67" s="558" t="inlineStr">
        <is>
          <t>O CLIENTE SE COMPROMETE A CONSUMIR TODA A LATA QUE ESTIVER EM ESTOQUE.</t>
        </is>
      </c>
      <c r="M67" s="285" t="n"/>
      <c r="N67" s="297" t="n"/>
      <c r="O67" s="297" t="n"/>
      <c r="P67" s="297" t="n"/>
      <c r="Q67" s="308" t="n"/>
      <c r="R67" s="309" t="n"/>
      <c r="S67" s="558" t="inlineStr">
        <is>
          <t>SERÁ FATURADO JUNTO DO PRIMEIRO PEDIDO 14/28dd</t>
        </is>
      </c>
    </row>
    <row r="68" ht="14.25" customHeight="1" s="468">
      <c r="A68" s="285" t="inlineStr">
        <is>
          <t>UNTA FORMA</t>
        </is>
      </c>
      <c r="B68" s="288" t="n">
        <v>15179090</v>
      </c>
      <c r="C68" s="288" t="inlineStr">
        <is>
          <t>400 ml</t>
        </is>
      </c>
      <c r="D68" s="310" t="n">
        <v>35000</v>
      </c>
      <c r="E68" s="311" t="n">
        <v>0</v>
      </c>
      <c r="F68" s="312">
        <f>E68*D68</f>
        <v/>
      </c>
      <c r="G68" s="530" t="n"/>
      <c r="M68" s="285" t="inlineStr">
        <is>
          <t>UNTA FORMA</t>
        </is>
      </c>
      <c r="N68" s="288" t="n">
        <v>15179090</v>
      </c>
      <c r="O68" s="288" t="inlineStr">
        <is>
          <t>400 ml</t>
        </is>
      </c>
      <c r="P68" s="310" t="n">
        <v>25000</v>
      </c>
      <c r="Q68" s="311" t="n">
        <v>0.48</v>
      </c>
      <c r="R68" s="312">
        <f>Q68*P68</f>
        <v/>
      </c>
      <c r="S68" s="530" t="n"/>
    </row>
    <row r="69" ht="24" customHeight="1" s="468">
      <c r="A69" s="292" t="n"/>
      <c r="B69" s="293" t="n"/>
      <c r="C69" s="293" t="n"/>
      <c r="D69" s="293" t="n"/>
      <c r="E69" s="531" t="n"/>
      <c r="F69" s="464" t="n"/>
      <c r="G69" s="530" t="n"/>
      <c r="M69" s="292" t="n"/>
      <c r="N69" s="293" t="n"/>
      <c r="O69" s="293" t="n"/>
      <c r="P69" s="293" t="n"/>
      <c r="Q69" s="531" t="n"/>
      <c r="R69" s="464" t="n"/>
      <c r="S69" s="530" t="n"/>
    </row>
    <row r="70" ht="14.25" customHeight="1" s="468">
      <c r="A70" s="285" t="n"/>
      <c r="B70" s="297" t="n"/>
      <c r="C70" s="297" t="n"/>
      <c r="D70" s="297" t="n"/>
      <c r="E70" s="308" t="n"/>
      <c r="F70" s="309" t="n"/>
      <c r="G70" s="530" t="n"/>
      <c r="M70" s="285" t="n"/>
      <c r="N70" s="297" t="n"/>
      <c r="O70" s="297" t="n"/>
      <c r="P70" s="297" t="n"/>
      <c r="Q70" s="308" t="n"/>
      <c r="R70" s="309" t="n"/>
      <c r="S70" s="530" t="n"/>
    </row>
    <row r="71" ht="14.25" customHeight="1" s="468">
      <c r="A71" s="285" t="inlineStr">
        <is>
          <t>UNTA FORMA</t>
        </is>
      </c>
      <c r="B71" s="288" t="n">
        <v>15179090</v>
      </c>
      <c r="C71" s="288" t="inlineStr">
        <is>
          <t>600 ml</t>
        </is>
      </c>
      <c r="D71" s="310" t="n">
        <v>35000</v>
      </c>
      <c r="E71" s="311" t="n">
        <v>0</v>
      </c>
      <c r="F71" s="312">
        <f>E71*D71</f>
        <v/>
      </c>
      <c r="G71" s="530" t="n"/>
      <c r="M71" s="285" t="inlineStr">
        <is>
          <t>UNTA FORMA</t>
        </is>
      </c>
      <c r="N71" s="288" t="n">
        <v>15179090</v>
      </c>
      <c r="O71" s="288" t="inlineStr">
        <is>
          <t>600 ml</t>
        </is>
      </c>
      <c r="P71" s="310" t="n">
        <v>18000</v>
      </c>
      <c r="Q71" s="311" t="n">
        <v>0.55</v>
      </c>
      <c r="R71" s="312">
        <f>Q71*P71</f>
        <v/>
      </c>
      <c r="S71" s="530" t="n"/>
    </row>
    <row r="72" ht="24.75" customHeight="1" s="468">
      <c r="A72" s="292" t="n"/>
      <c r="B72" s="293" t="n"/>
      <c r="C72" s="293" t="n"/>
      <c r="D72" s="293" t="n"/>
      <c r="E72" s="531" t="n"/>
      <c r="F72" s="464" t="n"/>
      <c r="G72" s="531" t="n"/>
      <c r="M72" s="292" t="n"/>
      <c r="N72" s="293" t="n"/>
      <c r="O72" s="293" t="n"/>
      <c r="P72" s="293" t="n"/>
      <c r="Q72" s="531" t="n"/>
      <c r="R72" s="464" t="n"/>
      <c r="S72" s="531" t="n"/>
    </row>
    <row r="73" ht="14.4" customHeight="1" s="468"/>
    <row r="74" ht="14.4" customHeight="1" s="468"/>
    <row r="75" ht="15" customHeight="1" s="468">
      <c r="A75" s="560" t="n"/>
    </row>
    <row r="76" ht="67.5" customHeight="1" s="468">
      <c r="A76" s="465" t="n"/>
    </row>
    <row r="77" ht="15" customHeight="1" s="468">
      <c r="A77" s="283" t="inlineStr">
        <is>
          <t>PRODUTO</t>
        </is>
      </c>
      <c r="B77" s="284" t="inlineStr">
        <is>
          <t>NCM</t>
        </is>
      </c>
      <c r="C77" s="284" t="inlineStr">
        <is>
          <t>TAMANHO</t>
        </is>
      </c>
      <c r="D77" s="284" t="inlineStr">
        <is>
          <t>UNIDS/CX</t>
        </is>
      </c>
      <c r="E77" s="284" t="inlineStr">
        <is>
          <t xml:space="preserve">QUANT. MIN. CXS </t>
        </is>
      </c>
      <c r="F77" s="284" t="inlineStr">
        <is>
          <t>PREÇO UNID R$</t>
        </is>
      </c>
      <c r="G77" s="284" t="inlineStr">
        <is>
          <t>TOTAL</t>
        </is>
      </c>
      <c r="H77" s="558" t="inlineStr">
        <is>
          <t>FORNECENDO O COCO</t>
        </is>
      </c>
      <c r="I77" s="516" t="n"/>
    </row>
    <row r="78" ht="14.25" customHeight="1" s="468">
      <c r="A78" s="285" t="n"/>
      <c r="B78" s="286" t="n"/>
      <c r="C78" s="286" t="n"/>
      <c r="D78" s="286" t="n"/>
      <c r="E78" s="286" t="n"/>
      <c r="F78" s="286" t="n"/>
      <c r="G78" s="287" t="n"/>
      <c r="H78" s="530" t="n"/>
      <c r="I78" s="530" t="n"/>
    </row>
    <row r="79" ht="14.25" customHeight="1" s="468">
      <c r="A79" s="285" t="inlineStr">
        <is>
          <t>ÓLEO DE COCO</t>
        </is>
      </c>
      <c r="B79" s="288" t="n"/>
      <c r="C79" s="288" t="inlineStr">
        <is>
          <t>200ml</t>
        </is>
      </c>
      <c r="D79" s="288" t="n">
        <v>12</v>
      </c>
      <c r="E79" s="288" t="n">
        <v>495</v>
      </c>
      <c r="F79" s="289" t="n">
        <v>10.5</v>
      </c>
      <c r="G79" s="290">
        <f>F79*E79*D79</f>
        <v/>
      </c>
      <c r="H79" s="530" t="n"/>
      <c r="I79" s="530" t="n"/>
    </row>
    <row r="80" ht="18" customHeight="1" s="468">
      <c r="A80" s="292" t="n"/>
      <c r="B80" s="293" t="n"/>
      <c r="C80" s="293" t="n"/>
      <c r="D80" s="293" t="n"/>
      <c r="E80" s="293" t="inlineStr">
        <is>
          <t>3 pallets</t>
        </is>
      </c>
      <c r="F80" s="294" t="n"/>
      <c r="G80" s="295" t="n"/>
      <c r="H80" s="531" t="n"/>
      <c r="I80" s="530" t="n"/>
    </row>
    <row r="81" ht="15" customHeight="1" s="468">
      <c r="A81" s="285" t="n"/>
      <c r="B81" s="286" t="n"/>
      <c r="C81" s="286" t="n"/>
      <c r="D81" s="286" t="n"/>
      <c r="E81" s="286" t="n"/>
      <c r="F81" s="286" t="n"/>
      <c r="G81" s="287" t="n"/>
      <c r="H81" s="558" t="inlineStr">
        <is>
          <t>FORNECENDO A MISTURA MANTEIGA</t>
        </is>
      </c>
      <c r="I81" s="530" t="n"/>
    </row>
    <row r="82" ht="14.25" customHeight="1" s="468">
      <c r="A82" s="285" t="inlineStr">
        <is>
          <t>MANTEIGA DE COCO</t>
        </is>
      </c>
      <c r="B82" s="288" t="n"/>
      <c r="C82" s="288" t="inlineStr">
        <is>
          <t>200ml</t>
        </is>
      </c>
      <c r="D82" s="288" t="n">
        <v>12</v>
      </c>
      <c r="E82" s="288" t="n">
        <v>495</v>
      </c>
      <c r="F82" s="289" t="n">
        <v>10.5</v>
      </c>
      <c r="G82" s="290">
        <f>F82*E82*D82</f>
        <v/>
      </c>
      <c r="H82" s="530" t="n"/>
      <c r="I82" s="530" t="n"/>
    </row>
    <row r="83" ht="18" customHeight="1" s="468">
      <c r="A83" s="292" t="n"/>
      <c r="B83" s="293" t="n"/>
      <c r="C83" s="293" t="n"/>
      <c r="D83" s="293" t="n"/>
      <c r="E83" s="293" t="inlineStr">
        <is>
          <t>3 pallets</t>
        </is>
      </c>
      <c r="F83" s="294" t="n"/>
      <c r="G83" s="295" t="n"/>
      <c r="H83" s="531" t="n"/>
      <c r="I83" s="531" t="n"/>
    </row>
    <row r="84" ht="14.4" customHeight="1" s="468"/>
    <row r="85" ht="30" customHeight="1" s="468">
      <c r="A85" s="303" t="inlineStr">
        <is>
          <t>PRODUTO</t>
        </is>
      </c>
      <c r="B85" s="304" t="inlineStr">
        <is>
          <t>NCM</t>
        </is>
      </c>
      <c r="C85" s="304" t="inlineStr">
        <is>
          <t>TAMANHO</t>
        </is>
      </c>
      <c r="D85" s="307" t="inlineStr">
        <is>
          <t>PROD. MIN. SLEEVES</t>
        </is>
      </c>
      <c r="E85" s="304" t="inlineStr">
        <is>
          <t>PREÇO UNID R$</t>
        </is>
      </c>
      <c r="F85" s="284" t="inlineStr">
        <is>
          <t>TOTAL</t>
        </is>
      </c>
    </row>
    <row r="86" ht="15" customHeight="1" s="468">
      <c r="A86" s="285" t="n"/>
      <c r="B86" s="286" t="n"/>
      <c r="C86" s="286" t="n"/>
      <c r="D86" s="286" t="n"/>
      <c r="E86" s="308" t="n"/>
      <c r="F86" s="309" t="n"/>
      <c r="G86" s="558" t="inlineStr">
        <is>
          <t>SERÁ FATURADO JUNTO DO PRIMEIRO PEDIDO E PARCELADO EM TRÊS VEZES (21/28/35DD)</t>
        </is>
      </c>
    </row>
    <row r="87" ht="14.25" customHeight="1" s="468">
      <c r="A87" s="285" t="inlineStr">
        <is>
          <t>RÓTULO DE COCO</t>
        </is>
      </c>
      <c r="B87" s="288" t="n"/>
      <c r="C87" s="288" t="inlineStr">
        <is>
          <t>200ml</t>
        </is>
      </c>
      <c r="D87" s="310" t="n">
        <v>25000</v>
      </c>
      <c r="E87" s="311" t="n">
        <v>0.27</v>
      </c>
      <c r="F87" s="312">
        <f>E87*D87</f>
        <v/>
      </c>
      <c r="G87" s="530" t="n"/>
    </row>
    <row r="88" ht="18" customHeight="1" s="468">
      <c r="A88" s="292" t="n"/>
      <c r="B88" s="293" t="n"/>
      <c r="C88" s="293" t="n"/>
      <c r="D88" s="293" t="n"/>
      <c r="E88" s="531" t="n"/>
      <c r="F88" s="464" t="n"/>
      <c r="G88" s="530" t="n"/>
    </row>
    <row r="89" ht="14.25" customHeight="1" s="468">
      <c r="A89" s="285" t="n"/>
      <c r="B89" s="286" t="n"/>
      <c r="C89" s="286" t="n"/>
      <c r="D89" s="286" t="n"/>
      <c r="E89" s="308" t="n"/>
      <c r="F89" s="309" t="n"/>
      <c r="G89" s="530" t="n"/>
      <c r="I89" s="560" t="n"/>
    </row>
    <row r="90" ht="25.5" customHeight="1" s="468">
      <c r="A90" s="285" t="inlineStr">
        <is>
          <t>RÓTULO DE MANTEIGA</t>
        </is>
      </c>
      <c r="B90" s="288" t="n"/>
      <c r="C90" s="288" t="inlineStr">
        <is>
          <t>200ml</t>
        </is>
      </c>
      <c r="D90" s="310" t="n">
        <v>25000</v>
      </c>
      <c r="E90" s="311" t="n">
        <v>0.27</v>
      </c>
      <c r="F90" s="312">
        <f>E90*D90</f>
        <v/>
      </c>
      <c r="G90" s="530" t="n"/>
      <c r="I90" s="465" t="n"/>
    </row>
    <row r="91" ht="18.75" customHeight="1" s="468">
      <c r="A91" s="292" t="n"/>
      <c r="B91" s="293" t="n"/>
      <c r="C91" s="293" t="n"/>
      <c r="D91" s="293" t="n"/>
      <c r="E91" s="531" t="n"/>
      <c r="F91" s="464" t="n"/>
      <c r="G91" s="531" t="n"/>
      <c r="I91" s="283" t="inlineStr">
        <is>
          <t>PRODUTO</t>
        </is>
      </c>
      <c r="J91" s="283" t="inlineStr">
        <is>
          <t>NCM</t>
        </is>
      </c>
      <c r="K91" s="283" t="inlineStr">
        <is>
          <t>TAMANHO</t>
        </is>
      </c>
      <c r="L91" s="283" t="inlineStr">
        <is>
          <t>UNIDS/CX</t>
        </is>
      </c>
      <c r="M91" s="283" t="inlineStr">
        <is>
          <t xml:space="preserve">QUANT. MIN. CXS </t>
        </is>
      </c>
      <c r="N91" s="283" t="inlineStr">
        <is>
          <t>PREÇO UNID R$</t>
        </is>
      </c>
      <c r="O91" s="314" t="inlineStr">
        <is>
          <t>TOTAL</t>
        </is>
      </c>
      <c r="P91" s="558" t="inlineStr">
        <is>
          <t>CLIENTE IRÁ FORNECER O ÓLEO. PRIMEIRA PRODUÇÃO PAGAMENTO À VISTA.</t>
        </is>
      </c>
    </row>
    <row r="92" ht="14.25" customHeight="1" s="468">
      <c r="I92" s="315" t="n"/>
      <c r="J92" s="315" t="n"/>
      <c r="K92" s="315" t="n"/>
      <c r="L92" s="315" t="n"/>
      <c r="M92" s="315" t="n"/>
      <c r="N92" s="315" t="n"/>
      <c r="O92" s="316" t="n"/>
      <c r="P92" s="530" t="n"/>
    </row>
    <row r="93" ht="14.25" customHeight="1" s="468">
      <c r="A93" s="302" t="inlineStr">
        <is>
          <t>PEDIDO ESPUMA</t>
        </is>
      </c>
      <c r="B93" s="124" t="inlineStr">
        <is>
          <t>GIN SABORES</t>
        </is>
      </c>
      <c r="C93" s="124" t="inlineStr">
        <is>
          <t>VERDE MAR</t>
        </is>
      </c>
      <c r="D93" s="124" t="inlineStr">
        <is>
          <t>DIOTTONI</t>
        </is>
      </c>
      <c r="E93" s="124" t="inlineStr">
        <is>
          <t>BACCO</t>
        </is>
      </c>
      <c r="F93" s="124" t="inlineStr">
        <is>
          <t>INLOCO</t>
        </is>
      </c>
      <c r="G93" s="124" t="inlineStr">
        <is>
          <t>DILUTE</t>
        </is>
      </c>
      <c r="H93" s="124" t="inlineStr">
        <is>
          <t>FLIPDRINKS</t>
        </is>
      </c>
      <c r="I93" s="315" t="inlineStr">
        <is>
          <t>ÓLEO DE COCO</t>
        </is>
      </c>
      <c r="J93" s="317" t="n"/>
      <c r="K93" s="317" t="inlineStr">
        <is>
          <t>100ML</t>
        </is>
      </c>
      <c r="L93" s="317" t="n">
        <v>12</v>
      </c>
      <c r="M93" s="317" t="n">
        <v>720</v>
      </c>
      <c r="N93" s="318" t="n">
        <v>7.15</v>
      </c>
      <c r="O93" s="319">
        <f>N93*M93*L93</f>
        <v/>
      </c>
      <c r="P93" s="530" t="n"/>
    </row>
    <row r="94" ht="18" customHeight="1" s="468">
      <c r="A94" t="inlineStr">
        <is>
          <t>GENGIBRE</t>
        </is>
      </c>
      <c r="B94" t="n">
        <v>500</v>
      </c>
      <c r="C94" t="n">
        <v>200</v>
      </c>
      <c r="D94" s="56" t="n">
        <v>200</v>
      </c>
      <c r="E94" t="n">
        <v>330</v>
      </c>
      <c r="I94" s="315" t="n"/>
      <c r="J94" s="320" t="n"/>
      <c r="K94" s="320" t="n"/>
      <c r="L94" s="320" t="n"/>
      <c r="M94" s="320" t="inlineStr">
        <is>
          <t>3 pallets</t>
        </is>
      </c>
      <c r="N94" s="317" t="n"/>
      <c r="O94" s="321" t="n"/>
      <c r="P94" s="530" t="n"/>
    </row>
    <row r="95" ht="14.25" customHeight="1" s="468">
      <c r="A95" s="322" t="inlineStr">
        <is>
          <t>FRUTAS VERM.</t>
        </is>
      </c>
      <c r="C95" t="n">
        <v>100</v>
      </c>
      <c r="D95" s="56" t="n">
        <v>100</v>
      </c>
      <c r="I95" s="299" t="n"/>
      <c r="J95" s="299" t="n"/>
      <c r="K95" s="299" t="n"/>
      <c r="L95" s="299" t="n"/>
      <c r="M95" s="299" t="n"/>
      <c r="N95" s="299" t="n"/>
      <c r="O95" s="299" t="n"/>
      <c r="P95" s="530" t="n"/>
    </row>
    <row r="96" ht="14.25" customHeight="1" s="468">
      <c r="A96" s="322" t="inlineStr">
        <is>
          <t>TANGERINA</t>
        </is>
      </c>
      <c r="B96" t="n">
        <v>200</v>
      </c>
      <c r="C96" t="n">
        <v>100</v>
      </c>
      <c r="D96" s="56" t="n">
        <v>100</v>
      </c>
      <c r="I96" s="299" t="n"/>
      <c r="J96" s="323" t="n"/>
      <c r="K96" s="323" t="n"/>
      <c r="L96" s="323" t="n"/>
      <c r="M96" s="323" t="n"/>
      <c r="N96" s="306" t="n"/>
      <c r="O96" s="306" t="n"/>
      <c r="P96" s="530" t="n"/>
    </row>
    <row r="97" ht="18" customHeight="1" s="468">
      <c r="A97" t="inlineStr">
        <is>
          <t>LIMÃO</t>
        </is>
      </c>
      <c r="B97" s="56" t="n">
        <v>300</v>
      </c>
      <c r="C97" t="n">
        <v>100</v>
      </c>
      <c r="D97" s="56" t="n">
        <v>100</v>
      </c>
      <c r="I97" s="299" t="n"/>
      <c r="J97" s="324" t="n"/>
      <c r="K97" s="324" t="n"/>
      <c r="L97" s="324" t="n"/>
      <c r="M97" s="324" t="n"/>
      <c r="N97" s="323" t="n"/>
      <c r="O97" s="323" t="n"/>
      <c r="P97" s="531" t="n"/>
    </row>
    <row r="98" ht="14.25" customHeight="1" s="468">
      <c r="A98" t="inlineStr">
        <is>
          <t>PITAYA</t>
        </is>
      </c>
      <c r="B98" s="56" t="n">
        <v>330</v>
      </c>
    </row>
    <row r="99" ht="30" customHeight="1" s="468">
      <c r="A99" s="322" t="inlineStr">
        <is>
          <t>MAÇA VERDE</t>
        </is>
      </c>
      <c r="I99" s="303" t="inlineStr">
        <is>
          <t>PRODUTO</t>
        </is>
      </c>
      <c r="J99" s="304" t="inlineStr">
        <is>
          <t>NCM</t>
        </is>
      </c>
      <c r="K99" s="304" t="inlineStr">
        <is>
          <t>TAMANHO</t>
        </is>
      </c>
      <c r="L99" s="307" t="inlineStr">
        <is>
          <t>PROD. MIN. SLEEVES</t>
        </is>
      </c>
      <c r="M99" s="304" t="inlineStr">
        <is>
          <t>PREÇO UNID R$</t>
        </is>
      </c>
      <c r="N99" s="284" t="inlineStr">
        <is>
          <t>TOTAL</t>
        </is>
      </c>
    </row>
    <row r="100" ht="15" customHeight="1" s="468">
      <c r="A100" t="inlineStr">
        <is>
          <t>MELANCIA</t>
        </is>
      </c>
      <c r="B100" s="56" t="n"/>
      <c r="I100" s="285" t="n"/>
      <c r="J100" s="286" t="n"/>
      <c r="K100" s="286" t="n"/>
      <c r="L100" s="286" t="n"/>
      <c r="M100" s="308" t="n"/>
      <c r="N100" s="309" t="n"/>
      <c r="O100" s="558" t="inlineStr">
        <is>
          <t>SERÁ FATURADO JUNTO DO PRIMEIRO PEDIDO (28DD)</t>
        </is>
      </c>
    </row>
    <row r="101" ht="14.25" customHeight="1" s="468">
      <c r="A101" t="inlineStr">
        <is>
          <t>CEREJA</t>
        </is>
      </c>
      <c r="B101" s="56" t="n">
        <v>400</v>
      </c>
      <c r="I101" s="285" t="inlineStr">
        <is>
          <t>ÓLEO DE COCO</t>
        </is>
      </c>
      <c r="J101" s="288" t="n"/>
      <c r="K101" s="288" t="inlineStr">
        <is>
          <t>100ML</t>
        </is>
      </c>
      <c r="L101" s="310" t="n">
        <v>25000</v>
      </c>
      <c r="M101" s="311" t="n">
        <v>0.25</v>
      </c>
      <c r="N101" s="312">
        <f>M101*L101</f>
        <v/>
      </c>
      <c r="O101" s="530" t="n"/>
    </row>
    <row r="102" ht="18" customHeight="1" s="468">
      <c r="A102" s="322" t="inlineStr">
        <is>
          <t>MORANGO(LOVE)</t>
        </is>
      </c>
      <c r="I102" s="292" t="n"/>
      <c r="J102" s="293" t="n"/>
      <c r="K102" s="293" t="n"/>
      <c r="L102" s="293" t="n"/>
      <c r="M102" s="531" t="n"/>
      <c r="N102" s="464" t="n"/>
      <c r="O102" s="530" t="n"/>
    </row>
    <row r="103" ht="14.25" customHeight="1" s="468">
      <c r="A103" s="322" t="inlineStr">
        <is>
          <t>LIMÃO SICILIANO</t>
        </is>
      </c>
      <c r="O103" s="530" t="n"/>
    </row>
    <row r="104" ht="24.75" customHeight="1" s="468">
      <c r="O104" s="531" t="n"/>
    </row>
    <row r="105" ht="14.4" customHeight="1" s="468"/>
    <row r="106" ht="14.25" customHeight="1" s="468">
      <c r="H106" t="inlineStr">
        <is>
          <t>LATAS</t>
        </is>
      </c>
      <c r="I106">
        <f>I104*6</f>
        <v/>
      </c>
    </row>
    <row r="107" ht="14.4" customHeight="1" s="468"/>
    <row r="108" ht="14.4" customHeight="1" s="468"/>
    <row r="109" ht="14.4" customHeight="1" s="468"/>
    <row r="110" ht="14.4" customHeight="1" s="468"/>
    <row r="111" ht="14.4" customHeight="1" s="468"/>
    <row r="112" ht="14.4" customHeight="1" s="468"/>
    <row r="113" ht="14.4" customHeight="1" s="468"/>
    <row r="114" ht="14.4" customHeight="1" s="468"/>
    <row r="115" ht="14.4" customHeight="1" s="468"/>
    <row r="116" ht="14.25" customHeight="1" s="468">
      <c r="A116" s="560" t="n"/>
    </row>
    <row r="117" ht="52.5" customHeight="1" s="468">
      <c r="A117" s="465" t="n"/>
    </row>
    <row r="118" ht="15" customHeight="1" s="468">
      <c r="A118" s="283" t="inlineStr">
        <is>
          <t>PRODUTO</t>
        </is>
      </c>
      <c r="B118" s="283" t="inlineStr">
        <is>
          <t>NCM</t>
        </is>
      </c>
      <c r="C118" s="283" t="inlineStr">
        <is>
          <t>TAMANHO</t>
        </is>
      </c>
      <c r="D118" s="283" t="inlineStr">
        <is>
          <t>UNIDS/CX</t>
        </is>
      </c>
      <c r="E118" s="283" t="inlineStr">
        <is>
          <t xml:space="preserve">QUANT. MIN. CXS </t>
        </is>
      </c>
      <c r="F118" s="283" t="inlineStr">
        <is>
          <t>PREÇO UNID R$</t>
        </is>
      </c>
      <c r="G118" s="314" t="inlineStr">
        <is>
          <t>TOTAL</t>
        </is>
      </c>
      <c r="H118" s="558" t="inlineStr">
        <is>
          <t>PAGAMENTO PADRÃO ROCHAPAN</t>
        </is>
      </c>
    </row>
    <row r="119" ht="14.25" customHeight="1" s="468">
      <c r="A119" s="315" t="n"/>
      <c r="B119" s="315" t="n"/>
      <c r="C119" s="315" t="n"/>
      <c r="D119" s="315" t="n"/>
      <c r="E119" s="315" t="n"/>
      <c r="F119" s="315" t="n"/>
      <c r="G119" s="316" t="n"/>
      <c r="H119" s="530" t="n"/>
    </row>
    <row r="120" ht="14.25" customHeight="1" s="468">
      <c r="A120" s="315" t="inlineStr">
        <is>
          <t>ANTI MOFO</t>
        </is>
      </c>
      <c r="B120" s="317" t="n"/>
      <c r="C120" s="317" t="inlineStr">
        <is>
          <t>600ML</t>
        </is>
      </c>
      <c r="D120" s="317" t="n">
        <v>12</v>
      </c>
      <c r="E120" s="317" t="n">
        <v>190</v>
      </c>
      <c r="F120" s="318" t="n">
        <v>17.3</v>
      </c>
      <c r="G120" s="319">
        <f>F120*E120*D120</f>
        <v/>
      </c>
      <c r="H120" s="530" t="n"/>
    </row>
    <row r="121" ht="18" customHeight="1" s="468">
      <c r="A121" s="315" t="n"/>
      <c r="B121" s="320" t="n"/>
      <c r="C121" s="320" t="n"/>
      <c r="D121" s="320" t="n"/>
      <c r="E121" s="320" t="inlineStr">
        <is>
          <t>2 PALLETS</t>
        </is>
      </c>
      <c r="F121" s="317" t="n"/>
      <c r="G121" s="321" t="n"/>
      <c r="H121" s="530" t="n"/>
    </row>
    <row r="122" ht="14.25" customHeight="1" s="468">
      <c r="A122" s="315" t="inlineStr">
        <is>
          <t xml:space="preserve">DOURADOR DE PÃO </t>
        </is>
      </c>
      <c r="B122" s="317" t="n"/>
      <c r="C122" s="317" t="inlineStr">
        <is>
          <t>600ML</t>
        </is>
      </c>
      <c r="D122" s="317" t="n">
        <v>12</v>
      </c>
      <c r="E122" s="317" t="n">
        <v>190</v>
      </c>
      <c r="F122" s="318" t="n">
        <v>18.5</v>
      </c>
      <c r="G122" s="319">
        <f>F122*E122*D122</f>
        <v/>
      </c>
      <c r="H122" s="530" t="n"/>
    </row>
    <row r="123" ht="18" customHeight="1" s="468">
      <c r="A123" s="315" t="n"/>
      <c r="B123" s="320" t="n"/>
      <c r="C123" s="320" t="n"/>
      <c r="D123" s="320" t="n"/>
      <c r="E123" s="320" t="inlineStr">
        <is>
          <t>2 PALLETS</t>
        </is>
      </c>
      <c r="F123" s="317" t="n"/>
      <c r="G123" s="321" t="n"/>
      <c r="H123" s="530" t="n"/>
    </row>
    <row r="124" ht="18" customHeight="1" s="468">
      <c r="A124" s="299" t="n"/>
      <c r="B124" s="324" t="n"/>
      <c r="C124" s="324" t="n"/>
      <c r="D124" s="324" t="n"/>
      <c r="E124" s="324" t="n"/>
      <c r="F124" s="323" t="n"/>
      <c r="G124" s="323" t="n"/>
      <c r="H124" s="531" t="n"/>
    </row>
    <row r="125" ht="14.4" customHeight="1" s="468"/>
    <row r="126" ht="30" customHeight="1" s="468">
      <c r="A126" s="303" t="inlineStr">
        <is>
          <t>PRODUTO</t>
        </is>
      </c>
      <c r="B126" s="304" t="inlineStr">
        <is>
          <t>NCM</t>
        </is>
      </c>
      <c r="C126" s="304" t="inlineStr">
        <is>
          <t>TAMANHO</t>
        </is>
      </c>
      <c r="D126" s="307" t="inlineStr">
        <is>
          <t>PROD. MIN. SLEEVES</t>
        </is>
      </c>
      <c r="E126" s="304" t="inlineStr">
        <is>
          <t>PREÇO UNID R$</t>
        </is>
      </c>
      <c r="F126" s="284" t="inlineStr">
        <is>
          <t>TOTAL</t>
        </is>
      </c>
    </row>
    <row r="127" ht="15" customHeight="1" s="468">
      <c r="A127" s="285" t="n"/>
      <c r="B127" s="286" t="n"/>
      <c r="C127" s="286" t="n"/>
      <c r="D127" s="286" t="n"/>
      <c r="E127" s="308" t="n"/>
      <c r="F127" s="309" t="n"/>
      <c r="G127" s="558" t="inlineStr">
        <is>
          <t>SERÁ FATURADO JUNTO DO PRIMEIRO PEDIDO (28DD)</t>
        </is>
      </c>
    </row>
    <row r="128" ht="14.25" customHeight="1" s="468">
      <c r="A128" s="315" t="inlineStr">
        <is>
          <t>ANTI MOFO</t>
        </is>
      </c>
      <c r="B128" s="321" t="n"/>
      <c r="C128" s="317" t="inlineStr">
        <is>
          <t>600ML</t>
        </is>
      </c>
      <c r="D128" s="317" t="n">
        <v>20000</v>
      </c>
      <c r="E128" s="325" t="n">
        <v>0.55</v>
      </c>
      <c r="F128" s="325">
        <f>E128*D128</f>
        <v/>
      </c>
      <c r="G128" s="530" t="n"/>
    </row>
    <row r="129" ht="14.25" customHeight="1" s="468">
      <c r="A129" s="285" t="n"/>
      <c r="B129" s="286" t="n"/>
      <c r="C129" s="286" t="n"/>
      <c r="D129" s="286" t="n"/>
      <c r="E129" s="308" t="n"/>
      <c r="F129" s="309" t="n"/>
      <c r="G129" s="530" t="n"/>
    </row>
    <row r="130" ht="14.25" customHeight="1" s="468">
      <c r="A130" s="316" t="inlineStr">
        <is>
          <t>DOURADOR DE PÃO</t>
        </is>
      </c>
      <c r="B130" s="321" t="n"/>
      <c r="C130" s="317" t="inlineStr">
        <is>
          <t>600ML</t>
        </is>
      </c>
      <c r="D130" s="317" t="n">
        <v>20000</v>
      </c>
      <c r="E130" s="325" t="n">
        <v>0.55</v>
      </c>
      <c r="F130" s="325">
        <f>E130*D130</f>
        <v/>
      </c>
      <c r="G130" s="531" t="n"/>
    </row>
    <row r="131" ht="18" customHeight="1" s="468">
      <c r="A131" s="292" t="n"/>
      <c r="B131" s="293" t="n"/>
      <c r="C131" s="293" t="n"/>
      <c r="D131" s="293" t="n"/>
      <c r="E131" s="531" t="n"/>
      <c r="F131" s="450" t="n"/>
    </row>
    <row r="132" ht="14.4" customHeight="1" s="468"/>
    <row r="133" ht="14.4" customHeight="1" s="468"/>
    <row r="134" ht="14.25" customHeight="1" s="468">
      <c r="A134" s="560" t="n"/>
      <c r="B134" s="560" t="n"/>
    </row>
    <row r="135" ht="78.75" customHeight="1" s="468">
      <c r="A135" s="465" t="n"/>
      <c r="B135" s="465" t="n"/>
      <c r="C135" s="465" t="n"/>
      <c r="D135" s="465" t="n"/>
      <c r="E135" s="465" t="n"/>
      <c r="F135" s="465" t="n"/>
      <c r="G135" s="465" t="n"/>
      <c r="H135" s="465" t="n"/>
    </row>
    <row r="136" ht="15" customHeight="1" s="468">
      <c r="A136" s="283" t="inlineStr">
        <is>
          <t>PRODUTO</t>
        </is>
      </c>
      <c r="B136" s="284" t="inlineStr">
        <is>
          <t>NCM</t>
        </is>
      </c>
      <c r="C136" s="284" t="inlineStr">
        <is>
          <t>TAMANHO</t>
        </is>
      </c>
      <c r="D136" s="284" t="inlineStr">
        <is>
          <t>UNIDS/CX</t>
        </is>
      </c>
      <c r="E136" s="284" t="inlineStr">
        <is>
          <t xml:space="preserve">QUANT. MIN. CXS </t>
        </is>
      </c>
      <c r="F136" s="284" t="inlineStr">
        <is>
          <t>PREÇO R$</t>
        </is>
      </c>
      <c r="G136" s="326" t="inlineStr">
        <is>
          <t>TOTAL</t>
        </is>
      </c>
      <c r="H136" s="564" t="inlineStr">
        <is>
          <t>PAGAMENTO À VISTA</t>
        </is>
      </c>
    </row>
    <row r="137" ht="14.25" customHeight="1" s="468">
      <c r="A137" s="285" t="n"/>
      <c r="B137" s="286" t="n"/>
      <c r="C137" s="286" t="n"/>
      <c r="D137" s="286" t="n"/>
      <c r="E137" s="286" t="n"/>
      <c r="F137" s="286" t="n"/>
      <c r="G137" s="299" t="n"/>
      <c r="H137" s="530" t="n"/>
    </row>
    <row r="138" ht="14.25" customHeight="1" s="468">
      <c r="A138" s="285" t="inlineStr">
        <is>
          <t>UNTA FORMA</t>
        </is>
      </c>
      <c r="B138" s="288" t="n">
        <v>15179090</v>
      </c>
      <c r="C138" s="288" t="inlineStr">
        <is>
          <t>600 ml</t>
        </is>
      </c>
      <c r="D138" s="288" t="n">
        <v>12</v>
      </c>
      <c r="E138" s="288" t="n">
        <v>475</v>
      </c>
      <c r="F138" s="289" t="n">
        <v>19.1</v>
      </c>
      <c r="G138" s="306">
        <f>F138*E138*12</f>
        <v/>
      </c>
      <c r="H138" s="530" t="n"/>
    </row>
    <row r="139" ht="18" customHeight="1" s="468">
      <c r="A139" s="292" t="n"/>
      <c r="B139" s="293" t="n"/>
      <c r="C139" s="293" t="n"/>
      <c r="D139" s="293" t="n"/>
      <c r="E139" s="293" t="inlineStr">
        <is>
          <t>5 pallets</t>
        </is>
      </c>
      <c r="F139" s="294" t="n"/>
      <c r="G139" s="301" t="n"/>
      <c r="H139" s="530" t="n"/>
    </row>
    <row r="140" ht="14.25" customHeight="1" s="468">
      <c r="A140" s="559" t="n"/>
      <c r="B140" s="456" t="n"/>
      <c r="C140" s="456" t="n"/>
      <c r="D140" s="456" t="n"/>
      <c r="E140" s="456" t="n"/>
      <c r="F140" s="456" t="n"/>
      <c r="G140" s="559" t="n"/>
      <c r="H140" s="531" t="n"/>
    </row>
    <row r="141" ht="30" customHeight="1" s="468">
      <c r="A141" s="303" t="inlineStr">
        <is>
          <t>PRODUTO</t>
        </is>
      </c>
      <c r="B141" s="304" t="inlineStr">
        <is>
          <t>NCM</t>
        </is>
      </c>
      <c r="C141" s="304" t="inlineStr">
        <is>
          <t>TAMANHO</t>
        </is>
      </c>
      <c r="D141" s="307" t="inlineStr">
        <is>
          <t>PROD. MIN. RÓTULO</t>
        </is>
      </c>
      <c r="E141" s="304" t="inlineStr">
        <is>
          <t>PREÇO R$</t>
        </is>
      </c>
      <c r="F141" s="284" t="inlineStr">
        <is>
          <t>TOTAL</t>
        </is>
      </c>
      <c r="G141" s="465" t="n"/>
      <c r="H141" s="128" t="n"/>
    </row>
    <row r="142" ht="15" customHeight="1" s="468">
      <c r="A142" s="285" t="n"/>
      <c r="B142" s="286" t="n"/>
      <c r="C142" s="286" t="n"/>
      <c r="D142" s="286" t="n"/>
      <c r="E142" s="308" t="n"/>
      <c r="F142" s="309" t="n"/>
      <c r="G142" s="558" t="inlineStr">
        <is>
          <t>SERÁ FATURADO JUNTO DO PRIMEIRO PEDIDO (28dd)</t>
        </is>
      </c>
      <c r="H142" s="561" t="inlineStr">
        <is>
          <t>FRETE FOB</t>
        </is>
      </c>
    </row>
    <row r="143" ht="14.25" customHeight="1" s="468">
      <c r="A143" s="285" t="inlineStr">
        <is>
          <t>UNTA FORMA</t>
        </is>
      </c>
      <c r="B143" s="288" t="n">
        <v>15179090</v>
      </c>
      <c r="C143" s="288" t="inlineStr">
        <is>
          <t>600 ml</t>
        </is>
      </c>
      <c r="D143" s="310" t="n">
        <v>25000</v>
      </c>
      <c r="E143" s="311" t="n">
        <v>0.45</v>
      </c>
      <c r="F143" s="312">
        <f>E143*D143</f>
        <v/>
      </c>
      <c r="G143" s="530" t="n"/>
      <c r="H143" s="530" t="n"/>
    </row>
    <row r="144" ht="18" customHeight="1" s="468">
      <c r="A144" s="292" t="n"/>
      <c r="B144" s="293" t="n"/>
      <c r="C144" s="293" t="n"/>
      <c r="D144" s="293" t="n"/>
      <c r="E144" s="531" t="n"/>
      <c r="F144" s="464" t="n"/>
      <c r="G144" s="530" t="n"/>
      <c r="H144" s="531" t="n"/>
    </row>
    <row r="145" ht="14.25" customHeight="1" s="468">
      <c r="A145" s="565" t="n"/>
      <c r="B145" s="462" t="n"/>
      <c r="C145" s="462" t="n"/>
      <c r="D145" s="462" t="n"/>
      <c r="E145" s="462" t="n"/>
      <c r="F145" s="463" t="n"/>
      <c r="G145" s="530" t="n"/>
      <c r="H145" s="562" t="n"/>
    </row>
    <row r="146" ht="14.25" customHeight="1" s="468">
      <c r="F146" s="514" t="n"/>
      <c r="G146" s="530" t="n"/>
      <c r="H146" s="523" t="n"/>
    </row>
    <row r="147" ht="14.25" customHeight="1" s="468">
      <c r="F147" s="514" t="n"/>
      <c r="G147" s="530" t="n"/>
      <c r="H147" s="523" t="n"/>
    </row>
    <row r="148" ht="14.25" customHeight="1" s="468">
      <c r="F148" s="514" t="n"/>
      <c r="G148" s="531" t="n"/>
      <c r="H148" s="523" t="n"/>
    </row>
  </sheetData>
  <mergeCells count="33">
    <mergeCell ref="G86:G91"/>
    <mergeCell ref="H81:H83"/>
    <mergeCell ref="A41:A42"/>
    <mergeCell ref="G49:G55"/>
    <mergeCell ref="G67:G72"/>
    <mergeCell ref="A75:A76"/>
    <mergeCell ref="P91:P97"/>
    <mergeCell ref="H136:H140"/>
    <mergeCell ref="I35:I39"/>
    <mergeCell ref="A56:A57"/>
    <mergeCell ref="G142:G148"/>
    <mergeCell ref="O100:O104"/>
    <mergeCell ref="H59:H64"/>
    <mergeCell ref="T33:T35"/>
    <mergeCell ref="A140:F140"/>
    <mergeCell ref="S67:S72"/>
    <mergeCell ref="A134:A135"/>
    <mergeCell ref="G127:G130"/>
    <mergeCell ref="M30:M31"/>
    <mergeCell ref="A29:A30"/>
    <mergeCell ref="H43:H47"/>
    <mergeCell ref="A116:A117"/>
    <mergeCell ref="H77:H80"/>
    <mergeCell ref="I77:I83"/>
    <mergeCell ref="H142:H144"/>
    <mergeCell ref="B134:H135"/>
    <mergeCell ref="I32:I34"/>
    <mergeCell ref="H145:H148"/>
    <mergeCell ref="H118:H124"/>
    <mergeCell ref="G140:G141"/>
    <mergeCell ref="T36:T39"/>
    <mergeCell ref="A145:F148"/>
    <mergeCell ref="I89:I9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52"/>
  <sheetViews>
    <sheetView showGridLines="0" topLeftCell="A71" zoomScaleNormal="100" workbookViewId="0">
      <pane ySplit="3" topLeftCell="A4" activePane="bottomLeft" state="frozen"/>
      <selection pane="bottomLeft" activeCell="A101" sqref="A101:D101"/>
    </sheetView>
  </sheetViews>
  <sheetFormatPr baseColWidth="8" defaultColWidth="8.6640625" defaultRowHeight="14.25" customHeight="1"/>
  <cols>
    <col width="15" customWidth="1" style="468" min="1" max="2"/>
    <col width="15" customWidth="1" style="468" min="2" max="2"/>
    <col width="15" customWidth="1" style="468" min="3" max="3"/>
    <col width="15" customWidth="1" style="468" min="4" max="4"/>
    <col width="15" customWidth="1" style="468" min="5" max="5"/>
    <col width="15" customWidth="1" style="468" min="6" max="6"/>
    <col width="15" customWidth="1" style="468" min="7" max="7"/>
    <col width="15" customWidth="1" style="468" min="8" max="8"/>
    <col width="15" customWidth="1" style="468" min="9" max="9"/>
    <col width="15" customWidth="1" style="468" min="10" max="10"/>
    <col width="15" customWidth="1" style="468" min="11" max="11"/>
    <col width="15" customWidth="1" style="468" min="12" max="12"/>
    <col width="15" customWidth="1" style="468" min="13" max="13"/>
    <col width="15" customWidth="1" style="468" min="14" max="14"/>
    <col width="15" customWidth="1" style="468" min="15" max="15"/>
    <col width="15" customWidth="1" style="468" min="16" max="16"/>
    <col width="15" customWidth="1" style="468" min="17" max="17"/>
    <col width="15" customWidth="1" style="468" min="18" max="18"/>
    <col width="15" customWidth="1" style="468" min="19" max="19"/>
    <col width="15" customWidth="1" style="468" min="20" max="20"/>
  </cols>
  <sheetData>
    <row r="1" ht="15" customHeight="1" s="468">
      <c r="A1" s="701" t="inlineStr">
        <is>
          <t>ULTRAGÁS - LOTE CARGA</t>
        </is>
      </c>
      <c r="Q1" s="327" t="n"/>
      <c r="R1" s="327" t="n"/>
      <c r="S1" s="327" t="n"/>
      <c r="T1" s="327" t="n"/>
    </row>
    <row r="2" ht="15" customHeight="1" s="468">
      <c r="A2" s="702" t="n"/>
      <c r="B2" s="465" t="n"/>
      <c r="C2" s="465" t="n"/>
      <c r="D2" s="465" t="n"/>
      <c r="E2" s="465" t="n"/>
      <c r="F2" s="465" t="n"/>
      <c r="G2" s="465" t="n"/>
      <c r="H2" s="465" t="n"/>
      <c r="I2" s="465" t="n"/>
      <c r="J2" s="465" t="n"/>
      <c r="K2" s="465" t="n"/>
      <c r="L2" s="465" t="n"/>
      <c r="M2" s="465" t="n"/>
      <c r="N2" s="465" t="n"/>
      <c r="O2" s="465" t="n"/>
      <c r="P2" s="465" t="n"/>
      <c r="Q2" s="327" t="n"/>
      <c r="R2" s="327" t="n"/>
      <c r="S2" s="327" t="n"/>
      <c r="T2" s="327" t="n"/>
    </row>
    <row r="3" ht="19.5" customHeight="1" s="468">
      <c r="A3" s="631" t="inlineStr">
        <is>
          <t>DIA DA CARGA</t>
        </is>
      </c>
      <c r="B3" s="456" t="n"/>
      <c r="C3" s="456" t="n"/>
      <c r="D3" s="513" t="n"/>
      <c r="E3" s="623" t="inlineStr">
        <is>
          <t>NF-e</t>
        </is>
      </c>
      <c r="F3" s="623" t="inlineStr">
        <is>
          <t xml:space="preserve">LOTE </t>
        </is>
      </c>
      <c r="G3" s="456" t="n"/>
      <c r="H3" s="456" t="n"/>
      <c r="I3" s="456" t="n"/>
      <c r="J3" s="513" t="n"/>
      <c r="K3" s="623" t="inlineStr">
        <is>
          <t>PRODUTO</t>
        </is>
      </c>
      <c r="L3" s="456" t="n"/>
      <c r="M3" s="456" t="n"/>
      <c r="N3" s="513" t="n"/>
      <c r="O3" s="623" t="inlineStr">
        <is>
          <t>QUANTIDADE</t>
        </is>
      </c>
      <c r="P3" s="513" t="n"/>
    </row>
    <row r="4" ht="15.75" customHeight="1" s="468">
      <c r="A4" s="703" t="n">
        <v>46027</v>
      </c>
      <c r="B4" s="456" t="n"/>
      <c r="C4" s="456" t="n"/>
      <c r="D4" s="513" t="n"/>
      <c r="E4" s="704" t="inlineStr">
        <is>
          <t>2134/2135</t>
        </is>
      </c>
      <c r="F4" s="705" t="inlineStr">
        <is>
          <t>166929.0.A</t>
        </is>
      </c>
      <c r="G4" s="456" t="n"/>
      <c r="H4" s="456" t="n"/>
      <c r="I4" s="456" t="n"/>
      <c r="J4" s="513" t="n"/>
      <c r="K4" s="706" t="inlineStr">
        <is>
          <t>80/20</t>
        </is>
      </c>
      <c r="L4" s="456" t="n"/>
      <c r="M4" s="456" t="n"/>
      <c r="N4" s="513" t="n"/>
      <c r="O4" s="707">
        <f>210+701</f>
        <v/>
      </c>
      <c r="P4" s="708" t="inlineStr">
        <is>
          <t>KG</t>
        </is>
      </c>
    </row>
    <row r="5" ht="15.75" customHeight="1" s="468">
      <c r="A5" s="709" t="n">
        <v>46028</v>
      </c>
      <c r="B5" s="456" t="n"/>
      <c r="C5" s="456" t="n"/>
      <c r="D5" s="513" t="n"/>
      <c r="E5" s="329" t="n">
        <v>2136</v>
      </c>
      <c r="F5" s="570" t="inlineStr">
        <is>
          <t>167011.0.A</t>
        </is>
      </c>
      <c r="G5" s="456" t="n"/>
      <c r="H5" s="456" t="n"/>
      <c r="I5" s="456" t="n"/>
      <c r="J5" s="513" t="n"/>
      <c r="K5" s="569" t="inlineStr">
        <is>
          <t>80/20</t>
        </is>
      </c>
      <c r="L5" s="456" t="n"/>
      <c r="M5" s="456" t="n"/>
      <c r="N5" s="513" t="n"/>
      <c r="O5" s="330" t="n">
        <v>470</v>
      </c>
      <c r="P5" s="331" t="inlineStr">
        <is>
          <t>KG</t>
        </is>
      </c>
    </row>
    <row r="6" ht="15.75" customHeight="1" s="468">
      <c r="A6" s="709" t="n">
        <v>46029</v>
      </c>
      <c r="B6" s="456" t="n"/>
      <c r="C6" s="456" t="n"/>
      <c r="D6" s="513" t="n"/>
      <c r="E6" s="329" t="inlineStr">
        <is>
          <t>2140/2141/2142</t>
        </is>
      </c>
      <c r="F6" s="570" t="inlineStr">
        <is>
          <t>167064.0.A</t>
        </is>
      </c>
      <c r="G6" s="456" t="n"/>
      <c r="H6" s="456" t="n"/>
      <c r="I6" s="456" t="n"/>
      <c r="J6" s="513" t="n"/>
      <c r="K6" s="569" t="inlineStr">
        <is>
          <t>80/20</t>
        </is>
      </c>
      <c r="L6" s="456" t="n"/>
      <c r="M6" s="456" t="n"/>
      <c r="N6" s="513" t="n"/>
      <c r="O6" s="330">
        <f>800+330+500</f>
        <v/>
      </c>
      <c r="P6" s="331" t="inlineStr">
        <is>
          <t>KG</t>
        </is>
      </c>
    </row>
    <row r="7" ht="15.75" customHeight="1" s="468">
      <c r="A7" s="709" t="n">
        <v>46030</v>
      </c>
      <c r="B7" s="456" t="n"/>
      <c r="C7" s="456" t="n"/>
      <c r="D7" s="513" t="n"/>
      <c r="E7" s="329" t="inlineStr">
        <is>
          <t>2144/2145/2146</t>
        </is>
      </c>
      <c r="F7" s="570" t="inlineStr">
        <is>
          <t>167118.0.A</t>
        </is>
      </c>
      <c r="G7" s="456" t="n"/>
      <c r="H7" s="456" t="n"/>
      <c r="I7" s="456" t="n"/>
      <c r="J7" s="513" t="n"/>
      <c r="K7" s="569" t="inlineStr">
        <is>
          <t>80/20</t>
        </is>
      </c>
      <c r="L7" s="456" t="n"/>
      <c r="M7" s="456" t="n"/>
      <c r="N7" s="513" t="n"/>
      <c r="O7" s="330">
        <f>800+350+430</f>
        <v/>
      </c>
      <c r="P7" s="331" t="inlineStr">
        <is>
          <t>KG</t>
        </is>
      </c>
    </row>
    <row r="8" ht="15.75" customHeight="1" s="468">
      <c r="A8" s="709" t="n">
        <v>46031</v>
      </c>
      <c r="B8" s="456" t="n"/>
      <c r="C8" s="456" t="n"/>
      <c r="D8" s="513" t="n"/>
      <c r="E8" s="329" t="inlineStr">
        <is>
          <t>2147/2149</t>
        </is>
      </c>
      <c r="F8" s="570" t="inlineStr">
        <is>
          <t>167182.0.A</t>
        </is>
      </c>
      <c r="G8" s="456" t="n"/>
      <c r="H8" s="456" t="n"/>
      <c r="I8" s="456" t="n"/>
      <c r="J8" s="513" t="n"/>
      <c r="K8" s="569" t="inlineStr">
        <is>
          <t>80/20</t>
        </is>
      </c>
      <c r="L8" s="456" t="n"/>
      <c r="M8" s="456" t="n"/>
      <c r="N8" s="513" t="n"/>
      <c r="O8" s="330">
        <f>630+810</f>
        <v/>
      </c>
      <c r="P8" s="331" t="inlineStr">
        <is>
          <t>KG</t>
        </is>
      </c>
    </row>
    <row r="9" ht="15.75" customHeight="1" s="468">
      <c r="A9" s="709" t="n">
        <v>46034</v>
      </c>
      <c r="B9" s="456" t="n"/>
      <c r="C9" s="456" t="n"/>
      <c r="D9" s="513" t="n"/>
      <c r="E9" s="329" t="inlineStr">
        <is>
          <t>2150/2152</t>
        </is>
      </c>
      <c r="F9" s="570" t="inlineStr">
        <is>
          <t>167259.0.A</t>
        </is>
      </c>
      <c r="G9" s="456" t="n"/>
      <c r="H9" s="456" t="n"/>
      <c r="I9" s="456" t="n"/>
      <c r="J9" s="513" t="n"/>
      <c r="K9" s="569" t="inlineStr">
        <is>
          <t>80/20</t>
        </is>
      </c>
      <c r="L9" s="456" t="n"/>
      <c r="M9" s="456" t="n"/>
      <c r="N9" s="513" t="n"/>
      <c r="O9" s="330">
        <f>460+280</f>
        <v/>
      </c>
      <c r="P9" s="331" t="inlineStr">
        <is>
          <t>KG</t>
        </is>
      </c>
    </row>
    <row r="10" ht="15.75" customHeight="1" s="468">
      <c r="A10" s="709" t="n">
        <v>46035</v>
      </c>
      <c r="B10" s="456" t="n"/>
      <c r="C10" s="456" t="n"/>
      <c r="D10" s="513" t="n"/>
      <c r="E10" s="329" t="n">
        <v>2154</v>
      </c>
      <c r="F10" s="570" t="inlineStr">
        <is>
          <t>167324.0.A</t>
        </is>
      </c>
      <c r="G10" s="456" t="n"/>
      <c r="H10" s="456" t="n"/>
      <c r="I10" s="456" t="n"/>
      <c r="J10" s="513" t="n"/>
      <c r="K10" s="569" t="inlineStr">
        <is>
          <t>80/20</t>
        </is>
      </c>
      <c r="L10" s="456" t="n"/>
      <c r="M10" s="456" t="n"/>
      <c r="N10" s="513" t="n"/>
      <c r="O10" s="330">
        <f>230+650</f>
        <v/>
      </c>
      <c r="P10" s="331" t="inlineStr">
        <is>
          <t>KG</t>
        </is>
      </c>
    </row>
    <row r="11" ht="15.75" customHeight="1" s="468">
      <c r="A11" s="709" t="n">
        <v>46038</v>
      </c>
      <c r="B11" s="456" t="n"/>
      <c r="C11" s="456" t="n"/>
      <c r="D11" s="513" t="n"/>
      <c r="E11" s="329" t="inlineStr">
        <is>
          <t>2159/2161</t>
        </is>
      </c>
      <c r="F11" s="570" t="inlineStr">
        <is>
          <t>167491.0.A</t>
        </is>
      </c>
      <c r="G11" s="456" t="n"/>
      <c r="H11" s="456" t="n"/>
      <c r="I11" s="456" t="n"/>
      <c r="J11" s="513" t="n"/>
      <c r="K11" s="569" t="inlineStr">
        <is>
          <t>80/20</t>
        </is>
      </c>
      <c r="L11" s="456" t="n"/>
      <c r="M11" s="456" t="n"/>
      <c r="N11" s="513" t="n"/>
      <c r="O11" s="330">
        <f>800*2</f>
        <v/>
      </c>
      <c r="P11" s="331" t="inlineStr">
        <is>
          <t>KG</t>
        </is>
      </c>
    </row>
    <row r="12" ht="15.75" customHeight="1" s="468">
      <c r="A12" s="709" t="n">
        <v>46039</v>
      </c>
      <c r="B12" s="456" t="n"/>
      <c r="C12" s="456" t="n"/>
      <c r="D12" s="513" t="n"/>
      <c r="E12" s="329" t="n">
        <v>2163</v>
      </c>
      <c r="F12" s="570" t="inlineStr">
        <is>
          <t>167563.0.A</t>
        </is>
      </c>
      <c r="G12" s="456" t="n"/>
      <c r="H12" s="456" t="n"/>
      <c r="I12" s="456" t="n"/>
      <c r="J12" s="513" t="n"/>
      <c r="K12" s="569" t="inlineStr">
        <is>
          <t>80/20</t>
        </is>
      </c>
      <c r="L12" s="456" t="n"/>
      <c r="M12" s="456" t="n"/>
      <c r="N12" s="513" t="n"/>
      <c r="O12" s="330" t="n">
        <v>600</v>
      </c>
      <c r="P12" s="331" t="inlineStr">
        <is>
          <t>KG</t>
        </is>
      </c>
    </row>
    <row r="13" ht="15.75" customHeight="1" s="468">
      <c r="A13" s="709" t="n">
        <v>46041</v>
      </c>
      <c r="B13" s="456" t="n"/>
      <c r="C13" s="456" t="n"/>
      <c r="D13" s="513" t="n"/>
      <c r="E13" s="329" t="inlineStr">
        <is>
          <t>2165/2168</t>
        </is>
      </c>
      <c r="F13" s="570" t="inlineStr">
        <is>
          <t>167601.0.A</t>
        </is>
      </c>
      <c r="G13" s="456" t="n"/>
      <c r="H13" s="456" t="n"/>
      <c r="I13" s="456" t="n"/>
      <c r="J13" s="513" t="n"/>
      <c r="K13" s="569" t="inlineStr">
        <is>
          <t>80/20</t>
        </is>
      </c>
      <c r="L13" s="456" t="n"/>
      <c r="M13" s="456" t="n"/>
      <c r="N13" s="513" t="n"/>
      <c r="O13" s="330">
        <f>650+670</f>
        <v/>
      </c>
      <c r="P13" s="331" t="inlineStr">
        <is>
          <t>KG</t>
        </is>
      </c>
    </row>
    <row r="14" ht="15.75" customHeight="1" s="468">
      <c r="A14" s="709" t="n">
        <v>46042</v>
      </c>
      <c r="B14" s="456" t="n"/>
      <c r="C14" s="456" t="n"/>
      <c r="D14" s="513" t="n"/>
      <c r="E14" s="329" t="n">
        <v>2169</v>
      </c>
      <c r="F14" s="570" t="inlineStr">
        <is>
          <t>167673.0.A</t>
        </is>
      </c>
      <c r="G14" s="456" t="n"/>
      <c r="H14" s="456" t="n"/>
      <c r="I14" s="456" t="n"/>
      <c r="J14" s="513" t="n"/>
      <c r="K14" s="569" t="inlineStr">
        <is>
          <t>80/20</t>
        </is>
      </c>
      <c r="L14" s="456" t="n"/>
      <c r="M14" s="456" t="n"/>
      <c r="N14" s="513" t="n"/>
      <c r="O14" s="330" t="n">
        <v>550</v>
      </c>
      <c r="P14" s="331" t="inlineStr">
        <is>
          <t>KG</t>
        </is>
      </c>
    </row>
    <row r="15" ht="15.75" customHeight="1" s="468">
      <c r="A15" s="709" t="n">
        <v>46043</v>
      </c>
      <c r="B15" s="456" t="n"/>
      <c r="C15" s="456" t="n"/>
      <c r="D15" s="513" t="n"/>
      <c r="E15" s="329" t="n">
        <v>2173</v>
      </c>
      <c r="F15" s="570" t="inlineStr">
        <is>
          <t>167721.0.A</t>
        </is>
      </c>
      <c r="G15" s="456" t="n"/>
      <c r="H15" s="456" t="n"/>
      <c r="I15" s="456" t="n"/>
      <c r="J15" s="513" t="n"/>
      <c r="K15" s="569" t="inlineStr">
        <is>
          <t>80/20</t>
        </is>
      </c>
      <c r="L15" s="456" t="n"/>
      <c r="M15" s="456" t="n"/>
      <c r="N15" s="513" t="n"/>
      <c r="O15" s="330" t="n">
        <v>470</v>
      </c>
      <c r="P15" s="331" t="inlineStr">
        <is>
          <t>KG</t>
        </is>
      </c>
    </row>
    <row r="16" ht="15.75" customHeight="1" s="468">
      <c r="A16" s="709" t="n">
        <v>46048</v>
      </c>
      <c r="B16" s="456" t="n"/>
      <c r="C16" s="456" t="n"/>
      <c r="D16" s="513" t="n"/>
      <c r="E16" s="329" t="n">
        <v>2180</v>
      </c>
      <c r="F16" s="570" t="inlineStr">
        <is>
          <t>167892.0.A</t>
        </is>
      </c>
      <c r="G16" s="456" t="n"/>
      <c r="H16" s="456" t="n"/>
      <c r="I16" s="456" t="n"/>
      <c r="J16" s="513" t="n"/>
      <c r="K16" s="569" t="inlineStr">
        <is>
          <t>80/20</t>
        </is>
      </c>
      <c r="L16" s="456" t="n"/>
      <c r="M16" s="456" t="n"/>
      <c r="N16" s="513" t="n"/>
      <c r="O16" s="330" t="n">
        <v>490</v>
      </c>
      <c r="P16" s="331" t="inlineStr">
        <is>
          <t>KG</t>
        </is>
      </c>
    </row>
    <row r="17" ht="15.75" customHeight="1" s="468">
      <c r="A17" s="709" t="n">
        <v>46049</v>
      </c>
      <c r="B17" s="456" t="n"/>
      <c r="C17" s="456" t="n"/>
      <c r="D17" s="513" t="n"/>
      <c r="E17" s="329" t="inlineStr">
        <is>
          <t>2181/2184</t>
        </is>
      </c>
      <c r="F17" s="570" t="inlineStr">
        <is>
          <t>167995.0.A</t>
        </is>
      </c>
      <c r="G17" s="456" t="n"/>
      <c r="H17" s="456" t="n"/>
      <c r="I17" s="456" t="n"/>
      <c r="J17" s="513" t="n"/>
      <c r="K17" s="569" t="inlineStr">
        <is>
          <t>80/20</t>
        </is>
      </c>
      <c r="L17" s="456" t="n"/>
      <c r="M17" s="456" t="n"/>
      <c r="N17" s="513" t="n"/>
      <c r="O17" s="330">
        <f>640+560</f>
        <v/>
      </c>
      <c r="P17" s="331" t="inlineStr">
        <is>
          <t>KG</t>
        </is>
      </c>
    </row>
    <row r="18" ht="15.75" customHeight="1" s="468">
      <c r="A18" s="709" t="n">
        <v>46051</v>
      </c>
      <c r="B18" s="456" t="n"/>
      <c r="C18" s="456" t="n"/>
      <c r="D18" s="513" t="n"/>
      <c r="E18" s="329" t="inlineStr">
        <is>
          <t>2188/2189</t>
        </is>
      </c>
      <c r="F18" s="570" t="inlineStr">
        <is>
          <t>168089.0.A</t>
        </is>
      </c>
      <c r="G18" s="456" t="n"/>
      <c r="H18" s="456" t="n"/>
      <c r="I18" s="456" t="n"/>
      <c r="J18" s="513" t="n"/>
      <c r="K18" s="569" t="inlineStr">
        <is>
          <t>80/20</t>
        </is>
      </c>
      <c r="L18" s="456" t="n"/>
      <c r="M18" s="456" t="n"/>
      <c r="N18" s="513" t="n"/>
      <c r="O18" s="330">
        <f>748+270</f>
        <v/>
      </c>
      <c r="P18" s="331" t="inlineStr">
        <is>
          <t>KG</t>
        </is>
      </c>
    </row>
    <row r="19" ht="15.75" customHeight="1" s="468">
      <c r="A19" s="709" t="n">
        <v>46052</v>
      </c>
      <c r="B19" s="456" t="n"/>
      <c r="C19" s="456" t="n"/>
      <c r="D19" s="513" t="n"/>
      <c r="E19" s="329" t="inlineStr">
        <is>
          <t>2190/2191</t>
        </is>
      </c>
      <c r="F19" s="570" t="inlineStr">
        <is>
          <t>168155.0.A</t>
        </is>
      </c>
      <c r="G19" s="456" t="n"/>
      <c r="H19" s="456" t="n"/>
      <c r="I19" s="456" t="n"/>
      <c r="J19" s="513" t="n"/>
      <c r="K19" s="569" t="inlineStr">
        <is>
          <t>80/20</t>
        </is>
      </c>
      <c r="L19" s="456" t="n"/>
      <c r="M19" s="456" t="n"/>
      <c r="N19" s="513" t="n"/>
      <c r="O19" s="330">
        <f>800+800</f>
        <v/>
      </c>
      <c r="P19" s="331" t="inlineStr">
        <is>
          <t>KG</t>
        </is>
      </c>
    </row>
    <row r="20" ht="15.75" customHeight="1" s="468">
      <c r="A20" s="709" t="n">
        <v>46053</v>
      </c>
      <c r="B20" s="456" t="n"/>
      <c r="C20" s="456" t="n"/>
      <c r="D20" s="513" t="n"/>
      <c r="E20" s="329" t="n">
        <v>2194</v>
      </c>
      <c r="F20" s="570" t="inlineStr">
        <is>
          <t>168197.0.A</t>
        </is>
      </c>
      <c r="G20" s="456" t="n"/>
      <c r="H20" s="456" t="n"/>
      <c r="I20" s="456" t="n"/>
      <c r="J20" s="513" t="n"/>
      <c r="K20" s="569" t="inlineStr">
        <is>
          <t>80/20</t>
        </is>
      </c>
      <c r="L20" s="456" t="n"/>
      <c r="M20" s="456" t="n"/>
      <c r="N20" s="513" t="n"/>
      <c r="O20" s="330" t="n">
        <v>600</v>
      </c>
      <c r="P20" s="331" t="inlineStr">
        <is>
          <t>KG</t>
        </is>
      </c>
    </row>
    <row r="21" ht="16.5" customHeight="1" s="468">
      <c r="A21" s="709" t="n">
        <v>46055</v>
      </c>
      <c r="B21" s="456" t="n"/>
      <c r="C21" s="456" t="n"/>
      <c r="D21" s="513" t="n"/>
      <c r="E21" s="329" t="inlineStr">
        <is>
          <t>2195/2197</t>
        </is>
      </c>
      <c r="F21" s="570" t="inlineStr">
        <is>
          <t>168230.0.A</t>
        </is>
      </c>
      <c r="G21" s="456" t="n"/>
      <c r="H21" s="456" t="n"/>
      <c r="I21" s="456" t="n"/>
      <c r="J21" s="513" t="n"/>
      <c r="K21" s="569" t="inlineStr">
        <is>
          <t>80/20</t>
        </is>
      </c>
      <c r="L21" s="456" t="n"/>
      <c r="M21" s="456" t="n"/>
      <c r="N21" s="513" t="n"/>
      <c r="O21" s="330">
        <f>560+630</f>
        <v/>
      </c>
      <c r="P21" s="331" t="inlineStr">
        <is>
          <t>KG</t>
        </is>
      </c>
    </row>
    <row r="22" ht="15.75" customHeight="1" s="468">
      <c r="A22" s="709" t="n">
        <v>46056</v>
      </c>
      <c r="B22" s="456" t="n"/>
      <c r="C22" s="456" t="n"/>
      <c r="D22" s="513" t="n"/>
      <c r="E22" s="329" t="inlineStr">
        <is>
          <t>2198/2201</t>
        </is>
      </c>
      <c r="F22" s="570" t="inlineStr">
        <is>
          <t>168278.0.A</t>
        </is>
      </c>
      <c r="G22" s="456" t="n"/>
      <c r="H22" s="456" t="n"/>
      <c r="I22" s="456" t="n"/>
      <c r="J22" s="513" t="n"/>
      <c r="K22" s="569" t="inlineStr">
        <is>
          <t>80/20</t>
        </is>
      </c>
      <c r="L22" s="456" t="n"/>
      <c r="M22" s="456" t="n"/>
      <c r="N22" s="513" t="n"/>
      <c r="O22" s="330">
        <f>700+800</f>
        <v/>
      </c>
      <c r="P22" s="331" t="inlineStr">
        <is>
          <t>KG</t>
        </is>
      </c>
    </row>
    <row r="23" ht="15.75" customHeight="1" s="468">
      <c r="A23" s="709" t="n">
        <v>46057</v>
      </c>
      <c r="B23" s="456" t="n"/>
      <c r="C23" s="456" t="n"/>
      <c r="D23" s="513" t="n"/>
      <c r="E23" s="329" t="inlineStr">
        <is>
          <t>2204/2205</t>
        </is>
      </c>
      <c r="F23" s="570" t="inlineStr">
        <is>
          <t>168327.0.A</t>
        </is>
      </c>
      <c r="G23" s="456" t="n"/>
      <c r="H23" s="456" t="n"/>
      <c r="I23" s="456" t="n"/>
      <c r="J23" s="513" t="n"/>
      <c r="K23" s="569" t="inlineStr">
        <is>
          <t>80/20</t>
        </is>
      </c>
      <c r="L23" s="456" t="n"/>
      <c r="M23" s="456" t="n"/>
      <c r="N23" s="513" t="n"/>
      <c r="O23" s="330">
        <f>792+210</f>
        <v/>
      </c>
      <c r="P23" s="331" t="inlineStr">
        <is>
          <t>KG</t>
        </is>
      </c>
    </row>
    <row r="24" ht="15.75" customHeight="1" s="468">
      <c r="A24" s="709" t="n">
        <v>46058</v>
      </c>
      <c r="B24" s="456" t="n"/>
      <c r="C24" s="456" t="n"/>
      <c r="D24" s="513" t="n"/>
      <c r="E24" s="329" t="inlineStr">
        <is>
          <t>2206/2208</t>
        </is>
      </c>
      <c r="F24" s="570" t="inlineStr">
        <is>
          <t>168377.0.A</t>
        </is>
      </c>
      <c r="G24" s="456" t="n"/>
      <c r="H24" s="456" t="n"/>
      <c r="I24" s="456" t="n"/>
      <c r="J24" s="513" t="n"/>
      <c r="K24" s="569" t="inlineStr">
        <is>
          <t>80/20</t>
        </is>
      </c>
      <c r="L24" s="456" t="n"/>
      <c r="M24" s="456" t="n"/>
      <c r="N24" s="513" t="n"/>
      <c r="O24" s="330">
        <f>740+830</f>
        <v/>
      </c>
      <c r="P24" s="331" t="inlineStr">
        <is>
          <t>KG</t>
        </is>
      </c>
    </row>
    <row r="25" ht="15.75" customHeight="1" s="468">
      <c r="A25" s="709" t="n">
        <v>46062</v>
      </c>
      <c r="B25" s="456" t="n"/>
      <c r="C25" s="456" t="n"/>
      <c r="D25" s="513" t="n"/>
      <c r="E25" s="329" t="inlineStr">
        <is>
          <t>2213/2214</t>
        </is>
      </c>
      <c r="F25" s="570" t="inlineStr">
        <is>
          <t>168500.0.A</t>
        </is>
      </c>
      <c r="G25" s="456" t="n"/>
      <c r="H25" s="456" t="n"/>
      <c r="I25" s="456" t="n"/>
      <c r="J25" s="513" t="n"/>
      <c r="K25" s="569" t="inlineStr">
        <is>
          <t>80/20</t>
        </is>
      </c>
      <c r="L25" s="456" t="n"/>
      <c r="M25" s="456" t="n"/>
      <c r="N25" s="513" t="n"/>
      <c r="O25" s="330">
        <f>730+330</f>
        <v/>
      </c>
      <c r="P25" s="331" t="inlineStr">
        <is>
          <t>KG</t>
        </is>
      </c>
    </row>
    <row r="26" ht="15.75" customHeight="1" s="468">
      <c r="A26" s="709" t="n">
        <v>46063</v>
      </c>
      <c r="B26" s="456" t="n"/>
      <c r="C26" s="456" t="n"/>
      <c r="D26" s="513" t="n"/>
      <c r="E26" s="329" t="n">
        <v>2215</v>
      </c>
      <c r="F26" s="570" t="inlineStr">
        <is>
          <t>168581.0.A</t>
        </is>
      </c>
      <c r="G26" s="456" t="n"/>
      <c r="H26" s="456" t="n"/>
      <c r="I26" s="456" t="n"/>
      <c r="J26" s="513" t="n"/>
      <c r="K26" s="569" t="inlineStr">
        <is>
          <t>80/20</t>
        </is>
      </c>
      <c r="L26" s="456" t="n"/>
      <c r="M26" s="456" t="n"/>
      <c r="N26" s="513" t="n"/>
      <c r="O26" s="330" t="n">
        <v>600</v>
      </c>
      <c r="P26" s="331" t="inlineStr">
        <is>
          <t>KG</t>
        </is>
      </c>
    </row>
    <row r="27" ht="15.75" customHeight="1" s="468">
      <c r="A27" s="709" t="n">
        <v>46064</v>
      </c>
      <c r="B27" s="456" t="n"/>
      <c r="C27" s="456" t="n"/>
      <c r="D27" s="513" t="n"/>
      <c r="E27" s="329" t="inlineStr">
        <is>
          <t>2218/2220</t>
        </is>
      </c>
      <c r="F27" s="570" t="inlineStr">
        <is>
          <t>168633.0.A</t>
        </is>
      </c>
      <c r="G27" s="456" t="n"/>
      <c r="H27" s="456" t="n"/>
      <c r="I27" s="456" t="n"/>
      <c r="J27" s="513" t="n"/>
      <c r="K27" s="569" t="inlineStr">
        <is>
          <t>80/20</t>
        </is>
      </c>
      <c r="L27" s="456" t="n"/>
      <c r="M27" s="456" t="n"/>
      <c r="N27" s="513" t="n"/>
      <c r="O27" s="330">
        <f>800+510</f>
        <v/>
      </c>
      <c r="P27" s="331" t="inlineStr">
        <is>
          <t>KG</t>
        </is>
      </c>
    </row>
    <row r="28" ht="15.75" customHeight="1" s="468">
      <c r="A28" s="709" t="n">
        <v>46065</v>
      </c>
      <c r="B28" s="456" t="n"/>
      <c r="C28" s="456" t="n"/>
      <c r="D28" s="513" t="n"/>
      <c r="E28" s="329" t="inlineStr">
        <is>
          <t>2222/138</t>
        </is>
      </c>
      <c r="F28" s="570" t="inlineStr">
        <is>
          <t>168677.0.A</t>
        </is>
      </c>
      <c r="G28" s="456" t="n"/>
      <c r="H28" s="456" t="n"/>
      <c r="I28" s="456" t="n"/>
      <c r="J28" s="513" t="n"/>
      <c r="K28" s="569" t="inlineStr">
        <is>
          <t>80/20</t>
        </is>
      </c>
      <c r="L28" s="456" t="n"/>
      <c r="M28" s="456" t="n"/>
      <c r="N28" s="513" t="n"/>
      <c r="O28" s="330">
        <f>680+730</f>
        <v/>
      </c>
      <c r="P28" s="331" t="inlineStr">
        <is>
          <t>KG</t>
        </is>
      </c>
    </row>
    <row r="29" ht="15.75" customHeight="1" s="468">
      <c r="A29" s="709" t="n">
        <v>46066</v>
      </c>
      <c r="B29" s="456" t="n"/>
      <c r="C29" s="456" t="n"/>
      <c r="D29" s="513" t="n"/>
      <c r="E29" s="329" t="inlineStr">
        <is>
          <t>2226/2227</t>
        </is>
      </c>
      <c r="F29" s="570" t="inlineStr">
        <is>
          <t>168740.0.A</t>
        </is>
      </c>
      <c r="G29" s="456" t="n"/>
      <c r="H29" s="456" t="n"/>
      <c r="I29" s="456" t="n"/>
      <c r="J29" s="513" t="n"/>
      <c r="K29" s="569" t="inlineStr">
        <is>
          <t>80/20</t>
        </is>
      </c>
      <c r="L29" s="456" t="n"/>
      <c r="M29" s="456" t="n"/>
      <c r="N29" s="513" t="n"/>
      <c r="O29" s="330">
        <f>730+300</f>
        <v/>
      </c>
      <c r="P29" s="331" t="inlineStr">
        <is>
          <t>KG</t>
        </is>
      </c>
    </row>
    <row r="30" ht="15.75" customHeight="1" s="468">
      <c r="A30" s="709" t="n">
        <v>46066</v>
      </c>
      <c r="B30" s="456" t="n"/>
      <c r="C30" s="456" t="n"/>
      <c r="D30" s="513" t="n"/>
      <c r="E30" s="329" t="n">
        <v>2231</v>
      </c>
      <c r="F30" s="570" t="inlineStr">
        <is>
          <t>168929.0.A</t>
        </is>
      </c>
      <c r="G30" s="456" t="n"/>
      <c r="H30" s="456" t="n"/>
      <c r="I30" s="456" t="n"/>
      <c r="J30" s="513" t="n"/>
      <c r="K30" s="569" t="inlineStr">
        <is>
          <t>80/20</t>
        </is>
      </c>
      <c r="L30" s="456" t="n"/>
      <c r="M30" s="456" t="n"/>
      <c r="N30" s="513" t="n"/>
      <c r="O30" s="330" t="n">
        <v>90</v>
      </c>
      <c r="P30" s="331" t="inlineStr">
        <is>
          <t>KG</t>
        </is>
      </c>
    </row>
    <row r="31" ht="15.75" customHeight="1" s="468">
      <c r="A31" s="709" t="n">
        <v>46072</v>
      </c>
      <c r="B31" s="456" t="n"/>
      <c r="C31" s="456" t="n"/>
      <c r="D31" s="513" t="n"/>
      <c r="E31" s="329" t="inlineStr">
        <is>
          <t>2233/2235</t>
        </is>
      </c>
      <c r="F31" s="570" t="inlineStr">
        <is>
          <t>168964.0.A</t>
        </is>
      </c>
      <c r="G31" s="456" t="n"/>
      <c r="H31" s="456" t="n"/>
      <c r="I31" s="456" t="n"/>
      <c r="J31" s="513" t="n"/>
      <c r="K31" s="569" t="inlineStr">
        <is>
          <t>80/20</t>
        </is>
      </c>
      <c r="L31" s="456" t="n"/>
      <c r="M31" s="456" t="n"/>
      <c r="N31" s="513" t="n"/>
      <c r="O31" s="330">
        <f>600+300</f>
        <v/>
      </c>
      <c r="P31" s="331" t="inlineStr">
        <is>
          <t>KG</t>
        </is>
      </c>
    </row>
    <row r="32" ht="15.75" customHeight="1" s="468">
      <c r="A32" s="709" t="n">
        <v>46073</v>
      </c>
      <c r="B32" s="456" t="n"/>
      <c r="C32" s="456" t="n"/>
      <c r="D32" s="513" t="n"/>
      <c r="E32" s="329" t="n">
        <v>2237</v>
      </c>
      <c r="F32" s="570" t="inlineStr">
        <is>
          <t>169021.0.A</t>
        </is>
      </c>
      <c r="G32" s="456" t="n"/>
      <c r="H32" s="456" t="n"/>
      <c r="I32" s="456" t="n"/>
      <c r="J32" s="513" t="n"/>
      <c r="K32" s="569" t="inlineStr">
        <is>
          <t>80/20</t>
        </is>
      </c>
      <c r="L32" s="456" t="n"/>
      <c r="M32" s="456" t="n"/>
      <c r="N32" s="513" t="n"/>
      <c r="O32" s="330" t="n">
        <v>360</v>
      </c>
      <c r="P32" s="331" t="inlineStr">
        <is>
          <t>KG</t>
        </is>
      </c>
    </row>
    <row r="33" ht="15.75" customHeight="1" s="468">
      <c r="A33" s="709" t="n">
        <v>46076</v>
      </c>
      <c r="B33" s="456" t="n"/>
      <c r="C33" s="456" t="n"/>
      <c r="D33" s="513" t="n"/>
      <c r="E33" s="329" t="n">
        <v>2239</v>
      </c>
      <c r="F33" s="570" t="inlineStr">
        <is>
          <t>169095.0.A</t>
        </is>
      </c>
      <c r="G33" s="456" t="n"/>
      <c r="H33" s="456" t="n"/>
      <c r="I33" s="456" t="n"/>
      <c r="J33" s="513" t="n"/>
      <c r="K33" s="569" t="inlineStr">
        <is>
          <t>80/20</t>
        </is>
      </c>
      <c r="L33" s="456" t="n"/>
      <c r="M33" s="456" t="n"/>
      <c r="N33" s="513" t="n"/>
      <c r="O33" s="330" t="n">
        <v>340</v>
      </c>
      <c r="P33" s="331" t="inlineStr">
        <is>
          <t>KG</t>
        </is>
      </c>
    </row>
    <row r="34" ht="15.75" customHeight="1" s="468">
      <c r="A34" s="709" t="n">
        <v>46077</v>
      </c>
      <c r="B34" s="456" t="n"/>
      <c r="C34" s="456" t="n"/>
      <c r="D34" s="513" t="n"/>
      <c r="E34" s="329" t="inlineStr">
        <is>
          <t>2242/2245</t>
        </is>
      </c>
      <c r="F34" s="570" t="inlineStr">
        <is>
          <t>169196.0.A</t>
        </is>
      </c>
      <c r="G34" s="456" t="n"/>
      <c r="H34" s="456" t="n"/>
      <c r="I34" s="456" t="n"/>
      <c r="J34" s="513" t="n"/>
      <c r="K34" s="569" t="inlineStr">
        <is>
          <t>80/20</t>
        </is>
      </c>
      <c r="L34" s="456" t="n"/>
      <c r="M34" s="456" t="n"/>
      <c r="N34" s="513" t="n"/>
      <c r="O34" s="330">
        <f>541+110</f>
        <v/>
      </c>
      <c r="P34" s="331" t="inlineStr">
        <is>
          <t>KG</t>
        </is>
      </c>
    </row>
    <row r="35" ht="15.75" customHeight="1" s="468">
      <c r="A35" s="709" t="n">
        <v>46078</v>
      </c>
      <c r="B35" s="456" t="n"/>
      <c r="C35" s="456" t="n"/>
      <c r="D35" s="513" t="n"/>
      <c r="E35" s="329" t="n">
        <v>2248</v>
      </c>
      <c r="F35" s="570" t="inlineStr">
        <is>
          <t>169244.0.A</t>
        </is>
      </c>
      <c r="G35" s="456" t="n"/>
      <c r="H35" s="456" t="n"/>
      <c r="I35" s="456" t="n"/>
      <c r="J35" s="513" t="n"/>
      <c r="K35" s="569" t="inlineStr">
        <is>
          <t>80/20</t>
        </is>
      </c>
      <c r="L35" s="456" t="n"/>
      <c r="M35" s="456" t="n"/>
      <c r="N35" s="513" t="n"/>
      <c r="O35" s="330" t="n">
        <v>320</v>
      </c>
      <c r="P35" s="331" t="inlineStr">
        <is>
          <t>KG</t>
        </is>
      </c>
    </row>
    <row r="36" ht="15.75" customHeight="1" s="468">
      <c r="A36" s="709" t="n">
        <v>46079</v>
      </c>
      <c r="B36" s="456" t="n"/>
      <c r="C36" s="456" t="n"/>
      <c r="D36" s="513" t="n"/>
      <c r="E36" s="329" t="n">
        <v>2250</v>
      </c>
      <c r="F36" s="570" t="inlineStr">
        <is>
          <t>169298.0.A</t>
        </is>
      </c>
      <c r="G36" s="456" t="n"/>
      <c r="H36" s="456" t="n"/>
      <c r="I36" s="456" t="n"/>
      <c r="J36" s="513" t="n"/>
      <c r="K36" s="569" t="inlineStr">
        <is>
          <t>80/20</t>
        </is>
      </c>
      <c r="L36" s="456" t="n"/>
      <c r="M36" s="456" t="n"/>
      <c r="N36" s="513" t="n"/>
      <c r="O36" s="330" t="n">
        <v>140</v>
      </c>
      <c r="P36" s="331" t="inlineStr">
        <is>
          <t>KG</t>
        </is>
      </c>
    </row>
    <row r="37" ht="15.75" customHeight="1" s="468">
      <c r="A37" s="709" t="n">
        <v>46080</v>
      </c>
      <c r="B37" s="456" t="n"/>
      <c r="C37" s="456" t="n"/>
      <c r="D37" s="513" t="n"/>
      <c r="E37" s="329" t="n">
        <v>2253</v>
      </c>
      <c r="F37" s="570" t="inlineStr">
        <is>
          <t>169349.0.A</t>
        </is>
      </c>
      <c r="G37" s="456" t="n"/>
      <c r="H37" s="456" t="n"/>
      <c r="I37" s="456" t="n"/>
      <c r="J37" s="513" t="n"/>
      <c r="K37" s="569" t="inlineStr">
        <is>
          <t>80/20</t>
        </is>
      </c>
      <c r="L37" s="456" t="n"/>
      <c r="M37" s="456" t="n"/>
      <c r="N37" s="513" t="n"/>
      <c r="O37" s="330" t="n">
        <v>440</v>
      </c>
      <c r="P37" s="331" t="inlineStr">
        <is>
          <t>KG</t>
        </is>
      </c>
    </row>
    <row r="38" ht="15.75" customHeight="1" s="468">
      <c r="A38" s="709" t="n">
        <v>46081</v>
      </c>
      <c r="B38" s="456" t="n"/>
      <c r="C38" s="456" t="n"/>
      <c r="D38" s="513" t="n"/>
      <c r="E38" s="329" t="n">
        <v>2254</v>
      </c>
      <c r="F38" s="570" t="inlineStr">
        <is>
          <t>169461.0.A</t>
        </is>
      </c>
      <c r="G38" s="456" t="n"/>
      <c r="H38" s="456" t="n"/>
      <c r="I38" s="456" t="n"/>
      <c r="J38" s="513" t="n"/>
      <c r="K38" s="569" t="inlineStr">
        <is>
          <t>80/20</t>
        </is>
      </c>
      <c r="L38" s="456" t="n"/>
      <c r="M38" s="456" t="n"/>
      <c r="N38" s="513" t="n"/>
      <c r="O38" s="330" t="n">
        <v>800</v>
      </c>
      <c r="P38" s="331" t="inlineStr">
        <is>
          <t>KG</t>
        </is>
      </c>
    </row>
    <row r="39" ht="15.75" customHeight="1" s="468">
      <c r="A39" s="709" t="n">
        <v>46083</v>
      </c>
      <c r="B39" s="456" t="n"/>
      <c r="C39" s="456" t="n"/>
      <c r="D39" s="513" t="n"/>
      <c r="E39" s="329" t="inlineStr">
        <is>
          <t>2256/2258</t>
        </is>
      </c>
      <c r="F39" s="570" t="inlineStr">
        <is>
          <t>169461.0.A</t>
        </is>
      </c>
      <c r="G39" s="456" t="n"/>
      <c r="H39" s="456" t="n"/>
      <c r="I39" s="456" t="n"/>
      <c r="J39" s="513" t="n"/>
      <c r="K39" s="569" t="inlineStr">
        <is>
          <t>80/20</t>
        </is>
      </c>
      <c r="L39" s="456" t="n"/>
      <c r="M39" s="456" t="n"/>
      <c r="N39" s="513" t="n"/>
      <c r="O39" s="330">
        <f>800+510</f>
        <v/>
      </c>
      <c r="P39" s="331" t="inlineStr">
        <is>
          <t>KG</t>
        </is>
      </c>
    </row>
    <row r="40" ht="15.75" customHeight="1" s="468">
      <c r="A40" s="709" t="n">
        <v>46084</v>
      </c>
      <c r="B40" s="456" t="n"/>
      <c r="C40" s="456" t="n"/>
      <c r="D40" s="513" t="n"/>
      <c r="E40" s="329" t="inlineStr">
        <is>
          <t>2259/2262</t>
        </is>
      </c>
      <c r="F40" s="570" t="inlineStr">
        <is>
          <t>169523.0.A</t>
        </is>
      </c>
      <c r="G40" s="456" t="n"/>
      <c r="H40" s="456" t="n"/>
      <c r="I40" s="456" t="n"/>
      <c r="J40" s="513" t="n"/>
      <c r="K40" s="569" t="inlineStr">
        <is>
          <t>80/20</t>
        </is>
      </c>
      <c r="L40" s="456" t="n"/>
      <c r="M40" s="456" t="n"/>
      <c r="N40" s="513" t="n"/>
      <c r="O40" s="330">
        <f>550+800</f>
        <v/>
      </c>
      <c r="P40" s="331" t="inlineStr">
        <is>
          <t>KG</t>
        </is>
      </c>
    </row>
    <row r="41" ht="15.75" customHeight="1" s="468">
      <c r="A41" s="709" t="n">
        <v>46085</v>
      </c>
      <c r="B41" s="456" t="n"/>
      <c r="C41" s="456" t="n"/>
      <c r="D41" s="513" t="n"/>
      <c r="E41" s="329" t="inlineStr">
        <is>
          <t>2264/2266</t>
        </is>
      </c>
      <c r="F41" s="570" t="inlineStr">
        <is>
          <t>169575.0.A</t>
        </is>
      </c>
      <c r="G41" s="456" t="n"/>
      <c r="H41" s="456" t="n"/>
      <c r="I41" s="456" t="n"/>
      <c r="J41" s="513" t="n"/>
      <c r="K41" s="569" t="inlineStr">
        <is>
          <t>80/20</t>
        </is>
      </c>
      <c r="L41" s="456" t="n"/>
      <c r="M41" s="456" t="n"/>
      <c r="N41" s="513" t="n"/>
      <c r="O41" s="330">
        <f>800*2</f>
        <v/>
      </c>
      <c r="P41" s="331" t="inlineStr">
        <is>
          <t>KG</t>
        </is>
      </c>
    </row>
    <row r="42" ht="15.75" customHeight="1" s="468">
      <c r="A42" s="709" t="n">
        <v>46086</v>
      </c>
      <c r="B42" s="456" t="n"/>
      <c r="C42" s="456" t="n"/>
      <c r="D42" s="513" t="n"/>
      <c r="E42" s="329" t="inlineStr">
        <is>
          <t>2267/2269</t>
        </is>
      </c>
      <c r="F42" s="570" t="inlineStr">
        <is>
          <t>169636.0.A</t>
        </is>
      </c>
      <c r="G42" s="456" t="n"/>
      <c r="H42" s="456" t="n"/>
      <c r="I42" s="456" t="n"/>
      <c r="J42" s="513" t="n"/>
      <c r="K42" s="569" t="inlineStr">
        <is>
          <t>80/20</t>
        </is>
      </c>
      <c r="L42" s="456" t="n"/>
      <c r="M42" s="456" t="n"/>
      <c r="N42" s="513" t="n"/>
      <c r="O42" s="330">
        <f>630+660</f>
        <v/>
      </c>
      <c r="P42" s="331" t="inlineStr">
        <is>
          <t>KG</t>
        </is>
      </c>
      <c r="Q42" s="332">
        <f>SUM(O42:O54)</f>
        <v/>
      </c>
      <c r="R42" s="333" t="inlineStr">
        <is>
          <t>mês</t>
        </is>
      </c>
    </row>
    <row r="43" ht="15.75" customHeight="1" s="468">
      <c r="A43" s="709" t="n">
        <v>46087</v>
      </c>
      <c r="B43" s="456" t="n"/>
      <c r="C43" s="456" t="n"/>
      <c r="D43" s="513" t="n"/>
      <c r="E43" s="329" t="inlineStr">
        <is>
          <t>2272/2273</t>
        </is>
      </c>
      <c r="F43" s="570" t="inlineStr">
        <is>
          <t>169684.0.A</t>
        </is>
      </c>
      <c r="G43" s="456" t="n"/>
      <c r="H43" s="456" t="n"/>
      <c r="I43" s="456" t="n"/>
      <c r="J43" s="513" t="n"/>
      <c r="K43" s="569" t="inlineStr">
        <is>
          <t>80/20</t>
        </is>
      </c>
      <c r="L43" s="456" t="n"/>
      <c r="M43" s="456" t="n"/>
      <c r="N43" s="513" t="n"/>
      <c r="O43" s="330">
        <f>370+110</f>
        <v/>
      </c>
      <c r="P43" s="331" t="inlineStr">
        <is>
          <t>KG</t>
        </is>
      </c>
    </row>
    <row r="44" ht="15.75" customHeight="1" s="468">
      <c r="A44" s="709" t="n">
        <v>46090</v>
      </c>
      <c r="B44" s="456" t="n"/>
      <c r="C44" s="456" t="n"/>
      <c r="D44" s="513" t="n"/>
      <c r="E44" s="329" t="inlineStr">
        <is>
          <t>2275/277</t>
        </is>
      </c>
      <c r="F44" s="570" t="inlineStr">
        <is>
          <t>169738.0.A</t>
        </is>
      </c>
      <c r="G44" s="456" t="n"/>
      <c r="H44" s="456" t="n"/>
      <c r="I44" s="456" t="n"/>
      <c r="J44" s="513" t="n"/>
      <c r="K44" s="569" t="inlineStr">
        <is>
          <t>80/20</t>
        </is>
      </c>
      <c r="L44" s="456" t="n"/>
      <c r="M44" s="456" t="n"/>
      <c r="N44" s="513" t="n"/>
      <c r="O44" s="330">
        <f>800+301</f>
        <v/>
      </c>
      <c r="P44" s="331" t="inlineStr">
        <is>
          <t>KG</t>
        </is>
      </c>
    </row>
    <row r="45" ht="15.75" customHeight="1" s="468">
      <c r="A45" s="709" t="n">
        <v>46091</v>
      </c>
      <c r="B45" s="456" t="n"/>
      <c r="C45" s="456" t="n"/>
      <c r="D45" s="513" t="n"/>
      <c r="E45" s="329" t="n">
        <v>2278</v>
      </c>
      <c r="F45" s="570" t="inlineStr">
        <is>
          <t>169832.0.A</t>
        </is>
      </c>
      <c r="G45" s="456" t="n"/>
      <c r="H45" s="456" t="n"/>
      <c r="I45" s="456" t="n"/>
      <c r="J45" s="513" t="n"/>
      <c r="K45" s="569" t="inlineStr">
        <is>
          <t>80/20</t>
        </is>
      </c>
      <c r="L45" s="456" t="n"/>
      <c r="M45" s="456" t="n"/>
      <c r="N45" s="513" t="n"/>
      <c r="O45" s="330" t="n">
        <v>490</v>
      </c>
      <c r="P45" s="331" t="inlineStr">
        <is>
          <t>KG</t>
        </is>
      </c>
    </row>
    <row r="46" ht="15.75" customHeight="1" s="468">
      <c r="A46" s="709" t="n">
        <v>46092</v>
      </c>
      <c r="B46" s="456" t="n"/>
      <c r="C46" s="456" t="n"/>
      <c r="D46" s="513" t="n"/>
      <c r="E46" s="329" t="inlineStr">
        <is>
          <t>2281/2282</t>
        </is>
      </c>
      <c r="F46" s="570" t="inlineStr">
        <is>
          <t>169880.0.A</t>
        </is>
      </c>
      <c r="G46" s="456" t="n"/>
      <c r="H46" s="456" t="n"/>
      <c r="I46" s="456" t="n"/>
      <c r="J46" s="513" t="n"/>
      <c r="K46" s="569" t="inlineStr">
        <is>
          <t>80/20</t>
        </is>
      </c>
      <c r="L46" s="456" t="n"/>
      <c r="M46" s="456" t="n"/>
      <c r="N46" s="513" t="n"/>
      <c r="O46" s="330">
        <f>800+380</f>
        <v/>
      </c>
      <c r="P46" s="331" t="inlineStr">
        <is>
          <t>KG</t>
        </is>
      </c>
    </row>
    <row r="47" ht="15.75" customHeight="1" s="468">
      <c r="A47" s="709" t="n">
        <v>46093</v>
      </c>
      <c r="B47" s="456" t="n"/>
      <c r="C47" s="456" t="n"/>
      <c r="D47" s="513" t="n"/>
      <c r="E47" s="329" t="n">
        <v>2284</v>
      </c>
      <c r="F47" s="570" t="inlineStr">
        <is>
          <t>169946.0.A</t>
        </is>
      </c>
      <c r="G47" s="456" t="n"/>
      <c r="H47" s="456" t="n"/>
      <c r="I47" s="456" t="n"/>
      <c r="J47" s="513" t="n"/>
      <c r="K47" s="569" t="inlineStr">
        <is>
          <t>80/20</t>
        </is>
      </c>
      <c r="L47" s="456" t="n"/>
      <c r="M47" s="456" t="n"/>
      <c r="N47" s="513" t="n"/>
      <c r="O47" s="330" t="n">
        <v>580</v>
      </c>
      <c r="P47" s="331" t="inlineStr">
        <is>
          <t>KG</t>
        </is>
      </c>
    </row>
    <row r="48" ht="15.75" customHeight="1" s="468">
      <c r="A48" s="709" t="n">
        <v>46094</v>
      </c>
      <c r="B48" s="456" t="n"/>
      <c r="C48" s="456" t="n"/>
      <c r="D48" s="513" t="n"/>
      <c r="E48" s="329" t="inlineStr">
        <is>
          <t>2287/2288</t>
        </is>
      </c>
      <c r="F48" s="570" t="inlineStr">
        <is>
          <t>169993.0.A</t>
        </is>
      </c>
      <c r="G48" s="456" t="n"/>
      <c r="H48" s="456" t="n"/>
      <c r="I48" s="456" t="n"/>
      <c r="J48" s="513" t="n"/>
      <c r="K48" s="569" t="inlineStr">
        <is>
          <t>80/20</t>
        </is>
      </c>
      <c r="L48" s="456" t="n"/>
      <c r="M48" s="456" t="n"/>
      <c r="N48" s="513" t="n"/>
      <c r="O48" s="330">
        <f>800+540</f>
        <v/>
      </c>
      <c r="P48" s="331" t="inlineStr">
        <is>
          <t>KG</t>
        </is>
      </c>
    </row>
    <row r="49" ht="15.75" customHeight="1" s="468">
      <c r="A49" s="709" t="n">
        <v>46097</v>
      </c>
      <c r="B49" s="456" t="n"/>
      <c r="C49" s="456" t="n"/>
      <c r="D49" s="513" t="n"/>
      <c r="E49" s="329" t="inlineStr">
        <is>
          <t>2292/2295</t>
        </is>
      </c>
      <c r="F49" s="570" t="inlineStr">
        <is>
          <t>170061.0.A</t>
        </is>
      </c>
      <c r="G49" s="456" t="n"/>
      <c r="H49" s="456" t="n"/>
      <c r="I49" s="456" t="n"/>
      <c r="J49" s="513" t="n"/>
      <c r="K49" s="569" t="inlineStr">
        <is>
          <t>80/20</t>
        </is>
      </c>
      <c r="L49" s="456" t="n"/>
      <c r="M49" s="456" t="n"/>
      <c r="N49" s="513" t="n"/>
      <c r="O49" s="334">
        <f>720+660</f>
        <v/>
      </c>
      <c r="P49" s="331" t="inlineStr">
        <is>
          <t>KG</t>
        </is>
      </c>
    </row>
    <row r="50" ht="15.75" customHeight="1" s="468">
      <c r="A50" s="709" t="n">
        <v>46098</v>
      </c>
      <c r="B50" s="456" t="n"/>
      <c r="C50" s="456" t="n"/>
      <c r="D50" s="513" t="n"/>
      <c r="E50" s="329" t="n">
        <v>2296</v>
      </c>
      <c r="F50" s="570" t="inlineStr">
        <is>
          <t>170148.0.A</t>
        </is>
      </c>
      <c r="G50" s="456" t="n"/>
      <c r="H50" s="456" t="n"/>
      <c r="I50" s="456" t="n"/>
      <c r="J50" s="513" t="n"/>
      <c r="K50" s="569" t="inlineStr">
        <is>
          <t>80/20</t>
        </is>
      </c>
      <c r="L50" s="456" t="n"/>
      <c r="M50" s="456" t="n"/>
      <c r="N50" s="513" t="n"/>
      <c r="O50" s="334">
        <f>540+740</f>
        <v/>
      </c>
      <c r="P50" s="331" t="inlineStr">
        <is>
          <t>KG</t>
        </is>
      </c>
    </row>
    <row r="51" ht="15.75" customHeight="1" s="468">
      <c r="A51" s="709" t="n">
        <v>46099</v>
      </c>
      <c r="B51" s="456" t="n"/>
      <c r="C51" s="456" t="n"/>
      <c r="D51" s="513" t="n"/>
      <c r="E51" s="329" t="inlineStr">
        <is>
          <t>2300/2302</t>
        </is>
      </c>
      <c r="F51" s="570" t="inlineStr">
        <is>
          <t>1702025.0.A</t>
        </is>
      </c>
      <c r="G51" s="456" t="n"/>
      <c r="H51" s="456" t="n"/>
      <c r="I51" s="456" t="n"/>
      <c r="J51" s="513" t="n"/>
      <c r="K51" s="569" t="inlineStr">
        <is>
          <t>80/20</t>
        </is>
      </c>
      <c r="L51" s="456" t="n"/>
      <c r="M51" s="456" t="n"/>
      <c r="N51" s="513" t="n"/>
      <c r="O51" s="334">
        <f>800+300</f>
        <v/>
      </c>
      <c r="P51" s="331" t="inlineStr">
        <is>
          <t>KG</t>
        </is>
      </c>
    </row>
    <row r="52" ht="15.75" customHeight="1" s="468">
      <c r="A52" s="709" t="n">
        <v>46100</v>
      </c>
      <c r="B52" s="456" t="n"/>
      <c r="C52" s="456" t="n"/>
      <c r="D52" s="513" t="n"/>
      <c r="E52" s="329" t="inlineStr">
        <is>
          <t>2303/2306</t>
        </is>
      </c>
      <c r="F52" s="570" t="inlineStr">
        <is>
          <t>170272.0.A</t>
        </is>
      </c>
      <c r="G52" s="456" t="n"/>
      <c r="H52" s="456" t="n"/>
      <c r="I52" s="456" t="n"/>
      <c r="J52" s="513" t="n"/>
      <c r="K52" s="569" t="inlineStr">
        <is>
          <t>80/20</t>
        </is>
      </c>
      <c r="L52" s="456" t="n"/>
      <c r="M52" s="456" t="n"/>
      <c r="N52" s="513" t="n"/>
      <c r="O52" s="334">
        <f>650+380</f>
        <v/>
      </c>
      <c r="P52" s="331" t="inlineStr">
        <is>
          <t>KG</t>
        </is>
      </c>
    </row>
    <row r="53" ht="15.75" customHeight="1" s="468">
      <c r="A53" s="709" t="n">
        <v>46101</v>
      </c>
      <c r="B53" s="456" t="n"/>
      <c r="C53" s="456" t="n"/>
      <c r="D53" s="513" t="n"/>
      <c r="E53" s="329" t="inlineStr">
        <is>
          <t>2308/2309</t>
        </is>
      </c>
      <c r="F53" s="570" t="inlineStr">
        <is>
          <t>170333.0.A</t>
        </is>
      </c>
      <c r="G53" s="456" t="n"/>
      <c r="H53" s="456" t="n"/>
      <c r="I53" s="456" t="n"/>
      <c r="J53" s="513" t="n"/>
      <c r="K53" s="569" t="inlineStr">
        <is>
          <t>80/20</t>
        </is>
      </c>
      <c r="L53" s="456" t="n"/>
      <c r="M53" s="456" t="n"/>
      <c r="N53" s="513" t="n"/>
      <c r="O53" s="330">
        <f>480+540</f>
        <v/>
      </c>
      <c r="P53" s="331" t="inlineStr">
        <is>
          <t>KG</t>
        </is>
      </c>
    </row>
    <row r="54" ht="15.75" customHeight="1" s="468">
      <c r="A54" s="709" t="n">
        <v>46076</v>
      </c>
      <c r="B54" s="456" t="n"/>
      <c r="C54" s="456" t="n"/>
      <c r="D54" s="513" t="n"/>
      <c r="E54" s="329" t="n">
        <v>2311</v>
      </c>
      <c r="F54" s="570" t="inlineStr">
        <is>
          <t>170387.0.A</t>
        </is>
      </c>
      <c r="G54" s="456" t="n"/>
      <c r="H54" s="456" t="n"/>
      <c r="I54" s="456" t="n"/>
      <c r="J54" s="513" t="n"/>
      <c r="K54" s="569" t="inlineStr">
        <is>
          <t>80/20</t>
        </is>
      </c>
      <c r="L54" s="456" t="n"/>
      <c r="M54" s="456" t="n"/>
      <c r="N54" s="513" t="n"/>
      <c r="O54" s="330" t="n">
        <v>440</v>
      </c>
      <c r="P54" s="331" t="inlineStr">
        <is>
          <t>KG</t>
        </is>
      </c>
      <c r="Q54" s="332">
        <f>SUM(O50:O55)</f>
        <v/>
      </c>
      <c r="R54" s="333" t="inlineStr">
        <is>
          <t>semana</t>
        </is>
      </c>
    </row>
    <row r="55" ht="15.75" customHeight="1" s="468">
      <c r="A55" s="709" t="n">
        <v>46105</v>
      </c>
      <c r="B55" s="456" t="n"/>
      <c r="C55" s="456" t="n"/>
      <c r="D55" s="513" t="n"/>
      <c r="E55" s="329" t="inlineStr">
        <is>
          <t>2314/57</t>
        </is>
      </c>
      <c r="F55" s="570" t="inlineStr">
        <is>
          <t>170496.0.A</t>
        </is>
      </c>
      <c r="G55" s="456" t="n"/>
      <c r="H55" s="456" t="n"/>
      <c r="I55" s="456" t="n"/>
      <c r="J55" s="513" t="n"/>
      <c r="K55" s="569" t="inlineStr">
        <is>
          <t>80/20</t>
        </is>
      </c>
      <c r="L55" s="456" t="n"/>
      <c r="M55" s="456" t="n"/>
      <c r="N55" s="513" t="n"/>
      <c r="O55" s="334">
        <f>800+820</f>
        <v/>
      </c>
      <c r="P55" s="331" t="inlineStr">
        <is>
          <t>KG</t>
        </is>
      </c>
    </row>
    <row r="56" ht="15.75" customHeight="1" s="468">
      <c r="A56" s="709" t="n">
        <v>46106</v>
      </c>
      <c r="B56" s="456" t="n"/>
      <c r="C56" s="456" t="n"/>
      <c r="D56" s="513" t="n"/>
      <c r="E56" s="329" t="n">
        <v>2316</v>
      </c>
      <c r="F56" s="570" t="inlineStr">
        <is>
          <t>170549.0.A</t>
        </is>
      </c>
      <c r="G56" s="456" t="n"/>
      <c r="H56" s="456" t="n"/>
      <c r="I56" s="456" t="n"/>
      <c r="J56" s="513" t="n"/>
      <c r="K56" s="569" t="inlineStr">
        <is>
          <t>80/20</t>
        </is>
      </c>
      <c r="L56" s="456" t="n"/>
      <c r="M56" s="456" t="n"/>
      <c r="N56" s="513" t="n"/>
      <c r="O56" s="334" t="n">
        <v>800</v>
      </c>
      <c r="P56" s="331" t="inlineStr">
        <is>
          <t>KG</t>
        </is>
      </c>
    </row>
    <row r="57" ht="15.75" customHeight="1" s="468">
      <c r="A57" s="709" t="n">
        <v>46107</v>
      </c>
      <c r="B57" s="456" t="n"/>
      <c r="C57" s="456" t="n"/>
      <c r="D57" s="513" t="n"/>
      <c r="E57" s="329" t="inlineStr">
        <is>
          <t>2318/2320</t>
        </is>
      </c>
      <c r="F57" s="570" t="inlineStr">
        <is>
          <t>170615.0.A</t>
        </is>
      </c>
      <c r="G57" s="456" t="n"/>
      <c r="H57" s="456" t="n"/>
      <c r="I57" s="456" t="n"/>
      <c r="J57" s="513" t="n"/>
      <c r="K57" s="569" t="inlineStr">
        <is>
          <t>80/20</t>
        </is>
      </c>
      <c r="L57" s="456" t="n"/>
      <c r="M57" s="456" t="n"/>
      <c r="N57" s="513" t="n"/>
      <c r="O57" s="334">
        <f>400+200</f>
        <v/>
      </c>
      <c r="P57" s="331" t="inlineStr">
        <is>
          <t>KG</t>
        </is>
      </c>
    </row>
    <row r="58" ht="15.75" customHeight="1" s="468">
      <c r="A58" s="709" t="n">
        <v>46108</v>
      </c>
      <c r="B58" s="456" t="n"/>
      <c r="C58" s="456" t="n"/>
      <c r="D58" s="513" t="n"/>
      <c r="E58" s="329" t="inlineStr">
        <is>
          <t>2323/2325</t>
        </is>
      </c>
      <c r="F58" s="570" t="inlineStr">
        <is>
          <t>170669.0.A</t>
        </is>
      </c>
      <c r="G58" s="456" t="n"/>
      <c r="H58" s="456" t="n"/>
      <c r="I58" s="456" t="n"/>
      <c r="J58" s="513" t="n"/>
      <c r="K58" s="569" t="inlineStr">
        <is>
          <t>80/20</t>
        </is>
      </c>
      <c r="L58" s="456" t="n"/>
      <c r="M58" s="456" t="n"/>
      <c r="N58" s="513" t="n"/>
      <c r="O58" s="334">
        <f>430+230</f>
        <v/>
      </c>
      <c r="P58" s="331" t="inlineStr">
        <is>
          <t>KG</t>
        </is>
      </c>
    </row>
    <row r="59" ht="15.75" customHeight="1" s="468">
      <c r="A59" s="709" t="n">
        <v>46111</v>
      </c>
      <c r="B59" s="456" t="n"/>
      <c r="C59" s="456" t="n"/>
      <c r="D59" s="513" t="n"/>
      <c r="E59" s="329" t="n">
        <v>2326</v>
      </c>
      <c r="F59" s="570" t="inlineStr">
        <is>
          <t>170746.0.A</t>
        </is>
      </c>
      <c r="G59" s="456" t="n"/>
      <c r="H59" s="456" t="n"/>
      <c r="I59" s="456" t="n"/>
      <c r="J59" s="513" t="n"/>
      <c r="K59" s="569" t="inlineStr">
        <is>
          <t>80/20</t>
        </is>
      </c>
      <c r="L59" s="456" t="n"/>
      <c r="M59" s="456" t="n"/>
      <c r="N59" s="513" t="n"/>
      <c r="O59" s="334" t="n">
        <v>270</v>
      </c>
      <c r="P59" s="331" t="inlineStr">
        <is>
          <t>KG</t>
        </is>
      </c>
    </row>
    <row r="60" ht="15.75" customHeight="1" s="468">
      <c r="A60" s="709" t="n">
        <v>46112</v>
      </c>
      <c r="B60" s="456" t="n"/>
      <c r="C60" s="456" t="n"/>
      <c r="D60" s="513" t="n"/>
      <c r="E60" s="329" t="n">
        <v>2331</v>
      </c>
      <c r="F60" s="570" t="inlineStr">
        <is>
          <t>170817.0.A</t>
        </is>
      </c>
      <c r="G60" s="456" t="n"/>
      <c r="H60" s="456" t="n"/>
      <c r="I60" s="456" t="n"/>
      <c r="J60" s="513" t="n"/>
      <c r="K60" s="569" t="inlineStr">
        <is>
          <t>80/20</t>
        </is>
      </c>
      <c r="L60" s="456" t="n"/>
      <c r="M60" s="456" t="n"/>
      <c r="N60" s="513" t="n"/>
      <c r="O60" s="334" t="n">
        <v>610</v>
      </c>
      <c r="P60" s="331" t="inlineStr">
        <is>
          <t>KG</t>
        </is>
      </c>
    </row>
    <row r="61" ht="15.75" customHeight="1" s="468">
      <c r="A61" s="709" t="n">
        <v>46113</v>
      </c>
      <c r="B61" s="456" t="n"/>
      <c r="C61" s="456" t="n"/>
      <c r="D61" s="513" t="n"/>
      <c r="E61" s="329" t="n">
        <v>2333</v>
      </c>
      <c r="F61" s="570" t="inlineStr">
        <is>
          <t>170859.0.A</t>
        </is>
      </c>
      <c r="G61" s="456" t="n"/>
      <c r="H61" s="456" t="n"/>
      <c r="I61" s="456" t="n"/>
      <c r="J61" s="513" t="n"/>
      <c r="K61" s="569" t="inlineStr">
        <is>
          <t>80/20</t>
        </is>
      </c>
      <c r="L61" s="456" t="n"/>
      <c r="M61" s="456" t="n"/>
      <c r="N61" s="513" t="n"/>
      <c r="O61" s="334" t="n">
        <v>210</v>
      </c>
      <c r="P61" s="331" t="inlineStr">
        <is>
          <t>KG</t>
        </is>
      </c>
    </row>
    <row r="62" ht="15.75" customHeight="1" s="468">
      <c r="A62" s="709" t="n">
        <v>46114</v>
      </c>
      <c r="B62" s="456" t="n"/>
      <c r="C62" s="456" t="n"/>
      <c r="D62" s="513" t="n"/>
      <c r="E62" s="329" t="n">
        <v>2336</v>
      </c>
      <c r="F62" s="570" t="inlineStr">
        <is>
          <t>170916.0.A</t>
        </is>
      </c>
      <c r="G62" s="456" t="n"/>
      <c r="H62" s="456" t="n"/>
      <c r="I62" s="456" t="n"/>
      <c r="J62" s="513" t="n"/>
      <c r="K62" s="569" t="inlineStr">
        <is>
          <t>80/20</t>
        </is>
      </c>
      <c r="L62" s="456" t="n"/>
      <c r="M62" s="456" t="n"/>
      <c r="N62" s="513" t="n"/>
      <c r="O62" s="334" t="n">
        <v>440</v>
      </c>
      <c r="P62" s="331" t="inlineStr">
        <is>
          <t>KG</t>
        </is>
      </c>
    </row>
    <row r="63" ht="15.75" customHeight="1" s="468">
      <c r="A63" s="709" t="n">
        <v>46120</v>
      </c>
      <c r="B63" s="456" t="n"/>
      <c r="C63" s="456" t="n"/>
      <c r="D63" s="513" t="n"/>
      <c r="E63" s="329" t="inlineStr">
        <is>
          <t>2347/2348</t>
        </is>
      </c>
      <c r="F63" s="570" t="inlineStr">
        <is>
          <t>171098.0.A</t>
        </is>
      </c>
      <c r="G63" s="456" t="n"/>
      <c r="H63" s="456" t="n"/>
      <c r="I63" s="456" t="n"/>
      <c r="J63" s="513" t="n"/>
      <c r="K63" s="569" t="inlineStr">
        <is>
          <t>80/20</t>
        </is>
      </c>
      <c r="L63" s="456" t="n"/>
      <c r="M63" s="456" t="n"/>
      <c r="N63" s="513" t="n"/>
      <c r="O63" s="334">
        <f>330+800</f>
        <v/>
      </c>
      <c r="P63" s="331" t="inlineStr">
        <is>
          <t>KG</t>
        </is>
      </c>
    </row>
    <row r="64" ht="15.75" customHeight="1" s="468">
      <c r="A64" s="709" t="n">
        <v>46121</v>
      </c>
      <c r="B64" s="456" t="n"/>
      <c r="C64" s="456" t="n"/>
      <c r="D64" s="513" t="n"/>
      <c r="E64" s="329" t="inlineStr">
        <is>
          <t>2349/2351</t>
        </is>
      </c>
      <c r="F64" s="570" t="inlineStr">
        <is>
          <t>171146.0.A</t>
        </is>
      </c>
      <c r="G64" s="456" t="n"/>
      <c r="H64" s="456" t="n"/>
      <c r="I64" s="456" t="n"/>
      <c r="J64" s="513" t="n"/>
      <c r="K64" s="569" t="inlineStr">
        <is>
          <t>80/20</t>
        </is>
      </c>
      <c r="L64" s="456" t="n"/>
      <c r="M64" s="456" t="n"/>
      <c r="N64" s="513" t="n"/>
      <c r="O64" s="334">
        <f>530+800</f>
        <v/>
      </c>
      <c r="P64" s="331" t="inlineStr">
        <is>
          <t>KG</t>
        </is>
      </c>
    </row>
    <row r="65" ht="15.75" customHeight="1" s="468">
      <c r="A65" s="709" t="n">
        <v>46122</v>
      </c>
      <c r="B65" s="456" t="n"/>
      <c r="C65" s="456" t="n"/>
      <c r="D65" s="513" t="n"/>
      <c r="E65" s="329" t="n">
        <v>2352</v>
      </c>
      <c r="F65" s="570" t="inlineStr">
        <is>
          <t>171198.0.A</t>
        </is>
      </c>
      <c r="G65" s="456" t="n"/>
      <c r="H65" s="456" t="n"/>
      <c r="I65" s="456" t="n"/>
      <c r="J65" s="513" t="n"/>
      <c r="K65" s="569" t="inlineStr">
        <is>
          <t>80/20</t>
        </is>
      </c>
      <c r="L65" s="456" t="n"/>
      <c r="M65" s="456" t="n"/>
      <c r="N65" s="513" t="n"/>
      <c r="O65" s="334" t="n">
        <v>170</v>
      </c>
      <c r="P65" s="331" t="inlineStr">
        <is>
          <t>KG</t>
        </is>
      </c>
    </row>
    <row r="66" ht="15.75" customHeight="1" s="468">
      <c r="A66" s="709" t="n">
        <v>46125</v>
      </c>
      <c r="B66" s="456" t="n"/>
      <c r="C66" s="456" t="n"/>
      <c r="D66" s="513" t="n"/>
      <c r="E66" s="329" t="inlineStr">
        <is>
          <t>2355/2357</t>
        </is>
      </c>
      <c r="F66" s="570" t="inlineStr">
        <is>
          <t>171307.0.A</t>
        </is>
      </c>
      <c r="G66" s="456" t="n"/>
      <c r="H66" s="456" t="n"/>
      <c r="I66" s="456" t="n"/>
      <c r="J66" s="513" t="n"/>
      <c r="K66" s="569" t="inlineStr">
        <is>
          <t>80/20</t>
        </is>
      </c>
      <c r="L66" s="456" t="n"/>
      <c r="M66" s="456" t="n"/>
      <c r="N66" s="513" t="n"/>
      <c r="O66" s="334">
        <f>800+360</f>
        <v/>
      </c>
      <c r="P66" s="331" t="inlineStr">
        <is>
          <t>KG</t>
        </is>
      </c>
    </row>
    <row r="67" ht="15.75" customHeight="1" s="468">
      <c r="A67" s="709" t="n">
        <v>46126</v>
      </c>
      <c r="B67" s="456" t="n"/>
      <c r="C67" s="456" t="n"/>
      <c r="D67" s="513" t="n"/>
      <c r="E67" s="329" t="inlineStr">
        <is>
          <t>2358/2361</t>
        </is>
      </c>
      <c r="F67" s="570" t="inlineStr">
        <is>
          <t>171392.0.A</t>
        </is>
      </c>
      <c r="G67" s="456" t="n"/>
      <c r="H67" s="456" t="n"/>
      <c r="I67" s="456" t="n"/>
      <c r="J67" s="513" t="n"/>
      <c r="K67" s="569" t="inlineStr">
        <is>
          <t>80/20</t>
        </is>
      </c>
      <c r="L67" s="456" t="n"/>
      <c r="M67" s="456" t="n"/>
      <c r="N67" s="513" t="n"/>
      <c r="O67" s="334">
        <f>410+710</f>
        <v/>
      </c>
      <c r="P67" s="331" t="inlineStr">
        <is>
          <t>KG</t>
        </is>
      </c>
    </row>
    <row r="68" ht="15.75" customHeight="1" s="468">
      <c r="A68" s="709" t="n">
        <v>46127</v>
      </c>
      <c r="B68" s="456" t="n"/>
      <c r="C68" s="456" t="n"/>
      <c r="D68" s="513" t="n"/>
      <c r="E68" s="329" t="inlineStr">
        <is>
          <t>2363/2365</t>
        </is>
      </c>
      <c r="F68" s="570" t="inlineStr">
        <is>
          <t>171440.0.A</t>
        </is>
      </c>
      <c r="G68" s="456" t="n"/>
      <c r="H68" s="456" t="n"/>
      <c r="I68" s="456" t="n"/>
      <c r="J68" s="513" t="n"/>
      <c r="K68" s="569" t="inlineStr">
        <is>
          <t>80/20</t>
        </is>
      </c>
      <c r="L68" s="456" t="n"/>
      <c r="M68" s="456" t="n"/>
      <c r="N68" s="513" t="n"/>
      <c r="O68" s="334">
        <f>801+800</f>
        <v/>
      </c>
      <c r="P68" s="331" t="inlineStr">
        <is>
          <t>KG</t>
        </is>
      </c>
    </row>
    <row r="69" ht="15.75" customHeight="1" s="468">
      <c r="A69" s="709" t="n">
        <v>46128</v>
      </c>
      <c r="B69" s="456" t="n"/>
      <c r="C69" s="456" t="n"/>
      <c r="D69" s="513" t="n"/>
      <c r="E69" s="329" t="n">
        <v>2367</v>
      </c>
      <c r="F69" s="570" t="inlineStr">
        <is>
          <t>171476.0.A</t>
        </is>
      </c>
      <c r="G69" s="456" t="n"/>
      <c r="H69" s="456" t="n"/>
      <c r="I69" s="456" t="n"/>
      <c r="J69" s="513" t="n"/>
      <c r="K69" s="569" t="inlineStr">
        <is>
          <t>80/20</t>
        </is>
      </c>
      <c r="L69" s="456" t="n"/>
      <c r="M69" s="456" t="n"/>
      <c r="N69" s="513" t="n"/>
      <c r="O69" s="334" t="n">
        <v>670</v>
      </c>
      <c r="P69" s="331" t="inlineStr">
        <is>
          <t>KG</t>
        </is>
      </c>
    </row>
    <row r="70" ht="15.75" customHeight="1" s="468">
      <c r="A70" s="709" t="n">
        <v>46129</v>
      </c>
      <c r="B70" s="456" t="n"/>
      <c r="C70" s="456" t="n"/>
      <c r="D70" s="513" t="n"/>
      <c r="E70" s="329" t="n">
        <v>2369</v>
      </c>
      <c r="F70" s="570" t="inlineStr">
        <is>
          <t>171551.0.A</t>
        </is>
      </c>
      <c r="G70" s="456" t="n"/>
      <c r="H70" s="456" t="n"/>
      <c r="I70" s="456" t="n"/>
      <c r="J70" s="513" t="n"/>
      <c r="K70" s="569" t="inlineStr">
        <is>
          <t>80/20</t>
        </is>
      </c>
      <c r="L70" s="456" t="n"/>
      <c r="M70" s="456" t="n"/>
      <c r="N70" s="513" t="n"/>
      <c r="O70" s="334" t="n">
        <v>300</v>
      </c>
      <c r="P70" s="331" t="inlineStr">
        <is>
          <t>KG</t>
        </is>
      </c>
    </row>
    <row r="71" ht="15.75" customHeight="1" s="468">
      <c r="A71" s="709" t="n">
        <v>46130</v>
      </c>
      <c r="B71" s="456" t="n"/>
      <c r="C71" s="456" t="n"/>
      <c r="D71" s="513" t="n"/>
      <c r="E71" s="329" t="inlineStr">
        <is>
          <t>2370/2371</t>
        </is>
      </c>
      <c r="F71" s="570" t="inlineStr">
        <is>
          <t>171598.0.A</t>
        </is>
      </c>
      <c r="G71" s="456" t="n"/>
      <c r="H71" s="456" t="n"/>
      <c r="I71" s="456" t="n"/>
      <c r="J71" s="513" t="n"/>
      <c r="K71" s="569" t="inlineStr">
        <is>
          <t>80/20</t>
        </is>
      </c>
      <c r="L71" s="456" t="n"/>
      <c r="M71" s="456" t="n"/>
      <c r="N71" s="513" t="n"/>
      <c r="O71" s="334">
        <f>570+450</f>
        <v/>
      </c>
      <c r="P71" s="331" t="inlineStr">
        <is>
          <t>KG</t>
        </is>
      </c>
    </row>
    <row r="72" ht="15.75" customHeight="1" s="468">
      <c r="A72" s="709" t="n">
        <v>46132</v>
      </c>
      <c r="B72" s="456" t="n"/>
      <c r="C72" s="456" t="n"/>
      <c r="D72" s="513" t="n"/>
      <c r="E72" s="329" t="inlineStr">
        <is>
          <t>2373/2375</t>
        </is>
      </c>
      <c r="F72" s="570" t="inlineStr">
        <is>
          <t>171641.0.A</t>
        </is>
      </c>
      <c r="G72" s="456" t="n"/>
      <c r="H72" s="456" t="n"/>
      <c r="I72" s="456" t="n"/>
      <c r="J72" s="513" t="n"/>
      <c r="K72" s="569" t="inlineStr">
        <is>
          <t>80/20</t>
        </is>
      </c>
      <c r="L72" s="456" t="n"/>
      <c r="M72" s="456" t="n"/>
      <c r="N72" s="513" t="n"/>
      <c r="O72" s="334">
        <f>670+520</f>
        <v/>
      </c>
      <c r="P72" s="331" t="inlineStr">
        <is>
          <t>KG</t>
        </is>
      </c>
    </row>
    <row r="73" ht="15.75" customHeight="1" s="468">
      <c r="A73" s="709" t="n">
        <v>46133</v>
      </c>
      <c r="B73" s="456" t="n"/>
      <c r="C73" s="456" t="n"/>
      <c r="D73" s="513" t="n"/>
      <c r="E73" s="329" t="inlineStr">
        <is>
          <t>2376/2377/2378</t>
        </is>
      </c>
      <c r="F73" s="570" t="inlineStr">
        <is>
          <t>171687.0.A</t>
        </is>
      </c>
      <c r="G73" s="456" t="n"/>
      <c r="H73" s="456" t="n"/>
      <c r="I73" s="456" t="n"/>
      <c r="J73" s="513" t="n"/>
      <c r="K73" s="569" t="inlineStr">
        <is>
          <t>80/20</t>
        </is>
      </c>
      <c r="L73" s="456" t="n"/>
      <c r="M73" s="456" t="n"/>
      <c r="N73" s="513" t="n"/>
      <c r="O73" s="334">
        <f>800+700+350</f>
        <v/>
      </c>
      <c r="P73" s="331" t="inlineStr">
        <is>
          <t>KG</t>
        </is>
      </c>
    </row>
    <row r="74" ht="15.75" customHeight="1" s="468">
      <c r="A74" s="709" t="n">
        <v>46134</v>
      </c>
      <c r="B74" s="456" t="n"/>
      <c r="C74" s="456" t="n"/>
      <c r="D74" s="513" t="n"/>
      <c r="E74" s="329" t="inlineStr">
        <is>
          <t>2380/4438846</t>
        </is>
      </c>
      <c r="F74" s="570" t="inlineStr">
        <is>
          <t>171713.0.A</t>
        </is>
      </c>
      <c r="G74" s="456" t="n"/>
      <c r="H74" s="456" t="n"/>
      <c r="I74" s="456" t="n"/>
      <c r="J74" s="513" t="n"/>
      <c r="K74" s="569" t="inlineStr">
        <is>
          <t>80/20</t>
        </is>
      </c>
      <c r="L74" s="456" t="n"/>
      <c r="M74" s="456" t="n"/>
      <c r="N74" s="513" t="n"/>
      <c r="O74" s="334">
        <f>800+540</f>
        <v/>
      </c>
      <c r="P74" s="331" t="inlineStr">
        <is>
          <t>KG</t>
        </is>
      </c>
    </row>
    <row r="75" ht="15.75" customHeight="1" s="468">
      <c r="A75" s="709" t="n">
        <v>46135</v>
      </c>
      <c r="B75" s="456" t="n"/>
      <c r="C75" s="456" t="n"/>
      <c r="D75" s="513" t="n"/>
      <c r="E75" s="329" t="inlineStr">
        <is>
          <t>2382/2385</t>
        </is>
      </c>
      <c r="F75" s="570" t="inlineStr">
        <is>
          <t>171761.0.A</t>
        </is>
      </c>
      <c r="G75" s="456" t="n"/>
      <c r="H75" s="456" t="n"/>
      <c r="I75" s="456" t="n"/>
      <c r="J75" s="513" t="n"/>
      <c r="K75" s="569" t="inlineStr">
        <is>
          <t>80/20</t>
        </is>
      </c>
      <c r="L75" s="456" t="n"/>
      <c r="M75" s="456" t="n"/>
      <c r="N75" s="513" t="n"/>
      <c r="O75" s="334">
        <f>630+800</f>
        <v/>
      </c>
      <c r="P75" s="331" t="inlineStr">
        <is>
          <t>KG</t>
        </is>
      </c>
    </row>
    <row r="76" ht="15.75" customHeight="1" s="468">
      <c r="A76" s="709" t="n">
        <v>46136</v>
      </c>
      <c r="B76" s="456" t="n"/>
      <c r="C76" s="456" t="n"/>
      <c r="D76" s="513" t="n"/>
      <c r="E76" s="329" t="inlineStr">
        <is>
          <t>2387/2388</t>
        </is>
      </c>
      <c r="F76" s="570" t="inlineStr">
        <is>
          <t>171814.0.A</t>
        </is>
      </c>
      <c r="G76" s="456" t="n"/>
      <c r="H76" s="456" t="n"/>
      <c r="I76" s="456" t="n"/>
      <c r="J76" s="513" t="n"/>
      <c r="K76" s="569" t="inlineStr">
        <is>
          <t>80/20</t>
        </is>
      </c>
      <c r="L76" s="456" t="n"/>
      <c r="M76" s="456" t="n"/>
      <c r="N76" s="513" t="n"/>
      <c r="O76" s="334">
        <f>650+140</f>
        <v/>
      </c>
      <c r="P76" s="331" t="inlineStr">
        <is>
          <t>KG</t>
        </is>
      </c>
    </row>
    <row r="77" ht="15.75" customHeight="1" s="468">
      <c r="A77" s="709" t="n">
        <v>46137</v>
      </c>
      <c r="B77" s="456" t="n"/>
      <c r="C77" s="456" t="n"/>
      <c r="D77" s="513" t="n"/>
      <c r="E77" s="329" t="inlineStr">
        <is>
          <t>2389/2390</t>
        </is>
      </c>
      <c r="F77" s="570" t="inlineStr">
        <is>
          <t>171865.0.A</t>
        </is>
      </c>
      <c r="G77" s="456" t="n"/>
      <c r="H77" s="456" t="n"/>
      <c r="I77" s="456" t="n"/>
      <c r="J77" s="513" t="n"/>
      <c r="K77" s="569" t="inlineStr">
        <is>
          <t>80/20</t>
        </is>
      </c>
      <c r="L77" s="456" t="n"/>
      <c r="M77" s="456" t="n"/>
      <c r="N77" s="513" t="n"/>
      <c r="O77" s="334">
        <f>180+320</f>
        <v/>
      </c>
      <c r="P77" s="331" t="inlineStr">
        <is>
          <t>KG</t>
        </is>
      </c>
    </row>
    <row r="78" ht="15.75" customHeight="1" s="468">
      <c r="A78" s="709" t="n">
        <v>46139</v>
      </c>
      <c r="B78" s="456" t="n"/>
      <c r="C78" s="456" t="n"/>
      <c r="D78" s="513" t="n"/>
      <c r="E78" s="329" t="n">
        <v>2392</v>
      </c>
      <c r="F78" s="570" t="inlineStr">
        <is>
          <t>171865.0.A</t>
        </is>
      </c>
      <c r="G78" s="456" t="n"/>
      <c r="H78" s="456" t="n"/>
      <c r="I78" s="456" t="n"/>
      <c r="J78" s="513" t="n"/>
      <c r="K78" s="569" t="inlineStr">
        <is>
          <t>80/20</t>
        </is>
      </c>
      <c r="L78" s="456" t="n"/>
      <c r="M78" s="456" t="n"/>
      <c r="N78" s="513" t="n"/>
      <c r="O78" s="334" t="n">
        <v>500</v>
      </c>
      <c r="P78" s="331" t="inlineStr">
        <is>
          <t>KG</t>
        </is>
      </c>
    </row>
    <row r="79" ht="15.75" customHeight="1" s="468">
      <c r="A79" s="709" t="n">
        <v>46140</v>
      </c>
      <c r="B79" s="456" t="n"/>
      <c r="C79" s="456" t="n"/>
      <c r="D79" s="513" t="n"/>
      <c r="E79" s="329" t="n">
        <v>2394</v>
      </c>
      <c r="F79" s="570" t="inlineStr">
        <is>
          <t>171958.0.A</t>
        </is>
      </c>
      <c r="G79" s="456" t="n"/>
      <c r="H79" s="456" t="n"/>
      <c r="I79" s="456" t="n"/>
      <c r="J79" s="513" t="n"/>
      <c r="K79" s="569" t="inlineStr">
        <is>
          <t>80/20</t>
        </is>
      </c>
      <c r="L79" s="456" t="n"/>
      <c r="M79" s="456" t="n"/>
      <c r="N79" s="513" t="n"/>
      <c r="O79" s="334" t="n">
        <v>460</v>
      </c>
      <c r="P79" s="331" t="inlineStr">
        <is>
          <t>KG</t>
        </is>
      </c>
    </row>
    <row r="80" ht="15.75" customHeight="1" s="468">
      <c r="A80" s="709" t="n">
        <v>46141</v>
      </c>
      <c r="B80" s="456" t="n"/>
      <c r="C80" s="456" t="n"/>
      <c r="D80" s="513" t="n"/>
      <c r="E80" s="329" t="inlineStr">
        <is>
          <t>2396/2398/2399</t>
        </is>
      </c>
      <c r="F80" s="570" t="inlineStr">
        <is>
          <t>172010.0.A</t>
        </is>
      </c>
      <c r="G80" s="456" t="n"/>
      <c r="H80" s="456" t="n"/>
      <c r="I80" s="456" t="n"/>
      <c r="J80" s="513" t="n"/>
      <c r="K80" s="569" t="inlineStr">
        <is>
          <t>80/20</t>
        </is>
      </c>
      <c r="L80" s="456" t="n"/>
      <c r="M80" s="456" t="n"/>
      <c r="N80" s="513" t="n"/>
      <c r="O80" s="334">
        <f>800+800+400</f>
        <v/>
      </c>
      <c r="P80" s="331" t="inlineStr">
        <is>
          <t>KG</t>
        </is>
      </c>
    </row>
    <row r="81" ht="15.75" customHeight="1" s="468">
      <c r="A81" s="709" t="n">
        <v>46142</v>
      </c>
      <c r="B81" s="456" t="n"/>
      <c r="C81" s="456" t="n"/>
      <c r="D81" s="513" t="n"/>
      <c r="E81" s="329" t="inlineStr">
        <is>
          <t>2400/2401/2402</t>
        </is>
      </c>
      <c r="F81" s="570" t="inlineStr">
        <is>
          <t>172056.0.A</t>
        </is>
      </c>
      <c r="G81" s="456" t="n"/>
      <c r="H81" s="456" t="n"/>
      <c r="I81" s="456" t="n"/>
      <c r="J81" s="513" t="n"/>
      <c r="K81" s="569" t="inlineStr">
        <is>
          <t>80/20</t>
        </is>
      </c>
      <c r="L81" s="456" t="n"/>
      <c r="M81" s="456" t="n"/>
      <c r="N81" s="513" t="n"/>
      <c r="O81" s="334">
        <f>580+670+500</f>
        <v/>
      </c>
      <c r="P81" s="331" t="inlineStr">
        <is>
          <t>KG</t>
        </is>
      </c>
    </row>
    <row r="82" ht="15.75" customHeight="1" s="468">
      <c r="A82" s="709" t="n">
        <v>46143</v>
      </c>
      <c r="B82" s="456" t="n"/>
      <c r="C82" s="456" t="n"/>
      <c r="D82" s="513" t="n"/>
      <c r="E82" s="440" t="inlineStr">
        <is>
          <t>2403/2404/2405</t>
        </is>
      </c>
      <c r="F82" s="570" t="inlineStr">
        <is>
          <t>172150.0.A</t>
        </is>
      </c>
      <c r="G82" s="456" t="n"/>
      <c r="H82" s="456" t="n"/>
      <c r="I82" s="456" t="n"/>
      <c r="J82" s="513" t="n"/>
      <c r="K82" s="569" t="inlineStr">
        <is>
          <t>80/20</t>
        </is>
      </c>
      <c r="L82" s="456" t="n"/>
      <c r="M82" s="456" t="n"/>
      <c r="N82" s="513" t="n"/>
      <c r="O82" s="335" t="n">
        <v>1630</v>
      </c>
      <c r="P82" s="331" t="inlineStr">
        <is>
          <t>KG</t>
        </is>
      </c>
    </row>
    <row r="83" ht="15.75" customHeight="1" s="468">
      <c r="A83" s="710" t="n">
        <v>46144</v>
      </c>
      <c r="B83" s="456" t="n"/>
      <c r="C83" s="456" t="n"/>
      <c r="D83" s="513" t="n"/>
      <c r="E83" s="440" t="n">
        <v>2406</v>
      </c>
      <c r="F83" s="573" t="inlineStr">
        <is>
          <t>172150.0.A</t>
        </is>
      </c>
      <c r="G83" s="456" t="n"/>
      <c r="H83" s="456" t="n"/>
      <c r="I83" s="456" t="n"/>
      <c r="J83" s="513" t="n"/>
      <c r="K83" s="576" t="inlineStr">
        <is>
          <t>80/20</t>
        </is>
      </c>
      <c r="L83" s="456" t="n"/>
      <c r="M83" s="456" t="n"/>
      <c r="N83" s="513" t="n"/>
      <c r="O83" s="334">
        <f>380+540</f>
        <v/>
      </c>
      <c r="P83" s="331" t="inlineStr">
        <is>
          <t>KG</t>
        </is>
      </c>
    </row>
    <row r="84" ht="15.75" customHeight="1" s="468">
      <c r="A84" s="710" t="n">
        <v>46146</v>
      </c>
      <c r="B84" s="456" t="n"/>
      <c r="C84" s="456" t="n"/>
      <c r="D84" s="513" t="n"/>
      <c r="E84" s="440" t="inlineStr">
        <is>
          <t>2409/2411</t>
        </is>
      </c>
      <c r="F84" s="573" t="inlineStr">
        <is>
          <t>172156.0.A</t>
        </is>
      </c>
      <c r="G84" s="456" t="n"/>
      <c r="H84" s="456" t="n"/>
      <c r="I84" s="456" t="n"/>
      <c r="J84" s="513" t="n"/>
      <c r="K84" s="576" t="inlineStr">
        <is>
          <t>80/20</t>
        </is>
      </c>
      <c r="L84" s="456" t="n"/>
      <c r="M84" s="456" t="n"/>
      <c r="N84" s="513" t="n"/>
      <c r="O84" s="334">
        <f>560+420</f>
        <v/>
      </c>
      <c r="P84" s="331" t="inlineStr">
        <is>
          <t>KG</t>
        </is>
      </c>
    </row>
    <row r="85" ht="15.75" customHeight="1" s="468">
      <c r="A85" s="711" t="n"/>
      <c r="B85" s="456" t="n"/>
      <c r="C85" s="456" t="n"/>
      <c r="D85" s="513" t="n"/>
      <c r="E85" s="336" t="n"/>
      <c r="F85" s="572" t="n"/>
      <c r="G85" s="456" t="n"/>
      <c r="H85" s="456" t="n"/>
      <c r="I85" s="456" t="n"/>
      <c r="J85" s="513" t="n"/>
      <c r="K85" s="571" t="inlineStr">
        <is>
          <t>80/20</t>
        </is>
      </c>
      <c r="L85" s="456" t="n"/>
      <c r="M85" s="456" t="n"/>
      <c r="N85" s="513" t="n"/>
      <c r="O85" s="334" t="n"/>
      <c r="P85" s="331" t="inlineStr">
        <is>
          <t>KG</t>
        </is>
      </c>
    </row>
    <row r="86" ht="15.75" customHeight="1" s="468">
      <c r="A86" s="711" t="n"/>
      <c r="B86" s="456" t="n"/>
      <c r="C86" s="456" t="n"/>
      <c r="D86" s="513" t="n"/>
      <c r="E86" s="336" t="n"/>
      <c r="F86" s="572" t="n"/>
      <c r="G86" s="456" t="n"/>
      <c r="H86" s="456" t="n"/>
      <c r="I86" s="456" t="n"/>
      <c r="J86" s="513" t="n"/>
      <c r="K86" s="571" t="inlineStr">
        <is>
          <t>80/20</t>
        </is>
      </c>
      <c r="L86" s="456" t="n"/>
      <c r="M86" s="456" t="n"/>
      <c r="N86" s="513" t="n"/>
      <c r="O86" s="334" t="n"/>
      <c r="P86" s="331" t="inlineStr">
        <is>
          <t>KG</t>
        </is>
      </c>
    </row>
    <row r="87" ht="15.75" customHeight="1" s="468">
      <c r="A87" s="711" t="n"/>
      <c r="B87" s="456" t="n"/>
      <c r="C87" s="456" t="n"/>
      <c r="D87" s="513" t="n"/>
      <c r="E87" s="336" t="n"/>
      <c r="F87" s="572" t="n"/>
      <c r="G87" s="456" t="n"/>
      <c r="H87" s="456" t="n"/>
      <c r="I87" s="456" t="n"/>
      <c r="J87" s="513" t="n"/>
      <c r="K87" s="571" t="inlineStr">
        <is>
          <t>80/20</t>
        </is>
      </c>
      <c r="L87" s="456" t="n"/>
      <c r="M87" s="456" t="n"/>
      <c r="N87" s="513" t="n"/>
      <c r="O87" s="334" t="n"/>
      <c r="P87" s="331" t="inlineStr">
        <is>
          <t>KG</t>
        </is>
      </c>
    </row>
    <row r="88" ht="15.75" customHeight="1" s="468">
      <c r="A88" s="711" t="n"/>
      <c r="B88" s="456" t="n"/>
      <c r="C88" s="456" t="n"/>
      <c r="D88" s="513" t="n"/>
      <c r="E88" s="336" t="n"/>
      <c r="F88" s="572" t="n"/>
      <c r="G88" s="456" t="n"/>
      <c r="H88" s="456" t="n"/>
      <c r="I88" s="456" t="n"/>
      <c r="J88" s="513" t="n"/>
      <c r="K88" s="571" t="inlineStr">
        <is>
          <t>80/20</t>
        </is>
      </c>
      <c r="L88" s="456" t="n"/>
      <c r="M88" s="456" t="n"/>
      <c r="N88" s="513" t="n"/>
      <c r="O88" s="334" t="n"/>
      <c r="P88" s="331" t="inlineStr">
        <is>
          <t>KG</t>
        </is>
      </c>
    </row>
    <row r="89" ht="15.75" customHeight="1" s="468">
      <c r="A89" s="711" t="n"/>
      <c r="B89" s="456" t="n"/>
      <c r="C89" s="456" t="n"/>
      <c r="D89" s="513" t="n"/>
      <c r="E89" s="336" t="n"/>
      <c r="F89" s="572" t="n"/>
      <c r="G89" s="456" t="n"/>
      <c r="H89" s="456" t="n"/>
      <c r="I89" s="456" t="n"/>
      <c r="J89" s="513" t="n"/>
      <c r="K89" s="571" t="inlineStr">
        <is>
          <t>80/20</t>
        </is>
      </c>
      <c r="L89" s="456" t="n"/>
      <c r="M89" s="456" t="n"/>
      <c r="N89" s="513" t="n"/>
      <c r="O89" s="334" t="n"/>
      <c r="P89" s="331" t="inlineStr">
        <is>
          <t>KG</t>
        </is>
      </c>
    </row>
    <row r="90" ht="15.75" customHeight="1" s="468">
      <c r="A90" s="711" t="n"/>
      <c r="B90" s="456" t="n"/>
      <c r="C90" s="456" t="n"/>
      <c r="D90" s="513" t="n"/>
      <c r="E90" s="336" t="n"/>
      <c r="F90" s="572" t="n"/>
      <c r="G90" s="456" t="n"/>
      <c r="H90" s="456" t="n"/>
      <c r="I90" s="456" t="n"/>
      <c r="J90" s="513" t="n"/>
      <c r="K90" s="571" t="inlineStr">
        <is>
          <t>80/20</t>
        </is>
      </c>
      <c r="L90" s="456" t="n"/>
      <c r="M90" s="456" t="n"/>
      <c r="N90" s="513" t="n"/>
      <c r="O90" s="334" t="n"/>
      <c r="P90" s="331" t="inlineStr">
        <is>
          <t>KG</t>
        </is>
      </c>
    </row>
    <row r="91" ht="15.75" customHeight="1" s="468">
      <c r="A91" s="711" t="n"/>
      <c r="B91" s="456" t="n"/>
      <c r="C91" s="456" t="n"/>
      <c r="D91" s="513" t="n"/>
      <c r="E91" s="336" t="n"/>
      <c r="F91" s="572" t="n"/>
      <c r="G91" s="456" t="n"/>
      <c r="H91" s="456" t="n"/>
      <c r="I91" s="456" t="n"/>
      <c r="J91" s="513" t="n"/>
      <c r="K91" s="571" t="inlineStr">
        <is>
          <t>80/20</t>
        </is>
      </c>
      <c r="L91" s="456" t="n"/>
      <c r="M91" s="456" t="n"/>
      <c r="N91" s="513" t="n"/>
      <c r="O91" s="334" t="n"/>
      <c r="P91" s="331" t="inlineStr">
        <is>
          <t>KG</t>
        </is>
      </c>
    </row>
    <row r="92" ht="15.75" customHeight="1" s="468">
      <c r="A92" s="711" t="n"/>
      <c r="B92" s="456" t="n"/>
      <c r="C92" s="456" t="n"/>
      <c r="D92" s="513" t="n"/>
      <c r="E92" s="336" t="n"/>
      <c r="F92" s="572" t="n"/>
      <c r="G92" s="456" t="n"/>
      <c r="H92" s="456" t="n"/>
      <c r="I92" s="456" t="n"/>
      <c r="J92" s="513" t="n"/>
      <c r="K92" s="571" t="inlineStr">
        <is>
          <t>80/20</t>
        </is>
      </c>
      <c r="L92" s="456" t="n"/>
      <c r="M92" s="456" t="n"/>
      <c r="N92" s="513" t="n"/>
      <c r="O92" s="334" t="n"/>
      <c r="P92" s="331" t="inlineStr">
        <is>
          <t>KG</t>
        </is>
      </c>
    </row>
    <row r="93" ht="15.75" customHeight="1" s="468">
      <c r="A93" s="711" t="n"/>
      <c r="B93" s="456" t="n"/>
      <c r="C93" s="456" t="n"/>
      <c r="D93" s="513" t="n"/>
      <c r="E93" s="336" t="n"/>
      <c r="F93" s="572" t="n"/>
      <c r="G93" s="456" t="n"/>
      <c r="H93" s="456" t="n"/>
      <c r="I93" s="456" t="n"/>
      <c r="J93" s="513" t="n"/>
      <c r="K93" s="571" t="inlineStr">
        <is>
          <t>80/20</t>
        </is>
      </c>
      <c r="L93" s="456" t="n"/>
      <c r="M93" s="456" t="n"/>
      <c r="N93" s="513" t="n"/>
      <c r="O93" s="334" t="n"/>
      <c r="P93" s="331" t="inlineStr">
        <is>
          <t>KG</t>
        </is>
      </c>
    </row>
    <row r="94" ht="15.75" customHeight="1" s="468">
      <c r="A94" s="711" t="n"/>
      <c r="B94" s="456" t="n"/>
      <c r="C94" s="456" t="n"/>
      <c r="D94" s="513" t="n"/>
      <c r="E94" s="336" t="n"/>
      <c r="F94" s="572" t="n"/>
      <c r="G94" s="456" t="n"/>
      <c r="H94" s="456" t="n"/>
      <c r="I94" s="456" t="n"/>
      <c r="J94" s="513" t="n"/>
      <c r="K94" s="571" t="inlineStr">
        <is>
          <t>80/20</t>
        </is>
      </c>
      <c r="L94" s="456" t="n"/>
      <c r="M94" s="456" t="n"/>
      <c r="N94" s="513" t="n"/>
      <c r="O94" s="334" t="n"/>
      <c r="P94" s="331" t="inlineStr">
        <is>
          <t>KG</t>
        </is>
      </c>
    </row>
    <row r="95" ht="15.75" customHeight="1" s="468">
      <c r="A95" s="711" t="n"/>
      <c r="B95" s="456" t="n"/>
      <c r="C95" s="456" t="n"/>
      <c r="D95" s="513" t="n"/>
      <c r="E95" s="336" t="n"/>
      <c r="F95" s="572" t="n"/>
      <c r="G95" s="456" t="n"/>
      <c r="H95" s="456" t="n"/>
      <c r="I95" s="456" t="n"/>
      <c r="J95" s="513" t="n"/>
      <c r="K95" s="571" t="inlineStr">
        <is>
          <t>80/20</t>
        </is>
      </c>
      <c r="L95" s="456" t="n"/>
      <c r="M95" s="456" t="n"/>
      <c r="N95" s="513" t="n"/>
      <c r="O95" s="334" t="n"/>
      <c r="P95" s="331" t="inlineStr">
        <is>
          <t>KG</t>
        </is>
      </c>
    </row>
    <row r="96" ht="15.75" customHeight="1" s="468">
      <c r="A96" s="711" t="n"/>
      <c r="B96" s="456" t="n"/>
      <c r="C96" s="456" t="n"/>
      <c r="D96" s="513" t="n"/>
      <c r="E96" s="336" t="n"/>
      <c r="F96" s="572" t="n"/>
      <c r="G96" s="456" t="n"/>
      <c r="H96" s="456" t="n"/>
      <c r="I96" s="456" t="n"/>
      <c r="J96" s="513" t="n"/>
      <c r="K96" s="571" t="inlineStr">
        <is>
          <t>80/20</t>
        </is>
      </c>
      <c r="L96" s="456" t="n"/>
      <c r="M96" s="456" t="n"/>
      <c r="N96" s="513" t="n"/>
      <c r="O96" s="334" t="n"/>
      <c r="P96" s="331" t="inlineStr">
        <is>
          <t>KG</t>
        </is>
      </c>
    </row>
    <row r="97" ht="15.75" customHeight="1" s="468">
      <c r="A97" s="711" t="n"/>
      <c r="B97" s="456" t="n"/>
      <c r="C97" s="456" t="n"/>
      <c r="D97" s="513" t="n"/>
      <c r="E97" s="336" t="n"/>
      <c r="F97" s="572" t="n"/>
      <c r="G97" s="456" t="n"/>
      <c r="H97" s="456" t="n"/>
      <c r="I97" s="456" t="n"/>
      <c r="J97" s="513" t="n"/>
      <c r="K97" s="571" t="inlineStr">
        <is>
          <t>80/20</t>
        </is>
      </c>
      <c r="L97" s="456" t="n"/>
      <c r="M97" s="456" t="n"/>
      <c r="N97" s="513" t="n"/>
      <c r="O97" s="334" t="n"/>
      <c r="P97" s="331" t="inlineStr">
        <is>
          <t>KG</t>
        </is>
      </c>
    </row>
    <row r="98" ht="15.75" customHeight="1" s="468">
      <c r="A98" s="711" t="n"/>
      <c r="B98" s="456" t="n"/>
      <c r="C98" s="456" t="n"/>
      <c r="D98" s="513" t="n"/>
      <c r="E98" s="336" t="n"/>
      <c r="F98" s="572" t="n"/>
      <c r="G98" s="456" t="n"/>
      <c r="H98" s="456" t="n"/>
      <c r="I98" s="456" t="n"/>
      <c r="J98" s="513" t="n"/>
      <c r="K98" s="571" t="inlineStr">
        <is>
          <t>80/20</t>
        </is>
      </c>
      <c r="L98" s="456" t="n"/>
      <c r="M98" s="456" t="n"/>
      <c r="N98" s="513" t="n"/>
      <c r="O98" s="334" t="n"/>
      <c r="P98" s="331" t="inlineStr">
        <is>
          <t>KG</t>
        </is>
      </c>
    </row>
    <row r="99" ht="15.75" customHeight="1" s="468">
      <c r="A99" s="711" t="n"/>
      <c r="B99" s="456" t="n"/>
      <c r="C99" s="456" t="n"/>
      <c r="D99" s="513" t="n"/>
      <c r="E99" s="336" t="n"/>
      <c r="F99" s="572" t="n"/>
      <c r="G99" s="456" t="n"/>
      <c r="H99" s="456" t="n"/>
      <c r="I99" s="456" t="n"/>
      <c r="J99" s="513" t="n"/>
      <c r="K99" s="571" t="inlineStr">
        <is>
          <t>80/20</t>
        </is>
      </c>
      <c r="L99" s="456" t="n"/>
      <c r="M99" s="456" t="n"/>
      <c r="N99" s="513" t="n"/>
      <c r="O99" s="334" t="n"/>
      <c r="P99" s="331" t="inlineStr">
        <is>
          <t>KG</t>
        </is>
      </c>
    </row>
    <row r="100" ht="15.75" customHeight="1" s="468">
      <c r="A100" s="711" t="n"/>
      <c r="B100" s="456" t="n"/>
      <c r="C100" s="456" t="n"/>
      <c r="D100" s="513" t="n"/>
      <c r="E100" s="336" t="n"/>
      <c r="F100" s="572" t="n"/>
      <c r="G100" s="456" t="n"/>
      <c r="H100" s="456" t="n"/>
      <c r="I100" s="456" t="n"/>
      <c r="J100" s="513" t="n"/>
      <c r="K100" s="571" t="inlineStr">
        <is>
          <t>80/20</t>
        </is>
      </c>
      <c r="L100" s="456" t="n"/>
      <c r="M100" s="456" t="n"/>
      <c r="N100" s="513" t="n"/>
      <c r="O100" s="334" t="n"/>
      <c r="P100" s="331" t="inlineStr">
        <is>
          <t>KG</t>
        </is>
      </c>
    </row>
    <row r="101" ht="15.75" customHeight="1" s="468">
      <c r="A101" s="711" t="n"/>
      <c r="B101" s="456" t="n"/>
      <c r="C101" s="456" t="n"/>
      <c r="D101" s="513" t="n"/>
      <c r="E101" s="336" t="n"/>
      <c r="F101" s="572" t="n"/>
      <c r="G101" s="456" t="n"/>
      <c r="H101" s="456" t="n"/>
      <c r="I101" s="456" t="n"/>
      <c r="J101" s="513" t="n"/>
      <c r="K101" s="571" t="inlineStr">
        <is>
          <t>80/20</t>
        </is>
      </c>
      <c r="L101" s="456" t="n"/>
      <c r="M101" s="456" t="n"/>
      <c r="N101" s="513" t="n"/>
      <c r="O101" s="334" t="n"/>
      <c r="P101" s="331" t="inlineStr">
        <is>
          <t>KG</t>
        </is>
      </c>
    </row>
    <row r="102" ht="15.75" customHeight="1" s="468">
      <c r="A102" s="711" t="n"/>
      <c r="B102" s="456" t="n"/>
      <c r="C102" s="456" t="n"/>
      <c r="D102" s="513" t="n"/>
      <c r="E102" s="336" t="n"/>
      <c r="F102" s="572" t="n"/>
      <c r="G102" s="456" t="n"/>
      <c r="H102" s="456" t="n"/>
      <c r="I102" s="456" t="n"/>
      <c r="J102" s="513" t="n"/>
      <c r="K102" s="571" t="inlineStr">
        <is>
          <t>80/20</t>
        </is>
      </c>
      <c r="L102" s="456" t="n"/>
      <c r="M102" s="456" t="n"/>
      <c r="N102" s="513" t="n"/>
      <c r="O102" s="334" t="n"/>
      <c r="P102" s="331" t="inlineStr">
        <is>
          <t>KG</t>
        </is>
      </c>
    </row>
    <row r="103" ht="15.75" customHeight="1" s="468">
      <c r="A103" s="711" t="n"/>
      <c r="B103" s="456" t="n"/>
      <c r="C103" s="456" t="n"/>
      <c r="D103" s="513" t="n"/>
      <c r="E103" s="336" t="n"/>
      <c r="F103" s="572" t="n"/>
      <c r="G103" s="456" t="n"/>
      <c r="H103" s="456" t="n"/>
      <c r="I103" s="456" t="n"/>
      <c r="J103" s="513" t="n"/>
      <c r="K103" s="571" t="inlineStr">
        <is>
          <t>80/20</t>
        </is>
      </c>
      <c r="L103" s="456" t="n"/>
      <c r="M103" s="456" t="n"/>
      <c r="N103" s="513" t="n"/>
      <c r="O103" s="334" t="n"/>
      <c r="P103" s="331" t="inlineStr">
        <is>
          <t>KG</t>
        </is>
      </c>
    </row>
    <row r="104" ht="15.75" customHeight="1" s="468">
      <c r="A104" s="711" t="n"/>
      <c r="B104" s="456" t="n"/>
      <c r="C104" s="456" t="n"/>
      <c r="D104" s="513" t="n"/>
      <c r="E104" s="336" t="n"/>
      <c r="F104" s="572" t="n"/>
      <c r="G104" s="456" t="n"/>
      <c r="H104" s="456" t="n"/>
      <c r="I104" s="456" t="n"/>
      <c r="J104" s="513" t="n"/>
      <c r="K104" s="571" t="inlineStr">
        <is>
          <t>80/20</t>
        </is>
      </c>
      <c r="L104" s="456" t="n"/>
      <c r="M104" s="456" t="n"/>
      <c r="N104" s="513" t="n"/>
      <c r="O104" s="334" t="n"/>
      <c r="P104" s="331" t="inlineStr">
        <is>
          <t>KG</t>
        </is>
      </c>
    </row>
    <row r="105" ht="15.75" customHeight="1" s="468">
      <c r="A105" s="711" t="n"/>
      <c r="B105" s="456" t="n"/>
      <c r="C105" s="456" t="n"/>
      <c r="D105" s="513" t="n"/>
      <c r="E105" s="336" t="n"/>
      <c r="F105" s="572" t="n"/>
      <c r="G105" s="456" t="n"/>
      <c r="H105" s="456" t="n"/>
      <c r="I105" s="456" t="n"/>
      <c r="J105" s="513" t="n"/>
      <c r="K105" s="571" t="inlineStr">
        <is>
          <t>80/20</t>
        </is>
      </c>
      <c r="L105" s="456" t="n"/>
      <c r="M105" s="456" t="n"/>
      <c r="N105" s="513" t="n"/>
      <c r="O105" s="334" t="n"/>
      <c r="P105" s="331" t="inlineStr">
        <is>
          <t>KG</t>
        </is>
      </c>
    </row>
    <row r="106" ht="15.75" customHeight="1" s="468">
      <c r="A106" s="711" t="n"/>
      <c r="B106" s="456" t="n"/>
      <c r="C106" s="456" t="n"/>
      <c r="D106" s="513" t="n"/>
      <c r="E106" s="336" t="n"/>
      <c r="F106" s="572" t="n"/>
      <c r="G106" s="456" t="n"/>
      <c r="H106" s="456" t="n"/>
      <c r="I106" s="456" t="n"/>
      <c r="J106" s="513" t="n"/>
      <c r="K106" s="571" t="inlineStr">
        <is>
          <t>80/20</t>
        </is>
      </c>
      <c r="L106" s="456" t="n"/>
      <c r="M106" s="456" t="n"/>
      <c r="N106" s="513" t="n"/>
      <c r="O106" s="334" t="n"/>
      <c r="P106" s="331" t="inlineStr">
        <is>
          <t>KG</t>
        </is>
      </c>
    </row>
    <row r="107" ht="15.75" customHeight="1" s="468">
      <c r="A107" s="711" t="n"/>
      <c r="B107" s="456" t="n"/>
      <c r="C107" s="456" t="n"/>
      <c r="D107" s="513" t="n"/>
      <c r="E107" s="336" t="n"/>
      <c r="F107" s="572" t="n"/>
      <c r="G107" s="456" t="n"/>
      <c r="H107" s="456" t="n"/>
      <c r="I107" s="456" t="n"/>
      <c r="J107" s="513" t="n"/>
      <c r="K107" s="571" t="inlineStr">
        <is>
          <t>80/20</t>
        </is>
      </c>
      <c r="L107" s="456" t="n"/>
      <c r="M107" s="456" t="n"/>
      <c r="N107" s="513" t="n"/>
      <c r="O107" s="334" t="n"/>
      <c r="P107" s="331" t="inlineStr">
        <is>
          <t>KG</t>
        </is>
      </c>
    </row>
    <row r="108" ht="15.75" customHeight="1" s="468">
      <c r="A108" s="711" t="n"/>
      <c r="B108" s="456" t="n"/>
      <c r="C108" s="456" t="n"/>
      <c r="D108" s="513" t="n"/>
      <c r="E108" s="336" t="n"/>
      <c r="F108" s="572" t="n"/>
      <c r="G108" s="456" t="n"/>
      <c r="H108" s="456" t="n"/>
      <c r="I108" s="456" t="n"/>
      <c r="J108" s="513" t="n"/>
      <c r="K108" s="571" t="inlineStr">
        <is>
          <t>80/20</t>
        </is>
      </c>
      <c r="L108" s="456" t="n"/>
      <c r="M108" s="456" t="n"/>
      <c r="N108" s="513" t="n"/>
      <c r="O108" s="334" t="n"/>
      <c r="P108" s="331" t="inlineStr">
        <is>
          <t>KG</t>
        </is>
      </c>
    </row>
    <row r="109" ht="15.75" customHeight="1" s="468">
      <c r="A109" s="711" t="n"/>
      <c r="B109" s="456" t="n"/>
      <c r="C109" s="456" t="n"/>
      <c r="D109" s="513" t="n"/>
      <c r="E109" s="336" t="n"/>
      <c r="F109" s="572" t="n"/>
      <c r="G109" s="456" t="n"/>
      <c r="H109" s="456" t="n"/>
      <c r="I109" s="456" t="n"/>
      <c r="J109" s="513" t="n"/>
      <c r="K109" s="571" t="inlineStr">
        <is>
          <t>80/20</t>
        </is>
      </c>
      <c r="L109" s="456" t="n"/>
      <c r="M109" s="456" t="n"/>
      <c r="N109" s="513" t="n"/>
      <c r="O109" s="334" t="n"/>
      <c r="P109" s="331" t="inlineStr">
        <is>
          <t>KG</t>
        </is>
      </c>
    </row>
    <row r="110" ht="15.75" customHeight="1" s="468">
      <c r="A110" s="711" t="n"/>
      <c r="B110" s="456" t="n"/>
      <c r="C110" s="456" t="n"/>
      <c r="D110" s="513" t="n"/>
      <c r="E110" s="336" t="n"/>
      <c r="F110" s="572" t="n"/>
      <c r="G110" s="456" t="n"/>
      <c r="H110" s="456" t="n"/>
      <c r="I110" s="456" t="n"/>
      <c r="J110" s="513" t="n"/>
      <c r="K110" s="571" t="inlineStr">
        <is>
          <t>80/20</t>
        </is>
      </c>
      <c r="L110" s="456" t="n"/>
      <c r="M110" s="456" t="n"/>
      <c r="N110" s="513" t="n"/>
      <c r="O110" s="334" t="n"/>
      <c r="P110" s="331" t="inlineStr">
        <is>
          <t>KG</t>
        </is>
      </c>
    </row>
    <row r="111" ht="15.75" customHeight="1" s="468">
      <c r="A111" s="711" t="n"/>
      <c r="B111" s="456" t="n"/>
      <c r="C111" s="456" t="n"/>
      <c r="D111" s="513" t="n"/>
      <c r="E111" s="336" t="n"/>
      <c r="F111" s="572" t="n"/>
      <c r="G111" s="456" t="n"/>
      <c r="H111" s="456" t="n"/>
      <c r="I111" s="456" t="n"/>
      <c r="J111" s="513" t="n"/>
      <c r="K111" s="571" t="inlineStr">
        <is>
          <t>80/20</t>
        </is>
      </c>
      <c r="L111" s="456" t="n"/>
      <c r="M111" s="456" t="n"/>
      <c r="N111" s="513" t="n"/>
      <c r="O111" s="334" t="n"/>
      <c r="P111" s="331" t="inlineStr">
        <is>
          <t>KG</t>
        </is>
      </c>
    </row>
    <row r="112" ht="15.75" customHeight="1" s="468">
      <c r="A112" s="711" t="n"/>
      <c r="B112" s="456" t="n"/>
      <c r="C112" s="456" t="n"/>
      <c r="D112" s="513" t="n"/>
      <c r="E112" s="336" t="n"/>
      <c r="F112" s="572" t="n"/>
      <c r="G112" s="456" t="n"/>
      <c r="H112" s="456" t="n"/>
      <c r="I112" s="456" t="n"/>
      <c r="J112" s="513" t="n"/>
      <c r="K112" s="571" t="inlineStr">
        <is>
          <t>80/20</t>
        </is>
      </c>
      <c r="L112" s="456" t="n"/>
      <c r="M112" s="456" t="n"/>
      <c r="N112" s="513" t="n"/>
      <c r="O112" s="334" t="n"/>
      <c r="P112" s="331" t="inlineStr">
        <is>
          <t>KG</t>
        </is>
      </c>
    </row>
    <row r="113" ht="15.75" customHeight="1" s="468">
      <c r="A113" s="711" t="n"/>
      <c r="B113" s="456" t="n"/>
      <c r="C113" s="456" t="n"/>
      <c r="D113" s="513" t="n"/>
      <c r="E113" s="336" t="n"/>
      <c r="F113" s="572" t="n"/>
      <c r="G113" s="456" t="n"/>
      <c r="H113" s="456" t="n"/>
      <c r="I113" s="456" t="n"/>
      <c r="J113" s="513" t="n"/>
      <c r="K113" s="571" t="inlineStr">
        <is>
          <t>80/20</t>
        </is>
      </c>
      <c r="L113" s="456" t="n"/>
      <c r="M113" s="456" t="n"/>
      <c r="N113" s="513" t="n"/>
      <c r="O113" s="334" t="n"/>
      <c r="P113" s="331" t="inlineStr">
        <is>
          <t>KG</t>
        </is>
      </c>
    </row>
    <row r="114" ht="15.75" customHeight="1" s="468">
      <c r="A114" s="711" t="n"/>
      <c r="B114" s="456" t="n"/>
      <c r="C114" s="456" t="n"/>
      <c r="D114" s="513" t="n"/>
      <c r="E114" s="336" t="n"/>
      <c r="F114" s="572" t="n"/>
      <c r="G114" s="456" t="n"/>
      <c r="H114" s="456" t="n"/>
      <c r="I114" s="456" t="n"/>
      <c r="J114" s="513" t="n"/>
      <c r="K114" s="571" t="inlineStr">
        <is>
          <t>80/20</t>
        </is>
      </c>
      <c r="L114" s="456" t="n"/>
      <c r="M114" s="456" t="n"/>
      <c r="N114" s="513" t="n"/>
      <c r="O114" s="334" t="n"/>
      <c r="P114" s="331" t="inlineStr">
        <is>
          <t>KG</t>
        </is>
      </c>
    </row>
    <row r="115" ht="15.75" customHeight="1" s="468">
      <c r="A115" s="711" t="n"/>
      <c r="B115" s="456" t="n"/>
      <c r="C115" s="456" t="n"/>
      <c r="D115" s="513" t="n"/>
      <c r="E115" s="336" t="n"/>
      <c r="F115" s="572" t="n"/>
      <c r="G115" s="456" t="n"/>
      <c r="H115" s="456" t="n"/>
      <c r="I115" s="456" t="n"/>
      <c r="J115" s="513" t="n"/>
      <c r="K115" s="571" t="inlineStr">
        <is>
          <t>80/20</t>
        </is>
      </c>
      <c r="L115" s="456" t="n"/>
      <c r="M115" s="456" t="n"/>
      <c r="N115" s="513" t="n"/>
      <c r="O115" s="334" t="n"/>
      <c r="P115" s="331" t="inlineStr">
        <is>
          <t>KG</t>
        </is>
      </c>
    </row>
    <row r="116" ht="15.75" customHeight="1" s="468">
      <c r="A116" s="711" t="n"/>
      <c r="B116" s="456" t="n"/>
      <c r="C116" s="456" t="n"/>
      <c r="D116" s="513" t="n"/>
      <c r="E116" s="336" t="n"/>
      <c r="F116" s="572" t="n"/>
      <c r="G116" s="456" t="n"/>
      <c r="H116" s="456" t="n"/>
      <c r="I116" s="456" t="n"/>
      <c r="J116" s="513" t="n"/>
      <c r="K116" s="571" t="inlineStr">
        <is>
          <t>80/20</t>
        </is>
      </c>
      <c r="L116" s="456" t="n"/>
      <c r="M116" s="456" t="n"/>
      <c r="N116" s="513" t="n"/>
      <c r="O116" s="334" t="n"/>
      <c r="P116" s="331" t="inlineStr">
        <is>
          <t>KG</t>
        </is>
      </c>
    </row>
    <row r="117" ht="15.75" customHeight="1" s="468">
      <c r="A117" s="711" t="n"/>
      <c r="B117" s="456" t="n"/>
      <c r="C117" s="456" t="n"/>
      <c r="D117" s="513" t="n"/>
      <c r="E117" s="336" t="n"/>
      <c r="F117" s="572" t="n"/>
      <c r="G117" s="456" t="n"/>
      <c r="H117" s="456" t="n"/>
      <c r="I117" s="456" t="n"/>
      <c r="J117" s="513" t="n"/>
      <c r="K117" s="571" t="inlineStr">
        <is>
          <t>80/20</t>
        </is>
      </c>
      <c r="L117" s="456" t="n"/>
      <c r="M117" s="456" t="n"/>
      <c r="N117" s="513" t="n"/>
      <c r="O117" s="334" t="n"/>
      <c r="P117" s="331" t="inlineStr">
        <is>
          <t>KG</t>
        </is>
      </c>
    </row>
    <row r="118" ht="15.75" customHeight="1" s="468">
      <c r="A118" s="711" t="n"/>
      <c r="B118" s="456" t="n"/>
      <c r="C118" s="456" t="n"/>
      <c r="D118" s="513" t="n"/>
      <c r="E118" s="336" t="n"/>
      <c r="F118" s="572" t="n"/>
      <c r="G118" s="456" t="n"/>
      <c r="H118" s="456" t="n"/>
      <c r="I118" s="456" t="n"/>
      <c r="J118" s="513" t="n"/>
      <c r="K118" s="571" t="inlineStr">
        <is>
          <t>80/20</t>
        </is>
      </c>
      <c r="L118" s="456" t="n"/>
      <c r="M118" s="456" t="n"/>
      <c r="N118" s="513" t="n"/>
      <c r="O118" s="334" t="n"/>
      <c r="P118" s="331" t="inlineStr">
        <is>
          <t>KG</t>
        </is>
      </c>
    </row>
    <row r="119" ht="15.75" customHeight="1" s="468">
      <c r="A119" s="711" t="n"/>
      <c r="B119" s="456" t="n"/>
      <c r="C119" s="456" t="n"/>
      <c r="D119" s="513" t="n"/>
      <c r="E119" s="336" t="n"/>
      <c r="F119" s="572" t="n"/>
      <c r="G119" s="456" t="n"/>
      <c r="H119" s="456" t="n"/>
      <c r="I119" s="456" t="n"/>
      <c r="J119" s="513" t="n"/>
      <c r="K119" s="571" t="inlineStr">
        <is>
          <t>80/20</t>
        </is>
      </c>
      <c r="L119" s="456" t="n"/>
      <c r="M119" s="456" t="n"/>
      <c r="N119" s="513" t="n"/>
      <c r="O119" s="334" t="n"/>
      <c r="P119" s="331" t="inlineStr">
        <is>
          <t>KG</t>
        </is>
      </c>
    </row>
    <row r="120" ht="15.75" customHeight="1" s="468">
      <c r="A120" s="711" t="n"/>
      <c r="B120" s="456" t="n"/>
      <c r="C120" s="456" t="n"/>
      <c r="D120" s="513" t="n"/>
      <c r="E120" s="336" t="n"/>
      <c r="F120" s="572" t="n"/>
      <c r="G120" s="456" t="n"/>
      <c r="H120" s="456" t="n"/>
      <c r="I120" s="456" t="n"/>
      <c r="J120" s="513" t="n"/>
      <c r="K120" s="571" t="inlineStr">
        <is>
          <t>80/20</t>
        </is>
      </c>
      <c r="L120" s="456" t="n"/>
      <c r="M120" s="456" t="n"/>
      <c r="N120" s="513" t="n"/>
      <c r="O120" s="334" t="n"/>
      <c r="P120" s="331" t="inlineStr">
        <is>
          <t>KG</t>
        </is>
      </c>
    </row>
    <row r="121" ht="15.75" customHeight="1" s="468">
      <c r="A121" s="711" t="n"/>
      <c r="B121" s="456" t="n"/>
      <c r="C121" s="456" t="n"/>
      <c r="D121" s="513" t="n"/>
      <c r="E121" s="336" t="n"/>
      <c r="F121" s="572" t="n"/>
      <c r="G121" s="456" t="n"/>
      <c r="H121" s="456" t="n"/>
      <c r="I121" s="456" t="n"/>
      <c r="J121" s="513" t="n"/>
      <c r="K121" s="571" t="inlineStr">
        <is>
          <t>80/20</t>
        </is>
      </c>
      <c r="L121" s="456" t="n"/>
      <c r="M121" s="456" t="n"/>
      <c r="N121" s="513" t="n"/>
      <c r="O121" s="334" t="n"/>
      <c r="P121" s="331" t="inlineStr">
        <is>
          <t>KG</t>
        </is>
      </c>
    </row>
    <row r="122" ht="15.75" customHeight="1" s="468">
      <c r="A122" s="711" t="n"/>
      <c r="B122" s="456" t="n"/>
      <c r="C122" s="456" t="n"/>
      <c r="D122" s="513" t="n"/>
      <c r="E122" s="336" t="n"/>
      <c r="F122" s="572" t="n"/>
      <c r="G122" s="456" t="n"/>
      <c r="H122" s="456" t="n"/>
      <c r="I122" s="456" t="n"/>
      <c r="J122" s="513" t="n"/>
      <c r="K122" s="571" t="inlineStr">
        <is>
          <t>80/20</t>
        </is>
      </c>
      <c r="L122" s="456" t="n"/>
      <c r="M122" s="456" t="n"/>
      <c r="N122" s="513" t="n"/>
      <c r="O122" s="334" t="n"/>
      <c r="P122" s="331" t="inlineStr">
        <is>
          <t>KG</t>
        </is>
      </c>
    </row>
    <row r="123" ht="15.75" customHeight="1" s="468">
      <c r="A123" s="711" t="n"/>
      <c r="B123" s="456" t="n"/>
      <c r="C123" s="456" t="n"/>
      <c r="D123" s="513" t="n"/>
      <c r="E123" s="336" t="n"/>
      <c r="F123" s="572" t="n"/>
      <c r="G123" s="456" t="n"/>
      <c r="H123" s="456" t="n"/>
      <c r="I123" s="456" t="n"/>
      <c r="J123" s="513" t="n"/>
      <c r="K123" s="571" t="inlineStr">
        <is>
          <t>80/20</t>
        </is>
      </c>
      <c r="L123" s="456" t="n"/>
      <c r="M123" s="456" t="n"/>
      <c r="N123" s="513" t="n"/>
      <c r="O123" s="334" t="n"/>
      <c r="P123" s="331" t="inlineStr">
        <is>
          <t>KG</t>
        </is>
      </c>
    </row>
    <row r="124" ht="15.75" customHeight="1" s="468">
      <c r="A124" s="711" t="n"/>
      <c r="B124" s="456" t="n"/>
      <c r="C124" s="456" t="n"/>
      <c r="D124" s="513" t="n"/>
      <c r="E124" s="336" t="n"/>
      <c r="F124" s="572" t="n"/>
      <c r="G124" s="456" t="n"/>
      <c r="H124" s="456" t="n"/>
      <c r="I124" s="456" t="n"/>
      <c r="J124" s="513" t="n"/>
      <c r="K124" s="571" t="inlineStr">
        <is>
          <t>80/20</t>
        </is>
      </c>
      <c r="L124" s="456" t="n"/>
      <c r="M124" s="456" t="n"/>
      <c r="N124" s="513" t="n"/>
      <c r="O124" s="334" t="n"/>
      <c r="P124" s="331" t="inlineStr">
        <is>
          <t>KG</t>
        </is>
      </c>
    </row>
    <row r="125" ht="15.75" customHeight="1" s="468">
      <c r="A125" s="711" t="n"/>
      <c r="B125" s="456" t="n"/>
      <c r="C125" s="456" t="n"/>
      <c r="D125" s="513" t="n"/>
      <c r="E125" s="336" t="n"/>
      <c r="F125" s="572" t="n"/>
      <c r="G125" s="456" t="n"/>
      <c r="H125" s="456" t="n"/>
      <c r="I125" s="456" t="n"/>
      <c r="J125" s="513" t="n"/>
      <c r="K125" s="571" t="inlineStr">
        <is>
          <t>80/20</t>
        </is>
      </c>
      <c r="L125" s="456" t="n"/>
      <c r="M125" s="456" t="n"/>
      <c r="N125" s="513" t="n"/>
      <c r="O125" s="334" t="n"/>
      <c r="P125" s="331" t="inlineStr">
        <is>
          <t>KG</t>
        </is>
      </c>
    </row>
    <row r="126" ht="15.75" customHeight="1" s="468">
      <c r="A126" s="711" t="n"/>
      <c r="B126" s="456" t="n"/>
      <c r="C126" s="456" t="n"/>
      <c r="D126" s="513" t="n"/>
      <c r="E126" s="336" t="n"/>
      <c r="F126" s="572" t="n"/>
      <c r="G126" s="456" t="n"/>
      <c r="H126" s="456" t="n"/>
      <c r="I126" s="456" t="n"/>
      <c r="J126" s="513" t="n"/>
      <c r="K126" s="571" t="inlineStr">
        <is>
          <t>80/20</t>
        </is>
      </c>
      <c r="L126" s="456" t="n"/>
      <c r="M126" s="456" t="n"/>
      <c r="N126" s="513" t="n"/>
      <c r="O126" s="334" t="n"/>
      <c r="P126" s="331" t="inlineStr">
        <is>
          <t>KG</t>
        </is>
      </c>
    </row>
    <row r="127" ht="15.75" customHeight="1" s="468">
      <c r="A127" s="711" t="n"/>
      <c r="B127" s="456" t="n"/>
      <c r="C127" s="456" t="n"/>
      <c r="D127" s="513" t="n"/>
      <c r="E127" s="336" t="n"/>
      <c r="F127" s="572" t="n"/>
      <c r="G127" s="456" t="n"/>
      <c r="H127" s="456" t="n"/>
      <c r="I127" s="456" t="n"/>
      <c r="J127" s="513" t="n"/>
      <c r="K127" s="571" t="inlineStr">
        <is>
          <t>80/20</t>
        </is>
      </c>
      <c r="L127" s="456" t="n"/>
      <c r="M127" s="456" t="n"/>
      <c r="N127" s="513" t="n"/>
      <c r="O127" s="334" t="n"/>
      <c r="P127" s="331" t="inlineStr">
        <is>
          <t>KG</t>
        </is>
      </c>
    </row>
    <row r="128" ht="15.75" customHeight="1" s="468">
      <c r="A128" s="711" t="n"/>
      <c r="B128" s="456" t="n"/>
      <c r="C128" s="456" t="n"/>
      <c r="D128" s="513" t="n"/>
      <c r="E128" s="336" t="n"/>
      <c r="F128" s="572" t="n"/>
      <c r="G128" s="456" t="n"/>
      <c r="H128" s="456" t="n"/>
      <c r="I128" s="456" t="n"/>
      <c r="J128" s="513" t="n"/>
      <c r="K128" s="571" t="inlineStr">
        <is>
          <t>80/20</t>
        </is>
      </c>
      <c r="L128" s="456" t="n"/>
      <c r="M128" s="456" t="n"/>
      <c r="N128" s="513" t="n"/>
      <c r="O128" s="334" t="n"/>
      <c r="P128" s="331" t="inlineStr">
        <is>
          <t>KG</t>
        </is>
      </c>
    </row>
    <row r="129" ht="15.75" customHeight="1" s="468">
      <c r="A129" s="711" t="n"/>
      <c r="B129" s="456" t="n"/>
      <c r="C129" s="456" t="n"/>
      <c r="D129" s="513" t="n"/>
      <c r="E129" s="336" t="n"/>
      <c r="F129" s="572" t="n"/>
      <c r="G129" s="456" t="n"/>
      <c r="H129" s="456" t="n"/>
      <c r="I129" s="456" t="n"/>
      <c r="J129" s="513" t="n"/>
      <c r="K129" s="571" t="inlineStr">
        <is>
          <t>80/20</t>
        </is>
      </c>
      <c r="L129" s="456" t="n"/>
      <c r="M129" s="456" t="n"/>
      <c r="N129" s="513" t="n"/>
      <c r="O129" s="334" t="n"/>
      <c r="P129" s="331" t="inlineStr">
        <is>
          <t>KG</t>
        </is>
      </c>
    </row>
    <row r="130" ht="15.75" customHeight="1" s="468">
      <c r="A130" s="711" t="n"/>
      <c r="B130" s="456" t="n"/>
      <c r="C130" s="456" t="n"/>
      <c r="D130" s="513" t="n"/>
      <c r="E130" s="336" t="n"/>
      <c r="F130" s="572" t="n"/>
      <c r="G130" s="456" t="n"/>
      <c r="H130" s="456" t="n"/>
      <c r="I130" s="456" t="n"/>
      <c r="J130" s="513" t="n"/>
      <c r="K130" s="571" t="inlineStr">
        <is>
          <t>80/21</t>
        </is>
      </c>
      <c r="L130" s="456" t="n"/>
      <c r="M130" s="456" t="n"/>
      <c r="N130" s="513" t="n"/>
      <c r="O130" s="334" t="n"/>
      <c r="P130" s="331" t="inlineStr">
        <is>
          <t>KG</t>
        </is>
      </c>
    </row>
    <row r="131" ht="15.75" customHeight="1" s="468">
      <c r="A131" s="711" t="n"/>
      <c r="B131" s="456" t="n"/>
      <c r="C131" s="456" t="n"/>
      <c r="D131" s="513" t="n"/>
      <c r="E131" s="336" t="n"/>
      <c r="F131" s="572" t="n"/>
      <c r="G131" s="456" t="n"/>
      <c r="H131" s="456" t="n"/>
      <c r="I131" s="456" t="n"/>
      <c r="J131" s="513" t="n"/>
      <c r="K131" s="571" t="inlineStr">
        <is>
          <t>50/50</t>
        </is>
      </c>
      <c r="L131" s="456" t="n"/>
      <c r="M131" s="456" t="n"/>
      <c r="N131" s="513" t="n"/>
      <c r="O131" s="334" t="n"/>
      <c r="P131" s="331" t="inlineStr">
        <is>
          <t>KG</t>
        </is>
      </c>
    </row>
    <row r="132" ht="15.75" customHeight="1" s="468">
      <c r="A132" s="711" t="n"/>
      <c r="B132" s="456" t="n"/>
      <c r="C132" s="456" t="n"/>
      <c r="D132" s="513" t="n"/>
      <c r="E132" s="336" t="n"/>
      <c r="F132" s="572" t="n"/>
      <c r="G132" s="456" t="n"/>
      <c r="H132" s="456" t="n"/>
      <c r="I132" s="456" t="n"/>
      <c r="J132" s="513" t="n"/>
      <c r="K132" s="571" t="inlineStr">
        <is>
          <t>80/20</t>
        </is>
      </c>
      <c r="L132" s="456" t="n"/>
      <c r="M132" s="456" t="n"/>
      <c r="N132" s="513" t="n"/>
      <c r="O132" s="334" t="n"/>
      <c r="P132" s="331" t="inlineStr">
        <is>
          <t>KG</t>
        </is>
      </c>
    </row>
    <row r="133" ht="15.75" customHeight="1" s="468">
      <c r="A133" s="711" t="n"/>
      <c r="B133" s="456" t="n"/>
      <c r="C133" s="456" t="n"/>
      <c r="D133" s="513" t="n"/>
      <c r="E133" s="336" t="n"/>
      <c r="F133" s="572" t="n"/>
      <c r="G133" s="456" t="n"/>
      <c r="H133" s="456" t="n"/>
      <c r="I133" s="456" t="n"/>
      <c r="J133" s="513" t="n"/>
      <c r="K133" s="571" t="inlineStr">
        <is>
          <t>80/20</t>
        </is>
      </c>
      <c r="L133" s="456" t="n"/>
      <c r="M133" s="456" t="n"/>
      <c r="N133" s="513" t="n"/>
      <c r="O133" s="334" t="n"/>
      <c r="P133" s="331" t="inlineStr">
        <is>
          <t>KG</t>
        </is>
      </c>
    </row>
    <row r="134" ht="15.75" customHeight="1" s="468">
      <c r="A134" s="711" t="n"/>
      <c r="B134" s="456" t="n"/>
      <c r="C134" s="456" t="n"/>
      <c r="D134" s="513" t="n"/>
      <c r="E134" s="336" t="n"/>
      <c r="F134" s="572" t="n"/>
      <c r="G134" s="456" t="n"/>
      <c r="H134" s="456" t="n"/>
      <c r="I134" s="456" t="n"/>
      <c r="J134" s="513" t="n"/>
      <c r="K134" s="571" t="inlineStr">
        <is>
          <t>80/20</t>
        </is>
      </c>
      <c r="L134" s="456" t="n"/>
      <c r="M134" s="456" t="n"/>
      <c r="N134" s="513" t="n"/>
      <c r="O134" s="334" t="n"/>
      <c r="P134" s="331" t="inlineStr">
        <is>
          <t>KG</t>
        </is>
      </c>
    </row>
    <row r="135" ht="15.75" customHeight="1" s="468">
      <c r="A135" s="711" t="n"/>
      <c r="B135" s="456" t="n"/>
      <c r="C135" s="456" t="n"/>
      <c r="D135" s="513" t="n"/>
      <c r="E135" s="336" t="n"/>
      <c r="F135" s="572" t="n"/>
      <c r="G135" s="456" t="n"/>
      <c r="H135" s="456" t="n"/>
      <c r="I135" s="456" t="n"/>
      <c r="J135" s="513" t="n"/>
      <c r="K135" s="571" t="inlineStr">
        <is>
          <t>80/20</t>
        </is>
      </c>
      <c r="L135" s="456" t="n"/>
      <c r="M135" s="456" t="n"/>
      <c r="N135" s="513" t="n"/>
      <c r="O135" s="334" t="n"/>
      <c r="P135" s="331" t="inlineStr">
        <is>
          <t>KG</t>
        </is>
      </c>
    </row>
    <row r="136" ht="15.75" customHeight="1" s="468">
      <c r="A136" s="711" t="n"/>
      <c r="B136" s="456" t="n"/>
      <c r="C136" s="456" t="n"/>
      <c r="D136" s="513" t="n"/>
      <c r="E136" s="336" t="n"/>
      <c r="F136" s="572" t="n"/>
      <c r="G136" s="456" t="n"/>
      <c r="H136" s="456" t="n"/>
      <c r="I136" s="456" t="n"/>
      <c r="J136" s="513" t="n"/>
      <c r="K136" s="571" t="inlineStr">
        <is>
          <t>80/20</t>
        </is>
      </c>
      <c r="L136" s="456" t="n"/>
      <c r="M136" s="456" t="n"/>
      <c r="N136" s="513" t="n"/>
      <c r="O136" s="334" t="n"/>
      <c r="P136" s="331" t="inlineStr">
        <is>
          <t>KG</t>
        </is>
      </c>
    </row>
    <row r="137" ht="15.75" customHeight="1" s="468">
      <c r="A137" s="711" t="n"/>
      <c r="B137" s="456" t="n"/>
      <c r="C137" s="456" t="n"/>
      <c r="D137" s="513" t="n"/>
      <c r="E137" s="336" t="n"/>
      <c r="F137" s="572" t="n"/>
      <c r="G137" s="456" t="n"/>
      <c r="H137" s="456" t="n"/>
      <c r="I137" s="456" t="n"/>
      <c r="J137" s="513" t="n"/>
      <c r="K137" s="571" t="inlineStr">
        <is>
          <t>80/20</t>
        </is>
      </c>
      <c r="L137" s="456" t="n"/>
      <c r="M137" s="456" t="n"/>
      <c r="N137" s="513" t="n"/>
      <c r="O137" s="334" t="n"/>
      <c r="P137" s="331" t="inlineStr">
        <is>
          <t>KG</t>
        </is>
      </c>
    </row>
    <row r="138" ht="15.75" customHeight="1" s="468">
      <c r="A138" s="711" t="n"/>
      <c r="B138" s="456" t="n"/>
      <c r="C138" s="456" t="n"/>
      <c r="D138" s="513" t="n"/>
      <c r="E138" s="336" t="n"/>
      <c r="F138" s="572" t="n"/>
      <c r="G138" s="456" t="n"/>
      <c r="H138" s="456" t="n"/>
      <c r="I138" s="456" t="n"/>
      <c r="J138" s="513" t="n"/>
      <c r="K138" s="571" t="inlineStr">
        <is>
          <t>80/20</t>
        </is>
      </c>
      <c r="L138" s="456" t="n"/>
      <c r="M138" s="456" t="n"/>
      <c r="N138" s="513" t="n"/>
      <c r="O138" s="334" t="n"/>
      <c r="P138" s="331" t="inlineStr">
        <is>
          <t>KG</t>
        </is>
      </c>
    </row>
    <row r="139" ht="15.75" customHeight="1" s="468">
      <c r="A139" s="711" t="n"/>
      <c r="B139" s="456" t="n"/>
      <c r="C139" s="456" t="n"/>
      <c r="D139" s="513" t="n"/>
      <c r="E139" s="336" t="n"/>
      <c r="F139" s="572" t="n"/>
      <c r="G139" s="456" t="n"/>
      <c r="H139" s="456" t="n"/>
      <c r="I139" s="456" t="n"/>
      <c r="J139" s="513" t="n"/>
      <c r="K139" s="571" t="inlineStr">
        <is>
          <t>80/20</t>
        </is>
      </c>
      <c r="L139" s="456" t="n"/>
      <c r="M139" s="456" t="n"/>
      <c r="N139" s="513" t="n"/>
      <c r="O139" s="334" t="n"/>
      <c r="P139" s="331" t="inlineStr">
        <is>
          <t>KG</t>
        </is>
      </c>
    </row>
    <row r="140" ht="15.75" customHeight="1" s="468">
      <c r="A140" s="711" t="n"/>
      <c r="B140" s="456" t="n"/>
      <c r="C140" s="456" t="n"/>
      <c r="D140" s="513" t="n"/>
      <c r="E140" s="336" t="n"/>
      <c r="F140" s="572" t="n"/>
      <c r="G140" s="456" t="n"/>
      <c r="H140" s="456" t="n"/>
      <c r="I140" s="456" t="n"/>
      <c r="J140" s="513" t="n"/>
      <c r="K140" s="571" t="inlineStr">
        <is>
          <t>80/20</t>
        </is>
      </c>
      <c r="L140" s="456" t="n"/>
      <c r="M140" s="456" t="n"/>
      <c r="N140" s="513" t="n"/>
      <c r="O140" s="334" t="n"/>
      <c r="P140" s="331" t="inlineStr">
        <is>
          <t>KG</t>
        </is>
      </c>
    </row>
    <row r="141" ht="15.75" customHeight="1" s="468">
      <c r="A141" s="711" t="n"/>
      <c r="B141" s="456" t="n"/>
      <c r="C141" s="456" t="n"/>
      <c r="D141" s="513" t="n"/>
      <c r="E141" s="336" t="n"/>
      <c r="F141" s="572" t="n"/>
      <c r="G141" s="456" t="n"/>
      <c r="H141" s="456" t="n"/>
      <c r="I141" s="456" t="n"/>
      <c r="J141" s="513" t="n"/>
      <c r="K141" s="571" t="inlineStr">
        <is>
          <t>80/20</t>
        </is>
      </c>
      <c r="L141" s="456" t="n"/>
      <c r="M141" s="456" t="n"/>
      <c r="N141" s="513" t="n"/>
      <c r="O141" s="334" t="n"/>
      <c r="P141" s="331" t="inlineStr">
        <is>
          <t>KG</t>
        </is>
      </c>
    </row>
    <row r="142" ht="15.75" customHeight="1" s="468">
      <c r="A142" s="711" t="n"/>
      <c r="B142" s="456" t="n"/>
      <c r="C142" s="456" t="n"/>
      <c r="D142" s="513" t="n"/>
      <c r="E142" s="336" t="n"/>
      <c r="F142" s="572" t="n"/>
      <c r="G142" s="456" t="n"/>
      <c r="H142" s="456" t="n"/>
      <c r="I142" s="456" t="n"/>
      <c r="J142" s="513" t="n"/>
      <c r="K142" s="571" t="inlineStr">
        <is>
          <t>80/20</t>
        </is>
      </c>
      <c r="L142" s="456" t="n"/>
      <c r="M142" s="456" t="n"/>
      <c r="N142" s="513" t="n"/>
      <c r="O142" s="334" t="n"/>
      <c r="P142" s="331" t="inlineStr">
        <is>
          <t>KG</t>
        </is>
      </c>
    </row>
    <row r="143" ht="15.75" customHeight="1" s="468">
      <c r="A143" s="711" t="n"/>
      <c r="B143" s="456" t="n"/>
      <c r="C143" s="456" t="n"/>
      <c r="D143" s="513" t="n"/>
      <c r="E143" s="336" t="n"/>
      <c r="F143" s="572" t="n"/>
      <c r="G143" s="456" t="n"/>
      <c r="H143" s="456" t="n"/>
      <c r="I143" s="456" t="n"/>
      <c r="J143" s="513" t="n"/>
      <c r="K143" s="571" t="inlineStr">
        <is>
          <t>80/20</t>
        </is>
      </c>
      <c r="L143" s="456" t="n"/>
      <c r="M143" s="456" t="n"/>
      <c r="N143" s="513" t="n"/>
      <c r="O143" s="334" t="n"/>
      <c r="P143" s="331" t="inlineStr">
        <is>
          <t>KG</t>
        </is>
      </c>
    </row>
    <row r="144" ht="15.75" customHeight="1" s="468">
      <c r="A144" s="711" t="n"/>
      <c r="B144" s="456" t="n"/>
      <c r="C144" s="456" t="n"/>
      <c r="D144" s="513" t="n"/>
      <c r="E144" s="336" t="n"/>
      <c r="F144" s="572" t="n"/>
      <c r="G144" s="456" t="n"/>
      <c r="H144" s="456" t="n"/>
      <c r="I144" s="456" t="n"/>
      <c r="J144" s="513" t="n"/>
      <c r="K144" s="571" t="inlineStr">
        <is>
          <t>80/20</t>
        </is>
      </c>
      <c r="L144" s="456" t="n"/>
      <c r="M144" s="456" t="n"/>
      <c r="N144" s="513" t="n"/>
      <c r="O144" s="334" t="n"/>
      <c r="P144" s="331" t="inlineStr">
        <is>
          <t>KG</t>
        </is>
      </c>
    </row>
    <row r="145" ht="15.75" customHeight="1" s="468">
      <c r="A145" s="711" t="n"/>
      <c r="B145" s="456" t="n"/>
      <c r="C145" s="456" t="n"/>
      <c r="D145" s="513" t="n"/>
      <c r="E145" s="336" t="n"/>
      <c r="F145" s="572" t="n"/>
      <c r="G145" s="456" t="n"/>
      <c r="H145" s="456" t="n"/>
      <c r="I145" s="456" t="n"/>
      <c r="J145" s="513" t="n"/>
      <c r="K145" s="571" t="inlineStr">
        <is>
          <t>80/20</t>
        </is>
      </c>
      <c r="L145" s="456" t="n"/>
      <c r="M145" s="456" t="n"/>
      <c r="N145" s="513" t="n"/>
      <c r="O145" s="334" t="n"/>
      <c r="P145" s="331" t="inlineStr">
        <is>
          <t>KG</t>
        </is>
      </c>
    </row>
    <row r="146" ht="15.75" customHeight="1" s="468">
      <c r="A146" s="711" t="n"/>
      <c r="B146" s="456" t="n"/>
      <c r="C146" s="456" t="n"/>
      <c r="D146" s="513" t="n"/>
      <c r="E146" s="336" t="n"/>
      <c r="F146" s="572" t="n"/>
      <c r="G146" s="456" t="n"/>
      <c r="H146" s="456" t="n"/>
      <c r="I146" s="456" t="n"/>
      <c r="J146" s="513" t="n"/>
      <c r="K146" s="571" t="inlineStr">
        <is>
          <t>80/20</t>
        </is>
      </c>
      <c r="L146" s="456" t="n"/>
      <c r="M146" s="456" t="n"/>
      <c r="N146" s="513" t="n"/>
      <c r="O146" s="334" t="n"/>
      <c r="P146" s="331" t="inlineStr">
        <is>
          <t>KG</t>
        </is>
      </c>
    </row>
    <row r="147" ht="15.75" customHeight="1" s="468">
      <c r="A147" s="711" t="n"/>
      <c r="B147" s="456" t="n"/>
      <c r="C147" s="456" t="n"/>
      <c r="D147" s="513" t="n"/>
      <c r="E147" s="336" t="n"/>
      <c r="F147" s="572" t="n"/>
      <c r="G147" s="456" t="n"/>
      <c r="H147" s="456" t="n"/>
      <c r="I147" s="456" t="n"/>
      <c r="J147" s="513" t="n"/>
      <c r="K147" s="571" t="inlineStr">
        <is>
          <t>80/20</t>
        </is>
      </c>
      <c r="L147" s="456" t="n"/>
      <c r="M147" s="456" t="n"/>
      <c r="N147" s="513" t="n"/>
      <c r="O147" s="334" t="n"/>
      <c r="P147" s="331" t="inlineStr">
        <is>
          <t>KG</t>
        </is>
      </c>
    </row>
    <row r="148" ht="15.75" customHeight="1" s="468">
      <c r="A148" s="711" t="n"/>
      <c r="B148" s="456" t="n"/>
      <c r="C148" s="456" t="n"/>
      <c r="D148" s="513" t="n"/>
      <c r="E148" s="336" t="n"/>
      <c r="F148" s="572" t="n"/>
      <c r="G148" s="456" t="n"/>
      <c r="H148" s="456" t="n"/>
      <c r="I148" s="456" t="n"/>
      <c r="J148" s="513" t="n"/>
      <c r="K148" s="571" t="inlineStr">
        <is>
          <t>80/20</t>
        </is>
      </c>
      <c r="L148" s="456" t="n"/>
      <c r="M148" s="456" t="n"/>
      <c r="N148" s="513" t="n"/>
      <c r="O148" s="334" t="n"/>
      <c r="P148" s="331" t="inlineStr">
        <is>
          <t>KG</t>
        </is>
      </c>
    </row>
    <row r="149" ht="15.75" customHeight="1" s="468">
      <c r="A149" s="711" t="n"/>
      <c r="B149" s="456" t="n"/>
      <c r="C149" s="456" t="n"/>
      <c r="D149" s="513" t="n"/>
      <c r="E149" s="336" t="n"/>
      <c r="F149" s="572" t="n"/>
      <c r="G149" s="456" t="n"/>
      <c r="H149" s="456" t="n"/>
      <c r="I149" s="456" t="n"/>
      <c r="J149" s="513" t="n"/>
      <c r="K149" s="571" t="inlineStr">
        <is>
          <t>80/20</t>
        </is>
      </c>
      <c r="L149" s="456" t="n"/>
      <c r="M149" s="456" t="n"/>
      <c r="N149" s="513" t="n"/>
      <c r="O149" s="334" t="n"/>
      <c r="P149" s="331" t="inlineStr">
        <is>
          <t>KG</t>
        </is>
      </c>
    </row>
    <row r="150" ht="15.75" customHeight="1" s="468">
      <c r="A150" s="711" t="n"/>
      <c r="B150" s="456" t="n"/>
      <c r="C150" s="456" t="n"/>
      <c r="D150" s="513" t="n"/>
      <c r="E150" s="336" t="n"/>
      <c r="F150" s="572" t="n"/>
      <c r="G150" s="456" t="n"/>
      <c r="H150" s="456" t="n"/>
      <c r="I150" s="456" t="n"/>
      <c r="J150" s="513" t="n"/>
      <c r="K150" s="571" t="inlineStr">
        <is>
          <t>80/20</t>
        </is>
      </c>
      <c r="L150" s="456" t="n"/>
      <c r="M150" s="456" t="n"/>
      <c r="N150" s="513" t="n"/>
      <c r="O150" s="334" t="n"/>
      <c r="P150" s="331" t="inlineStr">
        <is>
          <t>KG</t>
        </is>
      </c>
    </row>
    <row r="151" ht="15.75" customHeight="1" s="468">
      <c r="A151" s="711" t="n"/>
      <c r="B151" s="456" t="n"/>
      <c r="C151" s="456" t="n"/>
      <c r="D151" s="513" t="n"/>
      <c r="E151" s="336" t="n"/>
      <c r="F151" s="572" t="n"/>
      <c r="G151" s="456" t="n"/>
      <c r="H151" s="456" t="n"/>
      <c r="I151" s="456" t="n"/>
      <c r="J151" s="513" t="n"/>
      <c r="K151" s="571" t="inlineStr">
        <is>
          <t>80/20</t>
        </is>
      </c>
      <c r="L151" s="456" t="n"/>
      <c r="M151" s="456" t="n"/>
      <c r="N151" s="513" t="n"/>
      <c r="O151" s="334" t="n"/>
      <c r="P151" s="331" t="inlineStr">
        <is>
          <t>KG</t>
        </is>
      </c>
    </row>
    <row r="152" ht="15.75" customHeight="1" s="468">
      <c r="A152" s="711" t="n"/>
      <c r="B152" s="456" t="n"/>
      <c r="C152" s="456" t="n"/>
      <c r="D152" s="513" t="n"/>
      <c r="E152" s="336" t="n"/>
      <c r="F152" s="572" t="n"/>
      <c r="G152" s="456" t="n"/>
      <c r="H152" s="456" t="n"/>
      <c r="I152" s="456" t="n"/>
      <c r="J152" s="513" t="n"/>
      <c r="K152" s="571" t="inlineStr">
        <is>
          <t>80/20</t>
        </is>
      </c>
      <c r="L152" s="456" t="n"/>
      <c r="M152" s="456" t="n"/>
      <c r="N152" s="513" t="n"/>
      <c r="O152" s="334" t="n"/>
      <c r="P152" s="331" t="inlineStr">
        <is>
          <t>KG</t>
        </is>
      </c>
    </row>
    <row r="153" ht="15.75" customHeight="1" s="468">
      <c r="A153" s="711" t="n"/>
      <c r="B153" s="456" t="n"/>
      <c r="C153" s="456" t="n"/>
      <c r="D153" s="513" t="n"/>
      <c r="E153" s="336" t="n"/>
      <c r="F153" s="572" t="n"/>
      <c r="G153" s="456" t="n"/>
      <c r="H153" s="456" t="n"/>
      <c r="I153" s="456" t="n"/>
      <c r="J153" s="513" t="n"/>
      <c r="K153" s="571" t="inlineStr">
        <is>
          <t>80/20</t>
        </is>
      </c>
      <c r="L153" s="456" t="n"/>
      <c r="M153" s="456" t="n"/>
      <c r="N153" s="513" t="n"/>
      <c r="O153" s="334" t="n"/>
      <c r="P153" s="331" t="inlineStr">
        <is>
          <t>KG</t>
        </is>
      </c>
    </row>
    <row r="154" ht="15.75" customHeight="1" s="468">
      <c r="A154" s="711" t="n"/>
      <c r="B154" s="456" t="n"/>
      <c r="C154" s="456" t="n"/>
      <c r="D154" s="513" t="n"/>
      <c r="E154" s="336" t="n"/>
      <c r="F154" s="572" t="n"/>
      <c r="G154" s="456" t="n"/>
      <c r="H154" s="456" t="n"/>
      <c r="I154" s="456" t="n"/>
      <c r="J154" s="513" t="n"/>
      <c r="K154" s="571" t="inlineStr">
        <is>
          <t>80/20</t>
        </is>
      </c>
      <c r="L154" s="456" t="n"/>
      <c r="M154" s="456" t="n"/>
      <c r="N154" s="513" t="n"/>
      <c r="O154" s="334" t="n"/>
      <c r="P154" s="331" t="inlineStr">
        <is>
          <t>KG</t>
        </is>
      </c>
    </row>
    <row r="155" ht="15.75" customHeight="1" s="468">
      <c r="A155" s="711" t="n"/>
      <c r="B155" s="456" t="n"/>
      <c r="C155" s="456" t="n"/>
      <c r="D155" s="513" t="n"/>
      <c r="E155" s="336" t="n"/>
      <c r="F155" s="572" t="n"/>
      <c r="G155" s="456" t="n"/>
      <c r="H155" s="456" t="n"/>
      <c r="I155" s="456" t="n"/>
      <c r="J155" s="513" t="n"/>
      <c r="K155" s="571" t="inlineStr">
        <is>
          <t>80/20</t>
        </is>
      </c>
      <c r="L155" s="456" t="n"/>
      <c r="M155" s="456" t="n"/>
      <c r="N155" s="513" t="n"/>
      <c r="O155" s="334" t="n"/>
      <c r="P155" s="331" t="inlineStr">
        <is>
          <t>KG</t>
        </is>
      </c>
    </row>
    <row r="156" ht="15.75" customHeight="1" s="468">
      <c r="A156" s="711" t="n"/>
      <c r="B156" s="456" t="n"/>
      <c r="C156" s="456" t="n"/>
      <c r="D156" s="513" t="n"/>
      <c r="E156" s="336" t="n"/>
      <c r="F156" s="572" t="n"/>
      <c r="G156" s="456" t="n"/>
      <c r="H156" s="456" t="n"/>
      <c r="I156" s="456" t="n"/>
      <c r="J156" s="513" t="n"/>
      <c r="K156" s="571" t="inlineStr">
        <is>
          <t>80/20</t>
        </is>
      </c>
      <c r="L156" s="456" t="n"/>
      <c r="M156" s="456" t="n"/>
      <c r="N156" s="513" t="n"/>
      <c r="O156" s="334" t="n"/>
      <c r="P156" s="331" t="inlineStr">
        <is>
          <t>KG</t>
        </is>
      </c>
    </row>
    <row r="157" ht="15.75" customHeight="1" s="468">
      <c r="A157" s="711" t="n"/>
      <c r="B157" s="456" t="n"/>
      <c r="C157" s="456" t="n"/>
      <c r="D157" s="513" t="n"/>
      <c r="E157" s="336" t="n"/>
      <c r="F157" s="572" t="n"/>
      <c r="G157" s="456" t="n"/>
      <c r="H157" s="456" t="n"/>
      <c r="I157" s="456" t="n"/>
      <c r="J157" s="513" t="n"/>
      <c r="K157" s="571" t="inlineStr">
        <is>
          <t>80/20</t>
        </is>
      </c>
      <c r="L157" s="456" t="n"/>
      <c r="M157" s="456" t="n"/>
      <c r="N157" s="513" t="n"/>
      <c r="O157" s="334" t="n"/>
      <c r="P157" s="331" t="inlineStr">
        <is>
          <t>KG</t>
        </is>
      </c>
    </row>
    <row r="158" ht="15.75" customHeight="1" s="468">
      <c r="A158" s="711" t="n"/>
      <c r="B158" s="456" t="n"/>
      <c r="C158" s="456" t="n"/>
      <c r="D158" s="513" t="n"/>
      <c r="E158" s="336" t="n"/>
      <c r="F158" s="572" t="n"/>
      <c r="G158" s="456" t="n"/>
      <c r="H158" s="456" t="n"/>
      <c r="I158" s="456" t="n"/>
      <c r="J158" s="513" t="n"/>
      <c r="K158" s="571" t="inlineStr">
        <is>
          <t>80/20</t>
        </is>
      </c>
      <c r="L158" s="456" t="n"/>
      <c r="M158" s="456" t="n"/>
      <c r="N158" s="513" t="n"/>
      <c r="O158" s="334" t="n"/>
      <c r="P158" s="331" t="inlineStr">
        <is>
          <t>KG</t>
        </is>
      </c>
    </row>
    <row r="159" ht="15.75" customHeight="1" s="468">
      <c r="A159" s="711" t="n"/>
      <c r="B159" s="456" t="n"/>
      <c r="C159" s="456" t="n"/>
      <c r="D159" s="513" t="n"/>
      <c r="E159" s="336" t="n"/>
      <c r="F159" s="572" t="n"/>
      <c r="G159" s="456" t="n"/>
      <c r="H159" s="456" t="n"/>
      <c r="I159" s="456" t="n"/>
      <c r="J159" s="513" t="n"/>
      <c r="K159" s="571" t="inlineStr">
        <is>
          <t>80/20</t>
        </is>
      </c>
      <c r="L159" s="456" t="n"/>
      <c r="M159" s="456" t="n"/>
      <c r="N159" s="513" t="n"/>
      <c r="O159" s="334" t="n"/>
      <c r="P159" s="331" t="inlineStr">
        <is>
          <t>KG</t>
        </is>
      </c>
    </row>
    <row r="160" ht="15.75" customHeight="1" s="468">
      <c r="A160" s="711" t="n"/>
      <c r="B160" s="456" t="n"/>
      <c r="C160" s="456" t="n"/>
      <c r="D160" s="513" t="n"/>
      <c r="E160" s="336" t="n"/>
      <c r="F160" s="572" t="n"/>
      <c r="G160" s="456" t="n"/>
      <c r="H160" s="456" t="n"/>
      <c r="I160" s="456" t="n"/>
      <c r="J160" s="513" t="n"/>
      <c r="K160" s="571" t="inlineStr">
        <is>
          <t>80/20</t>
        </is>
      </c>
      <c r="L160" s="456" t="n"/>
      <c r="M160" s="456" t="n"/>
      <c r="N160" s="513" t="n"/>
      <c r="O160" s="334" t="n"/>
      <c r="P160" s="331" t="inlineStr">
        <is>
          <t>KG</t>
        </is>
      </c>
    </row>
    <row r="161" ht="15.75" customHeight="1" s="468">
      <c r="A161" s="711" t="n"/>
      <c r="B161" s="456" t="n"/>
      <c r="C161" s="456" t="n"/>
      <c r="D161" s="513" t="n"/>
      <c r="E161" s="336" t="n"/>
      <c r="F161" s="572" t="n"/>
      <c r="G161" s="456" t="n"/>
      <c r="H161" s="456" t="n"/>
      <c r="I161" s="456" t="n"/>
      <c r="J161" s="513" t="n"/>
      <c r="K161" s="571" t="inlineStr">
        <is>
          <t>80/20</t>
        </is>
      </c>
      <c r="L161" s="456" t="n"/>
      <c r="M161" s="456" t="n"/>
      <c r="N161" s="513" t="n"/>
      <c r="O161" s="334" t="n"/>
      <c r="P161" s="331" t="inlineStr">
        <is>
          <t>KG</t>
        </is>
      </c>
    </row>
    <row r="162" ht="15.75" customHeight="1" s="468">
      <c r="A162" s="711" t="n"/>
      <c r="B162" s="456" t="n"/>
      <c r="C162" s="456" t="n"/>
      <c r="D162" s="513" t="n"/>
      <c r="E162" s="336" t="n"/>
      <c r="F162" s="572" t="n"/>
      <c r="G162" s="456" t="n"/>
      <c r="H162" s="456" t="n"/>
      <c r="I162" s="456" t="n"/>
      <c r="J162" s="513" t="n"/>
      <c r="K162" s="571" t="inlineStr">
        <is>
          <t>80/20</t>
        </is>
      </c>
      <c r="L162" s="456" t="n"/>
      <c r="M162" s="456" t="n"/>
      <c r="N162" s="513" t="n"/>
      <c r="O162" s="334" t="n"/>
      <c r="P162" s="331" t="inlineStr">
        <is>
          <t>KG</t>
        </is>
      </c>
    </row>
    <row r="163" ht="15.75" customHeight="1" s="468">
      <c r="A163" s="711" t="n"/>
      <c r="B163" s="456" t="n"/>
      <c r="C163" s="456" t="n"/>
      <c r="D163" s="513" t="n"/>
      <c r="E163" s="336" t="n"/>
      <c r="F163" s="572" t="n"/>
      <c r="G163" s="456" t="n"/>
      <c r="H163" s="456" t="n"/>
      <c r="I163" s="456" t="n"/>
      <c r="J163" s="513" t="n"/>
      <c r="K163" s="571" t="inlineStr">
        <is>
          <t>80/20</t>
        </is>
      </c>
      <c r="L163" s="456" t="n"/>
      <c r="M163" s="456" t="n"/>
      <c r="N163" s="513" t="n"/>
      <c r="O163" s="334" t="n"/>
      <c r="P163" s="331" t="inlineStr">
        <is>
          <t>KG</t>
        </is>
      </c>
    </row>
    <row r="164" ht="15.75" customHeight="1" s="468">
      <c r="A164" s="711" t="n"/>
      <c r="B164" s="456" t="n"/>
      <c r="C164" s="456" t="n"/>
      <c r="D164" s="513" t="n"/>
      <c r="E164" s="336" t="n"/>
      <c r="F164" s="572" t="n"/>
      <c r="G164" s="456" t="n"/>
      <c r="H164" s="456" t="n"/>
      <c r="I164" s="456" t="n"/>
      <c r="J164" s="513" t="n"/>
      <c r="K164" s="571" t="inlineStr">
        <is>
          <t>80/20</t>
        </is>
      </c>
      <c r="L164" s="456" t="n"/>
      <c r="M164" s="456" t="n"/>
      <c r="N164" s="513" t="n"/>
      <c r="O164" s="334" t="n"/>
      <c r="P164" s="331" t="inlineStr">
        <is>
          <t>KG</t>
        </is>
      </c>
    </row>
    <row r="165" ht="15.75" customHeight="1" s="468">
      <c r="A165" s="711" t="n"/>
      <c r="B165" s="456" t="n"/>
      <c r="C165" s="456" t="n"/>
      <c r="D165" s="513" t="n"/>
      <c r="E165" s="336" t="n"/>
      <c r="F165" s="572" t="n"/>
      <c r="G165" s="456" t="n"/>
      <c r="H165" s="456" t="n"/>
      <c r="I165" s="456" t="n"/>
      <c r="J165" s="513" t="n"/>
      <c r="K165" s="571" t="inlineStr">
        <is>
          <t>80/20</t>
        </is>
      </c>
      <c r="L165" s="456" t="n"/>
      <c r="M165" s="456" t="n"/>
      <c r="N165" s="513" t="n"/>
      <c r="O165" s="334" t="n"/>
      <c r="P165" s="331" t="inlineStr">
        <is>
          <t>KG</t>
        </is>
      </c>
    </row>
    <row r="166" ht="15.75" customHeight="1" s="468">
      <c r="A166" s="711" t="n"/>
      <c r="B166" s="456" t="n"/>
      <c r="C166" s="456" t="n"/>
      <c r="D166" s="513" t="n"/>
      <c r="E166" s="336" t="n"/>
      <c r="F166" s="572" t="n"/>
      <c r="G166" s="456" t="n"/>
      <c r="H166" s="456" t="n"/>
      <c r="I166" s="456" t="n"/>
      <c r="J166" s="513" t="n"/>
      <c r="K166" s="571" t="inlineStr">
        <is>
          <t>80/20</t>
        </is>
      </c>
      <c r="L166" s="456" t="n"/>
      <c r="M166" s="456" t="n"/>
      <c r="N166" s="513" t="n"/>
      <c r="O166" s="334" t="n"/>
      <c r="P166" s="331" t="inlineStr">
        <is>
          <t>KG</t>
        </is>
      </c>
    </row>
    <row r="167" ht="15.75" customHeight="1" s="468">
      <c r="A167" s="711" t="n"/>
      <c r="B167" s="456" t="n"/>
      <c r="C167" s="456" t="n"/>
      <c r="D167" s="513" t="n"/>
      <c r="E167" s="336" t="n"/>
      <c r="F167" s="572" t="n"/>
      <c r="G167" s="456" t="n"/>
      <c r="H167" s="456" t="n"/>
      <c r="I167" s="456" t="n"/>
      <c r="J167" s="513" t="n"/>
      <c r="K167" s="571" t="inlineStr">
        <is>
          <t>80/20</t>
        </is>
      </c>
      <c r="L167" s="456" t="n"/>
      <c r="M167" s="456" t="n"/>
      <c r="N167" s="513" t="n"/>
      <c r="O167" s="334" t="n"/>
      <c r="P167" s="331" t="inlineStr">
        <is>
          <t>KG</t>
        </is>
      </c>
    </row>
    <row r="168" ht="15.75" customHeight="1" s="468">
      <c r="A168" s="711" t="n"/>
      <c r="B168" s="456" t="n"/>
      <c r="C168" s="456" t="n"/>
      <c r="D168" s="513" t="n"/>
      <c r="E168" s="336" t="n"/>
      <c r="F168" s="572" t="n"/>
      <c r="G168" s="456" t="n"/>
      <c r="H168" s="456" t="n"/>
      <c r="I168" s="456" t="n"/>
      <c r="J168" s="513" t="n"/>
      <c r="K168" s="571" t="inlineStr">
        <is>
          <t>80/20</t>
        </is>
      </c>
      <c r="L168" s="456" t="n"/>
      <c r="M168" s="456" t="n"/>
      <c r="N168" s="513" t="n"/>
      <c r="O168" s="334" t="n"/>
      <c r="P168" s="331" t="inlineStr">
        <is>
          <t>KG</t>
        </is>
      </c>
    </row>
    <row r="169" ht="15.75" customHeight="1" s="468">
      <c r="A169" s="711" t="n"/>
      <c r="B169" s="456" t="n"/>
      <c r="C169" s="456" t="n"/>
      <c r="D169" s="513" t="n"/>
      <c r="E169" s="336" t="n"/>
      <c r="F169" s="572" t="n"/>
      <c r="G169" s="456" t="n"/>
      <c r="H169" s="456" t="n"/>
      <c r="I169" s="456" t="n"/>
      <c r="J169" s="513" t="n"/>
      <c r="K169" s="571" t="inlineStr">
        <is>
          <t>80/20</t>
        </is>
      </c>
      <c r="L169" s="456" t="n"/>
      <c r="M169" s="456" t="n"/>
      <c r="N169" s="513" t="n"/>
      <c r="O169" s="334" t="n"/>
      <c r="P169" s="331" t="inlineStr">
        <is>
          <t>KG</t>
        </is>
      </c>
    </row>
    <row r="170" ht="15.75" customHeight="1" s="468">
      <c r="A170" s="711" t="n"/>
      <c r="B170" s="456" t="n"/>
      <c r="C170" s="456" t="n"/>
      <c r="D170" s="513" t="n"/>
      <c r="E170" s="336" t="n"/>
      <c r="F170" s="572" t="n"/>
      <c r="G170" s="456" t="n"/>
      <c r="H170" s="456" t="n"/>
      <c r="I170" s="456" t="n"/>
      <c r="J170" s="513" t="n"/>
      <c r="K170" s="571" t="inlineStr">
        <is>
          <t>80/20</t>
        </is>
      </c>
      <c r="L170" s="456" t="n"/>
      <c r="M170" s="456" t="n"/>
      <c r="N170" s="513" t="n"/>
      <c r="O170" s="334" t="n"/>
      <c r="P170" s="331" t="inlineStr">
        <is>
          <t>KG</t>
        </is>
      </c>
    </row>
    <row r="171" ht="15.75" customHeight="1" s="468">
      <c r="A171" s="711" t="n"/>
      <c r="B171" s="456" t="n"/>
      <c r="C171" s="456" t="n"/>
      <c r="D171" s="513" t="n"/>
      <c r="E171" s="336" t="n"/>
      <c r="F171" s="572" t="n"/>
      <c r="G171" s="456" t="n"/>
      <c r="H171" s="456" t="n"/>
      <c r="I171" s="456" t="n"/>
      <c r="J171" s="513" t="n"/>
      <c r="K171" s="571" t="inlineStr">
        <is>
          <t>80/20</t>
        </is>
      </c>
      <c r="L171" s="456" t="n"/>
      <c r="M171" s="456" t="n"/>
      <c r="N171" s="513" t="n"/>
      <c r="O171" s="334" t="n"/>
      <c r="P171" s="331" t="inlineStr">
        <is>
          <t>KG</t>
        </is>
      </c>
    </row>
    <row r="172" ht="15.75" customHeight="1" s="468">
      <c r="A172" s="711" t="n"/>
      <c r="B172" s="456" t="n"/>
      <c r="C172" s="456" t="n"/>
      <c r="D172" s="513" t="n"/>
      <c r="E172" s="336" t="n"/>
      <c r="F172" s="572" t="n"/>
      <c r="G172" s="456" t="n"/>
      <c r="H172" s="456" t="n"/>
      <c r="I172" s="456" t="n"/>
      <c r="J172" s="513" t="n"/>
      <c r="K172" s="571" t="inlineStr">
        <is>
          <t>80/20</t>
        </is>
      </c>
      <c r="L172" s="456" t="n"/>
      <c r="M172" s="456" t="n"/>
      <c r="N172" s="513" t="n"/>
      <c r="O172" s="334" t="n"/>
      <c r="P172" s="331" t="inlineStr">
        <is>
          <t>KG</t>
        </is>
      </c>
    </row>
    <row r="173" ht="15.75" customHeight="1" s="468">
      <c r="A173" s="711" t="n"/>
      <c r="B173" s="456" t="n"/>
      <c r="C173" s="456" t="n"/>
      <c r="D173" s="513" t="n"/>
      <c r="E173" s="336" t="n"/>
      <c r="F173" s="572" t="n"/>
      <c r="G173" s="456" t="n"/>
      <c r="H173" s="456" t="n"/>
      <c r="I173" s="456" t="n"/>
      <c r="J173" s="513" t="n"/>
      <c r="K173" s="571" t="inlineStr">
        <is>
          <t>80/20</t>
        </is>
      </c>
      <c r="L173" s="456" t="n"/>
      <c r="M173" s="456" t="n"/>
      <c r="N173" s="513" t="n"/>
      <c r="O173" s="334" t="n"/>
      <c r="P173" s="331" t="inlineStr">
        <is>
          <t>KG</t>
        </is>
      </c>
    </row>
    <row r="174" ht="15.75" customHeight="1" s="468">
      <c r="A174" s="711" t="n"/>
      <c r="B174" s="456" t="n"/>
      <c r="C174" s="456" t="n"/>
      <c r="D174" s="513" t="n"/>
      <c r="E174" s="336" t="n"/>
      <c r="F174" s="572" t="n"/>
      <c r="G174" s="456" t="n"/>
      <c r="H174" s="456" t="n"/>
      <c r="I174" s="456" t="n"/>
      <c r="J174" s="513" t="n"/>
      <c r="K174" s="571" t="inlineStr">
        <is>
          <t>80/20</t>
        </is>
      </c>
      <c r="L174" s="456" t="n"/>
      <c r="M174" s="456" t="n"/>
      <c r="N174" s="513" t="n"/>
      <c r="O174" s="334" t="n"/>
      <c r="P174" s="331" t="inlineStr">
        <is>
          <t>KG</t>
        </is>
      </c>
    </row>
    <row r="175" ht="15.75" customHeight="1" s="468">
      <c r="A175" s="711" t="n"/>
      <c r="B175" s="456" t="n"/>
      <c r="C175" s="456" t="n"/>
      <c r="D175" s="513" t="n"/>
      <c r="E175" s="336" t="n"/>
      <c r="F175" s="572" t="n"/>
      <c r="G175" s="456" t="n"/>
      <c r="H175" s="456" t="n"/>
      <c r="I175" s="456" t="n"/>
      <c r="J175" s="513" t="n"/>
      <c r="K175" s="571" t="inlineStr">
        <is>
          <t>80/20</t>
        </is>
      </c>
      <c r="L175" s="456" t="n"/>
      <c r="M175" s="456" t="n"/>
      <c r="N175" s="513" t="n"/>
      <c r="O175" s="334" t="n"/>
      <c r="P175" s="331" t="inlineStr">
        <is>
          <t>KG</t>
        </is>
      </c>
    </row>
    <row r="176" ht="15.75" customHeight="1" s="468">
      <c r="A176" s="711" t="n"/>
      <c r="B176" s="456" t="n"/>
      <c r="C176" s="456" t="n"/>
      <c r="D176" s="513" t="n"/>
      <c r="E176" s="336" t="n"/>
      <c r="F176" s="572" t="n"/>
      <c r="G176" s="456" t="n"/>
      <c r="H176" s="456" t="n"/>
      <c r="I176" s="456" t="n"/>
      <c r="J176" s="513" t="n"/>
      <c r="K176" s="571" t="inlineStr">
        <is>
          <t>80/20</t>
        </is>
      </c>
      <c r="L176" s="456" t="n"/>
      <c r="M176" s="456" t="n"/>
      <c r="N176" s="513" t="n"/>
      <c r="O176" s="334" t="n"/>
      <c r="P176" s="331" t="inlineStr">
        <is>
          <t>KG</t>
        </is>
      </c>
    </row>
    <row r="177" ht="15.75" customHeight="1" s="468">
      <c r="A177" s="711" t="n"/>
      <c r="B177" s="456" t="n"/>
      <c r="C177" s="456" t="n"/>
      <c r="D177" s="513" t="n"/>
      <c r="E177" s="336" t="n"/>
      <c r="F177" s="572" t="n"/>
      <c r="G177" s="456" t="n"/>
      <c r="H177" s="456" t="n"/>
      <c r="I177" s="456" t="n"/>
      <c r="J177" s="513" t="n"/>
      <c r="K177" s="571" t="inlineStr">
        <is>
          <t>80/20</t>
        </is>
      </c>
      <c r="L177" s="456" t="n"/>
      <c r="M177" s="456" t="n"/>
      <c r="N177" s="513" t="n"/>
      <c r="O177" s="334" t="n"/>
      <c r="P177" s="331" t="inlineStr">
        <is>
          <t>KG</t>
        </is>
      </c>
    </row>
    <row r="178" ht="15.75" customHeight="1" s="468">
      <c r="A178" s="711" t="n"/>
      <c r="B178" s="456" t="n"/>
      <c r="C178" s="456" t="n"/>
      <c r="D178" s="513" t="n"/>
      <c r="E178" s="336" t="n"/>
      <c r="F178" s="572" t="n"/>
      <c r="G178" s="456" t="n"/>
      <c r="H178" s="456" t="n"/>
      <c r="I178" s="456" t="n"/>
      <c r="J178" s="513" t="n"/>
      <c r="K178" s="571" t="inlineStr">
        <is>
          <t>80/20</t>
        </is>
      </c>
      <c r="L178" s="456" t="n"/>
      <c r="M178" s="456" t="n"/>
      <c r="N178" s="513" t="n"/>
      <c r="O178" s="334" t="n"/>
      <c r="P178" s="331" t="inlineStr">
        <is>
          <t>KG</t>
        </is>
      </c>
    </row>
    <row r="179" ht="15.75" customHeight="1" s="468">
      <c r="A179" s="711" t="n"/>
      <c r="B179" s="456" t="n"/>
      <c r="C179" s="456" t="n"/>
      <c r="D179" s="513" t="n"/>
      <c r="E179" s="336" t="n"/>
      <c r="F179" s="572" t="n"/>
      <c r="G179" s="456" t="n"/>
      <c r="H179" s="456" t="n"/>
      <c r="I179" s="456" t="n"/>
      <c r="J179" s="513" t="n"/>
      <c r="K179" s="571" t="inlineStr">
        <is>
          <t>80/20</t>
        </is>
      </c>
      <c r="L179" s="456" t="n"/>
      <c r="M179" s="456" t="n"/>
      <c r="N179" s="513" t="n"/>
      <c r="O179" s="334" t="n"/>
      <c r="P179" s="331" t="inlineStr">
        <is>
          <t>KG</t>
        </is>
      </c>
    </row>
    <row r="180" ht="15.75" customHeight="1" s="468">
      <c r="A180" s="711" t="n"/>
      <c r="B180" s="456" t="n"/>
      <c r="C180" s="456" t="n"/>
      <c r="D180" s="513" t="n"/>
      <c r="E180" s="336" t="n"/>
      <c r="F180" s="572" t="n"/>
      <c r="G180" s="456" t="n"/>
      <c r="H180" s="456" t="n"/>
      <c r="I180" s="456" t="n"/>
      <c r="J180" s="513" t="n"/>
      <c r="K180" s="571" t="inlineStr">
        <is>
          <t>80/20</t>
        </is>
      </c>
      <c r="L180" s="456" t="n"/>
      <c r="M180" s="456" t="n"/>
      <c r="N180" s="513" t="n"/>
      <c r="O180" s="334" t="n"/>
      <c r="P180" s="331" t="inlineStr">
        <is>
          <t>KG</t>
        </is>
      </c>
    </row>
    <row r="181" ht="15.75" customHeight="1" s="468">
      <c r="A181" s="711" t="n"/>
      <c r="B181" s="456" t="n"/>
      <c r="C181" s="456" t="n"/>
      <c r="D181" s="513" t="n"/>
      <c r="E181" s="336" t="n"/>
      <c r="F181" s="572" t="n"/>
      <c r="G181" s="456" t="n"/>
      <c r="H181" s="456" t="n"/>
      <c r="I181" s="456" t="n"/>
      <c r="J181" s="513" t="n"/>
      <c r="K181" s="571" t="inlineStr">
        <is>
          <t>80/20</t>
        </is>
      </c>
      <c r="L181" s="456" t="n"/>
      <c r="M181" s="456" t="n"/>
      <c r="N181" s="513" t="n"/>
      <c r="O181" s="334" t="n"/>
      <c r="P181" s="331" t="inlineStr">
        <is>
          <t>KG</t>
        </is>
      </c>
    </row>
    <row r="182" ht="15.75" customHeight="1" s="468">
      <c r="A182" s="711" t="n"/>
      <c r="B182" s="456" t="n"/>
      <c r="C182" s="456" t="n"/>
      <c r="D182" s="513" t="n"/>
      <c r="E182" s="336" t="n"/>
      <c r="F182" s="572" t="n"/>
      <c r="G182" s="456" t="n"/>
      <c r="H182" s="456" t="n"/>
      <c r="I182" s="456" t="n"/>
      <c r="J182" s="513" t="n"/>
      <c r="K182" s="571" t="inlineStr">
        <is>
          <t>80/20</t>
        </is>
      </c>
      <c r="L182" s="456" t="n"/>
      <c r="M182" s="456" t="n"/>
      <c r="N182" s="513" t="n"/>
      <c r="O182" s="334" t="n"/>
      <c r="P182" s="331" t="inlineStr">
        <is>
          <t>KG</t>
        </is>
      </c>
    </row>
    <row r="183" ht="15.75" customHeight="1" s="468">
      <c r="A183" s="711" t="n"/>
      <c r="B183" s="456" t="n"/>
      <c r="C183" s="456" t="n"/>
      <c r="D183" s="513" t="n"/>
      <c r="E183" s="336" t="n"/>
      <c r="F183" s="572" t="n"/>
      <c r="G183" s="456" t="n"/>
      <c r="H183" s="456" t="n"/>
      <c r="I183" s="456" t="n"/>
      <c r="J183" s="513" t="n"/>
      <c r="K183" s="571" t="inlineStr">
        <is>
          <t>80/20</t>
        </is>
      </c>
      <c r="L183" s="456" t="n"/>
      <c r="M183" s="456" t="n"/>
      <c r="N183" s="513" t="n"/>
      <c r="O183" s="334" t="n"/>
      <c r="P183" s="331" t="inlineStr">
        <is>
          <t>KG</t>
        </is>
      </c>
    </row>
    <row r="184" ht="15.75" customHeight="1" s="468">
      <c r="A184" s="711" t="n"/>
      <c r="B184" s="456" t="n"/>
      <c r="C184" s="456" t="n"/>
      <c r="D184" s="513" t="n"/>
      <c r="E184" s="336" t="n"/>
      <c r="F184" s="572" t="n"/>
      <c r="G184" s="456" t="n"/>
      <c r="H184" s="456" t="n"/>
      <c r="I184" s="456" t="n"/>
      <c r="J184" s="513" t="n"/>
      <c r="K184" s="571" t="inlineStr">
        <is>
          <t>80/20</t>
        </is>
      </c>
      <c r="L184" s="456" t="n"/>
      <c r="M184" s="456" t="n"/>
      <c r="N184" s="513" t="n"/>
      <c r="O184" s="334" t="n"/>
      <c r="P184" s="331" t="inlineStr">
        <is>
          <t>KG</t>
        </is>
      </c>
    </row>
    <row r="185" ht="15.75" customHeight="1" s="468">
      <c r="A185" s="711" t="n"/>
      <c r="B185" s="456" t="n"/>
      <c r="C185" s="456" t="n"/>
      <c r="D185" s="513" t="n"/>
      <c r="E185" s="336" t="n"/>
      <c r="F185" s="572" t="n"/>
      <c r="G185" s="456" t="n"/>
      <c r="H185" s="456" t="n"/>
      <c r="I185" s="456" t="n"/>
      <c r="J185" s="513" t="n"/>
      <c r="K185" s="571" t="inlineStr">
        <is>
          <t>80/20</t>
        </is>
      </c>
      <c r="L185" s="456" t="n"/>
      <c r="M185" s="456" t="n"/>
      <c r="N185" s="513" t="n"/>
      <c r="O185" s="334" t="n"/>
      <c r="P185" s="331" t="inlineStr">
        <is>
          <t>KG</t>
        </is>
      </c>
    </row>
    <row r="186" ht="15.75" customHeight="1" s="468">
      <c r="A186" s="711" t="n"/>
      <c r="B186" s="456" t="n"/>
      <c r="C186" s="456" t="n"/>
      <c r="D186" s="513" t="n"/>
      <c r="E186" s="336" t="n"/>
      <c r="F186" s="572" t="n"/>
      <c r="G186" s="456" t="n"/>
      <c r="H186" s="456" t="n"/>
      <c r="I186" s="456" t="n"/>
      <c r="J186" s="513" t="n"/>
      <c r="K186" s="571" t="inlineStr">
        <is>
          <t>80/20</t>
        </is>
      </c>
      <c r="L186" s="456" t="n"/>
      <c r="M186" s="456" t="n"/>
      <c r="N186" s="513" t="n"/>
      <c r="O186" s="334" t="n"/>
      <c r="P186" s="331" t="inlineStr">
        <is>
          <t>KG</t>
        </is>
      </c>
    </row>
    <row r="187" ht="15.75" customHeight="1" s="468">
      <c r="A187" s="711" t="n"/>
      <c r="B187" s="456" t="n"/>
      <c r="C187" s="456" t="n"/>
      <c r="D187" s="513" t="n"/>
      <c r="E187" s="336" t="n"/>
      <c r="F187" s="572" t="n"/>
      <c r="G187" s="456" t="n"/>
      <c r="H187" s="456" t="n"/>
      <c r="I187" s="456" t="n"/>
      <c r="J187" s="513" t="n"/>
      <c r="K187" s="571" t="inlineStr">
        <is>
          <t>80/20</t>
        </is>
      </c>
      <c r="L187" s="456" t="n"/>
      <c r="M187" s="456" t="n"/>
      <c r="N187" s="513" t="n"/>
      <c r="O187" s="334" t="n"/>
      <c r="P187" s="331" t="inlineStr">
        <is>
          <t>KG</t>
        </is>
      </c>
    </row>
    <row r="188" ht="15.75" customHeight="1" s="468">
      <c r="A188" s="711" t="n"/>
      <c r="B188" s="456" t="n"/>
      <c r="C188" s="456" t="n"/>
      <c r="D188" s="513" t="n"/>
      <c r="E188" s="336" t="n"/>
      <c r="F188" s="572" t="n"/>
      <c r="G188" s="456" t="n"/>
      <c r="H188" s="456" t="n"/>
      <c r="I188" s="456" t="n"/>
      <c r="J188" s="513" t="n"/>
      <c r="K188" s="571" t="inlineStr">
        <is>
          <t>80/20</t>
        </is>
      </c>
      <c r="L188" s="456" t="n"/>
      <c r="M188" s="456" t="n"/>
      <c r="N188" s="513" t="n"/>
      <c r="O188" s="334" t="n"/>
      <c r="P188" s="331" t="inlineStr">
        <is>
          <t>KG</t>
        </is>
      </c>
    </row>
    <row r="189" ht="15.75" customHeight="1" s="468">
      <c r="A189" s="711" t="n"/>
      <c r="B189" s="456" t="n"/>
      <c r="C189" s="456" t="n"/>
      <c r="D189" s="513" t="n"/>
      <c r="E189" s="336" t="n"/>
      <c r="F189" s="572" t="n"/>
      <c r="G189" s="456" t="n"/>
      <c r="H189" s="456" t="n"/>
      <c r="I189" s="456" t="n"/>
      <c r="J189" s="513" t="n"/>
      <c r="K189" s="571" t="inlineStr">
        <is>
          <t>80/20</t>
        </is>
      </c>
      <c r="L189" s="456" t="n"/>
      <c r="M189" s="456" t="n"/>
      <c r="N189" s="513" t="n"/>
      <c r="O189" s="334" t="n"/>
      <c r="P189" s="331" t="inlineStr">
        <is>
          <t>KG</t>
        </is>
      </c>
    </row>
    <row r="190" ht="15.75" customHeight="1" s="468">
      <c r="A190" s="711" t="n"/>
      <c r="B190" s="456" t="n"/>
      <c r="C190" s="456" t="n"/>
      <c r="D190" s="513" t="n"/>
      <c r="E190" s="336" t="n"/>
      <c r="F190" s="572" t="n"/>
      <c r="G190" s="456" t="n"/>
      <c r="H190" s="456" t="n"/>
      <c r="I190" s="456" t="n"/>
      <c r="J190" s="513" t="n"/>
      <c r="K190" s="571" t="inlineStr">
        <is>
          <t>80/20</t>
        </is>
      </c>
      <c r="L190" s="456" t="n"/>
      <c r="M190" s="456" t="n"/>
      <c r="N190" s="513" t="n"/>
      <c r="O190" s="334" t="n"/>
      <c r="P190" s="331" t="inlineStr">
        <is>
          <t>KG</t>
        </is>
      </c>
    </row>
    <row r="191" ht="15.75" customHeight="1" s="468">
      <c r="A191" s="711" t="n"/>
      <c r="B191" s="456" t="n"/>
      <c r="C191" s="456" t="n"/>
      <c r="D191" s="513" t="n"/>
      <c r="E191" s="336" t="n"/>
      <c r="F191" s="572" t="n"/>
      <c r="G191" s="456" t="n"/>
      <c r="H191" s="456" t="n"/>
      <c r="I191" s="456" t="n"/>
      <c r="J191" s="513" t="n"/>
      <c r="K191" s="571" t="inlineStr">
        <is>
          <t>80/20</t>
        </is>
      </c>
      <c r="L191" s="456" t="n"/>
      <c r="M191" s="456" t="n"/>
      <c r="N191" s="513" t="n"/>
      <c r="O191" s="334" t="n"/>
      <c r="P191" s="331" t="inlineStr">
        <is>
          <t>KG</t>
        </is>
      </c>
    </row>
    <row r="192" ht="15.75" customHeight="1" s="468">
      <c r="A192" s="711" t="n"/>
      <c r="B192" s="456" t="n"/>
      <c r="C192" s="456" t="n"/>
      <c r="D192" s="513" t="n"/>
      <c r="E192" s="336" t="n"/>
      <c r="F192" s="572" t="n"/>
      <c r="G192" s="456" t="n"/>
      <c r="H192" s="456" t="n"/>
      <c r="I192" s="456" t="n"/>
      <c r="J192" s="513" t="n"/>
      <c r="K192" s="571" t="inlineStr">
        <is>
          <t>80/20</t>
        </is>
      </c>
      <c r="L192" s="456" t="n"/>
      <c r="M192" s="456" t="n"/>
      <c r="N192" s="513" t="n"/>
      <c r="O192" s="334" t="n"/>
      <c r="P192" s="331" t="inlineStr">
        <is>
          <t>KG</t>
        </is>
      </c>
    </row>
    <row r="193" ht="15.75" customHeight="1" s="468">
      <c r="A193" s="711" t="n"/>
      <c r="B193" s="456" t="n"/>
      <c r="C193" s="456" t="n"/>
      <c r="D193" s="513" t="n"/>
      <c r="E193" s="336" t="n"/>
      <c r="F193" s="572" t="n"/>
      <c r="G193" s="456" t="n"/>
      <c r="H193" s="456" t="n"/>
      <c r="I193" s="456" t="n"/>
      <c r="J193" s="513" t="n"/>
      <c r="K193" s="571" t="inlineStr">
        <is>
          <t>80/20</t>
        </is>
      </c>
      <c r="L193" s="456" t="n"/>
      <c r="M193" s="456" t="n"/>
      <c r="N193" s="513" t="n"/>
      <c r="O193" s="334" t="n"/>
      <c r="P193" s="331" t="inlineStr">
        <is>
          <t>KG</t>
        </is>
      </c>
    </row>
    <row r="194" ht="15.75" customHeight="1" s="468">
      <c r="A194" s="711" t="n"/>
      <c r="B194" s="456" t="n"/>
      <c r="C194" s="456" t="n"/>
      <c r="D194" s="513" t="n"/>
      <c r="E194" s="336" t="n"/>
      <c r="F194" s="572" t="n"/>
      <c r="G194" s="456" t="n"/>
      <c r="H194" s="456" t="n"/>
      <c r="I194" s="456" t="n"/>
      <c r="J194" s="513" t="n"/>
      <c r="K194" s="571" t="inlineStr">
        <is>
          <t>80/20</t>
        </is>
      </c>
      <c r="L194" s="456" t="n"/>
      <c r="M194" s="456" t="n"/>
      <c r="N194" s="513" t="n"/>
      <c r="O194" s="334" t="n"/>
      <c r="P194" s="331" t="inlineStr">
        <is>
          <t>KG</t>
        </is>
      </c>
    </row>
    <row r="195" ht="15.75" customHeight="1" s="468">
      <c r="A195" s="711" t="n"/>
      <c r="B195" s="456" t="n"/>
      <c r="C195" s="456" t="n"/>
      <c r="D195" s="513" t="n"/>
      <c r="E195" s="336" t="n"/>
      <c r="F195" s="572" t="n"/>
      <c r="G195" s="456" t="n"/>
      <c r="H195" s="456" t="n"/>
      <c r="I195" s="456" t="n"/>
      <c r="J195" s="513" t="n"/>
      <c r="K195" s="571" t="inlineStr">
        <is>
          <t>80/20</t>
        </is>
      </c>
      <c r="L195" s="456" t="n"/>
      <c r="M195" s="456" t="n"/>
      <c r="N195" s="513" t="n"/>
      <c r="O195" s="334" t="n"/>
      <c r="P195" s="331" t="inlineStr">
        <is>
          <t>KG</t>
        </is>
      </c>
    </row>
    <row r="196" ht="15.75" customHeight="1" s="468">
      <c r="A196" s="711" t="n"/>
      <c r="B196" s="456" t="n"/>
      <c r="C196" s="456" t="n"/>
      <c r="D196" s="513" t="n"/>
      <c r="E196" s="336" t="n"/>
      <c r="F196" s="572" t="n"/>
      <c r="G196" s="456" t="n"/>
      <c r="H196" s="456" t="n"/>
      <c r="I196" s="456" t="n"/>
      <c r="J196" s="513" t="n"/>
      <c r="K196" s="571" t="inlineStr">
        <is>
          <t>80/20</t>
        </is>
      </c>
      <c r="L196" s="456" t="n"/>
      <c r="M196" s="456" t="n"/>
      <c r="N196" s="513" t="n"/>
      <c r="O196" s="334" t="n"/>
      <c r="P196" s="331" t="inlineStr">
        <is>
          <t>KG</t>
        </is>
      </c>
    </row>
    <row r="197" ht="15.75" customHeight="1" s="468">
      <c r="A197" s="711" t="n"/>
      <c r="B197" s="456" t="n"/>
      <c r="C197" s="456" t="n"/>
      <c r="D197" s="513" t="n"/>
      <c r="E197" s="336" t="n"/>
      <c r="F197" s="572" t="n"/>
      <c r="G197" s="456" t="n"/>
      <c r="H197" s="456" t="n"/>
      <c r="I197" s="456" t="n"/>
      <c r="J197" s="513" t="n"/>
      <c r="K197" s="571" t="inlineStr">
        <is>
          <t>80/20</t>
        </is>
      </c>
      <c r="L197" s="456" t="n"/>
      <c r="M197" s="456" t="n"/>
      <c r="N197" s="513" t="n"/>
      <c r="O197" s="334" t="n"/>
      <c r="P197" s="331" t="inlineStr">
        <is>
          <t>KG</t>
        </is>
      </c>
    </row>
    <row r="198" ht="15.75" customHeight="1" s="468">
      <c r="A198" s="711" t="n"/>
      <c r="B198" s="456" t="n"/>
      <c r="C198" s="456" t="n"/>
      <c r="D198" s="513" t="n"/>
      <c r="E198" s="336" t="n"/>
      <c r="F198" s="572" t="n"/>
      <c r="G198" s="456" t="n"/>
      <c r="H198" s="456" t="n"/>
      <c r="I198" s="456" t="n"/>
      <c r="J198" s="513" t="n"/>
      <c r="K198" s="571" t="inlineStr">
        <is>
          <t>80/20</t>
        </is>
      </c>
      <c r="L198" s="456" t="n"/>
      <c r="M198" s="456" t="n"/>
      <c r="N198" s="513" t="n"/>
      <c r="O198" s="334" t="n"/>
      <c r="P198" s="331" t="inlineStr">
        <is>
          <t>KG</t>
        </is>
      </c>
    </row>
    <row r="199" ht="15.75" customHeight="1" s="468">
      <c r="A199" s="711" t="n"/>
      <c r="B199" s="456" t="n"/>
      <c r="C199" s="456" t="n"/>
      <c r="D199" s="513" t="n"/>
      <c r="E199" s="336" t="n"/>
      <c r="F199" s="572" t="n"/>
      <c r="G199" s="456" t="n"/>
      <c r="H199" s="456" t="n"/>
      <c r="I199" s="456" t="n"/>
      <c r="J199" s="513" t="n"/>
      <c r="K199" s="571" t="inlineStr">
        <is>
          <t>80/20</t>
        </is>
      </c>
      <c r="L199" s="456" t="n"/>
      <c r="M199" s="456" t="n"/>
      <c r="N199" s="513" t="n"/>
      <c r="O199" s="334" t="n"/>
      <c r="P199" s="331" t="inlineStr">
        <is>
          <t>KG</t>
        </is>
      </c>
    </row>
    <row r="200" ht="15.75" customHeight="1" s="468">
      <c r="A200" s="711" t="n"/>
      <c r="B200" s="456" t="n"/>
      <c r="C200" s="456" t="n"/>
      <c r="D200" s="513" t="n"/>
      <c r="E200" s="336" t="n"/>
      <c r="F200" s="572" t="n"/>
      <c r="G200" s="456" t="n"/>
      <c r="H200" s="456" t="n"/>
      <c r="I200" s="456" t="n"/>
      <c r="J200" s="513" t="n"/>
      <c r="K200" s="571" t="inlineStr">
        <is>
          <t>80/20</t>
        </is>
      </c>
      <c r="L200" s="456" t="n"/>
      <c r="M200" s="456" t="n"/>
      <c r="N200" s="513" t="n"/>
      <c r="O200" s="334" t="n"/>
      <c r="P200" s="331" t="inlineStr">
        <is>
          <t>KG</t>
        </is>
      </c>
    </row>
    <row r="201" ht="15.75" customHeight="1" s="468">
      <c r="A201" s="711" t="n"/>
      <c r="B201" s="456" t="n"/>
      <c r="C201" s="456" t="n"/>
      <c r="D201" s="513" t="n"/>
      <c r="E201" s="336" t="n"/>
      <c r="F201" s="572" t="n"/>
      <c r="G201" s="456" t="n"/>
      <c r="H201" s="456" t="n"/>
      <c r="I201" s="456" t="n"/>
      <c r="J201" s="513" t="n"/>
      <c r="K201" s="571" t="inlineStr">
        <is>
          <t>80/20</t>
        </is>
      </c>
      <c r="L201" s="456" t="n"/>
      <c r="M201" s="456" t="n"/>
      <c r="N201" s="513" t="n"/>
      <c r="O201" s="334" t="n"/>
      <c r="P201" s="331" t="inlineStr">
        <is>
          <t>KG</t>
        </is>
      </c>
    </row>
    <row r="202" ht="15.75" customHeight="1" s="468">
      <c r="A202" s="711" t="n"/>
      <c r="B202" s="456" t="n"/>
      <c r="C202" s="456" t="n"/>
      <c r="D202" s="513" t="n"/>
      <c r="E202" s="336" t="n"/>
      <c r="F202" s="572" t="n"/>
      <c r="G202" s="456" t="n"/>
      <c r="H202" s="456" t="n"/>
      <c r="I202" s="456" t="n"/>
      <c r="J202" s="513" t="n"/>
      <c r="K202" s="571" t="inlineStr">
        <is>
          <t>80/20</t>
        </is>
      </c>
      <c r="L202" s="456" t="n"/>
      <c r="M202" s="456" t="n"/>
      <c r="N202" s="513" t="n"/>
      <c r="O202" s="334" t="n"/>
      <c r="P202" s="331" t="inlineStr">
        <is>
          <t>KG</t>
        </is>
      </c>
    </row>
    <row r="203" ht="15.75" customHeight="1" s="468">
      <c r="A203" s="711" t="n"/>
      <c r="B203" s="456" t="n"/>
      <c r="C203" s="456" t="n"/>
      <c r="D203" s="513" t="n"/>
      <c r="E203" s="336" t="n"/>
      <c r="F203" s="572" t="n"/>
      <c r="G203" s="456" t="n"/>
      <c r="H203" s="456" t="n"/>
      <c r="I203" s="456" t="n"/>
      <c r="J203" s="513" t="n"/>
      <c r="K203" s="571" t="inlineStr">
        <is>
          <t>80/20</t>
        </is>
      </c>
      <c r="L203" s="456" t="n"/>
      <c r="M203" s="456" t="n"/>
      <c r="N203" s="513" t="n"/>
      <c r="O203" s="334" t="n"/>
      <c r="P203" s="331" t="inlineStr">
        <is>
          <t>KG</t>
        </is>
      </c>
    </row>
    <row r="204" ht="15.75" customHeight="1" s="468">
      <c r="A204" s="711" t="n"/>
      <c r="B204" s="456" t="n"/>
      <c r="C204" s="456" t="n"/>
      <c r="D204" s="513" t="n"/>
      <c r="E204" s="336" t="n"/>
      <c r="F204" s="572" t="n"/>
      <c r="G204" s="456" t="n"/>
      <c r="H204" s="456" t="n"/>
      <c r="I204" s="456" t="n"/>
      <c r="J204" s="513" t="n"/>
      <c r="K204" s="571" t="inlineStr">
        <is>
          <t>80/20</t>
        </is>
      </c>
      <c r="L204" s="456" t="n"/>
      <c r="M204" s="456" t="n"/>
      <c r="N204" s="513" t="n"/>
      <c r="O204" s="334" t="n"/>
      <c r="P204" s="331" t="inlineStr">
        <is>
          <t>KG</t>
        </is>
      </c>
    </row>
    <row r="205" ht="15.75" customHeight="1" s="468">
      <c r="A205" s="711" t="n"/>
      <c r="B205" s="456" t="n"/>
      <c r="C205" s="456" t="n"/>
      <c r="D205" s="513" t="n"/>
      <c r="E205" s="336" t="n"/>
      <c r="F205" s="572" t="n"/>
      <c r="G205" s="456" t="n"/>
      <c r="H205" s="456" t="n"/>
      <c r="I205" s="456" t="n"/>
      <c r="J205" s="513" t="n"/>
      <c r="K205" s="571" t="inlineStr">
        <is>
          <t>80/20</t>
        </is>
      </c>
      <c r="L205" s="456" t="n"/>
      <c r="M205" s="456" t="n"/>
      <c r="N205" s="513" t="n"/>
      <c r="O205" s="334" t="n"/>
      <c r="P205" s="331" t="inlineStr">
        <is>
          <t>KG</t>
        </is>
      </c>
    </row>
    <row r="206" ht="15.75" customHeight="1" s="468">
      <c r="A206" s="711" t="n"/>
      <c r="B206" s="456" t="n"/>
      <c r="C206" s="456" t="n"/>
      <c r="D206" s="513" t="n"/>
      <c r="E206" s="336" t="n"/>
      <c r="F206" s="572" t="n"/>
      <c r="G206" s="456" t="n"/>
      <c r="H206" s="456" t="n"/>
      <c r="I206" s="456" t="n"/>
      <c r="J206" s="513" t="n"/>
      <c r="K206" s="571" t="inlineStr">
        <is>
          <t>80/20</t>
        </is>
      </c>
      <c r="L206" s="456" t="n"/>
      <c r="M206" s="456" t="n"/>
      <c r="N206" s="513" t="n"/>
      <c r="O206" s="334" t="n"/>
      <c r="P206" s="331" t="inlineStr">
        <is>
          <t>KG</t>
        </is>
      </c>
    </row>
    <row r="207" ht="15.75" customHeight="1" s="468">
      <c r="A207" s="711" t="n"/>
      <c r="B207" s="456" t="n"/>
      <c r="C207" s="456" t="n"/>
      <c r="D207" s="513" t="n"/>
      <c r="E207" s="336" t="n"/>
      <c r="F207" s="572" t="n"/>
      <c r="G207" s="456" t="n"/>
      <c r="H207" s="456" t="n"/>
      <c r="I207" s="456" t="n"/>
      <c r="J207" s="513" t="n"/>
      <c r="K207" s="571" t="inlineStr">
        <is>
          <t>80/20</t>
        </is>
      </c>
      <c r="L207" s="456" t="n"/>
      <c r="M207" s="456" t="n"/>
      <c r="N207" s="513" t="n"/>
      <c r="O207" s="334" t="n"/>
      <c r="P207" s="331" t="inlineStr">
        <is>
          <t>KG</t>
        </is>
      </c>
    </row>
    <row r="208" ht="15.75" customHeight="1" s="468">
      <c r="A208" s="711" t="n"/>
      <c r="B208" s="456" t="n"/>
      <c r="C208" s="456" t="n"/>
      <c r="D208" s="513" t="n"/>
      <c r="E208" s="336" t="n"/>
      <c r="F208" s="572" t="n"/>
      <c r="G208" s="456" t="n"/>
      <c r="H208" s="456" t="n"/>
      <c r="I208" s="456" t="n"/>
      <c r="J208" s="513" t="n"/>
      <c r="K208" s="571" t="inlineStr">
        <is>
          <t>80/20</t>
        </is>
      </c>
      <c r="L208" s="456" t="n"/>
      <c r="M208" s="456" t="n"/>
      <c r="N208" s="513" t="n"/>
      <c r="O208" s="334" t="n"/>
      <c r="P208" s="331" t="inlineStr">
        <is>
          <t>KG</t>
        </is>
      </c>
    </row>
    <row r="209" ht="15.75" customHeight="1" s="468">
      <c r="A209" s="711" t="n"/>
      <c r="B209" s="456" t="n"/>
      <c r="C209" s="456" t="n"/>
      <c r="D209" s="513" t="n"/>
      <c r="E209" s="336" t="n"/>
      <c r="F209" s="572" t="n"/>
      <c r="G209" s="456" t="n"/>
      <c r="H209" s="456" t="n"/>
      <c r="I209" s="456" t="n"/>
      <c r="J209" s="513" t="n"/>
      <c r="K209" s="571" t="inlineStr">
        <is>
          <t>80/20</t>
        </is>
      </c>
      <c r="L209" s="456" t="n"/>
      <c r="M209" s="456" t="n"/>
      <c r="N209" s="513" t="n"/>
      <c r="O209" s="334" t="n"/>
      <c r="P209" s="331" t="inlineStr">
        <is>
          <t>KG</t>
        </is>
      </c>
    </row>
    <row r="210" ht="15.75" customHeight="1" s="468">
      <c r="A210" s="711" t="n"/>
      <c r="B210" s="456" t="n"/>
      <c r="C210" s="456" t="n"/>
      <c r="D210" s="513" t="n"/>
      <c r="E210" s="336" t="n"/>
      <c r="F210" s="572" t="n"/>
      <c r="G210" s="456" t="n"/>
      <c r="H210" s="456" t="n"/>
      <c r="I210" s="456" t="n"/>
      <c r="J210" s="513" t="n"/>
      <c r="K210" s="571" t="inlineStr">
        <is>
          <t>80/20</t>
        </is>
      </c>
      <c r="L210" s="456" t="n"/>
      <c r="M210" s="456" t="n"/>
      <c r="N210" s="513" t="n"/>
      <c r="O210" s="334" t="n"/>
      <c r="P210" s="331" t="inlineStr">
        <is>
          <t>KG</t>
        </is>
      </c>
    </row>
    <row r="211" ht="15.75" customHeight="1" s="468">
      <c r="A211" s="711" t="n"/>
      <c r="B211" s="456" t="n"/>
      <c r="C211" s="456" t="n"/>
      <c r="D211" s="513" t="n"/>
      <c r="E211" s="336" t="n"/>
      <c r="F211" s="572" t="n"/>
      <c r="G211" s="456" t="n"/>
      <c r="H211" s="456" t="n"/>
      <c r="I211" s="456" t="n"/>
      <c r="J211" s="513" t="n"/>
      <c r="K211" s="571" t="inlineStr">
        <is>
          <t>80/20</t>
        </is>
      </c>
      <c r="L211" s="456" t="n"/>
      <c r="M211" s="456" t="n"/>
      <c r="N211" s="513" t="n"/>
      <c r="O211" s="334" t="n"/>
      <c r="P211" s="331" t="inlineStr">
        <is>
          <t>KG</t>
        </is>
      </c>
    </row>
    <row r="212" ht="15.75" customHeight="1" s="468">
      <c r="A212" s="711" t="n"/>
      <c r="B212" s="456" t="n"/>
      <c r="C212" s="456" t="n"/>
      <c r="D212" s="513" t="n"/>
      <c r="E212" s="336" t="n"/>
      <c r="F212" s="572" t="n"/>
      <c r="G212" s="456" t="n"/>
      <c r="H212" s="456" t="n"/>
      <c r="I212" s="456" t="n"/>
      <c r="J212" s="513" t="n"/>
      <c r="K212" s="571" t="inlineStr">
        <is>
          <t>80/20</t>
        </is>
      </c>
      <c r="L212" s="456" t="n"/>
      <c r="M212" s="456" t="n"/>
      <c r="N212" s="513" t="n"/>
      <c r="O212" s="334" t="n"/>
      <c r="P212" s="331" t="inlineStr">
        <is>
          <t>KG</t>
        </is>
      </c>
    </row>
    <row r="213" ht="15.75" customHeight="1" s="468">
      <c r="A213" s="711" t="n"/>
      <c r="B213" s="456" t="n"/>
      <c r="C213" s="456" t="n"/>
      <c r="D213" s="513" t="n"/>
      <c r="E213" s="336" t="n"/>
      <c r="F213" s="572" t="n"/>
      <c r="G213" s="456" t="n"/>
      <c r="H213" s="456" t="n"/>
      <c r="I213" s="456" t="n"/>
      <c r="J213" s="513" t="n"/>
      <c r="K213" s="571" t="inlineStr">
        <is>
          <t>80/20</t>
        </is>
      </c>
      <c r="L213" s="456" t="n"/>
      <c r="M213" s="456" t="n"/>
      <c r="N213" s="513" t="n"/>
      <c r="O213" s="334" t="n"/>
      <c r="P213" s="331" t="inlineStr">
        <is>
          <t>KG</t>
        </is>
      </c>
    </row>
    <row r="214" ht="15.75" customHeight="1" s="468">
      <c r="A214" s="711" t="n"/>
      <c r="B214" s="456" t="n"/>
      <c r="C214" s="456" t="n"/>
      <c r="D214" s="513" t="n"/>
      <c r="E214" s="336" t="n"/>
      <c r="F214" s="572" t="n"/>
      <c r="G214" s="456" t="n"/>
      <c r="H214" s="456" t="n"/>
      <c r="I214" s="456" t="n"/>
      <c r="J214" s="513" t="n"/>
      <c r="K214" s="571" t="inlineStr">
        <is>
          <t>80/20</t>
        </is>
      </c>
      <c r="L214" s="456" t="n"/>
      <c r="M214" s="456" t="n"/>
      <c r="N214" s="513" t="n"/>
      <c r="O214" s="334" t="n"/>
      <c r="P214" s="331" t="inlineStr">
        <is>
          <t>KG</t>
        </is>
      </c>
    </row>
    <row r="215" ht="15.75" customHeight="1" s="468">
      <c r="A215" s="711" t="n"/>
      <c r="B215" s="456" t="n"/>
      <c r="C215" s="456" t="n"/>
      <c r="D215" s="513" t="n"/>
      <c r="E215" s="336" t="n"/>
      <c r="F215" s="572" t="n"/>
      <c r="G215" s="456" t="n"/>
      <c r="H215" s="456" t="n"/>
      <c r="I215" s="456" t="n"/>
      <c r="J215" s="513" t="n"/>
      <c r="K215" s="571" t="inlineStr">
        <is>
          <t>80/20</t>
        </is>
      </c>
      <c r="L215" s="456" t="n"/>
      <c r="M215" s="456" t="n"/>
      <c r="N215" s="513" t="n"/>
      <c r="O215" s="334" t="n"/>
      <c r="P215" s="331" t="inlineStr">
        <is>
          <t>KG</t>
        </is>
      </c>
    </row>
    <row r="216" ht="15.75" customHeight="1" s="468">
      <c r="A216" s="711" t="n"/>
      <c r="B216" s="456" t="n"/>
      <c r="C216" s="456" t="n"/>
      <c r="D216" s="513" t="n"/>
      <c r="E216" s="336" t="n"/>
      <c r="F216" s="572" t="n"/>
      <c r="G216" s="456" t="n"/>
      <c r="H216" s="456" t="n"/>
      <c r="I216" s="456" t="n"/>
      <c r="J216" s="513" t="n"/>
      <c r="K216" s="571" t="inlineStr">
        <is>
          <t>80/20</t>
        </is>
      </c>
      <c r="L216" s="456" t="n"/>
      <c r="M216" s="456" t="n"/>
      <c r="N216" s="513" t="n"/>
      <c r="O216" s="334" t="n"/>
      <c r="P216" s="331" t="inlineStr">
        <is>
          <t>KG</t>
        </is>
      </c>
    </row>
    <row r="217" ht="15.75" customHeight="1" s="468">
      <c r="A217" s="711" t="n"/>
      <c r="B217" s="456" t="n"/>
      <c r="C217" s="456" t="n"/>
      <c r="D217" s="513" t="n"/>
      <c r="E217" s="336" t="n"/>
      <c r="F217" s="572" t="n"/>
      <c r="G217" s="456" t="n"/>
      <c r="H217" s="456" t="n"/>
      <c r="I217" s="456" t="n"/>
      <c r="J217" s="513" t="n"/>
      <c r="K217" s="571" t="inlineStr">
        <is>
          <t>80/20</t>
        </is>
      </c>
      <c r="L217" s="456" t="n"/>
      <c r="M217" s="456" t="n"/>
      <c r="N217" s="513" t="n"/>
      <c r="O217" s="334" t="n"/>
      <c r="P217" s="331" t="inlineStr">
        <is>
          <t>KG</t>
        </is>
      </c>
    </row>
    <row r="218" ht="15.75" customHeight="1" s="468">
      <c r="A218" s="711" t="n"/>
      <c r="B218" s="456" t="n"/>
      <c r="C218" s="456" t="n"/>
      <c r="D218" s="513" t="n"/>
      <c r="E218" s="336" t="n"/>
      <c r="F218" s="572" t="n"/>
      <c r="G218" s="456" t="n"/>
      <c r="H218" s="456" t="n"/>
      <c r="I218" s="456" t="n"/>
      <c r="J218" s="513" t="n"/>
      <c r="K218" s="571" t="inlineStr">
        <is>
          <t>80/20</t>
        </is>
      </c>
      <c r="L218" s="456" t="n"/>
      <c r="M218" s="456" t="n"/>
      <c r="N218" s="513" t="n"/>
      <c r="O218" s="334" t="n"/>
      <c r="P218" s="331" t="inlineStr">
        <is>
          <t>KG</t>
        </is>
      </c>
    </row>
    <row r="219" ht="15.75" customHeight="1" s="468">
      <c r="A219" s="711" t="n"/>
      <c r="B219" s="456" t="n"/>
      <c r="C219" s="456" t="n"/>
      <c r="D219" s="513" t="n"/>
      <c r="E219" s="336" t="n"/>
      <c r="F219" s="572" t="n"/>
      <c r="G219" s="456" t="n"/>
      <c r="H219" s="456" t="n"/>
      <c r="I219" s="456" t="n"/>
      <c r="J219" s="513" t="n"/>
      <c r="K219" s="571" t="inlineStr">
        <is>
          <t>80/20</t>
        </is>
      </c>
      <c r="L219" s="456" t="n"/>
      <c r="M219" s="456" t="n"/>
      <c r="N219" s="513" t="n"/>
      <c r="O219" s="334" t="n"/>
      <c r="P219" s="331" t="inlineStr">
        <is>
          <t>KG</t>
        </is>
      </c>
    </row>
    <row r="220" ht="15.75" customHeight="1" s="468">
      <c r="A220" s="711" t="n"/>
      <c r="B220" s="456" t="n"/>
      <c r="C220" s="456" t="n"/>
      <c r="D220" s="513" t="n"/>
      <c r="E220" s="336" t="n"/>
      <c r="F220" s="572" t="n"/>
      <c r="G220" s="456" t="n"/>
      <c r="H220" s="456" t="n"/>
      <c r="I220" s="456" t="n"/>
      <c r="J220" s="513" t="n"/>
      <c r="K220" s="571" t="inlineStr">
        <is>
          <t>80/20</t>
        </is>
      </c>
      <c r="L220" s="456" t="n"/>
      <c r="M220" s="456" t="n"/>
      <c r="N220" s="513" t="n"/>
      <c r="O220" s="334" t="n"/>
      <c r="P220" s="331" t="inlineStr">
        <is>
          <t>KG</t>
        </is>
      </c>
    </row>
    <row r="221" ht="15.75" customHeight="1" s="468">
      <c r="A221" s="711" t="n"/>
      <c r="B221" s="456" t="n"/>
      <c r="C221" s="456" t="n"/>
      <c r="D221" s="513" t="n"/>
      <c r="E221" s="336" t="n"/>
      <c r="F221" s="572" t="n"/>
      <c r="G221" s="456" t="n"/>
      <c r="H221" s="456" t="n"/>
      <c r="I221" s="456" t="n"/>
      <c r="J221" s="513" t="n"/>
      <c r="K221" s="571" t="inlineStr">
        <is>
          <t>80/20</t>
        </is>
      </c>
      <c r="L221" s="456" t="n"/>
      <c r="M221" s="456" t="n"/>
      <c r="N221" s="513" t="n"/>
      <c r="O221" s="334" t="n"/>
      <c r="P221" s="331" t="inlineStr">
        <is>
          <t>KG</t>
        </is>
      </c>
    </row>
    <row r="222" ht="15.75" customHeight="1" s="468">
      <c r="A222" s="711" t="n"/>
      <c r="B222" s="456" t="n"/>
      <c r="C222" s="456" t="n"/>
      <c r="D222" s="513" t="n"/>
      <c r="E222" s="336" t="n"/>
      <c r="F222" s="572" t="n"/>
      <c r="G222" s="456" t="n"/>
      <c r="H222" s="456" t="n"/>
      <c r="I222" s="456" t="n"/>
      <c r="J222" s="513" t="n"/>
      <c r="K222" s="571" t="inlineStr">
        <is>
          <t>80/20</t>
        </is>
      </c>
      <c r="L222" s="456" t="n"/>
      <c r="M222" s="456" t="n"/>
      <c r="N222" s="513" t="n"/>
      <c r="O222" s="334" t="n"/>
      <c r="P222" s="331" t="inlineStr">
        <is>
          <t>KG</t>
        </is>
      </c>
    </row>
    <row r="223" ht="15.75" customHeight="1" s="468">
      <c r="A223" s="711" t="n"/>
      <c r="B223" s="456" t="n"/>
      <c r="C223" s="456" t="n"/>
      <c r="D223" s="513" t="n"/>
      <c r="E223" s="336" t="n"/>
      <c r="F223" s="572" t="n"/>
      <c r="G223" s="456" t="n"/>
      <c r="H223" s="456" t="n"/>
      <c r="I223" s="456" t="n"/>
      <c r="J223" s="513" t="n"/>
      <c r="K223" s="571" t="inlineStr">
        <is>
          <t>80/20</t>
        </is>
      </c>
      <c r="L223" s="456" t="n"/>
      <c r="M223" s="456" t="n"/>
      <c r="N223" s="513" t="n"/>
      <c r="O223" s="334" t="n"/>
      <c r="P223" s="331" t="inlineStr">
        <is>
          <t>KG</t>
        </is>
      </c>
    </row>
    <row r="224" ht="15.75" customHeight="1" s="468">
      <c r="A224" s="711" t="n"/>
      <c r="B224" s="456" t="n"/>
      <c r="C224" s="456" t="n"/>
      <c r="D224" s="513" t="n"/>
      <c r="E224" s="336" t="n"/>
      <c r="F224" s="572" t="n"/>
      <c r="G224" s="456" t="n"/>
      <c r="H224" s="456" t="n"/>
      <c r="I224" s="456" t="n"/>
      <c r="J224" s="513" t="n"/>
      <c r="K224" s="571" t="inlineStr">
        <is>
          <t>80/20</t>
        </is>
      </c>
      <c r="L224" s="456" t="n"/>
      <c r="M224" s="456" t="n"/>
      <c r="N224" s="513" t="n"/>
      <c r="O224" s="334" t="n"/>
      <c r="P224" s="331" t="inlineStr">
        <is>
          <t>KG</t>
        </is>
      </c>
    </row>
    <row r="225" ht="15.75" customHeight="1" s="468">
      <c r="A225" s="711" t="n"/>
      <c r="B225" s="456" t="n"/>
      <c r="C225" s="456" t="n"/>
      <c r="D225" s="513" t="n"/>
      <c r="E225" s="336" t="n"/>
      <c r="F225" s="572" t="n"/>
      <c r="G225" s="456" t="n"/>
      <c r="H225" s="456" t="n"/>
      <c r="I225" s="456" t="n"/>
      <c r="J225" s="513" t="n"/>
      <c r="K225" s="571" t="inlineStr">
        <is>
          <t>80/20</t>
        </is>
      </c>
      <c r="L225" s="456" t="n"/>
      <c r="M225" s="456" t="n"/>
      <c r="N225" s="513" t="n"/>
      <c r="O225" s="334" t="n"/>
      <c r="P225" s="331" t="inlineStr">
        <is>
          <t>KG</t>
        </is>
      </c>
    </row>
    <row r="226" ht="15.75" customHeight="1" s="468">
      <c r="A226" s="711" t="n"/>
      <c r="B226" s="456" t="n"/>
      <c r="C226" s="456" t="n"/>
      <c r="D226" s="513" t="n"/>
      <c r="E226" s="336" t="n"/>
      <c r="F226" s="572" t="n"/>
      <c r="G226" s="456" t="n"/>
      <c r="H226" s="456" t="n"/>
      <c r="I226" s="456" t="n"/>
      <c r="J226" s="513" t="n"/>
      <c r="K226" s="571" t="inlineStr">
        <is>
          <t>80/20</t>
        </is>
      </c>
      <c r="L226" s="456" t="n"/>
      <c r="M226" s="456" t="n"/>
      <c r="N226" s="513" t="n"/>
      <c r="O226" s="334" t="n"/>
      <c r="P226" s="331" t="inlineStr">
        <is>
          <t>KG</t>
        </is>
      </c>
    </row>
    <row r="227" ht="15.75" customHeight="1" s="468">
      <c r="A227" s="711" t="n"/>
      <c r="B227" s="456" t="n"/>
      <c r="C227" s="456" t="n"/>
      <c r="D227" s="513" t="n"/>
      <c r="E227" s="336" t="n"/>
      <c r="F227" s="572" t="n"/>
      <c r="G227" s="456" t="n"/>
      <c r="H227" s="456" t="n"/>
      <c r="I227" s="456" t="n"/>
      <c r="J227" s="513" t="n"/>
      <c r="K227" s="571" t="inlineStr">
        <is>
          <t>80/20</t>
        </is>
      </c>
      <c r="L227" s="456" t="n"/>
      <c r="M227" s="456" t="n"/>
      <c r="N227" s="513" t="n"/>
      <c r="O227" s="334" t="n"/>
      <c r="P227" s="331" t="inlineStr">
        <is>
          <t>KG</t>
        </is>
      </c>
    </row>
    <row r="228" ht="15.75" customHeight="1" s="468">
      <c r="A228" s="711" t="n"/>
      <c r="B228" s="456" t="n"/>
      <c r="C228" s="456" t="n"/>
      <c r="D228" s="513" t="n"/>
      <c r="E228" s="336" t="n"/>
      <c r="F228" s="572" t="n"/>
      <c r="G228" s="456" t="n"/>
      <c r="H228" s="456" t="n"/>
      <c r="I228" s="456" t="n"/>
      <c r="J228" s="513" t="n"/>
      <c r="K228" s="571" t="inlineStr">
        <is>
          <t>80/20</t>
        </is>
      </c>
      <c r="L228" s="456" t="n"/>
      <c r="M228" s="456" t="n"/>
      <c r="N228" s="513" t="n"/>
      <c r="O228" s="334" t="n"/>
      <c r="P228" s="331" t="inlineStr">
        <is>
          <t>KG</t>
        </is>
      </c>
    </row>
    <row r="229" ht="15.75" customHeight="1" s="468">
      <c r="A229" s="711" t="n"/>
      <c r="B229" s="456" t="n"/>
      <c r="C229" s="456" t="n"/>
      <c r="D229" s="513" t="n"/>
      <c r="E229" s="336" t="n"/>
      <c r="F229" s="572" t="n"/>
      <c r="G229" s="456" t="n"/>
      <c r="H229" s="456" t="n"/>
      <c r="I229" s="456" t="n"/>
      <c r="J229" s="513" t="n"/>
      <c r="K229" s="571" t="inlineStr">
        <is>
          <t>80/20</t>
        </is>
      </c>
      <c r="L229" s="456" t="n"/>
      <c r="M229" s="456" t="n"/>
      <c r="N229" s="513" t="n"/>
      <c r="O229" s="334" t="n"/>
      <c r="P229" s="331" t="inlineStr">
        <is>
          <t>KG</t>
        </is>
      </c>
    </row>
    <row r="230" ht="15.75" customHeight="1" s="468">
      <c r="A230" s="711" t="n"/>
      <c r="B230" s="456" t="n"/>
      <c r="C230" s="456" t="n"/>
      <c r="D230" s="513" t="n"/>
      <c r="E230" s="336" t="n"/>
      <c r="F230" s="572" t="n"/>
      <c r="G230" s="456" t="n"/>
      <c r="H230" s="456" t="n"/>
      <c r="I230" s="456" t="n"/>
      <c r="J230" s="513" t="n"/>
      <c r="K230" s="571" t="inlineStr">
        <is>
          <t>80/20</t>
        </is>
      </c>
      <c r="L230" s="456" t="n"/>
      <c r="M230" s="456" t="n"/>
      <c r="N230" s="513" t="n"/>
      <c r="O230" s="334" t="n"/>
      <c r="P230" s="331" t="inlineStr">
        <is>
          <t>KG</t>
        </is>
      </c>
    </row>
    <row r="231" ht="15.75" customHeight="1" s="468">
      <c r="A231" s="711" t="n"/>
      <c r="B231" s="456" t="n"/>
      <c r="C231" s="456" t="n"/>
      <c r="D231" s="513" t="n"/>
      <c r="E231" s="336" t="n"/>
      <c r="F231" s="572" t="n"/>
      <c r="G231" s="456" t="n"/>
      <c r="H231" s="456" t="n"/>
      <c r="I231" s="456" t="n"/>
      <c r="J231" s="513" t="n"/>
      <c r="K231" s="571" t="inlineStr">
        <is>
          <t>80/20</t>
        </is>
      </c>
      <c r="L231" s="456" t="n"/>
      <c r="M231" s="456" t="n"/>
      <c r="N231" s="513" t="n"/>
      <c r="O231" s="334" t="n"/>
      <c r="P231" s="331" t="inlineStr">
        <is>
          <t>KG</t>
        </is>
      </c>
    </row>
    <row r="232" ht="15.75" customHeight="1" s="468">
      <c r="A232" s="711" t="n"/>
      <c r="B232" s="456" t="n"/>
      <c r="C232" s="456" t="n"/>
      <c r="D232" s="513" t="n"/>
      <c r="E232" s="336" t="n"/>
      <c r="F232" s="572" t="n"/>
      <c r="G232" s="456" t="n"/>
      <c r="H232" s="456" t="n"/>
      <c r="I232" s="456" t="n"/>
      <c r="J232" s="513" t="n"/>
      <c r="K232" s="571" t="inlineStr">
        <is>
          <t>80/20</t>
        </is>
      </c>
      <c r="L232" s="456" t="n"/>
      <c r="M232" s="456" t="n"/>
      <c r="N232" s="513" t="n"/>
      <c r="O232" s="334" t="n"/>
      <c r="P232" s="331" t="inlineStr">
        <is>
          <t>KG</t>
        </is>
      </c>
    </row>
    <row r="233" ht="15.75" customHeight="1" s="468">
      <c r="A233" s="711" t="n"/>
      <c r="B233" s="456" t="n"/>
      <c r="C233" s="456" t="n"/>
      <c r="D233" s="513" t="n"/>
      <c r="E233" s="336" t="n"/>
      <c r="F233" s="572" t="n"/>
      <c r="G233" s="456" t="n"/>
      <c r="H233" s="456" t="n"/>
      <c r="I233" s="456" t="n"/>
      <c r="J233" s="513" t="n"/>
      <c r="K233" s="571" t="inlineStr">
        <is>
          <t>80/20</t>
        </is>
      </c>
      <c r="L233" s="456" t="n"/>
      <c r="M233" s="456" t="n"/>
      <c r="N233" s="513" t="n"/>
      <c r="O233" s="334" t="n"/>
      <c r="P233" s="331" t="inlineStr">
        <is>
          <t>KG</t>
        </is>
      </c>
    </row>
    <row r="234" ht="15.75" customHeight="1" s="468">
      <c r="A234" s="711" t="n"/>
      <c r="B234" s="456" t="n"/>
      <c r="C234" s="456" t="n"/>
      <c r="D234" s="513" t="n"/>
      <c r="E234" s="336" t="n"/>
      <c r="F234" s="572" t="n"/>
      <c r="G234" s="456" t="n"/>
      <c r="H234" s="456" t="n"/>
      <c r="I234" s="456" t="n"/>
      <c r="J234" s="513" t="n"/>
      <c r="K234" s="571" t="inlineStr">
        <is>
          <t>80/20</t>
        </is>
      </c>
      <c r="L234" s="456" t="n"/>
      <c r="M234" s="456" t="n"/>
      <c r="N234" s="513" t="n"/>
      <c r="O234" s="334" t="n"/>
      <c r="P234" s="331" t="inlineStr">
        <is>
          <t>KG</t>
        </is>
      </c>
    </row>
    <row r="235" ht="15.75" customHeight="1" s="468">
      <c r="A235" s="711" t="n"/>
      <c r="B235" s="456" t="n"/>
      <c r="C235" s="456" t="n"/>
      <c r="D235" s="513" t="n"/>
      <c r="E235" s="336" t="n"/>
      <c r="F235" s="572" t="n"/>
      <c r="G235" s="456" t="n"/>
      <c r="H235" s="456" t="n"/>
      <c r="I235" s="456" t="n"/>
      <c r="J235" s="513" t="n"/>
      <c r="K235" s="571" t="inlineStr">
        <is>
          <t>80/20</t>
        </is>
      </c>
      <c r="L235" s="456" t="n"/>
      <c r="M235" s="456" t="n"/>
      <c r="N235" s="513" t="n"/>
      <c r="O235" s="334" t="n"/>
      <c r="P235" s="331" t="inlineStr">
        <is>
          <t>KG</t>
        </is>
      </c>
    </row>
    <row r="236" ht="15.75" customHeight="1" s="468">
      <c r="A236" s="711" t="n"/>
      <c r="B236" s="456" t="n"/>
      <c r="C236" s="456" t="n"/>
      <c r="D236" s="513" t="n"/>
      <c r="E236" s="336" t="n"/>
      <c r="F236" s="572" t="n"/>
      <c r="G236" s="456" t="n"/>
      <c r="H236" s="456" t="n"/>
      <c r="I236" s="456" t="n"/>
      <c r="J236" s="513" t="n"/>
      <c r="K236" s="571" t="inlineStr">
        <is>
          <t>80/20</t>
        </is>
      </c>
      <c r="L236" s="456" t="n"/>
      <c r="M236" s="456" t="n"/>
      <c r="N236" s="513" t="n"/>
      <c r="O236" s="334" t="n"/>
      <c r="P236" s="331" t="inlineStr">
        <is>
          <t>KG</t>
        </is>
      </c>
    </row>
    <row r="237" ht="15.75" customHeight="1" s="468">
      <c r="A237" s="711" t="n"/>
      <c r="B237" s="456" t="n"/>
      <c r="C237" s="456" t="n"/>
      <c r="D237" s="513" t="n"/>
      <c r="E237" s="336" t="n"/>
      <c r="F237" s="572" t="n"/>
      <c r="G237" s="456" t="n"/>
      <c r="H237" s="456" t="n"/>
      <c r="I237" s="456" t="n"/>
      <c r="J237" s="513" t="n"/>
      <c r="K237" s="571" t="inlineStr">
        <is>
          <t>80/20</t>
        </is>
      </c>
      <c r="L237" s="456" t="n"/>
      <c r="M237" s="456" t="n"/>
      <c r="N237" s="513" t="n"/>
      <c r="O237" s="334" t="n"/>
      <c r="P237" s="331" t="inlineStr">
        <is>
          <t>KG</t>
        </is>
      </c>
    </row>
    <row r="238" ht="15.75" customHeight="1" s="468">
      <c r="A238" s="711" t="n"/>
      <c r="B238" s="456" t="n"/>
      <c r="C238" s="456" t="n"/>
      <c r="D238" s="513" t="n"/>
      <c r="E238" s="336" t="n"/>
      <c r="F238" s="572" t="n"/>
      <c r="G238" s="456" t="n"/>
      <c r="H238" s="456" t="n"/>
      <c r="I238" s="456" t="n"/>
      <c r="J238" s="513" t="n"/>
      <c r="K238" s="571" t="inlineStr">
        <is>
          <t>80/20</t>
        </is>
      </c>
      <c r="L238" s="456" t="n"/>
      <c r="M238" s="456" t="n"/>
      <c r="N238" s="513" t="n"/>
      <c r="O238" s="334" t="n"/>
      <c r="P238" s="331" t="inlineStr">
        <is>
          <t>KG</t>
        </is>
      </c>
    </row>
    <row r="239" ht="15.75" customHeight="1" s="468">
      <c r="A239" s="711" t="n"/>
      <c r="B239" s="456" t="n"/>
      <c r="C239" s="456" t="n"/>
      <c r="D239" s="513" t="n"/>
      <c r="E239" s="336" t="n"/>
      <c r="F239" s="572" t="n"/>
      <c r="G239" s="456" t="n"/>
      <c r="H239" s="456" t="n"/>
      <c r="I239" s="456" t="n"/>
      <c r="J239" s="513" t="n"/>
      <c r="K239" s="571" t="inlineStr">
        <is>
          <t>80/20</t>
        </is>
      </c>
      <c r="L239" s="456" t="n"/>
      <c r="M239" s="456" t="n"/>
      <c r="N239" s="513" t="n"/>
      <c r="O239" s="334" t="n"/>
      <c r="P239" s="331" t="inlineStr">
        <is>
          <t>KG</t>
        </is>
      </c>
    </row>
    <row r="240" ht="15.75" customHeight="1" s="468">
      <c r="A240" s="711" t="n"/>
      <c r="B240" s="456" t="n"/>
      <c r="C240" s="456" t="n"/>
      <c r="D240" s="513" t="n"/>
      <c r="E240" s="336" t="n"/>
      <c r="F240" s="572" t="n"/>
      <c r="G240" s="456" t="n"/>
      <c r="H240" s="456" t="n"/>
      <c r="I240" s="456" t="n"/>
      <c r="J240" s="513" t="n"/>
      <c r="K240" s="571" t="inlineStr">
        <is>
          <t>80/20</t>
        </is>
      </c>
      <c r="L240" s="456" t="n"/>
      <c r="M240" s="456" t="n"/>
      <c r="N240" s="513" t="n"/>
      <c r="O240" s="334" t="n"/>
      <c r="P240" s="331" t="inlineStr">
        <is>
          <t>KG</t>
        </is>
      </c>
    </row>
    <row r="241" ht="15.75" customHeight="1" s="468">
      <c r="A241" s="711" t="n"/>
      <c r="B241" s="456" t="n"/>
      <c r="C241" s="456" t="n"/>
      <c r="D241" s="513" t="n"/>
      <c r="E241" s="336" t="n"/>
      <c r="F241" s="572" t="n"/>
      <c r="G241" s="456" t="n"/>
      <c r="H241" s="456" t="n"/>
      <c r="I241" s="456" t="n"/>
      <c r="J241" s="513" t="n"/>
      <c r="K241" s="571" t="inlineStr">
        <is>
          <t>80/20</t>
        </is>
      </c>
      <c r="L241" s="456" t="n"/>
      <c r="M241" s="456" t="n"/>
      <c r="N241" s="513" t="n"/>
      <c r="O241" s="334" t="n"/>
      <c r="P241" s="331" t="inlineStr">
        <is>
          <t>KG</t>
        </is>
      </c>
    </row>
    <row r="242" ht="15.75" customHeight="1" s="468">
      <c r="A242" s="711" t="n"/>
      <c r="B242" s="456" t="n"/>
      <c r="C242" s="456" t="n"/>
      <c r="D242" s="513" t="n"/>
      <c r="E242" s="336" t="n"/>
      <c r="F242" s="572" t="n"/>
      <c r="G242" s="456" t="n"/>
      <c r="H242" s="456" t="n"/>
      <c r="I242" s="456" t="n"/>
      <c r="J242" s="513" t="n"/>
      <c r="K242" s="571" t="inlineStr">
        <is>
          <t>80/20</t>
        </is>
      </c>
      <c r="L242" s="456" t="n"/>
      <c r="M242" s="456" t="n"/>
      <c r="N242" s="513" t="n"/>
      <c r="O242" s="334" t="n"/>
      <c r="P242" s="331" t="inlineStr">
        <is>
          <t>KG</t>
        </is>
      </c>
    </row>
    <row r="243" ht="15.75" customHeight="1" s="468">
      <c r="A243" s="711" t="n"/>
      <c r="B243" s="456" t="n"/>
      <c r="C243" s="456" t="n"/>
      <c r="D243" s="513" t="n"/>
      <c r="E243" s="336" t="n"/>
      <c r="F243" s="572" t="n"/>
      <c r="G243" s="456" t="n"/>
      <c r="H243" s="456" t="n"/>
      <c r="I243" s="456" t="n"/>
      <c r="J243" s="513" t="n"/>
      <c r="K243" s="571" t="inlineStr">
        <is>
          <t>80/20</t>
        </is>
      </c>
      <c r="L243" s="456" t="n"/>
      <c r="M243" s="456" t="n"/>
      <c r="N243" s="513" t="n"/>
      <c r="O243" s="334" t="n"/>
      <c r="P243" s="331" t="inlineStr">
        <is>
          <t>KG</t>
        </is>
      </c>
    </row>
    <row r="244" ht="15.75" customHeight="1" s="468">
      <c r="A244" s="711" t="n"/>
      <c r="B244" s="456" t="n"/>
      <c r="C244" s="456" t="n"/>
      <c r="D244" s="513" t="n"/>
      <c r="E244" s="336" t="n"/>
      <c r="F244" s="572" t="n"/>
      <c r="G244" s="456" t="n"/>
      <c r="H244" s="456" t="n"/>
      <c r="I244" s="456" t="n"/>
      <c r="J244" s="513" t="n"/>
      <c r="K244" s="571" t="inlineStr">
        <is>
          <t>80/20</t>
        </is>
      </c>
      <c r="L244" s="456" t="n"/>
      <c r="M244" s="456" t="n"/>
      <c r="N244" s="513" t="n"/>
      <c r="O244" s="334" t="n"/>
      <c r="P244" s="331" t="inlineStr">
        <is>
          <t>KG</t>
        </is>
      </c>
    </row>
    <row r="245" ht="15.75" customHeight="1" s="468">
      <c r="A245" s="711" t="n"/>
      <c r="B245" s="456" t="n"/>
      <c r="C245" s="456" t="n"/>
      <c r="D245" s="513" t="n"/>
      <c r="E245" s="336" t="n"/>
      <c r="F245" s="572" t="n"/>
      <c r="G245" s="456" t="n"/>
      <c r="H245" s="456" t="n"/>
      <c r="I245" s="456" t="n"/>
      <c r="J245" s="513" t="n"/>
      <c r="K245" s="571" t="inlineStr">
        <is>
          <t>80/20</t>
        </is>
      </c>
      <c r="L245" s="456" t="n"/>
      <c r="M245" s="456" t="n"/>
      <c r="N245" s="513" t="n"/>
      <c r="O245" s="334" t="n"/>
      <c r="P245" s="331" t="inlineStr">
        <is>
          <t>KG</t>
        </is>
      </c>
    </row>
    <row r="246" ht="15.75" customHeight="1" s="468">
      <c r="A246" s="711" t="n"/>
      <c r="B246" s="456" t="n"/>
      <c r="C246" s="456" t="n"/>
      <c r="D246" s="513" t="n"/>
      <c r="E246" s="336" t="n"/>
      <c r="F246" s="572" t="n"/>
      <c r="G246" s="456" t="n"/>
      <c r="H246" s="456" t="n"/>
      <c r="I246" s="456" t="n"/>
      <c r="J246" s="513" t="n"/>
      <c r="K246" s="571" t="inlineStr">
        <is>
          <t>80/20</t>
        </is>
      </c>
      <c r="L246" s="456" t="n"/>
      <c r="M246" s="456" t="n"/>
      <c r="N246" s="513" t="n"/>
      <c r="O246" s="334" t="n"/>
      <c r="P246" s="331" t="inlineStr">
        <is>
          <t>KG</t>
        </is>
      </c>
    </row>
    <row r="247" ht="15.75" customHeight="1" s="468">
      <c r="A247" s="711" t="n"/>
      <c r="B247" s="456" t="n"/>
      <c r="C247" s="456" t="n"/>
      <c r="D247" s="513" t="n"/>
      <c r="E247" s="336" t="n"/>
      <c r="F247" s="572" t="n"/>
      <c r="G247" s="456" t="n"/>
      <c r="H247" s="456" t="n"/>
      <c r="I247" s="456" t="n"/>
      <c r="J247" s="513" t="n"/>
      <c r="K247" s="571" t="inlineStr">
        <is>
          <t>80/20</t>
        </is>
      </c>
      <c r="L247" s="456" t="n"/>
      <c r="M247" s="456" t="n"/>
      <c r="N247" s="513" t="n"/>
      <c r="O247" s="334" t="n"/>
      <c r="P247" s="331" t="inlineStr">
        <is>
          <t>KG</t>
        </is>
      </c>
    </row>
    <row r="248" ht="15.75" customHeight="1" s="468">
      <c r="A248" s="711" t="n"/>
      <c r="B248" s="456" t="n"/>
      <c r="C248" s="456" t="n"/>
      <c r="D248" s="513" t="n"/>
      <c r="E248" s="336" t="n"/>
      <c r="F248" s="572" t="n"/>
      <c r="G248" s="456" t="n"/>
      <c r="H248" s="456" t="n"/>
      <c r="I248" s="456" t="n"/>
      <c r="J248" s="513" t="n"/>
      <c r="K248" s="571" t="inlineStr">
        <is>
          <t>80/20</t>
        </is>
      </c>
      <c r="L248" s="456" t="n"/>
      <c r="M248" s="456" t="n"/>
      <c r="N248" s="513" t="n"/>
      <c r="O248" s="334" t="n"/>
      <c r="P248" s="331" t="inlineStr">
        <is>
          <t>KG</t>
        </is>
      </c>
    </row>
    <row r="249" ht="15.75" customHeight="1" s="468">
      <c r="A249" s="711" t="n"/>
      <c r="B249" s="456" t="n"/>
      <c r="C249" s="456" t="n"/>
      <c r="D249" s="513" t="n"/>
      <c r="E249" s="336" t="n"/>
      <c r="F249" s="572" t="n"/>
      <c r="G249" s="456" t="n"/>
      <c r="H249" s="456" t="n"/>
      <c r="I249" s="456" t="n"/>
      <c r="J249" s="513" t="n"/>
      <c r="K249" s="571" t="inlineStr">
        <is>
          <t>80/20</t>
        </is>
      </c>
      <c r="L249" s="456" t="n"/>
      <c r="M249" s="456" t="n"/>
      <c r="N249" s="513" t="n"/>
      <c r="O249" s="334" t="n"/>
      <c r="P249" s="331" t="inlineStr">
        <is>
          <t>KG</t>
        </is>
      </c>
    </row>
    <row r="250" ht="15.75" customHeight="1" s="468">
      <c r="A250" s="711" t="n"/>
      <c r="B250" s="456" t="n"/>
      <c r="C250" s="456" t="n"/>
      <c r="D250" s="513" t="n"/>
      <c r="E250" s="336" t="n"/>
      <c r="F250" s="572" t="n"/>
      <c r="G250" s="456" t="n"/>
      <c r="H250" s="456" t="n"/>
      <c r="I250" s="456" t="n"/>
      <c r="J250" s="513" t="n"/>
      <c r="K250" s="571" t="inlineStr">
        <is>
          <t>80/20</t>
        </is>
      </c>
      <c r="L250" s="456" t="n"/>
      <c r="M250" s="456" t="n"/>
      <c r="N250" s="513" t="n"/>
      <c r="O250" s="334" t="n"/>
      <c r="P250" s="331" t="inlineStr">
        <is>
          <t>KG</t>
        </is>
      </c>
    </row>
    <row r="251" ht="15.75" customHeight="1" s="468">
      <c r="A251" s="711" t="n"/>
      <c r="B251" s="456" t="n"/>
      <c r="C251" s="456" t="n"/>
      <c r="D251" s="513" t="n"/>
      <c r="E251" s="336" t="n"/>
      <c r="F251" s="572" t="n"/>
      <c r="G251" s="456" t="n"/>
      <c r="H251" s="456" t="n"/>
      <c r="I251" s="456" t="n"/>
      <c r="J251" s="513" t="n"/>
      <c r="K251" s="571" t="inlineStr">
        <is>
          <t>80/20</t>
        </is>
      </c>
      <c r="L251" s="456" t="n"/>
      <c r="M251" s="456" t="n"/>
      <c r="N251" s="513" t="n"/>
      <c r="O251" s="334" t="n"/>
      <c r="P251" s="331" t="inlineStr">
        <is>
          <t>KG</t>
        </is>
      </c>
    </row>
    <row r="252" ht="15.75" customHeight="1" s="468">
      <c r="A252" s="711" t="n"/>
      <c r="B252" s="456" t="n"/>
      <c r="C252" s="456" t="n"/>
      <c r="D252" s="513" t="n"/>
      <c r="E252" s="336" t="n"/>
      <c r="F252" s="572" t="n"/>
      <c r="G252" s="456" t="n"/>
      <c r="H252" s="456" t="n"/>
      <c r="I252" s="456" t="n"/>
      <c r="J252" s="513" t="n"/>
      <c r="K252" s="571" t="inlineStr">
        <is>
          <t>80/20</t>
        </is>
      </c>
      <c r="L252" s="456" t="n"/>
      <c r="M252" s="456" t="n"/>
      <c r="N252" s="513" t="n"/>
      <c r="O252" s="334" t="n"/>
      <c r="P252" s="331" t="inlineStr">
        <is>
          <t>KG</t>
        </is>
      </c>
    </row>
  </sheetData>
  <mergeCells count="752">
    <mergeCell ref="F171:J171"/>
    <mergeCell ref="A200:D200"/>
    <mergeCell ref="A134:D134"/>
    <mergeCell ref="A29:D29"/>
    <mergeCell ref="K191:N191"/>
    <mergeCell ref="A121:D121"/>
    <mergeCell ref="A44:D44"/>
    <mergeCell ref="A31:D31"/>
    <mergeCell ref="A202:D202"/>
    <mergeCell ref="A58:D58"/>
    <mergeCell ref="K218:N218"/>
    <mergeCell ref="K49:N49"/>
    <mergeCell ref="F242:J242"/>
    <mergeCell ref="F36:J36"/>
    <mergeCell ref="F33:J33"/>
    <mergeCell ref="A24:D24"/>
    <mergeCell ref="K24:N24"/>
    <mergeCell ref="A73:D73"/>
    <mergeCell ref="A60:D60"/>
    <mergeCell ref="F8:J8"/>
    <mergeCell ref="K113:N113"/>
    <mergeCell ref="F244:J244"/>
    <mergeCell ref="F100:J100"/>
    <mergeCell ref="F75:J75"/>
    <mergeCell ref="K232:N232"/>
    <mergeCell ref="K88:N88"/>
    <mergeCell ref="F231:J231"/>
    <mergeCell ref="K26:N26"/>
    <mergeCell ref="K219:N219"/>
    <mergeCell ref="A124:D124"/>
    <mergeCell ref="F31:J31"/>
    <mergeCell ref="F102:J102"/>
    <mergeCell ref="A164:D164"/>
    <mergeCell ref="K90:N90"/>
    <mergeCell ref="F239:J239"/>
    <mergeCell ref="F39:J39"/>
    <mergeCell ref="A149:D149"/>
    <mergeCell ref="F166:J166"/>
    <mergeCell ref="A195:D195"/>
    <mergeCell ref="A251:D251"/>
    <mergeCell ref="K115:N115"/>
    <mergeCell ref="A42:D42"/>
    <mergeCell ref="F64:J64"/>
    <mergeCell ref="A17:D17"/>
    <mergeCell ref="A188:D188"/>
    <mergeCell ref="A126:D126"/>
    <mergeCell ref="F191:J191"/>
    <mergeCell ref="A53:D53"/>
    <mergeCell ref="K179:N179"/>
    <mergeCell ref="F178:J178"/>
    <mergeCell ref="K39:N39"/>
    <mergeCell ref="K250:N250"/>
    <mergeCell ref="A240:D240"/>
    <mergeCell ref="K166:N166"/>
    <mergeCell ref="F128:J128"/>
    <mergeCell ref="A19:D19"/>
    <mergeCell ref="K116:N116"/>
    <mergeCell ref="A190:D190"/>
    <mergeCell ref="A117:D117"/>
    <mergeCell ref="K103:N103"/>
    <mergeCell ref="K37:N37"/>
    <mergeCell ref="A111:D111"/>
    <mergeCell ref="K230:N230"/>
    <mergeCell ref="K168:N168"/>
    <mergeCell ref="F21:J21"/>
    <mergeCell ref="F192:J192"/>
    <mergeCell ref="K143:N143"/>
    <mergeCell ref="K118:N118"/>
    <mergeCell ref="F113:J113"/>
    <mergeCell ref="A48:D48"/>
    <mergeCell ref="K167:N167"/>
    <mergeCell ref="A142:D142"/>
    <mergeCell ref="F194:J194"/>
    <mergeCell ref="F50:J50"/>
    <mergeCell ref="F181:J181"/>
    <mergeCell ref="A79:D79"/>
    <mergeCell ref="K21:N21"/>
    <mergeCell ref="K32:N32"/>
    <mergeCell ref="A137:D137"/>
    <mergeCell ref="K63:N63"/>
    <mergeCell ref="A208:D208"/>
    <mergeCell ref="K134:N134"/>
    <mergeCell ref="K50:N50"/>
    <mergeCell ref="A74:D74"/>
    <mergeCell ref="K96:N96"/>
    <mergeCell ref="A145:D145"/>
    <mergeCell ref="A139:D139"/>
    <mergeCell ref="A210:D210"/>
    <mergeCell ref="F245:J245"/>
    <mergeCell ref="K52:N52"/>
    <mergeCell ref="F49:J49"/>
    <mergeCell ref="F14:J14"/>
    <mergeCell ref="K27:N27"/>
    <mergeCell ref="A76:D76"/>
    <mergeCell ref="K98:N98"/>
    <mergeCell ref="A203:D203"/>
    <mergeCell ref="F116:J116"/>
    <mergeCell ref="F103:J103"/>
    <mergeCell ref="A140:D140"/>
    <mergeCell ref="F205:J205"/>
    <mergeCell ref="K156:N156"/>
    <mergeCell ref="A63:D63"/>
    <mergeCell ref="F118:J118"/>
    <mergeCell ref="K93:N93"/>
    <mergeCell ref="F55:J55"/>
    <mergeCell ref="K187:N187"/>
    <mergeCell ref="A92:D92"/>
    <mergeCell ref="F169:J169"/>
    <mergeCell ref="K9:N9"/>
    <mergeCell ref="K251:N251"/>
    <mergeCell ref="K189:N189"/>
    <mergeCell ref="A45:D45"/>
    <mergeCell ref="K45:N45"/>
    <mergeCell ref="A94:D94"/>
    <mergeCell ref="K238:N238"/>
    <mergeCell ref="F129:J129"/>
    <mergeCell ref="F200:J200"/>
    <mergeCell ref="A69:D69"/>
    <mergeCell ref="F23:J23"/>
    <mergeCell ref="K55:N55"/>
    <mergeCell ref="K188:N188"/>
    <mergeCell ref="K126:N126"/>
    <mergeCell ref="K11:N11"/>
    <mergeCell ref="F121:J121"/>
    <mergeCell ref="A87:D87"/>
    <mergeCell ref="K182:N182"/>
    <mergeCell ref="K109:N109"/>
    <mergeCell ref="K47:N47"/>
    <mergeCell ref="K169:N169"/>
    <mergeCell ref="K240:N240"/>
    <mergeCell ref="F71:J71"/>
    <mergeCell ref="F131:J131"/>
    <mergeCell ref="A133:D133"/>
    <mergeCell ref="A193:D193"/>
    <mergeCell ref="F58:J58"/>
    <mergeCell ref="K119:N119"/>
    <mergeCell ref="F52:J52"/>
    <mergeCell ref="K46:N46"/>
    <mergeCell ref="K40:N40"/>
    <mergeCell ref="F37:J37"/>
    <mergeCell ref="A89:D89"/>
    <mergeCell ref="K111:N111"/>
    <mergeCell ref="F195:J195"/>
    <mergeCell ref="F60:J60"/>
    <mergeCell ref="K71:N71"/>
    <mergeCell ref="F197:J197"/>
    <mergeCell ref="F53:J53"/>
    <mergeCell ref="A234:D234"/>
    <mergeCell ref="A38:D38"/>
    <mergeCell ref="A209:D209"/>
    <mergeCell ref="A147:D147"/>
    <mergeCell ref="K73:N73"/>
    <mergeCell ref="F68:J68"/>
    <mergeCell ref="F84:J84"/>
    <mergeCell ref="K66:N66"/>
    <mergeCell ref="A211:D211"/>
    <mergeCell ref="K137:N137"/>
    <mergeCell ref="A67:D67"/>
    <mergeCell ref="A40:D40"/>
    <mergeCell ref="K124:N124"/>
    <mergeCell ref="F86:J86"/>
    <mergeCell ref="F142:J142"/>
    <mergeCell ref="F213:J213"/>
    <mergeCell ref="F42:J42"/>
    <mergeCell ref="F80:J80"/>
    <mergeCell ref="A82:D82"/>
    <mergeCell ref="A148:D148"/>
    <mergeCell ref="K68:N68"/>
    <mergeCell ref="K201:N201"/>
    <mergeCell ref="K139:N139"/>
    <mergeCell ref="K114:N114"/>
    <mergeCell ref="F144:J144"/>
    <mergeCell ref="A146:D146"/>
    <mergeCell ref="F215:J215"/>
    <mergeCell ref="A6:D6"/>
    <mergeCell ref="K213:N213"/>
    <mergeCell ref="A66:D66"/>
    <mergeCell ref="A158:D158"/>
    <mergeCell ref="F210:J210"/>
    <mergeCell ref="A3:D3"/>
    <mergeCell ref="K59:N59"/>
    <mergeCell ref="A239:D239"/>
    <mergeCell ref="K190:N190"/>
    <mergeCell ref="A95:D95"/>
    <mergeCell ref="K117:N117"/>
    <mergeCell ref="A160:D160"/>
    <mergeCell ref="A5:D5"/>
    <mergeCell ref="K61:N61"/>
    <mergeCell ref="A159:D159"/>
    <mergeCell ref="A122:D122"/>
    <mergeCell ref="K48:N48"/>
    <mergeCell ref="A97:D97"/>
    <mergeCell ref="A224:D224"/>
    <mergeCell ref="F10:J10"/>
    <mergeCell ref="A72:D72"/>
    <mergeCell ref="F63:J63"/>
    <mergeCell ref="F137:J137"/>
    <mergeCell ref="K125:N125"/>
    <mergeCell ref="F124:J124"/>
    <mergeCell ref="F99:J99"/>
    <mergeCell ref="K112:N112"/>
    <mergeCell ref="A161:D161"/>
    <mergeCell ref="F74:J74"/>
    <mergeCell ref="F201:J201"/>
    <mergeCell ref="K62:N62"/>
    <mergeCell ref="F139:J139"/>
    <mergeCell ref="K193:N193"/>
    <mergeCell ref="K127:N127"/>
    <mergeCell ref="F5:J5"/>
    <mergeCell ref="F138:J138"/>
    <mergeCell ref="F76:J76"/>
    <mergeCell ref="F203:J203"/>
    <mergeCell ref="A250:D250"/>
    <mergeCell ref="A54:D54"/>
    <mergeCell ref="F150:J150"/>
    <mergeCell ref="A41:D41"/>
    <mergeCell ref="K138:N138"/>
    <mergeCell ref="A16:D16"/>
    <mergeCell ref="K76:N76"/>
    <mergeCell ref="K209:N209"/>
    <mergeCell ref="A212:D212"/>
    <mergeCell ref="K203:N203"/>
    <mergeCell ref="A108:D108"/>
    <mergeCell ref="A56:D56"/>
    <mergeCell ref="A27:D27"/>
    <mergeCell ref="F92:J92"/>
    <mergeCell ref="F152:J152"/>
    <mergeCell ref="A154:D154"/>
    <mergeCell ref="A214:D214"/>
    <mergeCell ref="K140:N140"/>
    <mergeCell ref="K67:N67"/>
    <mergeCell ref="K186:N186"/>
    <mergeCell ref="F216:J216"/>
    <mergeCell ref="A85:D85"/>
    <mergeCell ref="K204:N204"/>
    <mergeCell ref="A22:D22"/>
    <mergeCell ref="F87:J87"/>
    <mergeCell ref="F147:J147"/>
    <mergeCell ref="F218:J218"/>
    <mergeCell ref="F193:J193"/>
    <mergeCell ref="A230:D230"/>
    <mergeCell ref="F89:J89"/>
    <mergeCell ref="F7:J7"/>
    <mergeCell ref="A9:D9"/>
    <mergeCell ref="K69:N69"/>
    <mergeCell ref="A167:D167"/>
    <mergeCell ref="F51:J51"/>
    <mergeCell ref="K87:N87"/>
    <mergeCell ref="A232:D232"/>
    <mergeCell ref="K158:N158"/>
    <mergeCell ref="K133:N133"/>
    <mergeCell ref="A182:D182"/>
    <mergeCell ref="A11:D11"/>
    <mergeCell ref="A98:D98"/>
    <mergeCell ref="F163:J163"/>
    <mergeCell ref="F101:J101"/>
    <mergeCell ref="A225:D225"/>
    <mergeCell ref="K95:N95"/>
    <mergeCell ref="A169:D169"/>
    <mergeCell ref="K89:N89"/>
    <mergeCell ref="K64:N64"/>
    <mergeCell ref="K135:N135"/>
    <mergeCell ref="A162:D162"/>
    <mergeCell ref="F165:J165"/>
    <mergeCell ref="K51:N51"/>
    <mergeCell ref="K122:N122"/>
    <mergeCell ref="A227:D227"/>
    <mergeCell ref="K153:N153"/>
    <mergeCell ref="F140:J140"/>
    <mergeCell ref="F115:J115"/>
    <mergeCell ref="K72:N72"/>
    <mergeCell ref="A177:D177"/>
    <mergeCell ref="F229:J229"/>
    <mergeCell ref="F77:J77"/>
    <mergeCell ref="A179:D179"/>
    <mergeCell ref="F206:J206"/>
    <mergeCell ref="K211:N211"/>
    <mergeCell ref="A116:D116"/>
    <mergeCell ref="K42:N42"/>
    <mergeCell ref="F29:J29"/>
    <mergeCell ref="A91:D91"/>
    <mergeCell ref="K17:N17"/>
    <mergeCell ref="A1:P2"/>
    <mergeCell ref="K148:N148"/>
    <mergeCell ref="K82:N82"/>
    <mergeCell ref="A109:D109"/>
    <mergeCell ref="A180:D180"/>
    <mergeCell ref="A155:D155"/>
    <mergeCell ref="A93:D93"/>
    <mergeCell ref="K19:N19"/>
    <mergeCell ref="A68:D68"/>
    <mergeCell ref="K141:N141"/>
    <mergeCell ref="K146:N146"/>
    <mergeCell ref="K212:N212"/>
    <mergeCell ref="K206:N206"/>
    <mergeCell ref="K6:N6"/>
    <mergeCell ref="F3:J3"/>
    <mergeCell ref="F59:J59"/>
    <mergeCell ref="F24:J24"/>
    <mergeCell ref="F95:J95"/>
    <mergeCell ref="A157:D157"/>
    <mergeCell ref="K83:N83"/>
    <mergeCell ref="K214:N214"/>
    <mergeCell ref="K235:N235"/>
    <mergeCell ref="F232:J232"/>
    <mergeCell ref="F32:J32"/>
    <mergeCell ref="F159:J159"/>
    <mergeCell ref="F26:J26"/>
    <mergeCell ref="F97:J97"/>
    <mergeCell ref="F153:J153"/>
    <mergeCell ref="F219:J219"/>
    <mergeCell ref="F90:J90"/>
    <mergeCell ref="F184:J184"/>
    <mergeCell ref="A246:D246"/>
    <mergeCell ref="F27:J27"/>
    <mergeCell ref="A233:D233"/>
    <mergeCell ref="A37:D37"/>
    <mergeCell ref="K159:N159"/>
    <mergeCell ref="K224:N224"/>
    <mergeCell ref="A12:D12"/>
    <mergeCell ref="A248:D248"/>
    <mergeCell ref="A104:D104"/>
    <mergeCell ref="A235:D235"/>
    <mergeCell ref="K161:N161"/>
    <mergeCell ref="F148:J148"/>
    <mergeCell ref="F123:J123"/>
    <mergeCell ref="F179:J179"/>
    <mergeCell ref="A247:D247"/>
    <mergeCell ref="F250:J250"/>
    <mergeCell ref="A14:D14"/>
    <mergeCell ref="K136:N136"/>
    <mergeCell ref="A185:D185"/>
    <mergeCell ref="F44:J44"/>
    <mergeCell ref="F237:J237"/>
    <mergeCell ref="A106:D106"/>
    <mergeCell ref="K225:N225"/>
    <mergeCell ref="F212:J212"/>
    <mergeCell ref="F16:J16"/>
    <mergeCell ref="F187:J187"/>
    <mergeCell ref="K200:N200"/>
    <mergeCell ref="F174:J174"/>
    <mergeCell ref="A43:D43"/>
    <mergeCell ref="F108:J108"/>
    <mergeCell ref="F168:J168"/>
    <mergeCell ref="A170:D170"/>
    <mergeCell ref="F143:J143"/>
    <mergeCell ref="F214:J214"/>
    <mergeCell ref="K202:N202"/>
    <mergeCell ref="F20:J20"/>
    <mergeCell ref="A130:D130"/>
    <mergeCell ref="A201:D201"/>
    <mergeCell ref="K16:N16"/>
    <mergeCell ref="K108:N108"/>
    <mergeCell ref="K231:N231"/>
    <mergeCell ref="A138:D138"/>
    <mergeCell ref="F70:J70"/>
    <mergeCell ref="A132:D132"/>
    <mergeCell ref="A119:D119"/>
    <mergeCell ref="K20:N20"/>
    <mergeCell ref="F134:J134"/>
    <mergeCell ref="K91:N91"/>
    <mergeCell ref="A25:D25"/>
    <mergeCell ref="A196:D196"/>
    <mergeCell ref="K85:N85"/>
    <mergeCell ref="A183:D183"/>
    <mergeCell ref="F96:J96"/>
    <mergeCell ref="F167:J167"/>
    <mergeCell ref="K84:N84"/>
    <mergeCell ref="F161:J161"/>
    <mergeCell ref="K22:N22"/>
    <mergeCell ref="K149:N149"/>
    <mergeCell ref="A198:D198"/>
    <mergeCell ref="F98:J98"/>
    <mergeCell ref="F225:J225"/>
    <mergeCell ref="K86:N86"/>
    <mergeCell ref="K151:N151"/>
    <mergeCell ref="F175:J175"/>
    <mergeCell ref="F4:J4"/>
    <mergeCell ref="F162:J162"/>
    <mergeCell ref="F227:J227"/>
    <mergeCell ref="A20:D20"/>
    <mergeCell ref="A112:D112"/>
    <mergeCell ref="K38:N38"/>
    <mergeCell ref="A13:D13"/>
    <mergeCell ref="A249:D249"/>
    <mergeCell ref="K4:N4"/>
    <mergeCell ref="K175:N175"/>
    <mergeCell ref="K246:N246"/>
    <mergeCell ref="A176:D176"/>
    <mergeCell ref="A114:D114"/>
    <mergeCell ref="K162:N162"/>
    <mergeCell ref="K233:N233"/>
    <mergeCell ref="K227:N227"/>
    <mergeCell ref="F251:J251"/>
    <mergeCell ref="A15:D15"/>
    <mergeCell ref="A64:D64"/>
    <mergeCell ref="F18:J18"/>
    <mergeCell ref="A186:D186"/>
    <mergeCell ref="F45:J45"/>
    <mergeCell ref="K177:N177"/>
    <mergeCell ref="F189:J189"/>
    <mergeCell ref="K33:N33"/>
    <mergeCell ref="A51:D51"/>
    <mergeCell ref="K104:N104"/>
    <mergeCell ref="K226:N226"/>
    <mergeCell ref="K164:N164"/>
    <mergeCell ref="A107:D107"/>
    <mergeCell ref="A178:D178"/>
    <mergeCell ref="F238:J238"/>
    <mergeCell ref="F17:J17"/>
    <mergeCell ref="F66:J66"/>
    <mergeCell ref="F126:J126"/>
    <mergeCell ref="F188:J188"/>
    <mergeCell ref="F109:J109"/>
    <mergeCell ref="K241:N241"/>
    <mergeCell ref="F47:J47"/>
    <mergeCell ref="F180:J180"/>
    <mergeCell ref="F240:J240"/>
    <mergeCell ref="K35:N35"/>
    <mergeCell ref="K228:N228"/>
    <mergeCell ref="F190:J190"/>
    <mergeCell ref="F46:J46"/>
    <mergeCell ref="A252:D252"/>
    <mergeCell ref="K252:N252"/>
    <mergeCell ref="F111:J111"/>
    <mergeCell ref="K99:N99"/>
    <mergeCell ref="F61:J61"/>
    <mergeCell ref="F48:J48"/>
    <mergeCell ref="K180:N180"/>
    <mergeCell ref="A33:D33"/>
    <mergeCell ref="K130:N130"/>
    <mergeCell ref="K155:N155"/>
    <mergeCell ref="A204:D204"/>
    <mergeCell ref="F73:J73"/>
    <mergeCell ref="A141:D141"/>
    <mergeCell ref="A135:D135"/>
    <mergeCell ref="A35:D35"/>
    <mergeCell ref="K132:N132"/>
    <mergeCell ref="A62:D62"/>
    <mergeCell ref="K157:N157"/>
    <mergeCell ref="A206:D206"/>
    <mergeCell ref="K101:N101"/>
    <mergeCell ref="K172:N172"/>
    <mergeCell ref="F208:J208"/>
    <mergeCell ref="A199:D199"/>
    <mergeCell ref="A28:D28"/>
    <mergeCell ref="K221:N221"/>
    <mergeCell ref="K215:N215"/>
    <mergeCell ref="F177:J177"/>
    <mergeCell ref="A245:D245"/>
    <mergeCell ref="F164:J164"/>
    <mergeCell ref="K236:N236"/>
    <mergeCell ref="F235:J235"/>
    <mergeCell ref="A30:D30"/>
    <mergeCell ref="K152:N152"/>
    <mergeCell ref="K223:N223"/>
    <mergeCell ref="A59:D59"/>
    <mergeCell ref="F114:J114"/>
    <mergeCell ref="F41:J41"/>
    <mergeCell ref="F35:J35"/>
    <mergeCell ref="F228:J228"/>
    <mergeCell ref="A61:D61"/>
    <mergeCell ref="A88:D88"/>
    <mergeCell ref="F243:J243"/>
    <mergeCell ref="K248:N248"/>
    <mergeCell ref="A153:D153"/>
    <mergeCell ref="A128:D128"/>
    <mergeCell ref="K247:N247"/>
    <mergeCell ref="K185:N185"/>
    <mergeCell ref="A90:D90"/>
    <mergeCell ref="K41:N41"/>
    <mergeCell ref="A217:D217"/>
    <mergeCell ref="K106:N106"/>
    <mergeCell ref="F130:J130"/>
    <mergeCell ref="A136:D136"/>
    <mergeCell ref="A192:D192"/>
    <mergeCell ref="K178:N178"/>
    <mergeCell ref="K56:N56"/>
    <mergeCell ref="F117:J117"/>
    <mergeCell ref="K249:N249"/>
    <mergeCell ref="K105:N105"/>
    <mergeCell ref="K243:N243"/>
    <mergeCell ref="K43:N43"/>
    <mergeCell ref="K170:N170"/>
    <mergeCell ref="A129:D129"/>
    <mergeCell ref="F132:J132"/>
    <mergeCell ref="A194:D194"/>
    <mergeCell ref="K120:N120"/>
    <mergeCell ref="F119:J119"/>
    <mergeCell ref="A181:D181"/>
    <mergeCell ref="K107:N107"/>
    <mergeCell ref="F69:J69"/>
    <mergeCell ref="F196:J196"/>
    <mergeCell ref="A131:D131"/>
    <mergeCell ref="F112:J112"/>
    <mergeCell ref="F183:J183"/>
    <mergeCell ref="A52:D52"/>
    <mergeCell ref="F127:J127"/>
    <mergeCell ref="A83:D83"/>
    <mergeCell ref="A34:D34"/>
    <mergeCell ref="A143:D143"/>
    <mergeCell ref="K25:N25"/>
    <mergeCell ref="K196:N196"/>
    <mergeCell ref="K183:N183"/>
    <mergeCell ref="A49:D49"/>
    <mergeCell ref="F145:J145"/>
    <mergeCell ref="A207:D207"/>
    <mergeCell ref="A36:D36"/>
    <mergeCell ref="K198:N198"/>
    <mergeCell ref="K54:N54"/>
    <mergeCell ref="K173:N173"/>
    <mergeCell ref="F209:J209"/>
    <mergeCell ref="F38:J38"/>
    <mergeCell ref="K29:N29"/>
    <mergeCell ref="A78:D78"/>
    <mergeCell ref="A205:D205"/>
    <mergeCell ref="A65:D65"/>
    <mergeCell ref="K237:N237"/>
    <mergeCell ref="F211:J211"/>
    <mergeCell ref="A80:D80"/>
    <mergeCell ref="K31:N31"/>
    <mergeCell ref="F67:J67"/>
    <mergeCell ref="F186:J186"/>
    <mergeCell ref="F82:J82"/>
    <mergeCell ref="K239:N239"/>
    <mergeCell ref="F57:J57"/>
    <mergeCell ref="K176:N176"/>
    <mergeCell ref="K97:N97"/>
    <mergeCell ref="A4:D4"/>
    <mergeCell ref="A156:D156"/>
    <mergeCell ref="K57:N57"/>
    <mergeCell ref="K128:N128"/>
    <mergeCell ref="K184:N184"/>
    <mergeCell ref="F158:J158"/>
    <mergeCell ref="A220:D220"/>
    <mergeCell ref="K171:N171"/>
    <mergeCell ref="K242:N242"/>
    <mergeCell ref="F133:J133"/>
    <mergeCell ref="F204:J204"/>
    <mergeCell ref="K121:N121"/>
    <mergeCell ref="F198:J198"/>
    <mergeCell ref="F160:J160"/>
    <mergeCell ref="A222:D222"/>
    <mergeCell ref="F135:J135"/>
    <mergeCell ref="A197:D197"/>
    <mergeCell ref="F62:J62"/>
    <mergeCell ref="K123:N123"/>
    <mergeCell ref="F122:J122"/>
    <mergeCell ref="F224:J224"/>
    <mergeCell ref="K110:N110"/>
    <mergeCell ref="F72:J72"/>
    <mergeCell ref="F28:J28"/>
    <mergeCell ref="K60:N60"/>
    <mergeCell ref="F199:J199"/>
    <mergeCell ref="K174:N174"/>
    <mergeCell ref="A84:D84"/>
    <mergeCell ref="A75:D75"/>
    <mergeCell ref="K75:N75"/>
    <mergeCell ref="A50:D50"/>
    <mergeCell ref="A86:D86"/>
    <mergeCell ref="K12:N12"/>
    <mergeCell ref="A213:D213"/>
    <mergeCell ref="A151:D151"/>
    <mergeCell ref="K199:N199"/>
    <mergeCell ref="A175:D175"/>
    <mergeCell ref="F88:J88"/>
    <mergeCell ref="K245:N245"/>
    <mergeCell ref="A150:D150"/>
    <mergeCell ref="K14:N14"/>
    <mergeCell ref="K70:N70"/>
    <mergeCell ref="K207:N207"/>
    <mergeCell ref="A215:D215"/>
    <mergeCell ref="A144:D144"/>
    <mergeCell ref="F54:J54"/>
    <mergeCell ref="F19:J19"/>
    <mergeCell ref="F146:J146"/>
    <mergeCell ref="K7:N7"/>
    <mergeCell ref="F217:J217"/>
    <mergeCell ref="A152:D152"/>
    <mergeCell ref="A81:D81"/>
    <mergeCell ref="F6:J6"/>
    <mergeCell ref="K65:N65"/>
    <mergeCell ref="F252:J252"/>
    <mergeCell ref="F83:J83"/>
    <mergeCell ref="A226:D226"/>
    <mergeCell ref="F110:J110"/>
    <mergeCell ref="F85:J85"/>
    <mergeCell ref="K217:N217"/>
    <mergeCell ref="A70:D70"/>
    <mergeCell ref="K192:N192"/>
    <mergeCell ref="A241:D241"/>
    <mergeCell ref="A228:D228"/>
    <mergeCell ref="K154:N154"/>
    <mergeCell ref="F141:J141"/>
    <mergeCell ref="A7:D7"/>
    <mergeCell ref="K129:N129"/>
    <mergeCell ref="A172:D172"/>
    <mergeCell ref="A243:D243"/>
    <mergeCell ref="F230:J230"/>
    <mergeCell ref="A99:D99"/>
    <mergeCell ref="K194:N194"/>
    <mergeCell ref="A221:D221"/>
    <mergeCell ref="K181:N181"/>
    <mergeCell ref="F9:J9"/>
    <mergeCell ref="K131:N131"/>
    <mergeCell ref="A236:D236"/>
    <mergeCell ref="K58:N58"/>
    <mergeCell ref="A163:D163"/>
    <mergeCell ref="A101:D101"/>
    <mergeCell ref="A223:D223"/>
    <mergeCell ref="F136:J136"/>
    <mergeCell ref="F207:J207"/>
    <mergeCell ref="K195:N195"/>
    <mergeCell ref="O3:P3"/>
    <mergeCell ref="F78:J78"/>
    <mergeCell ref="F65:J65"/>
    <mergeCell ref="K53:N53"/>
    <mergeCell ref="A125:D125"/>
    <mergeCell ref="F202:J202"/>
    <mergeCell ref="K13:N13"/>
    <mergeCell ref="K78:N78"/>
    <mergeCell ref="A127:D127"/>
    <mergeCell ref="K205:N205"/>
    <mergeCell ref="F154:J154"/>
    <mergeCell ref="K15:N15"/>
    <mergeCell ref="A216:D216"/>
    <mergeCell ref="K142:N142"/>
    <mergeCell ref="A191:D191"/>
    <mergeCell ref="K80:N80"/>
    <mergeCell ref="F91:J91"/>
    <mergeCell ref="K79:N79"/>
    <mergeCell ref="F156:J156"/>
    <mergeCell ref="A218:D218"/>
    <mergeCell ref="K144:N144"/>
    <mergeCell ref="F22:J22"/>
    <mergeCell ref="F155:J155"/>
    <mergeCell ref="F93:J93"/>
    <mergeCell ref="A46:D46"/>
    <mergeCell ref="F149:J149"/>
    <mergeCell ref="F220:J220"/>
    <mergeCell ref="K81:N81"/>
    <mergeCell ref="K208:N208"/>
    <mergeCell ref="A105:D105"/>
    <mergeCell ref="A26:D26"/>
    <mergeCell ref="F151:J151"/>
    <mergeCell ref="F222:J222"/>
    <mergeCell ref="A242:D242"/>
    <mergeCell ref="A71:D71"/>
    <mergeCell ref="K220:N220"/>
    <mergeCell ref="A8:D8"/>
    <mergeCell ref="F11:J11"/>
    <mergeCell ref="F182:J182"/>
    <mergeCell ref="A184:D184"/>
    <mergeCell ref="A244:D244"/>
    <mergeCell ref="A100:D100"/>
    <mergeCell ref="A171:D171"/>
    <mergeCell ref="A231:D231"/>
    <mergeCell ref="A165:D165"/>
    <mergeCell ref="K222:N222"/>
    <mergeCell ref="F246:J246"/>
    <mergeCell ref="A10:D10"/>
    <mergeCell ref="A115:D115"/>
    <mergeCell ref="K10:N10"/>
    <mergeCell ref="F40:J40"/>
    <mergeCell ref="K197:N197"/>
    <mergeCell ref="F233:J233"/>
    <mergeCell ref="A102:D102"/>
    <mergeCell ref="K28:N28"/>
    <mergeCell ref="A173:D173"/>
    <mergeCell ref="A229:D229"/>
    <mergeCell ref="K234:N234"/>
    <mergeCell ref="F15:J15"/>
    <mergeCell ref="F12:J12"/>
    <mergeCell ref="K3:N3"/>
    <mergeCell ref="A77:D77"/>
    <mergeCell ref="K74:N74"/>
    <mergeCell ref="F248:J248"/>
    <mergeCell ref="A39:D39"/>
    <mergeCell ref="F104:J104"/>
    <mergeCell ref="A166:D166"/>
    <mergeCell ref="K92:N92"/>
    <mergeCell ref="K30:N30"/>
    <mergeCell ref="F79:J79"/>
    <mergeCell ref="K5:N5"/>
    <mergeCell ref="A103:D103"/>
    <mergeCell ref="F106:J106"/>
    <mergeCell ref="A168:D168"/>
    <mergeCell ref="F81:J81"/>
    <mergeCell ref="K150:N150"/>
    <mergeCell ref="A120:D120"/>
    <mergeCell ref="F226:J226"/>
    <mergeCell ref="A21:D21"/>
    <mergeCell ref="K8:N8"/>
    <mergeCell ref="A113:D113"/>
    <mergeCell ref="A57:D57"/>
    <mergeCell ref="F241:J241"/>
    <mergeCell ref="A32:D32"/>
    <mergeCell ref="F157:J157"/>
    <mergeCell ref="A219:D219"/>
    <mergeCell ref="K145:N145"/>
    <mergeCell ref="A23:D23"/>
    <mergeCell ref="K216:N216"/>
    <mergeCell ref="K23:N23"/>
    <mergeCell ref="K210:N210"/>
    <mergeCell ref="F234:J234"/>
    <mergeCell ref="F34:J34"/>
    <mergeCell ref="F172:J172"/>
    <mergeCell ref="A96:D96"/>
    <mergeCell ref="K160:N160"/>
    <mergeCell ref="F221:J221"/>
    <mergeCell ref="F25:J25"/>
    <mergeCell ref="K147:N147"/>
    <mergeCell ref="F236:J236"/>
    <mergeCell ref="F30:J30"/>
    <mergeCell ref="F223:J223"/>
    <mergeCell ref="K18:N18"/>
    <mergeCell ref="F173:J173"/>
    <mergeCell ref="K34:N34"/>
    <mergeCell ref="F94:J94"/>
    <mergeCell ref="A123:D123"/>
    <mergeCell ref="A110:D110"/>
    <mergeCell ref="K36:N36"/>
    <mergeCell ref="A237:D237"/>
    <mergeCell ref="K163:N163"/>
    <mergeCell ref="F247:J247"/>
    <mergeCell ref="F125:J125"/>
    <mergeCell ref="F185:J185"/>
    <mergeCell ref="A187:D187"/>
    <mergeCell ref="K244:N244"/>
    <mergeCell ref="A174:D174"/>
    <mergeCell ref="K100:N100"/>
    <mergeCell ref="K94:N94"/>
    <mergeCell ref="F13:J13"/>
    <mergeCell ref="K165:N165"/>
    <mergeCell ref="F56:J56"/>
    <mergeCell ref="F249:J249"/>
    <mergeCell ref="A118:D118"/>
    <mergeCell ref="K44:N44"/>
    <mergeCell ref="A18:D18"/>
    <mergeCell ref="F43:J43"/>
    <mergeCell ref="F105:J105"/>
    <mergeCell ref="F176:J176"/>
    <mergeCell ref="F170:J170"/>
    <mergeCell ref="A189:D189"/>
    <mergeCell ref="A238:D238"/>
    <mergeCell ref="K102:N102"/>
    <mergeCell ref="K229:N229"/>
    <mergeCell ref="A55:D55"/>
    <mergeCell ref="F120:J120"/>
    <mergeCell ref="K77:N77"/>
    <mergeCell ref="F107:J107"/>
    <mergeCell ref="A47:D47"/>
  </mergeCells>
  <conditionalFormatting sqref="O1:O2 O4:O1048576">
    <cfRule type="cellIs" priority="2" operator="notEqual" dxfId="7">
      <formula>$O2&lt;&gt;""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Normal="100" workbookViewId="0">
      <selection activeCell="A1" sqref="A1"/>
    </sheetView>
  </sheetViews>
  <sheetFormatPr baseColWidth="8" defaultColWidth="8.6640625" defaultRowHeight="14.25" customHeight="1"/>
  <cols>
    <col width="25" customWidth="1" style="468" min="1" max="1"/>
    <col width="70" customWidth="1" style="468" min="2" max="2"/>
  </cols>
  <sheetData>
    <row r="1" ht="19.5" customHeight="1" s="468">
      <c r="A1" s="337" t="inlineStr">
        <is>
          <t>CONFIGURAÇÕES</t>
        </is>
      </c>
    </row>
    <row r="2" ht="14.4" customHeight="1" s="468"/>
    <row r="3" ht="14.25" customHeight="1" s="468">
      <c r="A3" s="338" t="inlineStr">
        <is>
          <t>Meta diária (latas)</t>
        </is>
      </c>
      <c r="B3" s="339" t="n">
        <v>10000</v>
      </c>
    </row>
    <row r="4" ht="26.25" customHeight="1" s="468">
      <c r="A4" s="338" t="inlineStr">
        <is>
          <t>Observação</t>
        </is>
      </c>
      <c r="B4" s="340" t="inlineStr">
        <is>
          <t>Altere a meta diária aqui. Todos os gráficos e resultados mensais serão atualizados automaticamente.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topLeftCell="A1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25" customHeight="1"/>
  <cols>
    <col width="10.44140625" customWidth="1" style="468" min="1" max="1"/>
    <col width="9.44140625" customWidth="1" style="468" min="2" max="2"/>
    <col width="25.6640625" customWidth="1" style="468" min="3" max="3"/>
    <col width="9.44140625" customWidth="1" style="468" min="4" max="4"/>
    <col width="10" customWidth="1" style="468" min="5" max="5"/>
    <col width="8.88671875" customWidth="1" style="468" min="6" max="6"/>
    <col width="10.5546875" customWidth="1" style="468" min="7" max="7"/>
    <col width="25.88671875" customWidth="1" style="468" min="8" max="8"/>
  </cols>
  <sheetData>
    <row r="1" ht="15" customHeight="1" s="468">
      <c r="A1" s="712" t="inlineStr">
        <is>
          <t>Data</t>
        </is>
      </c>
      <c r="B1" s="713" t="inlineStr">
        <is>
          <t>Mês</t>
        </is>
      </c>
      <c r="C1" s="713" t="inlineStr">
        <is>
          <t>Produto</t>
        </is>
      </c>
      <c r="D1" s="713" t="inlineStr">
        <is>
          <t>Real</t>
        </is>
      </c>
      <c r="E1" s="713" t="inlineStr">
        <is>
          <t>Latas</t>
        </is>
      </c>
      <c r="F1" s="713" t="inlineStr">
        <is>
          <t>Gás</t>
        </is>
      </c>
      <c r="G1" s="713" t="inlineStr">
        <is>
          <t>Horas</t>
        </is>
      </c>
      <c r="H1" s="714" t="inlineStr">
        <is>
          <t>Origem</t>
        </is>
      </c>
    </row>
    <row r="2" ht="15" customHeight="1" s="468">
      <c r="A2" s="715" t="n">
        <v>46027</v>
      </c>
      <c r="B2" s="716" t="inlineStr">
        <is>
          <t>JANEIRO</t>
        </is>
      </c>
      <c r="C2" s="716" t="inlineStr">
        <is>
          <t>ADIMIX (PRECISION)</t>
        </is>
      </c>
      <c r="D2" s="717">
        <f>'SEMANA JANEIRO'!$H$5</f>
        <v/>
      </c>
      <c r="E2" s="717">
        <f>'SEMANA JANEIRO'!$I$5</f>
        <v/>
      </c>
      <c r="F2" s="717">
        <f>'SEMANA JANEIRO'!$D$5</f>
        <v/>
      </c>
      <c r="G2" s="717">
        <f>'SEMANA JANEIRO'!$G$5</f>
        <v/>
      </c>
      <c r="H2" s="718" t="inlineStr">
        <is>
          <t>SEMANA JANEIRO!B5:I5</t>
        </is>
      </c>
    </row>
    <row r="3" ht="15" customHeight="1" s="468">
      <c r="A3" s="715" t="n">
        <v>46027</v>
      </c>
      <c r="B3" s="716" t="inlineStr">
        <is>
          <t>JANEIRO</t>
        </is>
      </c>
      <c r="C3" s="716" t="inlineStr">
        <is>
          <t>ADIMIX (FADEVA)</t>
        </is>
      </c>
      <c r="D3" s="717">
        <f>'SEMANA JANEIRO'!$H$6</f>
        <v/>
      </c>
      <c r="E3" s="717">
        <f>'SEMANA JANEIRO'!$I$6</f>
        <v/>
      </c>
      <c r="F3" s="717">
        <f>'SEMANA JANEIRO'!$D$6</f>
        <v/>
      </c>
      <c r="G3" s="717">
        <f>'SEMANA JANEIRO'!$G$6</f>
        <v/>
      </c>
      <c r="H3" s="718" t="inlineStr">
        <is>
          <t>SEMANA JANEIRO!B6:I6</t>
        </is>
      </c>
    </row>
    <row r="4" ht="15" customHeight="1" s="468">
      <c r="A4" s="715" t="n">
        <v>46028</v>
      </c>
      <c r="B4" s="716" t="inlineStr">
        <is>
          <t>JANEIRO</t>
        </is>
      </c>
      <c r="C4" s="716" t="inlineStr">
        <is>
          <t>ADIMIX (FADEVA)</t>
        </is>
      </c>
      <c r="D4" s="717">
        <f>'SEMANA JANEIRO'!$H$13</f>
        <v/>
      </c>
      <c r="E4" s="717">
        <f>'SEMANA JANEIRO'!$I$13</f>
        <v/>
      </c>
      <c r="F4" s="717">
        <f>'SEMANA JANEIRO'!$D$13</f>
        <v/>
      </c>
      <c r="G4" s="717">
        <f>'SEMANA JANEIRO'!$G$13</f>
        <v/>
      </c>
      <c r="H4" s="718" t="inlineStr">
        <is>
          <t>SEMANA JANEIRO!B13:I13</t>
        </is>
      </c>
    </row>
    <row r="5" ht="15" customHeight="1" s="468">
      <c r="A5" s="719" t="n">
        <v>46029</v>
      </c>
      <c r="B5" s="344" t="inlineStr">
        <is>
          <t>JANEIRO</t>
        </is>
      </c>
      <c r="C5" s="345" t="inlineStr">
        <is>
          <t>ADIMIX</t>
        </is>
      </c>
      <c r="D5" s="346">
        <f>'SEMANA JANEIRO'!$H$20</f>
        <v/>
      </c>
      <c r="E5" s="346">
        <f>'SEMANA JANEIRO'!$I$20</f>
        <v/>
      </c>
      <c r="F5" s="346">
        <f>'SEMANA JANEIRO'!$D$20</f>
        <v/>
      </c>
      <c r="G5" s="346">
        <f>'SEMANA JANEIRO'!$G$20</f>
        <v/>
      </c>
      <c r="H5" s="347" t="inlineStr">
        <is>
          <t>SEMANA JANEIRO!B20:I20</t>
        </is>
      </c>
    </row>
    <row r="6" ht="15" customHeight="1" s="468">
      <c r="A6" s="719" t="n">
        <v>46029</v>
      </c>
      <c r="B6" s="344" t="inlineStr">
        <is>
          <t>JANEIRO</t>
        </is>
      </c>
      <c r="C6" s="345" t="inlineStr">
        <is>
          <t>UNTA FACIL</t>
        </is>
      </c>
      <c r="D6" s="346">
        <f>'SEMANA JANEIRO'!$H$21</f>
        <v/>
      </c>
      <c r="E6" s="346">
        <f>'SEMANA JANEIRO'!$I$21</f>
        <v/>
      </c>
      <c r="F6" s="346">
        <f>'SEMANA JANEIRO'!$D$21</f>
        <v/>
      </c>
      <c r="G6" s="346">
        <f>'SEMANA JANEIRO'!$G$21</f>
        <v/>
      </c>
      <c r="H6" s="347" t="inlineStr">
        <is>
          <t>SEMANA JANEIRO!B21:I21</t>
        </is>
      </c>
    </row>
    <row r="7" ht="15" customHeight="1" s="468">
      <c r="A7" s="719" t="n">
        <v>46030</v>
      </c>
      <c r="B7" s="344" t="inlineStr">
        <is>
          <t>JANEIRO</t>
        </is>
      </c>
      <c r="C7" s="345" t="inlineStr">
        <is>
          <t>UNTA FACIL</t>
        </is>
      </c>
      <c r="D7" s="346">
        <f>'SEMANA JANEIRO'!$H$28</f>
        <v/>
      </c>
      <c r="E7" s="346">
        <f>'SEMANA JANEIRO'!$I$28</f>
        <v/>
      </c>
      <c r="F7" s="346">
        <f>'SEMANA JANEIRO'!$D$28</f>
        <v/>
      </c>
      <c r="G7" s="346">
        <f>'SEMANA JANEIRO'!$G$28</f>
        <v/>
      </c>
      <c r="H7" s="347" t="inlineStr">
        <is>
          <t>SEMANA JANEIRO!B28:I28</t>
        </is>
      </c>
    </row>
    <row r="8" ht="15" customHeight="1" s="468">
      <c r="A8" s="719" t="n">
        <v>46031</v>
      </c>
      <c r="B8" s="344" t="inlineStr">
        <is>
          <t>JANEIRO</t>
        </is>
      </c>
      <c r="C8" s="345" t="inlineStr">
        <is>
          <t>UNTA FACIL</t>
        </is>
      </c>
      <c r="D8" s="346">
        <f>'SEMANA JANEIRO'!$H$36</f>
        <v/>
      </c>
      <c r="E8" s="346">
        <f>'SEMANA JANEIRO'!$I$36</f>
        <v/>
      </c>
      <c r="F8" s="346">
        <f>'SEMANA JANEIRO'!$D$36</f>
        <v/>
      </c>
      <c r="G8" s="346">
        <f>'SEMANA JANEIRO'!$G$36</f>
        <v/>
      </c>
      <c r="H8" s="347" t="inlineStr">
        <is>
          <t>SEMANA JANEIRO!B36:I36</t>
        </is>
      </c>
    </row>
    <row r="9" ht="15" customHeight="1" s="468">
      <c r="A9" s="719" t="n">
        <v>46031</v>
      </c>
      <c r="B9" s="344" t="inlineStr">
        <is>
          <t>JANEIRO</t>
        </is>
      </c>
      <c r="C9" s="345" t="inlineStr">
        <is>
          <t>PURATOS</t>
        </is>
      </c>
      <c r="D9" s="346">
        <f>'SEMANA JANEIRO'!$H$37</f>
        <v/>
      </c>
      <c r="E9" s="346">
        <f>'SEMANA JANEIRO'!$I$37</f>
        <v/>
      </c>
      <c r="F9" s="346">
        <f>'SEMANA JANEIRO'!$D$37</f>
        <v/>
      </c>
      <c r="G9" s="346">
        <f>'SEMANA JANEIRO'!$G$37</f>
        <v/>
      </c>
      <c r="H9" s="347" t="inlineStr">
        <is>
          <t>SEMANA JANEIRO!B37:I37</t>
        </is>
      </c>
    </row>
    <row r="10" ht="15" customHeight="1" s="468">
      <c r="A10" s="719" t="n">
        <v>46034</v>
      </c>
      <c r="B10" s="344" t="inlineStr">
        <is>
          <t>JANEIRO</t>
        </is>
      </c>
      <c r="C10" s="345" t="inlineStr">
        <is>
          <t>PURATOS</t>
        </is>
      </c>
      <c r="D10" s="346">
        <f>'SEMANA JANEIRO'!$H$45</f>
        <v/>
      </c>
      <c r="E10" s="346">
        <f>'SEMANA JANEIRO'!$I$45</f>
        <v/>
      </c>
      <c r="F10" s="346">
        <f>'SEMANA JANEIRO'!$D$45</f>
        <v/>
      </c>
      <c r="G10" s="346">
        <f>'SEMANA JANEIRO'!$G$45</f>
        <v/>
      </c>
      <c r="H10" s="347" t="inlineStr">
        <is>
          <t>SEMANA JANEIRO!B45:I45</t>
        </is>
      </c>
    </row>
    <row r="11" ht="15" customHeight="1" s="468">
      <c r="A11" s="719" t="n">
        <v>46035</v>
      </c>
      <c r="B11" s="344" t="inlineStr">
        <is>
          <t>JANEIRO</t>
        </is>
      </c>
      <c r="C11" s="345" t="inlineStr">
        <is>
          <t>PURATOS</t>
        </is>
      </c>
      <c r="D11" s="346">
        <f>'SEMANA JANEIRO'!$H$53</f>
        <v/>
      </c>
      <c r="E11" s="346">
        <f>'SEMANA JANEIRO'!$I$53</f>
        <v/>
      </c>
      <c r="F11" s="346">
        <f>'SEMANA JANEIRO'!$D$53</f>
        <v/>
      </c>
      <c r="G11" s="346">
        <f>'SEMANA JANEIRO'!$G$53</f>
        <v/>
      </c>
      <c r="H11" s="347" t="inlineStr">
        <is>
          <t>SEMANA JANEIRO!B53:I53</t>
        </is>
      </c>
    </row>
    <row r="12" ht="15" customHeight="1" s="468">
      <c r="A12" s="719" t="n">
        <v>46035</v>
      </c>
      <c r="B12" s="344" t="inlineStr">
        <is>
          <t>JANEIRO</t>
        </is>
      </c>
      <c r="C12" s="345" t="inlineStr">
        <is>
          <t>PURATOS</t>
        </is>
      </c>
      <c r="D12" s="346">
        <f>'SEMANA JANEIRO'!$H$55</f>
        <v/>
      </c>
      <c r="E12" s="346">
        <f>'SEMANA JANEIRO'!$I$55</f>
        <v/>
      </c>
      <c r="F12" s="346">
        <f>'SEMANA JANEIRO'!$D$55</f>
        <v/>
      </c>
      <c r="G12" s="346">
        <f>'SEMANA JANEIRO'!$G$55</f>
        <v/>
      </c>
      <c r="H12" s="347" t="inlineStr">
        <is>
          <t>SEMANA JANEIRO!B55:I55</t>
        </is>
      </c>
    </row>
    <row r="13" ht="15" customHeight="1" s="468">
      <c r="A13" s="719" t="n">
        <v>46036</v>
      </c>
      <c r="B13" s="344" t="inlineStr">
        <is>
          <t>JANEIRO</t>
        </is>
      </c>
      <c r="C13" s="345" t="inlineStr">
        <is>
          <t>PURATOS</t>
        </is>
      </c>
      <c r="D13" s="346">
        <f>'SEMANA JANEIRO'!$H$61</f>
        <v/>
      </c>
      <c r="E13" s="346">
        <f>'SEMANA JANEIRO'!$I$61</f>
        <v/>
      </c>
      <c r="F13" s="346">
        <f>'SEMANA JANEIRO'!$D$61</f>
        <v/>
      </c>
      <c r="G13" s="346">
        <f>'SEMANA JANEIRO'!$G$61</f>
        <v/>
      </c>
      <c r="H13" s="347" t="inlineStr">
        <is>
          <t>SEMANA JANEIRO!B61:I61</t>
        </is>
      </c>
    </row>
    <row r="14" ht="15" customHeight="1" s="468">
      <c r="A14" s="719" t="n">
        <v>46037</v>
      </c>
      <c r="B14" s="344" t="inlineStr">
        <is>
          <t>JANEIRO</t>
        </is>
      </c>
      <c r="C14" s="345" t="inlineStr">
        <is>
          <t>ITAIQUARA</t>
        </is>
      </c>
      <c r="D14" s="346">
        <f>'SEMANA JANEIRO'!$H$69</f>
        <v/>
      </c>
      <c r="E14" s="346">
        <f>'SEMANA JANEIRO'!$I$69</f>
        <v/>
      </c>
      <c r="F14" s="346">
        <f>'SEMANA JANEIRO'!$D$69</f>
        <v/>
      </c>
      <c r="G14" s="346">
        <f>'SEMANA JANEIRO'!$G$69</f>
        <v/>
      </c>
      <c r="H14" s="347" t="inlineStr">
        <is>
          <t>SEMANA JANEIRO!B69:I69</t>
        </is>
      </c>
    </row>
    <row r="15" ht="15" customHeight="1" s="468">
      <c r="A15" s="719" t="n">
        <v>46037</v>
      </c>
      <c r="B15" s="344" t="inlineStr">
        <is>
          <t>JANEIRO</t>
        </is>
      </c>
      <c r="C15" s="345" t="inlineStr">
        <is>
          <t>ALLBREAD</t>
        </is>
      </c>
      <c r="D15" s="346">
        <f>'SEMANA JANEIRO'!$H$70</f>
        <v/>
      </c>
      <c r="E15" s="346">
        <f>'SEMANA JANEIRO'!$I$70</f>
        <v/>
      </c>
      <c r="F15" s="346">
        <f>'SEMANA JANEIRO'!$D$70</f>
        <v/>
      </c>
      <c r="G15" s="346">
        <f>'SEMANA JANEIRO'!$G$70</f>
        <v/>
      </c>
      <c r="H15" s="347" t="inlineStr">
        <is>
          <t>SEMANA JANEIRO!B70:I70</t>
        </is>
      </c>
    </row>
    <row r="16" ht="15" customHeight="1" s="468">
      <c r="A16" s="719" t="n">
        <v>46038</v>
      </c>
      <c r="B16" s="344" t="inlineStr">
        <is>
          <t>JANEIRO</t>
        </is>
      </c>
      <c r="C16" s="345" t="inlineStr">
        <is>
          <t>ALLBREAD</t>
        </is>
      </c>
      <c r="D16" s="346">
        <f>'SEMANA JANEIRO'!$H$78</f>
        <v/>
      </c>
      <c r="E16" s="346">
        <f>'SEMANA JANEIRO'!$I$78</f>
        <v/>
      </c>
      <c r="F16" s="346">
        <f>'SEMANA JANEIRO'!$D$78</f>
        <v/>
      </c>
      <c r="G16" s="346">
        <f>'SEMANA JANEIRO'!$G$78</f>
        <v/>
      </c>
      <c r="H16" s="347" t="inlineStr">
        <is>
          <t>SEMANA JANEIRO!B78:I78</t>
        </is>
      </c>
    </row>
    <row r="17" ht="15" customHeight="1" s="468">
      <c r="A17" s="719" t="n">
        <v>46038</v>
      </c>
      <c r="B17" s="344" t="inlineStr">
        <is>
          <t>JANEIRO</t>
        </is>
      </c>
      <c r="C17" s="345" t="inlineStr">
        <is>
          <t>PURATOS</t>
        </is>
      </c>
      <c r="D17" s="346">
        <f>'SEMANA JANEIRO'!$H$79</f>
        <v/>
      </c>
      <c r="E17" s="346">
        <f>'SEMANA JANEIRO'!$I$79</f>
        <v/>
      </c>
      <c r="F17" s="346">
        <f>'SEMANA JANEIRO'!$D$79</f>
        <v/>
      </c>
      <c r="G17" s="346">
        <f>'SEMANA JANEIRO'!$G$79</f>
        <v/>
      </c>
      <c r="H17" s="347" t="inlineStr">
        <is>
          <t>SEMANA JANEIRO!B79:I79</t>
        </is>
      </c>
    </row>
    <row r="18" ht="15" customHeight="1" s="468">
      <c r="A18" s="719" t="n">
        <v>46041</v>
      </c>
      <c r="B18" s="344" t="inlineStr">
        <is>
          <t>JANEIRO</t>
        </is>
      </c>
      <c r="C18" s="345" t="inlineStr">
        <is>
          <t>PURATOS</t>
        </is>
      </c>
      <c r="D18" s="346">
        <f>'SEMANA JANEIRO'!$H$86</f>
        <v/>
      </c>
      <c r="E18" s="346">
        <f>'SEMANA JANEIRO'!$I$86</f>
        <v/>
      </c>
      <c r="F18" s="346">
        <f>'SEMANA JANEIRO'!$D$86</f>
        <v/>
      </c>
      <c r="G18" s="346">
        <f>'SEMANA JANEIRO'!$G$86</f>
        <v/>
      </c>
      <c r="H18" s="347" t="inlineStr">
        <is>
          <t>SEMANA JANEIRO!B86:I86</t>
        </is>
      </c>
    </row>
    <row r="19" ht="15" customHeight="1" s="468">
      <c r="A19" s="719" t="n">
        <v>46041</v>
      </c>
      <c r="B19" s="344" t="inlineStr">
        <is>
          <t>JANEIRO</t>
        </is>
      </c>
      <c r="C19" s="345" t="inlineStr">
        <is>
          <t>INLOCO ECO</t>
        </is>
      </c>
      <c r="D19" s="346">
        <f>'SEMANA JANEIRO'!$H$87</f>
        <v/>
      </c>
      <c r="E19" s="346">
        <f>'SEMANA JANEIRO'!$I$87</f>
        <v/>
      </c>
      <c r="F19" s="346">
        <f>'SEMANA JANEIRO'!$D$87</f>
        <v/>
      </c>
      <c r="G19" s="346">
        <f>'SEMANA JANEIRO'!$G$87</f>
        <v/>
      </c>
      <c r="H19" s="347" t="inlineStr">
        <is>
          <t>SEMANA JANEIRO!B87:I87</t>
        </is>
      </c>
    </row>
    <row r="20" ht="15" customHeight="1" s="468">
      <c r="A20" s="719" t="n">
        <v>46041</v>
      </c>
      <c r="B20" s="344" t="inlineStr">
        <is>
          <t>JANEIRO</t>
        </is>
      </c>
      <c r="C20" s="345" t="inlineStr">
        <is>
          <t>TTF</t>
        </is>
      </c>
      <c r="D20" s="346">
        <f>'SEMANA JANEIRO'!$H$88</f>
        <v/>
      </c>
      <c r="E20" s="346">
        <f>'SEMANA JANEIRO'!$I$88</f>
        <v/>
      </c>
      <c r="F20" s="346">
        <f>'SEMANA JANEIRO'!$D$88</f>
        <v/>
      </c>
      <c r="G20" s="346">
        <f>'SEMANA JANEIRO'!$G$88</f>
        <v/>
      </c>
      <c r="H20" s="347" t="inlineStr">
        <is>
          <t>SEMANA JANEIRO!B88:I88</t>
        </is>
      </c>
    </row>
    <row r="21" ht="15" customHeight="1" s="468">
      <c r="A21" s="719" t="n">
        <v>46042</v>
      </c>
      <c r="B21" s="344" t="inlineStr">
        <is>
          <t>JANEIRO</t>
        </is>
      </c>
      <c r="C21" s="345" t="inlineStr">
        <is>
          <t>TTF</t>
        </is>
      </c>
      <c r="D21" s="346">
        <f>'SEMANA JANEIRO'!$H$96</f>
        <v/>
      </c>
      <c r="E21" s="346">
        <f>'SEMANA JANEIRO'!$I$96</f>
        <v/>
      </c>
      <c r="F21" s="346">
        <f>'SEMANA JANEIRO'!$D$96</f>
        <v/>
      </c>
      <c r="G21" s="346">
        <f>'SEMANA JANEIRO'!$G$96</f>
        <v/>
      </c>
      <c r="H21" s="347" t="inlineStr">
        <is>
          <t>SEMANA JANEIRO!B96:I96</t>
        </is>
      </c>
    </row>
    <row r="22" ht="15" customHeight="1" s="468">
      <c r="A22" s="719" t="n">
        <v>46042</v>
      </c>
      <c r="B22" s="344" t="inlineStr">
        <is>
          <t>JANEIRO</t>
        </is>
      </c>
      <c r="C22" s="345" t="inlineStr">
        <is>
          <t>ROCHAPAN</t>
        </is>
      </c>
      <c r="D22" s="346">
        <f>'SEMANA JANEIRO'!$H$97</f>
        <v/>
      </c>
      <c r="E22" s="346">
        <f>'SEMANA JANEIRO'!$I$97</f>
        <v/>
      </c>
      <c r="F22" s="346">
        <f>'SEMANA JANEIRO'!$D$97</f>
        <v/>
      </c>
      <c r="G22" s="346">
        <f>'SEMANA JANEIRO'!$G$97</f>
        <v/>
      </c>
      <c r="H22" s="347" t="inlineStr">
        <is>
          <t>SEMANA JANEIRO!B97:I97</t>
        </is>
      </c>
    </row>
    <row r="23" ht="15" customHeight="1" s="468">
      <c r="A23" s="719" t="n">
        <v>46042</v>
      </c>
      <c r="B23" s="344" t="inlineStr">
        <is>
          <t>JANEIRO</t>
        </is>
      </c>
      <c r="C23" s="345" t="inlineStr">
        <is>
          <t>CASA PANIFICADOR</t>
        </is>
      </c>
      <c r="D23" s="346">
        <f>'SEMANA JANEIRO'!$H$98</f>
        <v/>
      </c>
      <c r="E23" s="346">
        <f>'SEMANA JANEIRO'!$I$98</f>
        <v/>
      </c>
      <c r="F23" s="346">
        <f>'SEMANA JANEIRO'!$D$98</f>
        <v/>
      </c>
      <c r="G23" s="346">
        <f>'SEMANA JANEIRO'!$G$98</f>
        <v/>
      </c>
      <c r="H23" s="347" t="inlineStr">
        <is>
          <t>SEMANA JANEIRO!B98:I98</t>
        </is>
      </c>
    </row>
    <row r="24" ht="15" customHeight="1" s="468">
      <c r="A24" s="719" t="n">
        <v>46043</v>
      </c>
      <c r="B24" s="344" t="inlineStr">
        <is>
          <t>JANEIRO</t>
        </is>
      </c>
      <c r="C24" s="345" t="inlineStr">
        <is>
          <t>GENGIBRE INLOCO</t>
        </is>
      </c>
      <c r="D24" s="346">
        <f>'SEMANA JANEIRO'!$H$106</f>
        <v/>
      </c>
      <c r="E24" s="346">
        <f>'SEMANA JANEIRO'!$I$106</f>
        <v/>
      </c>
      <c r="F24" s="346">
        <f>'SEMANA JANEIRO'!$D$106</f>
        <v/>
      </c>
      <c r="G24" s="346">
        <f>'SEMANA JANEIRO'!$G$106</f>
        <v/>
      </c>
      <c r="H24" s="347" t="inlineStr">
        <is>
          <t>SEMANA JANEIRO!B106:I106</t>
        </is>
      </c>
    </row>
    <row r="25" ht="15" customHeight="1" s="468">
      <c r="A25" s="719" t="n">
        <v>46043</v>
      </c>
      <c r="B25" s="344" t="inlineStr">
        <is>
          <t>JANEIRO</t>
        </is>
      </c>
      <c r="C25" s="345" t="inlineStr">
        <is>
          <t>GENGIBRE DILUTE</t>
        </is>
      </c>
      <c r="D25" s="346">
        <f>'SEMANA JANEIRO'!$H$107</f>
        <v/>
      </c>
      <c r="E25" s="346">
        <f>'SEMANA JANEIRO'!$I$107</f>
        <v/>
      </c>
      <c r="F25" s="346">
        <f>'SEMANA JANEIRO'!$D$107</f>
        <v/>
      </c>
      <c r="G25" s="346">
        <f>'SEMANA JANEIRO'!$G$107</f>
        <v/>
      </c>
      <c r="H25" s="347" t="inlineStr">
        <is>
          <t>SEMANA JANEIRO!B107:I107</t>
        </is>
      </c>
    </row>
    <row r="26" ht="15" customHeight="1" s="468">
      <c r="A26" s="719" t="n">
        <v>46044</v>
      </c>
      <c r="B26" s="344" t="inlineStr">
        <is>
          <t>JANEIRO</t>
        </is>
      </c>
      <c r="C26" s="345" t="inlineStr">
        <is>
          <t>GENGIBRE DILUTE</t>
        </is>
      </c>
      <c r="D26" s="346">
        <f>'SEMANA JANEIRO'!$H$114</f>
        <v/>
      </c>
      <c r="E26" s="346">
        <f>'SEMANA JANEIRO'!$I$114</f>
        <v/>
      </c>
      <c r="F26" s="346">
        <f>'SEMANA JANEIRO'!$D$114</f>
        <v/>
      </c>
      <c r="G26" s="346">
        <f>'SEMANA JANEIRO'!$G$114</f>
        <v/>
      </c>
      <c r="H26" s="347" t="inlineStr">
        <is>
          <t>SEMANA JANEIRO!B114:I114</t>
        </is>
      </c>
    </row>
    <row r="27" ht="15" customHeight="1" s="468">
      <c r="A27" s="719" t="n">
        <v>46044</v>
      </c>
      <c r="B27" s="344" t="inlineStr">
        <is>
          <t>JANEIRO</t>
        </is>
      </c>
      <c r="C27" s="345" t="inlineStr">
        <is>
          <t>MAÇA VERDE DILUTE</t>
        </is>
      </c>
      <c r="D27" s="346">
        <f>'SEMANA JANEIRO'!$H$115</f>
        <v/>
      </c>
      <c r="E27" s="346">
        <f>'SEMANA JANEIRO'!$I$115</f>
        <v/>
      </c>
      <c r="F27" s="346">
        <f>'SEMANA JANEIRO'!$D$115</f>
        <v/>
      </c>
      <c r="G27" s="346">
        <f>'SEMANA JANEIRO'!$G$115</f>
        <v/>
      </c>
      <c r="H27" s="347" t="inlineStr">
        <is>
          <t>SEMANA JANEIRO!B115:I115</t>
        </is>
      </c>
    </row>
    <row r="28" ht="15" customHeight="1" s="468">
      <c r="A28" s="719" t="n">
        <v>46044</v>
      </c>
      <c r="B28" s="344" t="inlineStr">
        <is>
          <t>JANEIRO</t>
        </is>
      </c>
      <c r="C28" s="345" t="inlineStr">
        <is>
          <t>3 LIMÕES DILUTE</t>
        </is>
      </c>
      <c r="D28" s="346">
        <f>'SEMANA JANEIRO'!$H$116</f>
        <v/>
      </c>
      <c r="E28" s="346">
        <f>'SEMANA JANEIRO'!$I$116</f>
        <v/>
      </c>
      <c r="F28" s="346">
        <f>'SEMANA JANEIRO'!$D$116</f>
        <v/>
      </c>
      <c r="G28" s="346">
        <f>'SEMANA JANEIRO'!$G$116</f>
        <v/>
      </c>
      <c r="H28" s="347" t="inlineStr">
        <is>
          <t>SEMANA JANEIRO!B116:I116</t>
        </is>
      </c>
    </row>
    <row r="29" ht="15" customHeight="1" s="468">
      <c r="A29" s="719" t="n">
        <v>46045</v>
      </c>
      <c r="B29" s="344" t="inlineStr">
        <is>
          <t>JANEIRO</t>
        </is>
      </c>
      <c r="C29" s="345" t="inlineStr">
        <is>
          <t>3 LIMÕES DILUTE</t>
        </is>
      </c>
      <c r="D29" s="346">
        <f>'SEMANA JANEIRO'!$H$124</f>
        <v/>
      </c>
      <c r="E29" s="346">
        <f>'SEMANA JANEIRO'!$I$124</f>
        <v/>
      </c>
      <c r="F29" s="346">
        <f>'SEMANA JANEIRO'!$D$124</f>
        <v/>
      </c>
      <c r="G29" s="346">
        <f>'SEMANA JANEIRO'!$G$124</f>
        <v/>
      </c>
      <c r="H29" s="347" t="inlineStr">
        <is>
          <t>SEMANA JANEIRO!B124:I124</t>
        </is>
      </c>
    </row>
    <row r="30" ht="15" customHeight="1" s="468">
      <c r="A30" s="719" t="n">
        <v>46045</v>
      </c>
      <c r="B30" s="344" t="inlineStr">
        <is>
          <t>JANEIRO</t>
        </is>
      </c>
      <c r="C30" s="345" t="inlineStr">
        <is>
          <t>F. VERMELHAS DILUTE</t>
        </is>
      </c>
      <c r="D30" s="346">
        <f>'SEMANA JANEIRO'!$H$125</f>
        <v/>
      </c>
      <c r="E30" s="346">
        <f>'SEMANA JANEIRO'!$I$125</f>
        <v/>
      </c>
      <c r="F30" s="346">
        <f>'SEMANA JANEIRO'!$D$125</f>
        <v/>
      </c>
      <c r="G30" s="346">
        <f>'SEMANA JANEIRO'!$G$125</f>
        <v/>
      </c>
      <c r="H30" s="347" t="inlineStr">
        <is>
          <t>SEMANA JANEIRO!B125:I125</t>
        </is>
      </c>
    </row>
    <row r="31" ht="15" customHeight="1" s="468">
      <c r="A31" s="719" t="n">
        <v>46045</v>
      </c>
      <c r="B31" s="344" t="inlineStr">
        <is>
          <t>JANEIRO</t>
        </is>
      </c>
      <c r="C31" s="345" t="inlineStr">
        <is>
          <t>CORANTE AMARELO</t>
        </is>
      </c>
      <c r="D31" s="346">
        <f>'SEMANA JANEIRO'!$H$126</f>
        <v/>
      </c>
      <c r="E31" s="346">
        <f>'SEMANA JANEIRO'!$I$126</f>
        <v/>
      </c>
      <c r="F31" s="346">
        <f>'SEMANA JANEIRO'!$D$126</f>
        <v/>
      </c>
      <c r="G31" s="346">
        <f>'SEMANA JANEIRO'!$G$126</f>
        <v/>
      </c>
      <c r="H31" s="347" t="inlineStr">
        <is>
          <t>SEMANA JANEIRO!B126:I126</t>
        </is>
      </c>
    </row>
    <row r="32" ht="15" customHeight="1" s="468">
      <c r="A32" s="719" t="n">
        <v>46045</v>
      </c>
      <c r="B32" s="344" t="inlineStr">
        <is>
          <t>JANEIRO</t>
        </is>
      </c>
      <c r="C32" s="345" t="inlineStr">
        <is>
          <t>CORANTE AZUL</t>
        </is>
      </c>
      <c r="D32" s="346">
        <f>'SEMANA JANEIRO'!$H$127</f>
        <v/>
      </c>
      <c r="E32" s="346">
        <f>'SEMANA JANEIRO'!$I$127</f>
        <v/>
      </c>
      <c r="F32" s="346">
        <f>'SEMANA JANEIRO'!$D$127</f>
        <v/>
      </c>
      <c r="G32" s="346">
        <f>'SEMANA JANEIRO'!$G$127</f>
        <v/>
      </c>
      <c r="H32" s="347" t="inlineStr">
        <is>
          <t>SEMANA JANEIRO!B127:I127</t>
        </is>
      </c>
    </row>
    <row r="33" ht="15" customHeight="1" s="468">
      <c r="A33" s="719" t="n">
        <v>46045</v>
      </c>
      <c r="B33" s="344" t="inlineStr">
        <is>
          <t>JANEIRO</t>
        </is>
      </c>
      <c r="C33" s="345" t="inlineStr">
        <is>
          <t>CORANTE VIOLETA</t>
        </is>
      </c>
      <c r="D33" s="346">
        <f>'SEMANA JANEIRO'!$H$128</f>
        <v/>
      </c>
      <c r="E33" s="346">
        <f>'SEMANA JANEIRO'!$I$128</f>
        <v/>
      </c>
      <c r="F33" s="346">
        <f>'SEMANA JANEIRO'!$D$128</f>
        <v/>
      </c>
      <c r="G33" s="346">
        <f>'SEMANA JANEIRO'!$G$128</f>
        <v/>
      </c>
      <c r="H33" s="347" t="inlineStr">
        <is>
          <t>SEMANA JANEIRO!B128:I128</t>
        </is>
      </c>
    </row>
    <row r="34" ht="15" customHeight="1" s="468">
      <c r="A34" s="719" t="n">
        <v>46045</v>
      </c>
      <c r="B34" s="344" t="inlineStr">
        <is>
          <t>JANEIRO</t>
        </is>
      </c>
      <c r="C34" s="345" t="inlineStr">
        <is>
          <t>CORANTE VERMELHO</t>
        </is>
      </c>
      <c r="D34" s="346">
        <f>'SEMANA JANEIRO'!$H$129</f>
        <v/>
      </c>
      <c r="E34" s="346">
        <f>'SEMANA JANEIRO'!$I$129</f>
        <v/>
      </c>
      <c r="F34" s="346">
        <f>'SEMANA JANEIRO'!$D$129</f>
        <v/>
      </c>
      <c r="G34" s="346">
        <f>'SEMANA JANEIRO'!$G$129</f>
        <v/>
      </c>
      <c r="H34" s="347" t="inlineStr">
        <is>
          <t>SEMANA JANEIRO!B129:I129</t>
        </is>
      </c>
    </row>
    <row r="35" ht="15" customHeight="1" s="468">
      <c r="A35" s="719" t="n">
        <v>46048</v>
      </c>
      <c r="B35" s="344" t="inlineStr">
        <is>
          <t>JANEIRO</t>
        </is>
      </c>
      <c r="C35" s="345" t="inlineStr">
        <is>
          <t>UNTA FACIL</t>
        </is>
      </c>
      <c r="D35" s="346">
        <f>'SEMANA JANEIRO'!$H$137</f>
        <v/>
      </c>
      <c r="E35" s="346">
        <f>'SEMANA JANEIRO'!$I$137</f>
        <v/>
      </c>
      <c r="F35" s="346">
        <f>'SEMANA JANEIRO'!$D$137</f>
        <v/>
      </c>
      <c r="G35" s="346">
        <f>'SEMANA JANEIRO'!$G$137</f>
        <v/>
      </c>
      <c r="H35" s="347" t="inlineStr">
        <is>
          <t>SEMANA JANEIRO!B137:I137</t>
        </is>
      </c>
    </row>
    <row r="36" ht="15" customHeight="1" s="468">
      <c r="A36" s="719" t="n">
        <v>46048</v>
      </c>
      <c r="B36" s="344" t="inlineStr">
        <is>
          <t>JANEIRO</t>
        </is>
      </c>
      <c r="C36" s="345" t="inlineStr">
        <is>
          <t>GELINHO ICEBERG</t>
        </is>
      </c>
      <c r="D36" s="346">
        <f>'SEMANA JANEIRO'!$H$138</f>
        <v/>
      </c>
      <c r="E36" s="346">
        <f>'SEMANA JANEIRO'!$I$138</f>
        <v/>
      </c>
      <c r="F36" s="346">
        <f>'SEMANA JANEIRO'!$D$138</f>
        <v/>
      </c>
      <c r="G36" s="346">
        <f>'SEMANA JANEIRO'!$G$138</f>
        <v/>
      </c>
      <c r="H36" s="347" t="inlineStr">
        <is>
          <t>SEMANA JANEIRO!B138:I138</t>
        </is>
      </c>
    </row>
    <row r="37" ht="15" customHeight="1" s="468">
      <c r="A37" s="719" t="n">
        <v>46048</v>
      </c>
      <c r="B37" s="344" t="inlineStr">
        <is>
          <t>JANEIRO</t>
        </is>
      </c>
      <c r="C37" s="345" t="inlineStr">
        <is>
          <t>UNTA FACIL</t>
        </is>
      </c>
      <c r="D37" s="346">
        <f>'SEMANA JANEIRO'!$H$139</f>
        <v/>
      </c>
      <c r="E37" s="346">
        <f>'SEMANA JANEIRO'!$I$139</f>
        <v/>
      </c>
      <c r="F37" s="346">
        <f>'SEMANA JANEIRO'!$D$139</f>
        <v/>
      </c>
      <c r="G37" s="346">
        <f>'SEMANA JANEIRO'!$G$139</f>
        <v/>
      </c>
      <c r="H37" s="347" t="inlineStr">
        <is>
          <t>SEMANA JANEIRO!B139:I139</t>
        </is>
      </c>
    </row>
    <row r="38" ht="15" customHeight="1" s="468">
      <c r="A38" s="719" t="n">
        <v>46049</v>
      </c>
      <c r="B38" s="344" t="inlineStr">
        <is>
          <t>JANEIRO</t>
        </is>
      </c>
      <c r="C38" s="345" t="inlineStr">
        <is>
          <t>UNTA FACIL</t>
        </is>
      </c>
      <c r="D38" s="346">
        <f>'SEMANA JANEIRO'!$H$146</f>
        <v/>
      </c>
      <c r="E38" s="346">
        <f>'SEMANA JANEIRO'!$I$146</f>
        <v/>
      </c>
      <c r="F38" s="346">
        <f>'SEMANA JANEIRO'!$D$146</f>
        <v/>
      </c>
      <c r="G38" s="346">
        <f>'SEMANA JANEIRO'!$G$146</f>
        <v/>
      </c>
      <c r="H38" s="347" t="inlineStr">
        <is>
          <t>SEMANA JANEIRO!B146:I146</t>
        </is>
      </c>
    </row>
    <row r="39" ht="15" customHeight="1" s="468">
      <c r="A39" s="719" t="n">
        <v>46051</v>
      </c>
      <c r="B39" s="344" t="inlineStr">
        <is>
          <t>JANEIRO</t>
        </is>
      </c>
      <c r="C39" s="345" t="inlineStr">
        <is>
          <t>MAGIC SPRAY EMBRAPAN</t>
        </is>
      </c>
      <c r="D39" s="346">
        <f>'SEMANA JANEIRO'!$H$165</f>
        <v/>
      </c>
      <c r="E39" s="346">
        <f>'SEMANA JANEIRO'!$I$165</f>
        <v/>
      </c>
      <c r="F39" s="346">
        <f>'SEMANA JANEIRO'!$D$165</f>
        <v/>
      </c>
      <c r="G39" s="346">
        <f>'SEMANA JANEIRO'!$G$165</f>
        <v/>
      </c>
      <c r="H39" s="347" t="inlineStr">
        <is>
          <t>SEMANA JANEIRO!B165:I165</t>
        </is>
      </c>
    </row>
    <row r="40" ht="15" customHeight="1" s="468">
      <c r="A40" s="719" t="n">
        <v>46051</v>
      </c>
      <c r="B40" s="344" t="inlineStr">
        <is>
          <t>JANEIRO</t>
        </is>
      </c>
      <c r="C40" s="345" t="inlineStr">
        <is>
          <t>ADIMIX</t>
        </is>
      </c>
      <c r="D40" s="346">
        <f>'SEMANA JANEIRO'!$H$166</f>
        <v/>
      </c>
      <c r="E40" s="346">
        <f>'SEMANA JANEIRO'!$I$166</f>
        <v/>
      </c>
      <c r="F40" s="346">
        <f>'SEMANA JANEIRO'!$D$166</f>
        <v/>
      </c>
      <c r="G40" s="346">
        <f>'SEMANA JANEIRO'!$G$166</f>
        <v/>
      </c>
      <c r="H40" s="347" t="inlineStr">
        <is>
          <t>SEMANA JANEIRO!B166:I166</t>
        </is>
      </c>
    </row>
    <row r="41" ht="15" customHeight="1" s="468">
      <c r="A41" s="719" t="n">
        <v>46051</v>
      </c>
      <c r="B41" s="344" t="inlineStr">
        <is>
          <t>JANEIRO</t>
        </is>
      </c>
      <c r="C41" s="345" t="inlineStr">
        <is>
          <t>ADIMIX</t>
        </is>
      </c>
      <c r="D41" s="346">
        <f>'SEMANA JANEIRO'!$H$167</f>
        <v/>
      </c>
      <c r="E41" s="346">
        <f>'SEMANA JANEIRO'!$I$167</f>
        <v/>
      </c>
      <c r="F41" s="346">
        <f>'SEMANA JANEIRO'!$D$167</f>
        <v/>
      </c>
      <c r="G41" s="346">
        <f>'SEMANA JANEIRO'!$G$167</f>
        <v/>
      </c>
      <c r="H41" s="347" t="inlineStr">
        <is>
          <t>SEMANA JANEIRO!B167:I167</t>
        </is>
      </c>
    </row>
    <row r="42" ht="15" customHeight="1" s="468">
      <c r="A42" s="719" t="n">
        <v>46052</v>
      </c>
      <c r="B42" s="344" t="inlineStr">
        <is>
          <t>JANEIRO</t>
        </is>
      </c>
      <c r="C42" s="345" t="inlineStr">
        <is>
          <t>ADIMIX</t>
        </is>
      </c>
      <c r="D42" s="346">
        <f>'SEMANA JANEIRO'!$H$173</f>
        <v/>
      </c>
      <c r="E42" s="346">
        <f>'SEMANA JANEIRO'!$I$173</f>
        <v/>
      </c>
      <c r="F42" s="346">
        <f>'SEMANA JANEIRO'!$D$173</f>
        <v/>
      </c>
      <c r="G42" s="346">
        <f>'SEMANA JANEIRO'!$G$173</f>
        <v/>
      </c>
      <c r="H42" s="347" t="inlineStr">
        <is>
          <t>SEMANA JANEIRO!B173:I173</t>
        </is>
      </c>
    </row>
    <row r="43" ht="15" customHeight="1" s="468">
      <c r="A43" s="719" t="n">
        <v>46052</v>
      </c>
      <c r="B43" s="344" t="inlineStr">
        <is>
          <t>JANEIRO</t>
        </is>
      </c>
      <c r="C43" s="345" t="inlineStr">
        <is>
          <t>ALLBREAD</t>
        </is>
      </c>
      <c r="D43" s="346">
        <f>'SEMANA JANEIRO'!$H$174</f>
        <v/>
      </c>
      <c r="E43" s="346">
        <f>'SEMANA JANEIRO'!$I$174</f>
        <v/>
      </c>
      <c r="F43" s="346">
        <f>'SEMANA JANEIRO'!$D$174</f>
        <v/>
      </c>
      <c r="G43" s="346">
        <f>'SEMANA JANEIRO'!$G$174</f>
        <v/>
      </c>
      <c r="H43" s="347" t="inlineStr">
        <is>
          <t>SEMANA JANEIRO!B174:I174</t>
        </is>
      </c>
    </row>
    <row r="44" ht="15" customHeight="1" s="468">
      <c r="A44" s="719" t="n">
        <v>46055</v>
      </c>
      <c r="B44" s="344" t="inlineStr">
        <is>
          <t>FEVEREIRO</t>
        </is>
      </c>
      <c r="C44" s="345" t="inlineStr">
        <is>
          <t>ALLBREAD</t>
        </is>
      </c>
      <c r="D44" s="346">
        <f>'SEMANA FEVEREIRO'!$H$5</f>
        <v/>
      </c>
      <c r="E44" s="346">
        <f>'SEMANA FEVEREIRO'!$I$5</f>
        <v/>
      </c>
      <c r="F44" s="346">
        <f>'SEMANA FEVEREIRO'!$D$5</f>
        <v/>
      </c>
      <c r="G44" s="346">
        <f>'SEMANA FEVEREIRO'!$G$5</f>
        <v/>
      </c>
      <c r="H44" s="347" t="inlineStr">
        <is>
          <t>SEMANA FEVEREIRO!B5:I5</t>
        </is>
      </c>
    </row>
    <row r="45" ht="15" customHeight="1" s="468">
      <c r="A45" s="719" t="n">
        <v>46055</v>
      </c>
      <c r="B45" s="344" t="inlineStr">
        <is>
          <t>FEVEREIRO</t>
        </is>
      </c>
      <c r="C45" s="345" t="inlineStr">
        <is>
          <t>UNTA FACIL</t>
        </is>
      </c>
      <c r="D45" s="346">
        <f>'SEMANA FEVEREIRO'!$H$6</f>
        <v/>
      </c>
      <c r="E45" s="346">
        <f>'SEMANA FEVEREIRO'!$I$6</f>
        <v/>
      </c>
      <c r="F45" s="346">
        <f>'SEMANA FEVEREIRO'!$D$6</f>
        <v/>
      </c>
      <c r="G45" s="346">
        <f>'SEMANA FEVEREIRO'!$G$6</f>
        <v/>
      </c>
      <c r="H45" s="347" t="inlineStr">
        <is>
          <t>SEMANA FEVEREIRO!B6:I6</t>
        </is>
      </c>
    </row>
    <row r="46" ht="15" customHeight="1" s="468">
      <c r="A46" s="719" t="n">
        <v>46056</v>
      </c>
      <c r="B46" s="344" t="inlineStr">
        <is>
          <t>FEVEREIRO</t>
        </is>
      </c>
      <c r="C46" s="345" t="inlineStr">
        <is>
          <t>UNTA FACIL</t>
        </is>
      </c>
      <c r="D46" s="346">
        <f>'SEMANA FEVEREIRO'!$H$13</f>
        <v/>
      </c>
      <c r="E46" s="346">
        <f>'SEMANA FEVEREIRO'!$I$13</f>
        <v/>
      </c>
      <c r="F46" s="346">
        <f>'SEMANA FEVEREIRO'!$D$13</f>
        <v/>
      </c>
      <c r="G46" s="346">
        <f>'SEMANA FEVEREIRO'!$G$13</f>
        <v/>
      </c>
      <c r="H46" s="347" t="inlineStr">
        <is>
          <t>SEMANA FEVEREIRO!B13:I13</t>
        </is>
      </c>
    </row>
    <row r="47" ht="15" customHeight="1" s="468">
      <c r="A47" s="719" t="n">
        <v>46057</v>
      </c>
      <c r="B47" s="344" t="inlineStr">
        <is>
          <t>FEVEREIRO</t>
        </is>
      </c>
      <c r="C47" s="345" t="inlineStr">
        <is>
          <t>UNTA FACIL</t>
        </is>
      </c>
      <c r="D47" s="346">
        <f>'SEMANA FEVEREIRO'!$H$21</f>
        <v/>
      </c>
      <c r="E47" s="346">
        <f>'SEMANA FEVEREIRO'!$I$21</f>
        <v/>
      </c>
      <c r="F47" s="346">
        <f>'SEMANA FEVEREIRO'!$D$21</f>
        <v/>
      </c>
      <c r="G47" s="346">
        <f>'SEMANA FEVEREIRO'!$G$21</f>
        <v/>
      </c>
      <c r="H47" s="347" t="inlineStr">
        <is>
          <t>SEMANA FEVEREIRO!B21:I21</t>
        </is>
      </c>
    </row>
    <row r="48" ht="15" customHeight="1" s="468">
      <c r="A48" s="719" t="n">
        <v>46057</v>
      </c>
      <c r="B48" s="344" t="inlineStr">
        <is>
          <t>FEVEREIRO</t>
        </is>
      </c>
      <c r="C48" s="345" t="inlineStr">
        <is>
          <t>PURATOS</t>
        </is>
      </c>
      <c r="D48" s="346">
        <f>'SEMANA FEVEREIRO'!$H$22</f>
        <v/>
      </c>
      <c r="E48" s="346">
        <f>'SEMANA FEVEREIRO'!$I$22</f>
        <v/>
      </c>
      <c r="F48" s="346">
        <f>'SEMANA FEVEREIRO'!$D$22</f>
        <v/>
      </c>
      <c r="G48" s="346">
        <f>'SEMANA FEVEREIRO'!$G$22</f>
        <v/>
      </c>
      <c r="H48" s="347" t="inlineStr">
        <is>
          <t>SEMANA FEVEREIRO!B22:I22</t>
        </is>
      </c>
    </row>
    <row r="49" ht="15" customHeight="1" s="468">
      <c r="A49" s="719" t="n">
        <v>46058</v>
      </c>
      <c r="B49" s="344" t="inlineStr">
        <is>
          <t>FEVEREIRO</t>
        </is>
      </c>
      <c r="C49" s="345" t="inlineStr">
        <is>
          <t>PURATOS</t>
        </is>
      </c>
      <c r="D49" s="346">
        <f>'SEMANA FEVEREIRO'!$H$29</f>
        <v/>
      </c>
      <c r="E49" s="346">
        <f>'SEMANA FEVEREIRO'!$I$29</f>
        <v/>
      </c>
      <c r="F49" s="346">
        <f>'SEMANA FEVEREIRO'!$D$29</f>
        <v/>
      </c>
      <c r="G49" s="346">
        <f>'SEMANA FEVEREIRO'!$G$29</f>
        <v/>
      </c>
      <c r="H49" s="347" t="inlineStr">
        <is>
          <t>SEMANA FEVEREIRO!B29:I29</t>
        </is>
      </c>
    </row>
    <row r="50" ht="15" customHeight="1" s="468">
      <c r="A50" s="719" t="n">
        <v>46058</v>
      </c>
      <c r="B50" s="344" t="inlineStr">
        <is>
          <t>FEVEREIRO</t>
        </is>
      </c>
      <c r="C50" s="345" t="inlineStr">
        <is>
          <t>ITAIQUARA</t>
        </is>
      </c>
      <c r="D50" s="346">
        <f>'SEMANA FEVEREIRO'!$H$30</f>
        <v/>
      </c>
      <c r="E50" s="346">
        <f>'SEMANA FEVEREIRO'!$I$30</f>
        <v/>
      </c>
      <c r="F50" s="346">
        <f>'SEMANA FEVEREIRO'!$D$30</f>
        <v/>
      </c>
      <c r="G50" s="346">
        <f>'SEMANA FEVEREIRO'!$G$30</f>
        <v/>
      </c>
      <c r="H50" s="347" t="inlineStr">
        <is>
          <t>SEMANA FEVEREIRO!B30:I30</t>
        </is>
      </c>
    </row>
    <row r="51" ht="15" customHeight="1" s="468">
      <c r="A51" s="719" t="n">
        <v>46058</v>
      </c>
      <c r="B51" s="344" t="inlineStr">
        <is>
          <t>FEVEREIRO</t>
        </is>
      </c>
      <c r="C51" s="345" t="inlineStr">
        <is>
          <t>VIA PANE</t>
        </is>
      </c>
      <c r="D51" s="346">
        <f>'SEMANA FEVEREIRO'!$H$31</f>
        <v/>
      </c>
      <c r="E51" s="346">
        <f>'SEMANA FEVEREIRO'!$I$31</f>
        <v/>
      </c>
      <c r="F51" s="346">
        <f>'SEMANA FEVEREIRO'!$D$31</f>
        <v/>
      </c>
      <c r="G51" s="346">
        <f>'SEMANA FEVEREIRO'!$G$31</f>
        <v/>
      </c>
      <c r="H51" s="347" t="inlineStr">
        <is>
          <t>SEMANA FEVEREIRO!B31:I31</t>
        </is>
      </c>
    </row>
    <row r="52" ht="15" customHeight="1" s="468">
      <c r="A52" s="719" t="n">
        <v>46058</v>
      </c>
      <c r="B52" s="344" t="inlineStr">
        <is>
          <t>FEVEREIRO</t>
        </is>
      </c>
      <c r="C52" s="345" t="inlineStr">
        <is>
          <t>ECO UNTA FACIL</t>
        </is>
      </c>
      <c r="D52" s="346">
        <f>'SEMANA FEVEREIRO'!$H$32</f>
        <v/>
      </c>
      <c r="E52" s="346">
        <f>'SEMANA FEVEREIRO'!$I$32</f>
        <v/>
      </c>
      <c r="F52" s="346">
        <f>'SEMANA FEVEREIRO'!$D$32</f>
        <v/>
      </c>
      <c r="G52" s="346">
        <f>'SEMANA FEVEREIRO'!$G$32</f>
        <v/>
      </c>
      <c r="H52" s="347" t="inlineStr">
        <is>
          <t>SEMANA FEVEREIRO!B32:I32</t>
        </is>
      </c>
    </row>
    <row r="53" ht="15" customHeight="1" s="468">
      <c r="A53" s="719" t="n">
        <v>46062</v>
      </c>
      <c r="B53" s="344" t="inlineStr">
        <is>
          <t>FEVEREIRO</t>
        </is>
      </c>
      <c r="C53" s="345" t="inlineStr">
        <is>
          <t>ECO UNTA FACIL</t>
        </is>
      </c>
      <c r="D53" s="346">
        <f>'SEMANA FEVEREIRO'!$H$48</f>
        <v/>
      </c>
      <c r="E53" s="346">
        <f>'SEMANA FEVEREIRO'!$I$48</f>
        <v/>
      </c>
      <c r="F53" s="346">
        <f>'SEMANA FEVEREIRO'!$D$48</f>
        <v/>
      </c>
      <c r="G53" s="346">
        <f>'SEMANA FEVEREIRO'!$G$48</f>
        <v/>
      </c>
      <c r="H53" s="347" t="inlineStr">
        <is>
          <t>SEMANA FEVEREIRO!B48:I48</t>
        </is>
      </c>
    </row>
    <row r="54" ht="15" customHeight="1" s="468">
      <c r="A54" s="719" t="n">
        <v>46062</v>
      </c>
      <c r="B54" s="344" t="inlineStr">
        <is>
          <t>FEVEREIRO</t>
        </is>
      </c>
      <c r="C54" s="345" t="inlineStr">
        <is>
          <t>ITAIQUARA</t>
        </is>
      </c>
      <c r="D54" s="346">
        <f>'SEMANA FEVEREIRO'!$H$49</f>
        <v/>
      </c>
      <c r="E54" s="346">
        <f>'SEMANA FEVEREIRO'!$I$49</f>
        <v/>
      </c>
      <c r="F54" s="346">
        <f>'SEMANA FEVEREIRO'!$D$49</f>
        <v/>
      </c>
      <c r="G54" s="346">
        <f>'SEMANA FEVEREIRO'!$G$49</f>
        <v/>
      </c>
      <c r="H54" s="347" t="inlineStr">
        <is>
          <t>SEMANA FEVEREIRO!B49:I49</t>
        </is>
      </c>
    </row>
    <row r="55" ht="15" customHeight="1" s="468">
      <c r="A55" s="719" t="n">
        <v>46062</v>
      </c>
      <c r="B55" s="344" t="inlineStr">
        <is>
          <t>FEVEREIRO</t>
        </is>
      </c>
      <c r="C55" s="345" t="inlineStr">
        <is>
          <t>UNTA FACIL</t>
        </is>
      </c>
      <c r="D55" s="346">
        <f>'SEMANA FEVEREIRO'!$H$50</f>
        <v/>
      </c>
      <c r="E55" s="346">
        <f>'SEMANA FEVEREIRO'!$I$50</f>
        <v/>
      </c>
      <c r="F55" s="346">
        <f>'SEMANA FEVEREIRO'!$D$50</f>
        <v/>
      </c>
      <c r="G55" s="346">
        <f>'SEMANA FEVEREIRO'!$G$50</f>
        <v/>
      </c>
      <c r="H55" s="347" t="inlineStr">
        <is>
          <t>SEMANA FEVEREIRO!B50:I50</t>
        </is>
      </c>
    </row>
    <row r="56" ht="15" customHeight="1" s="468">
      <c r="A56" s="719" t="n">
        <v>46063</v>
      </c>
      <c r="B56" s="344" t="inlineStr">
        <is>
          <t>FEVEREIRO</t>
        </is>
      </c>
      <c r="C56" s="345" t="inlineStr">
        <is>
          <t>UNTA FACIL</t>
        </is>
      </c>
      <c r="D56" s="346">
        <f>'SEMANA FEVEREIRO'!$H$57</f>
        <v/>
      </c>
      <c r="E56" s="346">
        <f>'SEMANA FEVEREIRO'!$I$57</f>
        <v/>
      </c>
      <c r="F56" s="346">
        <f>'SEMANA FEVEREIRO'!$D$57</f>
        <v/>
      </c>
      <c r="G56" s="346">
        <f>'SEMANA FEVEREIRO'!$G$57</f>
        <v/>
      </c>
      <c r="H56" s="347" t="inlineStr">
        <is>
          <t>SEMANA FEVEREIRO!B57:I57</t>
        </is>
      </c>
    </row>
    <row r="57" ht="15" customHeight="1" s="468">
      <c r="A57" s="719" t="n">
        <v>46064</v>
      </c>
      <c r="B57" s="344" t="inlineStr">
        <is>
          <t>FEVEREIRO</t>
        </is>
      </c>
      <c r="C57" s="345" t="inlineStr">
        <is>
          <t>UNTA FACIL</t>
        </is>
      </c>
      <c r="D57" s="346">
        <f>'SEMANA FEVEREIRO'!$H$65</f>
        <v/>
      </c>
      <c r="E57" s="346">
        <f>'SEMANA FEVEREIRO'!$I$65</f>
        <v/>
      </c>
      <c r="F57" s="346">
        <f>'SEMANA FEVEREIRO'!$D$65</f>
        <v/>
      </c>
      <c r="G57" s="346">
        <f>'SEMANA FEVEREIRO'!$G$65</f>
        <v/>
      </c>
      <c r="H57" s="347" t="inlineStr">
        <is>
          <t>SEMANA FEVEREIRO!B65:I65</t>
        </is>
      </c>
    </row>
    <row r="58" ht="15" customHeight="1" s="468">
      <c r="A58" s="719" t="n">
        <v>46064</v>
      </c>
      <c r="B58" s="344" t="inlineStr">
        <is>
          <t>FEVEREIRO</t>
        </is>
      </c>
      <c r="C58" s="345" t="inlineStr">
        <is>
          <t>ICEBERG CHEF</t>
        </is>
      </c>
      <c r="D58" s="346">
        <f>'SEMANA FEVEREIRO'!$H$66</f>
        <v/>
      </c>
      <c r="E58" s="346">
        <f>'SEMANA FEVEREIRO'!$I$66</f>
        <v/>
      </c>
      <c r="F58" s="346">
        <f>'SEMANA FEVEREIRO'!$D$66</f>
        <v/>
      </c>
      <c r="G58" s="346">
        <f>'SEMANA FEVEREIRO'!$G$66</f>
        <v/>
      </c>
      <c r="H58" s="347" t="inlineStr">
        <is>
          <t>SEMANA FEVEREIRO!B66:I66</t>
        </is>
      </c>
    </row>
    <row r="59" ht="15" customHeight="1" s="468">
      <c r="A59" s="719" t="n">
        <v>46065</v>
      </c>
      <c r="B59" s="344" t="inlineStr">
        <is>
          <t>FEVEREIRO</t>
        </is>
      </c>
      <c r="C59" s="345" t="inlineStr">
        <is>
          <t>ICEBERG CHEF</t>
        </is>
      </c>
      <c r="D59" s="346">
        <f>'SEMANA FEVEREIRO'!$H$73</f>
        <v/>
      </c>
      <c r="E59" s="346">
        <f>'SEMANA FEVEREIRO'!$I$73</f>
        <v/>
      </c>
      <c r="F59" s="346">
        <f>'SEMANA FEVEREIRO'!$D$73</f>
        <v/>
      </c>
      <c r="G59" s="346">
        <f>'SEMANA FEVEREIRO'!$G$73</f>
        <v/>
      </c>
      <c r="H59" s="347" t="inlineStr">
        <is>
          <t>SEMANA FEVEREIRO!B73:I73</t>
        </is>
      </c>
    </row>
    <row r="60" ht="15" customHeight="1" s="468">
      <c r="A60" s="719" t="n">
        <v>46066</v>
      </c>
      <c r="B60" s="344" t="inlineStr">
        <is>
          <t>FEVEREIRO</t>
        </is>
      </c>
      <c r="C60" s="345" t="inlineStr">
        <is>
          <t>ICEBERG CHEF</t>
        </is>
      </c>
      <c r="D60" s="346">
        <f>'SEMANA FEVEREIRO'!$H$81</f>
        <v/>
      </c>
      <c r="E60" s="346">
        <f>'SEMANA FEVEREIRO'!$I$81</f>
        <v/>
      </c>
      <c r="F60" s="346">
        <f>'SEMANA FEVEREIRO'!$D$81</f>
        <v/>
      </c>
      <c r="G60" s="346">
        <f>'SEMANA FEVEREIRO'!$G$81</f>
        <v/>
      </c>
      <c r="H60" s="347" t="inlineStr">
        <is>
          <t>SEMANA FEVEREIRO!B81:I81</t>
        </is>
      </c>
    </row>
    <row r="61" ht="15" customHeight="1" s="468">
      <c r="A61" s="719" t="n">
        <v>46066</v>
      </c>
      <c r="B61" s="344" t="inlineStr">
        <is>
          <t>FEVEREIRO</t>
        </is>
      </c>
      <c r="C61" s="345" t="inlineStr">
        <is>
          <t>CASA PANIFICADOR</t>
        </is>
      </c>
      <c r="D61" s="346">
        <f>'SEMANA FEVEREIRO'!$H$82</f>
        <v/>
      </c>
      <c r="E61" s="346">
        <f>'SEMANA FEVEREIRO'!$I$82</f>
        <v/>
      </c>
      <c r="F61" s="346">
        <f>'SEMANA FEVEREIRO'!$D$82</f>
        <v/>
      </c>
      <c r="G61" s="346">
        <f>'SEMANA FEVEREIRO'!$G$82</f>
        <v/>
      </c>
      <c r="H61" s="347" t="inlineStr">
        <is>
          <t>SEMANA FEVEREIRO!B82:I82</t>
        </is>
      </c>
    </row>
    <row r="62" ht="15" customHeight="1" s="468">
      <c r="A62" s="719" t="n">
        <v>46066</v>
      </c>
      <c r="B62" s="344" t="inlineStr">
        <is>
          <t>FEVEREIRO</t>
        </is>
      </c>
      <c r="C62" s="345" t="inlineStr">
        <is>
          <t>REPETECO CHEF</t>
        </is>
      </c>
      <c r="D62" s="346">
        <f>'SEMANA FEVEREIRO'!$H$83</f>
        <v/>
      </c>
      <c r="E62" s="346">
        <f>'SEMANA FEVEREIRO'!$I$83</f>
        <v/>
      </c>
      <c r="F62" s="346">
        <f>'SEMANA FEVEREIRO'!$D$83</f>
        <v/>
      </c>
      <c r="G62" s="346">
        <f>'SEMANA FEVEREIRO'!$G$83</f>
        <v/>
      </c>
      <c r="H62" s="347" t="inlineStr">
        <is>
          <t>SEMANA FEVEREIRO!B83:I83</t>
        </is>
      </c>
    </row>
    <row r="63" ht="15" customHeight="1" s="468">
      <c r="A63" s="719" t="n">
        <v>46066</v>
      </c>
      <c r="B63" s="344" t="inlineStr">
        <is>
          <t>FEVEREIRO</t>
        </is>
      </c>
      <c r="C63" s="345" t="inlineStr">
        <is>
          <t>ROCHAPAN</t>
        </is>
      </c>
      <c r="D63" s="346">
        <f>'SEMANA FEVEREIRO'!$H$84</f>
        <v/>
      </c>
      <c r="E63" s="346">
        <f>'SEMANA FEVEREIRO'!$I$84</f>
        <v/>
      </c>
      <c r="F63" s="346">
        <f>'SEMANA FEVEREIRO'!$D$84</f>
        <v/>
      </c>
      <c r="G63" s="346">
        <f>'SEMANA FEVEREIRO'!$G$84</f>
        <v/>
      </c>
      <c r="H63" s="347" t="inlineStr">
        <is>
          <t>SEMANA FEVEREIRO!B84:I84</t>
        </is>
      </c>
    </row>
    <row r="64" ht="15" customHeight="1" s="468">
      <c r="A64" s="719" t="n">
        <v>46071</v>
      </c>
      <c r="B64" s="344" t="inlineStr">
        <is>
          <t>FEVEREIRO</t>
        </is>
      </c>
      <c r="C64" s="345" t="inlineStr">
        <is>
          <t>ROCHAPAN</t>
        </is>
      </c>
      <c r="D64" s="346">
        <f>'SEMANA FEVEREIRO'!$H$93</f>
        <v/>
      </c>
      <c r="E64" s="346">
        <f>'SEMANA FEVEREIRO'!$I$93</f>
        <v/>
      </c>
      <c r="F64" s="346">
        <f>'SEMANA FEVEREIRO'!$D$93</f>
        <v/>
      </c>
      <c r="G64" s="346">
        <f>'SEMANA FEVEREIRO'!$G$93</f>
        <v/>
      </c>
      <c r="H64" s="347" t="inlineStr">
        <is>
          <t>SEMANA FEVEREIRO!B93:I93</t>
        </is>
      </c>
    </row>
    <row r="65" ht="15" customHeight="1" s="468">
      <c r="A65" s="719" t="n">
        <v>46071</v>
      </c>
      <c r="B65" s="344" t="inlineStr">
        <is>
          <t>FEVEREIRO</t>
        </is>
      </c>
      <c r="C65" s="345" t="inlineStr">
        <is>
          <t>BRICOFLEX</t>
        </is>
      </c>
      <c r="D65" s="346">
        <f>'SEMANA FEVEREIRO'!$H$94</f>
        <v/>
      </c>
      <c r="E65" s="346">
        <f>'SEMANA FEVEREIRO'!$I$94</f>
        <v/>
      </c>
      <c r="F65" s="346">
        <f>'SEMANA FEVEREIRO'!$D$94</f>
        <v/>
      </c>
      <c r="G65" s="346">
        <f>'SEMANA FEVEREIRO'!$G$94</f>
        <v/>
      </c>
      <c r="H65" s="347" t="inlineStr">
        <is>
          <t>SEMANA FEVEREIRO!B94:I94</t>
        </is>
      </c>
    </row>
    <row r="66" ht="15" customHeight="1" s="468">
      <c r="A66" s="719" t="n">
        <v>46071</v>
      </c>
      <c r="B66" s="344" t="inlineStr">
        <is>
          <t>FEVEREIRO</t>
        </is>
      </c>
      <c r="C66" s="345" t="inlineStr">
        <is>
          <t>TTF</t>
        </is>
      </c>
      <c r="D66" s="346">
        <f>'SEMANA FEVEREIRO'!$H$95</f>
        <v/>
      </c>
      <c r="E66" s="346">
        <f>'SEMANA FEVEREIRO'!$I$95</f>
        <v/>
      </c>
      <c r="F66" s="346">
        <f>'SEMANA FEVEREIRO'!$D$95</f>
        <v/>
      </c>
      <c r="G66" s="346">
        <f>'SEMANA FEVEREIRO'!$G$95</f>
        <v/>
      </c>
      <c r="H66" s="347" t="inlineStr">
        <is>
          <t>SEMANA FEVEREIRO!B95:I95</t>
        </is>
      </c>
    </row>
    <row r="67" ht="15" customHeight="1" s="468">
      <c r="A67" s="719" t="n">
        <v>46072</v>
      </c>
      <c r="B67" s="344" t="inlineStr">
        <is>
          <t>FEVEREIRO</t>
        </is>
      </c>
      <c r="C67" s="345" t="inlineStr">
        <is>
          <t>TTF</t>
        </is>
      </c>
      <c r="D67" s="346">
        <f>'SEMANA FEVEREIRO'!$H$103</f>
        <v/>
      </c>
      <c r="E67" s="346">
        <f>'SEMANA FEVEREIRO'!$I$103</f>
        <v/>
      </c>
      <c r="F67" s="346">
        <f>'SEMANA FEVEREIRO'!$D$103</f>
        <v/>
      </c>
      <c r="G67" s="346">
        <f>'SEMANA FEVEREIRO'!$G$103</f>
        <v/>
      </c>
      <c r="H67" s="347" t="inlineStr">
        <is>
          <t>SEMANA FEVEREIRO!B103:I103</t>
        </is>
      </c>
    </row>
    <row r="68" ht="15" customHeight="1" s="468">
      <c r="A68" s="719" t="n">
        <v>46072</v>
      </c>
      <c r="B68" s="344" t="inlineStr">
        <is>
          <t>FEVEREIRO</t>
        </is>
      </c>
      <c r="C68" s="345" t="inlineStr">
        <is>
          <t>DISPAN</t>
        </is>
      </c>
      <c r="D68" s="346">
        <f>'SEMANA FEVEREIRO'!$H$104</f>
        <v/>
      </c>
      <c r="E68" s="346">
        <f>'SEMANA FEVEREIRO'!$I$104</f>
        <v/>
      </c>
      <c r="F68" s="346">
        <f>'SEMANA FEVEREIRO'!$D$104</f>
        <v/>
      </c>
      <c r="G68" s="346">
        <f>'SEMANA FEVEREIRO'!$G$104</f>
        <v/>
      </c>
      <c r="H68" s="347" t="inlineStr">
        <is>
          <t>SEMANA FEVEREIRO!B104:I104</t>
        </is>
      </c>
    </row>
    <row r="69" ht="15" customHeight="1" s="468">
      <c r="A69" s="719" t="n">
        <v>46072</v>
      </c>
      <c r="B69" s="344" t="inlineStr">
        <is>
          <t>FEVEREIRO</t>
        </is>
      </c>
      <c r="C69" s="345" t="inlineStr">
        <is>
          <t>ADKO</t>
        </is>
      </c>
      <c r="D69" s="346">
        <f>'SEMANA FEVEREIRO'!$H$105</f>
        <v/>
      </c>
      <c r="E69" s="346">
        <f>'SEMANA FEVEREIRO'!$I$105</f>
        <v/>
      </c>
      <c r="F69" s="346">
        <f>'SEMANA FEVEREIRO'!$D$105</f>
        <v/>
      </c>
      <c r="G69" s="346">
        <f>'SEMANA FEVEREIRO'!$G$105</f>
        <v/>
      </c>
      <c r="H69" s="347" t="inlineStr">
        <is>
          <t>SEMANA FEVEREIRO!B105:I105</t>
        </is>
      </c>
    </row>
    <row r="70" ht="15" customHeight="1" s="468">
      <c r="A70" s="719" t="n">
        <v>46072</v>
      </c>
      <c r="B70" s="344" t="inlineStr">
        <is>
          <t>FEVEREIRO</t>
        </is>
      </c>
      <c r="C70" s="345" t="inlineStr">
        <is>
          <t>UNTA FACIL</t>
        </is>
      </c>
      <c r="D70" s="346">
        <f>'SEMANA FEVEREIRO'!$H$106</f>
        <v/>
      </c>
      <c r="E70" s="346">
        <f>'SEMANA FEVEREIRO'!$I$106</f>
        <v/>
      </c>
      <c r="F70" s="346">
        <f>'SEMANA FEVEREIRO'!$D$106</f>
        <v/>
      </c>
      <c r="G70" s="346">
        <f>'SEMANA FEVEREIRO'!$G$106</f>
        <v/>
      </c>
      <c r="H70" s="347" t="inlineStr">
        <is>
          <t>SEMANA FEVEREIRO!B106:I106</t>
        </is>
      </c>
    </row>
    <row r="71" ht="15" customHeight="1" s="468">
      <c r="A71" s="719" t="n">
        <v>46073</v>
      </c>
      <c r="B71" s="344" t="inlineStr">
        <is>
          <t>FEVEREIRO</t>
        </is>
      </c>
      <c r="C71" s="345" t="inlineStr">
        <is>
          <t>UNTA FACIL</t>
        </is>
      </c>
      <c r="D71" s="346">
        <f>'SEMANA FEVEREIRO'!$H$113</f>
        <v/>
      </c>
      <c r="E71" s="346">
        <f>'SEMANA FEVEREIRO'!$I$113</f>
        <v/>
      </c>
      <c r="F71" s="346">
        <f>'SEMANA FEVEREIRO'!$D$113</f>
        <v/>
      </c>
      <c r="G71" s="346">
        <f>'SEMANA FEVEREIRO'!$G$113</f>
        <v/>
      </c>
      <c r="H71" s="347" t="inlineStr">
        <is>
          <t>SEMANA FEVEREIRO!B113:I113</t>
        </is>
      </c>
    </row>
    <row r="72" ht="15" customHeight="1" s="468">
      <c r="A72" s="719" t="n">
        <v>46073</v>
      </c>
      <c r="B72" s="344" t="inlineStr">
        <is>
          <t>FEVEREIRO</t>
        </is>
      </c>
      <c r="C72" s="345" t="inlineStr">
        <is>
          <t>QUALICOCO MANTEIGA</t>
        </is>
      </c>
      <c r="D72" s="346">
        <f>'SEMANA FEVEREIRO'!$H$114</f>
        <v/>
      </c>
      <c r="E72" s="346">
        <f>'SEMANA FEVEREIRO'!$I$114</f>
        <v/>
      </c>
      <c r="F72" s="346">
        <f>'SEMANA FEVEREIRO'!$D$114</f>
        <v/>
      </c>
      <c r="G72" s="346">
        <f>'SEMANA FEVEREIRO'!$G$114</f>
        <v/>
      </c>
      <c r="H72" s="347" t="inlineStr">
        <is>
          <t>SEMANA FEVEREIRO!B114:I114</t>
        </is>
      </c>
    </row>
    <row r="73" ht="15" customHeight="1" s="468">
      <c r="A73" s="719" t="n">
        <v>46073</v>
      </c>
      <c r="B73" s="344" t="inlineStr">
        <is>
          <t>FEVEREIRO</t>
        </is>
      </c>
      <c r="C73" s="345" t="inlineStr">
        <is>
          <t>QUALICOCO EXTRAVIRGEM</t>
        </is>
      </c>
      <c r="D73" s="346">
        <f>'SEMANA FEVEREIRO'!$H$115</f>
        <v/>
      </c>
      <c r="E73" s="346">
        <f>'SEMANA FEVEREIRO'!$I$115</f>
        <v/>
      </c>
      <c r="F73" s="346">
        <f>'SEMANA FEVEREIRO'!$D$115</f>
        <v/>
      </c>
      <c r="G73" s="346">
        <f>'SEMANA FEVEREIRO'!$G$115</f>
        <v/>
      </c>
      <c r="H73" s="347" t="inlineStr">
        <is>
          <t>SEMANA FEVEREIRO!B115:I115</t>
        </is>
      </c>
    </row>
    <row r="74" ht="15" customHeight="1" s="468">
      <c r="A74" s="719" t="n">
        <v>46076</v>
      </c>
      <c r="B74" s="344" t="inlineStr">
        <is>
          <t>FEVEREIRO</t>
        </is>
      </c>
      <c r="C74" s="345" t="inlineStr">
        <is>
          <t>QUALICOCO EXTRAVIRGEM</t>
        </is>
      </c>
      <c r="D74" s="346">
        <f>'SEMANA FEVEREIRO'!$H$122</f>
        <v/>
      </c>
      <c r="E74" s="346">
        <f>'SEMANA FEVEREIRO'!$I$122</f>
        <v/>
      </c>
      <c r="F74" s="346">
        <f>'SEMANA FEVEREIRO'!$D$122</f>
        <v/>
      </c>
      <c r="G74" s="346">
        <f>'SEMANA FEVEREIRO'!$G$122</f>
        <v/>
      </c>
      <c r="H74" s="347" t="inlineStr">
        <is>
          <t>SEMANA FEVEREIRO!B122:I122</t>
        </is>
      </c>
    </row>
    <row r="75" ht="15" customHeight="1" s="468">
      <c r="A75" s="719" t="n">
        <v>46076</v>
      </c>
      <c r="B75" s="344" t="inlineStr">
        <is>
          <t>FEVEREIRO</t>
        </is>
      </c>
      <c r="C75" s="345" t="inlineStr">
        <is>
          <t>COPRA EXTRAVIRGEM</t>
        </is>
      </c>
      <c r="D75" s="346">
        <f>'SEMANA FEVEREIRO'!$H$123</f>
        <v/>
      </c>
      <c r="E75" s="346">
        <f>'SEMANA FEVEREIRO'!$I$123</f>
        <v/>
      </c>
      <c r="F75" s="346">
        <f>'SEMANA FEVEREIRO'!$D$123</f>
        <v/>
      </c>
      <c r="G75" s="346">
        <f>'SEMANA FEVEREIRO'!$G$123</f>
        <v/>
      </c>
      <c r="H75" s="347" t="inlineStr">
        <is>
          <t>SEMANA FEVEREIRO!B123:I123</t>
        </is>
      </c>
    </row>
    <row r="76" ht="15" customHeight="1" s="468">
      <c r="A76" s="719" t="n">
        <v>46076</v>
      </c>
      <c r="B76" s="344" t="inlineStr">
        <is>
          <t>FEVEREIRO</t>
        </is>
      </c>
      <c r="C76" s="345" t="inlineStr">
        <is>
          <t>COPRA SEM SABOR</t>
        </is>
      </c>
      <c r="D76" s="346">
        <f>'SEMANA FEVEREIRO'!$H$124</f>
        <v/>
      </c>
      <c r="E76" s="346">
        <f>'SEMANA FEVEREIRO'!$I$124</f>
        <v/>
      </c>
      <c r="F76" s="346">
        <f>'SEMANA FEVEREIRO'!$D$124</f>
        <v/>
      </c>
      <c r="G76" s="346">
        <f>'SEMANA FEVEREIRO'!$G$124</f>
        <v/>
      </c>
      <c r="H76" s="347" t="inlineStr">
        <is>
          <t>SEMANA FEVEREIRO!B124:I124</t>
        </is>
      </c>
    </row>
    <row r="77" ht="15" customHeight="1" s="468">
      <c r="A77" s="719" t="n">
        <v>46077</v>
      </c>
      <c r="B77" s="344" t="inlineStr">
        <is>
          <t>FEVEREIRO</t>
        </is>
      </c>
      <c r="C77" s="345" t="inlineStr">
        <is>
          <t>COPRA SEM SABOR</t>
        </is>
      </c>
      <c r="D77" s="346">
        <f>'SEMANA FEVEREIRO'!$H$130</f>
        <v/>
      </c>
      <c r="E77" s="346">
        <f>'SEMANA FEVEREIRO'!$I$130</f>
        <v/>
      </c>
      <c r="F77" s="346">
        <f>'SEMANA FEVEREIRO'!$D$130</f>
        <v/>
      </c>
      <c r="G77" s="346">
        <f>'SEMANA FEVEREIRO'!$G$130</f>
        <v/>
      </c>
      <c r="H77" s="347" t="inlineStr">
        <is>
          <t>SEMANA FEVEREIRO!B130:I130</t>
        </is>
      </c>
    </row>
    <row r="78" ht="15" customHeight="1" s="468">
      <c r="A78" s="719" t="n">
        <v>46077</v>
      </c>
      <c r="B78" s="344" t="inlineStr">
        <is>
          <t>FEVEREIRO</t>
        </is>
      </c>
      <c r="C78" s="345" t="inlineStr">
        <is>
          <t>SANTO ÓLEO SEM SABOR</t>
        </is>
      </c>
      <c r="D78" s="346">
        <f>'SEMANA FEVEREIRO'!$H$131</f>
        <v/>
      </c>
      <c r="E78" s="346">
        <f>'SEMANA FEVEREIRO'!$I$131</f>
        <v/>
      </c>
      <c r="F78" s="346">
        <f>'SEMANA FEVEREIRO'!$D$131</f>
        <v/>
      </c>
      <c r="G78" s="346">
        <f>'SEMANA FEVEREIRO'!$G$131</f>
        <v/>
      </c>
      <c r="H78" s="347" t="inlineStr">
        <is>
          <t>SEMANA FEVEREIRO!B131:I131</t>
        </is>
      </c>
    </row>
    <row r="79" ht="15" customHeight="1" s="468">
      <c r="A79" s="719" t="n">
        <v>46077</v>
      </c>
      <c r="B79" s="344" t="inlineStr">
        <is>
          <t>FEVEREIRO</t>
        </is>
      </c>
      <c r="C79" s="345" t="inlineStr">
        <is>
          <t>SANTO ÓLEO EXTRA VIRGEM</t>
        </is>
      </c>
      <c r="D79" s="346">
        <f>'SEMANA FEVEREIRO'!$H$132</f>
        <v/>
      </c>
      <c r="E79" s="346">
        <f>'SEMANA FEVEREIRO'!$I$132</f>
        <v/>
      </c>
      <c r="F79" s="346">
        <f>'SEMANA FEVEREIRO'!$D$132</f>
        <v/>
      </c>
      <c r="G79" s="346">
        <f>'SEMANA FEVEREIRO'!$G$132</f>
        <v/>
      </c>
      <c r="H79" s="347" t="inlineStr">
        <is>
          <t>SEMANA FEVEREIRO!B132:I132</t>
        </is>
      </c>
    </row>
    <row r="80" ht="15" customHeight="1" s="468">
      <c r="A80" s="719" t="n">
        <v>46078</v>
      </c>
      <c r="B80" s="344" t="inlineStr">
        <is>
          <t>FEVEREIRO</t>
        </is>
      </c>
      <c r="C80" s="345" t="inlineStr">
        <is>
          <t>SANTO ÓLEO EXTRA VIRGEM</t>
        </is>
      </c>
      <c r="D80" s="346">
        <f>'SEMANA FEVEREIRO'!$H$139</f>
        <v/>
      </c>
      <c r="E80" s="346">
        <f>'SEMANA FEVEREIRO'!$I$139</f>
        <v/>
      </c>
      <c r="F80" s="346">
        <f>'SEMANA FEVEREIRO'!$D$139</f>
        <v/>
      </c>
      <c r="G80" s="346">
        <f>'SEMANA FEVEREIRO'!$G$139</f>
        <v/>
      </c>
      <c r="H80" s="347" t="inlineStr">
        <is>
          <t>SEMANA FEVEREIRO!B139:I139</t>
        </is>
      </c>
    </row>
    <row r="81" ht="15" customHeight="1" s="468">
      <c r="A81" s="719" t="n">
        <v>46078</v>
      </c>
      <c r="B81" s="344" t="inlineStr">
        <is>
          <t>FEVEREIRO</t>
        </is>
      </c>
      <c r="C81" s="345" t="inlineStr">
        <is>
          <t>CORANTE AZUL INLOCO</t>
        </is>
      </c>
      <c r="D81" s="346">
        <f>'SEMANA FEVEREIRO'!$H$140</f>
        <v/>
      </c>
      <c r="E81" s="346">
        <f>'SEMANA FEVEREIRO'!$I$140</f>
        <v/>
      </c>
      <c r="F81" s="346">
        <f>'SEMANA FEVEREIRO'!$D$140</f>
        <v/>
      </c>
      <c r="G81" s="346">
        <f>'SEMANA FEVEREIRO'!$G$140</f>
        <v/>
      </c>
      <c r="H81" s="347" t="inlineStr">
        <is>
          <t>SEMANA FEVEREIRO!B140:I140</t>
        </is>
      </c>
    </row>
    <row r="82" ht="15" customHeight="1" s="468">
      <c r="A82" s="719" t="n">
        <v>46078</v>
      </c>
      <c r="B82" s="344" t="inlineStr">
        <is>
          <t>FEVEREIRO</t>
        </is>
      </c>
      <c r="C82" s="345" t="inlineStr">
        <is>
          <t>CORANTE VERDE REPETECO</t>
        </is>
      </c>
      <c r="D82" s="346">
        <f>'SEMANA FEVEREIRO'!$H$141</f>
        <v/>
      </c>
      <c r="E82" s="346">
        <f>'SEMANA FEVEREIRO'!$I$141</f>
        <v/>
      </c>
      <c r="F82" s="346">
        <f>'SEMANA FEVEREIRO'!$D$141</f>
        <v/>
      </c>
      <c r="G82" s="346">
        <f>'SEMANA FEVEREIRO'!$G$141</f>
        <v/>
      </c>
      <c r="H82" s="347" t="inlineStr">
        <is>
          <t>SEMANA FEVEREIRO!B141:I141</t>
        </is>
      </c>
    </row>
    <row r="83" ht="15" customHeight="1" s="468">
      <c r="A83" s="719" t="n">
        <v>46078</v>
      </c>
      <c r="B83" s="344" t="inlineStr">
        <is>
          <t>FEVEREIRO</t>
        </is>
      </c>
      <c r="C83" s="345" t="inlineStr">
        <is>
          <t>CORANTE LARANJA REPETECO</t>
        </is>
      </c>
      <c r="D83" s="346">
        <f>'SEMANA FEVEREIRO'!$H$142</f>
        <v/>
      </c>
      <c r="E83" s="346">
        <f>'SEMANA FEVEREIRO'!$I$142</f>
        <v/>
      </c>
      <c r="F83" s="346">
        <f>'SEMANA FEVEREIRO'!$D$142</f>
        <v/>
      </c>
      <c r="G83" s="346">
        <f>'SEMANA FEVEREIRO'!$G$142</f>
        <v/>
      </c>
      <c r="H83" s="347" t="inlineStr">
        <is>
          <t>SEMANA FEVEREIRO!B142:I142</t>
        </is>
      </c>
    </row>
    <row r="84" ht="15" customHeight="1" s="468">
      <c r="A84" s="719" t="n">
        <v>46078</v>
      </c>
      <c r="B84" s="344" t="inlineStr">
        <is>
          <t>FEVEREIRO</t>
        </is>
      </c>
      <c r="C84" s="345" t="inlineStr">
        <is>
          <t>CORANTE VERMELHO REPETECO</t>
        </is>
      </c>
      <c r="D84" s="346">
        <f>'SEMANA FEVEREIRO'!$H$143</f>
        <v/>
      </c>
      <c r="E84" s="346">
        <f>'SEMANA FEVEREIRO'!$I$143</f>
        <v/>
      </c>
      <c r="F84" s="346">
        <f>'SEMANA FEVEREIRO'!$D$143</f>
        <v/>
      </c>
      <c r="G84" s="346">
        <f>'SEMANA FEVEREIRO'!$G$143</f>
        <v/>
      </c>
      <c r="H84" s="347" t="inlineStr">
        <is>
          <t>SEMANA FEVEREIRO!B143:I143</t>
        </is>
      </c>
    </row>
    <row r="85" ht="15" customHeight="1" s="468">
      <c r="A85" s="719" t="n">
        <v>46078</v>
      </c>
      <c r="B85" s="344" t="inlineStr">
        <is>
          <t>FEVEREIRO</t>
        </is>
      </c>
      <c r="C85" s="345" t="inlineStr">
        <is>
          <t>CORANTE ROSA REPETECO</t>
        </is>
      </c>
      <c r="D85" s="346">
        <f>'SEMANA FEVEREIRO'!$H$144</f>
        <v/>
      </c>
      <c r="E85" s="346">
        <f>'SEMANA FEVEREIRO'!$I$144</f>
        <v/>
      </c>
      <c r="F85" s="346">
        <f>'SEMANA FEVEREIRO'!$D$144</f>
        <v/>
      </c>
      <c r="G85" s="346">
        <f>'SEMANA FEVEREIRO'!$G$144</f>
        <v/>
      </c>
      <c r="H85" s="347" t="inlineStr">
        <is>
          <t>SEMANA FEVEREIRO!B144:I144</t>
        </is>
      </c>
    </row>
    <row r="86" ht="15" customHeight="1" s="468">
      <c r="A86" s="719" t="n">
        <v>46079</v>
      </c>
      <c r="B86" s="344" t="inlineStr">
        <is>
          <t>FEVEREIRO</t>
        </is>
      </c>
      <c r="C86" s="345" t="inlineStr">
        <is>
          <t>ESPUMA FRUTAS VERMELHAS</t>
        </is>
      </c>
      <c r="D86" s="346">
        <f>'SEMANA FEVEREIRO'!$H$151</f>
        <v/>
      </c>
      <c r="E86" s="346">
        <f>'SEMANA FEVEREIRO'!$I$151</f>
        <v/>
      </c>
      <c r="F86" s="346">
        <f>'SEMANA FEVEREIRO'!$D$151</f>
        <v/>
      </c>
      <c r="G86" s="346">
        <f>'SEMANA FEVEREIRO'!$G$151</f>
        <v/>
      </c>
      <c r="H86" s="347" t="inlineStr">
        <is>
          <t>SEMANA FEVEREIRO!B151:I151</t>
        </is>
      </c>
    </row>
    <row r="87" ht="15" customHeight="1" s="468">
      <c r="A87" s="719" t="n">
        <v>46079</v>
      </c>
      <c r="B87" s="344" t="inlineStr">
        <is>
          <t>FEVEREIRO</t>
        </is>
      </c>
      <c r="C87" s="345" t="inlineStr">
        <is>
          <t>GENGIBRE</t>
        </is>
      </c>
      <c r="D87" s="346">
        <f>'SEMANA FEVEREIRO'!$H$152</f>
        <v/>
      </c>
      <c r="E87" s="346">
        <f>'SEMANA FEVEREIRO'!$I$152</f>
        <v/>
      </c>
      <c r="F87" s="346">
        <f>'SEMANA FEVEREIRO'!$D$152</f>
        <v/>
      </c>
      <c r="G87" s="346">
        <f>'SEMANA FEVEREIRO'!$G$152</f>
        <v/>
      </c>
      <c r="H87" s="347" t="inlineStr">
        <is>
          <t>SEMANA FEVEREIRO!B152:I152</t>
        </is>
      </c>
    </row>
    <row r="88" ht="15" customHeight="1" s="468">
      <c r="A88" s="719" t="n">
        <v>46080</v>
      </c>
      <c r="B88" s="344" t="inlineStr">
        <is>
          <t>FEVEREIRO</t>
        </is>
      </c>
      <c r="C88" s="345" t="inlineStr">
        <is>
          <t>VIA PANE</t>
        </is>
      </c>
      <c r="D88" s="346">
        <f>'SEMANA FEVEREIRO'!$H$160</f>
        <v/>
      </c>
      <c r="E88" s="346">
        <f>'SEMANA FEVEREIRO'!$I$160</f>
        <v/>
      </c>
      <c r="F88" s="346">
        <f>'SEMANA FEVEREIRO'!$D$160</f>
        <v/>
      </c>
      <c r="G88" s="346">
        <f>'SEMANA FEVEREIRO'!$G$160</f>
        <v/>
      </c>
      <c r="H88" s="347" t="inlineStr">
        <is>
          <t>SEMANA FEVEREIRO!B160:I160</t>
        </is>
      </c>
    </row>
    <row r="89" ht="15" customHeight="1" s="468">
      <c r="A89" s="719" t="n">
        <v>46080</v>
      </c>
      <c r="B89" s="344" t="inlineStr">
        <is>
          <t>FEVEREIRO</t>
        </is>
      </c>
      <c r="C89" s="345" t="inlineStr">
        <is>
          <t>UNTA FACIL</t>
        </is>
      </c>
      <c r="D89" s="346">
        <f>'SEMANA FEVEREIRO'!$H$161</f>
        <v/>
      </c>
      <c r="E89" s="346">
        <f>'SEMANA FEVEREIRO'!$I$161</f>
        <v/>
      </c>
      <c r="F89" s="346">
        <f>'SEMANA FEVEREIRO'!$D$161</f>
        <v/>
      </c>
      <c r="G89" s="346">
        <f>'SEMANA FEVEREIRO'!$G$161</f>
        <v/>
      </c>
      <c r="H89" s="347" t="inlineStr">
        <is>
          <t>SEMANA FEVEREIRO!B161:I161</t>
        </is>
      </c>
    </row>
    <row r="90" ht="15" customHeight="1" s="468">
      <c r="A90" s="719" t="n">
        <v>46083</v>
      </c>
      <c r="B90" s="344" t="inlineStr">
        <is>
          <t>MARÇO</t>
        </is>
      </c>
      <c r="C90" s="345" t="inlineStr">
        <is>
          <t>UNTA FACIL</t>
        </is>
      </c>
      <c r="D90" s="346">
        <f>'SEMANA MARÇO'!$H$4</f>
        <v/>
      </c>
      <c r="E90" s="346">
        <f>'SEMANA MARÇO'!$I$4</f>
        <v/>
      </c>
      <c r="F90" s="346">
        <f>'SEMANA MARÇO'!$D$4</f>
        <v/>
      </c>
      <c r="G90" s="346">
        <f>'SEMANA MARÇO'!$G$4</f>
        <v/>
      </c>
      <c r="H90" s="347" t="inlineStr">
        <is>
          <t>SEMANA MARÇO!B4:I4</t>
        </is>
      </c>
    </row>
    <row r="91" ht="15" customHeight="1" s="468">
      <c r="A91" s="719" t="n">
        <v>46083</v>
      </c>
      <c r="B91" s="344" t="inlineStr">
        <is>
          <t>MARÇO</t>
        </is>
      </c>
      <c r="C91" s="345" t="inlineStr">
        <is>
          <t>DESTAK</t>
        </is>
      </c>
      <c r="D91" s="346">
        <f>'SEMANA MARÇO'!$H$5</f>
        <v/>
      </c>
      <c r="E91" s="346">
        <f>'SEMANA MARÇO'!$I$5</f>
        <v/>
      </c>
      <c r="F91" s="346">
        <f>'SEMANA MARÇO'!$D$5</f>
        <v/>
      </c>
      <c r="G91" s="346">
        <f>'SEMANA MARÇO'!$G$5</f>
        <v/>
      </c>
      <c r="H91" s="347" t="inlineStr">
        <is>
          <t>SEMANA MARÇO!B5:I5</t>
        </is>
      </c>
    </row>
    <row r="92" ht="15" customHeight="1" s="468">
      <c r="A92" s="719" t="n">
        <v>46084</v>
      </c>
      <c r="B92" s="344" t="inlineStr">
        <is>
          <t>MARÇO</t>
        </is>
      </c>
      <c r="C92" s="345" t="inlineStr">
        <is>
          <t>DESTAK</t>
        </is>
      </c>
      <c r="D92" s="346">
        <f>'SEMANA MARÇO'!$H$13</f>
        <v/>
      </c>
      <c r="E92" s="346">
        <f>'SEMANA MARÇO'!$I$13</f>
        <v/>
      </c>
      <c r="F92" s="346">
        <f>'SEMANA MARÇO'!$D$13</f>
        <v/>
      </c>
      <c r="G92" s="346">
        <f>'SEMANA MARÇO'!$G$13</f>
        <v/>
      </c>
      <c r="H92" s="347" t="inlineStr">
        <is>
          <t>SEMANA MARÇO!B13:I13</t>
        </is>
      </c>
    </row>
    <row r="93" ht="15" customHeight="1" s="468">
      <c r="A93" s="719" t="n">
        <v>46084</v>
      </c>
      <c r="B93" s="344" t="inlineStr">
        <is>
          <t>MARÇO</t>
        </is>
      </c>
      <c r="C93" s="345" t="inlineStr">
        <is>
          <t>ADIMIX</t>
        </is>
      </c>
      <c r="D93" s="346">
        <f>'SEMANA MARÇO'!$H$14</f>
        <v/>
      </c>
      <c r="E93" s="346">
        <f>'SEMANA MARÇO'!$I$14</f>
        <v/>
      </c>
      <c r="F93" s="346">
        <f>'SEMANA MARÇO'!$D$14</f>
        <v/>
      </c>
      <c r="G93" s="346">
        <f>'SEMANA MARÇO'!$G$14</f>
        <v/>
      </c>
      <c r="H93" s="347" t="inlineStr">
        <is>
          <t>SEMANA MARÇO!B14:I14</t>
        </is>
      </c>
    </row>
    <row r="94" ht="15" customHeight="1" s="468">
      <c r="A94" s="719" t="n">
        <v>46085</v>
      </c>
      <c r="B94" s="344" t="inlineStr">
        <is>
          <t>MARÇO</t>
        </is>
      </c>
      <c r="C94" s="345" t="inlineStr">
        <is>
          <t>ADIMIX</t>
        </is>
      </c>
      <c r="D94" s="346">
        <f>'SEMANA MARÇO'!$H$22</f>
        <v/>
      </c>
      <c r="E94" s="346">
        <f>'SEMANA MARÇO'!$I$22</f>
        <v/>
      </c>
      <c r="F94" s="346">
        <f>'SEMANA MARÇO'!$D$22</f>
        <v/>
      </c>
      <c r="G94" s="346">
        <f>'SEMANA MARÇO'!$G$22</f>
        <v/>
      </c>
      <c r="H94" s="347" t="inlineStr">
        <is>
          <t>SEMANA MARÇO!B22:I22</t>
        </is>
      </c>
    </row>
    <row r="95" ht="15" customHeight="1" s="468">
      <c r="A95" s="719" t="n">
        <v>46085</v>
      </c>
      <c r="B95" s="344" t="inlineStr">
        <is>
          <t>MARÇO</t>
        </is>
      </c>
      <c r="C95" s="345" t="inlineStr">
        <is>
          <t>ITAIQUARA</t>
        </is>
      </c>
      <c r="D95" s="346">
        <f>'SEMANA MARÇO'!$H$23</f>
        <v/>
      </c>
      <c r="E95" s="346">
        <f>'SEMANA MARÇO'!$I$23</f>
        <v/>
      </c>
      <c r="F95" s="346">
        <f>'SEMANA MARÇO'!$D$23</f>
        <v/>
      </c>
      <c r="G95" s="346">
        <f>'SEMANA MARÇO'!$G$23</f>
        <v/>
      </c>
      <c r="H95" s="347" t="inlineStr">
        <is>
          <t>SEMANA MARÇO!B23:I23</t>
        </is>
      </c>
    </row>
    <row r="96" ht="15" customHeight="1" s="468">
      <c r="A96" s="719" t="n">
        <v>46085</v>
      </c>
      <c r="B96" s="344" t="inlineStr">
        <is>
          <t>MARÇO</t>
        </is>
      </c>
      <c r="C96" s="345" t="inlineStr">
        <is>
          <t>TTF MEL</t>
        </is>
      </c>
      <c r="D96" s="346">
        <f>'SEMANA MARÇO'!$H$24</f>
        <v/>
      </c>
      <c r="E96" s="346">
        <f>'SEMANA MARÇO'!$I$24</f>
        <v/>
      </c>
      <c r="F96" s="346">
        <f>'SEMANA MARÇO'!$D$24</f>
        <v/>
      </c>
      <c r="G96" s="346">
        <f>'SEMANA MARÇO'!$G$24</f>
        <v/>
      </c>
      <c r="H96" s="347" t="inlineStr">
        <is>
          <t>SEMANA MARÇO!B24:I24</t>
        </is>
      </c>
    </row>
    <row r="97" ht="15" customHeight="1" s="468">
      <c r="A97" s="719" t="n">
        <v>46086</v>
      </c>
      <c r="B97" s="344" t="inlineStr">
        <is>
          <t>MARÇO</t>
        </is>
      </c>
      <c r="C97" s="345" t="inlineStr">
        <is>
          <t>TTF MEL</t>
        </is>
      </c>
      <c r="D97" s="346">
        <f>'SEMANA MARÇO'!$H$31</f>
        <v/>
      </c>
      <c r="E97" s="346">
        <f>'SEMANA MARÇO'!$I$31</f>
        <v/>
      </c>
      <c r="F97" s="346">
        <f>'SEMANA MARÇO'!$D$31</f>
        <v/>
      </c>
      <c r="G97" s="346">
        <f>'SEMANA MARÇO'!$G$31</f>
        <v/>
      </c>
      <c r="H97" s="347" t="inlineStr">
        <is>
          <t>SEMANA MARÇO!B31:I31</t>
        </is>
      </c>
    </row>
    <row r="98" ht="15" customHeight="1" s="468">
      <c r="A98" s="719" t="n">
        <v>46086</v>
      </c>
      <c r="B98" s="344" t="inlineStr">
        <is>
          <t>MARÇO</t>
        </is>
      </c>
      <c r="C98" s="345" t="inlineStr">
        <is>
          <t>UNTA FACIL ECO</t>
        </is>
      </c>
      <c r="D98" s="346">
        <f>'SEMANA MARÇO'!$H$32</f>
        <v/>
      </c>
      <c r="E98" s="346">
        <f>'SEMANA MARÇO'!$I$32</f>
        <v/>
      </c>
      <c r="F98" s="346">
        <f>'SEMANA MARÇO'!$D$32</f>
        <v/>
      </c>
      <c r="G98" s="346">
        <f>'SEMANA MARÇO'!$G$32</f>
        <v/>
      </c>
      <c r="H98" s="347" t="inlineStr">
        <is>
          <t>SEMANA MARÇO!B32:I32</t>
        </is>
      </c>
    </row>
    <row r="99" ht="15" customHeight="1" s="468">
      <c r="A99" s="719" t="n">
        <v>46086</v>
      </c>
      <c r="B99" s="344" t="inlineStr">
        <is>
          <t>MARÇO</t>
        </is>
      </c>
      <c r="C99" s="345" t="inlineStr">
        <is>
          <t>UNTA FORMA QUALITA</t>
        </is>
      </c>
      <c r="D99" s="346">
        <f>'SEMANA MARÇO'!$H$33</f>
        <v/>
      </c>
      <c r="E99" s="346">
        <f>'SEMANA MARÇO'!$I$33</f>
        <v/>
      </c>
      <c r="F99" s="346">
        <f>'SEMANA MARÇO'!$D$33</f>
        <v/>
      </c>
      <c r="G99" s="346">
        <f>'SEMANA MARÇO'!$G$33</f>
        <v/>
      </c>
      <c r="H99" s="347" t="inlineStr">
        <is>
          <t>SEMANA MARÇO!B33:I33</t>
        </is>
      </c>
    </row>
    <row r="100" ht="15" customHeight="1" s="468">
      <c r="A100" s="719" t="n">
        <v>46086</v>
      </c>
      <c r="B100" s="344" t="inlineStr">
        <is>
          <t>MARÇO</t>
        </is>
      </c>
      <c r="C100" s="345" t="inlineStr">
        <is>
          <t>UNTA FACIL</t>
        </is>
      </c>
      <c r="D100" s="346">
        <f>'SEMANA MARÇO'!$H$34</f>
        <v/>
      </c>
      <c r="E100" s="346">
        <f>'SEMANA MARÇO'!$I$34</f>
        <v/>
      </c>
      <c r="F100" s="346">
        <f>'SEMANA MARÇO'!$D$34</f>
        <v/>
      </c>
      <c r="G100" s="346">
        <f>'SEMANA MARÇO'!$G$34</f>
        <v/>
      </c>
      <c r="H100" s="347" t="inlineStr">
        <is>
          <t>SEMANA MARÇO!B34:I34</t>
        </is>
      </c>
    </row>
    <row r="101" ht="15" customHeight="1" s="468">
      <c r="A101" s="719" t="n">
        <v>46086</v>
      </c>
      <c r="B101" s="344" t="inlineStr">
        <is>
          <t>MARÇO</t>
        </is>
      </c>
      <c r="C101" s="345" t="inlineStr">
        <is>
          <t>UNTA FACIL AZEITE</t>
        </is>
      </c>
      <c r="D101" s="346">
        <f>'SEMANA MARÇO'!$H$35</f>
        <v/>
      </c>
      <c r="E101" s="346">
        <f>'SEMANA MARÇO'!$I$35</f>
        <v/>
      </c>
      <c r="F101" s="346">
        <f>'SEMANA MARÇO'!$D$35</f>
        <v/>
      </c>
      <c r="G101" s="346">
        <f>'SEMANA MARÇO'!$G$35</f>
        <v/>
      </c>
      <c r="H101" s="347" t="inlineStr">
        <is>
          <t>SEMANA MARÇO!B35:I35</t>
        </is>
      </c>
    </row>
    <row r="102" ht="15" customHeight="1" s="468">
      <c r="A102" s="719" t="n">
        <v>46087</v>
      </c>
      <c r="B102" s="344" t="inlineStr">
        <is>
          <t>MARÇO</t>
        </is>
      </c>
      <c r="C102" s="345" t="inlineStr">
        <is>
          <t>OLEO DE COCO CARREFOUR</t>
        </is>
      </c>
      <c r="D102" s="346">
        <f>'SEMANA MARÇO'!$H$40</f>
        <v/>
      </c>
      <c r="E102" s="346">
        <f>'SEMANA MARÇO'!$I$40</f>
        <v/>
      </c>
      <c r="F102" s="346">
        <f>'SEMANA MARÇO'!$D$40</f>
        <v/>
      </c>
      <c r="G102" s="346">
        <f>'SEMANA MARÇO'!$G$40</f>
        <v/>
      </c>
      <c r="H102" s="347" t="inlineStr">
        <is>
          <t>SEMANA MARÇO!B40:I40</t>
        </is>
      </c>
    </row>
    <row r="103" ht="15" customHeight="1" s="468">
      <c r="A103" s="719" t="n">
        <v>46087</v>
      </c>
      <c r="B103" s="344" t="inlineStr">
        <is>
          <t>MARÇO</t>
        </is>
      </c>
      <c r="C103" s="345" t="inlineStr">
        <is>
          <t>OLEO DE COCO TEAQ</t>
        </is>
      </c>
      <c r="D103" s="346">
        <f>'SEMANA MARÇO'!$H$41</f>
        <v/>
      </c>
      <c r="E103" s="346">
        <f>'SEMANA MARÇO'!$I$41</f>
        <v/>
      </c>
      <c r="F103" s="346">
        <f>'SEMANA MARÇO'!$D$41</f>
        <v/>
      </c>
      <c r="G103" s="346">
        <f>'SEMANA MARÇO'!$G$41</f>
        <v/>
      </c>
      <c r="H103" s="347" t="inlineStr">
        <is>
          <t>SEMANA MARÇO!B41:I41</t>
        </is>
      </c>
    </row>
    <row r="104" ht="15" customHeight="1" s="468">
      <c r="A104" s="719" t="n">
        <v>46087</v>
      </c>
      <c r="B104" s="344" t="inlineStr">
        <is>
          <t>MARÇO</t>
        </is>
      </c>
      <c r="C104" s="345" t="inlineStr">
        <is>
          <t>UNTA FACIL ECO</t>
        </is>
      </c>
      <c r="D104" s="346">
        <f>'SEMANA MARÇO'!$H$42</f>
        <v/>
      </c>
      <c r="E104" s="346">
        <f>'SEMANA MARÇO'!$I$42</f>
        <v/>
      </c>
      <c r="F104" s="346">
        <f>'SEMANA MARÇO'!$D$42</f>
        <v/>
      </c>
      <c r="G104" s="346">
        <f>'SEMANA MARÇO'!$G$42</f>
        <v/>
      </c>
      <c r="H104" s="347" t="inlineStr">
        <is>
          <t>SEMANA MARÇO!B42:I42</t>
        </is>
      </c>
    </row>
    <row r="105" ht="15" customHeight="1" s="468">
      <c r="A105" s="719" t="n">
        <v>46087</v>
      </c>
      <c r="B105" s="344" t="inlineStr">
        <is>
          <t>MARÇO</t>
        </is>
      </c>
      <c r="C105" s="345" t="inlineStr">
        <is>
          <t>DONA JURA</t>
        </is>
      </c>
      <c r="D105" s="346">
        <f>'SEMANA MARÇO'!$H$43</f>
        <v/>
      </c>
      <c r="E105" s="346">
        <f>'SEMANA MARÇO'!$I$43</f>
        <v/>
      </c>
      <c r="F105" s="346">
        <f>'SEMANA MARÇO'!$D$43</f>
        <v/>
      </c>
      <c r="G105" s="346">
        <f>'SEMANA MARÇO'!$G$43</f>
        <v/>
      </c>
      <c r="H105" s="347" t="inlineStr">
        <is>
          <t>SEMANA MARÇO!B43:I43</t>
        </is>
      </c>
    </row>
    <row r="106" ht="15" customHeight="1" s="468">
      <c r="A106" s="719" t="n">
        <v>46090</v>
      </c>
      <c r="B106" s="344" t="inlineStr">
        <is>
          <t>MARÇO</t>
        </is>
      </c>
      <c r="C106" s="345" t="inlineStr">
        <is>
          <t>DONA JURA</t>
        </is>
      </c>
      <c r="D106" s="346">
        <f>'SEMANA MARÇO'!$H$49</f>
        <v/>
      </c>
      <c r="E106" s="346">
        <f>'SEMANA MARÇO'!$I$49</f>
        <v/>
      </c>
      <c r="F106" s="346">
        <f>'SEMANA MARÇO'!$D$49</f>
        <v/>
      </c>
      <c r="G106" s="346">
        <f>'SEMANA MARÇO'!$G$49</f>
        <v/>
      </c>
      <c r="H106" s="347" t="inlineStr">
        <is>
          <t>SEMANA MARÇO!B49:I49</t>
        </is>
      </c>
    </row>
    <row r="107" ht="15" customHeight="1" s="468">
      <c r="A107" s="719" t="n">
        <v>46091</v>
      </c>
      <c r="B107" s="344" t="inlineStr">
        <is>
          <t>MARÇO</t>
        </is>
      </c>
      <c r="C107" s="345" t="inlineStr">
        <is>
          <t>DONA JURA</t>
        </is>
      </c>
      <c r="D107" s="346">
        <f>'SEMANA MARÇO'!$H$58</f>
        <v/>
      </c>
      <c r="E107" s="346">
        <f>'SEMANA MARÇO'!$I$58</f>
        <v/>
      </c>
      <c r="F107" s="346">
        <f>'SEMANA MARÇO'!$D$58</f>
        <v/>
      </c>
      <c r="G107" s="346">
        <f>'SEMANA MARÇO'!$G$58</f>
        <v/>
      </c>
      <c r="H107" s="347" t="inlineStr">
        <is>
          <t>SEMANA MARÇO!B58:I58</t>
        </is>
      </c>
    </row>
    <row r="108" ht="15" customHeight="1" s="468">
      <c r="A108" s="719" t="n">
        <v>46091</v>
      </c>
      <c r="B108" s="344" t="inlineStr">
        <is>
          <t>MARÇO</t>
        </is>
      </c>
      <c r="C108" s="345" t="inlineStr">
        <is>
          <t>ROCHAPAN BONASSE</t>
        </is>
      </c>
      <c r="D108" s="346">
        <f>'SEMANA MARÇO'!$H$59</f>
        <v/>
      </c>
      <c r="E108" s="346">
        <f>'SEMANA MARÇO'!$I$59</f>
        <v/>
      </c>
      <c r="F108" s="346">
        <f>'SEMANA MARÇO'!$D$59</f>
        <v/>
      </c>
      <c r="G108" s="346">
        <f>'SEMANA MARÇO'!$G$59</f>
        <v/>
      </c>
      <c r="H108" s="347" t="inlineStr">
        <is>
          <t>SEMANA MARÇO!B59:I59</t>
        </is>
      </c>
    </row>
    <row r="109" ht="15" customHeight="1" s="468">
      <c r="A109" s="719" t="n">
        <v>46091</v>
      </c>
      <c r="B109" s="344" t="inlineStr">
        <is>
          <t>MARÇO</t>
        </is>
      </c>
      <c r="C109" s="345" t="inlineStr">
        <is>
          <t>CELEBRATE</t>
        </is>
      </c>
      <c r="D109" s="346">
        <f>'SEMANA MARÇO'!$H$60</f>
        <v/>
      </c>
      <c r="E109" s="346">
        <f>'SEMANA MARÇO'!$I$60</f>
        <v/>
      </c>
      <c r="F109" s="346">
        <f>'SEMANA MARÇO'!$D$60</f>
        <v/>
      </c>
      <c r="G109" s="346">
        <f>'SEMANA MARÇO'!$G$60</f>
        <v/>
      </c>
      <c r="H109" s="347" t="inlineStr">
        <is>
          <t>SEMANA MARÇO!B60:I60</t>
        </is>
      </c>
    </row>
    <row r="110" ht="15" customHeight="1" s="468">
      <c r="A110" s="719" t="n">
        <v>46091</v>
      </c>
      <c r="B110" s="344" t="inlineStr">
        <is>
          <t>MARÇO</t>
        </is>
      </c>
      <c r="C110" s="345" t="inlineStr">
        <is>
          <t>FESTPAN</t>
        </is>
      </c>
      <c r="D110" s="346">
        <f>'SEMANA MARÇO'!$H$61</f>
        <v/>
      </c>
      <c r="E110" s="346">
        <f>'SEMANA MARÇO'!$I$61</f>
        <v/>
      </c>
      <c r="F110" s="346">
        <f>'SEMANA MARÇO'!$D$61</f>
        <v/>
      </c>
      <c r="G110" s="346">
        <f>'SEMANA MARÇO'!$G$61</f>
        <v/>
      </c>
      <c r="H110" s="347" t="inlineStr">
        <is>
          <t>SEMANA MARÇO!B61:I61</t>
        </is>
      </c>
    </row>
    <row r="111" ht="15" customHeight="1" s="468">
      <c r="A111" s="719" t="n">
        <v>46092</v>
      </c>
      <c r="B111" s="344" t="inlineStr">
        <is>
          <t>MARÇO</t>
        </is>
      </c>
      <c r="C111" s="345" t="inlineStr">
        <is>
          <t>FESTPAN</t>
        </is>
      </c>
      <c r="D111" s="346">
        <f>'SEMANA MARÇO'!$H$67</f>
        <v/>
      </c>
      <c r="E111" s="346">
        <f>'SEMANA MARÇO'!$I$67</f>
        <v/>
      </c>
      <c r="F111" s="346">
        <f>'SEMANA MARÇO'!$D$67</f>
        <v/>
      </c>
      <c r="G111" s="346">
        <f>'SEMANA MARÇO'!$G$67</f>
        <v/>
      </c>
      <c r="H111" s="347" t="inlineStr">
        <is>
          <t>SEMANA MARÇO!B67:I67</t>
        </is>
      </c>
    </row>
    <row r="112" ht="15" customHeight="1" s="468">
      <c r="A112" s="719" t="n">
        <v>46093</v>
      </c>
      <c r="B112" s="344" t="inlineStr">
        <is>
          <t>MARÇO</t>
        </is>
      </c>
      <c r="C112" s="345" t="inlineStr">
        <is>
          <t>FESTPAN</t>
        </is>
      </c>
      <c r="D112" s="346">
        <f>'SEMANA MARÇO'!$H$76</f>
        <v/>
      </c>
      <c r="E112" s="346">
        <f>'SEMANA MARÇO'!$I$76</f>
        <v/>
      </c>
      <c r="F112" s="346">
        <f>'SEMANA MARÇO'!$D$76</f>
        <v/>
      </c>
      <c r="G112" s="346">
        <f>'SEMANA MARÇO'!$G$76</f>
        <v/>
      </c>
      <c r="H112" s="347" t="inlineStr">
        <is>
          <t>SEMANA MARÇO!B76:I76</t>
        </is>
      </c>
    </row>
    <row r="113" ht="15" customHeight="1" s="468">
      <c r="A113" s="719" t="n">
        <v>46093</v>
      </c>
      <c r="B113" s="344" t="inlineStr">
        <is>
          <t>MARÇO</t>
        </is>
      </c>
      <c r="C113" s="345" t="inlineStr">
        <is>
          <t>UNTA FACIL</t>
        </is>
      </c>
      <c r="D113" s="346">
        <f>'SEMANA MARÇO'!$H$77</f>
        <v/>
      </c>
      <c r="E113" s="346">
        <f>'SEMANA MARÇO'!$I$77</f>
        <v/>
      </c>
      <c r="F113" s="346">
        <f>'SEMANA MARÇO'!$D$77</f>
        <v/>
      </c>
      <c r="G113" s="346">
        <f>'SEMANA MARÇO'!$G$77</f>
        <v/>
      </c>
      <c r="H113" s="347" t="inlineStr">
        <is>
          <t>SEMANA MARÇO!B77:I77</t>
        </is>
      </c>
    </row>
    <row r="114" ht="15" customHeight="1" s="468">
      <c r="A114" s="719" t="n">
        <v>46094</v>
      </c>
      <c r="B114" s="344" t="inlineStr">
        <is>
          <t>MARÇO</t>
        </is>
      </c>
      <c r="C114" s="345" t="inlineStr">
        <is>
          <t>UNTA FACIL</t>
        </is>
      </c>
      <c r="D114" s="346">
        <f>'SEMANA MARÇO'!$H$85</f>
        <v/>
      </c>
      <c r="E114" s="346">
        <f>'SEMANA MARÇO'!$I$85</f>
        <v/>
      </c>
      <c r="F114" s="346">
        <f>'SEMANA MARÇO'!$D$85</f>
        <v/>
      </c>
      <c r="G114" s="346">
        <f>'SEMANA MARÇO'!$G$85</f>
        <v/>
      </c>
      <c r="H114" s="347" t="inlineStr">
        <is>
          <t>SEMANA MARÇO!B85:I85</t>
        </is>
      </c>
    </row>
    <row r="115" ht="15" customHeight="1" s="468">
      <c r="A115" s="719" t="n">
        <v>46097</v>
      </c>
      <c r="B115" s="344" t="inlineStr">
        <is>
          <t>MARÇO</t>
        </is>
      </c>
      <c r="C115" s="345" t="inlineStr">
        <is>
          <t>UNTA FACIL</t>
        </is>
      </c>
      <c r="D115" s="346">
        <f>'SEMANA MARÇO'!$H$94</f>
        <v/>
      </c>
      <c r="E115" s="346">
        <f>'SEMANA MARÇO'!$I$94</f>
        <v/>
      </c>
      <c r="F115" s="346">
        <f>'SEMANA MARÇO'!$D$94</f>
        <v/>
      </c>
      <c r="G115" s="346">
        <f>'SEMANA MARÇO'!$G$94</f>
        <v/>
      </c>
      <c r="H115" s="347" t="inlineStr">
        <is>
          <t>SEMANA MARÇO!B94:I94</t>
        </is>
      </c>
    </row>
    <row r="116" ht="15" customHeight="1" s="468">
      <c r="A116" s="719" t="n">
        <v>46097</v>
      </c>
      <c r="B116" s="344" t="inlineStr">
        <is>
          <t>MARÇO</t>
        </is>
      </c>
      <c r="C116" s="345" t="inlineStr">
        <is>
          <t>ICEBERG CHEF</t>
        </is>
      </c>
      <c r="D116" s="346">
        <f>'SEMANA MARÇO'!$H$95</f>
        <v/>
      </c>
      <c r="E116" s="346">
        <f>'SEMANA MARÇO'!$I$95</f>
        <v/>
      </c>
      <c r="F116" s="346">
        <f>'SEMANA MARÇO'!$D$95</f>
        <v/>
      </c>
      <c r="G116" s="346">
        <f>'SEMANA MARÇO'!$G$95</f>
        <v/>
      </c>
      <c r="H116" s="347" t="inlineStr">
        <is>
          <t>SEMANA MARÇO!B95:I95</t>
        </is>
      </c>
    </row>
    <row r="117" ht="15" customHeight="1" s="468">
      <c r="A117" s="719" t="n">
        <v>46098</v>
      </c>
      <c r="B117" s="344" t="inlineStr">
        <is>
          <t>MARÇO</t>
        </is>
      </c>
      <c r="C117" s="345" t="inlineStr">
        <is>
          <t>ICEBERG CHEF</t>
        </is>
      </c>
      <c r="D117" s="346">
        <f>'SEMANA MARÇO'!$H$103</f>
        <v/>
      </c>
      <c r="E117" s="346">
        <f>'SEMANA MARÇO'!$I$103</f>
        <v/>
      </c>
      <c r="F117" s="346">
        <f>'SEMANA MARÇO'!$D$103</f>
        <v/>
      </c>
      <c r="G117" s="346">
        <f>'SEMANA MARÇO'!$G$103</f>
        <v/>
      </c>
      <c r="H117" s="347" t="inlineStr">
        <is>
          <t>SEMANA MARÇO!B103:I103</t>
        </is>
      </c>
    </row>
    <row r="118" ht="15" customHeight="1" s="468">
      <c r="A118" s="719" t="n">
        <v>46099</v>
      </c>
      <c r="B118" s="344" t="inlineStr">
        <is>
          <t>MARÇO</t>
        </is>
      </c>
      <c r="C118" s="345" t="inlineStr">
        <is>
          <t>ICEBERG CHEF</t>
        </is>
      </c>
      <c r="D118" s="346">
        <f>'SEMANA MARÇO'!$H$112</f>
        <v/>
      </c>
      <c r="E118" s="346">
        <f>'SEMANA MARÇO'!$I$112</f>
        <v/>
      </c>
      <c r="F118" s="346">
        <f>'SEMANA MARÇO'!$D$112</f>
        <v/>
      </c>
      <c r="G118" s="346">
        <f>'SEMANA MARÇO'!$G$112</f>
        <v/>
      </c>
      <c r="H118" s="347" t="inlineStr">
        <is>
          <t>SEMANA MARÇO!B112:I112</t>
        </is>
      </c>
    </row>
    <row r="119" ht="15" customHeight="1" s="468">
      <c r="A119" s="719" t="n">
        <v>46099</v>
      </c>
      <c r="B119" s="344" t="inlineStr">
        <is>
          <t>MARÇO</t>
        </is>
      </c>
      <c r="C119" s="345" t="inlineStr">
        <is>
          <t>AP VIOLA</t>
        </is>
      </c>
      <c r="D119" s="346">
        <f>'SEMANA MARÇO'!$H$113</f>
        <v/>
      </c>
      <c r="E119" s="346">
        <f>'SEMANA MARÇO'!$I$113</f>
        <v/>
      </c>
      <c r="F119" s="346">
        <f>'SEMANA MARÇO'!$D$113</f>
        <v/>
      </c>
      <c r="G119" s="346">
        <f>'SEMANA MARÇO'!$G$113</f>
        <v/>
      </c>
      <c r="H119" s="347" t="inlineStr">
        <is>
          <t>SEMANA MARÇO!B113:I113</t>
        </is>
      </c>
    </row>
    <row r="120" ht="15" customHeight="1" s="468">
      <c r="A120" s="719" t="n">
        <v>46100</v>
      </c>
      <c r="B120" s="344" t="inlineStr">
        <is>
          <t>MARÇO</t>
        </is>
      </c>
      <c r="C120" s="345" t="inlineStr">
        <is>
          <t>AP VIOLA</t>
        </is>
      </c>
      <c r="D120" s="346">
        <f>'SEMANA MARÇO'!$H$121</f>
        <v/>
      </c>
      <c r="E120" s="346">
        <f>'SEMANA MARÇO'!$I$121</f>
        <v/>
      </c>
      <c r="F120" s="346">
        <f>'SEMANA MARÇO'!$D$121</f>
        <v/>
      </c>
      <c r="G120" s="346">
        <f>'SEMANA MARÇO'!$G$121</f>
        <v/>
      </c>
      <c r="H120" s="347" t="inlineStr">
        <is>
          <t>SEMANA MARÇO!B121:I121</t>
        </is>
      </c>
    </row>
    <row r="121" ht="15" customHeight="1" s="468">
      <c r="A121" s="719" t="n">
        <v>46100</v>
      </c>
      <c r="B121" s="344" t="inlineStr">
        <is>
          <t>MARÇO</t>
        </is>
      </c>
      <c r="C121" s="345" t="inlineStr">
        <is>
          <t>CASA DO PANIFICADOR</t>
        </is>
      </c>
      <c r="D121" s="346">
        <f>'SEMANA MARÇO'!$H$122</f>
        <v/>
      </c>
      <c r="E121" s="346">
        <f>'SEMANA MARÇO'!$I$122</f>
        <v/>
      </c>
      <c r="F121" s="346">
        <f>'SEMANA MARÇO'!$D$122</f>
        <v/>
      </c>
      <c r="G121" s="346">
        <f>'SEMANA MARÇO'!$G$122</f>
        <v/>
      </c>
      <c r="H121" s="347" t="inlineStr">
        <is>
          <t>SEMANA MARÇO!B122:I122</t>
        </is>
      </c>
    </row>
    <row r="122" ht="15" customHeight="1" s="468">
      <c r="A122" s="719" t="n">
        <v>46100</v>
      </c>
      <c r="B122" s="344" t="inlineStr">
        <is>
          <t>MARÇO</t>
        </is>
      </c>
      <c r="C122" s="345" t="inlineStr">
        <is>
          <t>OLEO DE COCO SANTO OLEO</t>
        </is>
      </c>
      <c r="D122" s="346">
        <f>'SEMANA MARÇO'!$H$123</f>
        <v/>
      </c>
      <c r="E122" s="346">
        <f>'SEMANA MARÇO'!$I$123</f>
        <v/>
      </c>
      <c r="F122" s="346">
        <f>'SEMANA MARÇO'!$D$123</f>
        <v/>
      </c>
      <c r="G122" s="346">
        <f>'SEMANA MARÇO'!$G$123</f>
        <v/>
      </c>
      <c r="H122" s="347" t="inlineStr">
        <is>
          <t>SEMANA MARÇO!B123:I123</t>
        </is>
      </c>
    </row>
    <row r="123" ht="15" customHeight="1" s="468">
      <c r="A123" s="719" t="n">
        <v>46100</v>
      </c>
      <c r="B123" s="344" t="inlineStr">
        <is>
          <t>MARÇO</t>
        </is>
      </c>
      <c r="C123" s="345" t="inlineStr">
        <is>
          <t>NORCAU PURATOS</t>
        </is>
      </c>
      <c r="D123" s="346">
        <f>'SEMANA MARÇO'!$H$124</f>
        <v/>
      </c>
      <c r="E123" s="346">
        <f>'SEMANA MARÇO'!$I$124</f>
        <v/>
      </c>
      <c r="F123" s="346">
        <f>'SEMANA MARÇO'!$D$124</f>
        <v/>
      </c>
      <c r="G123" s="346">
        <f>'SEMANA MARÇO'!$G$124</f>
        <v/>
      </c>
      <c r="H123" s="347" t="inlineStr">
        <is>
          <t>SEMANA MARÇO!B124:I124</t>
        </is>
      </c>
    </row>
    <row r="124" ht="15" customHeight="1" s="468">
      <c r="A124" s="719" t="n">
        <v>46101</v>
      </c>
      <c r="B124" s="344" t="inlineStr">
        <is>
          <t>MARÇO</t>
        </is>
      </c>
      <c r="C124" s="345" t="inlineStr">
        <is>
          <t>NORCAU PURATOS</t>
        </is>
      </c>
      <c r="D124" s="346">
        <f>'SEMANA MARÇO'!$H$130</f>
        <v/>
      </c>
      <c r="E124" s="346">
        <f>'SEMANA MARÇO'!$I$130</f>
        <v/>
      </c>
      <c r="F124" s="346">
        <f>'SEMANA MARÇO'!$D$130</f>
        <v/>
      </c>
      <c r="G124" s="346">
        <f>'SEMANA MARÇO'!$G$130</f>
        <v/>
      </c>
      <c r="H124" s="347" t="inlineStr">
        <is>
          <t>SEMANA MARÇO!B130:I130</t>
        </is>
      </c>
    </row>
    <row r="125" ht="15" customHeight="1" s="468">
      <c r="A125" s="719" t="n">
        <v>46104</v>
      </c>
      <c r="B125" s="344" t="inlineStr">
        <is>
          <t>MARÇO</t>
        </is>
      </c>
      <c r="C125" s="345" t="inlineStr">
        <is>
          <t>NORCAU PURATOS</t>
        </is>
      </c>
      <c r="D125" s="346">
        <f>'SEMANA MARÇO'!$H$139</f>
        <v/>
      </c>
      <c r="E125" s="346">
        <f>'SEMANA MARÇO'!$I$139</f>
        <v/>
      </c>
      <c r="F125" s="346">
        <f>'SEMANA MARÇO'!$D$139</f>
        <v/>
      </c>
      <c r="G125" s="346">
        <f>'SEMANA MARÇO'!$G$139</f>
        <v/>
      </c>
      <c r="H125" s="347" t="inlineStr">
        <is>
          <t>SEMANA MARÇO!B139:I139</t>
        </is>
      </c>
    </row>
    <row r="126" ht="15" customHeight="1" s="468">
      <c r="A126" s="719" t="n">
        <v>46104</v>
      </c>
      <c r="B126" s="344" t="inlineStr">
        <is>
          <t>MARÇO</t>
        </is>
      </c>
      <c r="C126" s="345" t="inlineStr">
        <is>
          <t>ADIMIX</t>
        </is>
      </c>
      <c r="D126" s="346">
        <f>'SEMANA MARÇO'!$H$140</f>
        <v/>
      </c>
      <c r="E126" s="346">
        <f>'SEMANA MARÇO'!$I$140</f>
        <v/>
      </c>
      <c r="F126" s="346">
        <f>'SEMANA MARÇO'!$D$140</f>
        <v/>
      </c>
      <c r="G126" s="346">
        <f>'SEMANA MARÇO'!$G$140</f>
        <v/>
      </c>
      <c r="H126" s="347" t="inlineStr">
        <is>
          <t>SEMANA MARÇO!B140:I140</t>
        </is>
      </c>
    </row>
    <row r="127" ht="15" customHeight="1" s="468">
      <c r="A127" s="719" t="n"/>
      <c r="B127" s="344" t="n"/>
      <c r="C127" s="345" t="n"/>
      <c r="D127" s="346" t="n"/>
      <c r="E127" s="346" t="n"/>
      <c r="F127" s="346" t="n"/>
      <c r="G127" s="346" t="n"/>
      <c r="H127" s="347" t="n"/>
    </row>
    <row r="128" ht="15" customHeight="1" s="468">
      <c r="A128" s="719" t="n"/>
      <c r="B128" s="344" t="n"/>
      <c r="C128" s="345" t="n"/>
      <c r="D128" s="346" t="n"/>
      <c r="E128" s="346" t="n"/>
      <c r="F128" s="346" t="n"/>
      <c r="G128" s="346" t="n"/>
      <c r="H128" s="347" t="n"/>
    </row>
    <row r="129" ht="15" customHeight="1" s="468">
      <c r="A129" s="719" t="n"/>
      <c r="B129" s="344" t="n"/>
      <c r="C129" s="345" t="n"/>
      <c r="D129" s="346" t="n"/>
      <c r="E129" s="346" t="n"/>
      <c r="F129" s="346" t="n"/>
      <c r="G129" s="346" t="n"/>
      <c r="H129" s="347" t="n"/>
    </row>
    <row r="130" ht="15" customHeight="1" s="468">
      <c r="A130" s="720" t="n"/>
      <c r="B130" s="348" t="n"/>
      <c r="C130" s="349" t="n"/>
      <c r="D130" s="350" t="n"/>
      <c r="E130" s="350" t="n"/>
      <c r="F130" s="350" t="n"/>
      <c r="G130" s="350" t="n"/>
      <c r="H130" s="351" t="n"/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tabColor rgb="FF2F3A4A"/>
    <outlinePr summaryBelow="1" summaryRight="1"/>
    <pageSetUpPr/>
  </sheetPr>
  <dimension ref="A1:J32"/>
  <sheetViews>
    <sheetView showGridLines="0" zoomScaleNormal="100" workbookViewId="0">
      <pane ySplit="3" topLeftCell="A4" activePane="bottomLeft" state="frozen"/>
      <selection pane="bottomLeft" activeCell="A1" sqref="A1:J1"/>
    </sheetView>
  </sheetViews>
  <sheetFormatPr baseColWidth="8" defaultColWidth="8.6640625" defaultRowHeight="14.25" customHeight="1"/>
  <cols>
    <col width="16" customWidth="1" style="468" min="1" max="1"/>
    <col width="16" customWidth="1" style="468" min="2" max="2"/>
    <col width="16" customWidth="1" style="468" min="3" max="8"/>
    <col width="16" customWidth="1" style="468" min="4" max="4"/>
    <col width="14" customWidth="1" style="468" min="5" max="5"/>
    <col width="20" customWidth="1" style="468" min="6" max="6"/>
    <col width="16" customWidth="1" style="468" min="7" max="7"/>
    <col width="14" customWidth="1" style="468" min="8" max="8"/>
    <col width="18" customWidth="1" style="468" min="9" max="9"/>
    <col width="16" customWidth="1" style="468" min="10" max="10"/>
  </cols>
  <sheetData>
    <row r="1" ht="19.5" customHeight="1" s="468">
      <c r="A1" s="721" t="inlineStr">
        <is>
          <t>RESULTADOS MENSAIS</t>
        </is>
      </c>
      <c r="B1" s="456" t="n"/>
      <c r="C1" s="456" t="n"/>
      <c r="D1" s="456" t="n"/>
      <c r="E1" s="456" t="n"/>
      <c r="F1" s="456" t="n"/>
      <c r="G1" s="456" t="n"/>
      <c r="H1" s="456" t="n"/>
      <c r="I1" s="456" t="n"/>
      <c r="J1" s="513" t="n"/>
    </row>
    <row r="2" ht="14.25" customHeight="1" s="468">
      <c r="A2" s="722" t="inlineStr">
        <is>
          <t>Meta diária atual</t>
        </is>
      </c>
      <c r="B2" s="723">
        <f>CONFIG!$B$3</f>
        <v/>
      </c>
      <c r="F2" s="724" t="inlineStr">
        <is>
          <t>Total de gás no ano: 0.0 KG</t>
        </is>
      </c>
    </row>
    <row r="3" ht="14.25" customHeight="1" s="468">
      <c r="A3" s="623" t="inlineStr">
        <is>
          <t>Mês</t>
        </is>
      </c>
      <c r="B3" s="623" t="inlineStr">
        <is>
          <t>Total realizado</t>
        </is>
      </c>
      <c r="C3" s="623" t="inlineStr">
        <is>
          <t>Meta mensal</t>
        </is>
      </c>
      <c r="D3" s="623" t="inlineStr">
        <is>
          <t>Diferença</t>
        </is>
      </c>
      <c r="E3" s="623" t="inlineStr">
        <is>
          <t>Atingimento</t>
        </is>
      </c>
      <c r="F3" s="623" t="inlineStr">
        <is>
          <t>Maior consumo: JAN</t>
        </is>
      </c>
      <c r="G3" s="623" t="inlineStr">
        <is>
          <t>Melhor dia</t>
        </is>
      </c>
      <c r="H3" s="623" t="inlineStr">
        <is>
          <t>Dias lançados</t>
        </is>
      </c>
      <c r="I3" s="623" t="inlineStr">
        <is>
          <t>Status</t>
        </is>
      </c>
      <c r="J3" s="623" t="inlineStr">
        <is>
          <t>Gás mensal (KG)</t>
        </is>
      </c>
    </row>
    <row r="4" ht="14.25" customHeight="1" s="468">
      <c r="A4" s="725" t="inlineStr">
        <is>
          <t>JANEIRO</t>
        </is>
      </c>
      <c r="B4" s="726">
        <f>IFERROR('GRAFICO JANEIRO'!B4,0)</f>
        <v/>
      </c>
      <c r="C4" s="726">
        <f>IFERROR('GRAFICO JANEIRO'!D4,0)</f>
        <v/>
      </c>
      <c r="D4" s="726">
        <f>IF(B4=0,"",B4-C4)</f>
        <v/>
      </c>
      <c r="E4" s="727">
        <f>IFERROR(IF(B4=0,"",B4/C4),"")</f>
        <v/>
      </c>
      <c r="F4" s="728">
        <f>IFERROR('GRAFICO JANEIRO'!F4,0)</f>
        <v/>
      </c>
      <c r="G4" s="726">
        <f>IFERROR('GRAFICO JANEIRO'!H4,0)</f>
        <v/>
      </c>
      <c r="H4" s="726">
        <f>COUNTIF('GRAFICO JANEIRO'!$C$9:$C$40,"&gt;0")</f>
        <v/>
      </c>
      <c r="I4" s="725">
        <f>IF(B4=0,"Sem dados",IF(E4&gt;=1,"Meta batida","Abaixo da meta"))</f>
        <v/>
      </c>
      <c r="J4" s="729">
        <f>IFERROR(SUMIFS(GÁS!$O:$O,GÁS!$A:$A,"&gt;="&amp;DATE(2026,1,1),GÁS!$A:$A,"&lt;"&amp;DATE(2026,2,1)),0)</f>
        <v/>
      </c>
    </row>
    <row r="5" ht="14.25" customHeight="1" s="468">
      <c r="A5" s="730" t="inlineStr">
        <is>
          <t>FEVEREIRO</t>
        </is>
      </c>
      <c r="B5" s="731">
        <f>IFERROR('GRAFICO FEVEREIRO'!B4,0)</f>
        <v/>
      </c>
      <c r="C5" s="731">
        <f>IFERROR('GRAFICO FEVEREIRO'!D4,0)</f>
        <v/>
      </c>
      <c r="D5" s="731">
        <f>IF(B5=0,"",B5-C5)</f>
        <v/>
      </c>
      <c r="E5" s="732">
        <f>IFERROR(IF(B5=0,"",B5/C5),"")</f>
        <v/>
      </c>
      <c r="F5" s="733">
        <f>IFERROR('GRAFICO FEVEREIRO'!F4,0)</f>
        <v/>
      </c>
      <c r="G5" s="731">
        <f>IFERROR('GRAFICO FEVEREIRO'!H4,0)</f>
        <v/>
      </c>
      <c r="H5" s="731">
        <f>COUNTIF('GRAFICO FEVEREIRO'!$C$9:$C$40,"&gt;0")</f>
        <v/>
      </c>
      <c r="I5" s="730">
        <f>IF(B5=0,"Sem dados",IF(E5&gt;=1,"Meta batida","Abaixo da meta"))</f>
        <v/>
      </c>
      <c r="J5" s="734">
        <f>IFERROR(SUMIFS(GÁS!$O:$O,GÁS!$A:$A,"&gt;="&amp;DATE(2026,2,1),GÁS!$A:$A,"&lt;"&amp;DATE(2026,3,1)),0)</f>
        <v/>
      </c>
    </row>
    <row r="6" ht="14.25" customHeight="1" s="468">
      <c r="A6" s="725" t="inlineStr">
        <is>
          <t>MARÇO</t>
        </is>
      </c>
      <c r="B6" s="726">
        <f>IFERROR('GRAFICO MARÇO'!B4,0)</f>
        <v/>
      </c>
      <c r="C6" s="726">
        <f>IFERROR('GRAFICO MARÇO'!D4,0)</f>
        <v/>
      </c>
      <c r="D6" s="726">
        <f>IF(B6=0,"",B6-C6)</f>
        <v/>
      </c>
      <c r="E6" s="727">
        <f>IFERROR(IF(B6=0,"",B6/C6),"")</f>
        <v/>
      </c>
      <c r="F6" s="728">
        <f>IFERROR('GRAFICO MARÇO'!F4,0)</f>
        <v/>
      </c>
      <c r="G6" s="726">
        <f>IFERROR('GRAFICO MARÇO'!H4,0)</f>
        <v/>
      </c>
      <c r="H6" s="726">
        <f>COUNTIF('GRAFICO MARÇO'!$C$9:$C$40,"&gt;0")</f>
        <v/>
      </c>
      <c r="I6" s="725">
        <f>IF(B6=0,"Sem dados",IF(E6&gt;=1,"Meta batida","Abaixo da meta"))</f>
        <v/>
      </c>
      <c r="J6" s="729">
        <f>IFERROR(SUMIFS(GÁS!$O:$O,GÁS!$A:$A,"&gt;="&amp;DATE(2026,3,1),GÁS!$A:$A,"&lt;"&amp;DATE(2026,4,1)),0)</f>
        <v/>
      </c>
    </row>
    <row r="7" ht="14.25" customHeight="1" s="468">
      <c r="A7" s="730" t="inlineStr">
        <is>
          <t>ABRIL</t>
        </is>
      </c>
      <c r="B7" s="731">
        <f>IFERROR('GRAFICO ABRIL'!C4,0)</f>
        <v/>
      </c>
      <c r="C7" s="731">
        <f>IFERROR('GRAFICO ABRIL'!E4,0)</f>
        <v/>
      </c>
      <c r="D7" s="731">
        <f>IF(B7=0,"",B7-C7)</f>
        <v/>
      </c>
      <c r="E7" s="732">
        <f>IFERROR(IF(B7=0,"",B7/C7),"")</f>
        <v/>
      </c>
      <c r="F7" s="733">
        <f>IFERROR('GRAFICO ABRIL'!G4,0)</f>
        <v/>
      </c>
      <c r="G7" s="731">
        <f>IFERROR('GRAFICO ABRIL'!I4,0)</f>
        <v/>
      </c>
      <c r="H7" s="731">
        <f>COUNTIF('GRAFICO ABRIL'!$D$9:$D$40,"&gt;0")</f>
        <v/>
      </c>
      <c r="I7" s="730">
        <f>IF(B7=0,"Sem dados",IF(E7&gt;=1,"Meta batida","Abaixo da meta"))</f>
        <v/>
      </c>
      <c r="J7" s="734">
        <f>IFERROR(SUMIFS(GÁS!$O:$O,GÁS!$A:$A,"&gt;="&amp;DATE(2026,4,1),GÁS!$A:$A,"&lt;"&amp;DATE(2026,5,1)),0)</f>
        <v/>
      </c>
    </row>
    <row r="8" ht="14.25" customHeight="1" s="468">
      <c r="A8" s="725" t="inlineStr">
        <is>
          <t>MAIO</t>
        </is>
      </c>
      <c r="B8" s="726">
        <f>IFERROR('GRAFICO MAIO'!B4,0)</f>
        <v/>
      </c>
      <c r="C8" s="726">
        <f>IFERROR('GRAFICO MAIO'!D4,0)</f>
        <v/>
      </c>
      <c r="D8" s="726">
        <f>IF(B8=0,"",B8-C8)</f>
        <v/>
      </c>
      <c r="E8" s="727">
        <f>IFERROR(IF(B8=0,"",B8/C8),"")</f>
        <v/>
      </c>
      <c r="F8" s="728">
        <f>IFERROR('GRAFICO MAIO'!F4,0)</f>
        <v/>
      </c>
      <c r="G8" s="726">
        <f>IFERROR('GRAFICO MAIO'!H4,0)</f>
        <v/>
      </c>
      <c r="H8" s="726">
        <f>COUNTIF('GRAFICO MAIO'!$C$9:$C$40,"&gt;0")</f>
        <v/>
      </c>
      <c r="I8" s="725">
        <f>IF(B8=0,"Sem dados",IF(E8&gt;=1,"Meta batida","Abaixo da meta"))</f>
        <v/>
      </c>
      <c r="J8" s="729">
        <f>IFERROR(SUMIFS(GÁS!$O:$O,GÁS!$A:$A,"&gt;="&amp;DATE(2026,5,1),GÁS!$A:$A,"&lt;"&amp;DATE(2026,6,1)),0)</f>
        <v/>
      </c>
    </row>
    <row r="9" ht="14.25" customHeight="1" s="468">
      <c r="A9" s="730" t="inlineStr">
        <is>
          <t>JUNHO</t>
        </is>
      </c>
      <c r="B9" s="731">
        <f>IFERROR('GRAFICO JUNHO'!B4,0)</f>
        <v/>
      </c>
      <c r="C9" s="731">
        <f>IFERROR('GRAFICO JUNHO'!D4,0)</f>
        <v/>
      </c>
      <c r="D9" s="731">
        <f>IF(B9=0,"",B9-C9)</f>
        <v/>
      </c>
      <c r="E9" s="732">
        <f>IFERROR(IF(B9=0,"",B9/C9),"")</f>
        <v/>
      </c>
      <c r="F9" s="733">
        <f>IFERROR('GRAFICO JUNHO'!F4,0)</f>
        <v/>
      </c>
      <c r="G9" s="731">
        <f>IFERROR('GRAFICO JUNHO'!H4,0)</f>
        <v/>
      </c>
      <c r="H9" s="731">
        <f>COUNTIF('GRAFICO JUNHO'!$C$9:$C$40,"&gt;0")</f>
        <v/>
      </c>
      <c r="I9" s="730">
        <f>IF(B9=0,"Sem dados",IF(E9&gt;=1,"Meta batida","Abaixo da meta"))</f>
        <v/>
      </c>
      <c r="J9" s="734">
        <f>IFERROR(SUMIFS(GÁS!$O:$O,GÁS!$A:$A,"&gt;="&amp;DATE(2026,6,1),GÁS!$A:$A,"&lt;"&amp;DATE(2026,7,1)),0)</f>
        <v/>
      </c>
    </row>
    <row r="10" ht="14.25" customHeight="1" s="468">
      <c r="A10" s="725" t="inlineStr">
        <is>
          <t>JULHO</t>
        </is>
      </c>
      <c r="B10" s="726">
        <f>IFERROR('GRAFICO JULHO'!B4,0)</f>
        <v/>
      </c>
      <c r="C10" s="726">
        <f>IFERROR('GRAFICO JULHO'!D4,0)</f>
        <v/>
      </c>
      <c r="D10" s="726">
        <f>IF(B10=0,"",B10-C10)</f>
        <v/>
      </c>
      <c r="E10" s="727">
        <f>IFERROR(IF(B10=0,"",B10/C10),"")</f>
        <v/>
      </c>
      <c r="F10" s="728">
        <f>IFERROR('GRAFICO JULHO'!F4,0)</f>
        <v/>
      </c>
      <c r="G10" s="726">
        <f>IFERROR('GRAFICO JULHO'!H4,0)</f>
        <v/>
      </c>
      <c r="H10" s="726">
        <f>COUNTIF('GRAFICO JULHO'!$C$9:$C$40,"&gt;0")</f>
        <v/>
      </c>
      <c r="I10" s="725">
        <f>IF(B10=0,"Sem dados",IF(E10&gt;=1,"Meta batida","Abaixo da meta"))</f>
        <v/>
      </c>
      <c r="J10" s="729">
        <f>IFERROR(SUMIFS(GÁS!$O:$O,GÁS!$A:$A,"&gt;="&amp;DATE(2026,7,1),GÁS!$A:$A,"&lt;"&amp;DATE(2026,8,1)),0)</f>
        <v/>
      </c>
    </row>
    <row r="11" ht="14.25" customHeight="1" s="468">
      <c r="A11" s="730" t="inlineStr">
        <is>
          <t>AGOSTO</t>
        </is>
      </c>
      <c r="B11" s="731">
        <f>IFERROR('GRAFICO AGOSTO'!B4,0)</f>
        <v/>
      </c>
      <c r="C11" s="731">
        <f>IFERROR('GRAFICO AGOSTO'!D4,0)</f>
        <v/>
      </c>
      <c r="D11" s="731">
        <f>IF(B11=0,"",B11-C11)</f>
        <v/>
      </c>
      <c r="E11" s="732">
        <f>IFERROR(IF(B11=0,"",B11/C11),"")</f>
        <v/>
      </c>
      <c r="F11" s="733">
        <f>IFERROR('GRAFICO AGOSTO'!F4,0)</f>
        <v/>
      </c>
      <c r="G11" s="731">
        <f>IFERROR('GRAFICO AGOSTO'!H4,0)</f>
        <v/>
      </c>
      <c r="H11" s="731">
        <f>COUNTIF('GRAFICO AGOSTO'!$C$9:$C$40,"&gt;0")</f>
        <v/>
      </c>
      <c r="I11" s="730">
        <f>IF(B11=0,"Sem dados",IF(E11&gt;=1,"Meta batida","Abaixo da meta"))</f>
        <v/>
      </c>
      <c r="J11" s="734">
        <f>IFERROR(SUMIFS(GÁS!$O:$O,GÁS!$A:$A,"&gt;="&amp;DATE(2026,8,1),GÁS!$A:$A,"&lt;"&amp;DATE(2026,9,1)),0)</f>
        <v/>
      </c>
    </row>
    <row r="12" ht="14.25" customHeight="1" s="468">
      <c r="A12" s="725" t="inlineStr">
        <is>
          <t>SETEMBRO</t>
        </is>
      </c>
      <c r="B12" s="726">
        <f>IFERROR('GRAFICO SETEMBRO'!B4,0)</f>
        <v/>
      </c>
      <c r="C12" s="726">
        <f>IFERROR('GRAFICO SETEMBRO'!D4,0)</f>
        <v/>
      </c>
      <c r="D12" s="726">
        <f>IF(B12=0,"",B12-C12)</f>
        <v/>
      </c>
      <c r="E12" s="727">
        <f>IFERROR(IF(B12=0,"",B12/C12),"")</f>
        <v/>
      </c>
      <c r="F12" s="728">
        <f>IFERROR('GRAFICO SETEMBRO'!F4,0)</f>
        <v/>
      </c>
      <c r="G12" s="726">
        <f>IFERROR('GRAFICO SETEMBRO'!H4,0)</f>
        <v/>
      </c>
      <c r="H12" s="726">
        <f>COUNTIF('GRAFICO SETEMBRO'!$C$9:$C$40,"&gt;0")</f>
        <v/>
      </c>
      <c r="I12" s="725">
        <f>IF(B12=0,"Sem dados",IF(E12&gt;=1,"Meta batida","Abaixo da meta"))</f>
        <v/>
      </c>
      <c r="J12" s="729">
        <f>IFERROR(SUMIFS(GÁS!$O:$O,GÁS!$A:$A,"&gt;="&amp;DATE(2026,9,1),GÁS!$A:$A,"&lt;"&amp;DATE(2026,10,1)),0)</f>
        <v/>
      </c>
    </row>
    <row r="13" ht="14.25" customHeight="1" s="468">
      <c r="A13" s="730" t="inlineStr">
        <is>
          <t>OUTUBRO</t>
        </is>
      </c>
      <c r="B13" s="731">
        <f>IFERROR('GRAFICO OUTUBRO'!B4,0)</f>
        <v/>
      </c>
      <c r="C13" s="731">
        <f>IFERROR('GRAFICO OUTUBRO'!D4,0)</f>
        <v/>
      </c>
      <c r="D13" s="731">
        <f>IF(B13=0,"",B13-C13)</f>
        <v/>
      </c>
      <c r="E13" s="732">
        <f>IFERROR(IF(B13=0,"",B13/C13),"")</f>
        <v/>
      </c>
      <c r="F13" s="733">
        <f>IFERROR('GRAFICO OUTUBRO'!F4,0)</f>
        <v/>
      </c>
      <c r="G13" s="731">
        <f>IFERROR('GRAFICO OUTUBRO'!H4,0)</f>
        <v/>
      </c>
      <c r="H13" s="731">
        <f>COUNTIF('GRAFICO OUTUBRO'!$C$9:$C$40,"&gt;0")</f>
        <v/>
      </c>
      <c r="I13" s="730">
        <f>IF(B13=0,"Sem dados",IF(E13&gt;=1,"Meta batida","Abaixo da meta"))</f>
        <v/>
      </c>
      <c r="J13" s="734">
        <f>IFERROR(SUMIFS(GÁS!$O:$O,GÁS!$A:$A,"&gt;="&amp;DATE(2026,10,1),GÁS!$A:$A,"&lt;"&amp;DATE(2026,11,1)),0)</f>
        <v/>
      </c>
    </row>
    <row r="14" ht="14.25" customHeight="1" s="468">
      <c r="A14" s="725" t="inlineStr">
        <is>
          <t>NOVEMBRO</t>
        </is>
      </c>
      <c r="B14" s="726">
        <f>IFERROR('GRAFICO NOVEMBRO'!B4,0)</f>
        <v/>
      </c>
      <c r="C14" s="726">
        <f>IFERROR('GRAFICO NOVEMBRO'!D4,0)</f>
        <v/>
      </c>
      <c r="D14" s="726">
        <f>IF(B14=0,"",B14-C14)</f>
        <v/>
      </c>
      <c r="E14" s="727">
        <f>IFERROR(IF(B14=0,"",B14/C14),"")</f>
        <v/>
      </c>
      <c r="F14" s="728">
        <f>IFERROR('GRAFICO NOVEMBRO'!F4,0)</f>
        <v/>
      </c>
      <c r="G14" s="726">
        <f>IFERROR('GRAFICO NOVEMBRO'!H4,0)</f>
        <v/>
      </c>
      <c r="H14" s="726">
        <f>COUNTIF('GRAFICO NOVEMBRO'!$C$9:$C$40,"&gt;0")</f>
        <v/>
      </c>
      <c r="I14" s="725">
        <f>IF(B14=0,"Sem dados",IF(E14&gt;=1,"Meta batida","Abaixo da meta"))</f>
        <v/>
      </c>
      <c r="J14" s="729">
        <f>IFERROR(SUMIFS(GÁS!$O:$O,GÁS!$A:$A,"&gt;="&amp;DATE(2026,11,1),GÁS!$A:$A,"&lt;"&amp;DATE(2026,12,1)),0)</f>
        <v/>
      </c>
    </row>
    <row r="15" ht="14.25" customHeight="1" s="468">
      <c r="A15" s="730" t="inlineStr">
        <is>
          <t>DEZEMBRO</t>
        </is>
      </c>
      <c r="B15" s="731">
        <f>IFERROR('GRAFICO DEZEMBRO'!B4,0)</f>
        <v/>
      </c>
      <c r="C15" s="731">
        <f>IFERROR('GRAFICO DEZEMBRO'!D4,0)</f>
        <v/>
      </c>
      <c r="D15" s="731">
        <f>IF(B15=0,"",B15-C15)</f>
        <v/>
      </c>
      <c r="E15" s="732">
        <f>IFERROR(IF(B15=0,"",B15/C15),"")</f>
        <v/>
      </c>
      <c r="F15" s="733">
        <f>IFERROR('GRAFICO DEZEMBRO'!F4,0)</f>
        <v/>
      </c>
      <c r="G15" s="731">
        <f>IFERROR('GRAFICO DEZEMBRO'!H4,0)</f>
        <v/>
      </c>
      <c r="H15" s="731">
        <f>COUNTIF('GRAFICO DEZEMBRO'!$C$9:$C$40,"&gt;0")</f>
        <v/>
      </c>
      <c r="I15" s="730">
        <f>IF(B15=0,"Sem dados",IF(E15&gt;=1,"Meta batida","Abaixo da meta"))</f>
        <v/>
      </c>
      <c r="J15" s="734">
        <f>IFERROR(SUMIFS(GÁS!$O:$O,GÁS!$A:$A,"&gt;="&amp;DATE(2026,12,1),GÁS!$A:$A,"&lt;"&amp;DATE(2027,1,1)),0)</f>
        <v/>
      </c>
    </row>
    <row r="16" ht="14.4" customHeight="1" s="468"/>
    <row r="17" ht="14.4" customHeight="1" s="468"/>
    <row r="18" ht="14.4" customHeight="1" s="468"/>
    <row r="19" ht="14.4" customHeight="1" s="468"/>
    <row r="20" ht="14.4" customHeight="1" s="468">
      <c r="A20" t="inlineStr">
        <is>
          <t>Mês</t>
        </is>
      </c>
      <c r="B20" t="inlineStr">
        <is>
          <t>Gás mensal (KG)</t>
        </is>
      </c>
    </row>
    <row r="21" ht="14.4" customHeight="1" s="468">
      <c r="A21" t="inlineStr">
        <is>
          <t>JAN</t>
        </is>
      </c>
      <c r="B21" t="n">
        <v>0</v>
      </c>
    </row>
    <row r="22" ht="14.4" customHeight="1" s="468">
      <c r="A22" t="inlineStr">
        <is>
          <t>FEV</t>
        </is>
      </c>
      <c r="B22" t="n">
        <v>0</v>
      </c>
    </row>
    <row r="23" ht="14.4" customHeight="1" s="468">
      <c r="A23" t="inlineStr">
        <is>
          <t>MAR</t>
        </is>
      </c>
      <c r="B23" t="n">
        <v>0</v>
      </c>
    </row>
    <row r="24" ht="14.4" customHeight="1" s="468">
      <c r="A24" t="inlineStr">
        <is>
          <t>ABR</t>
        </is>
      </c>
      <c r="B24" t="n">
        <v>0</v>
      </c>
    </row>
    <row r="25" ht="14.4" customHeight="1" s="468">
      <c r="A25" t="inlineStr">
        <is>
          <t>MAI</t>
        </is>
      </c>
      <c r="B25" t="n">
        <v>0</v>
      </c>
    </row>
    <row r="26" ht="14.4" customHeight="1" s="468">
      <c r="A26" t="inlineStr">
        <is>
          <t>JUN</t>
        </is>
      </c>
      <c r="B26" t="n">
        <v>0</v>
      </c>
    </row>
    <row r="27" ht="14.4" customHeight="1" s="468">
      <c r="A27" t="inlineStr">
        <is>
          <t>JUL</t>
        </is>
      </c>
      <c r="B27" t="n">
        <v>0</v>
      </c>
    </row>
    <row r="28" ht="14.4" customHeight="1" s="468">
      <c r="A28" t="inlineStr">
        <is>
          <t>AGO</t>
        </is>
      </c>
      <c r="B28" t="n">
        <v>0</v>
      </c>
    </row>
    <row r="29" ht="14.4" customHeight="1" s="468">
      <c r="A29" t="inlineStr">
        <is>
          <t>SET</t>
        </is>
      </c>
      <c r="B29" t="n">
        <v>0</v>
      </c>
    </row>
    <row r="30" ht="14.4" customHeight="1" s="468">
      <c r="A30" t="inlineStr">
        <is>
          <t>OUT</t>
        </is>
      </c>
      <c r="B30" t="n">
        <v>0</v>
      </c>
    </row>
    <row r="31" ht="14.4" customHeight="1" s="468">
      <c r="A31" t="inlineStr">
        <is>
          <t>NOV</t>
        </is>
      </c>
      <c r="B31" t="n">
        <v>0</v>
      </c>
    </row>
    <row r="32" ht="14.4" customHeight="1" s="468">
      <c r="A32" t="inlineStr">
        <is>
          <t>DEZ</t>
        </is>
      </c>
      <c r="B32" t="n">
        <v>0</v>
      </c>
    </row>
  </sheetData>
  <mergeCells count="1">
    <mergeCell ref="A1:J1"/>
  </mergeCells>
  <conditionalFormatting sqref="E4:E15">
    <cfRule type="cellIs" priority="2" operator="greaterThanOrEqual" dxfId="6">
      <formula>1</formula>
    </cfRule>
    <cfRule type="cellIs" priority="3" operator="lessThan" dxfId="5">
      <formula>1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tabColor rgb="FF2F3A4A"/>
    <outlinePr summaryBelow="1" summaryRight="1"/>
    <pageSetUpPr/>
  </sheetPr>
  <dimension ref="A1:L42"/>
  <sheetViews>
    <sheetView showGridLines="0" topLeftCell="A23" zoomScale="90" zoomScaleNormal="90" workbookViewId="0">
      <selection activeCell="D41" sqref="D41"/>
    </sheetView>
  </sheetViews>
  <sheetFormatPr baseColWidth="8" defaultColWidth="8.6640625" defaultRowHeight="14.25" customHeight="1"/>
  <cols>
    <col width="18" customWidth="1" style="468" min="1" max="3"/>
    <col width="5" customWidth="1" style="468" min="2" max="2"/>
    <col width="18" customWidth="1" style="468" min="3" max="3"/>
    <col width="5" customWidth="1" style="468" min="4" max="6"/>
    <col width="16" customWidth="1" style="468" min="5" max="5"/>
    <col width="5" customWidth="1" style="468" min="6" max="6"/>
    <col width="18" customWidth="1" style="468" min="7" max="12"/>
    <col width="5" customWidth="1" style="468" min="8" max="8"/>
    <col width="16" customWidth="1" style="468" min="9" max="9"/>
    <col width="5" customWidth="1" style="468" min="10" max="10"/>
    <col width="18" customWidth="1" style="468" min="11" max="11"/>
    <col width="5" customWidth="1" style="468" min="12" max="12"/>
  </cols>
  <sheetData>
    <row r="1" ht="27.75" customHeight="1" s="468">
      <c r="A1" s="735" t="inlineStr">
        <is>
          <t>DASHBOARD EXECUTIVO • CONTROLE DE PRODUÇÃO 2026</t>
        </is>
      </c>
    </row>
    <row r="2" ht="21" customHeight="1" s="468"/>
    <row r="3" ht="21.75" customHeight="1" s="468">
      <c r="A3" s="736" t="inlineStr">
        <is>
          <t>Atualização automática: os indicadores e gráficos refletem os lançamentos das abas SEMANA e do RESUMO_MENSAL.</t>
        </is>
      </c>
      <c r="B3" s="582" t="n"/>
      <c r="C3" s="582" t="n"/>
      <c r="D3" s="582" t="n"/>
      <c r="E3" s="582" t="n"/>
      <c r="F3" s="582" t="n"/>
      <c r="G3" s="582" t="n"/>
      <c r="H3" s="582" t="n"/>
      <c r="I3" s="582" t="n"/>
      <c r="J3" s="582" t="n"/>
      <c r="K3" s="582" t="n"/>
      <c r="L3" s="583" t="n"/>
    </row>
    <row r="4" ht="21" customHeight="1" s="468">
      <c r="A4" s="367" t="n"/>
      <c r="B4" s="367" t="n"/>
      <c r="C4" s="367" t="n"/>
      <c r="D4" s="367" t="n"/>
      <c r="E4" s="367" t="n"/>
      <c r="F4" s="367" t="n"/>
      <c r="G4" s="367" t="n"/>
      <c r="H4" s="367" t="n"/>
      <c r="I4" s="367" t="n"/>
      <c r="J4" s="367" t="n"/>
      <c r="K4" s="367" t="n"/>
      <c r="L4" s="367" t="n"/>
    </row>
    <row r="5" ht="21" customHeight="1" s="468">
      <c r="A5" s="623" t="inlineStr">
        <is>
          <t>TOTAL REALIZADO</t>
        </is>
      </c>
      <c r="B5" s="580" t="n"/>
      <c r="C5" s="623" t="inlineStr">
        <is>
          <t>META ACOMPANHADA</t>
        </is>
      </c>
      <c r="D5" s="580" t="n"/>
      <c r="E5" s="623" t="inlineStr">
        <is>
          <t>ATINGIMENTO</t>
        </is>
      </c>
      <c r="F5" s="580" t="n"/>
      <c r="G5" s="623" t="inlineStr">
        <is>
          <t>MELHOR MÊS</t>
        </is>
      </c>
      <c r="H5" s="580" t="n"/>
      <c r="I5" s="623" t="inlineStr">
        <is>
          <t>MELHOR DIA</t>
        </is>
      </c>
      <c r="J5" s="369" t="n"/>
      <c r="K5" s="623" t="inlineStr">
        <is>
          <t>STATUS</t>
        </is>
      </c>
      <c r="L5" s="369" t="n"/>
    </row>
    <row r="6" ht="21" customHeight="1" s="468">
      <c r="A6" s="593">
        <f>SUM(RESUMO_MENSAL!B4:B15)</f>
        <v/>
      </c>
      <c r="B6" s="587" t="n"/>
      <c r="C6" s="593">
        <f>SUMIF(RESUMO_MENSAL!B4:B15,"&gt;0",RESUMO_MENSAL!C4:C15)</f>
        <v/>
      </c>
      <c r="D6" s="587" t="n"/>
      <c r="E6" s="737">
        <f>IFERROR(A6/C6,0)</f>
        <v/>
      </c>
      <c r="F6" s="587" t="n"/>
      <c r="G6" s="590">
        <f>IFERROR(INDEX(RESUMO_MENSAL!A4:A15,MATCH(MAX(RESUMO_MENSAL!B4:B15),RESUMO_MENSAL!B4:B15,0)),"-")</f>
        <v/>
      </c>
      <c r="H6" s="587" t="n"/>
      <c r="I6" s="593">
        <f>MAX(RESUMO_MENSAL!G4:G15)</f>
        <v/>
      </c>
      <c r="J6" s="369" t="n"/>
      <c r="K6" s="590">
        <f>IF(A6=0,"SEM DADOS",IF(E6&gt;=1,"ACIMA DA META","ABAIXO DA META"))</f>
        <v/>
      </c>
      <c r="L6" s="369" t="n"/>
    </row>
    <row r="7" ht="21" customHeight="1" s="468">
      <c r="A7" s="588" t="n"/>
      <c r="B7" s="589" t="n"/>
      <c r="C7" s="588" t="n"/>
      <c r="D7" s="589" t="n"/>
      <c r="E7" s="588" t="n"/>
      <c r="F7" s="589" t="n"/>
      <c r="G7" s="588" t="n"/>
      <c r="H7" s="589" t="n"/>
      <c r="I7" s="369" t="n"/>
      <c r="J7" s="369" t="n"/>
      <c r="K7" s="369" t="n"/>
      <c r="L7" s="369" t="n"/>
    </row>
    <row r="8" ht="21.75" customHeight="1" s="468">
      <c r="A8" s="585">
        <f>IF(A6=0,"LEITURA: ainda sem produção lançada.",IF(E6&gt;=1,"LEITURA: produção acompanhada acima da meta. Melhor mês: "&amp;G6&amp;".","LEITURA: produção acompanhada abaixo da meta. Melhor mês: "&amp;G6&amp;"."))</f>
        <v/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2" t="n"/>
    </row>
    <row r="9" ht="21" customHeight="1" s="468">
      <c r="A9" s="367" t="n"/>
      <c r="B9" s="372" t="n"/>
      <c r="C9" s="372" t="n"/>
      <c r="D9" s="373" t="n"/>
      <c r="E9" s="367" t="n"/>
      <c r="F9" s="367" t="n"/>
      <c r="G9" s="367" t="n"/>
      <c r="H9" s="367" t="n"/>
      <c r="I9" s="367" t="n"/>
      <c r="J9" s="367" t="n"/>
      <c r="K9" s="367" t="n"/>
      <c r="L9" s="367" t="n"/>
    </row>
    <row r="10" ht="21.75" customHeight="1" s="468">
      <c r="A10" s="633" t="inlineStr">
        <is>
          <t>MÊS</t>
        </is>
      </c>
      <c r="B10" s="738" t="inlineStr">
        <is>
          <t>REALIZADO</t>
        </is>
      </c>
      <c r="C10" s="738" t="inlineStr">
        <is>
          <t>META</t>
        </is>
      </c>
      <c r="D10" s="739" t="inlineStr">
        <is>
          <t>DIFERENÇA</t>
        </is>
      </c>
      <c r="E10" s="633" t="inlineStr">
        <is>
          <t>ATINGIMENTO</t>
        </is>
      </c>
      <c r="F10" s="633" t="inlineStr">
        <is>
          <t>STATUS</t>
        </is>
      </c>
      <c r="G10" s="633" t="inlineStr">
        <is>
          <t>MÉDIA/DIA</t>
        </is>
      </c>
      <c r="H10" s="633" t="inlineStr">
        <is>
          <t>MELHOR DIA</t>
        </is>
      </c>
      <c r="I10" s="633" t="inlineStr">
        <is>
          <t>DIAS LANÇADOS</t>
        </is>
      </c>
      <c r="J10" s="367" t="n"/>
      <c r="K10" s="633" t="inlineStr">
        <is>
          <t>LEITURA SIMPLES</t>
        </is>
      </c>
      <c r="L10" s="580" t="n"/>
    </row>
    <row r="11" ht="21" customHeight="1" s="468">
      <c r="A11" s="376">
        <f>RESUMO_MENSAL!A4</f>
        <v/>
      </c>
      <c r="B11" s="377">
        <f>RESUMO_MENSAL!B4</f>
        <v/>
      </c>
      <c r="C11" s="377">
        <f>RESUMO_MENSAL!C4</f>
        <v/>
      </c>
      <c r="D11" s="377">
        <f>RESUMO_MENSAL!D4</f>
        <v/>
      </c>
      <c r="E11" s="378">
        <f>RESUMO_MENSAL!E4</f>
        <v/>
      </c>
      <c r="F11" s="376">
        <f>IF(B11=0,"SEM DADOS",IF(E11&gt;=1,"ACIMA","ABAIXO"))</f>
        <v/>
      </c>
      <c r="G11" s="379">
        <f>RESUMO_MENSAL!F4</f>
        <v/>
      </c>
      <c r="H11" s="377">
        <f>RESUMO_MENSAL!G4</f>
        <v/>
      </c>
      <c r="I11" s="380">
        <f>RESUMO_MENSAL!H4</f>
        <v/>
      </c>
      <c r="J11" s="367" t="n"/>
      <c r="K11" s="579">
        <f>"Produção lançada: "&amp;TEXT(A6,"#.##0")</f>
        <v/>
      </c>
      <c r="L11" s="580" t="n"/>
    </row>
    <row r="12" ht="21" customHeight="1" s="468">
      <c r="A12" s="381">
        <f>RESUMO_MENSAL!A5</f>
        <v/>
      </c>
      <c r="B12" s="382">
        <f>RESUMO_MENSAL!B5</f>
        <v/>
      </c>
      <c r="C12" s="382">
        <f>RESUMO_MENSAL!C5</f>
        <v/>
      </c>
      <c r="D12" s="382">
        <f>RESUMO_MENSAL!D5</f>
        <v/>
      </c>
      <c r="E12" s="383">
        <f>RESUMO_MENSAL!E5</f>
        <v/>
      </c>
      <c r="F12" s="381">
        <f>IF(B12=0,"SEM DADOS",IF(E12&gt;=1,"ACIMA","ABAIXO"))</f>
        <v/>
      </c>
      <c r="G12" s="384">
        <f>RESUMO_MENSAL!F5</f>
        <v/>
      </c>
      <c r="H12" s="382">
        <f>RESUMO_MENSAL!G5</f>
        <v/>
      </c>
      <c r="I12" s="385">
        <f>RESUMO_MENSAL!H5</f>
        <v/>
      </c>
      <c r="J12" s="367" t="n"/>
      <c r="K12" s="592">
        <f>"Meta acompanhada: "&amp;TEXT(C6,"#.##0")</f>
        <v/>
      </c>
      <c r="L12" s="580" t="n"/>
    </row>
    <row r="13" ht="21" customHeight="1" s="468">
      <c r="A13" s="376">
        <f>RESUMO_MENSAL!A6</f>
        <v/>
      </c>
      <c r="B13" s="377">
        <f>RESUMO_MENSAL!B6</f>
        <v/>
      </c>
      <c r="C13" s="377">
        <f>RESUMO_MENSAL!C6</f>
        <v/>
      </c>
      <c r="D13" s="377">
        <f>RESUMO_MENSAL!D6</f>
        <v/>
      </c>
      <c r="E13" s="378">
        <f>RESUMO_MENSAL!E6</f>
        <v/>
      </c>
      <c r="F13" s="376">
        <f>IF(B13=0,"SEM DADOS",IF(E13&gt;=1,"ACIMA","ABAIXO"))</f>
        <v/>
      </c>
      <c r="G13" s="379">
        <f>RESUMO_MENSAL!F6</f>
        <v/>
      </c>
      <c r="H13" s="377">
        <f>RESUMO_MENSAL!G6</f>
        <v/>
      </c>
      <c r="I13" s="380">
        <f>RESUMO_MENSAL!H6</f>
        <v/>
      </c>
      <c r="J13" s="367" t="n"/>
      <c r="K13" s="579">
        <f>"Atingimento: "&amp;TEXT(E6,"0,0%")</f>
        <v/>
      </c>
      <c r="L13" s="580" t="n"/>
    </row>
    <row r="14" ht="21" customHeight="1" s="468">
      <c r="A14" s="381">
        <f>RESUMO_MENSAL!A7</f>
        <v/>
      </c>
      <c r="B14" s="382">
        <f>RESUMO_MENSAL!B7</f>
        <v/>
      </c>
      <c r="C14" s="382">
        <f>RESUMO_MENSAL!C7</f>
        <v/>
      </c>
      <c r="D14" s="382">
        <f>RESUMO_MENSAL!D7</f>
        <v/>
      </c>
      <c r="E14" s="383">
        <f>RESUMO_MENSAL!E7</f>
        <v/>
      </c>
      <c r="F14" s="381">
        <f>IF(B14=0,"SEM DADOS",IF(E14&gt;=1,"ACIMA","ABAIXO"))</f>
        <v/>
      </c>
      <c r="G14" s="384">
        <f>RESUMO_MENSAL!F7</f>
        <v/>
      </c>
      <c r="H14" s="382">
        <f>RESUMO_MENSAL!G7</f>
        <v/>
      </c>
      <c r="I14" s="385">
        <f>RESUMO_MENSAL!H7</f>
        <v/>
      </c>
      <c r="J14" s="367" t="n"/>
      <c r="K14" s="592">
        <f>"Melhor mês: "&amp;G6</f>
        <v/>
      </c>
      <c r="L14" s="580" t="n"/>
    </row>
    <row r="15" ht="21" customHeight="1" s="468">
      <c r="A15" s="376">
        <f>RESUMO_MENSAL!A8</f>
        <v/>
      </c>
      <c r="B15" s="377">
        <f>RESUMO_MENSAL!B8</f>
        <v/>
      </c>
      <c r="C15" s="377">
        <f>RESUMO_MENSAL!C8</f>
        <v/>
      </c>
      <c r="D15" s="377">
        <f>RESUMO_MENSAL!D8</f>
        <v/>
      </c>
      <c r="E15" s="378">
        <f>RESUMO_MENSAL!E8</f>
        <v/>
      </c>
      <c r="F15" s="376">
        <f>IF(B15=0,"SEM DADOS",IF(E15&gt;=1,"ACIMA","ABAIXO"))</f>
        <v/>
      </c>
      <c r="G15" s="379">
        <f>RESUMO_MENSAL!F8</f>
        <v/>
      </c>
      <c r="H15" s="377">
        <f>RESUMO_MENSAL!G8</f>
        <v/>
      </c>
      <c r="I15" s="380">
        <f>RESUMO_MENSAL!H8</f>
        <v/>
      </c>
      <c r="J15" s="367" t="n"/>
      <c r="K15" s="579">
        <f>"Melhor dia: "&amp;TEXT(I6,"#.##0")</f>
        <v/>
      </c>
      <c r="L15" s="580" t="n"/>
    </row>
    <row r="16" ht="21" customHeight="1" s="468">
      <c r="A16" s="381">
        <f>RESUMO_MENSAL!A9</f>
        <v/>
      </c>
      <c r="B16" s="382">
        <f>RESUMO_MENSAL!B9</f>
        <v/>
      </c>
      <c r="C16" s="382">
        <f>RESUMO_MENSAL!C9</f>
        <v/>
      </c>
      <c r="D16" s="382">
        <f>RESUMO_MENSAL!D9</f>
        <v/>
      </c>
      <c r="E16" s="383">
        <f>RESUMO_MENSAL!E9</f>
        <v/>
      </c>
      <c r="F16" s="381">
        <f>IF(B16=0,"SEM DADOS",IF(E16&gt;=1,"ACIMA","ABAIXO"))</f>
        <v/>
      </c>
      <c r="G16" s="384">
        <f>RESUMO_MENSAL!F9</f>
        <v/>
      </c>
      <c r="H16" s="382">
        <f>RESUMO_MENSAL!G9</f>
        <v/>
      </c>
      <c r="I16" s="385">
        <f>RESUMO_MENSAL!H9</f>
        <v/>
      </c>
      <c r="J16" s="367" t="n"/>
      <c r="K16" s="592">
        <f>"Status: "&amp;K6</f>
        <v/>
      </c>
      <c r="L16" s="580" t="n"/>
    </row>
    <row r="17" ht="21" customHeight="1" s="468">
      <c r="A17" s="376">
        <f>RESUMO_MENSAL!A10</f>
        <v/>
      </c>
      <c r="B17" s="377">
        <f>RESUMO_MENSAL!B10</f>
        <v/>
      </c>
      <c r="C17" s="377">
        <f>RESUMO_MENSAL!C10</f>
        <v/>
      </c>
      <c r="D17" s="377">
        <f>RESUMO_MENSAL!D10</f>
        <v/>
      </c>
      <c r="E17" s="378">
        <f>RESUMO_MENSAL!E10</f>
        <v/>
      </c>
      <c r="F17" s="376">
        <f>IF(B17=0,"SEM DADOS",IF(E17&gt;=1,"ACIMA","ABAIXO"))</f>
        <v/>
      </c>
      <c r="G17" s="379">
        <f>RESUMO_MENSAL!F10</f>
        <v/>
      </c>
      <c r="H17" s="377">
        <f>RESUMO_MENSAL!G10</f>
        <v/>
      </c>
      <c r="I17" s="380">
        <f>RESUMO_MENSAL!H10</f>
        <v/>
      </c>
      <c r="J17" s="367" t="n"/>
      <c r="K17" s="579">
        <f>"Sem produção = SEM DADOS"</f>
        <v/>
      </c>
      <c r="L17" s="580" t="n"/>
    </row>
    <row r="18" ht="21" customHeight="1" s="468">
      <c r="A18" s="381">
        <f>RESUMO_MENSAL!A11</f>
        <v/>
      </c>
      <c r="B18" s="382">
        <f>RESUMO_MENSAL!B11</f>
        <v/>
      </c>
      <c r="C18" s="382">
        <f>RESUMO_MENSAL!C11</f>
        <v/>
      </c>
      <c r="D18" s="382">
        <f>RESUMO_MENSAL!D11</f>
        <v/>
      </c>
      <c r="E18" s="383">
        <f>RESUMO_MENSAL!E11</f>
        <v/>
      </c>
      <c r="F18" s="381">
        <f>IF(B18=0,"SEM DADOS",IF(E18&gt;=1,"ACIMA","ABAIXO"))</f>
        <v/>
      </c>
      <c r="G18" s="384">
        <f>RESUMO_MENSAL!F11</f>
        <v/>
      </c>
      <c r="H18" s="382">
        <f>RESUMO_MENSAL!G11</f>
        <v/>
      </c>
      <c r="I18" s="385">
        <f>RESUMO_MENSAL!H11</f>
        <v/>
      </c>
      <c r="J18" s="367" t="n"/>
      <c r="K18" s="367" t="n"/>
      <c r="L18" s="367" t="n"/>
    </row>
    <row r="19" ht="21" customHeight="1" s="468">
      <c r="A19" s="376">
        <f>RESUMO_MENSAL!A12</f>
        <v/>
      </c>
      <c r="B19" s="377">
        <f>RESUMO_MENSAL!B12</f>
        <v/>
      </c>
      <c r="C19" s="377">
        <f>RESUMO_MENSAL!C12</f>
        <v/>
      </c>
      <c r="D19" s="377">
        <f>RESUMO_MENSAL!D12</f>
        <v/>
      </c>
      <c r="E19" s="378">
        <f>RESUMO_MENSAL!E12</f>
        <v/>
      </c>
      <c r="F19" s="376">
        <f>IF(B19=0,"SEM DADOS",IF(E19&gt;=1,"ACIMA","ABAIXO"))</f>
        <v/>
      </c>
      <c r="G19" s="379">
        <f>RESUMO_MENSAL!F12</f>
        <v/>
      </c>
      <c r="H19" s="377">
        <f>RESUMO_MENSAL!G12</f>
        <v/>
      </c>
      <c r="I19" s="380">
        <f>RESUMO_MENSAL!H12</f>
        <v/>
      </c>
      <c r="J19" s="367" t="n"/>
      <c r="K19" s="367" t="n"/>
      <c r="L19" s="367" t="n"/>
    </row>
    <row r="20" ht="21" customHeight="1" s="468">
      <c r="A20" s="381">
        <f>RESUMO_MENSAL!A13</f>
        <v/>
      </c>
      <c r="B20" s="382">
        <f>RESUMO_MENSAL!B13</f>
        <v/>
      </c>
      <c r="C20" s="382">
        <f>RESUMO_MENSAL!C13</f>
        <v/>
      </c>
      <c r="D20" s="382">
        <f>RESUMO_MENSAL!D13</f>
        <v/>
      </c>
      <c r="E20" s="383">
        <f>RESUMO_MENSAL!E13</f>
        <v/>
      </c>
      <c r="F20" s="381">
        <f>IF(B20=0,"SEM DADOS",IF(E20&gt;=1,"ACIMA","ABAIXO"))</f>
        <v/>
      </c>
      <c r="G20" s="384">
        <f>RESUMO_MENSAL!F13</f>
        <v/>
      </c>
      <c r="H20" s="382">
        <f>RESUMO_MENSAL!G13</f>
        <v/>
      </c>
      <c r="I20" s="385">
        <f>RESUMO_MENSAL!H13</f>
        <v/>
      </c>
      <c r="J20" s="367" t="n"/>
      <c r="K20" s="367" t="n"/>
      <c r="L20" s="367" t="n"/>
    </row>
    <row r="21" ht="21" customHeight="1" s="468">
      <c r="A21" s="376">
        <f>RESUMO_MENSAL!A14</f>
        <v/>
      </c>
      <c r="B21" s="377">
        <f>RESUMO_MENSAL!B14</f>
        <v/>
      </c>
      <c r="C21" s="377">
        <f>RESUMO_MENSAL!C14</f>
        <v/>
      </c>
      <c r="D21" s="377">
        <f>RESUMO_MENSAL!D14</f>
        <v/>
      </c>
      <c r="E21" s="378">
        <f>RESUMO_MENSAL!E14</f>
        <v/>
      </c>
      <c r="F21" s="376">
        <f>IF(B21=0,"SEM DADOS",IF(E21&gt;=1,"ACIMA","ABAIXO"))</f>
        <v/>
      </c>
      <c r="G21" s="379">
        <f>RESUMO_MENSAL!F14</f>
        <v/>
      </c>
      <c r="H21" s="377">
        <f>RESUMO_MENSAL!G14</f>
        <v/>
      </c>
      <c r="I21" s="380">
        <f>RESUMO_MENSAL!H14</f>
        <v/>
      </c>
      <c r="J21" s="367" t="n"/>
      <c r="K21" s="367" t="n"/>
      <c r="L21" s="367" t="n"/>
    </row>
    <row r="22" ht="21" customHeight="1" s="468">
      <c r="A22" s="381">
        <f>RESUMO_MENSAL!A15</f>
        <v/>
      </c>
      <c r="B22" s="382">
        <f>RESUMO_MENSAL!B15</f>
        <v/>
      </c>
      <c r="C22" s="382">
        <f>RESUMO_MENSAL!C15</f>
        <v/>
      </c>
      <c r="D22" s="382">
        <f>RESUMO_MENSAL!D15</f>
        <v/>
      </c>
      <c r="E22" s="383">
        <f>RESUMO_MENSAL!E15</f>
        <v/>
      </c>
      <c r="F22" s="381">
        <f>IF(B22=0,"SEM DADOS",IF(E22&gt;=1,"ACIMA","ABAIXO"))</f>
        <v/>
      </c>
      <c r="G22" s="384">
        <f>RESUMO_MENSAL!F15</f>
        <v/>
      </c>
      <c r="H22" s="382">
        <f>RESUMO_MENSAL!G15</f>
        <v/>
      </c>
      <c r="I22" s="385">
        <f>RESUMO_MENSAL!H15</f>
        <v/>
      </c>
      <c r="J22" s="367" t="n"/>
      <c r="K22" s="367" t="n"/>
      <c r="L22" s="367" t="n"/>
    </row>
    <row r="23" ht="21" customHeight="1" s="468">
      <c r="A23" s="367" t="n"/>
      <c r="B23" s="367" t="n"/>
      <c r="C23" s="367" t="n"/>
      <c r="D23" s="367" t="n"/>
      <c r="E23" s="367" t="n"/>
      <c r="F23" s="367" t="n"/>
      <c r="G23" s="367" t="n"/>
      <c r="H23" s="367" t="n"/>
      <c r="I23" s="367" t="n"/>
      <c r="J23" s="367" t="n"/>
      <c r="K23" s="367" t="n"/>
      <c r="L23" s="367" t="n"/>
    </row>
    <row r="24" ht="24" customHeight="1" s="468">
      <c r="A24" s="608" t="inlineStr">
        <is>
          <t>CONTROLE DE GÁS MENSAL (KG)</t>
        </is>
      </c>
    </row>
    <row r="25" ht="15" customHeight="1" s="468">
      <c r="A25" s="367" t="n"/>
      <c r="B25" s="367" t="n"/>
      <c r="C25" s="367" t="n"/>
      <c r="D25" s="367" t="n"/>
      <c r="E25" s="367" t="n"/>
      <c r="F25" s="367" t="n"/>
      <c r="G25" s="367" t="n"/>
      <c r="H25" s="367" t="n"/>
      <c r="I25" s="367" t="n"/>
      <c r="J25" s="367" t="n"/>
      <c r="K25" s="367" t="n"/>
      <c r="L25" s="367" t="n"/>
    </row>
    <row r="26" ht="19.5" customHeight="1" s="468">
      <c r="A26" s="602" t="inlineStr">
        <is>
          <t>TOTAL GÁS NO ANO</t>
        </is>
      </c>
      <c r="B26" s="603" t="n"/>
      <c r="C26" s="367" t="n"/>
      <c r="D26" s="602" t="inlineStr">
        <is>
          <t>MAIOR CONSUMO</t>
        </is>
      </c>
      <c r="E26" s="603" t="n"/>
      <c r="F26" s="367" t="n"/>
      <c r="G26" s="602" t="inlineStr">
        <is>
          <t>GÁS DO MÊS ATUAL</t>
        </is>
      </c>
      <c r="H26" s="603" t="n"/>
      <c r="I26" s="367" t="n"/>
      <c r="J26" s="367" t="n"/>
      <c r="K26" s="367" t="n"/>
      <c r="L26" s="367" t="n"/>
    </row>
    <row r="27" ht="30" customHeight="1" s="468">
      <c r="A27" s="609">
        <f>SUM(RESUMO_MENSAL!J4:J15)</f>
        <v/>
      </c>
      <c r="B27" s="605" t="n"/>
      <c r="C27" s="367" t="n"/>
      <c r="D27" s="604">
        <f>IFERROR(INDEX(RESUMO_MENSAL!A4:A15,MATCH(MAX(RESUMO_MENSAL!J4:J15),RESUMO_MENSAL!J4:J15,0)),"-")</f>
        <v/>
      </c>
      <c r="E27" s="605" t="n"/>
      <c r="F27" s="367" t="n"/>
      <c r="G27" s="609">
        <f>IFERROR(INDEX(RESUMO_MENSAL!J4:J15,MONTH(TODAY())),0)</f>
        <v/>
      </c>
      <c r="H27" s="605" t="n"/>
      <c r="I27" s="367" t="n"/>
      <c r="J27" s="367" t="n"/>
      <c r="K27" s="367" t="n"/>
      <c r="L27" s="367" t="n"/>
    </row>
    <row r="28" ht="30" customHeight="1" s="468">
      <c r="A28" s="606" t="n"/>
      <c r="B28" s="607" t="n"/>
      <c r="C28" s="367" t="n"/>
      <c r="D28" s="606" t="n"/>
      <c r="E28" s="607" t="n"/>
      <c r="F28" s="367" t="n"/>
      <c r="G28" s="606" t="n"/>
      <c r="H28" s="607" t="n"/>
      <c r="I28" s="367" t="n"/>
      <c r="J28" s="367" t="n"/>
      <c r="K28" s="367" t="n"/>
      <c r="L28" s="367" t="n"/>
    </row>
    <row r="29" ht="19.5" customHeight="1" s="468">
      <c r="A29" s="367" t="n"/>
      <c r="B29" s="367" t="n"/>
      <c r="C29" s="367" t="n"/>
      <c r="D29" s="367" t="n"/>
      <c r="E29" s="367" t="n"/>
      <c r="F29" s="367" t="n"/>
      <c r="G29" s="367" t="n"/>
      <c r="H29" s="367" t="n"/>
      <c r="I29" s="367" t="n"/>
      <c r="J29" s="367" t="n"/>
      <c r="K29" s="367" t="n"/>
      <c r="L29" s="367" t="n"/>
    </row>
    <row r="30" ht="19.5" customHeight="1" s="468">
      <c r="A30" s="610" t="inlineStr">
        <is>
          <t>MÊS</t>
        </is>
      </c>
      <c r="B30" s="610" t="inlineStr">
        <is>
          <t>GÁS MENSAL (KG)</t>
        </is>
      </c>
      <c r="C30" s="610" t="inlineStr">
        <is>
          <t>% DO ANO</t>
        </is>
      </c>
      <c r="D30" s="367" t="n"/>
      <c r="E30" s="610" t="inlineStr">
        <is>
          <t>LEITURA DO GÁS</t>
        </is>
      </c>
      <c r="F30" s="611" t="n"/>
      <c r="G30" s="611" t="n"/>
      <c r="H30" s="611" t="n"/>
      <c r="I30" s="611" t="n"/>
      <c r="J30" s="611" t="n"/>
      <c r="K30" s="611" t="n"/>
      <c r="L30" s="612" t="n"/>
    </row>
    <row r="31" ht="19.5" customHeight="1" s="468">
      <c r="A31" s="387">
        <f>RESUMO_MENSAL!A4</f>
        <v/>
      </c>
      <c r="B31" s="388">
        <f>RESUMO_MENSAL!J4</f>
        <v/>
      </c>
      <c r="C31" s="389">
        <f>IFERROR(B31/$A$27,0)</f>
        <v/>
      </c>
      <c r="D31" s="367" t="n"/>
      <c r="E31" s="594">
        <f>IF(A27=0,"Ainda sem lançamento de gás no ano.","Total de gás no ano: "&amp;TEXT(A27,"#,##0")&amp;" KG. Maior consumo mensal: "&amp;D27&amp;".")</f>
        <v/>
      </c>
      <c r="F31" s="595" t="n"/>
      <c r="G31" s="595" t="n"/>
      <c r="H31" s="595" t="n"/>
      <c r="I31" s="595" t="n"/>
      <c r="J31" s="595" t="n"/>
      <c r="K31" s="595" t="n"/>
      <c r="L31" s="596" t="n"/>
    </row>
    <row r="32" ht="19.5" customHeight="1" s="468">
      <c r="A32" s="390">
        <f>RESUMO_MENSAL!A5</f>
        <v/>
      </c>
      <c r="B32" s="391">
        <f>RESUMO_MENSAL!J5</f>
        <v/>
      </c>
      <c r="C32" s="392">
        <f>IFERROR(B32/$A$27,0)</f>
        <v/>
      </c>
      <c r="D32" s="367" t="n"/>
      <c r="E32" s="597" t="n"/>
      <c r="L32" s="598" t="n"/>
    </row>
    <row r="33" ht="19.5" customHeight="1" s="468">
      <c r="A33" s="387">
        <f>RESUMO_MENSAL!A6</f>
        <v/>
      </c>
      <c r="B33" s="388">
        <f>RESUMO_MENSAL!J6</f>
        <v/>
      </c>
      <c r="C33" s="389">
        <f>IFERROR(B33/$A$27,0)</f>
        <v/>
      </c>
      <c r="D33" s="367" t="n"/>
      <c r="E33" s="599" t="n"/>
      <c r="F33" s="600" t="n"/>
      <c r="G33" s="600" t="n"/>
      <c r="H33" s="600" t="n"/>
      <c r="I33" s="600" t="n"/>
      <c r="J33" s="600" t="n"/>
      <c r="K33" s="600" t="n"/>
      <c r="L33" s="601" t="n"/>
    </row>
    <row r="34" ht="19.5" customHeight="1" s="468">
      <c r="A34" s="390">
        <f>RESUMO_MENSAL!A7</f>
        <v/>
      </c>
      <c r="B34" s="391">
        <f>RESUMO_MENSAL!J7</f>
        <v/>
      </c>
      <c r="C34" s="392">
        <f>IFERROR(B34/$A$27,0)</f>
        <v/>
      </c>
      <c r="D34" s="367" t="n"/>
      <c r="E34" s="367" t="n"/>
      <c r="F34" s="367" t="n"/>
      <c r="G34" s="367" t="n"/>
      <c r="H34" s="367" t="n"/>
      <c r="I34" s="367" t="n"/>
      <c r="J34" s="367" t="n"/>
      <c r="K34" s="367" t="n"/>
      <c r="L34" s="367" t="n"/>
    </row>
    <row r="35" ht="19.5" customHeight="1" s="468">
      <c r="A35" s="387">
        <f>RESUMO_MENSAL!A8</f>
        <v/>
      </c>
      <c r="B35" s="388">
        <f>RESUMO_MENSAL!J8</f>
        <v/>
      </c>
      <c r="C35" s="389">
        <f>IFERROR(B35/$A$27,0)</f>
        <v/>
      </c>
      <c r="D35" s="367" t="n"/>
      <c r="E35" s="367" t="n"/>
      <c r="F35" s="367" t="n"/>
      <c r="G35" s="367" t="n"/>
      <c r="H35" s="367" t="n"/>
      <c r="I35" s="367" t="n"/>
      <c r="J35" s="367" t="n"/>
      <c r="K35" s="367" t="n"/>
      <c r="L35" s="367" t="n"/>
    </row>
    <row r="36" ht="19.5" customHeight="1" s="468">
      <c r="A36" s="390">
        <f>RESUMO_MENSAL!A9</f>
        <v/>
      </c>
      <c r="B36" s="391">
        <f>RESUMO_MENSAL!J9</f>
        <v/>
      </c>
      <c r="C36" s="392">
        <f>IFERROR(B36/$A$27,0)</f>
        <v/>
      </c>
      <c r="D36" s="367" t="n"/>
      <c r="E36" s="367" t="n"/>
      <c r="F36" s="367" t="n"/>
      <c r="G36" s="367" t="n"/>
      <c r="H36" s="367" t="n"/>
      <c r="I36" s="367" t="n"/>
      <c r="J36" s="367" t="n"/>
      <c r="K36" s="367" t="n"/>
      <c r="L36" s="367" t="n"/>
    </row>
    <row r="37" ht="19.5" customHeight="1" s="468">
      <c r="A37" s="387">
        <f>RESUMO_MENSAL!A10</f>
        <v/>
      </c>
      <c r="B37" s="388">
        <f>RESUMO_MENSAL!J10</f>
        <v/>
      </c>
      <c r="C37" s="389">
        <f>IFERROR(B37/$A$27,0)</f>
        <v/>
      </c>
      <c r="D37" s="367" t="n"/>
      <c r="E37" s="367" t="n"/>
      <c r="F37" s="367" t="n"/>
      <c r="G37" s="367" t="n"/>
      <c r="H37" s="367" t="n"/>
      <c r="I37" s="367" t="n"/>
      <c r="J37" s="367" t="n"/>
      <c r="K37" s="367" t="n"/>
      <c r="L37" s="367" t="n"/>
    </row>
    <row r="38" ht="19.5" customHeight="1" s="468">
      <c r="A38" s="390">
        <f>RESUMO_MENSAL!A11</f>
        <v/>
      </c>
      <c r="B38" s="391">
        <f>RESUMO_MENSAL!J11</f>
        <v/>
      </c>
      <c r="C38" s="392">
        <f>IFERROR(B38/$A$27,0)</f>
        <v/>
      </c>
      <c r="D38" s="367" t="n"/>
      <c r="E38" s="367" t="n"/>
      <c r="F38" s="367" t="n"/>
      <c r="G38" s="367" t="n"/>
      <c r="H38" s="367" t="n"/>
      <c r="I38" s="367" t="n"/>
      <c r="J38" s="367" t="n"/>
      <c r="K38" s="367" t="n"/>
      <c r="L38" s="367" t="n"/>
    </row>
    <row r="39" ht="19.5" customHeight="1" s="468">
      <c r="A39" s="387">
        <f>RESUMO_MENSAL!A12</f>
        <v/>
      </c>
      <c r="B39" s="388">
        <f>RESUMO_MENSAL!J12</f>
        <v/>
      </c>
      <c r="C39" s="389">
        <f>IFERROR(B39/$A$27,0)</f>
        <v/>
      </c>
      <c r="D39" s="367" t="n"/>
      <c r="E39" s="367" t="n"/>
      <c r="F39" s="367" t="n"/>
      <c r="G39" s="367" t="n"/>
      <c r="H39" s="367" t="n"/>
      <c r="I39" s="367" t="n"/>
      <c r="J39" s="367" t="n"/>
      <c r="K39" s="367" t="n"/>
      <c r="L39" s="367" t="n"/>
    </row>
    <row r="40" ht="19.5" customHeight="1" s="468">
      <c r="A40" s="390">
        <f>RESUMO_MENSAL!A13</f>
        <v/>
      </c>
      <c r="B40" s="391">
        <f>RESUMO_MENSAL!J13</f>
        <v/>
      </c>
      <c r="C40" s="392">
        <f>IFERROR(B40/$A$27,0)</f>
        <v/>
      </c>
      <c r="D40" s="367" t="n"/>
      <c r="E40" s="367" t="n"/>
      <c r="F40" s="367" t="n"/>
      <c r="G40" s="367" t="n"/>
      <c r="H40" s="367" t="n"/>
      <c r="I40" s="367" t="n"/>
      <c r="J40" s="367" t="n"/>
      <c r="K40" s="367" t="n"/>
      <c r="L40" s="367" t="n"/>
    </row>
    <row r="41" ht="19.5" customHeight="1" s="468">
      <c r="A41" s="387">
        <f>RESUMO_MENSAL!A14</f>
        <v/>
      </c>
      <c r="B41" s="388">
        <f>RESUMO_MENSAL!J14</f>
        <v/>
      </c>
      <c r="C41" s="389">
        <f>IFERROR(B41/$A$27,0)</f>
        <v/>
      </c>
      <c r="D41" s="367" t="n"/>
      <c r="E41" s="367" t="n"/>
      <c r="F41" s="367" t="n"/>
      <c r="G41" s="367" t="n"/>
      <c r="H41" s="367" t="n"/>
      <c r="I41" s="367" t="n"/>
      <c r="J41" s="367" t="n"/>
      <c r="K41" s="367" t="n"/>
      <c r="L41" s="367" t="n"/>
    </row>
    <row r="42" ht="19.5" customHeight="1" s="468">
      <c r="A42" s="393">
        <f>RESUMO_MENSAL!A15</f>
        <v/>
      </c>
      <c r="B42" s="394">
        <f>RESUMO_MENSAL!J15</f>
        <v/>
      </c>
      <c r="C42" s="395">
        <f>IFERROR(B42/$A$27,0)</f>
        <v/>
      </c>
    </row>
  </sheetData>
  <mergeCells count="28">
    <mergeCell ref="K16:L16"/>
    <mergeCell ref="E6:F7"/>
    <mergeCell ref="G6:H7"/>
    <mergeCell ref="K15:L15"/>
    <mergeCell ref="C5:D5"/>
    <mergeCell ref="E5:F5"/>
    <mergeCell ref="A3:L3"/>
    <mergeCell ref="K11:L11"/>
    <mergeCell ref="A1:L2"/>
    <mergeCell ref="A8:L8"/>
    <mergeCell ref="G27:H28"/>
    <mergeCell ref="A26:B26"/>
    <mergeCell ref="E30:L30"/>
    <mergeCell ref="K12:L12"/>
    <mergeCell ref="C6:D7"/>
    <mergeCell ref="A5:B5"/>
    <mergeCell ref="G5:H5"/>
    <mergeCell ref="E31:L33"/>
    <mergeCell ref="K14:L14"/>
    <mergeCell ref="G26:H26"/>
    <mergeCell ref="D27:E28"/>
    <mergeCell ref="K17:L17"/>
    <mergeCell ref="A24:L24"/>
    <mergeCell ref="K10:L10"/>
    <mergeCell ref="A6:B7"/>
    <mergeCell ref="K13:L13"/>
    <mergeCell ref="D26:E26"/>
    <mergeCell ref="A27:B28"/>
  </mergeCells>
  <conditionalFormatting sqref="D11:D22">
    <cfRule type="cellIs" priority="2" operator="lessThan" dxfId="4">
      <formula>0</formula>
    </cfRule>
    <cfRule type="cellIs" priority="3" operator="greaterThan" dxfId="3">
      <formula>0</formula>
    </cfRule>
  </conditionalFormatting>
  <conditionalFormatting sqref="F11:F22">
    <cfRule type="expression" priority="4" dxfId="2">
      <formula>F11="ACIMA"</formula>
    </cfRule>
    <cfRule type="expression" priority="5" dxfId="1">
      <formula>F11="ABAIXO"</formula>
    </cfRule>
    <cfRule type="expression" priority="6" dxfId="0">
      <formula>F11="SEM DADOS"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25" customHeight="1"/>
  <cols>
    <col width="29.44140625" customWidth="1" style="468" min="1" max="1"/>
    <col width="11.33203125" customWidth="1" style="468" min="2" max="2"/>
    <col width="21.109375" customWidth="1" style="468" min="3" max="3"/>
    <col width="10" customWidth="1" style="468" min="4" max="4"/>
    <col width="12.109375" customWidth="1" style="468" min="5" max="5"/>
  </cols>
  <sheetData>
    <row r="1" ht="15" customHeight="1" s="468">
      <c r="A1" s="740" t="inlineStr">
        <is>
          <t>Produto</t>
        </is>
      </c>
      <c r="B1" s="740" t="inlineStr">
        <is>
          <t>Embalagem</t>
        </is>
      </c>
      <c r="C1" s="740" t="inlineStr">
        <is>
          <t>Caixas por Pallet (PBR)</t>
        </is>
      </c>
      <c r="D1" s="740" t="inlineStr">
        <is>
          <t>UN por CX</t>
        </is>
      </c>
      <c r="E1" s="740" t="inlineStr">
        <is>
          <t>Descrição CX</t>
        </is>
      </c>
    </row>
    <row r="2" ht="15" customHeight="1" s="468">
      <c r="A2" s="741" t="inlineStr">
        <is>
          <t>CORANTE</t>
        </is>
      </c>
      <c r="B2" s="741" t="inlineStr">
        <is>
          <t>70 ml</t>
        </is>
      </c>
      <c r="C2" s="741" t="n">
        <v>240</v>
      </c>
      <c r="D2" s="741" t="n">
        <v>12</v>
      </c>
      <c r="E2" s="741" t="inlineStr">
        <is>
          <t>cx c/ 12un</t>
        </is>
      </c>
    </row>
    <row r="3" ht="15" customHeight="1" s="468">
      <c r="A3" s="742" t="inlineStr">
        <is>
          <t>GERAL</t>
        </is>
      </c>
      <c r="B3" s="742" t="inlineStr">
        <is>
          <t>70 ml</t>
        </is>
      </c>
      <c r="C3" s="742" t="n">
        <v>240</v>
      </c>
      <c r="D3" s="742" t="n">
        <v>12</v>
      </c>
      <c r="E3" s="742" t="inlineStr">
        <is>
          <t>cx c/ 12un</t>
        </is>
      </c>
    </row>
    <row r="4" ht="15" customHeight="1" s="468">
      <c r="A4" s="741" t="inlineStr">
        <is>
          <t>GERAL</t>
        </is>
      </c>
      <c r="B4" s="741" t="inlineStr">
        <is>
          <t>100 ml</t>
        </is>
      </c>
      <c r="C4" s="741" t="n">
        <v>240</v>
      </c>
      <c r="D4" s="741" t="n">
        <v>12</v>
      </c>
      <c r="E4" s="741" t="inlineStr">
        <is>
          <t>cx c/ 12un</t>
        </is>
      </c>
    </row>
    <row r="5" ht="15" customHeight="1" s="468">
      <c r="A5" s="397" t="inlineStr">
        <is>
          <t>ÓLEO DE COCO</t>
        </is>
      </c>
      <c r="B5" s="397" t="inlineStr">
        <is>
          <t>100 ml</t>
        </is>
      </c>
      <c r="C5" s="397" t="n">
        <v>240</v>
      </c>
      <c r="D5" s="397" t="n">
        <v>12</v>
      </c>
      <c r="E5" s="397" t="inlineStr">
        <is>
          <t>cx c/ 12un</t>
        </is>
      </c>
    </row>
    <row r="6" ht="15" customHeight="1" s="468">
      <c r="A6" s="450" t="inlineStr">
        <is>
          <t>GERAL</t>
        </is>
      </c>
      <c r="B6" s="450" t="inlineStr">
        <is>
          <t>125 ml</t>
        </is>
      </c>
      <c r="C6" s="450" t="n">
        <v>240</v>
      </c>
      <c r="D6" s="450" t="n">
        <v>12</v>
      </c>
      <c r="E6" s="450" t="inlineStr">
        <is>
          <t>cx c/ 12un</t>
        </is>
      </c>
    </row>
    <row r="7" ht="15" customHeight="1" s="468">
      <c r="A7" s="397" t="inlineStr">
        <is>
          <t>ÓLEO DE COCO CARREFOUR</t>
        </is>
      </c>
      <c r="B7" s="397" t="inlineStr">
        <is>
          <t>125 ml</t>
        </is>
      </c>
      <c r="C7" s="397" t="n">
        <v>240</v>
      </c>
      <c r="D7" s="397" t="n">
        <v>12</v>
      </c>
      <c r="E7" s="397" t="inlineStr">
        <is>
          <t>cx c/ 12un</t>
        </is>
      </c>
    </row>
    <row r="8" ht="15" customHeight="1" s="468">
      <c r="A8" s="450" t="inlineStr">
        <is>
          <t>GERAL</t>
        </is>
      </c>
      <c r="B8" s="450" t="inlineStr">
        <is>
          <t>180 ml</t>
        </is>
      </c>
      <c r="C8" s="450" t="n">
        <v>240</v>
      </c>
      <c r="D8" s="450" t="n">
        <v>12</v>
      </c>
      <c r="E8" s="450" t="inlineStr">
        <is>
          <t>cx c/ 12un</t>
        </is>
      </c>
    </row>
    <row r="9" ht="15" customHeight="1" s="468">
      <c r="A9" s="397" t="inlineStr">
        <is>
          <t>ESPUMA</t>
        </is>
      </c>
      <c r="B9" s="397" t="inlineStr">
        <is>
          <t>200 ml</t>
        </is>
      </c>
      <c r="C9" s="397" t="n">
        <v>330</v>
      </c>
      <c r="D9" s="397" t="n">
        <v>6</v>
      </c>
      <c r="E9" s="397" t="inlineStr">
        <is>
          <t>cx c/ 6un</t>
        </is>
      </c>
    </row>
    <row r="10" ht="15" customHeight="1" s="468">
      <c r="A10" s="450" t="inlineStr">
        <is>
          <t>GERAL</t>
        </is>
      </c>
      <c r="B10" s="450" t="inlineStr">
        <is>
          <t>200 ml</t>
        </is>
      </c>
      <c r="C10" s="450" t="n">
        <v>330</v>
      </c>
      <c r="D10" s="450" t="n">
        <v>6</v>
      </c>
      <c r="E10" s="450" t="inlineStr">
        <is>
          <t>cx c/ 6un</t>
        </is>
      </c>
    </row>
    <row r="11" ht="15" customHeight="1" s="468">
      <c r="A11" s="397" t="inlineStr">
        <is>
          <t>ÓLEO DE COCO SANTO OLEO</t>
        </is>
      </c>
      <c r="B11" s="397" t="inlineStr">
        <is>
          <t>200 ml</t>
        </is>
      </c>
      <c r="C11" s="397" t="n">
        <v>330</v>
      </c>
      <c r="D11" s="397" t="n">
        <v>6</v>
      </c>
      <c r="E11" s="397" t="inlineStr">
        <is>
          <t>cx c/ 6un</t>
        </is>
      </c>
    </row>
    <row r="12" ht="15" customHeight="1" s="468">
      <c r="A12" s="450" t="inlineStr">
        <is>
          <t>GERAL</t>
        </is>
      </c>
      <c r="B12" s="450" t="inlineStr">
        <is>
          <t>400 ml</t>
        </is>
      </c>
      <c r="C12" s="450" t="n">
        <v>125</v>
      </c>
      <c r="D12" s="450" t="n">
        <v>12</v>
      </c>
      <c r="E12" s="450" t="inlineStr">
        <is>
          <t>cx c/ 12un</t>
        </is>
      </c>
    </row>
    <row r="13" ht="15" customHeight="1" s="468">
      <c r="A13" s="397" t="inlineStr">
        <is>
          <t>ICEBERG</t>
        </is>
      </c>
      <c r="B13" s="397" t="inlineStr">
        <is>
          <t>400 ml</t>
        </is>
      </c>
      <c r="C13" s="397" t="n">
        <v>110</v>
      </c>
      <c r="D13" s="397" t="n">
        <v>12</v>
      </c>
      <c r="E13" s="397" t="inlineStr">
        <is>
          <t>cx c/ 12un</t>
        </is>
      </c>
    </row>
    <row r="14" ht="15" customHeight="1" s="468">
      <c r="A14" s="398" t="inlineStr">
        <is>
          <t>DOURATTO</t>
        </is>
      </c>
      <c r="B14" s="398" t="inlineStr">
        <is>
          <t>500 ml</t>
        </is>
      </c>
      <c r="C14" s="398" t="n">
        <v>95</v>
      </c>
      <c r="D14" s="398" t="n">
        <v>12</v>
      </c>
      <c r="E14" s="398" t="inlineStr">
        <is>
          <t>cx c/ 12un</t>
        </is>
      </c>
    </row>
    <row r="15" ht="15" customHeight="1" s="468">
      <c r="A15" s="397" t="inlineStr">
        <is>
          <t>GERAL</t>
        </is>
      </c>
      <c r="B15" s="397" t="inlineStr">
        <is>
          <t>600 ml</t>
        </is>
      </c>
      <c r="C15" s="397" t="n">
        <v>95</v>
      </c>
      <c r="D15" s="397" t="n">
        <v>12</v>
      </c>
      <c r="E15" s="397" t="inlineStr">
        <is>
          <t>cx c/ 12un</t>
        </is>
      </c>
    </row>
    <row r="16" ht="15" customHeight="1" s="468">
      <c r="A16" s="398" t="inlineStr">
        <is>
          <t>NORCAU PURATOS</t>
        </is>
      </c>
      <c r="B16" s="398" t="inlineStr">
        <is>
          <t>600 ml</t>
        </is>
      </c>
      <c r="C16" s="398" t="n">
        <v>95</v>
      </c>
      <c r="D16" s="398" t="n">
        <v>12</v>
      </c>
      <c r="E16" s="398" t="inlineStr">
        <is>
          <t>cx c/ 12un</t>
        </is>
      </c>
    </row>
    <row r="17" ht="15" customHeight="1" s="468">
      <c r="A17" s="397" t="inlineStr">
        <is>
          <t>PURATOS DESTAK</t>
        </is>
      </c>
      <c r="B17" s="397" t="inlineStr">
        <is>
          <t>600 ml</t>
        </is>
      </c>
      <c r="C17" s="397" t="n">
        <v>190</v>
      </c>
      <c r="D17" s="397" t="n">
        <v>6</v>
      </c>
      <c r="E17" s="397" t="inlineStr">
        <is>
          <t>cx c/ 6un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14"/>
  <sheetViews>
    <sheetView zoomScaleNormal="100" workbookViewId="0">
      <selection activeCell="A1" sqref="A1"/>
    </sheetView>
  </sheetViews>
  <sheetFormatPr baseColWidth="8" defaultColWidth="8.6640625" defaultRowHeight="14.25" customHeight="1"/>
  <cols>
    <col width="22" customWidth="1" style="468" min="1" max="1"/>
    <col width="22" customWidth="1" style="468" min="2" max="2"/>
    <col width="22" customWidth="1" style="468" min="3" max="3"/>
    <col width="22" customWidth="1" style="468" min="4" max="4"/>
    <col width="22" customWidth="1" style="468" min="5" max="5"/>
    <col width="22" customWidth="1" style="468" min="6" max="6"/>
    <col width="22" customWidth="1" style="468" min="7" max="7"/>
  </cols>
  <sheetData>
    <row r="1" ht="15" customHeight="1" s="468">
      <c r="A1" t="inlineStr">
        <is>
          <t>TODAS</t>
        </is>
      </c>
      <c r="B1" t="inlineStr">
        <is>
          <t>CORANTE</t>
        </is>
      </c>
      <c r="C1" t="inlineStr">
        <is>
          <t>COCO</t>
        </is>
      </c>
      <c r="D1" t="inlineStr">
        <is>
          <t>600ML</t>
        </is>
      </c>
      <c r="F1" s="623" t="inlineStr">
        <is>
          <t>PRODUTOS_VALIDAÇÃO</t>
        </is>
      </c>
    </row>
    <row r="2" ht="15" customHeight="1" s="468">
      <c r="A2" s="71" t="n">
        <v>70</v>
      </c>
      <c r="B2" s="71" t="n">
        <v>70</v>
      </c>
      <c r="C2" s="71" t="n">
        <v>100</v>
      </c>
      <c r="D2" s="71" t="n">
        <v>600</v>
      </c>
      <c r="F2" t="inlineStr">
        <is>
          <t>3 LIMÕES DILUTE</t>
        </is>
      </c>
    </row>
    <row r="3" ht="15" customHeight="1" s="468">
      <c r="A3" s="71" t="n">
        <v>100</v>
      </c>
      <c r="C3" s="71" t="n">
        <v>125</v>
      </c>
      <c r="F3" t="inlineStr">
        <is>
          <t>ADIMIX</t>
        </is>
      </c>
    </row>
    <row r="4" ht="15" customHeight="1" s="468">
      <c r="A4" s="71" t="n">
        <v>125</v>
      </c>
      <c r="F4" t="inlineStr">
        <is>
          <t>ADIMIX (FADEVA)</t>
        </is>
      </c>
    </row>
    <row r="5" ht="15" customHeight="1" s="468">
      <c r="A5" s="71" t="n">
        <v>180</v>
      </c>
      <c r="F5" t="inlineStr">
        <is>
          <t>ADIMIX (PRECISION)</t>
        </is>
      </c>
    </row>
    <row r="6" ht="15" customHeight="1" s="468">
      <c r="A6" s="71" t="n">
        <v>200</v>
      </c>
      <c r="F6" t="inlineStr">
        <is>
          <t>ADIMIX LISSE</t>
        </is>
      </c>
    </row>
    <row r="7" ht="15" customHeight="1" s="468">
      <c r="A7" s="71" t="n">
        <v>400</v>
      </c>
      <c r="F7" t="inlineStr">
        <is>
          <t>ADKO</t>
        </is>
      </c>
    </row>
    <row r="8" ht="15" customHeight="1" s="468">
      <c r="A8" s="71" t="n">
        <v>500</v>
      </c>
      <c r="F8" t="inlineStr">
        <is>
          <t>ALL BREAD</t>
        </is>
      </c>
    </row>
    <row r="9" ht="15" customHeight="1" s="468">
      <c r="A9" s="71" t="n">
        <v>600</v>
      </c>
      <c r="F9" t="inlineStr">
        <is>
          <t>ALL BREAD MANTEIGA</t>
        </is>
      </c>
    </row>
    <row r="10">
      <c r="F10" t="inlineStr">
        <is>
          <t>ALLBREAD</t>
        </is>
      </c>
    </row>
    <row r="11">
      <c r="F11" t="inlineStr">
        <is>
          <t>ANTIMOFO IN LOCO</t>
        </is>
      </c>
    </row>
    <row r="12">
      <c r="F12" t="inlineStr">
        <is>
          <t>AP VIOLA</t>
        </is>
      </c>
    </row>
    <row r="13">
      <c r="F13" t="inlineStr">
        <is>
          <t>BRICOFLEX</t>
        </is>
      </c>
    </row>
    <row r="14">
      <c r="F14" t="inlineStr">
        <is>
          <t>CARREFOUR COCO</t>
        </is>
      </c>
    </row>
    <row r="15">
      <c r="F15" t="inlineStr">
        <is>
          <t>CASA DO PANIFICADOR</t>
        </is>
      </c>
    </row>
    <row r="16">
      <c r="F16" t="inlineStr">
        <is>
          <t>CASA PANIFICADOR</t>
        </is>
      </c>
    </row>
    <row r="17">
      <c r="F17" t="inlineStr">
        <is>
          <t>CELEBRATE</t>
        </is>
      </c>
    </row>
    <row r="18">
      <c r="F18" t="inlineStr">
        <is>
          <t>CLEIDE DOCES</t>
        </is>
      </c>
    </row>
    <row r="19">
      <c r="F19" t="inlineStr">
        <is>
          <t>COPRA EXTRAVIRGEM</t>
        </is>
      </c>
    </row>
    <row r="20">
      <c r="F20" t="inlineStr">
        <is>
          <t>COPRA SEM SABOR</t>
        </is>
      </c>
    </row>
    <row r="21">
      <c r="F21" t="inlineStr">
        <is>
          <t>CORANTE</t>
        </is>
      </c>
    </row>
    <row r="22">
      <c r="F22" t="inlineStr">
        <is>
          <t>CORANTE AMARELO</t>
        </is>
      </c>
    </row>
    <row r="23">
      <c r="F23" t="inlineStr">
        <is>
          <t>CORANTE AMARELO IN LOCO</t>
        </is>
      </c>
    </row>
    <row r="24">
      <c r="F24" t="inlineStr">
        <is>
          <t>CORANTE AMARELO REPETECO</t>
        </is>
      </c>
    </row>
    <row r="25">
      <c r="F25" t="inlineStr">
        <is>
          <t>CORANTE AZUL</t>
        </is>
      </c>
    </row>
    <row r="26">
      <c r="F26" t="inlineStr">
        <is>
          <t>CORANTE AZUL CEU REPETECO</t>
        </is>
      </c>
    </row>
    <row r="27">
      <c r="F27" t="inlineStr">
        <is>
          <t>CORANTE AZUL INLOCO</t>
        </is>
      </c>
    </row>
    <row r="28">
      <c r="F28" t="inlineStr">
        <is>
          <t>CORANTE LARANJA REPETECO</t>
        </is>
      </c>
    </row>
    <row r="29">
      <c r="F29" t="inlineStr">
        <is>
          <t>CORANTE REPETECO LARANJA</t>
        </is>
      </c>
    </row>
    <row r="30">
      <c r="F30" t="inlineStr">
        <is>
          <t>CORANTE REPETECO VERDE</t>
        </is>
      </c>
    </row>
    <row r="31">
      <c r="F31" t="inlineStr">
        <is>
          <t>CORANTE REPETECO VIOLETA</t>
        </is>
      </c>
    </row>
    <row r="32">
      <c r="F32" t="inlineStr">
        <is>
          <t>CORANTE ROSA IN LOCO</t>
        </is>
      </c>
    </row>
    <row r="33">
      <c r="F33" t="inlineStr">
        <is>
          <t>CORANTE ROSA REPETECO</t>
        </is>
      </c>
    </row>
    <row r="34">
      <c r="F34" t="inlineStr">
        <is>
          <t>CORANTE VERDE IN LOCO</t>
        </is>
      </c>
    </row>
    <row r="35">
      <c r="F35" t="inlineStr">
        <is>
          <t>CORANTE VERDE REPETECO</t>
        </is>
      </c>
    </row>
    <row r="36">
      <c r="F36" t="inlineStr">
        <is>
          <t>CORANTE VERMELHO</t>
        </is>
      </c>
    </row>
    <row r="37">
      <c r="F37" t="inlineStr">
        <is>
          <t>CORANTE VERMELHO INLOCO</t>
        </is>
      </c>
    </row>
    <row r="38">
      <c r="F38" t="inlineStr">
        <is>
          <t>CORANTE VERMELHO REPETECO</t>
        </is>
      </c>
    </row>
    <row r="39">
      <c r="F39" t="inlineStr">
        <is>
          <t>CORANTE VIOLETA</t>
        </is>
      </c>
    </row>
    <row r="40">
      <c r="F40" t="inlineStr">
        <is>
          <t>CORANTE VIOLETA REPETECO</t>
        </is>
      </c>
    </row>
    <row r="41">
      <c r="F41" t="inlineStr">
        <is>
          <t>DESMOLDANTE CHEF ICEBERG</t>
        </is>
      </c>
    </row>
    <row r="42">
      <c r="F42" t="inlineStr">
        <is>
          <t>DESTAK</t>
        </is>
      </c>
    </row>
    <row r="43">
      <c r="F43" t="inlineStr">
        <is>
          <t>DISPAN</t>
        </is>
      </c>
    </row>
    <row r="44">
      <c r="F44" t="inlineStr">
        <is>
          <t>DONA JURA</t>
        </is>
      </c>
    </row>
    <row r="45">
      <c r="F45" t="inlineStr">
        <is>
          <t>DOURATTO</t>
        </is>
      </c>
    </row>
    <row r="46">
      <c r="F46" t="inlineStr">
        <is>
          <t>ECO UNTA FACIL</t>
        </is>
      </c>
    </row>
    <row r="47">
      <c r="F47" t="inlineStr">
        <is>
          <t>ESPUMA</t>
        </is>
      </c>
    </row>
    <row r="48">
      <c r="F48" t="inlineStr">
        <is>
          <t>ESPUMA  BANANA GIN SABORES</t>
        </is>
      </c>
    </row>
    <row r="49">
      <c r="F49" t="inlineStr">
        <is>
          <t>ESPUMA ABACAXI TM</t>
        </is>
      </c>
    </row>
    <row r="50">
      <c r="F50" t="inlineStr">
        <is>
          <t>ESPUMA ABACAXI TM COPA</t>
        </is>
      </c>
    </row>
    <row r="51">
      <c r="F51" t="inlineStr">
        <is>
          <t>ESPUMA DILUTE 3 LIMÕES</t>
        </is>
      </c>
    </row>
    <row r="52">
      <c r="F52" t="inlineStr">
        <is>
          <t>ESPUMA FRUTAS VERMELHAS</t>
        </is>
      </c>
    </row>
    <row r="53">
      <c r="F53" t="inlineStr">
        <is>
          <t>ESPUMA FRUTAS VERMELHAS GIN SABORES</t>
        </is>
      </c>
    </row>
    <row r="54">
      <c r="F54" t="inlineStr">
        <is>
          <t>ESPUMA FRUTAS VERMELHAS IN LOCO</t>
        </is>
      </c>
    </row>
    <row r="55">
      <c r="F55" t="inlineStr">
        <is>
          <t>ESPUMA GENGIBRE DILUTE</t>
        </is>
      </c>
    </row>
    <row r="56">
      <c r="F56" t="inlineStr">
        <is>
          <t>ESPUMA GENGIBRE GIN SABORES</t>
        </is>
      </c>
    </row>
    <row r="57">
      <c r="F57" t="inlineStr">
        <is>
          <t>ESPUMA GENGIBRE IN LOCO</t>
        </is>
      </c>
    </row>
    <row r="58">
      <c r="F58" t="inlineStr">
        <is>
          <t>ESPUMA LIMÃO GIN SABORES</t>
        </is>
      </c>
    </row>
    <row r="59">
      <c r="F59" t="inlineStr">
        <is>
          <t>ESPUMA LIMÃO SICILIANO IN LOCO</t>
        </is>
      </c>
    </row>
    <row r="60">
      <c r="F60" t="inlineStr">
        <is>
          <t>ESPUMA MAÇA VERDE IN LOCO</t>
        </is>
      </c>
    </row>
    <row r="61">
      <c r="F61" t="inlineStr">
        <is>
          <t>ESPUMA MELANCIA TM</t>
        </is>
      </c>
    </row>
    <row r="62">
      <c r="F62" t="inlineStr">
        <is>
          <t>ESPUMA MELANCIA TM COPA</t>
        </is>
      </c>
    </row>
    <row r="63">
      <c r="F63" t="inlineStr">
        <is>
          <t>ESPUMA MORANGO GIN SABORES</t>
        </is>
      </c>
    </row>
    <row r="64">
      <c r="F64" t="inlineStr">
        <is>
          <t>ESPUMA MORANGO IN LOCO</t>
        </is>
      </c>
    </row>
    <row r="65">
      <c r="F65" t="inlineStr">
        <is>
          <t>ESPUMA MORANGO TM</t>
        </is>
      </c>
    </row>
    <row r="66">
      <c r="F66" t="inlineStr">
        <is>
          <t>ESPUMA MORANGO TM COPA</t>
        </is>
      </c>
    </row>
    <row r="67">
      <c r="F67" t="inlineStr">
        <is>
          <t>ESPUMA TANGERINA IN LOCO</t>
        </is>
      </c>
    </row>
    <row r="68">
      <c r="F68" t="inlineStr">
        <is>
          <t>ESPUMA TUTTI FRUTI TM</t>
        </is>
      </c>
    </row>
    <row r="69">
      <c r="F69" t="inlineStr">
        <is>
          <t>ESPUMA TUTTI FRUTI TM COPA</t>
        </is>
      </c>
    </row>
    <row r="70">
      <c r="F70" t="inlineStr">
        <is>
          <t>ESPUMA UVA TM</t>
        </is>
      </c>
    </row>
    <row r="71">
      <c r="F71" t="inlineStr">
        <is>
          <t>ESPUMA UVA TM COPA</t>
        </is>
      </c>
    </row>
    <row r="72">
      <c r="F72" t="inlineStr">
        <is>
          <t>F. VERMELHAS DILUTE</t>
        </is>
      </c>
    </row>
    <row r="73">
      <c r="F73" t="inlineStr">
        <is>
          <t>FERIADO</t>
        </is>
      </c>
    </row>
    <row r="74">
      <c r="F74" t="inlineStr">
        <is>
          <t>FESTPAN</t>
        </is>
      </c>
    </row>
    <row r="75">
      <c r="F75" t="inlineStr">
        <is>
          <t>GELINHO ICEBERG</t>
        </is>
      </c>
    </row>
    <row r="76">
      <c r="F76" t="inlineStr">
        <is>
          <t>GENGIBRE</t>
        </is>
      </c>
    </row>
    <row r="77">
      <c r="F77" t="inlineStr">
        <is>
          <t>GENGIBRE DILUTE</t>
        </is>
      </c>
    </row>
    <row r="78">
      <c r="F78" t="inlineStr">
        <is>
          <t>GENGIBRE INLOCO</t>
        </is>
      </c>
    </row>
    <row r="79">
      <c r="F79" t="inlineStr">
        <is>
          <t>ICEBERG</t>
        </is>
      </c>
    </row>
    <row r="80">
      <c r="F80" t="inlineStr">
        <is>
          <t>ICEBERG CHEF</t>
        </is>
      </c>
    </row>
    <row r="81">
      <c r="F81" t="inlineStr">
        <is>
          <t>IN LOCO</t>
        </is>
      </c>
    </row>
    <row r="82">
      <c r="F82" t="inlineStr">
        <is>
          <t>INLOCO ECO</t>
        </is>
      </c>
    </row>
    <row r="83">
      <c r="F83" t="inlineStr">
        <is>
          <t>ITAIQUARA</t>
        </is>
      </c>
    </row>
    <row r="84">
      <c r="F84" t="inlineStr">
        <is>
          <t>MAGIC SPRAY EMBRAPAN</t>
        </is>
      </c>
    </row>
    <row r="85">
      <c r="F85" t="inlineStr">
        <is>
          <t>MAÇA VERDE DILUTE</t>
        </is>
      </c>
    </row>
    <row r="86">
      <c r="F86" t="inlineStr">
        <is>
          <t>NORCAU PURATOS</t>
        </is>
      </c>
    </row>
    <row r="87">
      <c r="F87" t="inlineStr">
        <is>
          <t>OLEO DE COCO CARREFOUR</t>
        </is>
      </c>
    </row>
    <row r="88">
      <c r="F88" t="inlineStr">
        <is>
          <t>OLEO DE COCO COPRA MANTEIGA</t>
        </is>
      </c>
    </row>
    <row r="89">
      <c r="F89" t="inlineStr">
        <is>
          <t>OLEO DE COCO SANTO OLEO</t>
        </is>
      </c>
    </row>
    <row r="90">
      <c r="F90" t="inlineStr">
        <is>
          <t>OLEO DE COCO TAEQ</t>
        </is>
      </c>
    </row>
    <row r="91">
      <c r="F91" t="inlineStr">
        <is>
          <t>OLEO DE COCO TEAQ</t>
        </is>
      </c>
    </row>
    <row r="92">
      <c r="F92" t="inlineStr">
        <is>
          <t>PURATOS</t>
        </is>
      </c>
    </row>
    <row r="93">
      <c r="F93" t="inlineStr">
        <is>
          <t>PURATOS DESTAK</t>
        </is>
      </c>
    </row>
    <row r="94">
      <c r="F94" t="inlineStr">
        <is>
          <t>PURATOS NORCAU</t>
        </is>
      </c>
    </row>
    <row r="95">
      <c r="F95" t="inlineStr">
        <is>
          <t>QUALICOCO EXTRAVIRGEM</t>
        </is>
      </c>
    </row>
    <row r="96">
      <c r="F96" t="inlineStr">
        <is>
          <t>QUALICOCO MANTEIGA</t>
        </is>
      </c>
    </row>
    <row r="97">
      <c r="F97" t="inlineStr">
        <is>
          <t>REPETECO CHEF</t>
        </is>
      </c>
    </row>
    <row r="98">
      <c r="F98" t="inlineStr">
        <is>
          <t>REPETECO CHEF MASTER</t>
        </is>
      </c>
    </row>
    <row r="99">
      <c r="F99" t="inlineStr">
        <is>
          <t>ROCHAPAN</t>
        </is>
      </c>
    </row>
    <row r="100">
      <c r="F100" t="inlineStr">
        <is>
          <t>ROCHAPAN BONASSE</t>
        </is>
      </c>
    </row>
    <row r="101">
      <c r="F101" t="inlineStr">
        <is>
          <t>SANTO ÓLEO EXTRA VIRGEM</t>
        </is>
      </c>
    </row>
    <row r="102">
      <c r="F102" t="inlineStr">
        <is>
          <t>SANTO ÓLEO SEM SABOR</t>
        </is>
      </c>
    </row>
    <row r="103">
      <c r="F103" t="inlineStr">
        <is>
          <t>SEM PRODUÇÃO</t>
        </is>
      </c>
    </row>
    <row r="104">
      <c r="F104" t="inlineStr">
        <is>
          <t>TTF</t>
        </is>
      </c>
    </row>
    <row r="105">
      <c r="F105" t="inlineStr">
        <is>
          <t>TTF MEL</t>
        </is>
      </c>
    </row>
    <row r="106">
      <c r="F106" t="inlineStr">
        <is>
          <t>UNTA FACIL</t>
        </is>
      </c>
    </row>
    <row r="107">
      <c r="F107" t="inlineStr">
        <is>
          <t>UNTA FACIL AZEITE</t>
        </is>
      </c>
    </row>
    <row r="108">
      <c r="F108" t="inlineStr">
        <is>
          <t>UNTA FACIL ECO</t>
        </is>
      </c>
    </row>
    <row r="109">
      <c r="F109" t="inlineStr">
        <is>
          <t>UNTA FACIL IN LOCO</t>
        </is>
      </c>
    </row>
    <row r="110">
      <c r="F110" t="inlineStr">
        <is>
          <t>UNTA FORMA QUALITA</t>
        </is>
      </c>
    </row>
    <row r="111">
      <c r="F111" t="inlineStr">
        <is>
          <t>VIA PANE</t>
        </is>
      </c>
    </row>
    <row r="112">
      <c r="F112" t="inlineStr">
        <is>
          <t>ÓLEO DE COCO</t>
        </is>
      </c>
    </row>
    <row r="113">
      <c r="F113" t="inlineStr">
        <is>
          <t>ÓLEO DE COCO CARREFOUR</t>
        </is>
      </c>
    </row>
    <row r="114">
      <c r="F114" t="inlineStr">
        <is>
          <t>ÓLEO DE COCO SANTO OLEO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9.xml><?xml version="1.0" encoding="utf-8"?>
<worksheet xmlns="http://schemas.openxmlformats.org/spreadsheetml/2006/main">
  <sheetPr>
    <tabColor rgb="FF2F3A4A"/>
    <outlinePr summaryBelow="1" summaryRight="1"/>
    <pageSetUpPr/>
  </sheetPr>
  <dimension ref="A1:F47"/>
  <sheetViews>
    <sheetView showGridLines="0" topLeftCell="A28" zoomScaleNormal="100" workbookViewId="0">
      <selection activeCell="A46" sqref="A46"/>
    </sheetView>
  </sheetViews>
  <sheetFormatPr baseColWidth="8" defaultColWidth="8.6640625" defaultRowHeight="14.25" customHeight="1"/>
  <cols>
    <col width="95" customWidth="1" style="468" min="1" max="1"/>
    <col width="18" customWidth="1" style="468" min="2" max="6"/>
  </cols>
  <sheetData>
    <row r="1" ht="21" customHeight="1" s="468">
      <c r="A1" s="614" t="inlineStr">
        <is>
          <t>INSTRUÇÕES DE USO – CONTROLE DE PRODUÇÃO</t>
        </is>
      </c>
      <c r="B1" s="582" t="n"/>
      <c r="C1" s="582" t="n"/>
      <c r="D1" s="582" t="n"/>
      <c r="E1" s="582" t="n"/>
      <c r="F1" s="583" t="n"/>
    </row>
    <row r="2" ht="15" customHeight="1" s="468">
      <c r="A2" s="399" t="inlineStr">
        <is>
          <t>Ajuste aplicado: TOTAL LATAS nas abas SEMANA usa a quantidade digitada em REAL (CX).</t>
        </is>
      </c>
    </row>
    <row r="3" ht="15" customHeight="1" s="468">
      <c r="A3" s="616" t="inlineStr">
        <is>
          <t>Multiplica por 6 un/cx apenas para ESPUMA 200 ml, PURATOS DESTAK 600 ml e ÓLEO DE COCO 200 ml. Demais itens seguem 12 un/cx.</t>
        </is>
      </c>
      <c r="B3" s="617" t="n"/>
      <c r="C3" s="617" t="n"/>
      <c r="D3" s="617" t="n"/>
      <c r="E3" s="617" t="n"/>
      <c r="F3" s="618" t="n"/>
    </row>
    <row r="4" ht="15" customHeight="1" s="468">
      <c r="A4" s="400" t="inlineStr">
        <is>
          <t>1. Preencha apenas: PRODUTO, EMBALAGEM e CAIXAS</t>
        </is>
      </c>
    </row>
    <row r="5" ht="15" customHeight="1" s="468">
      <c r="A5" s="400" t="inlineStr">
        <is>
          <t>2. O restante é automático</t>
        </is>
      </c>
    </row>
    <row r="6" ht="15" customHeight="1" s="468">
      <c r="A6" s="401" t="n"/>
    </row>
    <row r="7" ht="15" customHeight="1" s="468">
      <c r="A7" s="616" t="inlineStr">
        <is>
          <t>EMBALAGENS DISPONÍVEIS</t>
        </is>
      </c>
      <c r="B7" s="617" t="n"/>
      <c r="C7" s="617" t="n"/>
      <c r="D7" s="617" t="n"/>
      <c r="E7" s="617" t="n"/>
      <c r="F7" s="618" t="n"/>
    </row>
    <row r="8" ht="15" customHeight="1" s="468">
      <c r="A8" s="402" t="inlineStr">
        <is>
          <t>70 ml | 100 ml | 125 ml | 180 ml | 200 ml | 400 ml | 500 ml | 600 ml</t>
        </is>
      </c>
    </row>
    <row r="9" ht="15" customHeight="1" s="468">
      <c r="A9" s="615" t="n"/>
      <c r="B9" s="582" t="n"/>
      <c r="C9" s="582" t="n"/>
      <c r="D9" s="582" t="n"/>
      <c r="E9" s="582" t="n"/>
      <c r="F9" s="583" t="n"/>
    </row>
    <row r="10" ht="15" customHeight="1" s="468">
      <c r="A10" s="403" t="inlineStr">
        <is>
          <t>REGRAS</t>
        </is>
      </c>
      <c r="B10" s="404" t="n"/>
      <c r="C10" s="404" t="n"/>
      <c r="D10" s="404" t="n"/>
      <c r="E10" s="404" t="n"/>
      <c r="F10" s="404" t="n"/>
    </row>
    <row r="11" ht="15" customHeight="1" s="468">
      <c r="A11" s="402" t="inlineStr">
        <is>
          <t>CORANTE 70 ml → 240 cx/pallet</t>
        </is>
      </c>
    </row>
    <row r="12" ht="15" customHeight="1" s="468">
      <c r="A12" s="402" t="inlineStr">
        <is>
          <t>ÓLEO DE COCO / COPRA 100 ml → 240 cx/pallet</t>
        </is>
      </c>
    </row>
    <row r="13" ht="15" customHeight="1" s="468">
      <c r="A13" s="402" t="inlineStr">
        <is>
          <t>125 ml → 240 cx/pallet</t>
        </is>
      </c>
    </row>
    <row r="14" ht="15" customHeight="1" s="468">
      <c r="A14" s="402" t="inlineStr">
        <is>
          <t>180 ml → 240 cx/pallet</t>
        </is>
      </c>
    </row>
    <row r="15" ht="15" customHeight="1" s="468">
      <c r="A15" s="402" t="inlineStr">
        <is>
          <t>200 ml → 330 cx/pallet</t>
        </is>
      </c>
    </row>
    <row r="16" ht="15" customHeight="1" s="468">
      <c r="A16" s="402" t="inlineStr">
        <is>
          <t>400 ml → 125 cx/pallet</t>
        </is>
      </c>
    </row>
    <row r="17" ht="15" customHeight="1" s="468">
      <c r="A17" s="402" t="inlineStr">
        <is>
          <t>500 ml → somente DOURATTO | 95 cx/pallet | 12 un/cx</t>
        </is>
      </c>
    </row>
    <row r="18" ht="15" customHeight="1" s="468">
      <c r="A18" s="402" t="inlineStr">
        <is>
          <t>600 ml → conforme produto</t>
        </is>
      </c>
      <c r="B18" s="404" t="n"/>
      <c r="C18" s="404" t="n"/>
      <c r="D18" s="404" t="n"/>
      <c r="E18" s="404" t="n"/>
      <c r="F18" s="404" t="n"/>
    </row>
    <row r="19" ht="15" customHeight="1" s="468">
      <c r="A19" s="402" t="inlineStr">
        <is>
          <t>- CX/PALLET automático</t>
        </is>
      </c>
    </row>
    <row r="20" ht="15" customHeight="1" s="468">
      <c r="A20" s="402" t="inlineStr">
        <is>
          <t>- PALLETS automático</t>
        </is>
      </c>
    </row>
    <row r="21" ht="15" customHeight="1" s="468">
      <c r="A21" s="402" t="inlineStr">
        <is>
          <t>- 600 ml automático por produto</t>
        </is>
      </c>
    </row>
    <row r="22" ht="15" customHeight="1" s="468">
      <c r="A22" s="401" t="n"/>
    </row>
    <row r="23" ht="15" customHeight="1" s="468">
      <c r="A23" s="403" t="inlineStr">
        <is>
          <t>IMPORTANTE</t>
        </is>
      </c>
      <c r="B23" s="404" t="n"/>
      <c r="C23" s="404" t="n"/>
      <c r="D23" s="404" t="n"/>
      <c r="E23" s="404" t="n"/>
      <c r="F23" s="404" t="n"/>
    </row>
    <row r="24" ht="15" customHeight="1" s="468">
      <c r="A24" s="402" t="inlineStr">
        <is>
          <t>- Não alterar fórmulas</t>
        </is>
      </c>
    </row>
    <row r="25" ht="15" customHeight="1" s="468">
      <c r="A25" s="402" t="inlineStr">
        <is>
          <t>- Usar lista de seleção</t>
        </is>
      </c>
    </row>
    <row r="26" ht="15" customHeight="1" s="468">
      <c r="A26" s="402" t="inlineStr">
        <is>
          <t>Datas em dd/mm/aaaa (padrão brasileiro)</t>
        </is>
      </c>
    </row>
    <row r="27" ht="14.4" customHeight="1" s="468"/>
    <row r="28" ht="15" customHeight="1" s="468">
      <c r="A28" s="2" t="inlineStr">
        <is>
          <t>Atualização versão final</t>
        </is>
      </c>
    </row>
    <row r="29" ht="15" customHeight="1" s="468">
      <c r="A29" s="470" t="inlineStr">
        <is>
          <t>Nas abas SEMANA, os totais diários visíveis foram convertidos para exibição em texto.</t>
        </is>
      </c>
    </row>
    <row r="30" ht="15" customHeight="1" s="468">
      <c r="A30" s="470" t="inlineStr">
        <is>
          <t>Assim, ao selecionar uma coluna inteira (ex.: REAL (CX)), o Excel não soma o subtotal do dia junto.</t>
        </is>
      </c>
    </row>
    <row r="31" ht="14.25" customHeight="1" s="468">
      <c r="A31" s="420" t="n"/>
    </row>
    <row r="32" ht="14.25" customHeight="1" s="468">
      <c r="A32" s="2" t="inlineStr">
        <is>
          <t>Abas de mês e gráfico: datas exibidas como 01/12/2026.</t>
        </is>
      </c>
    </row>
    <row r="33" ht="14.25" customHeight="1" s="468">
      <c r="A33" s="470" t="inlineStr">
        <is>
          <t>A data continua sendo data real do Excel, não texto; assim fórmulas, filtros e gráficos continuam funcionando.</t>
        </is>
      </c>
    </row>
    <row r="34" ht="14.25" customHeight="1" s="468">
      <c r="A34" s="470" t="inlineStr">
        <is>
          <t>Meta do mês: considerar somente dias com Meta diária maior que zero.</t>
        </is>
      </c>
    </row>
    <row r="35" ht="27.6" customHeight="1" s="468">
      <c r="A35" s="470" t="inlineStr">
        <is>
          <t>- A Meta do mês soma apenas os dias com Meta diária maior que zero. Se não houve trabalho, lançar Meta diária = 0.</t>
        </is>
      </c>
    </row>
    <row r="36" ht="14.4" customHeight="1" s="468"/>
    <row r="37" ht="14.25" customHeight="1" s="468">
      <c r="A37" s="470" t="inlineStr">
        <is>
          <t>Padronização final aplicada</t>
        </is>
      </c>
    </row>
    <row r="38" ht="14.25" customHeight="1" s="468">
      <c r="A38" s="470" t="inlineStr">
        <is>
          <t>• Datas das abas SEMANA: exibidas em português-BR no formato sexta-feira, 15 de maio de 2026.</t>
        </is>
      </c>
    </row>
    <row r="39" ht="14.25" customHeight="1" s="468">
      <c r="A39" s="470" t="inlineStr">
        <is>
          <t>• Datas das abas de gráficos e bases: exibidas em dd/mm/aaaa.</t>
        </is>
      </c>
    </row>
    <row r="40" ht="14.25" customHeight="1" s="468">
      <c r="A40" s="470" t="inlineStr">
        <is>
          <t>• Meta do mês considera apenas os dias em que a Meta diária for maior que zero.</t>
        </is>
      </c>
    </row>
    <row r="41" ht="14.4" customHeight="1" s="468"/>
    <row r="42" ht="14.25" customHeight="1" s="468">
      <c r="A42" s="613" t="inlineStr">
        <is>
          <t>CONTROLE DE GÁS MENSAL</t>
        </is>
      </c>
    </row>
    <row r="43" ht="14.25" customHeight="1" s="468">
      <c r="A43" s="470" t="inlineStr">
        <is>
          <t>• Aba GÁS: preencher a data da carga e a quantidade total em KG na coluna QUANTIDADE.</t>
        </is>
      </c>
    </row>
    <row r="44" ht="14.25" customHeight="1" s="468">
      <c r="A44" s="470" t="inlineStr">
        <is>
          <t>• O dashboard busca automaticamente o total mensal pela data da carga.</t>
        </is>
      </c>
    </row>
    <row r="45" ht="14.25" customHeight="1" s="468">
      <c r="A45" s="470" t="inlineStr">
        <is>
          <t>• Foi lançado o exemplo informado: 01/05/2026 = 1.630 kg.</t>
        </is>
      </c>
    </row>
    <row r="46" ht="14.25" customHeight="1" s="468">
      <c r="A46" s="470" t="inlineStr">
        <is>
          <t>• Não alterar as fórmulas da coluna Gás mensal (KG) na aba RESUMO_MENSAL.</t>
        </is>
      </c>
    </row>
    <row r="47" ht="14.25" customHeight="1" s="468">
      <c r="A47" s="470" t="inlineStr">
        <is>
          <t>• No dashboard, o bloco CONTROLE DE GÁS MENSAL mostra total anual, mês de maior consumo e gás mês a mês.</t>
        </is>
      </c>
    </row>
  </sheetData>
  <mergeCells count="5">
    <mergeCell ref="A42:F42"/>
    <mergeCell ref="A1:F1"/>
    <mergeCell ref="A9:F9"/>
    <mergeCell ref="A3:F3"/>
    <mergeCell ref="A7:F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zoomScaleNormal="100" workbookViewId="0">
      <selection activeCell="A1" sqref="A1"/>
    </sheetView>
  </sheetViews>
  <sheetFormatPr baseColWidth="8" defaultColWidth="8.6640625" defaultRowHeight="14.25" customHeight="1"/>
  <cols>
    <col width="25" customWidth="1" style="468" min="1" max="5"/>
  </cols>
  <sheetData>
    <row r="1" ht="21" customHeight="1" s="468">
      <c r="A1" s="743" t="inlineStr">
        <is>
          <t>PAINEL EXECUTIVO - PRODUÇÃO 2026</t>
        </is>
      </c>
    </row>
    <row r="2" ht="14.4" customHeight="1" s="468"/>
    <row r="3" ht="15" customHeight="1" s="468">
      <c r="A3" s="744" t="inlineStr">
        <is>
          <t>Indicador</t>
        </is>
      </c>
      <c r="B3" s="745" t="inlineStr">
        <is>
          <t>Valor</t>
        </is>
      </c>
    </row>
    <row r="4" ht="15" customHeight="1" s="468">
      <c r="A4" s="746" t="inlineStr">
        <is>
          <t>Status Produção</t>
        </is>
      </c>
      <c r="B4" s="747">
        <f>IF(RESUMO_MENSAL!B2&gt;0,"OK","ATENÇÃO")</f>
        <v/>
      </c>
    </row>
    <row r="5" ht="15" customHeight="1" s="468">
      <c r="A5" s="409" t="inlineStr">
        <is>
          <t>Total Produzido</t>
        </is>
      </c>
      <c r="B5" s="410">
        <f>SUM(RESUMO_MENSAL!B2:B13)</f>
        <v/>
      </c>
    </row>
    <row r="6" ht="15" customHeight="1" s="468">
      <c r="A6" s="411" t="inlineStr">
        <is>
          <t>Meta (exemplo)</t>
        </is>
      </c>
      <c r="B6" s="412" t="n">
        <v>100000</v>
      </c>
    </row>
    <row r="7" ht="15" customHeight="1" s="468">
      <c r="A7" s="413" t="inlineStr">
        <is>
          <t>Atingimento %</t>
        </is>
      </c>
      <c r="B7" s="414">
        <f>B5/B6</f>
        <v/>
      </c>
    </row>
    <row r="8" ht="15" customHeight="1" s="468">
      <c r="A8" s="133" t="n"/>
      <c r="B8" s="133" t="n"/>
    </row>
    <row r="9" ht="15" customHeight="1" s="468">
      <c r="A9" s="133" t="n"/>
      <c r="B9" s="133" t="n"/>
    </row>
    <row r="10" ht="15" customHeight="1" s="468">
      <c r="A10" s="133" t="n"/>
      <c r="B10" s="133" t="n"/>
    </row>
    <row r="11" ht="14.4" customHeight="1" s="468"/>
    <row r="12" ht="14.25" customHeight="1" s="468">
      <c r="A12" s="415" t="inlineStr">
        <is>
          <t>Gás total no ano</t>
        </is>
      </c>
      <c r="B12" s="416">
        <f>SUM(RESUMO_MENSAL!J4:J15)</f>
        <v/>
      </c>
    </row>
    <row r="13" ht="14.25" customHeight="1" s="468">
      <c r="A13" s="415" t="inlineStr">
        <is>
          <t>Maior consumo de gás</t>
        </is>
      </c>
      <c r="B13" s="416">
        <f>IFERROR(INDEX(RESUMO_MENSAL!A4:A15,MATCH(MAX(RESUMO_MENSAL!J4:J15),RESUMO_MENSAL!J4:J15,0)),"-")</f>
        <v/>
      </c>
    </row>
  </sheetData>
  <mergeCells count="1">
    <mergeCell ref="A1:E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8" customWidth="1" style="468" min="1" max="1"/>
    <col width="12" customWidth="1" style="468" min="2" max="2"/>
    <col width="55" customWidth="1" style="468" min="3" max="3"/>
    <col width="40" customWidth="1" style="468" min="4" max="4"/>
  </cols>
  <sheetData>
    <row r="1">
      <c r="A1" s="748" t="inlineStr">
        <is>
          <t>CHECK DA VERSÃO FINAL</t>
        </is>
      </c>
    </row>
    <row r="2">
      <c r="A2" s="623" t="inlineStr">
        <is>
          <t>Item</t>
        </is>
      </c>
      <c r="B2" s="623" t="inlineStr">
        <is>
          <t>Status</t>
        </is>
      </c>
      <c r="C2" s="623" t="inlineStr">
        <is>
          <t>Como conferir</t>
        </is>
      </c>
      <c r="D2" s="623" t="inlineStr">
        <is>
          <t>Obs</t>
        </is>
      </c>
    </row>
    <row r="3">
      <c r="A3" s="626" t="inlineStr">
        <is>
          <t>Abas do ano</t>
        </is>
      </c>
      <c r="B3" s="626" t="inlineStr">
        <is>
          <t>OK</t>
        </is>
      </c>
      <c r="C3" s="626" t="inlineStr">
        <is>
          <t>Janeiro a Dezembro + semanas + gráficos</t>
        </is>
      </c>
      <c r="D3" s="626" t="inlineStr">
        <is>
          <t>Mantido do arquivo original</t>
        </is>
      </c>
    </row>
    <row r="4">
      <c r="A4" s="626" t="inlineStr">
        <is>
          <t>Google Sheets</t>
        </is>
      </c>
      <c r="B4" s="626" t="inlineStr">
        <is>
          <t>OK</t>
        </is>
      </c>
      <c r="C4" s="626" t="inlineStr">
        <is>
          <t>Arquivo abre no Sheets como .xlsx e pode ser salvo como Planilhas Google</t>
        </is>
      </c>
      <c r="D4" s="626" t="inlineStr">
        <is>
          <t>Depois colar o script</t>
        </is>
      </c>
    </row>
    <row r="5">
      <c r="A5" s="626" t="inlineStr">
        <is>
          <t>Apps Script</t>
        </is>
      </c>
      <c r="B5" s="626" t="inlineStr">
        <is>
          <t>OK</t>
        </is>
      </c>
      <c r="C5" s="626" t="inlineStr">
        <is>
          <t>Aba APPS_SCRIPT criada</t>
        </is>
      </c>
      <c r="D5" s="626" t="inlineStr">
        <is>
          <t>Copiar o código completo</t>
        </is>
      </c>
    </row>
    <row r="6">
      <c r="A6" s="626" t="inlineStr">
        <is>
          <t>Datas BR</t>
        </is>
      </c>
      <c r="B6" s="626" t="inlineStr">
        <is>
          <t>OK</t>
        </is>
      </c>
      <c r="C6" s="626" t="inlineStr">
        <is>
          <t>Coluna A das principais abas em dd/mm/aaaa</t>
        </is>
      </c>
      <c r="D6" s="626" t="inlineStr">
        <is>
          <t>Formato aplicado</t>
        </is>
      </c>
    </row>
    <row r="7">
      <c r="A7" s="626" t="inlineStr">
        <is>
          <t>Validações</t>
        </is>
      </c>
      <c r="B7" s="626" t="inlineStr">
        <is>
          <t>OK</t>
        </is>
      </c>
      <c r="C7" s="626" t="inlineStr">
        <is>
          <t>Produto e embalagem nas abas SEMANA</t>
        </is>
      </c>
      <c r="D7" s="626" t="inlineStr">
        <is>
          <t>Listas em CONFIG_LISTAS</t>
        </is>
      </c>
    </row>
    <row r="8">
      <c r="A8" s="626" t="inlineStr">
        <is>
          <t>Cores resultado</t>
        </is>
      </c>
      <c r="B8" s="626" t="inlineStr">
        <is>
          <t>OK</t>
        </is>
      </c>
      <c r="C8" s="626" t="inlineStr">
        <is>
          <t>Diferença verde/vermelho/cinza nos gráficos</t>
        </is>
      </c>
      <c r="D8" s="626" t="inlineStr">
        <is>
          <t>Condicional aplicada</t>
        </is>
      </c>
    </row>
    <row r="9">
      <c r="A9" s="626" t="inlineStr">
        <is>
          <t>Dashboard</t>
        </is>
      </c>
      <c r="B9" s="626" t="inlineStr">
        <is>
          <t>OK</t>
        </is>
      </c>
      <c r="C9" s="626" t="inlineStr">
        <is>
          <t>DASHBOARD e RESUMO_MENSAL preservados</t>
        </is>
      </c>
      <c r="D9" s="626" t="inlineStr">
        <is>
          <t>Fórmulas mantidas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2026-04-24T14:31:01Z</dcterms:created>
  <dcterms:modified xmlns:dcterms="http://purl.org/dc/terms/" xmlns:xsi="http://www.w3.org/2001/XMLSchema-instance" xsi:type="dcterms:W3CDTF">2026-05-05T14:45:02Z</dcterms:modified>
  <cp:lastModifiedBy>ADM - AIDU Smart Choice</cp:lastModifiedBy>
  <cp:revision>0</cp:revision>
</cp:coreProperties>
</file>