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cas Ed\Downloads\"/>
    </mc:Choice>
  </mc:AlternateContent>
  <xr:revisionPtr revIDLastSave="0" documentId="13_ncr:1_{C509537B-6B16-48BF-84E1-7D6B92F2BB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ás Recus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D21" i="1"/>
  <c r="C20" i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<sst xmlns="http://schemas.openxmlformats.org/spreadsheetml/2006/main" count="23" uniqueCount="18">
  <si>
    <t>CONTROLE DE NF-e — GÁS RECUSADO</t>
  </si>
  <si>
    <t>Preço anterior (R$/kg)</t>
  </si>
  <si>
    <t>Preço atualizado (R$/kg)</t>
  </si>
  <si>
    <t>Redução por kg</t>
  </si>
  <si>
    <t>Total de kg recusado</t>
  </si>
  <si>
    <t>O valor das NF-e foi recalculado considerando os kg recusados e a alteração do preço de R$ 9,80/kg para R$ 9,42/kg.</t>
  </si>
  <si>
    <t>DATA</t>
  </si>
  <si>
    <t>NF-e</t>
  </si>
  <si>
    <t>KG RECUSADO</t>
  </si>
  <si>
    <t>VALOR ANTERIOR</t>
  </si>
  <si>
    <t>VALOR ATUALIZADO</t>
  </si>
  <si>
    <t>05/08/2026</t>
  </si>
  <si>
    <t>06/08/2026</t>
  </si>
  <si>
    <t>07/08/2026</t>
  </si>
  <si>
    <t>TOTAL KG RECUSADO</t>
  </si>
  <si>
    <t>TOTAL ANTERIOR</t>
  </si>
  <si>
    <t>TOTAL ATUALIZADO</t>
  </si>
  <si>
    <t>REDUÇÃO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</si>
</sst>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R\$\ #,##0.00"/>
    <numFmt numFmtId="165" formatCode="0\ &quot;kg&quot;"/>
  </numFmts>
  <fonts count="5" x14ac:knownFonts="1">
    <font>
      <sz val="11"/>
      <color theme="1"/>
      <name val="Aptos Narrow"/>
    </font>
    <font>
      <b/>
      <sz val="11"/>
      <color theme="1"/>
      <name val="Aptos Narrow"/>
      <family val="2"/>
    </font>
    <font>
      <b/>
      <sz val="14"/>
      <color rgb="FFFFFFFF"/>
      <name val="Aptos Narrow"/>
      <family val="2"/>
    </font>
    <font>
      <b/>
      <sz val="11"/>
      <color rgb="FFFFFFFF"/>
      <name val="Aptos Narrow"/>
      <family val="2"/>
    </font>
    <font>
      <i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4" fontId="3" fillId="2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5" fontId="1" fillId="3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4" fontId="1" fillId="5" borderId="0" xfId="0" applyNumberFormat="1" applyFont="1" applyFill="1"/>
    <xf numFmtId="164" fontId="1" fillId="6" borderId="0" xfId="0" applyNumberFormat="1" applyFont="1" applyFill="1"/>
    <xf numFmtId="164" fontId="1" fillId="7" borderId="0" xfId="0" applyNumberFormat="1" applyFont="1" applyFill="1"/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14" fontId="4" fillId="4" borderId="0" xfId="0" applyNumberFormat="1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44" fontId="4" fillId="4" borderId="0" xfId="0" applyNumberFormat="1" applyFont="1" applyFill="1" applyAlignment="1">
      <alignment horizontal="right" wrapText="1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8" sqref="A8:E8"/>
    </sheetView>
  </sheetViews>
  <sheetFormatPr defaultRowHeight="14.4" x14ac:dyDescent="0.3"/>
  <cols>
    <col min="1" max="1" width="16" style="1" customWidth="1"/>
    <col min="2" max="2" width="21" style="2" customWidth="1"/>
    <col min="3" max="3" width="18" style="3" customWidth="1"/>
    <col min="4" max="5" width="22" customWidth="1"/>
  </cols>
  <sheetData>
    <row r="1" spans="1:5" ht="22.35" customHeight="1" x14ac:dyDescent="0.3">
      <c r="A1" s="22" t="s">
        <v>0</v>
      </c>
      <c r="B1" s="23"/>
      <c r="C1" s="24"/>
      <c r="D1" s="23"/>
      <c r="E1" s="23"/>
    </row>
    <row r="3" spans="1:5" x14ac:dyDescent="0.3">
      <c r="A3" s="8" t="s">
        <v>1</v>
      </c>
      <c r="B3" s="10">
        <v>9.8000000000000007</v>
      </c>
    </row>
    <row r="4" spans="1:5" x14ac:dyDescent="0.3">
      <c r="A4" s="8" t="s">
        <v>2</v>
      </c>
      <c r="B4" s="10">
        <v>9.42</v>
      </c>
    </row>
    <row r="5" spans="1:5" x14ac:dyDescent="0.3">
      <c r="A5" s="9" t="s">
        <v>3</v>
      </c>
      <c r="B5" s="10">
        <v>0.38</v>
      </c>
    </row>
    <row r="6" spans="1:5" x14ac:dyDescent="0.3">
      <c r="A6" s="8" t="s">
        <v>4</v>
      </c>
      <c r="B6" s="12">
        <v>4550</v>
      </c>
    </row>
    <row r="8" spans="1:5" ht="27.15" customHeight="1" x14ac:dyDescent="0.3">
      <c r="A8" s="25" t="s">
        <v>5</v>
      </c>
      <c r="B8" s="26"/>
      <c r="C8" s="27"/>
      <c r="D8" s="28"/>
      <c r="E8" s="28"/>
    </row>
    <row r="10" spans="1:5" x14ac:dyDescent="0.3">
      <c r="A10" s="5" t="s">
        <v>6</v>
      </c>
      <c r="B10" s="6" t="s">
        <v>7</v>
      </c>
      <c r="C10" s="7" t="s">
        <v>8</v>
      </c>
      <c r="D10" s="6" t="s">
        <v>9</v>
      </c>
      <c r="E10" s="6" t="s">
        <v>10</v>
      </c>
    </row>
    <row r="11" spans="1:5" x14ac:dyDescent="0.3">
      <c r="A11" s="1" t="s">
        <v>11</v>
      </c>
      <c r="B11" s="2">
        <v>2699</v>
      </c>
      <c r="C11" s="12">
        <v>800</v>
      </c>
      <c r="D11" s="11">
        <v>7840</v>
      </c>
      <c r="E11" s="11">
        <f t="shared" ref="E11:E18" si="0">C11*$B$4</f>
        <v>7536</v>
      </c>
    </row>
    <row r="12" spans="1:5" x14ac:dyDescent="0.3">
      <c r="A12" s="2" t="s">
        <v>11</v>
      </c>
      <c r="B12" s="2">
        <v>2700</v>
      </c>
      <c r="C12" s="12">
        <v>200</v>
      </c>
      <c r="D12" s="11">
        <v>1960</v>
      </c>
      <c r="E12" s="11">
        <f t="shared" si="0"/>
        <v>1884</v>
      </c>
    </row>
    <row r="13" spans="1:5" x14ac:dyDescent="0.3">
      <c r="A13" s="2" t="s">
        <v>11</v>
      </c>
      <c r="B13" s="4">
        <v>2702</v>
      </c>
      <c r="C13" s="13">
        <v>800</v>
      </c>
      <c r="D13" s="11">
        <v>7840</v>
      </c>
      <c r="E13" s="11">
        <f t="shared" si="0"/>
        <v>7536</v>
      </c>
    </row>
    <row r="14" spans="1:5" x14ac:dyDescent="0.3">
      <c r="A14" s="2" t="s">
        <v>12</v>
      </c>
      <c r="B14" s="2">
        <v>2703</v>
      </c>
      <c r="C14" s="12">
        <v>760</v>
      </c>
      <c r="D14" s="11">
        <v>7448</v>
      </c>
      <c r="E14" s="11">
        <f t="shared" si="0"/>
        <v>7159.2</v>
      </c>
    </row>
    <row r="15" spans="1:5" x14ac:dyDescent="0.3">
      <c r="A15" s="2" t="s">
        <v>12</v>
      </c>
      <c r="B15" s="2">
        <v>2705</v>
      </c>
      <c r="C15" s="12">
        <v>800</v>
      </c>
      <c r="D15" s="11">
        <v>7840</v>
      </c>
      <c r="E15" s="11">
        <f t="shared" si="0"/>
        <v>7536</v>
      </c>
    </row>
    <row r="16" spans="1:5" x14ac:dyDescent="0.3">
      <c r="A16" s="2" t="s">
        <v>12</v>
      </c>
      <c r="B16" s="2">
        <v>2706</v>
      </c>
      <c r="C16" s="12">
        <v>110</v>
      </c>
      <c r="D16" s="11">
        <v>1078</v>
      </c>
      <c r="E16" s="11">
        <f t="shared" si="0"/>
        <v>1036.2</v>
      </c>
    </row>
    <row r="17" spans="1:5" x14ac:dyDescent="0.3">
      <c r="A17" s="2" t="s">
        <v>13</v>
      </c>
      <c r="B17" s="2">
        <v>2707</v>
      </c>
      <c r="C17" s="12">
        <v>460</v>
      </c>
      <c r="D17" s="11">
        <v>4508</v>
      </c>
      <c r="E17" s="11">
        <f t="shared" si="0"/>
        <v>4333.2</v>
      </c>
    </row>
    <row r="18" spans="1:5" x14ac:dyDescent="0.3">
      <c r="A18" s="2" t="s">
        <v>13</v>
      </c>
      <c r="B18" s="2">
        <v>2708</v>
      </c>
      <c r="C18" s="12">
        <v>620</v>
      </c>
      <c r="D18" s="11">
        <v>6076</v>
      </c>
      <c r="E18" s="11">
        <f t="shared" si="0"/>
        <v>5840.4</v>
      </c>
    </row>
    <row r="19" spans="1:5" x14ac:dyDescent="0.3">
      <c r="C19" s="14"/>
    </row>
    <row r="20" spans="1:5" x14ac:dyDescent="0.3">
      <c r="B20" s="9" t="s">
        <v>14</v>
      </c>
      <c r="C20" s="15">
        <f>SUM(C11:C18)</f>
        <v>4550</v>
      </c>
    </row>
    <row r="21" spans="1:5" x14ac:dyDescent="0.3">
      <c r="B21" s="16" t="s">
        <v>15</v>
      </c>
      <c r="C21" s="16"/>
      <c r="D21" s="19">
        <f>SUM(D11:D18)</f>
        <v>44590</v>
      </c>
      <c r="E21" s="11"/>
    </row>
    <row r="22" spans="1:5" x14ac:dyDescent="0.3">
      <c r="B22" s="17" t="s">
        <v>16</v>
      </c>
      <c r="C22" s="17"/>
      <c r="D22" s="20"/>
      <c r="E22" s="20">
        <f>SUM(E11:E18)</f>
        <v>42861</v>
      </c>
    </row>
    <row r="23" spans="1:5" x14ac:dyDescent="0.3">
      <c r="B23" s="18" t="s">
        <v>17</v>
      </c>
      <c r="C23" s="18"/>
      <c r="D23" s="21"/>
      <c r="E23" s="21">
        <f>D21-E22</f>
        <v>1729</v>
      </c>
    </row>
  </sheetData>
  <mergeCells count="2">
    <mergeCell ref="A1:E1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Gás Recusado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- AIDU Smart Choice</cp:lastModifiedBy>
  <dcterms:modified xsi:type="dcterms:W3CDTF">2026-08-12T14:53:35Z</dcterms:modified>
</cp:coreProperties>
</file>